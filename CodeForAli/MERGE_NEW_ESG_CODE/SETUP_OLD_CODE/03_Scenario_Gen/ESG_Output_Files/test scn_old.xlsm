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00" yWindow="90" windowWidth="18120" windowHeight="11280" tabRatio="720" activeTab="1"/>
  </bookViews>
  <sheets>
    <sheet name="Feuil1" sheetId="1" r:id="rId1"/>
    <sheet name="Output" sheetId="9" r:id="rId2"/>
    <sheet name="Feuil2" sheetId="10" r:id="rId3"/>
  </sheets>
  <functionGroups builtInGroupCount="17"/>
  <definedNames>
    <definedName name="alpha">Feuil1!$F$8</definedName>
    <definedName name="corel">Feuil1!$F$10</definedName>
    <definedName name="dir">Feuil1!$F$5</definedName>
    <definedName name="name">Feuil1!$F$6</definedName>
    <definedName name="scn">Feuil1!$F$7</definedName>
    <definedName name="sigma">Feuil1!$F$9</definedName>
  </definedNames>
  <calcPr calcId="145621" calcMode="manual"/>
</workbook>
</file>

<file path=xl/calcChain.xml><?xml version="1.0" encoding="utf-8"?>
<calcChain xmlns="http://schemas.openxmlformats.org/spreadsheetml/2006/main">
  <c r="V16" i="9" l="1"/>
  <c r="U22" i="9"/>
  <c r="V22" i="9"/>
  <c r="AF13" i="9"/>
  <c r="AF12" i="9"/>
  <c r="AA13" i="9"/>
  <c r="AA14" i="9" s="1"/>
  <c r="AA15" i="9" s="1"/>
  <c r="C11" i="10"/>
  <c r="H11" i="10" s="1"/>
  <c r="C12" i="10"/>
  <c r="H12" i="10" s="1"/>
  <c r="C13" i="10"/>
  <c r="H13" i="10" s="1"/>
  <c r="C14" i="10"/>
  <c r="H14" i="10" s="1"/>
  <c r="C15" i="10"/>
  <c r="H15" i="10" s="1"/>
  <c r="C16" i="10"/>
  <c r="H16" i="10" s="1"/>
  <c r="C17" i="10"/>
  <c r="H17" i="10" s="1"/>
  <c r="C18" i="10"/>
  <c r="H18" i="10" s="1"/>
  <c r="C19" i="10"/>
  <c r="H19" i="10" s="1"/>
  <c r="C20" i="10"/>
  <c r="H20" i="10" s="1"/>
  <c r="C21" i="10"/>
  <c r="H21" i="10" s="1"/>
  <c r="C22" i="10"/>
  <c r="H22" i="10" s="1"/>
  <c r="C23" i="10"/>
  <c r="H23" i="10" s="1"/>
  <c r="C24" i="10"/>
  <c r="H24" i="10" s="1"/>
  <c r="C25" i="10"/>
  <c r="H25" i="10" s="1"/>
  <c r="C26" i="10"/>
  <c r="H26" i="10" s="1"/>
  <c r="C27" i="10"/>
  <c r="H27" i="10" s="1"/>
  <c r="C28" i="10"/>
  <c r="H28" i="10" s="1"/>
  <c r="C29" i="10"/>
  <c r="H29" i="10" s="1"/>
  <c r="C30" i="10"/>
  <c r="H30" i="10" s="1"/>
  <c r="C31" i="10"/>
  <c r="H31" i="10" s="1"/>
  <c r="C32" i="10"/>
  <c r="H32" i="10" s="1"/>
  <c r="C33" i="10"/>
  <c r="H33" i="10" s="1"/>
  <c r="C34" i="10"/>
  <c r="H34" i="10" s="1"/>
  <c r="C35" i="10"/>
  <c r="H35" i="10" s="1"/>
  <c r="C36" i="10"/>
  <c r="H36" i="10" s="1"/>
  <c r="C37" i="10"/>
  <c r="H37" i="10" s="1"/>
  <c r="C38" i="10"/>
  <c r="H38" i="10" s="1"/>
  <c r="C39" i="10"/>
  <c r="H39" i="10" s="1"/>
  <c r="C40" i="10"/>
  <c r="H40" i="10" s="1"/>
  <c r="C41" i="10"/>
  <c r="H41" i="10" s="1"/>
  <c r="C42" i="10"/>
  <c r="H42" i="10" s="1"/>
  <c r="C43" i="10"/>
  <c r="H43" i="10" s="1"/>
  <c r="C44" i="10"/>
  <c r="H44" i="10" s="1"/>
  <c r="C45" i="10"/>
  <c r="H45" i="10" s="1"/>
  <c r="C46" i="10"/>
  <c r="H46" i="10" s="1"/>
  <c r="C47" i="10"/>
  <c r="H47" i="10" s="1"/>
  <c r="C48" i="10"/>
  <c r="H48" i="10" s="1"/>
  <c r="C49" i="10"/>
  <c r="H49" i="10" s="1"/>
  <c r="C50" i="10"/>
  <c r="H50" i="10" s="1"/>
  <c r="C51" i="10"/>
  <c r="H51" i="10" s="1"/>
  <c r="C52" i="10"/>
  <c r="H52" i="10" s="1"/>
  <c r="C53" i="10"/>
  <c r="H53" i="10" s="1"/>
  <c r="C54" i="10"/>
  <c r="H54" i="10" s="1"/>
  <c r="C55" i="10"/>
  <c r="H55" i="10" s="1"/>
  <c r="C56" i="10"/>
  <c r="H56" i="10" s="1"/>
  <c r="C57" i="10"/>
  <c r="H57" i="10" s="1"/>
  <c r="C58" i="10"/>
  <c r="H58" i="10" s="1"/>
  <c r="C59" i="10"/>
  <c r="H59" i="10" s="1"/>
  <c r="C60" i="10"/>
  <c r="H60" i="10" s="1"/>
  <c r="C10" i="10"/>
  <c r="H10" i="10" s="1"/>
  <c r="G10" i="10"/>
  <c r="F10" i="10"/>
  <c r="AD13" i="9"/>
  <c r="AE13" i="9" s="1"/>
  <c r="AD14" i="9"/>
  <c r="AE14" i="9" s="1"/>
  <c r="AD15" i="9"/>
  <c r="AE15" i="9" s="1"/>
  <c r="AD16" i="9"/>
  <c r="AE16" i="9" s="1"/>
  <c r="AD17" i="9"/>
  <c r="AE17" i="9" s="1"/>
  <c r="AD18" i="9"/>
  <c r="AE18" i="9" s="1"/>
  <c r="AD19" i="9"/>
  <c r="AE19" i="9" s="1"/>
  <c r="AD20" i="9"/>
  <c r="AE20" i="9" s="1"/>
  <c r="AD21" i="9"/>
  <c r="AE21" i="9" s="1"/>
  <c r="AD22" i="9"/>
  <c r="AE22" i="9" s="1"/>
  <c r="AD23" i="9"/>
  <c r="AE23" i="9" s="1"/>
  <c r="AD24" i="9"/>
  <c r="AE24" i="9" s="1"/>
  <c r="AD25" i="9"/>
  <c r="AE25" i="9" s="1"/>
  <c r="AD26" i="9"/>
  <c r="AE26" i="9" s="1"/>
  <c r="AD27" i="9"/>
  <c r="AE27" i="9" s="1"/>
  <c r="AD28" i="9"/>
  <c r="AE28" i="9" s="1"/>
  <c r="AD29" i="9"/>
  <c r="AE29" i="9" s="1"/>
  <c r="AD30" i="9"/>
  <c r="AE30" i="9" s="1"/>
  <c r="AD31" i="9"/>
  <c r="AE31" i="9" s="1"/>
  <c r="AD32" i="9"/>
  <c r="AE32" i="9" s="1"/>
  <c r="AD33" i="9"/>
  <c r="AE33" i="9" s="1"/>
  <c r="AD34" i="9"/>
  <c r="AE34" i="9" s="1"/>
  <c r="AD35" i="9"/>
  <c r="AE35" i="9" s="1"/>
  <c r="AD36" i="9"/>
  <c r="AE36" i="9" s="1"/>
  <c r="AD37" i="9"/>
  <c r="AE37" i="9" s="1"/>
  <c r="AD38" i="9"/>
  <c r="AE38" i="9" s="1"/>
  <c r="AD39" i="9"/>
  <c r="AE39" i="9" s="1"/>
  <c r="AD40" i="9"/>
  <c r="AE40" i="9" s="1"/>
  <c r="AD41" i="9"/>
  <c r="AE41" i="9" s="1"/>
  <c r="AD42" i="9"/>
  <c r="AE42" i="9" s="1"/>
  <c r="AD43" i="9"/>
  <c r="AE43" i="9" s="1"/>
  <c r="AD44" i="9"/>
  <c r="AE44" i="9" s="1"/>
  <c r="AD45" i="9"/>
  <c r="AE45" i="9" s="1"/>
  <c r="AD46" i="9"/>
  <c r="AE46" i="9" s="1"/>
  <c r="AD47" i="9"/>
  <c r="AE47" i="9" s="1"/>
  <c r="AD48" i="9"/>
  <c r="AE48" i="9" s="1"/>
  <c r="AD49" i="9"/>
  <c r="AE49" i="9" s="1"/>
  <c r="AD50" i="9"/>
  <c r="AE50" i="9" s="1"/>
  <c r="AD51" i="9"/>
  <c r="AE51" i="9" s="1"/>
  <c r="AD52" i="9"/>
  <c r="AE52" i="9" s="1"/>
  <c r="AD53" i="9"/>
  <c r="AE53" i="9" s="1"/>
  <c r="AD54" i="9"/>
  <c r="AE54" i="9" s="1"/>
  <c r="AD55" i="9"/>
  <c r="AE55" i="9" s="1"/>
  <c r="AD56" i="9"/>
  <c r="AE56" i="9" s="1"/>
  <c r="AD57" i="9"/>
  <c r="AE57" i="9" s="1"/>
  <c r="AD58" i="9"/>
  <c r="AE58" i="9" s="1"/>
  <c r="AD59" i="9"/>
  <c r="AE59" i="9" s="1"/>
  <c r="AD60" i="9"/>
  <c r="AE60" i="9" s="1"/>
  <c r="AD61" i="9"/>
  <c r="AE61" i="9" s="1"/>
  <c r="AD62" i="9"/>
  <c r="AE62" i="9" s="1"/>
  <c r="AD63" i="9"/>
  <c r="AE63" i="9" s="1"/>
  <c r="AD64" i="9"/>
  <c r="AE64" i="9" s="1"/>
  <c r="AD65" i="9"/>
  <c r="AE65" i="9" s="1"/>
  <c r="AD66" i="9"/>
  <c r="AE66" i="9" s="1"/>
  <c r="AD67" i="9"/>
  <c r="AE67" i="9" s="1"/>
  <c r="AD68" i="9"/>
  <c r="AE68" i="9" s="1"/>
  <c r="AD69" i="9"/>
  <c r="AE69" i="9" s="1"/>
  <c r="AD70" i="9"/>
  <c r="AE70" i="9" s="1"/>
  <c r="AD71" i="9"/>
  <c r="AE71" i="9" s="1"/>
  <c r="AD72" i="9"/>
  <c r="AE72" i="9" s="1"/>
  <c r="AD73" i="9"/>
  <c r="AE73" i="9" s="1"/>
  <c r="AD74" i="9"/>
  <c r="AE74" i="9" s="1"/>
  <c r="AD75" i="9"/>
  <c r="AE75" i="9" s="1"/>
  <c r="AD76" i="9"/>
  <c r="AE76" i="9" s="1"/>
  <c r="AD77" i="9"/>
  <c r="AE77" i="9" s="1"/>
  <c r="AD78" i="9"/>
  <c r="AE78" i="9" s="1"/>
  <c r="AD79" i="9"/>
  <c r="AE79" i="9" s="1"/>
  <c r="AD80" i="9"/>
  <c r="AE80" i="9" s="1"/>
  <c r="AD81" i="9"/>
  <c r="AE81" i="9" s="1"/>
  <c r="AD82" i="9"/>
  <c r="AE82" i="9" s="1"/>
  <c r="AD83" i="9"/>
  <c r="AE83" i="9" s="1"/>
  <c r="AD84" i="9"/>
  <c r="AE84" i="9" s="1"/>
  <c r="AD85" i="9"/>
  <c r="AE85" i="9" s="1"/>
  <c r="AD86" i="9"/>
  <c r="AE86" i="9" s="1"/>
  <c r="AD87" i="9"/>
  <c r="AE87" i="9" s="1"/>
  <c r="AD88" i="9"/>
  <c r="AE88" i="9" s="1"/>
  <c r="AD89" i="9"/>
  <c r="AE89" i="9" s="1"/>
  <c r="AD90" i="9"/>
  <c r="AE90" i="9" s="1"/>
  <c r="AD91" i="9"/>
  <c r="AE91" i="9" s="1"/>
  <c r="AD92" i="9"/>
  <c r="AE92" i="9" s="1"/>
  <c r="AD93" i="9"/>
  <c r="AE93" i="9" s="1"/>
  <c r="AD94" i="9"/>
  <c r="AE94" i="9" s="1"/>
  <c r="AD95" i="9"/>
  <c r="AE95" i="9" s="1"/>
  <c r="AD96" i="9"/>
  <c r="AE96" i="9" s="1"/>
  <c r="AD97" i="9"/>
  <c r="AE97" i="9" s="1"/>
  <c r="AD98" i="9"/>
  <c r="AE98" i="9" s="1"/>
  <c r="AD99" i="9"/>
  <c r="AE99" i="9" s="1"/>
  <c r="AD100" i="9"/>
  <c r="AE100" i="9" s="1"/>
  <c r="AD101" i="9"/>
  <c r="AE101" i="9" s="1"/>
  <c r="AD102" i="9"/>
  <c r="AE102" i="9" s="1"/>
  <c r="AD103" i="9"/>
  <c r="AE103" i="9" s="1"/>
  <c r="AD104" i="9"/>
  <c r="AE104" i="9" s="1"/>
  <c r="AD105" i="9"/>
  <c r="AE105" i="9" s="1"/>
  <c r="AD106" i="9"/>
  <c r="AE106" i="9" s="1"/>
  <c r="AD107" i="9"/>
  <c r="AE107" i="9" s="1"/>
  <c r="AD108" i="9"/>
  <c r="AE108" i="9" s="1"/>
  <c r="AD109" i="9"/>
  <c r="AE109" i="9" s="1"/>
  <c r="AD110" i="9"/>
  <c r="AE110" i="9" s="1"/>
  <c r="AD111" i="9"/>
  <c r="AE111" i="9" s="1"/>
  <c r="AD112" i="9"/>
  <c r="AE112" i="9" s="1"/>
  <c r="AD113" i="9"/>
  <c r="AE113" i="9" s="1"/>
  <c r="AD114" i="9"/>
  <c r="AE114" i="9" s="1"/>
  <c r="AD115" i="9"/>
  <c r="AE115" i="9" s="1"/>
  <c r="AD116" i="9"/>
  <c r="AE116" i="9" s="1"/>
  <c r="AD117" i="9"/>
  <c r="AE117" i="9" s="1"/>
  <c r="AD118" i="9"/>
  <c r="AE118" i="9" s="1"/>
  <c r="AD119" i="9"/>
  <c r="AE119" i="9" s="1"/>
  <c r="AD120" i="9"/>
  <c r="AE120" i="9" s="1"/>
  <c r="AD121" i="9"/>
  <c r="AE121" i="9" s="1"/>
  <c r="AD122" i="9"/>
  <c r="AE122" i="9" s="1"/>
  <c r="AD123" i="9"/>
  <c r="AE123" i="9" s="1"/>
  <c r="AD124" i="9"/>
  <c r="AE124" i="9" s="1"/>
  <c r="AD125" i="9"/>
  <c r="AE125" i="9" s="1"/>
  <c r="AD126" i="9"/>
  <c r="AE126" i="9" s="1"/>
  <c r="AD127" i="9"/>
  <c r="AE127" i="9" s="1"/>
  <c r="AD128" i="9"/>
  <c r="AE128" i="9" s="1"/>
  <c r="AD129" i="9"/>
  <c r="AE129" i="9" s="1"/>
  <c r="AD130" i="9"/>
  <c r="AE130" i="9" s="1"/>
  <c r="AD131" i="9"/>
  <c r="AE131" i="9" s="1"/>
  <c r="AD132" i="9"/>
  <c r="AE132" i="9" s="1"/>
  <c r="AD133" i="9"/>
  <c r="AE133" i="9" s="1"/>
  <c r="AD134" i="9"/>
  <c r="AE134" i="9" s="1"/>
  <c r="AD135" i="9"/>
  <c r="AE135" i="9" s="1"/>
  <c r="AD136" i="9"/>
  <c r="AE136" i="9" s="1"/>
  <c r="AD137" i="9"/>
  <c r="AE137" i="9" s="1"/>
  <c r="AD138" i="9"/>
  <c r="AE138" i="9" s="1"/>
  <c r="AD139" i="9"/>
  <c r="AE139" i="9" s="1"/>
  <c r="AD140" i="9"/>
  <c r="AE140" i="9" s="1"/>
  <c r="AD141" i="9"/>
  <c r="AE141" i="9" s="1"/>
  <c r="AD142" i="9"/>
  <c r="AE142" i="9" s="1"/>
  <c r="AD143" i="9"/>
  <c r="AE143" i="9" s="1"/>
  <c r="AD144" i="9"/>
  <c r="AE144" i="9" s="1"/>
  <c r="AD145" i="9"/>
  <c r="AE145" i="9" s="1"/>
  <c r="AD146" i="9"/>
  <c r="AE146" i="9" s="1"/>
  <c r="AD147" i="9"/>
  <c r="AE147" i="9" s="1"/>
  <c r="AD148" i="9"/>
  <c r="AE148" i="9" s="1"/>
  <c r="AD149" i="9"/>
  <c r="AE149" i="9" s="1"/>
  <c r="AD150" i="9"/>
  <c r="AE150" i="9" s="1"/>
  <c r="AD151" i="9"/>
  <c r="AE151" i="9" s="1"/>
  <c r="AD152" i="9"/>
  <c r="AE152" i="9" s="1"/>
  <c r="AD153" i="9"/>
  <c r="AE153" i="9" s="1"/>
  <c r="AD154" i="9"/>
  <c r="AE154" i="9" s="1"/>
  <c r="AD155" i="9"/>
  <c r="AE155" i="9" s="1"/>
  <c r="AD156" i="9"/>
  <c r="AE156" i="9" s="1"/>
  <c r="AD157" i="9"/>
  <c r="AE157" i="9" s="1"/>
  <c r="AD158" i="9"/>
  <c r="AE158" i="9" s="1"/>
  <c r="AD159" i="9"/>
  <c r="AE159" i="9" s="1"/>
  <c r="AD160" i="9"/>
  <c r="AE160" i="9" s="1"/>
  <c r="AD161" i="9"/>
  <c r="AE161" i="9" s="1"/>
  <c r="AD162" i="9"/>
  <c r="AE162" i="9" s="1"/>
  <c r="AD163" i="9"/>
  <c r="AE163" i="9" s="1"/>
  <c r="AD164" i="9"/>
  <c r="AE164" i="9" s="1"/>
  <c r="AD165" i="9"/>
  <c r="AE165" i="9" s="1"/>
  <c r="AD166" i="9"/>
  <c r="AE166" i="9" s="1"/>
  <c r="AD167" i="9"/>
  <c r="AE167" i="9" s="1"/>
  <c r="AD168" i="9"/>
  <c r="AE168" i="9" s="1"/>
  <c r="AD169" i="9"/>
  <c r="AE169" i="9" s="1"/>
  <c r="AD170" i="9"/>
  <c r="AE170" i="9" s="1"/>
  <c r="AD171" i="9"/>
  <c r="AE171" i="9" s="1"/>
  <c r="AD172" i="9"/>
  <c r="AE172" i="9" s="1"/>
  <c r="AD173" i="9"/>
  <c r="AE173" i="9" s="1"/>
  <c r="AD174" i="9"/>
  <c r="AE174" i="9" s="1"/>
  <c r="AD175" i="9"/>
  <c r="AE175" i="9" s="1"/>
  <c r="AD176" i="9"/>
  <c r="AE176" i="9" s="1"/>
  <c r="AD177" i="9"/>
  <c r="AE177" i="9" s="1"/>
  <c r="AD178" i="9"/>
  <c r="AE178" i="9" s="1"/>
  <c r="AD179" i="9"/>
  <c r="AE179" i="9" s="1"/>
  <c r="AD180" i="9"/>
  <c r="AE180" i="9" s="1"/>
  <c r="AD181" i="9"/>
  <c r="AE181" i="9" s="1"/>
  <c r="AD182" i="9"/>
  <c r="AE182" i="9" s="1"/>
  <c r="AD183" i="9"/>
  <c r="AE183" i="9" s="1"/>
  <c r="AD184" i="9"/>
  <c r="AE184" i="9" s="1"/>
  <c r="AD185" i="9"/>
  <c r="AE185" i="9" s="1"/>
  <c r="AD186" i="9"/>
  <c r="AE186" i="9" s="1"/>
  <c r="AD187" i="9"/>
  <c r="AE187" i="9" s="1"/>
  <c r="AD188" i="9"/>
  <c r="AE188" i="9" s="1"/>
  <c r="AD189" i="9"/>
  <c r="AE189" i="9" s="1"/>
  <c r="AD190" i="9"/>
  <c r="AE190" i="9" s="1"/>
  <c r="AD191" i="9"/>
  <c r="AE191" i="9" s="1"/>
  <c r="AD192" i="9"/>
  <c r="AE192" i="9" s="1"/>
  <c r="AD193" i="9"/>
  <c r="AE193" i="9" s="1"/>
  <c r="AD194" i="9"/>
  <c r="AE194" i="9" s="1"/>
  <c r="AD195" i="9"/>
  <c r="AE195" i="9" s="1"/>
  <c r="AD196" i="9"/>
  <c r="AE196" i="9" s="1"/>
  <c r="AD197" i="9"/>
  <c r="AE197" i="9" s="1"/>
  <c r="AD198" i="9"/>
  <c r="AE198" i="9" s="1"/>
  <c r="AD199" i="9"/>
  <c r="AE199" i="9" s="1"/>
  <c r="AD200" i="9"/>
  <c r="AE200" i="9" s="1"/>
  <c r="AD201" i="9"/>
  <c r="AE201" i="9" s="1"/>
  <c r="AD202" i="9"/>
  <c r="AE202" i="9" s="1"/>
  <c r="AD203" i="9"/>
  <c r="AE203" i="9" s="1"/>
  <c r="AD204" i="9"/>
  <c r="AE204" i="9" s="1"/>
  <c r="AD205" i="9"/>
  <c r="AE205" i="9" s="1"/>
  <c r="AD206" i="9"/>
  <c r="AE206" i="9" s="1"/>
  <c r="AD207" i="9"/>
  <c r="AE207" i="9" s="1"/>
  <c r="AD208" i="9"/>
  <c r="AE208" i="9" s="1"/>
  <c r="AD209" i="9"/>
  <c r="AE209" i="9" s="1"/>
  <c r="AD210" i="9"/>
  <c r="AE210" i="9" s="1"/>
  <c r="AD211" i="9"/>
  <c r="AE211" i="9" s="1"/>
  <c r="AD212" i="9"/>
  <c r="AE212" i="9" s="1"/>
  <c r="AD213" i="9"/>
  <c r="AE213" i="9" s="1"/>
  <c r="AD214" i="9"/>
  <c r="AE214" i="9" s="1"/>
  <c r="AD215" i="9"/>
  <c r="AE215" i="9" s="1"/>
  <c r="AD216" i="9"/>
  <c r="AE216" i="9" s="1"/>
  <c r="AD217" i="9"/>
  <c r="AE217" i="9" s="1"/>
  <c r="AD218" i="9"/>
  <c r="AE218" i="9" s="1"/>
  <c r="AD219" i="9"/>
  <c r="AE219" i="9" s="1"/>
  <c r="AD220" i="9"/>
  <c r="AE220" i="9" s="1"/>
  <c r="AD221" i="9"/>
  <c r="AE221" i="9" s="1"/>
  <c r="AD222" i="9"/>
  <c r="AE222" i="9" s="1"/>
  <c r="AD223" i="9"/>
  <c r="AE223" i="9" s="1"/>
  <c r="AD224" i="9"/>
  <c r="AE224" i="9" s="1"/>
  <c r="AD225" i="9"/>
  <c r="AE225" i="9" s="1"/>
  <c r="AD226" i="9"/>
  <c r="AE226" i="9" s="1"/>
  <c r="AD227" i="9"/>
  <c r="AE227" i="9" s="1"/>
  <c r="AD228" i="9"/>
  <c r="AE228" i="9" s="1"/>
  <c r="AD229" i="9"/>
  <c r="AE229" i="9" s="1"/>
  <c r="AD230" i="9"/>
  <c r="AE230" i="9" s="1"/>
  <c r="AD231" i="9"/>
  <c r="AE231" i="9" s="1"/>
  <c r="AD232" i="9"/>
  <c r="AE232" i="9" s="1"/>
  <c r="AD233" i="9"/>
  <c r="AE233" i="9" s="1"/>
  <c r="AD234" i="9"/>
  <c r="AE234" i="9" s="1"/>
  <c r="AD235" i="9"/>
  <c r="AE235" i="9" s="1"/>
  <c r="AD236" i="9"/>
  <c r="AE236" i="9" s="1"/>
  <c r="AD237" i="9"/>
  <c r="AE237" i="9" s="1"/>
  <c r="AD238" i="9"/>
  <c r="AE238" i="9" s="1"/>
  <c r="AD239" i="9"/>
  <c r="AE239" i="9" s="1"/>
  <c r="AD240" i="9"/>
  <c r="AE240" i="9" s="1"/>
  <c r="AD241" i="9"/>
  <c r="AE241" i="9" s="1"/>
  <c r="AD242" i="9"/>
  <c r="AE242" i="9" s="1"/>
  <c r="AD243" i="9"/>
  <c r="AE243" i="9" s="1"/>
  <c r="AD244" i="9"/>
  <c r="AE244" i="9" s="1"/>
  <c r="AD245" i="9"/>
  <c r="AE245" i="9" s="1"/>
  <c r="AD246" i="9"/>
  <c r="AE246" i="9" s="1"/>
  <c r="AD247" i="9"/>
  <c r="AE247" i="9" s="1"/>
  <c r="AD248" i="9"/>
  <c r="AE248" i="9" s="1"/>
  <c r="AD249" i="9"/>
  <c r="AE249" i="9" s="1"/>
  <c r="AD250" i="9"/>
  <c r="AE250" i="9" s="1"/>
  <c r="AD251" i="9"/>
  <c r="AE251" i="9" s="1"/>
  <c r="AD252" i="9"/>
  <c r="AE252" i="9" s="1"/>
  <c r="AD253" i="9"/>
  <c r="AE253" i="9" s="1"/>
  <c r="AD254" i="9"/>
  <c r="AE254" i="9" s="1"/>
  <c r="AD255" i="9"/>
  <c r="AE255" i="9" s="1"/>
  <c r="AD256" i="9"/>
  <c r="AE256" i="9" s="1"/>
  <c r="AD257" i="9"/>
  <c r="AE257" i="9" s="1"/>
  <c r="AD258" i="9"/>
  <c r="AE258" i="9" s="1"/>
  <c r="AD259" i="9"/>
  <c r="AE259" i="9" s="1"/>
  <c r="AD260" i="9"/>
  <c r="AE260" i="9" s="1"/>
  <c r="AD261" i="9"/>
  <c r="AE261" i="9" s="1"/>
  <c r="AD262" i="9"/>
  <c r="AE262" i="9" s="1"/>
  <c r="AD263" i="9"/>
  <c r="AE263" i="9" s="1"/>
  <c r="AD264" i="9"/>
  <c r="AE264" i="9" s="1"/>
  <c r="AD265" i="9"/>
  <c r="AE265" i="9" s="1"/>
  <c r="AD266" i="9"/>
  <c r="AE266" i="9" s="1"/>
  <c r="AD267" i="9"/>
  <c r="AE267" i="9" s="1"/>
  <c r="AD268" i="9"/>
  <c r="AE268" i="9" s="1"/>
  <c r="AD269" i="9"/>
  <c r="AE269" i="9" s="1"/>
  <c r="AD270" i="9"/>
  <c r="AE270" i="9" s="1"/>
  <c r="AD271" i="9"/>
  <c r="AE271" i="9" s="1"/>
  <c r="AD272" i="9"/>
  <c r="AE272" i="9" s="1"/>
  <c r="AD273" i="9"/>
  <c r="AE273" i="9" s="1"/>
  <c r="AD274" i="9"/>
  <c r="AE274" i="9" s="1"/>
  <c r="AD275" i="9"/>
  <c r="AE275" i="9" s="1"/>
  <c r="AD276" i="9"/>
  <c r="AE276" i="9" s="1"/>
  <c r="AD277" i="9"/>
  <c r="AE277" i="9" s="1"/>
  <c r="AD278" i="9"/>
  <c r="AE278" i="9" s="1"/>
  <c r="AD279" i="9"/>
  <c r="AE279" i="9" s="1"/>
  <c r="AD280" i="9"/>
  <c r="AE280" i="9" s="1"/>
  <c r="AD281" i="9"/>
  <c r="AE281" i="9" s="1"/>
  <c r="AD282" i="9"/>
  <c r="AE282" i="9" s="1"/>
  <c r="AD283" i="9"/>
  <c r="AE283" i="9" s="1"/>
  <c r="AD284" i="9"/>
  <c r="AE284" i="9" s="1"/>
  <c r="AD285" i="9"/>
  <c r="AE285" i="9" s="1"/>
  <c r="AD286" i="9"/>
  <c r="AE286" i="9" s="1"/>
  <c r="AD287" i="9"/>
  <c r="AE287" i="9" s="1"/>
  <c r="AD288" i="9"/>
  <c r="AE288" i="9" s="1"/>
  <c r="AD289" i="9"/>
  <c r="AE289" i="9" s="1"/>
  <c r="AD290" i="9"/>
  <c r="AE290" i="9" s="1"/>
  <c r="AD291" i="9"/>
  <c r="AE291" i="9" s="1"/>
  <c r="AD292" i="9"/>
  <c r="AE292" i="9" s="1"/>
  <c r="AD293" i="9"/>
  <c r="AE293" i="9" s="1"/>
  <c r="AD294" i="9"/>
  <c r="AE294" i="9" s="1"/>
  <c r="AD295" i="9"/>
  <c r="AE295" i="9" s="1"/>
  <c r="AD296" i="9"/>
  <c r="AE296" i="9" s="1"/>
  <c r="AD297" i="9"/>
  <c r="AE297" i="9" s="1"/>
  <c r="AD298" i="9"/>
  <c r="AE298" i="9" s="1"/>
  <c r="AD299" i="9"/>
  <c r="AE299" i="9" s="1"/>
  <c r="AD300" i="9"/>
  <c r="AE300" i="9" s="1"/>
  <c r="AD301" i="9"/>
  <c r="AE301" i="9" s="1"/>
  <c r="AD302" i="9"/>
  <c r="AE302" i="9" s="1"/>
  <c r="AD303" i="9"/>
  <c r="AE303" i="9" s="1"/>
  <c r="AD304" i="9"/>
  <c r="AE304" i="9" s="1"/>
  <c r="AD305" i="9"/>
  <c r="AE305" i="9" s="1"/>
  <c r="AD306" i="9"/>
  <c r="AE306" i="9" s="1"/>
  <c r="AD307" i="9"/>
  <c r="AE307" i="9" s="1"/>
  <c r="AD308" i="9"/>
  <c r="AE308" i="9" s="1"/>
  <c r="AD309" i="9"/>
  <c r="AE309" i="9" s="1"/>
  <c r="AD310" i="9"/>
  <c r="AE310" i="9" s="1"/>
  <c r="AD311" i="9"/>
  <c r="AE311" i="9" s="1"/>
  <c r="AD312" i="9"/>
  <c r="AE312" i="9" s="1"/>
  <c r="AD313" i="9"/>
  <c r="AE313" i="9" s="1"/>
  <c r="AD314" i="9"/>
  <c r="AE314" i="9" s="1"/>
  <c r="AD315" i="9"/>
  <c r="AE315" i="9" s="1"/>
  <c r="AD316" i="9"/>
  <c r="AE316" i="9" s="1"/>
  <c r="AD317" i="9"/>
  <c r="AE317" i="9" s="1"/>
  <c r="AD318" i="9"/>
  <c r="AE318" i="9" s="1"/>
  <c r="AD319" i="9"/>
  <c r="AE319" i="9" s="1"/>
  <c r="AD320" i="9"/>
  <c r="AE320" i="9" s="1"/>
  <c r="AD321" i="9"/>
  <c r="AE321" i="9" s="1"/>
  <c r="AD322" i="9"/>
  <c r="AE322" i="9" s="1"/>
  <c r="AD323" i="9"/>
  <c r="AE323" i="9" s="1"/>
  <c r="AD324" i="9"/>
  <c r="AE324" i="9" s="1"/>
  <c r="AD325" i="9"/>
  <c r="AE325" i="9" s="1"/>
  <c r="AD326" i="9"/>
  <c r="AE326" i="9" s="1"/>
  <c r="AD327" i="9"/>
  <c r="AE327" i="9" s="1"/>
  <c r="AD328" i="9"/>
  <c r="AE328" i="9" s="1"/>
  <c r="AD329" i="9"/>
  <c r="AE329" i="9" s="1"/>
  <c r="AD330" i="9"/>
  <c r="AE330" i="9" s="1"/>
  <c r="AD331" i="9"/>
  <c r="AE331" i="9" s="1"/>
  <c r="AD332" i="9"/>
  <c r="AE332" i="9" s="1"/>
  <c r="AD333" i="9"/>
  <c r="AE333" i="9" s="1"/>
  <c r="AD334" i="9"/>
  <c r="AE334" i="9" s="1"/>
  <c r="AD335" i="9"/>
  <c r="AE335" i="9" s="1"/>
  <c r="AD336" i="9"/>
  <c r="AE336" i="9" s="1"/>
  <c r="AD337" i="9"/>
  <c r="AE337" i="9" s="1"/>
  <c r="AD338" i="9"/>
  <c r="AE338" i="9" s="1"/>
  <c r="AD339" i="9"/>
  <c r="AE339" i="9" s="1"/>
  <c r="AD340" i="9"/>
  <c r="AE340" i="9" s="1"/>
  <c r="AD341" i="9"/>
  <c r="AE341" i="9" s="1"/>
  <c r="AD342" i="9"/>
  <c r="AE342" i="9" s="1"/>
  <c r="AD343" i="9"/>
  <c r="AE343" i="9" s="1"/>
  <c r="AD344" i="9"/>
  <c r="AE344" i="9" s="1"/>
  <c r="AD345" i="9"/>
  <c r="AE345" i="9" s="1"/>
  <c r="AD346" i="9"/>
  <c r="AE346" i="9" s="1"/>
  <c r="AD347" i="9"/>
  <c r="AE347" i="9" s="1"/>
  <c r="AD348" i="9"/>
  <c r="AE348" i="9" s="1"/>
  <c r="AD349" i="9"/>
  <c r="AE349" i="9" s="1"/>
  <c r="AD350" i="9"/>
  <c r="AE350" i="9" s="1"/>
  <c r="AD351" i="9"/>
  <c r="AE351" i="9" s="1"/>
  <c r="AD352" i="9"/>
  <c r="AE352" i="9" s="1"/>
  <c r="AD353" i="9"/>
  <c r="AE353" i="9" s="1"/>
  <c r="AD354" i="9"/>
  <c r="AE354" i="9" s="1"/>
  <c r="AD355" i="9"/>
  <c r="AE355" i="9" s="1"/>
  <c r="AD356" i="9"/>
  <c r="AE356" i="9" s="1"/>
  <c r="AD357" i="9"/>
  <c r="AE357" i="9" s="1"/>
  <c r="AD358" i="9"/>
  <c r="AE358" i="9" s="1"/>
  <c r="AD359" i="9"/>
  <c r="AE359" i="9" s="1"/>
  <c r="AD360" i="9"/>
  <c r="AE360" i="9" s="1"/>
  <c r="AD361" i="9"/>
  <c r="AE361" i="9" s="1"/>
  <c r="AD362" i="9"/>
  <c r="AE362" i="9" s="1"/>
  <c r="AD363" i="9"/>
  <c r="AE363" i="9" s="1"/>
  <c r="AD364" i="9"/>
  <c r="AE364" i="9" s="1"/>
  <c r="AD365" i="9"/>
  <c r="AE365" i="9" s="1"/>
  <c r="AD366" i="9"/>
  <c r="AE366" i="9" s="1"/>
  <c r="AD367" i="9"/>
  <c r="AE367" i="9" s="1"/>
  <c r="AD368" i="9"/>
  <c r="AE368" i="9" s="1"/>
  <c r="AD369" i="9"/>
  <c r="AE369" i="9" s="1"/>
  <c r="AD370" i="9"/>
  <c r="AE370" i="9" s="1"/>
  <c r="AD371" i="9"/>
  <c r="AE371" i="9" s="1"/>
  <c r="AD372" i="9"/>
  <c r="AE372" i="9" s="1"/>
  <c r="AD373" i="9"/>
  <c r="AE373" i="9" s="1"/>
  <c r="AD374" i="9"/>
  <c r="AE374" i="9" s="1"/>
  <c r="AD375" i="9"/>
  <c r="AE375" i="9" s="1"/>
  <c r="AD376" i="9"/>
  <c r="AE376" i="9" s="1"/>
  <c r="AD377" i="9"/>
  <c r="AE377" i="9" s="1"/>
  <c r="AD378" i="9"/>
  <c r="AE378" i="9" s="1"/>
  <c r="AD379" i="9"/>
  <c r="AE379" i="9" s="1"/>
  <c r="AD380" i="9"/>
  <c r="AE380" i="9" s="1"/>
  <c r="AD381" i="9"/>
  <c r="AE381" i="9" s="1"/>
  <c r="AD382" i="9"/>
  <c r="AE382" i="9" s="1"/>
  <c r="AD383" i="9"/>
  <c r="AE383" i="9" s="1"/>
  <c r="AD384" i="9"/>
  <c r="AE384" i="9" s="1"/>
  <c r="AD385" i="9"/>
  <c r="AE385" i="9" s="1"/>
  <c r="AD386" i="9"/>
  <c r="AE386" i="9" s="1"/>
  <c r="AD387" i="9"/>
  <c r="AE387" i="9" s="1"/>
  <c r="AD388" i="9"/>
  <c r="AE388" i="9" s="1"/>
  <c r="AD389" i="9"/>
  <c r="AE389" i="9" s="1"/>
  <c r="AD390" i="9"/>
  <c r="AE390" i="9" s="1"/>
  <c r="AD391" i="9"/>
  <c r="AE391" i="9" s="1"/>
  <c r="AD392" i="9"/>
  <c r="AE392" i="9" s="1"/>
  <c r="AD393" i="9"/>
  <c r="AE393" i="9" s="1"/>
  <c r="AD394" i="9"/>
  <c r="AE394" i="9" s="1"/>
  <c r="AD395" i="9"/>
  <c r="AE395" i="9" s="1"/>
  <c r="AD396" i="9"/>
  <c r="AE396" i="9" s="1"/>
  <c r="AD397" i="9"/>
  <c r="AE397" i="9" s="1"/>
  <c r="AD398" i="9"/>
  <c r="AE398" i="9" s="1"/>
  <c r="AD399" i="9"/>
  <c r="AE399" i="9" s="1"/>
  <c r="AD400" i="9"/>
  <c r="AE400" i="9" s="1"/>
  <c r="AD401" i="9"/>
  <c r="AE401" i="9" s="1"/>
  <c r="AD402" i="9"/>
  <c r="AE402" i="9" s="1"/>
  <c r="AD403" i="9"/>
  <c r="AE403" i="9" s="1"/>
  <c r="AD404" i="9"/>
  <c r="AE404" i="9" s="1"/>
  <c r="AD405" i="9"/>
  <c r="AE405" i="9" s="1"/>
  <c r="AD406" i="9"/>
  <c r="AE406" i="9" s="1"/>
  <c r="AD407" i="9"/>
  <c r="AE407" i="9" s="1"/>
  <c r="AD408" i="9"/>
  <c r="AE408" i="9" s="1"/>
  <c r="AD409" i="9"/>
  <c r="AE409" i="9" s="1"/>
  <c r="AD410" i="9"/>
  <c r="AE410" i="9" s="1"/>
  <c r="AD411" i="9"/>
  <c r="AE411" i="9" s="1"/>
  <c r="AD412" i="9"/>
  <c r="AE412" i="9" s="1"/>
  <c r="AD413" i="9"/>
  <c r="AE413" i="9" s="1"/>
  <c r="AD414" i="9"/>
  <c r="AE414" i="9" s="1"/>
  <c r="AD415" i="9"/>
  <c r="AE415" i="9" s="1"/>
  <c r="AD416" i="9"/>
  <c r="AE416" i="9" s="1"/>
  <c r="AD417" i="9"/>
  <c r="AE417" i="9" s="1"/>
  <c r="AD418" i="9"/>
  <c r="AE418" i="9" s="1"/>
  <c r="AD419" i="9"/>
  <c r="AE419" i="9" s="1"/>
  <c r="AD420" i="9"/>
  <c r="AE420" i="9" s="1"/>
  <c r="AD421" i="9"/>
  <c r="AE421" i="9" s="1"/>
  <c r="AD422" i="9"/>
  <c r="AE422" i="9" s="1"/>
  <c r="AD423" i="9"/>
  <c r="AE423" i="9" s="1"/>
  <c r="AD424" i="9"/>
  <c r="AE424" i="9" s="1"/>
  <c r="AD425" i="9"/>
  <c r="AE425" i="9" s="1"/>
  <c r="AD426" i="9"/>
  <c r="AE426" i="9" s="1"/>
  <c r="AD427" i="9"/>
  <c r="AE427" i="9" s="1"/>
  <c r="AD428" i="9"/>
  <c r="AE428" i="9" s="1"/>
  <c r="AD429" i="9"/>
  <c r="AE429" i="9" s="1"/>
  <c r="AD430" i="9"/>
  <c r="AE430" i="9" s="1"/>
  <c r="AD431" i="9"/>
  <c r="AE431" i="9" s="1"/>
  <c r="AD432" i="9"/>
  <c r="AE432" i="9" s="1"/>
  <c r="AD433" i="9"/>
  <c r="AE433" i="9" s="1"/>
  <c r="AD434" i="9"/>
  <c r="AE434" i="9" s="1"/>
  <c r="AD435" i="9"/>
  <c r="AE435" i="9" s="1"/>
  <c r="AD436" i="9"/>
  <c r="AE436" i="9" s="1"/>
  <c r="AD437" i="9"/>
  <c r="AE437" i="9" s="1"/>
  <c r="AD438" i="9"/>
  <c r="AE438" i="9" s="1"/>
  <c r="AD439" i="9"/>
  <c r="AE439" i="9" s="1"/>
  <c r="AD440" i="9"/>
  <c r="AE440" i="9" s="1"/>
  <c r="AD441" i="9"/>
  <c r="AE441" i="9" s="1"/>
  <c r="AD442" i="9"/>
  <c r="AE442" i="9" s="1"/>
  <c r="AD443" i="9"/>
  <c r="AE443" i="9" s="1"/>
  <c r="AD444" i="9"/>
  <c r="AE444" i="9" s="1"/>
  <c r="AD445" i="9"/>
  <c r="AE445" i="9" s="1"/>
  <c r="AD446" i="9"/>
  <c r="AE446" i="9" s="1"/>
  <c r="AD447" i="9"/>
  <c r="AE447" i="9" s="1"/>
  <c r="AD448" i="9"/>
  <c r="AE448" i="9" s="1"/>
  <c r="AD449" i="9"/>
  <c r="AE449" i="9" s="1"/>
  <c r="AD450" i="9"/>
  <c r="AE450" i="9" s="1"/>
  <c r="AD451" i="9"/>
  <c r="AE451" i="9" s="1"/>
  <c r="AD452" i="9"/>
  <c r="AE452" i="9" s="1"/>
  <c r="AD453" i="9"/>
  <c r="AE453" i="9" s="1"/>
  <c r="AD454" i="9"/>
  <c r="AE454" i="9" s="1"/>
  <c r="AD455" i="9"/>
  <c r="AE455" i="9" s="1"/>
  <c r="AD456" i="9"/>
  <c r="AE456" i="9" s="1"/>
  <c r="AD457" i="9"/>
  <c r="AE457" i="9" s="1"/>
  <c r="AD458" i="9"/>
  <c r="AE458" i="9" s="1"/>
  <c r="AD459" i="9"/>
  <c r="AE459" i="9" s="1"/>
  <c r="AD460" i="9"/>
  <c r="AE460" i="9" s="1"/>
  <c r="AD461" i="9"/>
  <c r="AE461" i="9" s="1"/>
  <c r="AD462" i="9"/>
  <c r="AE462" i="9" s="1"/>
  <c r="AD463" i="9"/>
  <c r="AE463" i="9" s="1"/>
  <c r="AD464" i="9"/>
  <c r="AE464" i="9" s="1"/>
  <c r="AD465" i="9"/>
  <c r="AE465" i="9" s="1"/>
  <c r="AD466" i="9"/>
  <c r="AE466" i="9" s="1"/>
  <c r="AD467" i="9"/>
  <c r="AE467" i="9" s="1"/>
  <c r="AD468" i="9"/>
  <c r="AE468" i="9" s="1"/>
  <c r="AD469" i="9"/>
  <c r="AE469" i="9" s="1"/>
  <c r="AD470" i="9"/>
  <c r="AE470" i="9" s="1"/>
  <c r="AD471" i="9"/>
  <c r="AE471" i="9" s="1"/>
  <c r="AD472" i="9"/>
  <c r="AE472" i="9" s="1"/>
  <c r="AD473" i="9"/>
  <c r="AE473" i="9" s="1"/>
  <c r="AD474" i="9"/>
  <c r="AE474" i="9" s="1"/>
  <c r="AD475" i="9"/>
  <c r="AE475" i="9" s="1"/>
  <c r="AD476" i="9"/>
  <c r="AE476" i="9" s="1"/>
  <c r="AD477" i="9"/>
  <c r="AE477" i="9" s="1"/>
  <c r="AD478" i="9"/>
  <c r="AE478" i="9" s="1"/>
  <c r="AD479" i="9"/>
  <c r="AE479" i="9" s="1"/>
  <c r="AD480" i="9"/>
  <c r="AE480" i="9" s="1"/>
  <c r="AD481" i="9"/>
  <c r="AE481" i="9" s="1"/>
  <c r="AD482" i="9"/>
  <c r="AE482" i="9" s="1"/>
  <c r="AD483" i="9"/>
  <c r="AE483" i="9" s="1"/>
  <c r="AD484" i="9"/>
  <c r="AE484" i="9" s="1"/>
  <c r="AD485" i="9"/>
  <c r="AE485" i="9" s="1"/>
  <c r="AD486" i="9"/>
  <c r="AE486" i="9" s="1"/>
  <c r="AD487" i="9"/>
  <c r="AE487" i="9" s="1"/>
  <c r="AD488" i="9"/>
  <c r="AE488" i="9" s="1"/>
  <c r="AD489" i="9"/>
  <c r="AE489" i="9" s="1"/>
  <c r="AD490" i="9"/>
  <c r="AE490" i="9" s="1"/>
  <c r="AD491" i="9"/>
  <c r="AE491" i="9" s="1"/>
  <c r="AD492" i="9"/>
  <c r="AE492" i="9" s="1"/>
  <c r="AD493" i="9"/>
  <c r="AE493" i="9" s="1"/>
  <c r="AD494" i="9"/>
  <c r="AE494" i="9" s="1"/>
  <c r="AD495" i="9"/>
  <c r="AE495" i="9" s="1"/>
  <c r="AD496" i="9"/>
  <c r="AE496" i="9" s="1"/>
  <c r="AD497" i="9"/>
  <c r="AE497" i="9" s="1"/>
  <c r="AD498" i="9"/>
  <c r="AE498" i="9" s="1"/>
  <c r="AD499" i="9"/>
  <c r="AE499" i="9" s="1"/>
  <c r="AD500" i="9"/>
  <c r="AE500" i="9" s="1"/>
  <c r="AD501" i="9"/>
  <c r="AE501" i="9" s="1"/>
  <c r="AD502" i="9"/>
  <c r="AE502" i="9" s="1"/>
  <c r="AD503" i="9"/>
  <c r="AE503" i="9" s="1"/>
  <c r="AD504" i="9"/>
  <c r="AE504" i="9" s="1"/>
  <c r="AD505" i="9"/>
  <c r="AE505" i="9" s="1"/>
  <c r="AD506" i="9"/>
  <c r="AE506" i="9" s="1"/>
  <c r="AD507" i="9"/>
  <c r="AE507" i="9" s="1"/>
  <c r="AD508" i="9"/>
  <c r="AE508" i="9" s="1"/>
  <c r="AD509" i="9"/>
  <c r="AE509" i="9" s="1"/>
  <c r="AD510" i="9"/>
  <c r="AE510" i="9" s="1"/>
  <c r="AD511" i="9"/>
  <c r="AE511" i="9" s="1"/>
  <c r="AD512" i="9"/>
  <c r="AE512" i="9" s="1"/>
  <c r="AD513" i="9"/>
  <c r="AE513" i="9" s="1"/>
  <c r="AD514" i="9"/>
  <c r="AE514" i="9" s="1"/>
  <c r="AD515" i="9"/>
  <c r="AE515" i="9" s="1"/>
  <c r="AD516" i="9"/>
  <c r="AE516" i="9" s="1"/>
  <c r="AD517" i="9"/>
  <c r="AE517" i="9" s="1"/>
  <c r="AD518" i="9"/>
  <c r="AE518" i="9" s="1"/>
  <c r="AD519" i="9"/>
  <c r="AE519" i="9" s="1"/>
  <c r="AD520" i="9"/>
  <c r="AE520" i="9" s="1"/>
  <c r="AD521" i="9"/>
  <c r="AE521" i="9" s="1"/>
  <c r="AD522" i="9"/>
  <c r="AE522" i="9" s="1"/>
  <c r="AD523" i="9"/>
  <c r="AE523" i="9" s="1"/>
  <c r="AD524" i="9"/>
  <c r="AE524" i="9" s="1"/>
  <c r="AD525" i="9"/>
  <c r="AE525" i="9" s="1"/>
  <c r="AD526" i="9"/>
  <c r="AE526" i="9" s="1"/>
  <c r="AD527" i="9"/>
  <c r="AE527" i="9" s="1"/>
  <c r="AD528" i="9"/>
  <c r="AE528" i="9" s="1"/>
  <c r="AD529" i="9"/>
  <c r="AE529" i="9" s="1"/>
  <c r="AD530" i="9"/>
  <c r="AE530" i="9" s="1"/>
  <c r="AD531" i="9"/>
  <c r="AE531" i="9" s="1"/>
  <c r="AD532" i="9"/>
  <c r="AE532" i="9" s="1"/>
  <c r="AD533" i="9"/>
  <c r="AE533" i="9" s="1"/>
  <c r="AD534" i="9"/>
  <c r="AE534" i="9" s="1"/>
  <c r="AD535" i="9"/>
  <c r="AE535" i="9" s="1"/>
  <c r="AD536" i="9"/>
  <c r="AE536" i="9" s="1"/>
  <c r="AD537" i="9"/>
  <c r="AE537" i="9" s="1"/>
  <c r="AD538" i="9"/>
  <c r="AE538" i="9" s="1"/>
  <c r="AD539" i="9"/>
  <c r="AE539" i="9" s="1"/>
  <c r="AD540" i="9"/>
  <c r="AE540" i="9" s="1"/>
  <c r="AD541" i="9"/>
  <c r="AE541" i="9" s="1"/>
  <c r="AD542" i="9"/>
  <c r="AE542" i="9" s="1"/>
  <c r="AD543" i="9"/>
  <c r="AE543" i="9" s="1"/>
  <c r="AD544" i="9"/>
  <c r="AE544" i="9" s="1"/>
  <c r="AD545" i="9"/>
  <c r="AE545" i="9" s="1"/>
  <c r="AD546" i="9"/>
  <c r="AE546" i="9" s="1"/>
  <c r="AD547" i="9"/>
  <c r="AE547" i="9" s="1"/>
  <c r="AD548" i="9"/>
  <c r="AE548" i="9" s="1"/>
  <c r="AD549" i="9"/>
  <c r="AE549" i="9" s="1"/>
  <c r="AD550" i="9"/>
  <c r="AE550" i="9" s="1"/>
  <c r="AD551" i="9"/>
  <c r="AE551" i="9" s="1"/>
  <c r="AD552" i="9"/>
  <c r="AE552" i="9" s="1"/>
  <c r="AD553" i="9"/>
  <c r="AE553" i="9" s="1"/>
  <c r="AD554" i="9"/>
  <c r="AE554" i="9" s="1"/>
  <c r="AD555" i="9"/>
  <c r="AE555" i="9" s="1"/>
  <c r="AD556" i="9"/>
  <c r="AE556" i="9" s="1"/>
  <c r="AD557" i="9"/>
  <c r="AE557" i="9" s="1"/>
  <c r="AD558" i="9"/>
  <c r="AE558" i="9" s="1"/>
  <c r="AD559" i="9"/>
  <c r="AE559" i="9" s="1"/>
  <c r="AD560" i="9"/>
  <c r="AE560" i="9" s="1"/>
  <c r="AD561" i="9"/>
  <c r="AE561" i="9" s="1"/>
  <c r="AD562" i="9"/>
  <c r="AE562" i="9" s="1"/>
  <c r="AD563" i="9"/>
  <c r="AE563" i="9" s="1"/>
  <c r="AD564" i="9"/>
  <c r="AE564" i="9" s="1"/>
  <c r="AD565" i="9"/>
  <c r="AE565" i="9" s="1"/>
  <c r="AD566" i="9"/>
  <c r="AE566" i="9" s="1"/>
  <c r="AD567" i="9"/>
  <c r="AE567" i="9" s="1"/>
  <c r="AD568" i="9"/>
  <c r="AE568" i="9" s="1"/>
  <c r="AD569" i="9"/>
  <c r="AE569" i="9" s="1"/>
  <c r="AD570" i="9"/>
  <c r="AE570" i="9" s="1"/>
  <c r="AD571" i="9"/>
  <c r="AE571" i="9" s="1"/>
  <c r="AD572" i="9"/>
  <c r="AE572" i="9" s="1"/>
  <c r="AD573" i="9"/>
  <c r="AE573" i="9" s="1"/>
  <c r="AD574" i="9"/>
  <c r="AE574" i="9" s="1"/>
  <c r="AD575" i="9"/>
  <c r="AE575" i="9" s="1"/>
  <c r="AD576" i="9"/>
  <c r="AE576" i="9" s="1"/>
  <c r="AD577" i="9"/>
  <c r="AE577" i="9" s="1"/>
  <c r="AD578" i="9"/>
  <c r="AE578" i="9" s="1"/>
  <c r="AD579" i="9"/>
  <c r="AE579" i="9" s="1"/>
  <c r="AD580" i="9"/>
  <c r="AE580" i="9" s="1"/>
  <c r="AD581" i="9"/>
  <c r="AE581" i="9" s="1"/>
  <c r="AD582" i="9"/>
  <c r="AE582" i="9" s="1"/>
  <c r="AD583" i="9"/>
  <c r="AE583" i="9" s="1"/>
  <c r="AD584" i="9"/>
  <c r="AE584" i="9" s="1"/>
  <c r="AD585" i="9"/>
  <c r="AE585" i="9" s="1"/>
  <c r="AD586" i="9"/>
  <c r="AE586" i="9" s="1"/>
  <c r="AD587" i="9"/>
  <c r="AE587" i="9" s="1"/>
  <c r="AD588" i="9"/>
  <c r="AE588" i="9" s="1"/>
  <c r="AD589" i="9"/>
  <c r="AE589" i="9" s="1"/>
  <c r="AD590" i="9"/>
  <c r="AE590" i="9" s="1"/>
  <c r="AD591" i="9"/>
  <c r="AE591" i="9" s="1"/>
  <c r="AD592" i="9"/>
  <c r="AE592" i="9" s="1"/>
  <c r="AD593" i="9"/>
  <c r="AE593" i="9" s="1"/>
  <c r="AD594" i="9"/>
  <c r="AE594" i="9" s="1"/>
  <c r="AD595" i="9"/>
  <c r="AE595" i="9" s="1"/>
  <c r="AD596" i="9"/>
  <c r="AE596" i="9" s="1"/>
  <c r="AD597" i="9"/>
  <c r="AE597" i="9" s="1"/>
  <c r="AD598" i="9"/>
  <c r="AE598" i="9" s="1"/>
  <c r="AD599" i="9"/>
  <c r="AE599" i="9" s="1"/>
  <c r="AD600" i="9"/>
  <c r="AE600" i="9" s="1"/>
  <c r="AD601" i="9"/>
  <c r="AE601" i="9" s="1"/>
  <c r="AD602" i="9"/>
  <c r="AE602" i="9" s="1"/>
  <c r="AD603" i="9"/>
  <c r="AE603" i="9" s="1"/>
  <c r="AD604" i="9"/>
  <c r="AE604" i="9" s="1"/>
  <c r="AD605" i="9"/>
  <c r="AE605" i="9" s="1"/>
  <c r="AD606" i="9"/>
  <c r="AE606" i="9" s="1"/>
  <c r="AD607" i="9"/>
  <c r="AE607" i="9" s="1"/>
  <c r="AD608" i="9"/>
  <c r="AE608" i="9" s="1"/>
  <c r="AD609" i="9"/>
  <c r="AE609" i="9" s="1"/>
  <c r="AD610" i="9"/>
  <c r="AE610" i="9" s="1"/>
  <c r="AD611" i="9"/>
  <c r="AE611" i="9" s="1"/>
  <c r="AD612" i="9"/>
  <c r="AE612" i="9" s="1"/>
  <c r="AD613" i="9"/>
  <c r="AE613" i="9" s="1"/>
  <c r="AD614" i="9"/>
  <c r="AE614" i="9" s="1"/>
  <c r="AD615" i="9"/>
  <c r="AE615" i="9" s="1"/>
  <c r="AD616" i="9"/>
  <c r="AE616" i="9" s="1"/>
  <c r="AD617" i="9"/>
  <c r="AE617" i="9" s="1"/>
  <c r="AD618" i="9"/>
  <c r="AE618" i="9" s="1"/>
  <c r="AD619" i="9"/>
  <c r="AE619" i="9" s="1"/>
  <c r="AD620" i="9"/>
  <c r="AE620" i="9" s="1"/>
  <c r="AD621" i="9"/>
  <c r="AE621" i="9" s="1"/>
  <c r="AD622" i="9"/>
  <c r="AE622" i="9" s="1"/>
  <c r="AD623" i="9"/>
  <c r="AE623" i="9" s="1"/>
  <c r="AD624" i="9"/>
  <c r="AE624" i="9" s="1"/>
  <c r="AD625" i="9"/>
  <c r="AE625" i="9" s="1"/>
  <c r="AD626" i="9"/>
  <c r="AE626" i="9" s="1"/>
  <c r="AD627" i="9"/>
  <c r="AE627" i="9" s="1"/>
  <c r="AD628" i="9"/>
  <c r="AE628" i="9" s="1"/>
  <c r="AD629" i="9"/>
  <c r="AE629" i="9" s="1"/>
  <c r="AD630" i="9"/>
  <c r="AE630" i="9" s="1"/>
  <c r="AD631" i="9"/>
  <c r="AE631" i="9" s="1"/>
  <c r="AD632" i="9"/>
  <c r="AE632" i="9" s="1"/>
  <c r="AD633" i="9"/>
  <c r="AE633" i="9" s="1"/>
  <c r="AD634" i="9"/>
  <c r="AE634" i="9" s="1"/>
  <c r="AD635" i="9"/>
  <c r="AE635" i="9" s="1"/>
  <c r="AD636" i="9"/>
  <c r="AE636" i="9" s="1"/>
  <c r="AD637" i="9"/>
  <c r="AE637" i="9" s="1"/>
  <c r="AD638" i="9"/>
  <c r="AE638" i="9" s="1"/>
  <c r="AD639" i="9"/>
  <c r="AE639" i="9" s="1"/>
  <c r="AD640" i="9"/>
  <c r="AE640" i="9" s="1"/>
  <c r="AD641" i="9"/>
  <c r="AE641" i="9" s="1"/>
  <c r="AD642" i="9"/>
  <c r="AE642" i="9" s="1"/>
  <c r="AD643" i="9"/>
  <c r="AE643" i="9" s="1"/>
  <c r="AD644" i="9"/>
  <c r="AE644" i="9" s="1"/>
  <c r="AD645" i="9"/>
  <c r="AE645" i="9" s="1"/>
  <c r="AD646" i="9"/>
  <c r="AE646" i="9" s="1"/>
  <c r="AD647" i="9"/>
  <c r="AE647" i="9" s="1"/>
  <c r="AD648" i="9"/>
  <c r="AE648" i="9" s="1"/>
  <c r="AD649" i="9"/>
  <c r="AE649" i="9" s="1"/>
  <c r="AD650" i="9"/>
  <c r="AE650" i="9" s="1"/>
  <c r="AD651" i="9"/>
  <c r="AE651" i="9" s="1"/>
  <c r="AD652" i="9"/>
  <c r="AE652" i="9" s="1"/>
  <c r="AD653" i="9"/>
  <c r="AE653" i="9" s="1"/>
  <c r="AD654" i="9"/>
  <c r="AE654" i="9" s="1"/>
  <c r="AD655" i="9"/>
  <c r="AE655" i="9" s="1"/>
  <c r="AD656" i="9"/>
  <c r="AE656" i="9" s="1"/>
  <c r="AD657" i="9"/>
  <c r="AE657" i="9" s="1"/>
  <c r="AD658" i="9"/>
  <c r="AE658" i="9" s="1"/>
  <c r="AD659" i="9"/>
  <c r="AE659" i="9" s="1"/>
  <c r="AD660" i="9"/>
  <c r="AE660" i="9" s="1"/>
  <c r="AD661" i="9"/>
  <c r="AE661" i="9" s="1"/>
  <c r="AD662" i="9"/>
  <c r="AE662" i="9" s="1"/>
  <c r="AD663" i="9"/>
  <c r="AE663" i="9" s="1"/>
  <c r="AD664" i="9"/>
  <c r="AE664" i="9" s="1"/>
  <c r="AD665" i="9"/>
  <c r="AE665" i="9" s="1"/>
  <c r="AD666" i="9"/>
  <c r="AE666" i="9" s="1"/>
  <c r="AD667" i="9"/>
  <c r="AE667" i="9" s="1"/>
  <c r="AD668" i="9"/>
  <c r="AE668" i="9" s="1"/>
  <c r="AD669" i="9"/>
  <c r="AE669" i="9" s="1"/>
  <c r="AD670" i="9"/>
  <c r="AE670" i="9" s="1"/>
  <c r="AD671" i="9"/>
  <c r="AE671" i="9" s="1"/>
  <c r="AD672" i="9"/>
  <c r="AE672" i="9" s="1"/>
  <c r="AD673" i="9"/>
  <c r="AE673" i="9" s="1"/>
  <c r="AD674" i="9"/>
  <c r="AE674" i="9" s="1"/>
  <c r="AD675" i="9"/>
  <c r="AE675" i="9" s="1"/>
  <c r="AD676" i="9"/>
  <c r="AE676" i="9" s="1"/>
  <c r="AD677" i="9"/>
  <c r="AE677" i="9" s="1"/>
  <c r="AD678" i="9"/>
  <c r="AE678" i="9" s="1"/>
  <c r="AD679" i="9"/>
  <c r="AE679" i="9" s="1"/>
  <c r="AD680" i="9"/>
  <c r="AE680" i="9" s="1"/>
  <c r="AD681" i="9"/>
  <c r="AE681" i="9" s="1"/>
  <c r="AD682" i="9"/>
  <c r="AE682" i="9" s="1"/>
  <c r="AD683" i="9"/>
  <c r="AE683" i="9" s="1"/>
  <c r="AD684" i="9"/>
  <c r="AE684" i="9" s="1"/>
  <c r="AD685" i="9"/>
  <c r="AE685" i="9" s="1"/>
  <c r="AD686" i="9"/>
  <c r="AE686" i="9" s="1"/>
  <c r="AD687" i="9"/>
  <c r="AE687" i="9" s="1"/>
  <c r="AD688" i="9"/>
  <c r="AE688" i="9" s="1"/>
  <c r="AD689" i="9"/>
  <c r="AE689" i="9" s="1"/>
  <c r="AD690" i="9"/>
  <c r="AE690" i="9" s="1"/>
  <c r="AD691" i="9"/>
  <c r="AE691" i="9" s="1"/>
  <c r="AD692" i="9"/>
  <c r="AE692" i="9" s="1"/>
  <c r="AD693" i="9"/>
  <c r="AE693" i="9" s="1"/>
  <c r="AD694" i="9"/>
  <c r="AE694" i="9" s="1"/>
  <c r="AD695" i="9"/>
  <c r="AE695" i="9" s="1"/>
  <c r="AD696" i="9"/>
  <c r="AE696" i="9" s="1"/>
  <c r="AD697" i="9"/>
  <c r="AE697" i="9" s="1"/>
  <c r="AD698" i="9"/>
  <c r="AE698" i="9" s="1"/>
  <c r="AD699" i="9"/>
  <c r="AE699" i="9" s="1"/>
  <c r="AD700" i="9"/>
  <c r="AE700" i="9" s="1"/>
  <c r="AD701" i="9"/>
  <c r="AE701" i="9" s="1"/>
  <c r="AD702" i="9"/>
  <c r="AE702" i="9" s="1"/>
  <c r="AD703" i="9"/>
  <c r="AE703" i="9" s="1"/>
  <c r="AD704" i="9"/>
  <c r="AE704" i="9" s="1"/>
  <c r="AD705" i="9"/>
  <c r="AE705" i="9" s="1"/>
  <c r="AD706" i="9"/>
  <c r="AE706" i="9" s="1"/>
  <c r="AD707" i="9"/>
  <c r="AE707" i="9" s="1"/>
  <c r="AD708" i="9"/>
  <c r="AE708" i="9" s="1"/>
  <c r="AD709" i="9"/>
  <c r="AE709" i="9" s="1"/>
  <c r="AD710" i="9"/>
  <c r="AE710" i="9" s="1"/>
  <c r="AD711" i="9"/>
  <c r="AE711" i="9" s="1"/>
  <c r="AD712" i="9"/>
  <c r="AE712" i="9" s="1"/>
  <c r="AD713" i="9"/>
  <c r="AE713" i="9" s="1"/>
  <c r="AD714" i="9"/>
  <c r="AE714" i="9" s="1"/>
  <c r="AD715" i="9"/>
  <c r="AE715" i="9" s="1"/>
  <c r="AD716" i="9"/>
  <c r="AE716" i="9" s="1"/>
  <c r="AD717" i="9"/>
  <c r="AE717" i="9" s="1"/>
  <c r="AD718" i="9"/>
  <c r="AE718" i="9" s="1"/>
  <c r="AD719" i="9"/>
  <c r="AE719" i="9" s="1"/>
  <c r="AD720" i="9"/>
  <c r="AE720" i="9" s="1"/>
  <c r="AD721" i="9"/>
  <c r="AE721" i="9" s="1"/>
  <c r="AD722" i="9"/>
  <c r="AE722" i="9" s="1"/>
  <c r="AD723" i="9"/>
  <c r="AE723" i="9" s="1"/>
  <c r="AD724" i="9"/>
  <c r="AE724" i="9" s="1"/>
  <c r="AD725" i="9"/>
  <c r="AE725" i="9" s="1"/>
  <c r="AD726" i="9"/>
  <c r="AE726" i="9" s="1"/>
  <c r="AD727" i="9"/>
  <c r="AE727" i="9" s="1"/>
  <c r="AD728" i="9"/>
  <c r="AE728" i="9" s="1"/>
  <c r="AD729" i="9"/>
  <c r="AE729" i="9" s="1"/>
  <c r="AD730" i="9"/>
  <c r="AE730" i="9" s="1"/>
  <c r="AD731" i="9"/>
  <c r="AE731" i="9" s="1"/>
  <c r="AD12" i="9"/>
  <c r="AE12" i="9" s="1"/>
  <c r="V6" i="9"/>
  <c r="U6" i="9"/>
  <c r="W6" i="9" s="1"/>
  <c r="T6" i="9"/>
  <c r="U87" i="9"/>
  <c r="V87" i="9"/>
  <c r="U88" i="9"/>
  <c r="V88" i="9"/>
  <c r="U89" i="9"/>
  <c r="V89" i="9"/>
  <c r="U90" i="9"/>
  <c r="V90" i="9"/>
  <c r="U91" i="9"/>
  <c r="V91" i="9"/>
  <c r="U92" i="9"/>
  <c r="V92" i="9"/>
  <c r="U93" i="9"/>
  <c r="V93" i="9"/>
  <c r="U94" i="9"/>
  <c r="V94" i="9"/>
  <c r="U95" i="9"/>
  <c r="V95" i="9"/>
  <c r="U96" i="9"/>
  <c r="V96" i="9"/>
  <c r="U97" i="9"/>
  <c r="V97" i="9"/>
  <c r="U98" i="9"/>
  <c r="V98" i="9"/>
  <c r="U99" i="9"/>
  <c r="V99" i="9"/>
  <c r="U100" i="9"/>
  <c r="V100" i="9"/>
  <c r="U101" i="9"/>
  <c r="V101" i="9"/>
  <c r="U102" i="9"/>
  <c r="V102" i="9"/>
  <c r="U103" i="9"/>
  <c r="V103" i="9"/>
  <c r="U104" i="9"/>
  <c r="V104" i="9"/>
  <c r="U105" i="9"/>
  <c r="V105" i="9"/>
  <c r="U106" i="9"/>
  <c r="V106" i="9"/>
  <c r="U107" i="9"/>
  <c r="V107" i="9"/>
  <c r="U108" i="9"/>
  <c r="V108" i="9"/>
  <c r="U109" i="9"/>
  <c r="V109" i="9"/>
  <c r="U110" i="9"/>
  <c r="V110" i="9"/>
  <c r="U111" i="9"/>
  <c r="V111" i="9"/>
  <c r="U112" i="9"/>
  <c r="V112" i="9"/>
  <c r="U113" i="9"/>
  <c r="V113" i="9"/>
  <c r="U114" i="9"/>
  <c r="V114" i="9"/>
  <c r="U115" i="9"/>
  <c r="V115" i="9"/>
  <c r="U116" i="9"/>
  <c r="V116" i="9"/>
  <c r="U117" i="9"/>
  <c r="V117" i="9"/>
  <c r="U118" i="9"/>
  <c r="V118" i="9"/>
  <c r="U119" i="9"/>
  <c r="V119" i="9"/>
  <c r="U120" i="9"/>
  <c r="V120" i="9"/>
  <c r="U121" i="9"/>
  <c r="V121" i="9"/>
  <c r="U122" i="9"/>
  <c r="V122" i="9"/>
  <c r="U123" i="9"/>
  <c r="V123" i="9"/>
  <c r="U124" i="9"/>
  <c r="V124" i="9"/>
  <c r="U125" i="9"/>
  <c r="V125" i="9"/>
  <c r="U126" i="9"/>
  <c r="V126" i="9"/>
  <c r="U127" i="9"/>
  <c r="V127" i="9"/>
  <c r="U128" i="9"/>
  <c r="V128" i="9"/>
  <c r="U129" i="9"/>
  <c r="V129" i="9"/>
  <c r="U130" i="9"/>
  <c r="V130" i="9"/>
  <c r="U131" i="9"/>
  <c r="V131" i="9"/>
  <c r="U132" i="9"/>
  <c r="V132" i="9"/>
  <c r="U133" i="9"/>
  <c r="V133" i="9"/>
  <c r="U134" i="9"/>
  <c r="V134" i="9"/>
  <c r="U135" i="9"/>
  <c r="V135" i="9"/>
  <c r="U136" i="9"/>
  <c r="V136" i="9"/>
  <c r="U137" i="9"/>
  <c r="V137" i="9"/>
  <c r="U138" i="9"/>
  <c r="V138" i="9"/>
  <c r="U139" i="9"/>
  <c r="V139" i="9"/>
  <c r="U140" i="9"/>
  <c r="V140" i="9"/>
  <c r="U141" i="9"/>
  <c r="V141" i="9"/>
  <c r="U142" i="9"/>
  <c r="V142" i="9"/>
  <c r="U143" i="9"/>
  <c r="V143" i="9"/>
  <c r="U144" i="9"/>
  <c r="V144" i="9"/>
  <c r="U145" i="9"/>
  <c r="V145" i="9"/>
  <c r="U146" i="9"/>
  <c r="V146" i="9"/>
  <c r="U147" i="9"/>
  <c r="V147" i="9"/>
  <c r="U148" i="9"/>
  <c r="V148" i="9"/>
  <c r="U149" i="9"/>
  <c r="V149" i="9"/>
  <c r="U150" i="9"/>
  <c r="V150" i="9"/>
  <c r="U151" i="9"/>
  <c r="V151" i="9"/>
  <c r="U152" i="9"/>
  <c r="V152" i="9"/>
  <c r="U153" i="9"/>
  <c r="V153" i="9"/>
  <c r="U154" i="9"/>
  <c r="V154" i="9"/>
  <c r="U155" i="9"/>
  <c r="V155" i="9"/>
  <c r="U156" i="9"/>
  <c r="V156" i="9"/>
  <c r="U157" i="9"/>
  <c r="V157" i="9"/>
  <c r="U158" i="9"/>
  <c r="V158" i="9"/>
  <c r="U159" i="9"/>
  <c r="V159" i="9"/>
  <c r="U160" i="9"/>
  <c r="V160" i="9"/>
  <c r="U161" i="9"/>
  <c r="V161" i="9"/>
  <c r="U162" i="9"/>
  <c r="V162" i="9"/>
  <c r="U163" i="9"/>
  <c r="V163" i="9"/>
  <c r="U164" i="9"/>
  <c r="V164" i="9"/>
  <c r="U165" i="9"/>
  <c r="V165" i="9"/>
  <c r="U166" i="9"/>
  <c r="V166" i="9"/>
  <c r="U167" i="9"/>
  <c r="V167" i="9"/>
  <c r="U168" i="9"/>
  <c r="V168" i="9"/>
  <c r="U169" i="9"/>
  <c r="V169" i="9"/>
  <c r="U170" i="9"/>
  <c r="V170" i="9"/>
  <c r="U171" i="9"/>
  <c r="V171" i="9"/>
  <c r="U172" i="9"/>
  <c r="V172" i="9"/>
  <c r="U173" i="9"/>
  <c r="V173" i="9"/>
  <c r="U174" i="9"/>
  <c r="V174" i="9"/>
  <c r="U175" i="9"/>
  <c r="V175" i="9"/>
  <c r="U176" i="9"/>
  <c r="V176" i="9"/>
  <c r="U177" i="9"/>
  <c r="V177" i="9"/>
  <c r="U178" i="9"/>
  <c r="V178" i="9"/>
  <c r="U179" i="9"/>
  <c r="V179" i="9"/>
  <c r="U180" i="9"/>
  <c r="V180" i="9"/>
  <c r="U181" i="9"/>
  <c r="V181" i="9"/>
  <c r="U182" i="9"/>
  <c r="V182" i="9"/>
  <c r="U183" i="9"/>
  <c r="V183" i="9"/>
  <c r="U184" i="9"/>
  <c r="V184" i="9"/>
  <c r="U185" i="9"/>
  <c r="V185" i="9"/>
  <c r="U186" i="9"/>
  <c r="V186" i="9"/>
  <c r="U187" i="9"/>
  <c r="V187" i="9"/>
  <c r="U188" i="9"/>
  <c r="V188" i="9"/>
  <c r="U189" i="9"/>
  <c r="V189" i="9"/>
  <c r="U190" i="9"/>
  <c r="V190" i="9"/>
  <c r="U191" i="9"/>
  <c r="V191" i="9"/>
  <c r="U192" i="9"/>
  <c r="V192" i="9"/>
  <c r="U193" i="9"/>
  <c r="V193" i="9"/>
  <c r="U194" i="9"/>
  <c r="V194" i="9"/>
  <c r="U195" i="9"/>
  <c r="V195" i="9"/>
  <c r="U196" i="9"/>
  <c r="V196" i="9"/>
  <c r="U197" i="9"/>
  <c r="V197" i="9"/>
  <c r="U198" i="9"/>
  <c r="V198" i="9"/>
  <c r="U199" i="9"/>
  <c r="V199" i="9"/>
  <c r="U200" i="9"/>
  <c r="V200" i="9"/>
  <c r="U201" i="9"/>
  <c r="V201" i="9"/>
  <c r="U202" i="9"/>
  <c r="V202" i="9"/>
  <c r="U203" i="9"/>
  <c r="V203" i="9"/>
  <c r="U204" i="9"/>
  <c r="V204" i="9"/>
  <c r="U205" i="9"/>
  <c r="V205" i="9"/>
  <c r="U206" i="9"/>
  <c r="V206" i="9"/>
  <c r="U207" i="9"/>
  <c r="V207" i="9"/>
  <c r="U208" i="9"/>
  <c r="V208" i="9"/>
  <c r="U209" i="9"/>
  <c r="V209" i="9"/>
  <c r="U210" i="9"/>
  <c r="V210" i="9"/>
  <c r="U211" i="9"/>
  <c r="V211" i="9"/>
  <c r="U212" i="9"/>
  <c r="V212" i="9"/>
  <c r="U213" i="9"/>
  <c r="V213" i="9"/>
  <c r="U214" i="9"/>
  <c r="V214" i="9"/>
  <c r="U215" i="9"/>
  <c r="V215" i="9"/>
  <c r="U216" i="9"/>
  <c r="V216" i="9"/>
  <c r="U217" i="9"/>
  <c r="V217" i="9"/>
  <c r="U218" i="9"/>
  <c r="V218" i="9"/>
  <c r="U219" i="9"/>
  <c r="V219" i="9"/>
  <c r="U220" i="9"/>
  <c r="V220" i="9"/>
  <c r="U221" i="9"/>
  <c r="V221" i="9"/>
  <c r="U222" i="9"/>
  <c r="V222" i="9"/>
  <c r="U223" i="9"/>
  <c r="V223" i="9"/>
  <c r="U224" i="9"/>
  <c r="V224" i="9"/>
  <c r="U225" i="9"/>
  <c r="V225" i="9"/>
  <c r="U226" i="9"/>
  <c r="V226" i="9"/>
  <c r="U227" i="9"/>
  <c r="V227" i="9"/>
  <c r="U228" i="9"/>
  <c r="V228" i="9"/>
  <c r="U229" i="9"/>
  <c r="V229" i="9"/>
  <c r="U230" i="9"/>
  <c r="V230" i="9"/>
  <c r="U231" i="9"/>
  <c r="V231" i="9"/>
  <c r="U232" i="9"/>
  <c r="V232" i="9"/>
  <c r="U233" i="9"/>
  <c r="V233" i="9"/>
  <c r="U234" i="9"/>
  <c r="V234" i="9"/>
  <c r="U235" i="9"/>
  <c r="V235" i="9"/>
  <c r="U236" i="9"/>
  <c r="V236" i="9"/>
  <c r="U237" i="9"/>
  <c r="V237" i="9"/>
  <c r="U238" i="9"/>
  <c r="V238" i="9"/>
  <c r="U239" i="9"/>
  <c r="V239" i="9"/>
  <c r="U240" i="9"/>
  <c r="V240" i="9"/>
  <c r="U241" i="9"/>
  <c r="V241" i="9"/>
  <c r="U242" i="9"/>
  <c r="V242" i="9"/>
  <c r="U243" i="9"/>
  <c r="V243" i="9"/>
  <c r="U244" i="9"/>
  <c r="V244" i="9"/>
  <c r="U245" i="9"/>
  <c r="V245" i="9"/>
  <c r="U246" i="9"/>
  <c r="V246" i="9"/>
  <c r="U247" i="9"/>
  <c r="V247" i="9"/>
  <c r="U248" i="9"/>
  <c r="V248" i="9"/>
  <c r="U249" i="9"/>
  <c r="V249" i="9"/>
  <c r="U250" i="9"/>
  <c r="V250" i="9"/>
  <c r="U251" i="9"/>
  <c r="V251" i="9"/>
  <c r="U252" i="9"/>
  <c r="V252" i="9"/>
  <c r="U253" i="9"/>
  <c r="V253" i="9"/>
  <c r="U254" i="9"/>
  <c r="V254" i="9"/>
  <c r="U255" i="9"/>
  <c r="V255" i="9"/>
  <c r="U256" i="9"/>
  <c r="V256" i="9"/>
  <c r="U257" i="9"/>
  <c r="V257" i="9"/>
  <c r="U258" i="9"/>
  <c r="V258" i="9"/>
  <c r="U259" i="9"/>
  <c r="V259" i="9"/>
  <c r="U260" i="9"/>
  <c r="V260" i="9"/>
  <c r="U261" i="9"/>
  <c r="V261" i="9"/>
  <c r="U262" i="9"/>
  <c r="V262" i="9"/>
  <c r="U263" i="9"/>
  <c r="V263" i="9"/>
  <c r="U264" i="9"/>
  <c r="V264" i="9"/>
  <c r="U265" i="9"/>
  <c r="V265" i="9"/>
  <c r="U266" i="9"/>
  <c r="V266" i="9"/>
  <c r="U267" i="9"/>
  <c r="V267" i="9"/>
  <c r="U268" i="9"/>
  <c r="V268" i="9"/>
  <c r="U269" i="9"/>
  <c r="V269" i="9"/>
  <c r="U270" i="9"/>
  <c r="V270" i="9"/>
  <c r="U271" i="9"/>
  <c r="V271" i="9"/>
  <c r="U272" i="9"/>
  <c r="V272" i="9"/>
  <c r="U273" i="9"/>
  <c r="V273" i="9"/>
  <c r="U274" i="9"/>
  <c r="V274" i="9"/>
  <c r="U275" i="9"/>
  <c r="V275" i="9"/>
  <c r="U276" i="9"/>
  <c r="V276" i="9"/>
  <c r="U277" i="9"/>
  <c r="V277" i="9"/>
  <c r="U278" i="9"/>
  <c r="V278" i="9"/>
  <c r="U279" i="9"/>
  <c r="V279" i="9"/>
  <c r="U280" i="9"/>
  <c r="V280" i="9"/>
  <c r="U281" i="9"/>
  <c r="V281" i="9"/>
  <c r="U282" i="9"/>
  <c r="V282" i="9"/>
  <c r="U283" i="9"/>
  <c r="V283" i="9"/>
  <c r="U284" i="9"/>
  <c r="V284" i="9"/>
  <c r="U285" i="9"/>
  <c r="V285" i="9"/>
  <c r="U286" i="9"/>
  <c r="V286" i="9"/>
  <c r="U287" i="9"/>
  <c r="V287" i="9"/>
  <c r="U288" i="9"/>
  <c r="V288" i="9"/>
  <c r="U289" i="9"/>
  <c r="V289" i="9"/>
  <c r="U290" i="9"/>
  <c r="V290" i="9"/>
  <c r="U291" i="9"/>
  <c r="V291" i="9"/>
  <c r="U292" i="9"/>
  <c r="V292" i="9"/>
  <c r="U293" i="9"/>
  <c r="V293" i="9"/>
  <c r="U294" i="9"/>
  <c r="V294" i="9"/>
  <c r="U295" i="9"/>
  <c r="V295" i="9"/>
  <c r="U296" i="9"/>
  <c r="V296" i="9"/>
  <c r="U297" i="9"/>
  <c r="V297" i="9"/>
  <c r="U298" i="9"/>
  <c r="V298" i="9"/>
  <c r="U299" i="9"/>
  <c r="V299" i="9"/>
  <c r="U300" i="9"/>
  <c r="V300" i="9"/>
  <c r="U301" i="9"/>
  <c r="V301" i="9"/>
  <c r="U302" i="9"/>
  <c r="V302" i="9"/>
  <c r="U303" i="9"/>
  <c r="V303" i="9"/>
  <c r="U304" i="9"/>
  <c r="V304" i="9"/>
  <c r="U305" i="9"/>
  <c r="V305" i="9"/>
  <c r="U306" i="9"/>
  <c r="V306" i="9"/>
  <c r="U307" i="9"/>
  <c r="V307" i="9"/>
  <c r="U308" i="9"/>
  <c r="V308" i="9"/>
  <c r="U309" i="9"/>
  <c r="V309" i="9"/>
  <c r="U310" i="9"/>
  <c r="V310" i="9"/>
  <c r="U311" i="9"/>
  <c r="V311" i="9"/>
  <c r="U312" i="9"/>
  <c r="V312" i="9"/>
  <c r="U313" i="9"/>
  <c r="V313" i="9"/>
  <c r="U314" i="9"/>
  <c r="V314" i="9"/>
  <c r="U315" i="9"/>
  <c r="V315" i="9"/>
  <c r="U316" i="9"/>
  <c r="V316" i="9"/>
  <c r="U317" i="9"/>
  <c r="V317" i="9"/>
  <c r="U318" i="9"/>
  <c r="V318" i="9"/>
  <c r="U319" i="9"/>
  <c r="V319" i="9"/>
  <c r="U320" i="9"/>
  <c r="V320" i="9"/>
  <c r="U321" i="9"/>
  <c r="V321" i="9"/>
  <c r="U322" i="9"/>
  <c r="V322" i="9"/>
  <c r="U323" i="9"/>
  <c r="V323" i="9"/>
  <c r="U324" i="9"/>
  <c r="V324" i="9"/>
  <c r="U325" i="9"/>
  <c r="V325" i="9"/>
  <c r="U326" i="9"/>
  <c r="V326" i="9"/>
  <c r="U327" i="9"/>
  <c r="V327" i="9"/>
  <c r="U328" i="9"/>
  <c r="V328" i="9"/>
  <c r="U329" i="9"/>
  <c r="V329" i="9"/>
  <c r="U330" i="9"/>
  <c r="V330" i="9"/>
  <c r="U331" i="9"/>
  <c r="V331" i="9"/>
  <c r="U332" i="9"/>
  <c r="V332" i="9"/>
  <c r="U333" i="9"/>
  <c r="V333" i="9"/>
  <c r="U334" i="9"/>
  <c r="V334" i="9"/>
  <c r="U335" i="9"/>
  <c r="V335" i="9"/>
  <c r="U336" i="9"/>
  <c r="V336" i="9"/>
  <c r="U337" i="9"/>
  <c r="V337" i="9"/>
  <c r="U338" i="9"/>
  <c r="V338" i="9"/>
  <c r="U339" i="9"/>
  <c r="V339" i="9"/>
  <c r="U340" i="9"/>
  <c r="V340" i="9"/>
  <c r="U341" i="9"/>
  <c r="V341" i="9"/>
  <c r="U342" i="9"/>
  <c r="V342" i="9"/>
  <c r="U343" i="9"/>
  <c r="V343" i="9"/>
  <c r="U344" i="9"/>
  <c r="V344" i="9"/>
  <c r="U345" i="9"/>
  <c r="V345" i="9"/>
  <c r="U346" i="9"/>
  <c r="V346" i="9"/>
  <c r="U347" i="9"/>
  <c r="V347" i="9"/>
  <c r="U348" i="9"/>
  <c r="V348" i="9"/>
  <c r="U349" i="9"/>
  <c r="V349" i="9"/>
  <c r="U350" i="9"/>
  <c r="V350" i="9"/>
  <c r="U351" i="9"/>
  <c r="V351" i="9"/>
  <c r="U352" i="9"/>
  <c r="V352" i="9"/>
  <c r="U353" i="9"/>
  <c r="V353" i="9"/>
  <c r="U354" i="9"/>
  <c r="V354" i="9"/>
  <c r="U355" i="9"/>
  <c r="V355" i="9"/>
  <c r="U356" i="9"/>
  <c r="V356" i="9"/>
  <c r="U357" i="9"/>
  <c r="V357" i="9"/>
  <c r="U358" i="9"/>
  <c r="V358" i="9"/>
  <c r="U359" i="9"/>
  <c r="V359" i="9"/>
  <c r="U360" i="9"/>
  <c r="V360" i="9"/>
  <c r="U361" i="9"/>
  <c r="V361" i="9"/>
  <c r="U362" i="9"/>
  <c r="V362" i="9"/>
  <c r="U363" i="9"/>
  <c r="V363" i="9"/>
  <c r="U364" i="9"/>
  <c r="V364" i="9"/>
  <c r="U365" i="9"/>
  <c r="V365" i="9"/>
  <c r="U366" i="9"/>
  <c r="V366" i="9"/>
  <c r="U367" i="9"/>
  <c r="V367" i="9"/>
  <c r="U368" i="9"/>
  <c r="V368" i="9"/>
  <c r="U369" i="9"/>
  <c r="V369" i="9"/>
  <c r="U370" i="9"/>
  <c r="V370" i="9"/>
  <c r="U371" i="9"/>
  <c r="V371" i="9"/>
  <c r="U372" i="9"/>
  <c r="V372" i="9"/>
  <c r="U373" i="9"/>
  <c r="V373" i="9"/>
  <c r="U374" i="9"/>
  <c r="V374" i="9"/>
  <c r="U375" i="9"/>
  <c r="V375" i="9"/>
  <c r="U376" i="9"/>
  <c r="V376" i="9"/>
  <c r="U377" i="9"/>
  <c r="V377" i="9"/>
  <c r="U378" i="9"/>
  <c r="V378" i="9"/>
  <c r="U379" i="9"/>
  <c r="V379" i="9"/>
  <c r="U380" i="9"/>
  <c r="V380" i="9"/>
  <c r="U381" i="9"/>
  <c r="V381" i="9"/>
  <c r="U382" i="9"/>
  <c r="V382" i="9"/>
  <c r="U383" i="9"/>
  <c r="V383" i="9"/>
  <c r="U384" i="9"/>
  <c r="V384" i="9"/>
  <c r="U385" i="9"/>
  <c r="V385" i="9"/>
  <c r="U386" i="9"/>
  <c r="V386" i="9"/>
  <c r="U387" i="9"/>
  <c r="V387" i="9"/>
  <c r="U388" i="9"/>
  <c r="V388" i="9"/>
  <c r="U389" i="9"/>
  <c r="V389" i="9"/>
  <c r="U390" i="9"/>
  <c r="V390" i="9"/>
  <c r="U391" i="9"/>
  <c r="V391" i="9"/>
  <c r="U392" i="9"/>
  <c r="V392" i="9"/>
  <c r="U393" i="9"/>
  <c r="V393" i="9"/>
  <c r="U394" i="9"/>
  <c r="V394" i="9"/>
  <c r="U395" i="9"/>
  <c r="V395" i="9"/>
  <c r="U396" i="9"/>
  <c r="V396" i="9"/>
  <c r="U397" i="9"/>
  <c r="V397" i="9"/>
  <c r="U398" i="9"/>
  <c r="V398" i="9"/>
  <c r="U399" i="9"/>
  <c r="V399" i="9"/>
  <c r="U400" i="9"/>
  <c r="V400" i="9"/>
  <c r="U401" i="9"/>
  <c r="V401" i="9"/>
  <c r="U402" i="9"/>
  <c r="V402" i="9"/>
  <c r="U403" i="9"/>
  <c r="V403" i="9"/>
  <c r="U404" i="9"/>
  <c r="V404" i="9"/>
  <c r="U405" i="9"/>
  <c r="V405" i="9"/>
  <c r="U406" i="9"/>
  <c r="V406" i="9"/>
  <c r="U407" i="9"/>
  <c r="V407" i="9"/>
  <c r="U408" i="9"/>
  <c r="V408" i="9"/>
  <c r="U409" i="9"/>
  <c r="V409" i="9"/>
  <c r="U410" i="9"/>
  <c r="V410" i="9"/>
  <c r="U411" i="9"/>
  <c r="V411" i="9"/>
  <c r="U412" i="9"/>
  <c r="V412" i="9"/>
  <c r="U413" i="9"/>
  <c r="V413" i="9"/>
  <c r="U414" i="9"/>
  <c r="V414" i="9"/>
  <c r="U415" i="9"/>
  <c r="V415" i="9"/>
  <c r="U416" i="9"/>
  <c r="V416" i="9"/>
  <c r="U417" i="9"/>
  <c r="V417" i="9"/>
  <c r="U418" i="9"/>
  <c r="V418" i="9"/>
  <c r="U419" i="9"/>
  <c r="V419" i="9"/>
  <c r="U420" i="9"/>
  <c r="V420" i="9"/>
  <c r="U421" i="9"/>
  <c r="V421" i="9"/>
  <c r="U422" i="9"/>
  <c r="V422" i="9"/>
  <c r="U423" i="9"/>
  <c r="V423" i="9"/>
  <c r="U424" i="9"/>
  <c r="V424" i="9"/>
  <c r="U425" i="9"/>
  <c r="V425" i="9"/>
  <c r="U426" i="9"/>
  <c r="V426" i="9"/>
  <c r="U427" i="9"/>
  <c r="V427" i="9"/>
  <c r="U428" i="9"/>
  <c r="V428" i="9"/>
  <c r="U429" i="9"/>
  <c r="V429" i="9"/>
  <c r="U430" i="9"/>
  <c r="V430" i="9"/>
  <c r="U431" i="9"/>
  <c r="V431" i="9"/>
  <c r="U432" i="9"/>
  <c r="V432" i="9"/>
  <c r="U433" i="9"/>
  <c r="V433" i="9"/>
  <c r="U434" i="9"/>
  <c r="V434" i="9"/>
  <c r="U435" i="9"/>
  <c r="V435" i="9"/>
  <c r="U436" i="9"/>
  <c r="V436" i="9"/>
  <c r="U437" i="9"/>
  <c r="V437" i="9"/>
  <c r="U438" i="9"/>
  <c r="V438" i="9"/>
  <c r="U439" i="9"/>
  <c r="V439" i="9"/>
  <c r="U440" i="9"/>
  <c r="V440" i="9"/>
  <c r="U441" i="9"/>
  <c r="V441" i="9"/>
  <c r="U442" i="9"/>
  <c r="V442" i="9"/>
  <c r="U443" i="9"/>
  <c r="V443" i="9"/>
  <c r="U444" i="9"/>
  <c r="V444" i="9"/>
  <c r="U445" i="9"/>
  <c r="V445" i="9"/>
  <c r="U446" i="9"/>
  <c r="V446" i="9"/>
  <c r="U447" i="9"/>
  <c r="V447" i="9"/>
  <c r="U448" i="9"/>
  <c r="V448" i="9"/>
  <c r="U449" i="9"/>
  <c r="V449" i="9"/>
  <c r="U450" i="9"/>
  <c r="V450" i="9"/>
  <c r="U451" i="9"/>
  <c r="V451" i="9"/>
  <c r="U452" i="9"/>
  <c r="V452" i="9"/>
  <c r="U453" i="9"/>
  <c r="V453" i="9"/>
  <c r="U454" i="9"/>
  <c r="V454" i="9"/>
  <c r="U455" i="9"/>
  <c r="V455" i="9"/>
  <c r="U456" i="9"/>
  <c r="V456" i="9"/>
  <c r="U457" i="9"/>
  <c r="V457" i="9"/>
  <c r="U458" i="9"/>
  <c r="V458" i="9"/>
  <c r="U459" i="9"/>
  <c r="V459" i="9"/>
  <c r="U460" i="9"/>
  <c r="V460" i="9"/>
  <c r="U461" i="9"/>
  <c r="V461" i="9"/>
  <c r="U462" i="9"/>
  <c r="V462" i="9"/>
  <c r="U463" i="9"/>
  <c r="V463" i="9"/>
  <c r="U464" i="9"/>
  <c r="V464" i="9"/>
  <c r="U465" i="9"/>
  <c r="V465" i="9"/>
  <c r="U466" i="9"/>
  <c r="V466" i="9"/>
  <c r="U467" i="9"/>
  <c r="V467" i="9"/>
  <c r="U468" i="9"/>
  <c r="V468" i="9"/>
  <c r="U469" i="9"/>
  <c r="V469" i="9"/>
  <c r="U470" i="9"/>
  <c r="V470" i="9"/>
  <c r="U471" i="9"/>
  <c r="V471" i="9"/>
  <c r="U472" i="9"/>
  <c r="V472" i="9"/>
  <c r="U473" i="9"/>
  <c r="V473" i="9"/>
  <c r="U474" i="9"/>
  <c r="V474" i="9"/>
  <c r="U475" i="9"/>
  <c r="V475" i="9"/>
  <c r="U476" i="9"/>
  <c r="V476" i="9"/>
  <c r="U477" i="9"/>
  <c r="V477" i="9"/>
  <c r="U478" i="9"/>
  <c r="V478" i="9"/>
  <c r="U479" i="9"/>
  <c r="V479" i="9"/>
  <c r="U480" i="9"/>
  <c r="V480" i="9"/>
  <c r="U481" i="9"/>
  <c r="V481" i="9"/>
  <c r="U482" i="9"/>
  <c r="V482" i="9"/>
  <c r="U483" i="9"/>
  <c r="V483" i="9"/>
  <c r="U484" i="9"/>
  <c r="V484" i="9"/>
  <c r="U485" i="9"/>
  <c r="V485" i="9"/>
  <c r="U486" i="9"/>
  <c r="V486" i="9"/>
  <c r="U487" i="9"/>
  <c r="V487" i="9"/>
  <c r="U488" i="9"/>
  <c r="V488" i="9"/>
  <c r="U489" i="9"/>
  <c r="V489" i="9"/>
  <c r="U490" i="9"/>
  <c r="V490" i="9"/>
  <c r="U491" i="9"/>
  <c r="V491" i="9"/>
  <c r="U492" i="9"/>
  <c r="V492" i="9"/>
  <c r="U493" i="9"/>
  <c r="V493" i="9"/>
  <c r="U494" i="9"/>
  <c r="V494" i="9"/>
  <c r="U495" i="9"/>
  <c r="V495" i="9"/>
  <c r="U496" i="9"/>
  <c r="V496" i="9"/>
  <c r="U497" i="9"/>
  <c r="V497" i="9"/>
  <c r="U498" i="9"/>
  <c r="V498" i="9"/>
  <c r="U499" i="9"/>
  <c r="V499" i="9"/>
  <c r="U500" i="9"/>
  <c r="V500" i="9"/>
  <c r="U501" i="9"/>
  <c r="V501" i="9"/>
  <c r="U502" i="9"/>
  <c r="V502" i="9"/>
  <c r="U503" i="9"/>
  <c r="V503" i="9"/>
  <c r="U504" i="9"/>
  <c r="V504" i="9"/>
  <c r="U505" i="9"/>
  <c r="V505" i="9"/>
  <c r="U506" i="9"/>
  <c r="V506" i="9"/>
  <c r="U507" i="9"/>
  <c r="V507" i="9"/>
  <c r="U508" i="9"/>
  <c r="V508" i="9"/>
  <c r="U509" i="9"/>
  <c r="V509" i="9"/>
  <c r="U510" i="9"/>
  <c r="V510" i="9"/>
  <c r="U511" i="9"/>
  <c r="V511" i="9"/>
  <c r="U512" i="9"/>
  <c r="V512" i="9"/>
  <c r="U513" i="9"/>
  <c r="V513" i="9"/>
  <c r="U514" i="9"/>
  <c r="V514" i="9"/>
  <c r="U515" i="9"/>
  <c r="V515" i="9"/>
  <c r="U516" i="9"/>
  <c r="V516" i="9"/>
  <c r="U517" i="9"/>
  <c r="V517" i="9"/>
  <c r="U518" i="9"/>
  <c r="V518" i="9"/>
  <c r="U519" i="9"/>
  <c r="V519" i="9"/>
  <c r="U520" i="9"/>
  <c r="V520" i="9"/>
  <c r="U521" i="9"/>
  <c r="V521" i="9"/>
  <c r="U522" i="9"/>
  <c r="V522" i="9"/>
  <c r="U523" i="9"/>
  <c r="V523" i="9"/>
  <c r="U524" i="9"/>
  <c r="V524" i="9"/>
  <c r="U525" i="9"/>
  <c r="V525" i="9"/>
  <c r="U526" i="9"/>
  <c r="V526" i="9"/>
  <c r="U527" i="9"/>
  <c r="V527" i="9"/>
  <c r="U528" i="9"/>
  <c r="V528" i="9"/>
  <c r="U529" i="9"/>
  <c r="V529" i="9"/>
  <c r="U530" i="9"/>
  <c r="V530" i="9"/>
  <c r="U531" i="9"/>
  <c r="V531" i="9"/>
  <c r="U532" i="9"/>
  <c r="V532" i="9"/>
  <c r="U533" i="9"/>
  <c r="V533" i="9"/>
  <c r="U534" i="9"/>
  <c r="V534" i="9"/>
  <c r="U535" i="9"/>
  <c r="V535" i="9"/>
  <c r="U536" i="9"/>
  <c r="V536" i="9"/>
  <c r="U537" i="9"/>
  <c r="V537" i="9"/>
  <c r="U538" i="9"/>
  <c r="V538" i="9"/>
  <c r="U539" i="9"/>
  <c r="V539" i="9"/>
  <c r="U540" i="9"/>
  <c r="V540" i="9"/>
  <c r="U541" i="9"/>
  <c r="V541" i="9"/>
  <c r="U542" i="9"/>
  <c r="V542" i="9"/>
  <c r="U543" i="9"/>
  <c r="V543" i="9"/>
  <c r="U544" i="9"/>
  <c r="V544" i="9"/>
  <c r="U545" i="9"/>
  <c r="V545" i="9"/>
  <c r="U546" i="9"/>
  <c r="V546" i="9"/>
  <c r="U547" i="9"/>
  <c r="V547" i="9"/>
  <c r="U548" i="9"/>
  <c r="V548" i="9"/>
  <c r="U549" i="9"/>
  <c r="V549" i="9"/>
  <c r="U550" i="9"/>
  <c r="V550" i="9"/>
  <c r="U551" i="9"/>
  <c r="V551" i="9"/>
  <c r="U552" i="9"/>
  <c r="V552" i="9"/>
  <c r="U553" i="9"/>
  <c r="V553" i="9"/>
  <c r="U554" i="9"/>
  <c r="V554" i="9"/>
  <c r="U555" i="9"/>
  <c r="V555" i="9"/>
  <c r="U556" i="9"/>
  <c r="V556" i="9"/>
  <c r="U557" i="9"/>
  <c r="V557" i="9"/>
  <c r="U558" i="9"/>
  <c r="V558" i="9"/>
  <c r="U559" i="9"/>
  <c r="V559" i="9"/>
  <c r="U560" i="9"/>
  <c r="V560" i="9"/>
  <c r="U561" i="9"/>
  <c r="V561" i="9"/>
  <c r="U562" i="9"/>
  <c r="V562" i="9"/>
  <c r="U563" i="9"/>
  <c r="V563" i="9"/>
  <c r="U564" i="9"/>
  <c r="V564" i="9"/>
  <c r="U565" i="9"/>
  <c r="V565" i="9"/>
  <c r="U566" i="9"/>
  <c r="V566" i="9"/>
  <c r="U567" i="9"/>
  <c r="V567" i="9"/>
  <c r="U568" i="9"/>
  <c r="V568" i="9"/>
  <c r="U569" i="9"/>
  <c r="V569" i="9"/>
  <c r="U570" i="9"/>
  <c r="V570" i="9"/>
  <c r="U571" i="9"/>
  <c r="V571" i="9"/>
  <c r="U572" i="9"/>
  <c r="V572" i="9"/>
  <c r="U573" i="9"/>
  <c r="V573" i="9"/>
  <c r="U574" i="9"/>
  <c r="V574" i="9"/>
  <c r="U575" i="9"/>
  <c r="V575" i="9"/>
  <c r="U576" i="9"/>
  <c r="V576" i="9"/>
  <c r="U577" i="9"/>
  <c r="V577" i="9"/>
  <c r="U578" i="9"/>
  <c r="V578" i="9"/>
  <c r="U579" i="9"/>
  <c r="V579" i="9"/>
  <c r="U580" i="9"/>
  <c r="V580" i="9"/>
  <c r="U581" i="9"/>
  <c r="V581" i="9"/>
  <c r="U582" i="9"/>
  <c r="V582" i="9"/>
  <c r="U583" i="9"/>
  <c r="V583" i="9"/>
  <c r="U584" i="9"/>
  <c r="V584" i="9"/>
  <c r="U585" i="9"/>
  <c r="V585" i="9"/>
  <c r="U586" i="9"/>
  <c r="V586" i="9"/>
  <c r="U587" i="9"/>
  <c r="V587" i="9"/>
  <c r="U588" i="9"/>
  <c r="V588" i="9"/>
  <c r="U589" i="9"/>
  <c r="V589" i="9"/>
  <c r="U590" i="9"/>
  <c r="V590" i="9"/>
  <c r="U591" i="9"/>
  <c r="V591" i="9"/>
  <c r="U592" i="9"/>
  <c r="V592" i="9"/>
  <c r="U593" i="9"/>
  <c r="V593" i="9"/>
  <c r="U594" i="9"/>
  <c r="V594" i="9"/>
  <c r="U595" i="9"/>
  <c r="V595" i="9"/>
  <c r="U596" i="9"/>
  <c r="V596" i="9"/>
  <c r="U597" i="9"/>
  <c r="V597" i="9"/>
  <c r="U598" i="9"/>
  <c r="V598" i="9"/>
  <c r="U599" i="9"/>
  <c r="V599" i="9"/>
  <c r="U600" i="9"/>
  <c r="V600" i="9"/>
  <c r="U601" i="9"/>
  <c r="V601" i="9"/>
  <c r="U602" i="9"/>
  <c r="V602" i="9"/>
  <c r="U603" i="9"/>
  <c r="V603" i="9"/>
  <c r="U604" i="9"/>
  <c r="V604" i="9"/>
  <c r="U605" i="9"/>
  <c r="V605" i="9"/>
  <c r="U606" i="9"/>
  <c r="V606" i="9"/>
  <c r="U607" i="9"/>
  <c r="V607" i="9"/>
  <c r="U608" i="9"/>
  <c r="V608" i="9"/>
  <c r="U609" i="9"/>
  <c r="V609" i="9"/>
  <c r="U610" i="9"/>
  <c r="V610" i="9"/>
  <c r="U611" i="9"/>
  <c r="V611" i="9"/>
  <c r="U612" i="9"/>
  <c r="V612" i="9"/>
  <c r="U613" i="9"/>
  <c r="V613" i="9"/>
  <c r="U614" i="9"/>
  <c r="V614" i="9"/>
  <c r="U615" i="9"/>
  <c r="V615" i="9"/>
  <c r="U616" i="9"/>
  <c r="V616" i="9"/>
  <c r="U617" i="9"/>
  <c r="V617" i="9"/>
  <c r="U618" i="9"/>
  <c r="V618" i="9"/>
  <c r="U619" i="9"/>
  <c r="V619" i="9"/>
  <c r="U620" i="9"/>
  <c r="V620" i="9"/>
  <c r="U621" i="9"/>
  <c r="V621" i="9"/>
  <c r="U622" i="9"/>
  <c r="V622" i="9"/>
  <c r="U623" i="9"/>
  <c r="V623" i="9"/>
  <c r="U624" i="9"/>
  <c r="V624" i="9"/>
  <c r="U625" i="9"/>
  <c r="V625" i="9"/>
  <c r="U626" i="9"/>
  <c r="V626" i="9"/>
  <c r="U627" i="9"/>
  <c r="V627" i="9"/>
  <c r="U628" i="9"/>
  <c r="V628" i="9"/>
  <c r="U629" i="9"/>
  <c r="V629" i="9"/>
  <c r="U630" i="9"/>
  <c r="V630" i="9"/>
  <c r="U631" i="9"/>
  <c r="V631" i="9"/>
  <c r="U632" i="9"/>
  <c r="V632" i="9"/>
  <c r="U633" i="9"/>
  <c r="V633" i="9"/>
  <c r="U634" i="9"/>
  <c r="V634" i="9"/>
  <c r="U635" i="9"/>
  <c r="V635" i="9"/>
  <c r="U636" i="9"/>
  <c r="V636" i="9"/>
  <c r="U637" i="9"/>
  <c r="V637" i="9"/>
  <c r="U638" i="9"/>
  <c r="V638" i="9"/>
  <c r="U639" i="9"/>
  <c r="V639" i="9"/>
  <c r="U640" i="9"/>
  <c r="V640" i="9"/>
  <c r="U641" i="9"/>
  <c r="V641" i="9"/>
  <c r="U642" i="9"/>
  <c r="V642" i="9"/>
  <c r="U643" i="9"/>
  <c r="V643" i="9"/>
  <c r="U644" i="9"/>
  <c r="V644" i="9"/>
  <c r="U645" i="9"/>
  <c r="V645" i="9"/>
  <c r="U646" i="9"/>
  <c r="V646" i="9"/>
  <c r="U647" i="9"/>
  <c r="V647" i="9"/>
  <c r="U648" i="9"/>
  <c r="V648" i="9"/>
  <c r="U649" i="9"/>
  <c r="V649" i="9"/>
  <c r="U650" i="9"/>
  <c r="V650" i="9"/>
  <c r="U651" i="9"/>
  <c r="V651" i="9"/>
  <c r="U652" i="9"/>
  <c r="V652" i="9"/>
  <c r="U653" i="9"/>
  <c r="V653" i="9"/>
  <c r="U654" i="9"/>
  <c r="V654" i="9"/>
  <c r="U655" i="9"/>
  <c r="V655" i="9"/>
  <c r="U656" i="9"/>
  <c r="V656" i="9"/>
  <c r="U657" i="9"/>
  <c r="V657" i="9"/>
  <c r="U658" i="9"/>
  <c r="V658" i="9"/>
  <c r="U659" i="9"/>
  <c r="V659" i="9"/>
  <c r="U660" i="9"/>
  <c r="V660" i="9"/>
  <c r="U661" i="9"/>
  <c r="V661" i="9"/>
  <c r="U662" i="9"/>
  <c r="V662" i="9"/>
  <c r="U663" i="9"/>
  <c r="V663" i="9"/>
  <c r="U664" i="9"/>
  <c r="V664" i="9"/>
  <c r="U665" i="9"/>
  <c r="V665" i="9"/>
  <c r="U666" i="9"/>
  <c r="V666" i="9"/>
  <c r="U667" i="9"/>
  <c r="V667" i="9"/>
  <c r="U668" i="9"/>
  <c r="V668" i="9"/>
  <c r="U669" i="9"/>
  <c r="V669" i="9"/>
  <c r="U670" i="9"/>
  <c r="V670" i="9"/>
  <c r="U671" i="9"/>
  <c r="V671" i="9"/>
  <c r="U672" i="9"/>
  <c r="V672" i="9"/>
  <c r="U673" i="9"/>
  <c r="V673" i="9"/>
  <c r="U674" i="9"/>
  <c r="V674" i="9"/>
  <c r="U675" i="9"/>
  <c r="V675" i="9"/>
  <c r="U676" i="9"/>
  <c r="V676" i="9"/>
  <c r="U677" i="9"/>
  <c r="V677" i="9"/>
  <c r="U678" i="9"/>
  <c r="V678" i="9"/>
  <c r="U679" i="9"/>
  <c r="V679" i="9"/>
  <c r="U680" i="9"/>
  <c r="V680" i="9"/>
  <c r="U681" i="9"/>
  <c r="V681" i="9"/>
  <c r="U682" i="9"/>
  <c r="V682" i="9"/>
  <c r="U683" i="9"/>
  <c r="V683" i="9"/>
  <c r="U684" i="9"/>
  <c r="V684" i="9"/>
  <c r="U685" i="9"/>
  <c r="V685" i="9"/>
  <c r="U686" i="9"/>
  <c r="V686" i="9"/>
  <c r="U687" i="9"/>
  <c r="V687" i="9"/>
  <c r="U688" i="9"/>
  <c r="V688" i="9"/>
  <c r="U689" i="9"/>
  <c r="V689" i="9"/>
  <c r="U690" i="9"/>
  <c r="V690" i="9"/>
  <c r="U691" i="9"/>
  <c r="V691" i="9"/>
  <c r="U692" i="9"/>
  <c r="V692" i="9"/>
  <c r="U693" i="9"/>
  <c r="V693" i="9"/>
  <c r="U694" i="9"/>
  <c r="V694" i="9"/>
  <c r="U695" i="9"/>
  <c r="V695" i="9"/>
  <c r="U696" i="9"/>
  <c r="V696" i="9"/>
  <c r="U697" i="9"/>
  <c r="V697" i="9"/>
  <c r="U698" i="9"/>
  <c r="V698" i="9"/>
  <c r="U699" i="9"/>
  <c r="V699" i="9"/>
  <c r="U700" i="9"/>
  <c r="V700" i="9"/>
  <c r="U701" i="9"/>
  <c r="V701" i="9"/>
  <c r="U702" i="9"/>
  <c r="V702" i="9"/>
  <c r="U703" i="9"/>
  <c r="V703" i="9"/>
  <c r="U704" i="9"/>
  <c r="V704" i="9"/>
  <c r="U705" i="9"/>
  <c r="V705" i="9"/>
  <c r="U706" i="9"/>
  <c r="V706" i="9"/>
  <c r="U707" i="9"/>
  <c r="V707" i="9"/>
  <c r="U708" i="9"/>
  <c r="V708" i="9"/>
  <c r="U709" i="9"/>
  <c r="V709" i="9"/>
  <c r="U710" i="9"/>
  <c r="V710" i="9"/>
  <c r="U711" i="9"/>
  <c r="V711" i="9"/>
  <c r="U712" i="9"/>
  <c r="V712" i="9"/>
  <c r="U713" i="9"/>
  <c r="V713" i="9"/>
  <c r="U714" i="9"/>
  <c r="V714" i="9"/>
  <c r="U715" i="9"/>
  <c r="V715" i="9"/>
  <c r="U716" i="9"/>
  <c r="V716" i="9"/>
  <c r="U717" i="9"/>
  <c r="V717" i="9"/>
  <c r="U718" i="9"/>
  <c r="V718" i="9"/>
  <c r="U719" i="9"/>
  <c r="V719" i="9"/>
  <c r="U720" i="9"/>
  <c r="V720" i="9"/>
  <c r="U721" i="9"/>
  <c r="V721" i="9"/>
  <c r="U722" i="9"/>
  <c r="V722" i="9"/>
  <c r="U723" i="9"/>
  <c r="V723" i="9"/>
  <c r="U724" i="9"/>
  <c r="V724" i="9"/>
  <c r="U725" i="9"/>
  <c r="V725" i="9"/>
  <c r="U726" i="9"/>
  <c r="V726" i="9"/>
  <c r="U727" i="9"/>
  <c r="V727" i="9"/>
  <c r="U728" i="9"/>
  <c r="V728" i="9"/>
  <c r="U729" i="9"/>
  <c r="V729" i="9"/>
  <c r="U730" i="9"/>
  <c r="V730" i="9"/>
  <c r="AA16" i="9" l="1"/>
  <c r="AF15" i="9"/>
  <c r="AF14" i="9"/>
  <c r="I10" i="10"/>
  <c r="G11" i="10"/>
  <c r="X6" i="9"/>
  <c r="Y6" i="9" s="1"/>
  <c r="V731" i="9"/>
  <c r="U731" i="9"/>
  <c r="V86" i="9"/>
  <c r="U86" i="9"/>
  <c r="V85" i="9"/>
  <c r="U85" i="9"/>
  <c r="V84" i="9"/>
  <c r="U84" i="9"/>
  <c r="V83" i="9"/>
  <c r="U83" i="9"/>
  <c r="V82" i="9"/>
  <c r="U82" i="9"/>
  <c r="V81" i="9"/>
  <c r="U81" i="9"/>
  <c r="V80" i="9"/>
  <c r="U80" i="9"/>
  <c r="V79" i="9"/>
  <c r="U79" i="9"/>
  <c r="V78" i="9"/>
  <c r="U78" i="9"/>
  <c r="V77" i="9"/>
  <c r="U77" i="9"/>
  <c r="V76" i="9"/>
  <c r="U76" i="9"/>
  <c r="V75" i="9"/>
  <c r="U75" i="9"/>
  <c r="V74" i="9"/>
  <c r="U74" i="9"/>
  <c r="V73" i="9"/>
  <c r="U73" i="9"/>
  <c r="V72" i="9"/>
  <c r="U72" i="9"/>
  <c r="V71" i="9"/>
  <c r="U71" i="9"/>
  <c r="V70" i="9"/>
  <c r="U70" i="9"/>
  <c r="V69" i="9"/>
  <c r="U69" i="9"/>
  <c r="V68" i="9"/>
  <c r="U68" i="9"/>
  <c r="V67" i="9"/>
  <c r="U67" i="9"/>
  <c r="V66" i="9"/>
  <c r="U66" i="9"/>
  <c r="V65" i="9"/>
  <c r="U65" i="9"/>
  <c r="V64" i="9"/>
  <c r="U64" i="9"/>
  <c r="V63" i="9"/>
  <c r="U63" i="9"/>
  <c r="V62" i="9"/>
  <c r="U62" i="9"/>
  <c r="V61" i="9"/>
  <c r="U61" i="9"/>
  <c r="V60" i="9"/>
  <c r="U60" i="9"/>
  <c r="V59" i="9"/>
  <c r="U59" i="9"/>
  <c r="V58" i="9"/>
  <c r="U58" i="9"/>
  <c r="V57" i="9"/>
  <c r="U57" i="9"/>
  <c r="V13" i="9"/>
  <c r="V14" i="9"/>
  <c r="V15" i="9"/>
  <c r="V17" i="9"/>
  <c r="V18" i="9"/>
  <c r="V19" i="9"/>
  <c r="V20" i="9"/>
  <c r="V21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U13" i="9"/>
  <c r="U14" i="9"/>
  <c r="U15" i="9"/>
  <c r="U16" i="9"/>
  <c r="U17" i="9"/>
  <c r="U18" i="9"/>
  <c r="U19" i="9"/>
  <c r="U20" i="9"/>
  <c r="U21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V12" i="9"/>
  <c r="U12" i="9"/>
  <c r="S156" i="9"/>
  <c r="S412" i="9"/>
  <c r="S226" i="9"/>
  <c r="S566" i="9"/>
  <c r="S218" i="9"/>
  <c r="S102" i="9"/>
  <c r="S126" i="9"/>
  <c r="S467" i="9"/>
  <c r="S351" i="9"/>
  <c r="S474" i="9"/>
  <c r="S160" i="9"/>
  <c r="S416" i="9"/>
  <c r="S231" i="9"/>
  <c r="S570" i="9"/>
  <c r="S223" i="9"/>
  <c r="S107" i="9"/>
  <c r="S131" i="9"/>
  <c r="S473" i="9"/>
  <c r="S373" i="9"/>
  <c r="S495" i="9"/>
  <c r="S116" i="9"/>
  <c r="S372" i="9"/>
  <c r="S173" i="9"/>
  <c r="S514" i="9"/>
  <c r="S154" i="9"/>
  <c r="S672" i="9"/>
  <c r="S713" i="9"/>
  <c r="S414" i="9"/>
  <c r="S707" i="9"/>
  <c r="S709" i="9"/>
  <c r="S104" i="9"/>
  <c r="S360" i="9"/>
  <c r="S236" i="9"/>
  <c r="S492" i="9"/>
  <c r="S333" i="9"/>
  <c r="S646" i="9"/>
  <c r="S362" i="9"/>
  <c r="S353" i="9"/>
  <c r="S233" i="9"/>
  <c r="S571" i="9"/>
  <c r="S728" i="9"/>
  <c r="S225" i="9"/>
  <c r="S240" i="9"/>
  <c r="S496" i="9"/>
  <c r="S338" i="9"/>
  <c r="S650" i="9"/>
  <c r="S367" i="9"/>
  <c r="S363" i="9"/>
  <c r="S238" i="9"/>
  <c r="S575" i="9"/>
  <c r="S118" i="9"/>
  <c r="S241" i="9"/>
  <c r="S196" i="9"/>
  <c r="S452" i="9"/>
  <c r="S279" i="9"/>
  <c r="S606" i="9"/>
  <c r="S271" i="9"/>
  <c r="S219" i="9"/>
  <c r="S179" i="9"/>
  <c r="S521" i="9"/>
  <c r="S576" i="9"/>
  <c r="S664" i="9"/>
  <c r="S184" i="9"/>
  <c r="S440" i="9"/>
  <c r="S261" i="9"/>
  <c r="S517" i="9"/>
  <c r="S274" i="9"/>
  <c r="S174" i="9"/>
  <c r="S148" i="9"/>
  <c r="S463" i="9"/>
  <c r="S289" i="9"/>
  <c r="S157" i="9"/>
  <c r="S138" i="9"/>
  <c r="S685" i="9"/>
  <c r="S695" i="9"/>
  <c r="S689" i="9"/>
  <c r="S614" i="9"/>
  <c r="S531" i="9"/>
  <c r="S252" i="9"/>
  <c r="S354" i="9"/>
  <c r="S399" i="9"/>
  <c r="S254" i="9"/>
  <c r="S177" i="9"/>
  <c r="S256" i="9"/>
  <c r="S359" i="9"/>
  <c r="S410" i="9"/>
  <c r="S259" i="9"/>
  <c r="S193" i="9"/>
  <c r="S212" i="9"/>
  <c r="S301" i="9"/>
  <c r="S309" i="9"/>
  <c r="S201" i="9"/>
  <c r="S636" i="9"/>
  <c r="S200" i="9"/>
  <c r="S114" i="9"/>
  <c r="S455" i="9"/>
  <c r="S95" i="9"/>
  <c r="S580" i="9"/>
  <c r="S613" i="9"/>
  <c r="S355" i="9"/>
  <c r="S663" i="9"/>
  <c r="S545" i="9"/>
  <c r="S621" i="9"/>
  <c r="S524" i="9"/>
  <c r="S678" i="9"/>
  <c r="S449" i="9"/>
  <c r="S603" i="9"/>
  <c r="S369" i="9"/>
  <c r="S528" i="9"/>
  <c r="S682" i="9"/>
  <c r="S459" i="9"/>
  <c r="S607" i="9"/>
  <c r="S385" i="9"/>
  <c r="S484" i="9"/>
  <c r="S638" i="9"/>
  <c r="S326" i="9"/>
  <c r="S563" i="9"/>
  <c r="S198" i="9"/>
  <c r="S472" i="9"/>
  <c r="S306" i="9"/>
  <c r="S626" i="9"/>
  <c r="S314" i="9"/>
  <c r="S283" i="9"/>
  <c r="S206" i="9"/>
  <c r="S547" i="9"/>
  <c r="S652" i="9"/>
  <c r="S134" i="9"/>
  <c r="S284" i="9"/>
  <c r="S141" i="9"/>
  <c r="S630" i="9"/>
  <c r="S479" i="9"/>
  <c r="S657" i="9"/>
  <c r="S553" i="9"/>
  <c r="S321" i="9"/>
  <c r="S96" i="9"/>
  <c r="S480" i="9"/>
  <c r="S402" i="9"/>
  <c r="S127" i="9"/>
  <c r="S315" i="9"/>
  <c r="S302" i="9"/>
  <c r="S687" i="9"/>
  <c r="S182" i="9"/>
  <c r="S244" i="9"/>
  <c r="S87" i="9"/>
  <c r="S590" i="9"/>
  <c r="S383" i="9"/>
  <c r="S561" i="9"/>
  <c r="S499" i="9"/>
  <c r="S139" i="9"/>
  <c r="S550" i="9"/>
  <c r="S424" i="9"/>
  <c r="S364" i="9"/>
  <c r="S247" i="9"/>
  <c r="S710" i="9"/>
  <c r="S656" i="9"/>
  <c r="S147" i="9"/>
  <c r="S635" i="9"/>
  <c r="S681" i="9"/>
  <c r="S176" i="9"/>
  <c r="S560" i="9"/>
  <c r="S509" i="9"/>
  <c r="S245" i="9"/>
  <c r="S555" i="9"/>
  <c r="S409" i="9"/>
  <c r="S458" i="9"/>
  <c r="S534" i="9"/>
  <c r="S324" i="9"/>
  <c r="S194" i="9"/>
  <c r="S670" i="9"/>
  <c r="S572" i="9"/>
  <c r="S94" i="9"/>
  <c r="S595" i="9"/>
  <c r="S523" i="9"/>
  <c r="S120" i="9"/>
  <c r="S188" i="9"/>
  <c r="S169" i="9"/>
  <c r="S448" i="9"/>
  <c r="S515" i="9"/>
  <c r="S386" i="9"/>
  <c r="S611" i="9"/>
  <c r="S327" i="9"/>
  <c r="S648" i="9"/>
  <c r="S567" i="9"/>
  <c r="S332" i="9"/>
  <c r="S246" i="9"/>
  <c r="S124" i="9"/>
  <c r="S525" i="9"/>
  <c r="S395" i="9"/>
  <c r="S715" i="9"/>
  <c r="S384" i="9"/>
  <c r="S666" i="9"/>
  <c r="S89" i="9"/>
  <c r="S303" i="9"/>
  <c r="S468" i="9"/>
  <c r="S111" i="9"/>
  <c r="S371" i="9"/>
  <c r="S113" i="9"/>
  <c r="S520" i="9"/>
  <c r="S541" i="9"/>
  <c r="S282" i="9"/>
  <c r="S438" i="9"/>
  <c r="S441" i="9"/>
  <c r="S592" i="9"/>
  <c r="S347" i="9"/>
  <c r="S205" i="9"/>
  <c r="S442" i="9"/>
  <c r="S446" i="9"/>
  <c r="S144" i="9"/>
  <c r="S381" i="9"/>
  <c r="S724" i="9"/>
  <c r="S277" i="9"/>
  <c r="S228" i="9"/>
  <c r="S493" i="9"/>
  <c r="S673" i="9"/>
  <c r="S696" i="9"/>
  <c r="S344" i="9"/>
  <c r="S391" i="9"/>
  <c r="S117" i="9"/>
  <c r="S97" i="9"/>
  <c r="S291" i="9"/>
  <c r="S679" i="9"/>
  <c r="S447" i="9"/>
  <c r="S444" i="9"/>
  <c r="S554" i="9"/>
  <c r="S486" i="9"/>
  <c r="S445" i="9"/>
  <c r="S345" i="9"/>
  <c r="S276" i="9"/>
  <c r="S207" i="9"/>
  <c r="S298" i="9"/>
  <c r="S552" i="9"/>
  <c r="S706" i="9"/>
  <c r="S529" i="9"/>
  <c r="S631" i="9"/>
  <c r="S497" i="9"/>
  <c r="S101" i="9"/>
  <c r="S667" i="9"/>
  <c r="S106" i="9"/>
  <c r="S548" i="9"/>
  <c r="S475" i="9"/>
  <c r="S389" i="9"/>
  <c r="S155" i="9"/>
  <c r="S293" i="9"/>
  <c r="S237" i="9"/>
  <c r="S152" i="9"/>
  <c r="S549" i="9"/>
  <c r="S465" i="9"/>
  <c r="S596" i="9"/>
  <c r="S407" i="9"/>
  <c r="S280" i="9"/>
  <c r="S684" i="9"/>
  <c r="S725" i="9"/>
  <c r="S537" i="9"/>
  <c r="S123" i="9"/>
  <c r="S263" i="9"/>
  <c r="S163" i="9"/>
  <c r="S65" i="9"/>
  <c r="S73" i="9"/>
  <c r="S25" i="9"/>
  <c r="S72" i="9"/>
  <c r="S66" i="9"/>
  <c r="S57" i="9"/>
  <c r="S62" i="9"/>
  <c r="S33" i="9"/>
  <c r="S39" i="9"/>
  <c r="S77" i="9"/>
  <c r="S42" i="9"/>
  <c r="S38" i="9"/>
  <c r="S56" i="9"/>
  <c r="S43" i="9"/>
  <c r="S81" i="9"/>
  <c r="S83" i="9"/>
  <c r="S55" i="9"/>
  <c r="S29" i="9"/>
  <c r="S20" i="9"/>
  <c r="S348" i="9"/>
  <c r="S311" i="9"/>
  <c r="S694" i="9"/>
  <c r="S624" i="9"/>
  <c r="S211" i="9"/>
  <c r="S619" i="9"/>
  <c r="S617" i="9"/>
  <c r="S224" i="9"/>
  <c r="S544" i="9"/>
  <c r="S487" i="9"/>
  <c r="S330" i="9"/>
  <c r="S502" i="9"/>
  <c r="S387" i="9"/>
  <c r="S676" i="9"/>
  <c r="S454" i="9"/>
  <c r="S308" i="9"/>
  <c r="S258" i="9"/>
  <c r="S654" i="9"/>
  <c r="S543" i="9"/>
  <c r="S158" i="9"/>
  <c r="S579" i="9"/>
  <c r="S443" i="9"/>
  <c r="S168" i="9"/>
  <c r="S108" i="9"/>
  <c r="S428" i="9"/>
  <c r="S418" i="9"/>
  <c r="S143" i="9"/>
  <c r="S145" i="9"/>
  <c r="S318" i="9"/>
  <c r="S699" i="9"/>
  <c r="S568" i="9"/>
  <c r="S304" i="9"/>
  <c r="S167" i="9"/>
  <c r="S586" i="9"/>
  <c r="S533" i="9"/>
  <c r="S705" i="9"/>
  <c r="S494" i="9"/>
  <c r="S422" i="9"/>
  <c r="S717" i="9"/>
  <c r="S388" i="9"/>
  <c r="S365" i="9"/>
  <c r="S90" i="9"/>
  <c r="S704" i="9"/>
  <c r="S265" i="9"/>
  <c r="S659" i="9"/>
  <c r="S335" i="9"/>
  <c r="S248" i="9"/>
  <c r="S98" i="9"/>
  <c r="S510" i="9"/>
  <c r="S602" i="9"/>
  <c r="S559" i="9"/>
  <c r="S686" i="9"/>
  <c r="S406" i="9"/>
  <c r="S498" i="9"/>
  <c r="S337" i="9"/>
  <c r="S712" i="9"/>
  <c r="S119" i="9"/>
  <c r="S190" i="9"/>
  <c r="S380" i="9"/>
  <c r="S662" i="9"/>
  <c r="S729" i="9"/>
  <c r="S181" i="9"/>
  <c r="S512" i="9"/>
  <c r="S170" i="9"/>
  <c r="S430" i="9"/>
  <c r="S310" i="9"/>
  <c r="S130" i="9"/>
  <c r="S604" i="9"/>
  <c r="S542" i="9"/>
  <c r="S665" i="9"/>
  <c r="S199" i="9"/>
  <c r="S610" i="9"/>
  <c r="S431" i="9"/>
  <c r="S99" i="9"/>
  <c r="S526" i="9"/>
  <c r="S230" i="9"/>
  <c r="S140" i="9"/>
  <c r="S375" i="9"/>
  <c r="S720" i="9"/>
  <c r="S197" i="9"/>
  <c r="S272" i="9"/>
  <c r="S551" i="9"/>
  <c r="S110" i="9"/>
  <c r="S273" i="9"/>
  <c r="S356" i="9"/>
  <c r="S133" i="9"/>
  <c r="S222" i="9"/>
  <c r="S649" i="9"/>
  <c r="S536" i="9"/>
  <c r="S477" i="9"/>
  <c r="S213" i="9"/>
  <c r="S481" i="9"/>
  <c r="S377" i="9"/>
  <c r="S325" i="9"/>
  <c r="S417" i="9"/>
  <c r="S269" i="9"/>
  <c r="S585" i="9"/>
  <c r="S581" i="9"/>
  <c r="S730" i="9"/>
  <c r="S655" i="9"/>
  <c r="S532" i="9"/>
  <c r="S91" i="9"/>
  <c r="S426" i="9"/>
  <c r="S242" i="9"/>
  <c r="S234" i="9"/>
  <c r="S142" i="9"/>
  <c r="S415" i="9"/>
  <c r="S92" i="9"/>
  <c r="S397" i="9"/>
  <c r="S299" i="9"/>
  <c r="S683" i="9"/>
  <c r="S288" i="9"/>
  <c r="S634" i="9"/>
  <c r="S661" i="9"/>
  <c r="S342" i="9"/>
  <c r="S436" i="9"/>
  <c r="S718" i="9"/>
  <c r="S243" i="9"/>
  <c r="S600" i="9"/>
  <c r="S172" i="9"/>
  <c r="S503" i="9"/>
  <c r="S539" i="9"/>
  <c r="S437" i="9"/>
  <c r="S368" i="9"/>
  <c r="S714" i="9"/>
  <c r="S153" i="9"/>
  <c r="S693" i="9"/>
  <c r="S516" i="9"/>
  <c r="S175" i="9"/>
  <c r="S350" i="9"/>
  <c r="S331" i="9"/>
  <c r="S598" i="9"/>
  <c r="S266" i="9"/>
  <c r="S470" i="9"/>
  <c r="S642" i="9"/>
  <c r="S669" i="9"/>
  <c r="S608" i="9"/>
  <c r="S165" i="9"/>
  <c r="S294" i="9"/>
  <c r="S692" i="9"/>
  <c r="S22" i="9"/>
  <c r="S267" i="9"/>
  <c r="S328" i="9"/>
  <c r="S674" i="9"/>
  <c r="S185" i="9"/>
  <c r="S357" i="9"/>
  <c r="S546" i="9"/>
  <c r="S251" i="9"/>
  <c r="S202" i="9"/>
  <c r="S405" i="9"/>
  <c r="S341" i="9"/>
  <c r="S88" i="9"/>
  <c r="S562" i="9"/>
  <c r="S645" i="9"/>
  <c r="S305" i="9"/>
  <c r="S439" i="9"/>
  <c r="S320" i="9"/>
  <c r="S507" i="9"/>
  <c r="S115" i="9"/>
  <c r="S413" i="9"/>
  <c r="S313" i="9"/>
  <c r="S204" i="9"/>
  <c r="S625" i="9"/>
  <c r="S125" i="9"/>
  <c r="S702" i="9"/>
  <c r="S349" i="9"/>
  <c r="S583" i="9"/>
  <c r="S195" i="9"/>
  <c r="S137" i="9"/>
  <c r="S722" i="9"/>
  <c r="S569" i="9"/>
  <c r="S577" i="9"/>
  <c r="S358" i="9"/>
  <c r="S721" i="9"/>
  <c r="S618" i="9"/>
  <c r="S574" i="9"/>
  <c r="S594" i="9"/>
  <c r="S501" i="9"/>
  <c r="S68" i="9"/>
  <c r="S53" i="9"/>
  <c r="S41" i="9"/>
  <c r="S27" i="9"/>
  <c r="S69" i="9"/>
  <c r="S85" i="9"/>
  <c r="S79" i="9"/>
  <c r="S17" i="9"/>
  <c r="S23" i="9"/>
  <c r="S84" i="9"/>
  <c r="S37" i="9"/>
  <c r="S49" i="9"/>
  <c r="S13" i="9"/>
  <c r="S28" i="9"/>
  <c r="S220" i="9"/>
  <c r="S482" i="9"/>
  <c r="S491" i="9"/>
  <c r="S660" i="9"/>
  <c r="S352" i="9"/>
  <c r="S698" i="9"/>
  <c r="S217" i="9"/>
  <c r="S633" i="9"/>
  <c r="S500" i="9"/>
  <c r="S250" i="9"/>
  <c r="S329" i="9"/>
  <c r="S262" i="9"/>
  <c r="S300" i="9"/>
  <c r="S582" i="9"/>
  <c r="S697" i="9"/>
  <c r="S401" i="9"/>
  <c r="S432" i="9"/>
  <c r="S149" i="9"/>
  <c r="S323" i="9"/>
  <c r="S584" i="9"/>
  <c r="S109" i="9"/>
  <c r="S421" i="9"/>
  <c r="S435" i="9"/>
  <c r="S609" i="9"/>
  <c r="S187" i="9"/>
  <c r="S203" i="9"/>
  <c r="S286" i="9"/>
  <c r="S346" i="9"/>
  <c r="S209" i="9"/>
  <c r="S700" i="9"/>
  <c r="S688" i="9"/>
  <c r="S128" i="9"/>
  <c r="S411" i="9"/>
  <c r="S340" i="9"/>
  <c r="S641" i="9"/>
  <c r="S456" i="9"/>
  <c r="S186" i="9"/>
  <c r="S270" i="9"/>
  <c r="S680" i="9"/>
  <c r="S191" i="9"/>
  <c r="S378" i="9"/>
  <c r="S453" i="9"/>
  <c r="S100" i="9"/>
  <c r="S640" i="9"/>
  <c r="S216" i="9"/>
  <c r="S690" i="9"/>
  <c r="S121" i="9"/>
  <c r="S605" i="9"/>
  <c r="S726" i="9"/>
  <c r="S103" i="9"/>
  <c r="S597" i="9"/>
  <c r="S457" i="9"/>
  <c r="S578" i="9"/>
  <c r="S483" i="9"/>
  <c r="S460" i="9"/>
  <c r="S361" i="9"/>
  <c r="S629" i="9"/>
  <c r="S518" i="9"/>
  <c r="S658" i="9"/>
  <c r="S278" i="9"/>
  <c r="S620" i="9"/>
  <c r="S394" i="9"/>
  <c r="S573" i="9"/>
  <c r="S336" i="9"/>
  <c r="S292" i="9"/>
  <c r="S178" i="9"/>
  <c r="S419" i="9"/>
  <c r="S257" i="9"/>
  <c r="S478" i="9"/>
  <c r="S255" i="9"/>
  <c r="S612" i="9"/>
  <c r="S59" i="9"/>
  <c r="S71" i="9"/>
  <c r="S45" i="9"/>
  <c r="S63" i="9"/>
  <c r="S30" i="9"/>
  <c r="S51" i="9"/>
  <c r="S16" i="9"/>
  <c r="S52" i="9"/>
  <c r="S34" i="9"/>
  <c r="S64" i="9"/>
  <c r="S36" i="9"/>
  <c r="S40" i="9"/>
  <c r="S82" i="9"/>
  <c r="S78" i="9"/>
  <c r="S476" i="9"/>
  <c r="S122" i="9"/>
  <c r="S297" i="9"/>
  <c r="S161" i="9"/>
  <c r="S146" i="9"/>
  <c r="S490" i="9"/>
  <c r="S558" i="9"/>
  <c r="S701" i="9"/>
  <c r="S343" i="9"/>
  <c r="S166" i="9"/>
  <c r="S643" i="9"/>
  <c r="S232" i="9"/>
  <c r="S556" i="9"/>
  <c r="S239" i="9"/>
  <c r="S403" i="9"/>
  <c r="S513" i="9"/>
  <c r="S253" i="9"/>
  <c r="S668" i="9"/>
  <c r="S639" i="9"/>
  <c r="S132" i="9"/>
  <c r="S450" i="9"/>
  <c r="S427" i="9"/>
  <c r="S723" i="9"/>
  <c r="S312" i="9"/>
  <c r="S628" i="9"/>
  <c r="S644" i="9"/>
  <c r="S264" i="9"/>
  <c r="S227" i="9"/>
  <c r="S461" i="9"/>
  <c r="S508" i="9"/>
  <c r="S425" i="9"/>
  <c r="S189" i="9"/>
  <c r="S591" i="9"/>
  <c r="S471" i="9"/>
  <c r="S675" i="9"/>
  <c r="S285" i="9"/>
  <c r="S708" i="9"/>
  <c r="S599" i="9"/>
  <c r="S268" i="9"/>
  <c r="S105" i="9"/>
  <c r="S400" i="9"/>
  <c r="S281" i="9"/>
  <c r="S151" i="9"/>
  <c r="S393" i="9"/>
  <c r="S135" i="9"/>
  <c r="S469" i="9"/>
  <c r="S462" i="9"/>
  <c r="S677" i="9"/>
  <c r="S339" i="9"/>
  <c r="S564" i="9"/>
  <c r="S215" i="9"/>
  <c r="S136" i="9"/>
  <c r="S511" i="9"/>
  <c r="S379" i="9"/>
  <c r="S290" i="9"/>
  <c r="S565" i="9"/>
  <c r="S671" i="9"/>
  <c r="S627" i="9"/>
  <c r="S390" i="9"/>
  <c r="S208" i="9"/>
  <c r="S164" i="9"/>
  <c r="S93" i="9"/>
  <c r="S334" i="9"/>
  <c r="S466" i="9"/>
  <c r="S506" i="9"/>
  <c r="S519" i="9"/>
  <c r="S711" i="9"/>
  <c r="S716" i="9"/>
  <c r="S522" i="9"/>
  <c r="S171" i="9"/>
  <c r="S21" i="9"/>
  <c r="S15" i="9"/>
  <c r="S70" i="9"/>
  <c r="S58" i="9"/>
  <c r="S86" i="9"/>
  <c r="S47" i="9"/>
  <c r="S35" i="9"/>
  <c r="S31" i="9"/>
  <c r="S44" i="9"/>
  <c r="S12" i="9"/>
  <c r="S74" i="9"/>
  <c r="S48" i="9"/>
  <c r="S26" i="9"/>
  <c r="S61" i="9"/>
  <c r="S540" i="9"/>
  <c r="S319" i="9"/>
  <c r="S382" i="9"/>
  <c r="S433" i="9"/>
  <c r="S317" i="9"/>
  <c r="S632" i="9"/>
  <c r="S623" i="9"/>
  <c r="S180" i="9"/>
  <c r="S429" i="9"/>
  <c r="S374" i="9"/>
  <c r="S485" i="9"/>
  <c r="S296" i="9"/>
  <c r="S162" i="9"/>
  <c r="S527" i="9"/>
  <c r="S489" i="9"/>
  <c r="S112" i="9"/>
  <c r="S423" i="9"/>
  <c r="S150" i="9"/>
  <c r="S703" i="9"/>
  <c r="S260" i="9"/>
  <c r="S535" i="9"/>
  <c r="S601" i="9"/>
  <c r="S214" i="9"/>
  <c r="S376" i="9"/>
  <c r="S192" i="9"/>
  <c r="S404" i="9"/>
  <c r="S488" i="9"/>
  <c r="S398" i="9"/>
  <c r="S287" i="9"/>
  <c r="S183" i="9"/>
  <c r="S587" i="9"/>
  <c r="S530" i="9"/>
  <c r="S719" i="9"/>
  <c r="S622" i="9"/>
  <c r="S593" i="9"/>
  <c r="S370" i="9"/>
  <c r="S235" i="9"/>
  <c r="S727" i="9"/>
  <c r="S396" i="9"/>
  <c r="S275" i="9"/>
  <c r="S210" i="9"/>
  <c r="S451" i="9"/>
  <c r="S322" i="9"/>
  <c r="S691" i="9"/>
  <c r="S221" i="9"/>
  <c r="S616" i="9"/>
  <c r="S615" i="9"/>
  <c r="S316" i="9"/>
  <c r="S651" i="9"/>
  <c r="S589" i="9"/>
  <c r="S557" i="9"/>
  <c r="S392" i="9"/>
  <c r="S129" i="9"/>
  <c r="S538" i="9"/>
  <c r="S588" i="9"/>
  <c r="S637" i="9"/>
  <c r="S653" i="9"/>
  <c r="S504" i="9"/>
  <c r="S249" i="9"/>
  <c r="S295" i="9"/>
  <c r="S229" i="9"/>
  <c r="S434" i="9"/>
  <c r="S647" i="9"/>
  <c r="S366" i="9"/>
  <c r="S307" i="9"/>
  <c r="S159" i="9"/>
  <c r="S464" i="9"/>
  <c r="S420" i="9"/>
  <c r="S408" i="9"/>
  <c r="S505" i="9"/>
  <c r="S14" i="9"/>
  <c r="S731" i="9"/>
  <c r="S75" i="9"/>
  <c r="S19" i="9"/>
  <c r="S67" i="9"/>
  <c r="S76" i="9"/>
  <c r="S50" i="9"/>
  <c r="S60" i="9"/>
  <c r="S54" i="9"/>
  <c r="S80" i="9"/>
  <c r="S46" i="9"/>
  <c r="S24" i="9"/>
  <c r="S18" i="9"/>
  <c r="S32" i="9"/>
  <c r="Z612" i="9" l="1"/>
  <c r="AG612" i="9" s="1"/>
  <c r="T612" i="9"/>
  <c r="W612" i="9" s="1"/>
  <c r="X612" i="9" s="1"/>
  <c r="Y612" i="9" s="1"/>
  <c r="Z501" i="9"/>
  <c r="AG501" i="9" s="1"/>
  <c r="T501" i="9"/>
  <c r="W501" i="9" s="1"/>
  <c r="X501" i="9" s="1"/>
  <c r="Y501" i="9" s="1"/>
  <c r="Z505" i="9"/>
  <c r="AG505" i="9" s="1"/>
  <c r="T505" i="9"/>
  <c r="W505" i="9" s="1"/>
  <c r="X505" i="9" s="1"/>
  <c r="Y505" i="9" s="1"/>
  <c r="Z163" i="9"/>
  <c r="AG163" i="9" s="1"/>
  <c r="T163" i="9"/>
  <c r="W163" i="9" s="1"/>
  <c r="X163" i="9" s="1"/>
  <c r="Y163" i="9" s="1"/>
  <c r="Z171" i="9"/>
  <c r="AG171" i="9" s="1"/>
  <c r="T171" i="9"/>
  <c r="W171" i="9" s="1"/>
  <c r="X171" i="9" s="1"/>
  <c r="Y171" i="9" s="1"/>
  <c r="Z255" i="9"/>
  <c r="AG255" i="9" s="1"/>
  <c r="T255" i="9"/>
  <c r="W255" i="9" s="1"/>
  <c r="X255" i="9" s="1"/>
  <c r="Y255" i="9" s="1"/>
  <c r="Z594" i="9"/>
  <c r="AG594" i="9" s="1"/>
  <c r="T594" i="9"/>
  <c r="W594" i="9" s="1"/>
  <c r="X594" i="9" s="1"/>
  <c r="Y594" i="9" s="1"/>
  <c r="Z263" i="9"/>
  <c r="AG263" i="9" s="1"/>
  <c r="T263" i="9"/>
  <c r="W263" i="9" s="1"/>
  <c r="X263" i="9" s="1"/>
  <c r="Y263" i="9" s="1"/>
  <c r="Z408" i="9"/>
  <c r="AG408" i="9" s="1"/>
  <c r="T408" i="9"/>
  <c r="W408" i="9" s="1"/>
  <c r="X408" i="9" s="1"/>
  <c r="Y408" i="9" s="1"/>
  <c r="Z522" i="9"/>
  <c r="AG522" i="9" s="1"/>
  <c r="T522" i="9"/>
  <c r="W522" i="9" s="1"/>
  <c r="X522" i="9" s="1"/>
  <c r="Y522" i="9" s="1"/>
  <c r="Z478" i="9"/>
  <c r="AG478" i="9" s="1"/>
  <c r="T478" i="9"/>
  <c r="W478" i="9" s="1"/>
  <c r="X478" i="9" s="1"/>
  <c r="Y478" i="9" s="1"/>
  <c r="Z123" i="9"/>
  <c r="AG123" i="9" s="1"/>
  <c r="T123" i="9"/>
  <c r="W123" i="9" s="1"/>
  <c r="X123" i="9" s="1"/>
  <c r="Y123" i="9" s="1"/>
  <c r="Z574" i="9"/>
  <c r="AG574" i="9" s="1"/>
  <c r="T574" i="9"/>
  <c r="W574" i="9" s="1"/>
  <c r="X574" i="9" s="1"/>
  <c r="Y574" i="9" s="1"/>
  <c r="Z420" i="9"/>
  <c r="AG420" i="9" s="1"/>
  <c r="T420" i="9"/>
  <c r="W420" i="9" s="1"/>
  <c r="X420" i="9" s="1"/>
  <c r="Y420" i="9" s="1"/>
  <c r="Z716" i="9"/>
  <c r="AG716" i="9" s="1"/>
  <c r="T716" i="9"/>
  <c r="W716" i="9" s="1"/>
  <c r="X716" i="9" s="1"/>
  <c r="Y716" i="9" s="1"/>
  <c r="Z537" i="9"/>
  <c r="AG537" i="9" s="1"/>
  <c r="T537" i="9"/>
  <c r="W537" i="9" s="1"/>
  <c r="X537" i="9" s="1"/>
  <c r="Y537" i="9" s="1"/>
  <c r="Z257" i="9"/>
  <c r="AG257" i="9" s="1"/>
  <c r="T257" i="9"/>
  <c r="W257" i="9" s="1"/>
  <c r="X257" i="9" s="1"/>
  <c r="Y257" i="9" s="1"/>
  <c r="Z618" i="9"/>
  <c r="AG618" i="9" s="1"/>
  <c r="T618" i="9"/>
  <c r="W618" i="9" s="1"/>
  <c r="X618" i="9" s="1"/>
  <c r="Y618" i="9" s="1"/>
  <c r="Z464" i="9"/>
  <c r="AG464" i="9" s="1"/>
  <c r="T464" i="9"/>
  <c r="W464" i="9" s="1"/>
  <c r="X464" i="9" s="1"/>
  <c r="Y464" i="9" s="1"/>
  <c r="Z725" i="9"/>
  <c r="AG725" i="9" s="1"/>
  <c r="T725" i="9"/>
  <c r="W725" i="9" s="1"/>
  <c r="X725" i="9" s="1"/>
  <c r="Y725" i="9" s="1"/>
  <c r="Z711" i="9"/>
  <c r="AG711" i="9" s="1"/>
  <c r="T711" i="9"/>
  <c r="W711" i="9" s="1"/>
  <c r="X711" i="9" s="1"/>
  <c r="Y711" i="9" s="1"/>
  <c r="Z419" i="9"/>
  <c r="AG419" i="9" s="1"/>
  <c r="T419" i="9"/>
  <c r="W419" i="9" s="1"/>
  <c r="X419" i="9" s="1"/>
  <c r="Y419" i="9" s="1"/>
  <c r="Z721" i="9"/>
  <c r="AG721" i="9" s="1"/>
  <c r="T721" i="9"/>
  <c r="W721" i="9" s="1"/>
  <c r="X721" i="9" s="1"/>
  <c r="Y721" i="9" s="1"/>
  <c r="Z684" i="9"/>
  <c r="AG684" i="9" s="1"/>
  <c r="T684" i="9"/>
  <c r="W684" i="9" s="1"/>
  <c r="X684" i="9" s="1"/>
  <c r="Y684" i="9" s="1"/>
  <c r="Z159" i="9"/>
  <c r="AG159" i="9" s="1"/>
  <c r="T159" i="9"/>
  <c r="W159" i="9" s="1"/>
  <c r="X159" i="9" s="1"/>
  <c r="Y159" i="9" s="1"/>
  <c r="Z519" i="9"/>
  <c r="AG519" i="9" s="1"/>
  <c r="T519" i="9"/>
  <c r="W519" i="9" s="1"/>
  <c r="X519" i="9" s="1"/>
  <c r="Y519" i="9" s="1"/>
  <c r="Z178" i="9"/>
  <c r="AG178" i="9" s="1"/>
  <c r="T178" i="9"/>
  <c r="W178" i="9" s="1"/>
  <c r="X178" i="9" s="1"/>
  <c r="Y178" i="9" s="1"/>
  <c r="Z280" i="9"/>
  <c r="AG280" i="9" s="1"/>
  <c r="T280" i="9"/>
  <c r="W280" i="9" s="1"/>
  <c r="X280" i="9" s="1"/>
  <c r="Y280" i="9" s="1"/>
  <c r="Z358" i="9"/>
  <c r="AG358" i="9" s="1"/>
  <c r="T358" i="9"/>
  <c r="W358" i="9" s="1"/>
  <c r="X358" i="9" s="1"/>
  <c r="Y358" i="9" s="1"/>
  <c r="Z307" i="9"/>
  <c r="AG307" i="9" s="1"/>
  <c r="T307" i="9"/>
  <c r="W307" i="9" s="1"/>
  <c r="X307" i="9" s="1"/>
  <c r="Y307" i="9" s="1"/>
  <c r="Z506" i="9"/>
  <c r="AG506" i="9" s="1"/>
  <c r="T506" i="9"/>
  <c r="W506" i="9" s="1"/>
  <c r="X506" i="9" s="1"/>
  <c r="Y506" i="9" s="1"/>
  <c r="Z407" i="9"/>
  <c r="AG407" i="9" s="1"/>
  <c r="T407" i="9"/>
  <c r="W407" i="9" s="1"/>
  <c r="X407" i="9" s="1"/>
  <c r="Y407" i="9" s="1"/>
  <c r="Z292" i="9"/>
  <c r="AG292" i="9" s="1"/>
  <c r="T292" i="9"/>
  <c r="W292" i="9" s="1"/>
  <c r="X292" i="9" s="1"/>
  <c r="Y292" i="9" s="1"/>
  <c r="Z577" i="9"/>
  <c r="AG577" i="9" s="1"/>
  <c r="T577" i="9"/>
  <c r="W577" i="9" s="1"/>
  <c r="X577" i="9" s="1"/>
  <c r="Y577" i="9" s="1"/>
  <c r="Z366" i="9"/>
  <c r="AG366" i="9" s="1"/>
  <c r="T366" i="9"/>
  <c r="W366" i="9" s="1"/>
  <c r="X366" i="9" s="1"/>
  <c r="Y366" i="9" s="1"/>
  <c r="Z596" i="9"/>
  <c r="AG596" i="9" s="1"/>
  <c r="T596" i="9"/>
  <c r="W596" i="9" s="1"/>
  <c r="X596" i="9" s="1"/>
  <c r="Y596" i="9" s="1"/>
  <c r="Z466" i="9"/>
  <c r="AG466" i="9" s="1"/>
  <c r="T466" i="9"/>
  <c r="W466" i="9" s="1"/>
  <c r="X466" i="9" s="1"/>
  <c r="Y466" i="9" s="1"/>
  <c r="Z336" i="9"/>
  <c r="AG336" i="9" s="1"/>
  <c r="T336" i="9"/>
  <c r="W336" i="9" s="1"/>
  <c r="X336" i="9" s="1"/>
  <c r="Y336" i="9" s="1"/>
  <c r="Z569" i="9"/>
  <c r="AG569" i="9" s="1"/>
  <c r="T569" i="9"/>
  <c r="W569" i="9" s="1"/>
  <c r="X569" i="9" s="1"/>
  <c r="Y569" i="9" s="1"/>
  <c r="Z465" i="9"/>
  <c r="AG465" i="9" s="1"/>
  <c r="T465" i="9"/>
  <c r="W465" i="9" s="1"/>
  <c r="X465" i="9" s="1"/>
  <c r="Y465" i="9" s="1"/>
  <c r="Z647" i="9"/>
  <c r="AG647" i="9" s="1"/>
  <c r="T647" i="9"/>
  <c r="W647" i="9" s="1"/>
  <c r="X647" i="9" s="1"/>
  <c r="Y647" i="9" s="1"/>
  <c r="Z334" i="9"/>
  <c r="AG334" i="9" s="1"/>
  <c r="T334" i="9"/>
  <c r="W334" i="9" s="1"/>
  <c r="X334" i="9" s="1"/>
  <c r="Y334" i="9" s="1"/>
  <c r="Z573" i="9"/>
  <c r="AG573" i="9" s="1"/>
  <c r="T573" i="9"/>
  <c r="W573" i="9" s="1"/>
  <c r="X573" i="9" s="1"/>
  <c r="Y573" i="9" s="1"/>
  <c r="Z549" i="9"/>
  <c r="AG549" i="9" s="1"/>
  <c r="T549" i="9"/>
  <c r="W549" i="9" s="1"/>
  <c r="X549" i="9" s="1"/>
  <c r="Y549" i="9" s="1"/>
  <c r="Z722" i="9"/>
  <c r="AG722" i="9" s="1"/>
  <c r="T722" i="9"/>
  <c r="W722" i="9" s="1"/>
  <c r="X722" i="9" s="1"/>
  <c r="Y722" i="9" s="1"/>
  <c r="Z434" i="9"/>
  <c r="AG434" i="9" s="1"/>
  <c r="T434" i="9"/>
  <c r="W434" i="9" s="1"/>
  <c r="X434" i="9" s="1"/>
  <c r="Y434" i="9" s="1"/>
  <c r="Z93" i="9"/>
  <c r="AG93" i="9" s="1"/>
  <c r="T93" i="9"/>
  <c r="W93" i="9" s="1"/>
  <c r="X93" i="9" s="1"/>
  <c r="Y93" i="9" s="1"/>
  <c r="T152" i="9"/>
  <c r="W152" i="9" s="1"/>
  <c r="X152" i="9" s="1"/>
  <c r="Y152" i="9" s="1"/>
  <c r="Z152" i="9"/>
  <c r="AG152" i="9" s="1"/>
  <c r="Z394" i="9"/>
  <c r="AG394" i="9" s="1"/>
  <c r="T394" i="9"/>
  <c r="W394" i="9" s="1"/>
  <c r="X394" i="9" s="1"/>
  <c r="Y394" i="9" s="1"/>
  <c r="Z137" i="9"/>
  <c r="AG137" i="9" s="1"/>
  <c r="T137" i="9"/>
  <c r="W137" i="9" s="1"/>
  <c r="X137" i="9" s="1"/>
  <c r="Y137" i="9" s="1"/>
  <c r="Z229" i="9"/>
  <c r="AG229" i="9" s="1"/>
  <c r="T229" i="9"/>
  <c r="W229" i="9" s="1"/>
  <c r="X229" i="9" s="1"/>
  <c r="Y229" i="9" s="1"/>
  <c r="Z237" i="9"/>
  <c r="AG237" i="9" s="1"/>
  <c r="T237" i="9"/>
  <c r="W237" i="9" s="1"/>
  <c r="X237" i="9" s="1"/>
  <c r="Y237" i="9" s="1"/>
  <c r="Z164" i="9"/>
  <c r="AG164" i="9" s="1"/>
  <c r="T164" i="9"/>
  <c r="W164" i="9" s="1"/>
  <c r="X164" i="9" s="1"/>
  <c r="Y164" i="9" s="1"/>
  <c r="Z620" i="9"/>
  <c r="AG620" i="9" s="1"/>
  <c r="T620" i="9"/>
  <c r="W620" i="9" s="1"/>
  <c r="X620" i="9" s="1"/>
  <c r="Y620" i="9" s="1"/>
  <c r="Z195" i="9"/>
  <c r="AG195" i="9" s="1"/>
  <c r="T195" i="9"/>
  <c r="W195" i="9" s="1"/>
  <c r="X195" i="9" s="1"/>
  <c r="Y195" i="9" s="1"/>
  <c r="Z293" i="9"/>
  <c r="AG293" i="9" s="1"/>
  <c r="T293" i="9"/>
  <c r="W293" i="9" s="1"/>
  <c r="X293" i="9" s="1"/>
  <c r="Y293" i="9" s="1"/>
  <c r="Z295" i="9"/>
  <c r="AG295" i="9" s="1"/>
  <c r="T295" i="9"/>
  <c r="W295" i="9" s="1"/>
  <c r="X295" i="9" s="1"/>
  <c r="Y295" i="9" s="1"/>
  <c r="Z208" i="9"/>
  <c r="AG208" i="9" s="1"/>
  <c r="T208" i="9"/>
  <c r="W208" i="9" s="1"/>
  <c r="X208" i="9" s="1"/>
  <c r="Y208" i="9" s="1"/>
  <c r="Z278" i="9"/>
  <c r="AG278" i="9" s="1"/>
  <c r="T278" i="9"/>
  <c r="W278" i="9" s="1"/>
  <c r="X278" i="9" s="1"/>
  <c r="Y278" i="9" s="1"/>
  <c r="Z155" i="9"/>
  <c r="AG155" i="9" s="1"/>
  <c r="T155" i="9"/>
  <c r="W155" i="9" s="1"/>
  <c r="X155" i="9" s="1"/>
  <c r="Y155" i="9" s="1"/>
  <c r="Z583" i="9"/>
  <c r="AG583" i="9" s="1"/>
  <c r="T583" i="9"/>
  <c r="W583" i="9" s="1"/>
  <c r="X583" i="9" s="1"/>
  <c r="Y583" i="9" s="1"/>
  <c r="Z249" i="9"/>
  <c r="AG249" i="9" s="1"/>
  <c r="T249" i="9"/>
  <c r="W249" i="9" s="1"/>
  <c r="X249" i="9" s="1"/>
  <c r="Y249" i="9" s="1"/>
  <c r="Z390" i="9"/>
  <c r="AG390" i="9" s="1"/>
  <c r="T390" i="9"/>
  <c r="W390" i="9" s="1"/>
  <c r="X390" i="9" s="1"/>
  <c r="Y390" i="9" s="1"/>
  <c r="Z389" i="9"/>
  <c r="AG389" i="9" s="1"/>
  <c r="T389" i="9"/>
  <c r="W389" i="9" s="1"/>
  <c r="X389" i="9" s="1"/>
  <c r="Y389" i="9" s="1"/>
  <c r="Z658" i="9"/>
  <c r="AG658" i="9" s="1"/>
  <c r="T658" i="9"/>
  <c r="W658" i="9" s="1"/>
  <c r="X658" i="9" s="1"/>
  <c r="Y658" i="9" s="1"/>
  <c r="Z349" i="9"/>
  <c r="AG349" i="9" s="1"/>
  <c r="T349" i="9"/>
  <c r="W349" i="9" s="1"/>
  <c r="X349" i="9" s="1"/>
  <c r="Y349" i="9" s="1"/>
  <c r="Z504" i="9"/>
  <c r="AG504" i="9" s="1"/>
  <c r="T504" i="9"/>
  <c r="W504" i="9" s="1"/>
  <c r="X504" i="9" s="1"/>
  <c r="Y504" i="9" s="1"/>
  <c r="Z475" i="9"/>
  <c r="AG475" i="9" s="1"/>
  <c r="T475" i="9"/>
  <c r="W475" i="9" s="1"/>
  <c r="X475" i="9" s="1"/>
  <c r="Y475" i="9" s="1"/>
  <c r="Z627" i="9"/>
  <c r="AG627" i="9" s="1"/>
  <c r="T627" i="9"/>
  <c r="W627" i="9" s="1"/>
  <c r="X627" i="9" s="1"/>
  <c r="Y627" i="9" s="1"/>
  <c r="Z518" i="9"/>
  <c r="AG518" i="9" s="1"/>
  <c r="T518" i="9"/>
  <c r="W518" i="9" s="1"/>
  <c r="X518" i="9" s="1"/>
  <c r="Y518" i="9" s="1"/>
  <c r="Z702" i="9"/>
  <c r="AG702" i="9" s="1"/>
  <c r="T702" i="9"/>
  <c r="W702" i="9" s="1"/>
  <c r="X702" i="9" s="1"/>
  <c r="Y702" i="9" s="1"/>
  <c r="Z548" i="9"/>
  <c r="AG548" i="9" s="1"/>
  <c r="T548" i="9"/>
  <c r="W548" i="9" s="1"/>
  <c r="X548" i="9" s="1"/>
  <c r="Y548" i="9" s="1"/>
  <c r="Z653" i="9"/>
  <c r="AG653" i="9" s="1"/>
  <c r="T653" i="9"/>
  <c r="W653" i="9" s="1"/>
  <c r="X653" i="9" s="1"/>
  <c r="Y653" i="9" s="1"/>
  <c r="Z671" i="9"/>
  <c r="AG671" i="9" s="1"/>
  <c r="T671" i="9"/>
  <c r="W671" i="9" s="1"/>
  <c r="X671" i="9" s="1"/>
  <c r="Y671" i="9" s="1"/>
  <c r="Z629" i="9"/>
  <c r="AG629" i="9" s="1"/>
  <c r="T629" i="9"/>
  <c r="W629" i="9" s="1"/>
  <c r="X629" i="9" s="1"/>
  <c r="Y629" i="9" s="1"/>
  <c r="Z106" i="9"/>
  <c r="AG106" i="9" s="1"/>
  <c r="T106" i="9"/>
  <c r="W106" i="9" s="1"/>
  <c r="X106" i="9" s="1"/>
  <c r="Y106" i="9" s="1"/>
  <c r="Z125" i="9"/>
  <c r="AG125" i="9" s="1"/>
  <c r="T125" i="9"/>
  <c r="W125" i="9" s="1"/>
  <c r="X125" i="9" s="1"/>
  <c r="Y125" i="9" s="1"/>
  <c r="Z637" i="9"/>
  <c r="AG637" i="9" s="1"/>
  <c r="T637" i="9"/>
  <c r="W637" i="9" s="1"/>
  <c r="X637" i="9" s="1"/>
  <c r="Y637" i="9" s="1"/>
  <c r="Z565" i="9"/>
  <c r="AG565" i="9" s="1"/>
  <c r="T565" i="9"/>
  <c r="W565" i="9" s="1"/>
  <c r="X565" i="9" s="1"/>
  <c r="Y565" i="9" s="1"/>
  <c r="Z667" i="9"/>
  <c r="AG667" i="9" s="1"/>
  <c r="T667" i="9"/>
  <c r="W667" i="9" s="1"/>
  <c r="X667" i="9" s="1"/>
  <c r="Y667" i="9" s="1"/>
  <c r="Z361" i="9"/>
  <c r="AG361" i="9" s="1"/>
  <c r="T361" i="9"/>
  <c r="W361" i="9" s="1"/>
  <c r="X361" i="9" s="1"/>
  <c r="Y361" i="9" s="1"/>
  <c r="Z625" i="9"/>
  <c r="AG625" i="9" s="1"/>
  <c r="T625" i="9"/>
  <c r="W625" i="9" s="1"/>
  <c r="X625" i="9" s="1"/>
  <c r="Y625" i="9" s="1"/>
  <c r="Z588" i="9"/>
  <c r="AG588" i="9" s="1"/>
  <c r="T588" i="9"/>
  <c r="W588" i="9" s="1"/>
  <c r="X588" i="9" s="1"/>
  <c r="Y588" i="9" s="1"/>
  <c r="Z101" i="9"/>
  <c r="AG101" i="9" s="1"/>
  <c r="T101" i="9"/>
  <c r="W101" i="9" s="1"/>
  <c r="X101" i="9" s="1"/>
  <c r="Y101" i="9" s="1"/>
  <c r="Z290" i="9"/>
  <c r="AG290" i="9" s="1"/>
  <c r="T290" i="9"/>
  <c r="W290" i="9" s="1"/>
  <c r="X290" i="9" s="1"/>
  <c r="Y290" i="9" s="1"/>
  <c r="Z460" i="9"/>
  <c r="AG460" i="9" s="1"/>
  <c r="T460" i="9"/>
  <c r="W460" i="9" s="1"/>
  <c r="X460" i="9" s="1"/>
  <c r="Y460" i="9" s="1"/>
  <c r="Z204" i="9"/>
  <c r="AG204" i="9" s="1"/>
  <c r="T204" i="9"/>
  <c r="W204" i="9" s="1"/>
  <c r="X204" i="9" s="1"/>
  <c r="Y204" i="9" s="1"/>
  <c r="Z497" i="9"/>
  <c r="AG497" i="9" s="1"/>
  <c r="T497" i="9"/>
  <c r="W497" i="9" s="1"/>
  <c r="X497" i="9" s="1"/>
  <c r="Y497" i="9" s="1"/>
  <c r="Z538" i="9"/>
  <c r="AG538" i="9" s="1"/>
  <c r="T538" i="9"/>
  <c r="W538" i="9" s="1"/>
  <c r="X538" i="9" s="1"/>
  <c r="Y538" i="9" s="1"/>
  <c r="Z379" i="9"/>
  <c r="AG379" i="9" s="1"/>
  <c r="T379" i="9"/>
  <c r="W379" i="9" s="1"/>
  <c r="X379" i="9" s="1"/>
  <c r="Y379" i="9" s="1"/>
  <c r="Z415" i="9"/>
  <c r="AG415" i="9" s="1"/>
  <c r="T415" i="9"/>
  <c r="W415" i="9" s="1"/>
  <c r="X415" i="9" s="1"/>
  <c r="Y415" i="9" s="1"/>
  <c r="Z631" i="9"/>
  <c r="AG631" i="9" s="1"/>
  <c r="T631" i="9"/>
  <c r="W631" i="9" s="1"/>
  <c r="X631" i="9" s="1"/>
  <c r="Y631" i="9" s="1"/>
  <c r="Z483" i="9"/>
  <c r="AG483" i="9" s="1"/>
  <c r="T483" i="9"/>
  <c r="W483" i="9" s="1"/>
  <c r="X483" i="9" s="1"/>
  <c r="Y483" i="9" s="1"/>
  <c r="Z313" i="9"/>
  <c r="AG313" i="9" s="1"/>
  <c r="T313" i="9"/>
  <c r="W313" i="9" s="1"/>
  <c r="X313" i="9" s="1"/>
  <c r="Y313" i="9" s="1"/>
  <c r="Z142" i="9"/>
  <c r="AG142" i="9" s="1"/>
  <c r="T142" i="9"/>
  <c r="W142" i="9" s="1"/>
  <c r="X142" i="9" s="1"/>
  <c r="Y142" i="9" s="1"/>
  <c r="Z529" i="9"/>
  <c r="AG529" i="9" s="1"/>
  <c r="T529" i="9"/>
  <c r="W529" i="9" s="1"/>
  <c r="X529" i="9" s="1"/>
  <c r="Y529" i="9" s="1"/>
  <c r="Z129" i="9"/>
  <c r="AG129" i="9" s="1"/>
  <c r="T129" i="9"/>
  <c r="W129" i="9" s="1"/>
  <c r="X129" i="9" s="1"/>
  <c r="Y129" i="9" s="1"/>
  <c r="Z511" i="9"/>
  <c r="AG511" i="9" s="1"/>
  <c r="T511" i="9"/>
  <c r="W511" i="9" s="1"/>
  <c r="X511" i="9" s="1"/>
  <c r="Y511" i="9" s="1"/>
  <c r="Z234" i="9"/>
  <c r="AG234" i="9" s="1"/>
  <c r="T234" i="9"/>
  <c r="W234" i="9" s="1"/>
  <c r="X234" i="9" s="1"/>
  <c r="Y234" i="9" s="1"/>
  <c r="Z706" i="9"/>
  <c r="AG706" i="9" s="1"/>
  <c r="T706" i="9"/>
  <c r="W706" i="9" s="1"/>
  <c r="X706" i="9" s="1"/>
  <c r="Y706" i="9" s="1"/>
  <c r="Z578" i="9"/>
  <c r="AG578" i="9" s="1"/>
  <c r="T578" i="9"/>
  <c r="W578" i="9" s="1"/>
  <c r="X578" i="9" s="1"/>
  <c r="Y578" i="9" s="1"/>
  <c r="Z413" i="9"/>
  <c r="AG413" i="9" s="1"/>
  <c r="T413" i="9"/>
  <c r="W413" i="9" s="1"/>
  <c r="X413" i="9" s="1"/>
  <c r="Y413" i="9" s="1"/>
  <c r="Z242" i="9"/>
  <c r="AG242" i="9" s="1"/>
  <c r="T242" i="9"/>
  <c r="W242" i="9" s="1"/>
  <c r="X242" i="9" s="1"/>
  <c r="Y242" i="9" s="1"/>
  <c r="Z552" i="9"/>
  <c r="AG552" i="9" s="1"/>
  <c r="T552" i="9"/>
  <c r="W552" i="9" s="1"/>
  <c r="X552" i="9" s="1"/>
  <c r="Y552" i="9" s="1"/>
  <c r="Z392" i="9"/>
  <c r="AG392" i="9" s="1"/>
  <c r="T392" i="9"/>
  <c r="W392" i="9" s="1"/>
  <c r="X392" i="9" s="1"/>
  <c r="Y392" i="9" s="1"/>
  <c r="T136" i="9"/>
  <c r="W136" i="9" s="1"/>
  <c r="X136" i="9" s="1"/>
  <c r="Y136" i="9" s="1"/>
  <c r="Z136" i="9"/>
  <c r="AG136" i="9" s="1"/>
  <c r="Z426" i="9"/>
  <c r="AG426" i="9" s="1"/>
  <c r="T426" i="9"/>
  <c r="W426" i="9" s="1"/>
  <c r="X426" i="9" s="1"/>
  <c r="Y426" i="9" s="1"/>
  <c r="Z298" i="9"/>
  <c r="AG298" i="9" s="1"/>
  <c r="T298" i="9"/>
  <c r="W298" i="9" s="1"/>
  <c r="X298" i="9" s="1"/>
  <c r="Y298" i="9" s="1"/>
  <c r="Z457" i="9"/>
  <c r="AG457" i="9" s="1"/>
  <c r="T457" i="9"/>
  <c r="W457" i="9" s="1"/>
  <c r="X457" i="9" s="1"/>
  <c r="Y457" i="9" s="1"/>
  <c r="Z115" i="9"/>
  <c r="AG115" i="9" s="1"/>
  <c r="T115" i="9"/>
  <c r="W115" i="9" s="1"/>
  <c r="X115" i="9" s="1"/>
  <c r="Y115" i="9" s="1"/>
  <c r="Z91" i="9"/>
  <c r="AG91" i="9" s="1"/>
  <c r="T91" i="9"/>
  <c r="W91" i="9" s="1"/>
  <c r="X91" i="9" s="1"/>
  <c r="Y91" i="9" s="1"/>
  <c r="Z207" i="9"/>
  <c r="AG207" i="9" s="1"/>
  <c r="T207" i="9"/>
  <c r="W207" i="9" s="1"/>
  <c r="X207" i="9" s="1"/>
  <c r="Y207" i="9" s="1"/>
  <c r="Z557" i="9"/>
  <c r="AG557" i="9" s="1"/>
  <c r="T557" i="9"/>
  <c r="W557" i="9" s="1"/>
  <c r="X557" i="9" s="1"/>
  <c r="Y557" i="9" s="1"/>
  <c r="Z215" i="9"/>
  <c r="AG215" i="9" s="1"/>
  <c r="T215" i="9"/>
  <c r="W215" i="9" s="1"/>
  <c r="X215" i="9" s="1"/>
  <c r="Y215" i="9" s="1"/>
  <c r="Z532" i="9"/>
  <c r="AG532" i="9" s="1"/>
  <c r="T532" i="9"/>
  <c r="W532" i="9" s="1"/>
  <c r="X532" i="9" s="1"/>
  <c r="Y532" i="9" s="1"/>
  <c r="Z276" i="9"/>
  <c r="AG276" i="9" s="1"/>
  <c r="T276" i="9"/>
  <c r="W276" i="9" s="1"/>
  <c r="X276" i="9" s="1"/>
  <c r="Y276" i="9" s="1"/>
  <c r="Z597" i="9"/>
  <c r="AG597" i="9" s="1"/>
  <c r="T597" i="9"/>
  <c r="W597" i="9" s="1"/>
  <c r="X597" i="9" s="1"/>
  <c r="Y597" i="9" s="1"/>
  <c r="Z507" i="9"/>
  <c r="AG507" i="9" s="1"/>
  <c r="T507" i="9"/>
  <c r="W507" i="9" s="1"/>
  <c r="X507" i="9" s="1"/>
  <c r="Y507" i="9" s="1"/>
  <c r="Z655" i="9"/>
  <c r="AG655" i="9" s="1"/>
  <c r="T655" i="9"/>
  <c r="W655" i="9" s="1"/>
  <c r="X655" i="9" s="1"/>
  <c r="Y655" i="9" s="1"/>
  <c r="Z345" i="9"/>
  <c r="AG345" i="9" s="1"/>
  <c r="T345" i="9"/>
  <c r="W345" i="9" s="1"/>
  <c r="X345" i="9" s="1"/>
  <c r="Y345" i="9" s="1"/>
  <c r="Z589" i="9"/>
  <c r="AG589" i="9" s="1"/>
  <c r="T589" i="9"/>
  <c r="W589" i="9" s="1"/>
  <c r="X589" i="9" s="1"/>
  <c r="Y589" i="9" s="1"/>
  <c r="Z564" i="9"/>
  <c r="AG564" i="9" s="1"/>
  <c r="T564" i="9"/>
  <c r="W564" i="9" s="1"/>
  <c r="X564" i="9" s="1"/>
  <c r="Y564" i="9" s="1"/>
  <c r="Z730" i="9"/>
  <c r="AG730" i="9" s="1"/>
  <c r="T730" i="9"/>
  <c r="W730" i="9" s="1"/>
  <c r="X730" i="9" s="1"/>
  <c r="Y730" i="9" s="1"/>
  <c r="Z445" i="9"/>
  <c r="AG445" i="9" s="1"/>
  <c r="T445" i="9"/>
  <c r="W445" i="9" s="1"/>
  <c r="X445" i="9" s="1"/>
  <c r="Y445" i="9" s="1"/>
  <c r="Z103" i="9"/>
  <c r="AG103" i="9" s="1"/>
  <c r="T103" i="9"/>
  <c r="W103" i="9" s="1"/>
  <c r="X103" i="9" s="1"/>
  <c r="Y103" i="9" s="1"/>
  <c r="Z320" i="9"/>
  <c r="AG320" i="9" s="1"/>
  <c r="T320" i="9"/>
  <c r="W320" i="9" s="1"/>
  <c r="X320" i="9" s="1"/>
  <c r="Y320" i="9" s="1"/>
  <c r="Z581" i="9"/>
  <c r="AG581" i="9" s="1"/>
  <c r="T581" i="9"/>
  <c r="W581" i="9" s="1"/>
  <c r="X581" i="9" s="1"/>
  <c r="Y581" i="9" s="1"/>
  <c r="Z486" i="9"/>
  <c r="AG486" i="9" s="1"/>
  <c r="T486" i="9"/>
  <c r="W486" i="9" s="1"/>
  <c r="X486" i="9" s="1"/>
  <c r="Y486" i="9" s="1"/>
  <c r="Z651" i="9"/>
  <c r="AG651" i="9" s="1"/>
  <c r="T651" i="9"/>
  <c r="W651" i="9" s="1"/>
  <c r="X651" i="9" s="1"/>
  <c r="Y651" i="9" s="1"/>
  <c r="Z339" i="9"/>
  <c r="AG339" i="9" s="1"/>
  <c r="T339" i="9"/>
  <c r="W339" i="9" s="1"/>
  <c r="X339" i="9" s="1"/>
  <c r="Y339" i="9" s="1"/>
  <c r="Z585" i="9"/>
  <c r="AG585" i="9" s="1"/>
  <c r="T585" i="9"/>
  <c r="W585" i="9" s="1"/>
  <c r="X585" i="9" s="1"/>
  <c r="Y585" i="9" s="1"/>
  <c r="Z554" i="9"/>
  <c r="AG554" i="9" s="1"/>
  <c r="T554" i="9"/>
  <c r="W554" i="9" s="1"/>
  <c r="X554" i="9" s="1"/>
  <c r="Y554" i="9" s="1"/>
  <c r="Z726" i="9"/>
  <c r="AG726" i="9" s="1"/>
  <c r="T726" i="9"/>
  <c r="W726" i="9" s="1"/>
  <c r="X726" i="9" s="1"/>
  <c r="Y726" i="9" s="1"/>
  <c r="Z439" i="9"/>
  <c r="AG439" i="9" s="1"/>
  <c r="T439" i="9"/>
  <c r="W439" i="9" s="1"/>
  <c r="X439" i="9" s="1"/>
  <c r="Y439" i="9" s="1"/>
  <c r="Z269" i="9"/>
  <c r="AG269" i="9" s="1"/>
  <c r="T269" i="9"/>
  <c r="W269" i="9" s="1"/>
  <c r="X269" i="9" s="1"/>
  <c r="Y269" i="9" s="1"/>
  <c r="Z444" i="9"/>
  <c r="AG444" i="9" s="1"/>
  <c r="T444" i="9"/>
  <c r="W444" i="9" s="1"/>
  <c r="X444" i="9" s="1"/>
  <c r="Y444" i="9" s="1"/>
  <c r="Z316" i="9"/>
  <c r="AG316" i="9" s="1"/>
  <c r="T316" i="9"/>
  <c r="W316" i="9" s="1"/>
  <c r="X316" i="9" s="1"/>
  <c r="Y316" i="9" s="1"/>
  <c r="Z677" i="9"/>
  <c r="AG677" i="9" s="1"/>
  <c r="T677" i="9"/>
  <c r="W677" i="9" s="1"/>
  <c r="X677" i="9" s="1"/>
  <c r="Y677" i="9" s="1"/>
  <c r="Z417" i="9"/>
  <c r="AG417" i="9" s="1"/>
  <c r="T417" i="9"/>
  <c r="W417" i="9" s="1"/>
  <c r="X417" i="9" s="1"/>
  <c r="Y417" i="9" s="1"/>
  <c r="Z134" i="9"/>
  <c r="AG134" i="9" s="1"/>
  <c r="T134" i="9"/>
  <c r="W134" i="9" s="1"/>
  <c r="X134" i="9" s="1"/>
  <c r="Y134" i="9" s="1"/>
  <c r="Z447" i="9"/>
  <c r="AG447" i="9" s="1"/>
  <c r="T447" i="9"/>
  <c r="W447" i="9" s="1"/>
  <c r="X447" i="9" s="1"/>
  <c r="Y447" i="9" s="1"/>
  <c r="Z605" i="9"/>
  <c r="AG605" i="9" s="1"/>
  <c r="T605" i="9"/>
  <c r="W605" i="9" s="1"/>
  <c r="X605" i="9" s="1"/>
  <c r="Y605" i="9" s="1"/>
  <c r="Z305" i="9"/>
  <c r="AG305" i="9" s="1"/>
  <c r="T305" i="9"/>
  <c r="W305" i="9" s="1"/>
  <c r="X305" i="9" s="1"/>
  <c r="Y305" i="9" s="1"/>
  <c r="Z652" i="9"/>
  <c r="AG652" i="9" s="1"/>
  <c r="T652" i="9"/>
  <c r="W652" i="9" s="1"/>
  <c r="X652" i="9" s="1"/>
  <c r="Y652" i="9" s="1"/>
  <c r="Z325" i="9"/>
  <c r="AG325" i="9" s="1"/>
  <c r="T325" i="9"/>
  <c r="W325" i="9" s="1"/>
  <c r="X325" i="9" s="1"/>
  <c r="Y325" i="9" s="1"/>
  <c r="Z679" i="9"/>
  <c r="AG679" i="9" s="1"/>
  <c r="T679" i="9"/>
  <c r="W679" i="9" s="1"/>
  <c r="X679" i="9" s="1"/>
  <c r="Y679" i="9" s="1"/>
  <c r="Z615" i="9"/>
  <c r="AG615" i="9" s="1"/>
  <c r="T615" i="9"/>
  <c r="W615" i="9" s="1"/>
  <c r="X615" i="9" s="1"/>
  <c r="Y615" i="9" s="1"/>
  <c r="T547" i="9"/>
  <c r="W547" i="9" s="1"/>
  <c r="X547" i="9" s="1"/>
  <c r="Y547" i="9" s="1"/>
  <c r="Z547" i="9"/>
  <c r="AG547" i="9" s="1"/>
  <c r="Z462" i="9"/>
  <c r="AG462" i="9" s="1"/>
  <c r="T462" i="9"/>
  <c r="W462" i="9" s="1"/>
  <c r="X462" i="9" s="1"/>
  <c r="Y462" i="9" s="1"/>
  <c r="Z377" i="9"/>
  <c r="AG377" i="9" s="1"/>
  <c r="T377" i="9"/>
  <c r="W377" i="9" s="1"/>
  <c r="X377" i="9" s="1"/>
  <c r="Y377" i="9" s="1"/>
  <c r="Z291" i="9"/>
  <c r="AG291" i="9" s="1"/>
  <c r="T291" i="9"/>
  <c r="W291" i="9" s="1"/>
  <c r="X291" i="9" s="1"/>
  <c r="Y291" i="9" s="1"/>
  <c r="Z206" i="9"/>
  <c r="AG206" i="9" s="1"/>
  <c r="T206" i="9"/>
  <c r="W206" i="9" s="1"/>
  <c r="X206" i="9" s="1"/>
  <c r="Y206" i="9" s="1"/>
  <c r="Z121" i="9"/>
  <c r="AG121" i="9" s="1"/>
  <c r="T121" i="9"/>
  <c r="W121" i="9" s="1"/>
  <c r="X121" i="9" s="1"/>
  <c r="Y121" i="9" s="1"/>
  <c r="Z645" i="9"/>
  <c r="AG645" i="9" s="1"/>
  <c r="T645" i="9"/>
  <c r="W645" i="9" s="1"/>
  <c r="X645" i="9" s="1"/>
  <c r="Y645" i="9" s="1"/>
  <c r="Z481" i="9"/>
  <c r="AG481" i="9" s="1"/>
  <c r="T481" i="9"/>
  <c r="W481" i="9" s="1"/>
  <c r="X481" i="9" s="1"/>
  <c r="Y481" i="9" s="1"/>
  <c r="Z283" i="9"/>
  <c r="AG283" i="9" s="1"/>
  <c r="T283" i="9"/>
  <c r="W283" i="9" s="1"/>
  <c r="X283" i="9" s="1"/>
  <c r="Y283" i="9" s="1"/>
  <c r="Z97" i="9"/>
  <c r="AG97" i="9" s="1"/>
  <c r="T97" i="9"/>
  <c r="W97" i="9" s="1"/>
  <c r="X97" i="9" s="1"/>
  <c r="Y97" i="9" s="1"/>
  <c r="Z616" i="9"/>
  <c r="AG616" i="9" s="1"/>
  <c r="T616" i="9"/>
  <c r="W616" i="9" s="1"/>
  <c r="X616" i="9" s="1"/>
  <c r="Y616" i="9" s="1"/>
  <c r="Z469" i="9"/>
  <c r="AG469" i="9" s="1"/>
  <c r="T469" i="9"/>
  <c r="W469" i="9" s="1"/>
  <c r="X469" i="9" s="1"/>
  <c r="Y469" i="9" s="1"/>
  <c r="Z314" i="9"/>
  <c r="AG314" i="9" s="1"/>
  <c r="T314" i="9"/>
  <c r="W314" i="9" s="1"/>
  <c r="X314" i="9" s="1"/>
  <c r="Y314" i="9" s="1"/>
  <c r="Z213" i="9"/>
  <c r="AG213" i="9" s="1"/>
  <c r="T213" i="9"/>
  <c r="W213" i="9" s="1"/>
  <c r="X213" i="9" s="1"/>
  <c r="Y213" i="9" s="1"/>
  <c r="Z117" i="9"/>
  <c r="AG117" i="9" s="1"/>
  <c r="T117" i="9"/>
  <c r="W117" i="9" s="1"/>
  <c r="X117" i="9" s="1"/>
  <c r="Y117" i="9" s="1"/>
  <c r="Z690" i="9"/>
  <c r="AG690" i="9" s="1"/>
  <c r="T690" i="9"/>
  <c r="W690" i="9" s="1"/>
  <c r="X690" i="9" s="1"/>
  <c r="Y690" i="9" s="1"/>
  <c r="Z626" i="9"/>
  <c r="AG626" i="9" s="1"/>
  <c r="T626" i="9"/>
  <c r="W626" i="9" s="1"/>
  <c r="X626" i="9" s="1"/>
  <c r="Y626" i="9" s="1"/>
  <c r="Z562" i="9"/>
  <c r="AG562" i="9" s="1"/>
  <c r="T562" i="9"/>
  <c r="W562" i="9" s="1"/>
  <c r="X562" i="9" s="1"/>
  <c r="Y562" i="9" s="1"/>
  <c r="Z477" i="9"/>
  <c r="AG477" i="9" s="1"/>
  <c r="T477" i="9"/>
  <c r="W477" i="9" s="1"/>
  <c r="X477" i="9" s="1"/>
  <c r="Y477" i="9" s="1"/>
  <c r="Z391" i="9"/>
  <c r="AG391" i="9" s="1"/>
  <c r="T391" i="9"/>
  <c r="W391" i="9" s="1"/>
  <c r="X391" i="9" s="1"/>
  <c r="Y391" i="9" s="1"/>
  <c r="Z306" i="9"/>
  <c r="AG306" i="9" s="1"/>
  <c r="T306" i="9"/>
  <c r="W306" i="9" s="1"/>
  <c r="X306" i="9" s="1"/>
  <c r="Y306" i="9" s="1"/>
  <c r="Z221" i="9"/>
  <c r="AG221" i="9" s="1"/>
  <c r="T221" i="9"/>
  <c r="W221" i="9" s="1"/>
  <c r="X221" i="9" s="1"/>
  <c r="Y221" i="9" s="1"/>
  <c r="Z135" i="9"/>
  <c r="AG135" i="9" s="1"/>
  <c r="T135" i="9"/>
  <c r="W135" i="9" s="1"/>
  <c r="X135" i="9" s="1"/>
  <c r="Y135" i="9" s="1"/>
  <c r="Z536" i="9"/>
  <c r="AG536" i="9" s="1"/>
  <c r="T536" i="9"/>
  <c r="W536" i="9" s="1"/>
  <c r="X536" i="9" s="1"/>
  <c r="Y536" i="9" s="1"/>
  <c r="Z472" i="9"/>
  <c r="AG472" i="9" s="1"/>
  <c r="T472" i="9"/>
  <c r="W472" i="9" s="1"/>
  <c r="X472" i="9" s="1"/>
  <c r="Y472" i="9" s="1"/>
  <c r="Z344" i="9"/>
  <c r="AG344" i="9" s="1"/>
  <c r="T344" i="9"/>
  <c r="W344" i="9" s="1"/>
  <c r="X344" i="9" s="1"/>
  <c r="Y344" i="9" s="1"/>
  <c r="Z216" i="9"/>
  <c r="AG216" i="9" s="1"/>
  <c r="T216" i="9"/>
  <c r="W216" i="9" s="1"/>
  <c r="X216" i="9" s="1"/>
  <c r="Y216" i="9" s="1"/>
  <c r="T88" i="9"/>
  <c r="W88" i="9" s="1"/>
  <c r="X88" i="9" s="1"/>
  <c r="Y88" i="9" s="1"/>
  <c r="Z88" i="9"/>
  <c r="AG88" i="9" s="1"/>
  <c r="Z198" i="9"/>
  <c r="AG198" i="9" s="1"/>
  <c r="T198" i="9"/>
  <c r="W198" i="9" s="1"/>
  <c r="X198" i="9" s="1"/>
  <c r="Y198" i="9" s="1"/>
  <c r="Z649" i="9"/>
  <c r="AG649" i="9" s="1"/>
  <c r="T649" i="9"/>
  <c r="W649" i="9" s="1"/>
  <c r="X649" i="9" s="1"/>
  <c r="Y649" i="9" s="1"/>
  <c r="Z696" i="9"/>
  <c r="AG696" i="9" s="1"/>
  <c r="T696" i="9"/>
  <c r="W696" i="9" s="1"/>
  <c r="X696" i="9" s="1"/>
  <c r="Y696" i="9" s="1"/>
  <c r="Z691" i="9"/>
  <c r="AG691" i="9" s="1"/>
  <c r="T691" i="9"/>
  <c r="W691" i="9" s="1"/>
  <c r="X691" i="9" s="1"/>
  <c r="Y691" i="9" s="1"/>
  <c r="Z563" i="9"/>
  <c r="AG563" i="9" s="1"/>
  <c r="T563" i="9"/>
  <c r="W563" i="9" s="1"/>
  <c r="X563" i="9" s="1"/>
  <c r="Y563" i="9" s="1"/>
  <c r="Z393" i="9"/>
  <c r="AG393" i="9" s="1"/>
  <c r="T393" i="9"/>
  <c r="W393" i="9" s="1"/>
  <c r="X393" i="9" s="1"/>
  <c r="Y393" i="9" s="1"/>
  <c r="Z222" i="9"/>
  <c r="AG222" i="9" s="1"/>
  <c r="T222" i="9"/>
  <c r="W222" i="9" s="1"/>
  <c r="X222" i="9" s="1"/>
  <c r="Y222" i="9" s="1"/>
  <c r="Z673" i="9"/>
  <c r="AG673" i="9" s="1"/>
  <c r="T673" i="9"/>
  <c r="W673" i="9" s="1"/>
  <c r="X673" i="9" s="1"/>
  <c r="Y673" i="9" s="1"/>
  <c r="Z326" i="9"/>
  <c r="AG326" i="9" s="1"/>
  <c r="T326" i="9"/>
  <c r="W326" i="9" s="1"/>
  <c r="X326" i="9" s="1"/>
  <c r="Y326" i="9" s="1"/>
  <c r="Z640" i="9"/>
  <c r="AG640" i="9" s="1"/>
  <c r="T640" i="9"/>
  <c r="W640" i="9" s="1"/>
  <c r="X640" i="9" s="1"/>
  <c r="Y640" i="9" s="1"/>
  <c r="Z341" i="9"/>
  <c r="AG341" i="9" s="1"/>
  <c r="T341" i="9"/>
  <c r="W341" i="9" s="1"/>
  <c r="X341" i="9" s="1"/>
  <c r="Y341" i="9" s="1"/>
  <c r="Z133" i="9"/>
  <c r="AG133" i="9" s="1"/>
  <c r="T133" i="9"/>
  <c r="W133" i="9" s="1"/>
  <c r="X133" i="9" s="1"/>
  <c r="Y133" i="9" s="1"/>
  <c r="Z638" i="9"/>
  <c r="AG638" i="9" s="1"/>
  <c r="T638" i="9"/>
  <c r="W638" i="9" s="1"/>
  <c r="X638" i="9" s="1"/>
  <c r="Y638" i="9" s="1"/>
  <c r="Z493" i="9"/>
  <c r="AG493" i="9" s="1"/>
  <c r="T493" i="9"/>
  <c r="W493" i="9" s="1"/>
  <c r="X493" i="9" s="1"/>
  <c r="Y493" i="9" s="1"/>
  <c r="Z322" i="9"/>
  <c r="AG322" i="9" s="1"/>
  <c r="T322" i="9"/>
  <c r="W322" i="9" s="1"/>
  <c r="X322" i="9" s="1"/>
  <c r="Y322" i="9" s="1"/>
  <c r="Z151" i="9"/>
  <c r="AG151" i="9" s="1"/>
  <c r="T151" i="9"/>
  <c r="W151" i="9" s="1"/>
  <c r="X151" i="9" s="1"/>
  <c r="Y151" i="9" s="1"/>
  <c r="Z484" i="9"/>
  <c r="AG484" i="9" s="1"/>
  <c r="T484" i="9"/>
  <c r="W484" i="9" s="1"/>
  <c r="X484" i="9" s="1"/>
  <c r="Y484" i="9" s="1"/>
  <c r="Z356" i="9"/>
  <c r="AG356" i="9" s="1"/>
  <c r="T356" i="9"/>
  <c r="W356" i="9" s="1"/>
  <c r="X356" i="9" s="1"/>
  <c r="Y356" i="9" s="1"/>
  <c r="Z228" i="9"/>
  <c r="AG228" i="9" s="1"/>
  <c r="T228" i="9"/>
  <c r="W228" i="9" s="1"/>
  <c r="X228" i="9" s="1"/>
  <c r="Y228" i="9" s="1"/>
  <c r="T100" i="9"/>
  <c r="W100" i="9" s="1"/>
  <c r="X100" i="9" s="1"/>
  <c r="Y100" i="9" s="1"/>
  <c r="Z100" i="9"/>
  <c r="AG100" i="9" s="1"/>
  <c r="Z385" i="9"/>
  <c r="AG385" i="9" s="1"/>
  <c r="T385" i="9"/>
  <c r="W385" i="9" s="1"/>
  <c r="X385" i="9" s="1"/>
  <c r="Y385" i="9" s="1"/>
  <c r="Z405" i="9"/>
  <c r="AG405" i="9" s="1"/>
  <c r="T405" i="9"/>
  <c r="W405" i="9" s="1"/>
  <c r="X405" i="9" s="1"/>
  <c r="Y405" i="9" s="1"/>
  <c r="Z273" i="9"/>
  <c r="AG273" i="9" s="1"/>
  <c r="T273" i="9"/>
  <c r="W273" i="9" s="1"/>
  <c r="X273" i="9" s="1"/>
  <c r="Y273" i="9" s="1"/>
  <c r="Z277" i="9"/>
  <c r="AG277" i="9" s="1"/>
  <c r="T277" i="9"/>
  <c r="W277" i="9" s="1"/>
  <c r="X277" i="9" s="1"/>
  <c r="Y277" i="9" s="1"/>
  <c r="Z607" i="9"/>
  <c r="AG607" i="9" s="1"/>
  <c r="T607" i="9"/>
  <c r="W607" i="9" s="1"/>
  <c r="X607" i="9" s="1"/>
  <c r="Y607" i="9" s="1"/>
  <c r="Z451" i="9"/>
  <c r="AG451" i="9" s="1"/>
  <c r="T451" i="9"/>
  <c r="W451" i="9" s="1"/>
  <c r="X451" i="9" s="1"/>
  <c r="Y451" i="9" s="1"/>
  <c r="Z281" i="9"/>
  <c r="AG281" i="9" s="1"/>
  <c r="T281" i="9"/>
  <c r="W281" i="9" s="1"/>
  <c r="X281" i="9" s="1"/>
  <c r="Y281" i="9" s="1"/>
  <c r="Z110" i="9"/>
  <c r="AG110" i="9" s="1"/>
  <c r="T110" i="9"/>
  <c r="W110" i="9" s="1"/>
  <c r="X110" i="9" s="1"/>
  <c r="Y110" i="9" s="1"/>
  <c r="Z459" i="9"/>
  <c r="AG459" i="9" s="1"/>
  <c r="T459" i="9"/>
  <c r="W459" i="9" s="1"/>
  <c r="X459" i="9" s="1"/>
  <c r="Y459" i="9" s="1"/>
  <c r="Z724" i="9"/>
  <c r="AG724" i="9" s="1"/>
  <c r="T724" i="9"/>
  <c r="W724" i="9" s="1"/>
  <c r="X724" i="9" s="1"/>
  <c r="Y724" i="9" s="1"/>
  <c r="T453" i="9"/>
  <c r="W453" i="9" s="1"/>
  <c r="X453" i="9" s="1"/>
  <c r="Y453" i="9" s="1"/>
  <c r="Z453" i="9"/>
  <c r="AG453" i="9" s="1"/>
  <c r="Z202" i="9"/>
  <c r="AG202" i="9" s="1"/>
  <c r="T202" i="9"/>
  <c r="W202" i="9" s="1"/>
  <c r="X202" i="9" s="1"/>
  <c r="Y202" i="9" s="1"/>
  <c r="Z682" i="9"/>
  <c r="AG682" i="9" s="1"/>
  <c r="T682" i="9"/>
  <c r="W682" i="9" s="1"/>
  <c r="X682" i="9" s="1"/>
  <c r="Y682" i="9" s="1"/>
  <c r="Z551" i="9"/>
  <c r="AG551" i="9" s="1"/>
  <c r="T551" i="9"/>
  <c r="W551" i="9" s="1"/>
  <c r="X551" i="9" s="1"/>
  <c r="Y551" i="9" s="1"/>
  <c r="Z381" i="9"/>
  <c r="AG381" i="9" s="1"/>
  <c r="T381" i="9"/>
  <c r="W381" i="9" s="1"/>
  <c r="X381" i="9" s="1"/>
  <c r="Y381" i="9" s="1"/>
  <c r="Z210" i="9"/>
  <c r="AG210" i="9" s="1"/>
  <c r="T210" i="9"/>
  <c r="W210" i="9" s="1"/>
  <c r="X210" i="9" s="1"/>
  <c r="Y210" i="9" s="1"/>
  <c r="Z528" i="9"/>
  <c r="AG528" i="9" s="1"/>
  <c r="T528" i="9"/>
  <c r="W528" i="9" s="1"/>
  <c r="X528" i="9" s="1"/>
  <c r="Y528" i="9" s="1"/>
  <c r="Z400" i="9"/>
  <c r="AG400" i="9" s="1"/>
  <c r="T400" i="9"/>
  <c r="W400" i="9" s="1"/>
  <c r="X400" i="9" s="1"/>
  <c r="Y400" i="9" s="1"/>
  <c r="Z272" i="9"/>
  <c r="AG272" i="9" s="1"/>
  <c r="T272" i="9"/>
  <c r="W272" i="9" s="1"/>
  <c r="X272" i="9" s="1"/>
  <c r="Y272" i="9" s="1"/>
  <c r="Z144" i="9"/>
  <c r="AG144" i="9" s="1"/>
  <c r="T144" i="9"/>
  <c r="W144" i="9" s="1"/>
  <c r="X144" i="9" s="1"/>
  <c r="Y144" i="9" s="1"/>
  <c r="Z369" i="9"/>
  <c r="AG369" i="9" s="1"/>
  <c r="T369" i="9"/>
  <c r="W369" i="9" s="1"/>
  <c r="X369" i="9" s="1"/>
  <c r="Y369" i="9" s="1"/>
  <c r="Z378" i="9"/>
  <c r="AG378" i="9" s="1"/>
  <c r="T378" i="9"/>
  <c r="W378" i="9" s="1"/>
  <c r="X378" i="9" s="1"/>
  <c r="Y378" i="9" s="1"/>
  <c r="Z251" i="9"/>
  <c r="AG251" i="9" s="1"/>
  <c r="T251" i="9"/>
  <c r="W251" i="9" s="1"/>
  <c r="X251" i="9" s="1"/>
  <c r="Y251" i="9" s="1"/>
  <c r="Z197" i="9"/>
  <c r="AG197" i="9" s="1"/>
  <c r="T197" i="9"/>
  <c r="W197" i="9" s="1"/>
  <c r="X197" i="9" s="1"/>
  <c r="Y197" i="9" s="1"/>
  <c r="Z603" i="9"/>
  <c r="AG603" i="9" s="1"/>
  <c r="T603" i="9"/>
  <c r="W603" i="9" s="1"/>
  <c r="X603" i="9" s="1"/>
  <c r="Y603" i="9" s="1"/>
  <c r="Z446" i="9"/>
  <c r="AG446" i="9" s="1"/>
  <c r="T446" i="9"/>
  <c r="W446" i="9" s="1"/>
  <c r="X446" i="9" s="1"/>
  <c r="Y446" i="9" s="1"/>
  <c r="Z275" i="9"/>
  <c r="AG275" i="9" s="1"/>
  <c r="T275" i="9"/>
  <c r="W275" i="9" s="1"/>
  <c r="X275" i="9" s="1"/>
  <c r="Y275" i="9" s="1"/>
  <c r="Z105" i="9"/>
  <c r="AG105" i="9" s="1"/>
  <c r="T105" i="9"/>
  <c r="W105" i="9" s="1"/>
  <c r="X105" i="9" s="1"/>
  <c r="Y105" i="9" s="1"/>
  <c r="Z449" i="9"/>
  <c r="AG449" i="9" s="1"/>
  <c r="T449" i="9"/>
  <c r="W449" i="9" s="1"/>
  <c r="X449" i="9" s="1"/>
  <c r="Y449" i="9" s="1"/>
  <c r="Z720" i="9"/>
  <c r="AG720" i="9" s="1"/>
  <c r="T720" i="9"/>
  <c r="W720" i="9" s="1"/>
  <c r="X720" i="9" s="1"/>
  <c r="Y720" i="9" s="1"/>
  <c r="Z442" i="9"/>
  <c r="AG442" i="9" s="1"/>
  <c r="T442" i="9"/>
  <c r="W442" i="9" s="1"/>
  <c r="X442" i="9" s="1"/>
  <c r="Y442" i="9" s="1"/>
  <c r="Z191" i="9"/>
  <c r="AG191" i="9" s="1"/>
  <c r="T191" i="9"/>
  <c r="W191" i="9" s="1"/>
  <c r="X191" i="9" s="1"/>
  <c r="Y191" i="9" s="1"/>
  <c r="Z678" i="9"/>
  <c r="AG678" i="9" s="1"/>
  <c r="T678" i="9"/>
  <c r="W678" i="9" s="1"/>
  <c r="X678" i="9" s="1"/>
  <c r="Y678" i="9" s="1"/>
  <c r="Z546" i="9"/>
  <c r="AG546" i="9" s="1"/>
  <c r="T546" i="9"/>
  <c r="W546" i="9" s="1"/>
  <c r="X546" i="9" s="1"/>
  <c r="Y546" i="9" s="1"/>
  <c r="Z375" i="9"/>
  <c r="AG375" i="9" s="1"/>
  <c r="T375" i="9"/>
  <c r="W375" i="9" s="1"/>
  <c r="X375" i="9" s="1"/>
  <c r="Y375" i="9" s="1"/>
  <c r="Z205" i="9"/>
  <c r="AG205" i="9" s="1"/>
  <c r="T205" i="9"/>
  <c r="W205" i="9" s="1"/>
  <c r="X205" i="9" s="1"/>
  <c r="Y205" i="9" s="1"/>
  <c r="Z524" i="9"/>
  <c r="AG524" i="9" s="1"/>
  <c r="T524" i="9"/>
  <c r="W524" i="9" s="1"/>
  <c r="X524" i="9" s="1"/>
  <c r="Y524" i="9" s="1"/>
  <c r="Z396" i="9"/>
  <c r="AG396" i="9" s="1"/>
  <c r="T396" i="9"/>
  <c r="W396" i="9" s="1"/>
  <c r="X396" i="9" s="1"/>
  <c r="Y396" i="9" s="1"/>
  <c r="Z268" i="9"/>
  <c r="AG268" i="9" s="1"/>
  <c r="T268" i="9"/>
  <c r="W268" i="9" s="1"/>
  <c r="X268" i="9" s="1"/>
  <c r="Y268" i="9" s="1"/>
  <c r="T140" i="9"/>
  <c r="W140" i="9" s="1"/>
  <c r="X140" i="9" s="1"/>
  <c r="Y140" i="9" s="1"/>
  <c r="Z140" i="9"/>
  <c r="AG140" i="9" s="1"/>
  <c r="Z621" i="9"/>
  <c r="AG621" i="9" s="1"/>
  <c r="T621" i="9"/>
  <c r="W621" i="9" s="1"/>
  <c r="X621" i="9" s="1"/>
  <c r="Y621" i="9" s="1"/>
  <c r="Z347" i="9"/>
  <c r="AG347" i="9" s="1"/>
  <c r="T347" i="9"/>
  <c r="W347" i="9" s="1"/>
  <c r="X347" i="9" s="1"/>
  <c r="Y347" i="9" s="1"/>
  <c r="Z680" i="9"/>
  <c r="AG680" i="9" s="1"/>
  <c r="T680" i="9"/>
  <c r="W680" i="9" s="1"/>
  <c r="X680" i="9" s="1"/>
  <c r="Y680" i="9" s="1"/>
  <c r="Z357" i="9"/>
  <c r="AG357" i="9" s="1"/>
  <c r="T357" i="9"/>
  <c r="W357" i="9" s="1"/>
  <c r="X357" i="9" s="1"/>
  <c r="Y357" i="9" s="1"/>
  <c r="Z545" i="9"/>
  <c r="AG545" i="9" s="1"/>
  <c r="T545" i="9"/>
  <c r="W545" i="9" s="1"/>
  <c r="X545" i="9" s="1"/>
  <c r="Y545" i="9" s="1"/>
  <c r="Z230" i="9"/>
  <c r="AG230" i="9" s="1"/>
  <c r="T230" i="9"/>
  <c r="W230" i="9" s="1"/>
  <c r="X230" i="9" s="1"/>
  <c r="Y230" i="9" s="1"/>
  <c r="Z592" i="9"/>
  <c r="AG592" i="9" s="1"/>
  <c r="T592" i="9"/>
  <c r="W592" i="9" s="1"/>
  <c r="X592" i="9" s="1"/>
  <c r="Y592" i="9" s="1"/>
  <c r="Z727" i="9"/>
  <c r="AG727" i="9" s="1"/>
  <c r="T727" i="9"/>
  <c r="W727" i="9" s="1"/>
  <c r="X727" i="9" s="1"/>
  <c r="Y727" i="9" s="1"/>
  <c r="Z663" i="9"/>
  <c r="AG663" i="9" s="1"/>
  <c r="T663" i="9"/>
  <c r="W663" i="9" s="1"/>
  <c r="X663" i="9" s="1"/>
  <c r="Y663" i="9" s="1"/>
  <c r="Z599" i="9"/>
  <c r="AG599" i="9" s="1"/>
  <c r="T599" i="9"/>
  <c r="W599" i="9" s="1"/>
  <c r="X599" i="9" s="1"/>
  <c r="Y599" i="9" s="1"/>
  <c r="Z526" i="9"/>
  <c r="AG526" i="9" s="1"/>
  <c r="T526" i="9"/>
  <c r="W526" i="9" s="1"/>
  <c r="X526" i="9" s="1"/>
  <c r="Y526" i="9" s="1"/>
  <c r="Z441" i="9"/>
  <c r="AG441" i="9" s="1"/>
  <c r="T441" i="9"/>
  <c r="W441" i="9" s="1"/>
  <c r="X441" i="9" s="1"/>
  <c r="Y441" i="9" s="1"/>
  <c r="Z355" i="9"/>
  <c r="AG355" i="9" s="1"/>
  <c r="T355" i="9"/>
  <c r="W355" i="9" s="1"/>
  <c r="X355" i="9" s="1"/>
  <c r="Y355" i="9" s="1"/>
  <c r="Z270" i="9"/>
  <c r="AG270" i="9" s="1"/>
  <c r="T270" i="9"/>
  <c r="W270" i="9" s="1"/>
  <c r="X270" i="9" s="1"/>
  <c r="Y270" i="9" s="1"/>
  <c r="Z185" i="9"/>
  <c r="AG185" i="9" s="1"/>
  <c r="T185" i="9"/>
  <c r="W185" i="9" s="1"/>
  <c r="X185" i="9" s="1"/>
  <c r="Y185" i="9" s="1"/>
  <c r="Z99" i="9"/>
  <c r="AG99" i="9" s="1"/>
  <c r="T99" i="9"/>
  <c r="W99" i="9" s="1"/>
  <c r="X99" i="9" s="1"/>
  <c r="Y99" i="9" s="1"/>
  <c r="Z613" i="9"/>
  <c r="AG613" i="9" s="1"/>
  <c r="T613" i="9"/>
  <c r="W613" i="9" s="1"/>
  <c r="X613" i="9" s="1"/>
  <c r="Y613" i="9" s="1"/>
  <c r="Z438" i="9"/>
  <c r="AG438" i="9" s="1"/>
  <c r="T438" i="9"/>
  <c r="W438" i="9" s="1"/>
  <c r="X438" i="9" s="1"/>
  <c r="Y438" i="9" s="1"/>
  <c r="Z235" i="9"/>
  <c r="AG235" i="9" s="1"/>
  <c r="T235" i="9"/>
  <c r="W235" i="9" s="1"/>
  <c r="X235" i="9" s="1"/>
  <c r="Y235" i="9" s="1"/>
  <c r="Z708" i="9"/>
  <c r="AG708" i="9" s="1"/>
  <c r="T708" i="9"/>
  <c r="W708" i="9" s="1"/>
  <c r="X708" i="9" s="1"/>
  <c r="Y708" i="9" s="1"/>
  <c r="Z580" i="9"/>
  <c r="AG580" i="9" s="1"/>
  <c r="T580" i="9"/>
  <c r="W580" i="9" s="1"/>
  <c r="X580" i="9" s="1"/>
  <c r="Y580" i="9" s="1"/>
  <c r="Z431" i="9"/>
  <c r="AG431" i="9" s="1"/>
  <c r="T431" i="9"/>
  <c r="W431" i="9" s="1"/>
  <c r="X431" i="9" s="1"/>
  <c r="Y431" i="9" s="1"/>
  <c r="Z282" i="9"/>
  <c r="AG282" i="9" s="1"/>
  <c r="T282" i="9"/>
  <c r="W282" i="9" s="1"/>
  <c r="X282" i="9" s="1"/>
  <c r="Y282" i="9" s="1"/>
  <c r="Z186" i="9"/>
  <c r="AG186" i="9" s="1"/>
  <c r="T186" i="9"/>
  <c r="W186" i="9" s="1"/>
  <c r="X186" i="9" s="1"/>
  <c r="Y186" i="9" s="1"/>
  <c r="Z95" i="9"/>
  <c r="AG95" i="9" s="1"/>
  <c r="T95" i="9"/>
  <c r="W95" i="9" s="1"/>
  <c r="X95" i="9" s="1"/>
  <c r="Y95" i="9" s="1"/>
  <c r="Z674" i="9"/>
  <c r="AG674" i="9" s="1"/>
  <c r="T674" i="9"/>
  <c r="W674" i="9" s="1"/>
  <c r="X674" i="9" s="1"/>
  <c r="Y674" i="9" s="1"/>
  <c r="Z610" i="9"/>
  <c r="AG610" i="9" s="1"/>
  <c r="T610" i="9"/>
  <c r="W610" i="9" s="1"/>
  <c r="X610" i="9" s="1"/>
  <c r="Y610" i="9" s="1"/>
  <c r="Z541" i="9"/>
  <c r="AG541" i="9" s="1"/>
  <c r="T541" i="9"/>
  <c r="W541" i="9" s="1"/>
  <c r="X541" i="9" s="1"/>
  <c r="Y541" i="9" s="1"/>
  <c r="Z455" i="9"/>
  <c r="AG455" i="9" s="1"/>
  <c r="T455" i="9"/>
  <c r="W455" i="9" s="1"/>
  <c r="X455" i="9" s="1"/>
  <c r="Y455" i="9" s="1"/>
  <c r="Z370" i="9"/>
  <c r="AG370" i="9" s="1"/>
  <c r="T370" i="9"/>
  <c r="W370" i="9" s="1"/>
  <c r="X370" i="9" s="1"/>
  <c r="Y370" i="9" s="1"/>
  <c r="Z285" i="9"/>
  <c r="AG285" i="9" s="1"/>
  <c r="T285" i="9"/>
  <c r="W285" i="9" s="1"/>
  <c r="X285" i="9" s="1"/>
  <c r="Y285" i="9" s="1"/>
  <c r="Z199" i="9"/>
  <c r="AG199" i="9" s="1"/>
  <c r="T199" i="9"/>
  <c r="W199" i="9" s="1"/>
  <c r="X199" i="9" s="1"/>
  <c r="Y199" i="9" s="1"/>
  <c r="Z114" i="9"/>
  <c r="AG114" i="9" s="1"/>
  <c r="T114" i="9"/>
  <c r="W114" i="9" s="1"/>
  <c r="X114" i="9" s="1"/>
  <c r="Y114" i="9" s="1"/>
  <c r="Z520" i="9"/>
  <c r="AG520" i="9" s="1"/>
  <c r="T520" i="9"/>
  <c r="W520" i="9" s="1"/>
  <c r="X520" i="9" s="1"/>
  <c r="Y520" i="9" s="1"/>
  <c r="Z456" i="9"/>
  <c r="AG456" i="9" s="1"/>
  <c r="T456" i="9"/>
  <c r="W456" i="9" s="1"/>
  <c r="X456" i="9" s="1"/>
  <c r="Y456" i="9" s="1"/>
  <c r="T328" i="9"/>
  <c r="W328" i="9" s="1"/>
  <c r="X328" i="9" s="1"/>
  <c r="Y328" i="9" s="1"/>
  <c r="Z328" i="9"/>
  <c r="AG328" i="9" s="1"/>
  <c r="T200" i="9"/>
  <c r="W200" i="9" s="1"/>
  <c r="X200" i="9" s="1"/>
  <c r="Y200" i="9" s="1"/>
  <c r="Z200" i="9"/>
  <c r="AG200" i="9" s="1"/>
  <c r="Z665" i="9"/>
  <c r="AG665" i="9" s="1"/>
  <c r="T665" i="9"/>
  <c r="W665" i="9" s="1"/>
  <c r="X665" i="9" s="1"/>
  <c r="Y665" i="9" s="1"/>
  <c r="Z113" i="9"/>
  <c r="AG113" i="9" s="1"/>
  <c r="T113" i="9"/>
  <c r="W113" i="9" s="1"/>
  <c r="X113" i="9" s="1"/>
  <c r="Y113" i="9" s="1"/>
  <c r="Z593" i="9"/>
  <c r="AG593" i="9" s="1"/>
  <c r="T593" i="9"/>
  <c r="W593" i="9" s="1"/>
  <c r="X593" i="9" s="1"/>
  <c r="Y593" i="9" s="1"/>
  <c r="Z636" i="9"/>
  <c r="AG636" i="9" s="1"/>
  <c r="T636" i="9"/>
  <c r="W636" i="9" s="1"/>
  <c r="X636" i="9" s="1"/>
  <c r="Y636" i="9" s="1"/>
  <c r="T675" i="9"/>
  <c r="W675" i="9" s="1"/>
  <c r="X675" i="9" s="1"/>
  <c r="Y675" i="9" s="1"/>
  <c r="Z675" i="9"/>
  <c r="AG675" i="9" s="1"/>
  <c r="Z542" i="9"/>
  <c r="AG542" i="9" s="1"/>
  <c r="T542" i="9"/>
  <c r="W542" i="9" s="1"/>
  <c r="X542" i="9" s="1"/>
  <c r="Y542" i="9" s="1"/>
  <c r="Z371" i="9"/>
  <c r="AG371" i="9" s="1"/>
  <c r="T371" i="9"/>
  <c r="W371" i="9" s="1"/>
  <c r="X371" i="9" s="1"/>
  <c r="Y371" i="9" s="1"/>
  <c r="Z201" i="9"/>
  <c r="AG201" i="9" s="1"/>
  <c r="T201" i="9"/>
  <c r="W201" i="9" s="1"/>
  <c r="X201" i="9" s="1"/>
  <c r="Y201" i="9" s="1"/>
  <c r="Z641" i="9"/>
  <c r="AG641" i="9" s="1"/>
  <c r="T641" i="9"/>
  <c r="W641" i="9" s="1"/>
  <c r="X641" i="9" s="1"/>
  <c r="Y641" i="9" s="1"/>
  <c r="Z267" i="9"/>
  <c r="AG267" i="9" s="1"/>
  <c r="T267" i="9"/>
  <c r="W267" i="9" s="1"/>
  <c r="X267" i="9" s="1"/>
  <c r="Y267" i="9" s="1"/>
  <c r="Z604" i="9"/>
  <c r="AG604" i="9" s="1"/>
  <c r="T604" i="9"/>
  <c r="W604" i="9" s="1"/>
  <c r="X604" i="9" s="1"/>
  <c r="Y604" i="9" s="1"/>
  <c r="Z309" i="9"/>
  <c r="AG309" i="9" s="1"/>
  <c r="T309" i="9"/>
  <c r="W309" i="9" s="1"/>
  <c r="X309" i="9" s="1"/>
  <c r="Y309" i="9" s="1"/>
  <c r="Z111" i="9"/>
  <c r="AG111" i="9" s="1"/>
  <c r="T111" i="9"/>
  <c r="W111" i="9" s="1"/>
  <c r="X111" i="9" s="1"/>
  <c r="Y111" i="9" s="1"/>
  <c r="Z622" i="9"/>
  <c r="AG622" i="9" s="1"/>
  <c r="T622" i="9"/>
  <c r="W622" i="9" s="1"/>
  <c r="X622" i="9" s="1"/>
  <c r="Y622" i="9" s="1"/>
  <c r="Z471" i="9"/>
  <c r="AG471" i="9" s="1"/>
  <c r="T471" i="9"/>
  <c r="W471" i="9" s="1"/>
  <c r="X471" i="9" s="1"/>
  <c r="Y471" i="9" s="1"/>
  <c r="Z301" i="9"/>
  <c r="AG301" i="9" s="1"/>
  <c r="T301" i="9"/>
  <c r="W301" i="9" s="1"/>
  <c r="X301" i="9" s="1"/>
  <c r="Y301" i="9" s="1"/>
  <c r="Z130" i="9"/>
  <c r="AG130" i="9" s="1"/>
  <c r="T130" i="9"/>
  <c r="W130" i="9" s="1"/>
  <c r="X130" i="9" s="1"/>
  <c r="Y130" i="9" s="1"/>
  <c r="Z468" i="9"/>
  <c r="AG468" i="9" s="1"/>
  <c r="T468" i="9"/>
  <c r="W468" i="9" s="1"/>
  <c r="X468" i="9" s="1"/>
  <c r="Y468" i="9" s="1"/>
  <c r="Z340" i="9"/>
  <c r="AG340" i="9" s="1"/>
  <c r="T340" i="9"/>
  <c r="W340" i="9" s="1"/>
  <c r="X340" i="9" s="1"/>
  <c r="Y340" i="9" s="1"/>
  <c r="Z212" i="9"/>
  <c r="AG212" i="9" s="1"/>
  <c r="T212" i="9"/>
  <c r="W212" i="9" s="1"/>
  <c r="X212" i="9" s="1"/>
  <c r="Y212" i="9" s="1"/>
  <c r="T22" i="9"/>
  <c r="W22" i="9" s="1"/>
  <c r="X22" i="9" s="1"/>
  <c r="Y22" i="9" s="1"/>
  <c r="Z22" i="9"/>
  <c r="Z310" i="9"/>
  <c r="AG310" i="9" s="1"/>
  <c r="T310" i="9"/>
  <c r="W310" i="9" s="1"/>
  <c r="X310" i="9" s="1"/>
  <c r="Y310" i="9" s="1"/>
  <c r="Z303" i="9"/>
  <c r="AG303" i="9" s="1"/>
  <c r="T303" i="9"/>
  <c r="W303" i="9" s="1"/>
  <c r="X303" i="9" s="1"/>
  <c r="Y303" i="9" s="1"/>
  <c r="Z193" i="9"/>
  <c r="AG193" i="9" s="1"/>
  <c r="T193" i="9"/>
  <c r="W193" i="9" s="1"/>
  <c r="X193" i="9" s="1"/>
  <c r="Y193" i="9" s="1"/>
  <c r="Z719" i="9"/>
  <c r="AG719" i="9" s="1"/>
  <c r="T719" i="9"/>
  <c r="W719" i="9" s="1"/>
  <c r="X719" i="9" s="1"/>
  <c r="Y719" i="9" s="1"/>
  <c r="Z591" i="9"/>
  <c r="AG591" i="9" s="1"/>
  <c r="T591" i="9"/>
  <c r="W591" i="9" s="1"/>
  <c r="X591" i="9" s="1"/>
  <c r="Y591" i="9" s="1"/>
  <c r="Z430" i="9"/>
  <c r="AG430" i="9" s="1"/>
  <c r="T430" i="9"/>
  <c r="W430" i="9" s="1"/>
  <c r="X430" i="9" s="1"/>
  <c r="Y430" i="9" s="1"/>
  <c r="Z259" i="9"/>
  <c r="AG259" i="9" s="1"/>
  <c r="T259" i="9"/>
  <c r="W259" i="9" s="1"/>
  <c r="X259" i="9" s="1"/>
  <c r="Y259" i="9" s="1"/>
  <c r="Z89" i="9"/>
  <c r="AG89" i="9" s="1"/>
  <c r="T89" i="9"/>
  <c r="W89" i="9" s="1"/>
  <c r="X89" i="9" s="1"/>
  <c r="Y89" i="9" s="1"/>
  <c r="Z411" i="9"/>
  <c r="AG411" i="9" s="1"/>
  <c r="T411" i="9"/>
  <c r="W411" i="9" s="1"/>
  <c r="X411" i="9" s="1"/>
  <c r="Y411" i="9" s="1"/>
  <c r="Z692" i="9"/>
  <c r="AG692" i="9" s="1"/>
  <c r="T692" i="9"/>
  <c r="W692" i="9" s="1"/>
  <c r="X692" i="9" s="1"/>
  <c r="Y692" i="9" s="1"/>
  <c r="Z410" i="9"/>
  <c r="AG410" i="9" s="1"/>
  <c r="T410" i="9"/>
  <c r="W410" i="9" s="1"/>
  <c r="X410" i="9" s="1"/>
  <c r="Y410" i="9" s="1"/>
  <c r="Z170" i="9"/>
  <c r="AG170" i="9" s="1"/>
  <c r="T170" i="9"/>
  <c r="W170" i="9" s="1"/>
  <c r="X170" i="9" s="1"/>
  <c r="Y170" i="9" s="1"/>
  <c r="Z666" i="9"/>
  <c r="AG666" i="9" s="1"/>
  <c r="T666" i="9"/>
  <c r="W666" i="9" s="1"/>
  <c r="X666" i="9" s="1"/>
  <c r="Y666" i="9" s="1"/>
  <c r="Z530" i="9"/>
  <c r="AG530" i="9" s="1"/>
  <c r="T530" i="9"/>
  <c r="W530" i="9" s="1"/>
  <c r="X530" i="9" s="1"/>
  <c r="Y530" i="9" s="1"/>
  <c r="Z359" i="9"/>
  <c r="AG359" i="9" s="1"/>
  <c r="T359" i="9"/>
  <c r="W359" i="9" s="1"/>
  <c r="X359" i="9" s="1"/>
  <c r="Y359" i="9" s="1"/>
  <c r="Z189" i="9"/>
  <c r="AG189" i="9" s="1"/>
  <c r="T189" i="9"/>
  <c r="W189" i="9" s="1"/>
  <c r="X189" i="9" s="1"/>
  <c r="Y189" i="9" s="1"/>
  <c r="Z512" i="9"/>
  <c r="AG512" i="9" s="1"/>
  <c r="T512" i="9"/>
  <c r="W512" i="9" s="1"/>
  <c r="X512" i="9" s="1"/>
  <c r="Y512" i="9" s="1"/>
  <c r="Z384" i="9"/>
  <c r="AG384" i="9" s="1"/>
  <c r="T384" i="9"/>
  <c r="W384" i="9" s="1"/>
  <c r="X384" i="9" s="1"/>
  <c r="Y384" i="9" s="1"/>
  <c r="Z256" i="9"/>
  <c r="AG256" i="9" s="1"/>
  <c r="T256" i="9"/>
  <c r="W256" i="9" s="1"/>
  <c r="X256" i="9" s="1"/>
  <c r="Y256" i="9" s="1"/>
  <c r="Z128" i="9"/>
  <c r="AG128" i="9" s="1"/>
  <c r="T128" i="9"/>
  <c r="W128" i="9" s="1"/>
  <c r="X128" i="9" s="1"/>
  <c r="Y128" i="9" s="1"/>
  <c r="Z294" i="9"/>
  <c r="AG294" i="9" s="1"/>
  <c r="T294" i="9"/>
  <c r="W294" i="9" s="1"/>
  <c r="X294" i="9" s="1"/>
  <c r="Y294" i="9" s="1"/>
  <c r="Z181" i="9"/>
  <c r="AG181" i="9" s="1"/>
  <c r="T181" i="9"/>
  <c r="W181" i="9" s="1"/>
  <c r="X181" i="9" s="1"/>
  <c r="Y181" i="9" s="1"/>
  <c r="Z177" i="9"/>
  <c r="AG177" i="9" s="1"/>
  <c r="T177" i="9"/>
  <c r="W177" i="9" s="1"/>
  <c r="X177" i="9" s="1"/>
  <c r="Y177" i="9" s="1"/>
  <c r="Z715" i="9"/>
  <c r="AG715" i="9" s="1"/>
  <c r="T715" i="9"/>
  <c r="W715" i="9" s="1"/>
  <c r="X715" i="9" s="1"/>
  <c r="Y715" i="9" s="1"/>
  <c r="Z587" i="9"/>
  <c r="AG587" i="9" s="1"/>
  <c r="T587" i="9"/>
  <c r="W587" i="9" s="1"/>
  <c r="X587" i="9" s="1"/>
  <c r="Y587" i="9" s="1"/>
  <c r="Z425" i="9"/>
  <c r="AG425" i="9" s="1"/>
  <c r="T425" i="9"/>
  <c r="W425" i="9" s="1"/>
  <c r="X425" i="9" s="1"/>
  <c r="Y425" i="9" s="1"/>
  <c r="Z254" i="9"/>
  <c r="AG254" i="9" s="1"/>
  <c r="T254" i="9"/>
  <c r="W254" i="9" s="1"/>
  <c r="X254" i="9" s="1"/>
  <c r="Y254" i="9" s="1"/>
  <c r="Z729" i="9"/>
  <c r="AG729" i="9" s="1"/>
  <c r="T729" i="9"/>
  <c r="W729" i="9" s="1"/>
  <c r="X729" i="9" s="1"/>
  <c r="Y729" i="9" s="1"/>
  <c r="Z395" i="9"/>
  <c r="AG395" i="9" s="1"/>
  <c r="T395" i="9"/>
  <c r="W395" i="9" s="1"/>
  <c r="X395" i="9" s="1"/>
  <c r="Y395" i="9" s="1"/>
  <c r="Z688" i="9"/>
  <c r="AG688" i="9" s="1"/>
  <c r="T688" i="9"/>
  <c r="W688" i="9" s="1"/>
  <c r="X688" i="9" s="1"/>
  <c r="Y688" i="9" s="1"/>
  <c r="Z399" i="9"/>
  <c r="AG399" i="9" s="1"/>
  <c r="T399" i="9"/>
  <c r="W399" i="9" s="1"/>
  <c r="X399" i="9" s="1"/>
  <c r="Y399" i="9" s="1"/>
  <c r="Z165" i="9"/>
  <c r="AG165" i="9" s="1"/>
  <c r="T165" i="9"/>
  <c r="W165" i="9" s="1"/>
  <c r="X165" i="9" s="1"/>
  <c r="Y165" i="9" s="1"/>
  <c r="Z662" i="9"/>
  <c r="AG662" i="9" s="1"/>
  <c r="T662" i="9"/>
  <c r="W662" i="9" s="1"/>
  <c r="X662" i="9" s="1"/>
  <c r="Y662" i="9" s="1"/>
  <c r="Z525" i="9"/>
  <c r="AG525" i="9" s="1"/>
  <c r="T525" i="9"/>
  <c r="W525" i="9" s="1"/>
  <c r="X525" i="9" s="1"/>
  <c r="Y525" i="9" s="1"/>
  <c r="Z354" i="9"/>
  <c r="AG354" i="9" s="1"/>
  <c r="T354" i="9"/>
  <c r="W354" i="9" s="1"/>
  <c r="X354" i="9" s="1"/>
  <c r="Y354" i="9" s="1"/>
  <c r="Z183" i="9"/>
  <c r="AG183" i="9" s="1"/>
  <c r="T183" i="9"/>
  <c r="W183" i="9" s="1"/>
  <c r="X183" i="9" s="1"/>
  <c r="Y183" i="9" s="1"/>
  <c r="Z508" i="9"/>
  <c r="AG508" i="9" s="1"/>
  <c r="T508" i="9"/>
  <c r="W508" i="9" s="1"/>
  <c r="X508" i="9" s="1"/>
  <c r="Y508" i="9" s="1"/>
  <c r="Z380" i="9"/>
  <c r="AG380" i="9" s="1"/>
  <c r="T380" i="9"/>
  <c r="W380" i="9" s="1"/>
  <c r="X380" i="9" s="1"/>
  <c r="Y380" i="9" s="1"/>
  <c r="Z252" i="9"/>
  <c r="AG252" i="9" s="1"/>
  <c r="T252" i="9"/>
  <c r="W252" i="9" s="1"/>
  <c r="X252" i="9" s="1"/>
  <c r="Y252" i="9" s="1"/>
  <c r="T124" i="9"/>
  <c r="W124" i="9" s="1"/>
  <c r="X124" i="9" s="1"/>
  <c r="Y124" i="9" s="1"/>
  <c r="Z124" i="9"/>
  <c r="AG124" i="9" s="1"/>
  <c r="Z700" i="9"/>
  <c r="AG700" i="9" s="1"/>
  <c r="T700" i="9"/>
  <c r="W700" i="9" s="1"/>
  <c r="X700" i="9" s="1"/>
  <c r="Y700" i="9" s="1"/>
  <c r="Z608" i="9"/>
  <c r="AG608" i="9" s="1"/>
  <c r="T608" i="9"/>
  <c r="W608" i="9" s="1"/>
  <c r="X608" i="9" s="1"/>
  <c r="Y608" i="9" s="1"/>
  <c r="T531" i="9"/>
  <c r="W531" i="9" s="1"/>
  <c r="X531" i="9" s="1"/>
  <c r="Y531" i="9" s="1"/>
  <c r="Z531" i="9"/>
  <c r="AG531" i="9" s="1"/>
  <c r="Z190" i="9"/>
  <c r="AG190" i="9" s="1"/>
  <c r="T190" i="9"/>
  <c r="W190" i="9" s="1"/>
  <c r="X190" i="9" s="1"/>
  <c r="Y190" i="9" s="1"/>
  <c r="Z246" i="9"/>
  <c r="AG246" i="9" s="1"/>
  <c r="T246" i="9"/>
  <c r="W246" i="9" s="1"/>
  <c r="X246" i="9" s="1"/>
  <c r="Y246" i="9" s="1"/>
  <c r="Z287" i="9"/>
  <c r="AG287" i="9" s="1"/>
  <c r="T287" i="9"/>
  <c r="W287" i="9" s="1"/>
  <c r="X287" i="9" s="1"/>
  <c r="Y287" i="9" s="1"/>
  <c r="Z614" i="9"/>
  <c r="AG614" i="9" s="1"/>
  <c r="T614" i="9"/>
  <c r="W614" i="9" s="1"/>
  <c r="X614" i="9" s="1"/>
  <c r="Y614" i="9" s="1"/>
  <c r="Z461" i="9"/>
  <c r="AG461" i="9" s="1"/>
  <c r="T461" i="9"/>
  <c r="W461" i="9" s="1"/>
  <c r="X461" i="9" s="1"/>
  <c r="Y461" i="9" s="1"/>
  <c r="Z119" i="9"/>
  <c r="AG119" i="9" s="1"/>
  <c r="T119" i="9"/>
  <c r="W119" i="9" s="1"/>
  <c r="X119" i="9" s="1"/>
  <c r="Y119" i="9" s="1"/>
  <c r="Z332" i="9"/>
  <c r="AG332" i="9" s="1"/>
  <c r="T332" i="9"/>
  <c r="W332" i="9" s="1"/>
  <c r="X332" i="9" s="1"/>
  <c r="Y332" i="9" s="1"/>
  <c r="Z689" i="9"/>
  <c r="AG689" i="9" s="1"/>
  <c r="T689" i="9"/>
  <c r="W689" i="9" s="1"/>
  <c r="X689" i="9" s="1"/>
  <c r="Y689" i="9" s="1"/>
  <c r="Z209" i="9"/>
  <c r="AG209" i="9" s="1"/>
  <c r="T209" i="9"/>
  <c r="W209" i="9" s="1"/>
  <c r="X209" i="9" s="1"/>
  <c r="Y209" i="9" s="1"/>
  <c r="Z669" i="9"/>
  <c r="AG669" i="9" s="1"/>
  <c r="T669" i="9"/>
  <c r="W669" i="9" s="1"/>
  <c r="X669" i="9" s="1"/>
  <c r="Y669" i="9" s="1"/>
  <c r="Z712" i="9"/>
  <c r="AG712" i="9" s="1"/>
  <c r="T712" i="9"/>
  <c r="W712" i="9" s="1"/>
  <c r="X712" i="9" s="1"/>
  <c r="Y712" i="9" s="1"/>
  <c r="Z695" i="9"/>
  <c r="AG695" i="9" s="1"/>
  <c r="T695" i="9"/>
  <c r="W695" i="9" s="1"/>
  <c r="X695" i="9" s="1"/>
  <c r="Y695" i="9" s="1"/>
  <c r="Z567" i="9"/>
  <c r="AG567" i="9" s="1"/>
  <c r="T567" i="9"/>
  <c r="W567" i="9" s="1"/>
  <c r="X567" i="9" s="1"/>
  <c r="Y567" i="9" s="1"/>
  <c r="Z398" i="9"/>
  <c r="AG398" i="9" s="1"/>
  <c r="T398" i="9"/>
  <c r="W398" i="9" s="1"/>
  <c r="X398" i="9" s="1"/>
  <c r="Y398" i="9" s="1"/>
  <c r="Z227" i="9"/>
  <c r="AG227" i="9" s="1"/>
  <c r="T227" i="9"/>
  <c r="W227" i="9" s="1"/>
  <c r="X227" i="9" s="1"/>
  <c r="Y227" i="9" s="1"/>
  <c r="Z685" i="9"/>
  <c r="AG685" i="9" s="1"/>
  <c r="T685" i="9"/>
  <c r="W685" i="9" s="1"/>
  <c r="X685" i="9" s="1"/>
  <c r="Y685" i="9" s="1"/>
  <c r="Z337" i="9"/>
  <c r="AG337" i="9" s="1"/>
  <c r="T337" i="9"/>
  <c r="W337" i="9" s="1"/>
  <c r="X337" i="9" s="1"/>
  <c r="Y337" i="9" s="1"/>
  <c r="Z648" i="9"/>
  <c r="AG648" i="9" s="1"/>
  <c r="T648" i="9"/>
  <c r="W648" i="9" s="1"/>
  <c r="X648" i="9" s="1"/>
  <c r="Y648" i="9" s="1"/>
  <c r="Z346" i="9"/>
  <c r="AG346" i="9" s="1"/>
  <c r="T346" i="9"/>
  <c r="W346" i="9" s="1"/>
  <c r="X346" i="9" s="1"/>
  <c r="Y346" i="9" s="1"/>
  <c r="Z138" i="9"/>
  <c r="AG138" i="9" s="1"/>
  <c r="T138" i="9"/>
  <c r="W138" i="9" s="1"/>
  <c r="X138" i="9" s="1"/>
  <c r="Y138" i="9" s="1"/>
  <c r="Z642" i="9"/>
  <c r="AG642" i="9" s="1"/>
  <c r="T642" i="9"/>
  <c r="W642" i="9" s="1"/>
  <c r="X642" i="9" s="1"/>
  <c r="Y642" i="9" s="1"/>
  <c r="Z498" i="9"/>
  <c r="AG498" i="9" s="1"/>
  <c r="T498" i="9"/>
  <c r="W498" i="9" s="1"/>
  <c r="X498" i="9" s="1"/>
  <c r="Y498" i="9" s="1"/>
  <c r="Z327" i="9"/>
  <c r="AG327" i="9" s="1"/>
  <c r="T327" i="9"/>
  <c r="W327" i="9" s="1"/>
  <c r="X327" i="9" s="1"/>
  <c r="Y327" i="9" s="1"/>
  <c r="Z157" i="9"/>
  <c r="AG157" i="9" s="1"/>
  <c r="T157" i="9"/>
  <c r="W157" i="9" s="1"/>
  <c r="X157" i="9" s="1"/>
  <c r="Y157" i="9" s="1"/>
  <c r="Z488" i="9"/>
  <c r="AG488" i="9" s="1"/>
  <c r="T488" i="9"/>
  <c r="W488" i="9" s="1"/>
  <c r="X488" i="9" s="1"/>
  <c r="Y488" i="9" s="1"/>
  <c r="Z264" i="9"/>
  <c r="AG264" i="9" s="1"/>
  <c r="T264" i="9"/>
  <c r="W264" i="9" s="1"/>
  <c r="X264" i="9" s="1"/>
  <c r="Y264" i="9" s="1"/>
  <c r="Z406" i="9"/>
  <c r="AG406" i="9" s="1"/>
  <c r="T406" i="9"/>
  <c r="W406" i="9" s="1"/>
  <c r="X406" i="9" s="1"/>
  <c r="Y406" i="9" s="1"/>
  <c r="Z289" i="9"/>
  <c r="AG289" i="9" s="1"/>
  <c r="T289" i="9"/>
  <c r="W289" i="9" s="1"/>
  <c r="X289" i="9" s="1"/>
  <c r="Y289" i="9" s="1"/>
  <c r="T611" i="9"/>
  <c r="W611" i="9" s="1"/>
  <c r="X611" i="9" s="1"/>
  <c r="Y611" i="9" s="1"/>
  <c r="Z611" i="9"/>
  <c r="AG611" i="9" s="1"/>
  <c r="Z286" i="9"/>
  <c r="AG286" i="9" s="1"/>
  <c r="T286" i="9"/>
  <c r="W286" i="9" s="1"/>
  <c r="X286" i="9" s="1"/>
  <c r="Y286" i="9" s="1"/>
  <c r="Z470" i="9"/>
  <c r="AG470" i="9" s="1"/>
  <c r="T470" i="9"/>
  <c r="W470" i="9" s="1"/>
  <c r="X470" i="9" s="1"/>
  <c r="Y470" i="9" s="1"/>
  <c r="Z463" i="9"/>
  <c r="AG463" i="9" s="1"/>
  <c r="T463" i="9"/>
  <c r="W463" i="9" s="1"/>
  <c r="X463" i="9" s="1"/>
  <c r="Y463" i="9" s="1"/>
  <c r="Z686" i="9"/>
  <c r="AG686" i="9" s="1"/>
  <c r="T686" i="9"/>
  <c r="W686" i="9" s="1"/>
  <c r="X686" i="9" s="1"/>
  <c r="Y686" i="9" s="1"/>
  <c r="Z386" i="9"/>
  <c r="AG386" i="9" s="1"/>
  <c r="T386" i="9"/>
  <c r="W386" i="9" s="1"/>
  <c r="X386" i="9" s="1"/>
  <c r="Y386" i="9" s="1"/>
  <c r="Z404" i="9"/>
  <c r="AG404" i="9" s="1"/>
  <c r="T404" i="9"/>
  <c r="W404" i="9" s="1"/>
  <c r="X404" i="9" s="1"/>
  <c r="Y404" i="9" s="1"/>
  <c r="T148" i="9"/>
  <c r="W148" i="9" s="1"/>
  <c r="X148" i="9" s="1"/>
  <c r="Y148" i="9" s="1"/>
  <c r="Z148" i="9"/>
  <c r="AG148" i="9" s="1"/>
  <c r="Z644" i="9"/>
  <c r="AG644" i="9" s="1"/>
  <c r="T644" i="9"/>
  <c r="W644" i="9" s="1"/>
  <c r="X644" i="9" s="1"/>
  <c r="Y644" i="9" s="1"/>
  <c r="Z559" i="9"/>
  <c r="AG559" i="9" s="1"/>
  <c r="T559" i="9"/>
  <c r="W559" i="9" s="1"/>
  <c r="X559" i="9" s="1"/>
  <c r="Y559" i="9" s="1"/>
  <c r="Z515" i="9"/>
  <c r="AG515" i="9" s="1"/>
  <c r="T515" i="9"/>
  <c r="W515" i="9" s="1"/>
  <c r="X515" i="9" s="1"/>
  <c r="Y515" i="9" s="1"/>
  <c r="Z174" i="9"/>
  <c r="AG174" i="9" s="1"/>
  <c r="T174" i="9"/>
  <c r="W174" i="9" s="1"/>
  <c r="X174" i="9" s="1"/>
  <c r="Y174" i="9" s="1"/>
  <c r="Z203" i="9"/>
  <c r="AG203" i="9" s="1"/>
  <c r="T203" i="9"/>
  <c r="W203" i="9" s="1"/>
  <c r="X203" i="9" s="1"/>
  <c r="Y203" i="9" s="1"/>
  <c r="Z266" i="9"/>
  <c r="AG266" i="9" s="1"/>
  <c r="T266" i="9"/>
  <c r="W266" i="9" s="1"/>
  <c r="X266" i="9" s="1"/>
  <c r="Y266" i="9" s="1"/>
  <c r="Z602" i="9"/>
  <c r="AG602" i="9" s="1"/>
  <c r="T602" i="9"/>
  <c r="W602" i="9" s="1"/>
  <c r="X602" i="9" s="1"/>
  <c r="Y602" i="9" s="1"/>
  <c r="Z274" i="9"/>
  <c r="AG274" i="9" s="1"/>
  <c r="T274" i="9"/>
  <c r="W274" i="9" s="1"/>
  <c r="X274" i="9" s="1"/>
  <c r="Y274" i="9" s="1"/>
  <c r="Z448" i="9"/>
  <c r="AG448" i="9" s="1"/>
  <c r="T448" i="9"/>
  <c r="W448" i="9" s="1"/>
  <c r="X448" i="9" s="1"/>
  <c r="Y448" i="9" s="1"/>
  <c r="Z192" i="9"/>
  <c r="AG192" i="9" s="1"/>
  <c r="T192" i="9"/>
  <c r="W192" i="9" s="1"/>
  <c r="X192" i="9" s="1"/>
  <c r="Y192" i="9" s="1"/>
  <c r="Z628" i="9"/>
  <c r="AG628" i="9" s="1"/>
  <c r="T628" i="9"/>
  <c r="W628" i="9" s="1"/>
  <c r="X628" i="9" s="1"/>
  <c r="Y628" i="9" s="1"/>
  <c r="T517" i="9"/>
  <c r="W517" i="9" s="1"/>
  <c r="X517" i="9" s="1"/>
  <c r="Y517" i="9" s="1"/>
  <c r="Z517" i="9"/>
  <c r="AG517" i="9" s="1"/>
  <c r="Z510" i="9"/>
  <c r="AG510" i="9" s="1"/>
  <c r="T510" i="9"/>
  <c r="W510" i="9" s="1"/>
  <c r="X510" i="9" s="1"/>
  <c r="Y510" i="9" s="1"/>
  <c r="Z169" i="9"/>
  <c r="AG169" i="9" s="1"/>
  <c r="T169" i="9"/>
  <c r="W169" i="9" s="1"/>
  <c r="X169" i="9" s="1"/>
  <c r="Y169" i="9" s="1"/>
  <c r="Z187" i="9"/>
  <c r="AG187" i="9" s="1"/>
  <c r="T187" i="9"/>
  <c r="W187" i="9" s="1"/>
  <c r="X187" i="9" s="1"/>
  <c r="Y187" i="9" s="1"/>
  <c r="Z261" i="9"/>
  <c r="AG261" i="9" s="1"/>
  <c r="T261" i="9"/>
  <c r="W261" i="9" s="1"/>
  <c r="X261" i="9" s="1"/>
  <c r="Y261" i="9" s="1"/>
  <c r="Z598" i="9"/>
  <c r="AG598" i="9" s="1"/>
  <c r="T598" i="9"/>
  <c r="W598" i="9" s="1"/>
  <c r="X598" i="9" s="1"/>
  <c r="Y598" i="9" s="1"/>
  <c r="Z98" i="9"/>
  <c r="AG98" i="9" s="1"/>
  <c r="T98" i="9"/>
  <c r="W98" i="9" s="1"/>
  <c r="X98" i="9" s="1"/>
  <c r="Y98" i="9" s="1"/>
  <c r="Z188" i="9"/>
  <c r="AG188" i="9" s="1"/>
  <c r="T188" i="9"/>
  <c r="W188" i="9" s="1"/>
  <c r="X188" i="9" s="1"/>
  <c r="Y188" i="9" s="1"/>
  <c r="Z440" i="9"/>
  <c r="AG440" i="9" s="1"/>
  <c r="T440" i="9"/>
  <c r="W440" i="9" s="1"/>
  <c r="X440" i="9" s="1"/>
  <c r="Y440" i="9" s="1"/>
  <c r="T376" i="9"/>
  <c r="W376" i="9" s="1"/>
  <c r="X376" i="9" s="1"/>
  <c r="Y376" i="9" s="1"/>
  <c r="Z376" i="9"/>
  <c r="AG376" i="9" s="1"/>
  <c r="T312" i="9"/>
  <c r="W312" i="9" s="1"/>
  <c r="X312" i="9" s="1"/>
  <c r="Y312" i="9" s="1"/>
  <c r="Z312" i="9"/>
  <c r="AG312" i="9" s="1"/>
  <c r="T248" i="9"/>
  <c r="W248" i="9" s="1"/>
  <c r="X248" i="9" s="1"/>
  <c r="Y248" i="9" s="1"/>
  <c r="Z248" i="9"/>
  <c r="AG248" i="9" s="1"/>
  <c r="T184" i="9"/>
  <c r="W184" i="9" s="1"/>
  <c r="X184" i="9" s="1"/>
  <c r="Y184" i="9" s="1"/>
  <c r="Z184" i="9"/>
  <c r="AG184" i="9" s="1"/>
  <c r="T120" i="9"/>
  <c r="W120" i="9" s="1"/>
  <c r="X120" i="9" s="1"/>
  <c r="Y120" i="9" s="1"/>
  <c r="Z120" i="9"/>
  <c r="AG120" i="9" s="1"/>
  <c r="Z609" i="9"/>
  <c r="AG609" i="9" s="1"/>
  <c r="T609" i="9"/>
  <c r="W609" i="9" s="1"/>
  <c r="X609" i="9" s="1"/>
  <c r="Y609" i="9" s="1"/>
  <c r="Z331" i="9"/>
  <c r="AG331" i="9" s="1"/>
  <c r="T331" i="9"/>
  <c r="W331" i="9" s="1"/>
  <c r="X331" i="9" s="1"/>
  <c r="Y331" i="9" s="1"/>
  <c r="Z664" i="9"/>
  <c r="AG664" i="9" s="1"/>
  <c r="T664" i="9"/>
  <c r="W664" i="9" s="1"/>
  <c r="X664" i="9" s="1"/>
  <c r="Y664" i="9" s="1"/>
  <c r="Z335" i="9"/>
  <c r="AG335" i="9" s="1"/>
  <c r="T335" i="9"/>
  <c r="W335" i="9" s="1"/>
  <c r="X335" i="9" s="1"/>
  <c r="Y335" i="9" s="1"/>
  <c r="Z523" i="9"/>
  <c r="AG523" i="9" s="1"/>
  <c r="T523" i="9"/>
  <c r="W523" i="9" s="1"/>
  <c r="X523" i="9" s="1"/>
  <c r="Y523" i="9" s="1"/>
  <c r="Z214" i="9"/>
  <c r="AG214" i="9" s="1"/>
  <c r="T214" i="9"/>
  <c r="W214" i="9" s="1"/>
  <c r="X214" i="9" s="1"/>
  <c r="Y214" i="9" s="1"/>
  <c r="Z576" i="9"/>
  <c r="AG576" i="9" s="1"/>
  <c r="T576" i="9"/>
  <c r="W576" i="9" s="1"/>
  <c r="X576" i="9" s="1"/>
  <c r="Y576" i="9" s="1"/>
  <c r="T723" i="9"/>
  <c r="W723" i="9" s="1"/>
  <c r="X723" i="9" s="1"/>
  <c r="Y723" i="9" s="1"/>
  <c r="Z723" i="9"/>
  <c r="AG723" i="9" s="1"/>
  <c r="T659" i="9"/>
  <c r="W659" i="9" s="1"/>
  <c r="X659" i="9" s="1"/>
  <c r="Y659" i="9" s="1"/>
  <c r="Z659" i="9"/>
  <c r="AG659" i="9" s="1"/>
  <c r="T595" i="9"/>
  <c r="W595" i="9" s="1"/>
  <c r="X595" i="9" s="1"/>
  <c r="Y595" i="9" s="1"/>
  <c r="Z595" i="9"/>
  <c r="AG595" i="9" s="1"/>
  <c r="Z521" i="9"/>
  <c r="AG521" i="9" s="1"/>
  <c r="T521" i="9"/>
  <c r="W521" i="9" s="1"/>
  <c r="X521" i="9" s="1"/>
  <c r="Y521" i="9" s="1"/>
  <c r="Z435" i="9"/>
  <c r="AG435" i="9" s="1"/>
  <c r="T435" i="9"/>
  <c r="W435" i="9" s="1"/>
  <c r="X435" i="9" s="1"/>
  <c r="Y435" i="9" s="1"/>
  <c r="Z350" i="9"/>
  <c r="AG350" i="9" s="1"/>
  <c r="T350" i="9"/>
  <c r="W350" i="9" s="1"/>
  <c r="X350" i="9" s="1"/>
  <c r="Y350" i="9" s="1"/>
  <c r="Z265" i="9"/>
  <c r="AG265" i="9" s="1"/>
  <c r="T265" i="9"/>
  <c r="W265" i="9" s="1"/>
  <c r="X265" i="9" s="1"/>
  <c r="Y265" i="9" s="1"/>
  <c r="Z179" i="9"/>
  <c r="AG179" i="9" s="1"/>
  <c r="T179" i="9"/>
  <c r="W179" i="9" s="1"/>
  <c r="X179" i="9" s="1"/>
  <c r="Y179" i="9" s="1"/>
  <c r="Z94" i="9"/>
  <c r="AG94" i="9" s="1"/>
  <c r="T94" i="9"/>
  <c r="W94" i="9" s="1"/>
  <c r="X94" i="9" s="1"/>
  <c r="Y94" i="9" s="1"/>
  <c r="Z601" i="9"/>
  <c r="AG601" i="9" s="1"/>
  <c r="T601" i="9"/>
  <c r="W601" i="9" s="1"/>
  <c r="X601" i="9" s="1"/>
  <c r="Y601" i="9" s="1"/>
  <c r="Z427" i="9"/>
  <c r="AG427" i="9" s="1"/>
  <c r="T427" i="9"/>
  <c r="W427" i="9" s="1"/>
  <c r="X427" i="9" s="1"/>
  <c r="Y427" i="9" s="1"/>
  <c r="Z219" i="9"/>
  <c r="AG219" i="9" s="1"/>
  <c r="T219" i="9"/>
  <c r="W219" i="9" s="1"/>
  <c r="X219" i="9" s="1"/>
  <c r="Y219" i="9" s="1"/>
  <c r="Z704" i="9"/>
  <c r="AG704" i="9" s="1"/>
  <c r="T704" i="9"/>
  <c r="W704" i="9" s="1"/>
  <c r="X704" i="9" s="1"/>
  <c r="Y704" i="9" s="1"/>
  <c r="Z572" i="9"/>
  <c r="AG572" i="9" s="1"/>
  <c r="T572" i="9"/>
  <c r="W572" i="9" s="1"/>
  <c r="X572" i="9" s="1"/>
  <c r="Y572" i="9" s="1"/>
  <c r="T421" i="9"/>
  <c r="W421" i="9" s="1"/>
  <c r="X421" i="9" s="1"/>
  <c r="Y421" i="9" s="1"/>
  <c r="Z421" i="9"/>
  <c r="AG421" i="9" s="1"/>
  <c r="Z271" i="9"/>
  <c r="AG271" i="9" s="1"/>
  <c r="T271" i="9"/>
  <c r="W271" i="9" s="1"/>
  <c r="X271" i="9" s="1"/>
  <c r="Y271" i="9" s="1"/>
  <c r="Z175" i="9"/>
  <c r="AG175" i="9" s="1"/>
  <c r="T175" i="9"/>
  <c r="W175" i="9" s="1"/>
  <c r="X175" i="9" s="1"/>
  <c r="Y175" i="9" s="1"/>
  <c r="Z90" i="9"/>
  <c r="AG90" i="9" s="1"/>
  <c r="T90" i="9"/>
  <c r="W90" i="9" s="1"/>
  <c r="X90" i="9" s="1"/>
  <c r="Y90" i="9" s="1"/>
  <c r="Z670" i="9"/>
  <c r="AG670" i="9" s="1"/>
  <c r="T670" i="9"/>
  <c r="W670" i="9" s="1"/>
  <c r="X670" i="9" s="1"/>
  <c r="Y670" i="9" s="1"/>
  <c r="Z606" i="9"/>
  <c r="AG606" i="9" s="1"/>
  <c r="T606" i="9"/>
  <c r="W606" i="9" s="1"/>
  <c r="X606" i="9" s="1"/>
  <c r="Y606" i="9" s="1"/>
  <c r="Z535" i="9"/>
  <c r="AG535" i="9" s="1"/>
  <c r="T535" i="9"/>
  <c r="W535" i="9" s="1"/>
  <c r="X535" i="9" s="1"/>
  <c r="Y535" i="9" s="1"/>
  <c r="Z450" i="9"/>
  <c r="AG450" i="9" s="1"/>
  <c r="T450" i="9"/>
  <c r="W450" i="9" s="1"/>
  <c r="X450" i="9" s="1"/>
  <c r="Y450" i="9" s="1"/>
  <c r="Z365" i="9"/>
  <c r="AG365" i="9" s="1"/>
  <c r="T365" i="9"/>
  <c r="W365" i="9" s="1"/>
  <c r="X365" i="9" s="1"/>
  <c r="Y365" i="9" s="1"/>
  <c r="Z279" i="9"/>
  <c r="AG279" i="9" s="1"/>
  <c r="T279" i="9"/>
  <c r="W279" i="9" s="1"/>
  <c r="X279" i="9" s="1"/>
  <c r="Y279" i="9" s="1"/>
  <c r="Z194" i="9"/>
  <c r="AG194" i="9" s="1"/>
  <c r="T194" i="9"/>
  <c r="W194" i="9" s="1"/>
  <c r="X194" i="9" s="1"/>
  <c r="Y194" i="9" s="1"/>
  <c r="Z109" i="9"/>
  <c r="AG109" i="9" s="1"/>
  <c r="T109" i="9"/>
  <c r="W109" i="9" s="1"/>
  <c r="X109" i="9" s="1"/>
  <c r="Y109" i="9" s="1"/>
  <c r="Z516" i="9"/>
  <c r="AG516" i="9" s="1"/>
  <c r="T516" i="9"/>
  <c r="W516" i="9" s="1"/>
  <c r="X516" i="9" s="1"/>
  <c r="Y516" i="9" s="1"/>
  <c r="Z452" i="9"/>
  <c r="AG452" i="9" s="1"/>
  <c r="T452" i="9"/>
  <c r="W452" i="9" s="1"/>
  <c r="X452" i="9" s="1"/>
  <c r="Y452" i="9" s="1"/>
  <c r="Z388" i="9"/>
  <c r="AG388" i="9" s="1"/>
  <c r="T388" i="9"/>
  <c r="W388" i="9" s="1"/>
  <c r="X388" i="9" s="1"/>
  <c r="Y388" i="9" s="1"/>
  <c r="Z324" i="9"/>
  <c r="AG324" i="9" s="1"/>
  <c r="T324" i="9"/>
  <c r="W324" i="9" s="1"/>
  <c r="X324" i="9" s="1"/>
  <c r="Y324" i="9" s="1"/>
  <c r="Z260" i="9"/>
  <c r="AG260" i="9" s="1"/>
  <c r="T260" i="9"/>
  <c r="W260" i="9" s="1"/>
  <c r="X260" i="9" s="1"/>
  <c r="Y260" i="9" s="1"/>
  <c r="Z196" i="9"/>
  <c r="AG196" i="9" s="1"/>
  <c r="T196" i="9"/>
  <c r="W196" i="9" s="1"/>
  <c r="X196" i="9" s="1"/>
  <c r="Y196" i="9" s="1"/>
  <c r="T132" i="9"/>
  <c r="W132" i="9" s="1"/>
  <c r="X132" i="9" s="1"/>
  <c r="Y132" i="9" s="1"/>
  <c r="Z132" i="9"/>
  <c r="AG132" i="9" s="1"/>
  <c r="Z717" i="9"/>
  <c r="AG717" i="9" s="1"/>
  <c r="T717" i="9"/>
  <c r="W717" i="9" s="1"/>
  <c r="X717" i="9" s="1"/>
  <c r="Y717" i="9" s="1"/>
  <c r="Z534" i="9"/>
  <c r="AG534" i="9" s="1"/>
  <c r="T534" i="9"/>
  <c r="W534" i="9" s="1"/>
  <c r="X534" i="9" s="1"/>
  <c r="Y534" i="9" s="1"/>
  <c r="Z241" i="9"/>
  <c r="AG241" i="9" s="1"/>
  <c r="T241" i="9"/>
  <c r="W241" i="9" s="1"/>
  <c r="X241" i="9" s="1"/>
  <c r="Y241" i="9" s="1"/>
  <c r="Z584" i="9"/>
  <c r="AG584" i="9" s="1"/>
  <c r="T584" i="9"/>
  <c r="W584" i="9" s="1"/>
  <c r="X584" i="9" s="1"/>
  <c r="Y584" i="9" s="1"/>
  <c r="Z693" i="9"/>
  <c r="AG693" i="9" s="1"/>
  <c r="T693" i="9"/>
  <c r="W693" i="9" s="1"/>
  <c r="X693" i="9" s="1"/>
  <c r="Y693" i="9" s="1"/>
  <c r="Z422" i="9"/>
  <c r="AG422" i="9" s="1"/>
  <c r="T422" i="9"/>
  <c r="W422" i="9" s="1"/>
  <c r="X422" i="9" s="1"/>
  <c r="Y422" i="9" s="1"/>
  <c r="Z118" i="9"/>
  <c r="AG118" i="9" s="1"/>
  <c r="T118" i="9"/>
  <c r="W118" i="9" s="1"/>
  <c r="X118" i="9" s="1"/>
  <c r="Y118" i="9" s="1"/>
  <c r="Z458" i="9"/>
  <c r="AG458" i="9" s="1"/>
  <c r="T458" i="9"/>
  <c r="W458" i="9" s="1"/>
  <c r="X458" i="9" s="1"/>
  <c r="Y458" i="9" s="1"/>
  <c r="Z703" i="9"/>
  <c r="AG703" i="9" s="1"/>
  <c r="T703" i="9"/>
  <c r="W703" i="9" s="1"/>
  <c r="X703" i="9" s="1"/>
  <c r="Y703" i="9" s="1"/>
  <c r="Z639" i="9"/>
  <c r="AG639" i="9" s="1"/>
  <c r="T639" i="9"/>
  <c r="W639" i="9" s="1"/>
  <c r="X639" i="9" s="1"/>
  <c r="Y639" i="9" s="1"/>
  <c r="Z575" i="9"/>
  <c r="AG575" i="9" s="1"/>
  <c r="T575" i="9"/>
  <c r="W575" i="9" s="1"/>
  <c r="X575" i="9" s="1"/>
  <c r="Y575" i="9" s="1"/>
  <c r="Z494" i="9"/>
  <c r="AG494" i="9" s="1"/>
  <c r="T494" i="9"/>
  <c r="W494" i="9" s="1"/>
  <c r="X494" i="9" s="1"/>
  <c r="Y494" i="9" s="1"/>
  <c r="Z409" i="9"/>
  <c r="AG409" i="9" s="1"/>
  <c r="T409" i="9"/>
  <c r="W409" i="9" s="1"/>
  <c r="X409" i="9" s="1"/>
  <c r="Y409" i="9" s="1"/>
  <c r="Z323" i="9"/>
  <c r="AG323" i="9" s="1"/>
  <c r="T323" i="9"/>
  <c r="W323" i="9" s="1"/>
  <c r="X323" i="9" s="1"/>
  <c r="Y323" i="9" s="1"/>
  <c r="Z238" i="9"/>
  <c r="AG238" i="9" s="1"/>
  <c r="T238" i="9"/>
  <c r="W238" i="9" s="1"/>
  <c r="X238" i="9" s="1"/>
  <c r="Y238" i="9" s="1"/>
  <c r="Z153" i="9"/>
  <c r="AG153" i="9" s="1"/>
  <c r="T153" i="9"/>
  <c r="W153" i="9" s="1"/>
  <c r="X153" i="9" s="1"/>
  <c r="Y153" i="9" s="1"/>
  <c r="Z705" i="9"/>
  <c r="AG705" i="9" s="1"/>
  <c r="T705" i="9"/>
  <c r="W705" i="9" s="1"/>
  <c r="X705" i="9" s="1"/>
  <c r="Y705" i="9" s="1"/>
  <c r="Z555" i="9"/>
  <c r="AG555" i="9" s="1"/>
  <c r="T555" i="9"/>
  <c r="W555" i="9" s="1"/>
  <c r="X555" i="9" s="1"/>
  <c r="Y555" i="9" s="1"/>
  <c r="Z363" i="9"/>
  <c r="AG363" i="9" s="1"/>
  <c r="T363" i="9"/>
  <c r="W363" i="9" s="1"/>
  <c r="X363" i="9" s="1"/>
  <c r="Y363" i="9" s="1"/>
  <c r="Z150" i="9"/>
  <c r="AG150" i="9" s="1"/>
  <c r="T150" i="9"/>
  <c r="W150" i="9" s="1"/>
  <c r="X150" i="9" s="1"/>
  <c r="Y150" i="9" s="1"/>
  <c r="Z668" i="9"/>
  <c r="AG668" i="9" s="1"/>
  <c r="T668" i="9"/>
  <c r="W668" i="9" s="1"/>
  <c r="X668" i="9" s="1"/>
  <c r="Y668" i="9" s="1"/>
  <c r="Z533" i="9"/>
  <c r="AG533" i="9" s="1"/>
  <c r="T533" i="9"/>
  <c r="W533" i="9" s="1"/>
  <c r="X533" i="9" s="1"/>
  <c r="Y533" i="9" s="1"/>
  <c r="Z367" i="9"/>
  <c r="AG367" i="9" s="1"/>
  <c r="T367" i="9"/>
  <c r="W367" i="9" s="1"/>
  <c r="X367" i="9" s="1"/>
  <c r="Y367" i="9" s="1"/>
  <c r="Z245" i="9"/>
  <c r="AG245" i="9" s="1"/>
  <c r="T245" i="9"/>
  <c r="W245" i="9" s="1"/>
  <c r="X245" i="9" s="1"/>
  <c r="Y245" i="9" s="1"/>
  <c r="Z149" i="9"/>
  <c r="AG149" i="9" s="1"/>
  <c r="T149" i="9"/>
  <c r="W149" i="9" s="1"/>
  <c r="X149" i="9" s="1"/>
  <c r="Y149" i="9" s="1"/>
  <c r="Z714" i="9"/>
  <c r="AG714" i="9" s="1"/>
  <c r="T714" i="9"/>
  <c r="W714" i="9" s="1"/>
  <c r="X714" i="9" s="1"/>
  <c r="Y714" i="9" s="1"/>
  <c r="Z650" i="9"/>
  <c r="AG650" i="9" s="1"/>
  <c r="T650" i="9"/>
  <c r="W650" i="9" s="1"/>
  <c r="X650" i="9" s="1"/>
  <c r="Y650" i="9" s="1"/>
  <c r="Z586" i="9"/>
  <c r="AG586" i="9" s="1"/>
  <c r="T586" i="9"/>
  <c r="W586" i="9" s="1"/>
  <c r="X586" i="9" s="1"/>
  <c r="Y586" i="9" s="1"/>
  <c r="Z509" i="9"/>
  <c r="AG509" i="9" s="1"/>
  <c r="T509" i="9"/>
  <c r="W509" i="9" s="1"/>
  <c r="X509" i="9" s="1"/>
  <c r="Y509" i="9" s="1"/>
  <c r="Z423" i="9"/>
  <c r="AG423" i="9" s="1"/>
  <c r="T423" i="9"/>
  <c r="W423" i="9" s="1"/>
  <c r="X423" i="9" s="1"/>
  <c r="Y423" i="9" s="1"/>
  <c r="Z338" i="9"/>
  <c r="AG338" i="9" s="1"/>
  <c r="T338" i="9"/>
  <c r="W338" i="9" s="1"/>
  <c r="X338" i="9" s="1"/>
  <c r="Y338" i="9" s="1"/>
  <c r="Z253" i="9"/>
  <c r="AG253" i="9" s="1"/>
  <c r="T253" i="9"/>
  <c r="W253" i="9" s="1"/>
  <c r="X253" i="9" s="1"/>
  <c r="Y253" i="9" s="1"/>
  <c r="Z167" i="9"/>
  <c r="AG167" i="9" s="1"/>
  <c r="T167" i="9"/>
  <c r="W167" i="9" s="1"/>
  <c r="X167" i="9" s="1"/>
  <c r="Y167" i="9" s="1"/>
  <c r="Z560" i="9"/>
  <c r="AG560" i="9" s="1"/>
  <c r="T560" i="9"/>
  <c r="W560" i="9" s="1"/>
  <c r="X560" i="9" s="1"/>
  <c r="Y560" i="9" s="1"/>
  <c r="Z496" i="9"/>
  <c r="AG496" i="9" s="1"/>
  <c r="T496" i="9"/>
  <c r="W496" i="9" s="1"/>
  <c r="X496" i="9" s="1"/>
  <c r="Y496" i="9" s="1"/>
  <c r="Z432" i="9"/>
  <c r="AG432" i="9" s="1"/>
  <c r="T432" i="9"/>
  <c r="W432" i="9" s="1"/>
  <c r="X432" i="9" s="1"/>
  <c r="Y432" i="9" s="1"/>
  <c r="Z368" i="9"/>
  <c r="AG368" i="9" s="1"/>
  <c r="T368" i="9"/>
  <c r="W368" i="9" s="1"/>
  <c r="X368" i="9" s="1"/>
  <c r="Y368" i="9" s="1"/>
  <c r="Z304" i="9"/>
  <c r="AG304" i="9" s="1"/>
  <c r="T304" i="9"/>
  <c r="W304" i="9" s="1"/>
  <c r="X304" i="9" s="1"/>
  <c r="Y304" i="9" s="1"/>
  <c r="Z240" i="9"/>
  <c r="AG240" i="9" s="1"/>
  <c r="T240" i="9"/>
  <c r="W240" i="9" s="1"/>
  <c r="X240" i="9" s="1"/>
  <c r="Y240" i="9" s="1"/>
  <c r="Z176" i="9"/>
  <c r="AG176" i="9" s="1"/>
  <c r="T176" i="9"/>
  <c r="W176" i="9" s="1"/>
  <c r="X176" i="9" s="1"/>
  <c r="Y176" i="9" s="1"/>
  <c r="Z112" i="9"/>
  <c r="AG112" i="9" s="1"/>
  <c r="T112" i="9"/>
  <c r="W112" i="9" s="1"/>
  <c r="X112" i="9" s="1"/>
  <c r="Y112" i="9" s="1"/>
  <c r="Z513" i="9"/>
  <c r="AG513" i="9" s="1"/>
  <c r="T513" i="9"/>
  <c r="W513" i="9" s="1"/>
  <c r="X513" i="9" s="1"/>
  <c r="Y513" i="9" s="1"/>
  <c r="Z225" i="9"/>
  <c r="AG225" i="9" s="1"/>
  <c r="T225" i="9"/>
  <c r="W225" i="9" s="1"/>
  <c r="X225" i="9" s="1"/>
  <c r="Y225" i="9" s="1"/>
  <c r="Z568" i="9"/>
  <c r="AG568" i="9" s="1"/>
  <c r="T568" i="9"/>
  <c r="W568" i="9" s="1"/>
  <c r="X568" i="9" s="1"/>
  <c r="Y568" i="9" s="1"/>
  <c r="Z681" i="9"/>
  <c r="AG681" i="9" s="1"/>
  <c r="T681" i="9"/>
  <c r="W681" i="9" s="1"/>
  <c r="X681" i="9" s="1"/>
  <c r="Y681" i="9" s="1"/>
  <c r="Z401" i="9"/>
  <c r="AG401" i="9" s="1"/>
  <c r="T401" i="9"/>
  <c r="W401" i="9" s="1"/>
  <c r="X401" i="9" s="1"/>
  <c r="Y401" i="9" s="1"/>
  <c r="Z728" i="9"/>
  <c r="AG728" i="9" s="1"/>
  <c r="T728" i="9"/>
  <c r="W728" i="9" s="1"/>
  <c r="X728" i="9" s="1"/>
  <c r="Y728" i="9" s="1"/>
  <c r="Z437" i="9"/>
  <c r="AG437" i="9" s="1"/>
  <c r="T437" i="9"/>
  <c r="W437" i="9" s="1"/>
  <c r="X437" i="9" s="1"/>
  <c r="Y437" i="9" s="1"/>
  <c r="Z699" i="9"/>
  <c r="AG699" i="9" s="1"/>
  <c r="T699" i="9"/>
  <c r="W699" i="9" s="1"/>
  <c r="X699" i="9" s="1"/>
  <c r="Y699" i="9" s="1"/>
  <c r="Z635" i="9"/>
  <c r="AG635" i="9" s="1"/>
  <c r="T635" i="9"/>
  <c r="W635" i="9" s="1"/>
  <c r="X635" i="9" s="1"/>
  <c r="Y635" i="9" s="1"/>
  <c r="Z571" i="9"/>
  <c r="AG571" i="9" s="1"/>
  <c r="T571" i="9"/>
  <c r="W571" i="9" s="1"/>
  <c r="X571" i="9" s="1"/>
  <c r="Y571" i="9" s="1"/>
  <c r="Z489" i="9"/>
  <c r="AG489" i="9" s="1"/>
  <c r="T489" i="9"/>
  <c r="W489" i="9" s="1"/>
  <c r="X489" i="9" s="1"/>
  <c r="Y489" i="9" s="1"/>
  <c r="Z403" i="9"/>
  <c r="AG403" i="9" s="1"/>
  <c r="T403" i="9"/>
  <c r="W403" i="9" s="1"/>
  <c r="X403" i="9" s="1"/>
  <c r="Y403" i="9" s="1"/>
  <c r="Z318" i="9"/>
  <c r="AG318" i="9" s="1"/>
  <c r="T318" i="9"/>
  <c r="W318" i="9" s="1"/>
  <c r="X318" i="9" s="1"/>
  <c r="Y318" i="9" s="1"/>
  <c r="Z233" i="9"/>
  <c r="AG233" i="9" s="1"/>
  <c r="T233" i="9"/>
  <c r="W233" i="9" s="1"/>
  <c r="X233" i="9" s="1"/>
  <c r="Y233" i="9" s="1"/>
  <c r="Z147" i="9"/>
  <c r="AG147" i="9" s="1"/>
  <c r="T147" i="9"/>
  <c r="W147" i="9" s="1"/>
  <c r="X147" i="9" s="1"/>
  <c r="Y147" i="9" s="1"/>
  <c r="Z697" i="9"/>
  <c r="AG697" i="9" s="1"/>
  <c r="T697" i="9"/>
  <c r="W697" i="9" s="1"/>
  <c r="X697" i="9" s="1"/>
  <c r="Y697" i="9" s="1"/>
  <c r="Z539" i="9"/>
  <c r="AG539" i="9" s="1"/>
  <c r="T539" i="9"/>
  <c r="W539" i="9" s="1"/>
  <c r="X539" i="9" s="1"/>
  <c r="Y539" i="9" s="1"/>
  <c r="Z353" i="9"/>
  <c r="AG353" i="9" s="1"/>
  <c r="T353" i="9"/>
  <c r="W353" i="9" s="1"/>
  <c r="X353" i="9" s="1"/>
  <c r="Y353" i="9" s="1"/>
  <c r="Z145" i="9"/>
  <c r="AG145" i="9" s="1"/>
  <c r="T145" i="9"/>
  <c r="W145" i="9" s="1"/>
  <c r="X145" i="9" s="1"/>
  <c r="Y145" i="9" s="1"/>
  <c r="Z656" i="9"/>
  <c r="AG656" i="9" s="1"/>
  <c r="T656" i="9"/>
  <c r="W656" i="9" s="1"/>
  <c r="X656" i="9" s="1"/>
  <c r="Y656" i="9" s="1"/>
  <c r="Z527" i="9"/>
  <c r="AG527" i="9" s="1"/>
  <c r="T527" i="9"/>
  <c r="W527" i="9" s="1"/>
  <c r="X527" i="9" s="1"/>
  <c r="Y527" i="9" s="1"/>
  <c r="Z362" i="9"/>
  <c r="AG362" i="9" s="1"/>
  <c r="T362" i="9"/>
  <c r="W362" i="9" s="1"/>
  <c r="X362" i="9" s="1"/>
  <c r="Y362" i="9" s="1"/>
  <c r="Z239" i="9"/>
  <c r="AG239" i="9" s="1"/>
  <c r="T239" i="9"/>
  <c r="W239" i="9" s="1"/>
  <c r="X239" i="9" s="1"/>
  <c r="Y239" i="9" s="1"/>
  <c r="Z143" i="9"/>
  <c r="AG143" i="9" s="1"/>
  <c r="T143" i="9"/>
  <c r="W143" i="9" s="1"/>
  <c r="X143" i="9" s="1"/>
  <c r="Y143" i="9" s="1"/>
  <c r="Z710" i="9"/>
  <c r="AG710" i="9" s="1"/>
  <c r="T710" i="9"/>
  <c r="W710" i="9" s="1"/>
  <c r="X710" i="9" s="1"/>
  <c r="Y710" i="9" s="1"/>
  <c r="Z646" i="9"/>
  <c r="AG646" i="9" s="1"/>
  <c r="T646" i="9"/>
  <c r="W646" i="9" s="1"/>
  <c r="X646" i="9" s="1"/>
  <c r="Y646" i="9" s="1"/>
  <c r="Z582" i="9"/>
  <c r="AG582" i="9" s="1"/>
  <c r="T582" i="9"/>
  <c r="W582" i="9" s="1"/>
  <c r="X582" i="9" s="1"/>
  <c r="Y582" i="9" s="1"/>
  <c r="Z503" i="9"/>
  <c r="AG503" i="9" s="1"/>
  <c r="T503" i="9"/>
  <c r="W503" i="9" s="1"/>
  <c r="X503" i="9" s="1"/>
  <c r="Y503" i="9" s="1"/>
  <c r="Z418" i="9"/>
  <c r="AG418" i="9" s="1"/>
  <c r="T418" i="9"/>
  <c r="W418" i="9" s="1"/>
  <c r="X418" i="9" s="1"/>
  <c r="Y418" i="9" s="1"/>
  <c r="Z333" i="9"/>
  <c r="AG333" i="9" s="1"/>
  <c r="T333" i="9"/>
  <c r="W333" i="9" s="1"/>
  <c r="X333" i="9" s="1"/>
  <c r="Y333" i="9" s="1"/>
  <c r="Z247" i="9"/>
  <c r="AG247" i="9" s="1"/>
  <c r="T247" i="9"/>
  <c r="W247" i="9" s="1"/>
  <c r="X247" i="9" s="1"/>
  <c r="Y247" i="9" s="1"/>
  <c r="Z162" i="9"/>
  <c r="AG162" i="9" s="1"/>
  <c r="T162" i="9"/>
  <c r="W162" i="9" s="1"/>
  <c r="X162" i="9" s="1"/>
  <c r="Y162" i="9" s="1"/>
  <c r="Z556" i="9"/>
  <c r="AG556" i="9" s="1"/>
  <c r="T556" i="9"/>
  <c r="W556" i="9" s="1"/>
  <c r="X556" i="9" s="1"/>
  <c r="Y556" i="9" s="1"/>
  <c r="Z492" i="9"/>
  <c r="AG492" i="9" s="1"/>
  <c r="T492" i="9"/>
  <c r="W492" i="9" s="1"/>
  <c r="X492" i="9" s="1"/>
  <c r="Y492" i="9" s="1"/>
  <c r="Z428" i="9"/>
  <c r="AG428" i="9" s="1"/>
  <c r="T428" i="9"/>
  <c r="W428" i="9" s="1"/>
  <c r="X428" i="9" s="1"/>
  <c r="Y428" i="9" s="1"/>
  <c r="Z364" i="9"/>
  <c r="AG364" i="9" s="1"/>
  <c r="T364" i="9"/>
  <c r="W364" i="9" s="1"/>
  <c r="X364" i="9" s="1"/>
  <c r="Y364" i="9" s="1"/>
  <c r="Z300" i="9"/>
  <c r="AG300" i="9" s="1"/>
  <c r="T300" i="9"/>
  <c r="W300" i="9" s="1"/>
  <c r="X300" i="9" s="1"/>
  <c r="Y300" i="9" s="1"/>
  <c r="Z236" i="9"/>
  <c r="AG236" i="9" s="1"/>
  <c r="T236" i="9"/>
  <c r="W236" i="9" s="1"/>
  <c r="X236" i="9" s="1"/>
  <c r="Y236" i="9" s="1"/>
  <c r="Z172" i="9"/>
  <c r="AG172" i="9" s="1"/>
  <c r="T172" i="9"/>
  <c r="W172" i="9" s="1"/>
  <c r="X172" i="9" s="1"/>
  <c r="Y172" i="9" s="1"/>
  <c r="T108" i="9"/>
  <c r="W108" i="9" s="1"/>
  <c r="X108" i="9" s="1"/>
  <c r="Y108" i="9" s="1"/>
  <c r="Z108" i="9"/>
  <c r="AG108" i="9" s="1"/>
  <c r="Z424" i="9"/>
  <c r="AG424" i="9" s="1"/>
  <c r="T424" i="9"/>
  <c r="W424" i="9" s="1"/>
  <c r="X424" i="9" s="1"/>
  <c r="Y424" i="9" s="1"/>
  <c r="Z360" i="9"/>
  <c r="AG360" i="9" s="1"/>
  <c r="T360" i="9"/>
  <c r="W360" i="9" s="1"/>
  <c r="X360" i="9" s="1"/>
  <c r="Y360" i="9" s="1"/>
  <c r="T296" i="9"/>
  <c r="W296" i="9" s="1"/>
  <c r="X296" i="9" s="1"/>
  <c r="Y296" i="9" s="1"/>
  <c r="Z296" i="9"/>
  <c r="AG296" i="9" s="1"/>
  <c r="Z232" i="9"/>
  <c r="AG232" i="9" s="1"/>
  <c r="T232" i="9"/>
  <c r="W232" i="9" s="1"/>
  <c r="X232" i="9" s="1"/>
  <c r="Y232" i="9" s="1"/>
  <c r="T168" i="9"/>
  <c r="W168" i="9" s="1"/>
  <c r="X168" i="9" s="1"/>
  <c r="Y168" i="9" s="1"/>
  <c r="Z168" i="9"/>
  <c r="AG168" i="9" s="1"/>
  <c r="T104" i="9"/>
  <c r="W104" i="9" s="1"/>
  <c r="X104" i="9" s="1"/>
  <c r="Y104" i="9" s="1"/>
  <c r="Z104" i="9"/>
  <c r="AG104" i="9" s="1"/>
  <c r="Z550" i="9"/>
  <c r="AG550" i="9" s="1"/>
  <c r="T550" i="9"/>
  <c r="W550" i="9" s="1"/>
  <c r="X550" i="9" s="1"/>
  <c r="Y550" i="9" s="1"/>
  <c r="Z262" i="9"/>
  <c r="AG262" i="9" s="1"/>
  <c r="T262" i="9"/>
  <c r="W262" i="9" s="1"/>
  <c r="X262" i="9" s="1"/>
  <c r="Y262" i="9" s="1"/>
  <c r="Z600" i="9"/>
  <c r="AG600" i="9" s="1"/>
  <c r="T600" i="9"/>
  <c r="W600" i="9" s="1"/>
  <c r="X600" i="9" s="1"/>
  <c r="Y600" i="9" s="1"/>
  <c r="Z709" i="9"/>
  <c r="AG709" i="9" s="1"/>
  <c r="T709" i="9"/>
  <c r="W709" i="9" s="1"/>
  <c r="X709" i="9" s="1"/>
  <c r="Y709" i="9" s="1"/>
  <c r="Z443" i="9"/>
  <c r="AG443" i="9" s="1"/>
  <c r="T443" i="9"/>
  <c r="W443" i="9" s="1"/>
  <c r="X443" i="9" s="1"/>
  <c r="Y443" i="9" s="1"/>
  <c r="Z139" i="9"/>
  <c r="AG139" i="9" s="1"/>
  <c r="T139" i="9"/>
  <c r="W139" i="9" s="1"/>
  <c r="X139" i="9" s="1"/>
  <c r="Y139" i="9" s="1"/>
  <c r="T485" i="9"/>
  <c r="W485" i="9" s="1"/>
  <c r="X485" i="9" s="1"/>
  <c r="Y485" i="9" s="1"/>
  <c r="Z485" i="9"/>
  <c r="AG485" i="9" s="1"/>
  <c r="T707" i="9"/>
  <c r="W707" i="9" s="1"/>
  <c r="X707" i="9" s="1"/>
  <c r="Y707" i="9" s="1"/>
  <c r="Z707" i="9"/>
  <c r="AG707" i="9" s="1"/>
  <c r="T643" i="9"/>
  <c r="W643" i="9" s="1"/>
  <c r="X643" i="9" s="1"/>
  <c r="Y643" i="9" s="1"/>
  <c r="Z643" i="9"/>
  <c r="AG643" i="9" s="1"/>
  <c r="T579" i="9"/>
  <c r="W579" i="9" s="1"/>
  <c r="X579" i="9" s="1"/>
  <c r="Y579" i="9" s="1"/>
  <c r="Z579" i="9"/>
  <c r="AG579" i="9" s="1"/>
  <c r="Z499" i="9"/>
  <c r="AG499" i="9" s="1"/>
  <c r="T499" i="9"/>
  <c r="W499" i="9" s="1"/>
  <c r="X499" i="9" s="1"/>
  <c r="Y499" i="9" s="1"/>
  <c r="Z414" i="9"/>
  <c r="AG414" i="9" s="1"/>
  <c r="T414" i="9"/>
  <c r="W414" i="9" s="1"/>
  <c r="X414" i="9" s="1"/>
  <c r="Y414" i="9" s="1"/>
  <c r="Z329" i="9"/>
  <c r="AG329" i="9" s="1"/>
  <c r="T329" i="9"/>
  <c r="W329" i="9" s="1"/>
  <c r="X329" i="9" s="1"/>
  <c r="Y329" i="9" s="1"/>
  <c r="Z243" i="9"/>
  <c r="AG243" i="9" s="1"/>
  <c r="T243" i="9"/>
  <c r="W243" i="9" s="1"/>
  <c r="X243" i="9" s="1"/>
  <c r="Y243" i="9" s="1"/>
  <c r="Z158" i="9"/>
  <c r="AG158" i="9" s="1"/>
  <c r="T158" i="9"/>
  <c r="W158" i="9" s="1"/>
  <c r="X158" i="9" s="1"/>
  <c r="Y158" i="9" s="1"/>
  <c r="Z713" i="9"/>
  <c r="AG713" i="9" s="1"/>
  <c r="T713" i="9"/>
  <c r="W713" i="9" s="1"/>
  <c r="X713" i="9" s="1"/>
  <c r="Y713" i="9" s="1"/>
  <c r="Z561" i="9"/>
  <c r="AG561" i="9" s="1"/>
  <c r="T561" i="9"/>
  <c r="W561" i="9" s="1"/>
  <c r="X561" i="9" s="1"/>
  <c r="Y561" i="9" s="1"/>
  <c r="Z374" i="9"/>
  <c r="AG374" i="9" s="1"/>
  <c r="T374" i="9"/>
  <c r="W374" i="9" s="1"/>
  <c r="X374" i="9" s="1"/>
  <c r="Y374" i="9" s="1"/>
  <c r="Z166" i="9"/>
  <c r="AG166" i="9" s="1"/>
  <c r="T166" i="9"/>
  <c r="W166" i="9" s="1"/>
  <c r="X166" i="9" s="1"/>
  <c r="Y166" i="9" s="1"/>
  <c r="Z672" i="9"/>
  <c r="AG672" i="9" s="1"/>
  <c r="T672" i="9"/>
  <c r="W672" i="9" s="1"/>
  <c r="X672" i="9" s="1"/>
  <c r="Y672" i="9" s="1"/>
  <c r="Z543" i="9"/>
  <c r="AG543" i="9" s="1"/>
  <c r="T543" i="9"/>
  <c r="W543" i="9" s="1"/>
  <c r="X543" i="9" s="1"/>
  <c r="Y543" i="9" s="1"/>
  <c r="Z383" i="9"/>
  <c r="AG383" i="9" s="1"/>
  <c r="T383" i="9"/>
  <c r="W383" i="9" s="1"/>
  <c r="X383" i="9" s="1"/>
  <c r="Y383" i="9" s="1"/>
  <c r="Z250" i="9"/>
  <c r="AG250" i="9" s="1"/>
  <c r="T250" i="9"/>
  <c r="W250" i="9" s="1"/>
  <c r="X250" i="9" s="1"/>
  <c r="Y250" i="9" s="1"/>
  <c r="Z154" i="9"/>
  <c r="AG154" i="9" s="1"/>
  <c r="T154" i="9"/>
  <c r="W154" i="9" s="1"/>
  <c r="X154" i="9" s="1"/>
  <c r="Y154" i="9" s="1"/>
  <c r="Z718" i="9"/>
  <c r="AG718" i="9" s="1"/>
  <c r="T718" i="9"/>
  <c r="W718" i="9" s="1"/>
  <c r="X718" i="9" s="1"/>
  <c r="Y718" i="9" s="1"/>
  <c r="Z654" i="9"/>
  <c r="AG654" i="9" s="1"/>
  <c r="T654" i="9"/>
  <c r="W654" i="9" s="1"/>
  <c r="X654" i="9" s="1"/>
  <c r="Y654" i="9" s="1"/>
  <c r="Z590" i="9"/>
  <c r="AG590" i="9" s="1"/>
  <c r="T590" i="9"/>
  <c r="W590" i="9" s="1"/>
  <c r="X590" i="9" s="1"/>
  <c r="Y590" i="9" s="1"/>
  <c r="Z514" i="9"/>
  <c r="AG514" i="9" s="1"/>
  <c r="T514" i="9"/>
  <c r="W514" i="9" s="1"/>
  <c r="X514" i="9" s="1"/>
  <c r="Y514" i="9" s="1"/>
  <c r="Z429" i="9"/>
  <c r="AG429" i="9" s="1"/>
  <c r="T429" i="9"/>
  <c r="W429" i="9" s="1"/>
  <c r="X429" i="9" s="1"/>
  <c r="Y429" i="9" s="1"/>
  <c r="Z343" i="9"/>
  <c r="AG343" i="9" s="1"/>
  <c r="T343" i="9"/>
  <c r="W343" i="9" s="1"/>
  <c r="X343" i="9" s="1"/>
  <c r="Y343" i="9" s="1"/>
  <c r="Z258" i="9"/>
  <c r="AG258" i="9" s="1"/>
  <c r="T258" i="9"/>
  <c r="W258" i="9" s="1"/>
  <c r="X258" i="9" s="1"/>
  <c r="Y258" i="9" s="1"/>
  <c r="Z173" i="9"/>
  <c r="AG173" i="9" s="1"/>
  <c r="T173" i="9"/>
  <c r="W173" i="9" s="1"/>
  <c r="X173" i="9" s="1"/>
  <c r="Y173" i="9" s="1"/>
  <c r="Z87" i="9"/>
  <c r="AG87" i="9" s="1"/>
  <c r="T87" i="9"/>
  <c r="W87" i="9" s="1"/>
  <c r="X87" i="9" s="1"/>
  <c r="Y87" i="9" s="1"/>
  <c r="Z500" i="9"/>
  <c r="AG500" i="9" s="1"/>
  <c r="T500" i="9"/>
  <c r="W500" i="9" s="1"/>
  <c r="X500" i="9" s="1"/>
  <c r="Y500" i="9" s="1"/>
  <c r="Z436" i="9"/>
  <c r="AG436" i="9" s="1"/>
  <c r="T436" i="9"/>
  <c r="W436" i="9" s="1"/>
  <c r="X436" i="9" s="1"/>
  <c r="Y436" i="9" s="1"/>
  <c r="Z372" i="9"/>
  <c r="AG372" i="9" s="1"/>
  <c r="T372" i="9"/>
  <c r="W372" i="9" s="1"/>
  <c r="X372" i="9" s="1"/>
  <c r="Y372" i="9" s="1"/>
  <c r="Z308" i="9"/>
  <c r="AG308" i="9" s="1"/>
  <c r="T308" i="9"/>
  <c r="W308" i="9" s="1"/>
  <c r="X308" i="9" s="1"/>
  <c r="Y308" i="9" s="1"/>
  <c r="Z244" i="9"/>
  <c r="AG244" i="9" s="1"/>
  <c r="T244" i="9"/>
  <c r="W244" i="9" s="1"/>
  <c r="X244" i="9" s="1"/>
  <c r="Y244" i="9" s="1"/>
  <c r="Z180" i="9"/>
  <c r="AG180" i="9" s="1"/>
  <c r="T180" i="9"/>
  <c r="W180" i="9" s="1"/>
  <c r="X180" i="9" s="1"/>
  <c r="Y180" i="9" s="1"/>
  <c r="T116" i="9"/>
  <c r="W116" i="9" s="1"/>
  <c r="X116" i="9" s="1"/>
  <c r="Y116" i="9" s="1"/>
  <c r="Z116" i="9"/>
  <c r="AG116" i="9" s="1"/>
  <c r="Z701" i="9"/>
  <c r="AG701" i="9" s="1"/>
  <c r="T701" i="9"/>
  <c r="W701" i="9" s="1"/>
  <c r="X701" i="9" s="1"/>
  <c r="Y701" i="9" s="1"/>
  <c r="Z454" i="9"/>
  <c r="AG454" i="9" s="1"/>
  <c r="T454" i="9"/>
  <c r="W454" i="9" s="1"/>
  <c r="X454" i="9" s="1"/>
  <c r="Y454" i="9" s="1"/>
  <c r="Z182" i="9"/>
  <c r="AG182" i="9" s="1"/>
  <c r="T182" i="9"/>
  <c r="W182" i="9" s="1"/>
  <c r="X182" i="9" s="1"/>
  <c r="Y182" i="9" s="1"/>
  <c r="Z495" i="9"/>
  <c r="AG495" i="9" s="1"/>
  <c r="T495" i="9"/>
  <c r="W495" i="9" s="1"/>
  <c r="X495" i="9" s="1"/>
  <c r="Y495" i="9" s="1"/>
  <c r="Z633" i="9"/>
  <c r="AG633" i="9" s="1"/>
  <c r="T633" i="9"/>
  <c r="W633" i="9" s="1"/>
  <c r="X633" i="9" s="1"/>
  <c r="Y633" i="9" s="1"/>
  <c r="Z342" i="9"/>
  <c r="AG342" i="9" s="1"/>
  <c r="T342" i="9"/>
  <c r="W342" i="9" s="1"/>
  <c r="X342" i="9" s="1"/>
  <c r="Y342" i="9" s="1"/>
  <c r="Z676" i="9"/>
  <c r="AG676" i="9" s="1"/>
  <c r="T676" i="9"/>
  <c r="W676" i="9" s="1"/>
  <c r="X676" i="9" s="1"/>
  <c r="Y676" i="9" s="1"/>
  <c r="Z373" i="9"/>
  <c r="AG373" i="9" s="1"/>
  <c r="T373" i="9"/>
  <c r="W373" i="9" s="1"/>
  <c r="X373" i="9" s="1"/>
  <c r="Y373" i="9" s="1"/>
  <c r="Z687" i="9"/>
  <c r="AG687" i="9" s="1"/>
  <c r="T687" i="9"/>
  <c r="W687" i="9" s="1"/>
  <c r="X687" i="9" s="1"/>
  <c r="Y687" i="9" s="1"/>
  <c r="Z623" i="9"/>
  <c r="AG623" i="9" s="1"/>
  <c r="T623" i="9"/>
  <c r="W623" i="9" s="1"/>
  <c r="X623" i="9" s="1"/>
  <c r="Y623" i="9" s="1"/>
  <c r="Z558" i="9"/>
  <c r="AG558" i="9" s="1"/>
  <c r="T558" i="9"/>
  <c r="W558" i="9" s="1"/>
  <c r="X558" i="9" s="1"/>
  <c r="Y558" i="9" s="1"/>
  <c r="Z473" i="9"/>
  <c r="AG473" i="9" s="1"/>
  <c r="T473" i="9"/>
  <c r="W473" i="9" s="1"/>
  <c r="X473" i="9" s="1"/>
  <c r="Y473" i="9" s="1"/>
  <c r="Z387" i="9"/>
  <c r="AG387" i="9" s="1"/>
  <c r="T387" i="9"/>
  <c r="W387" i="9" s="1"/>
  <c r="X387" i="9" s="1"/>
  <c r="Y387" i="9" s="1"/>
  <c r="Z302" i="9"/>
  <c r="AG302" i="9" s="1"/>
  <c r="T302" i="9"/>
  <c r="W302" i="9" s="1"/>
  <c r="X302" i="9" s="1"/>
  <c r="Y302" i="9" s="1"/>
  <c r="Z217" i="9"/>
  <c r="AG217" i="9" s="1"/>
  <c r="T217" i="9"/>
  <c r="W217" i="9" s="1"/>
  <c r="X217" i="9" s="1"/>
  <c r="Y217" i="9" s="1"/>
  <c r="Z131" i="9"/>
  <c r="AG131" i="9" s="1"/>
  <c r="T131" i="9"/>
  <c r="W131" i="9" s="1"/>
  <c r="X131" i="9" s="1"/>
  <c r="Y131" i="9" s="1"/>
  <c r="Z661" i="9"/>
  <c r="AG661" i="9" s="1"/>
  <c r="T661" i="9"/>
  <c r="W661" i="9" s="1"/>
  <c r="X661" i="9" s="1"/>
  <c r="Y661" i="9" s="1"/>
  <c r="Z502" i="9"/>
  <c r="AG502" i="9" s="1"/>
  <c r="T502" i="9"/>
  <c r="W502" i="9" s="1"/>
  <c r="X502" i="9" s="1"/>
  <c r="Y502" i="9" s="1"/>
  <c r="Z315" i="9"/>
  <c r="AG315" i="9" s="1"/>
  <c r="T315" i="9"/>
  <c r="W315" i="9" s="1"/>
  <c r="X315" i="9" s="1"/>
  <c r="Y315" i="9" s="1"/>
  <c r="Z107" i="9"/>
  <c r="AG107" i="9" s="1"/>
  <c r="T107" i="9"/>
  <c r="W107" i="9" s="1"/>
  <c r="X107" i="9" s="1"/>
  <c r="Y107" i="9" s="1"/>
  <c r="Z632" i="9"/>
  <c r="AG632" i="9" s="1"/>
  <c r="T632" i="9"/>
  <c r="W632" i="9" s="1"/>
  <c r="X632" i="9" s="1"/>
  <c r="Y632" i="9" s="1"/>
  <c r="Z490" i="9"/>
  <c r="AG490" i="9" s="1"/>
  <c r="T490" i="9"/>
  <c r="W490" i="9" s="1"/>
  <c r="X490" i="9" s="1"/>
  <c r="Y490" i="9" s="1"/>
  <c r="Z330" i="9"/>
  <c r="AG330" i="9" s="1"/>
  <c r="T330" i="9"/>
  <c r="W330" i="9" s="1"/>
  <c r="X330" i="9" s="1"/>
  <c r="Y330" i="9" s="1"/>
  <c r="Z223" i="9"/>
  <c r="AG223" i="9" s="1"/>
  <c r="T223" i="9"/>
  <c r="W223" i="9" s="1"/>
  <c r="X223" i="9" s="1"/>
  <c r="Y223" i="9" s="1"/>
  <c r="Z127" i="9"/>
  <c r="AG127" i="9" s="1"/>
  <c r="T127" i="9"/>
  <c r="W127" i="9" s="1"/>
  <c r="X127" i="9" s="1"/>
  <c r="Y127" i="9" s="1"/>
  <c r="Z698" i="9"/>
  <c r="AG698" i="9" s="1"/>
  <c r="T698" i="9"/>
  <c r="W698" i="9" s="1"/>
  <c r="X698" i="9" s="1"/>
  <c r="Y698" i="9" s="1"/>
  <c r="Z634" i="9"/>
  <c r="AG634" i="9" s="1"/>
  <c r="T634" i="9"/>
  <c r="W634" i="9" s="1"/>
  <c r="X634" i="9" s="1"/>
  <c r="Y634" i="9" s="1"/>
  <c r="Z570" i="9"/>
  <c r="AG570" i="9" s="1"/>
  <c r="T570" i="9"/>
  <c r="W570" i="9" s="1"/>
  <c r="X570" i="9" s="1"/>
  <c r="Y570" i="9" s="1"/>
  <c r="Z487" i="9"/>
  <c r="AG487" i="9" s="1"/>
  <c r="T487" i="9"/>
  <c r="W487" i="9" s="1"/>
  <c r="X487" i="9" s="1"/>
  <c r="Y487" i="9" s="1"/>
  <c r="Z402" i="9"/>
  <c r="AG402" i="9" s="1"/>
  <c r="T402" i="9"/>
  <c r="W402" i="9" s="1"/>
  <c r="X402" i="9" s="1"/>
  <c r="Y402" i="9" s="1"/>
  <c r="Z317" i="9"/>
  <c r="AG317" i="9" s="1"/>
  <c r="T317" i="9"/>
  <c r="W317" i="9" s="1"/>
  <c r="X317" i="9" s="1"/>
  <c r="Y317" i="9" s="1"/>
  <c r="Z231" i="9"/>
  <c r="AG231" i="9" s="1"/>
  <c r="T231" i="9"/>
  <c r="W231" i="9" s="1"/>
  <c r="X231" i="9" s="1"/>
  <c r="Y231" i="9" s="1"/>
  <c r="Z146" i="9"/>
  <c r="AG146" i="9" s="1"/>
  <c r="T146" i="9"/>
  <c r="W146" i="9" s="1"/>
  <c r="X146" i="9" s="1"/>
  <c r="Y146" i="9" s="1"/>
  <c r="Z544" i="9"/>
  <c r="AG544" i="9" s="1"/>
  <c r="T544" i="9"/>
  <c r="W544" i="9" s="1"/>
  <c r="X544" i="9" s="1"/>
  <c r="Y544" i="9" s="1"/>
  <c r="Z480" i="9"/>
  <c r="AG480" i="9" s="1"/>
  <c r="T480" i="9"/>
  <c r="W480" i="9" s="1"/>
  <c r="X480" i="9" s="1"/>
  <c r="Y480" i="9" s="1"/>
  <c r="Z416" i="9"/>
  <c r="AG416" i="9" s="1"/>
  <c r="T416" i="9"/>
  <c r="W416" i="9" s="1"/>
  <c r="X416" i="9" s="1"/>
  <c r="Y416" i="9" s="1"/>
  <c r="Z352" i="9"/>
  <c r="AG352" i="9" s="1"/>
  <c r="T352" i="9"/>
  <c r="W352" i="9" s="1"/>
  <c r="X352" i="9" s="1"/>
  <c r="Y352" i="9" s="1"/>
  <c r="Z288" i="9"/>
  <c r="AG288" i="9" s="1"/>
  <c r="T288" i="9"/>
  <c r="W288" i="9" s="1"/>
  <c r="X288" i="9" s="1"/>
  <c r="Y288" i="9" s="1"/>
  <c r="Z224" i="9"/>
  <c r="AG224" i="9" s="1"/>
  <c r="T224" i="9"/>
  <c r="W224" i="9" s="1"/>
  <c r="X224" i="9" s="1"/>
  <c r="Y224" i="9" s="1"/>
  <c r="Z160" i="9"/>
  <c r="AG160" i="9" s="1"/>
  <c r="T160" i="9"/>
  <c r="W160" i="9" s="1"/>
  <c r="X160" i="9" s="1"/>
  <c r="Y160" i="9" s="1"/>
  <c r="Z96" i="9"/>
  <c r="AG96" i="9" s="1"/>
  <c r="T96" i="9"/>
  <c r="W96" i="9" s="1"/>
  <c r="X96" i="9" s="1"/>
  <c r="Y96" i="9" s="1"/>
  <c r="Z433" i="9"/>
  <c r="AG433" i="9" s="1"/>
  <c r="T433" i="9"/>
  <c r="W433" i="9" s="1"/>
  <c r="X433" i="9" s="1"/>
  <c r="Y433" i="9" s="1"/>
  <c r="Z161" i="9"/>
  <c r="AG161" i="9" s="1"/>
  <c r="T161" i="9"/>
  <c r="W161" i="9" s="1"/>
  <c r="X161" i="9" s="1"/>
  <c r="Y161" i="9" s="1"/>
  <c r="Z474" i="9"/>
  <c r="AG474" i="9" s="1"/>
  <c r="T474" i="9"/>
  <c r="W474" i="9" s="1"/>
  <c r="X474" i="9" s="1"/>
  <c r="Y474" i="9" s="1"/>
  <c r="Z617" i="9"/>
  <c r="AG617" i="9" s="1"/>
  <c r="T617" i="9"/>
  <c r="W617" i="9" s="1"/>
  <c r="X617" i="9" s="1"/>
  <c r="Y617" i="9" s="1"/>
  <c r="Z321" i="9"/>
  <c r="AG321" i="9" s="1"/>
  <c r="T321" i="9"/>
  <c r="W321" i="9" s="1"/>
  <c r="X321" i="9" s="1"/>
  <c r="Y321" i="9" s="1"/>
  <c r="Z660" i="9"/>
  <c r="AG660" i="9" s="1"/>
  <c r="T660" i="9"/>
  <c r="W660" i="9" s="1"/>
  <c r="X660" i="9" s="1"/>
  <c r="Y660" i="9" s="1"/>
  <c r="Z351" i="9"/>
  <c r="AG351" i="9" s="1"/>
  <c r="T351" i="9"/>
  <c r="W351" i="9" s="1"/>
  <c r="X351" i="9" s="1"/>
  <c r="Y351" i="9" s="1"/>
  <c r="Z683" i="9"/>
  <c r="AG683" i="9" s="1"/>
  <c r="T683" i="9"/>
  <c r="W683" i="9" s="1"/>
  <c r="X683" i="9" s="1"/>
  <c r="Y683" i="9" s="1"/>
  <c r="Z619" i="9"/>
  <c r="AG619" i="9" s="1"/>
  <c r="T619" i="9"/>
  <c r="W619" i="9" s="1"/>
  <c r="X619" i="9" s="1"/>
  <c r="Y619" i="9" s="1"/>
  <c r="Z553" i="9"/>
  <c r="AG553" i="9" s="1"/>
  <c r="T553" i="9"/>
  <c r="W553" i="9" s="1"/>
  <c r="X553" i="9" s="1"/>
  <c r="Y553" i="9" s="1"/>
  <c r="Z467" i="9"/>
  <c r="AG467" i="9" s="1"/>
  <c r="T467" i="9"/>
  <c r="W467" i="9" s="1"/>
  <c r="X467" i="9" s="1"/>
  <c r="Y467" i="9" s="1"/>
  <c r="Z382" i="9"/>
  <c r="AG382" i="9" s="1"/>
  <c r="T382" i="9"/>
  <c r="W382" i="9" s="1"/>
  <c r="X382" i="9" s="1"/>
  <c r="Y382" i="9" s="1"/>
  <c r="Z297" i="9"/>
  <c r="AG297" i="9" s="1"/>
  <c r="T297" i="9"/>
  <c r="W297" i="9" s="1"/>
  <c r="X297" i="9" s="1"/>
  <c r="Y297" i="9" s="1"/>
  <c r="Z211" i="9"/>
  <c r="AG211" i="9" s="1"/>
  <c r="T211" i="9"/>
  <c r="W211" i="9" s="1"/>
  <c r="X211" i="9" s="1"/>
  <c r="Y211" i="9" s="1"/>
  <c r="Z126" i="9"/>
  <c r="AG126" i="9" s="1"/>
  <c r="T126" i="9"/>
  <c r="W126" i="9" s="1"/>
  <c r="X126" i="9" s="1"/>
  <c r="Y126" i="9" s="1"/>
  <c r="Z657" i="9"/>
  <c r="AG657" i="9" s="1"/>
  <c r="T657" i="9"/>
  <c r="W657" i="9" s="1"/>
  <c r="X657" i="9" s="1"/>
  <c r="Y657" i="9" s="1"/>
  <c r="Z491" i="9"/>
  <c r="AG491" i="9" s="1"/>
  <c r="T491" i="9"/>
  <c r="W491" i="9" s="1"/>
  <c r="X491" i="9" s="1"/>
  <c r="Y491" i="9" s="1"/>
  <c r="Z299" i="9"/>
  <c r="AG299" i="9" s="1"/>
  <c r="T299" i="9"/>
  <c r="W299" i="9" s="1"/>
  <c r="X299" i="9" s="1"/>
  <c r="Y299" i="9" s="1"/>
  <c r="Z102" i="9"/>
  <c r="AG102" i="9" s="1"/>
  <c r="T102" i="9"/>
  <c r="W102" i="9" s="1"/>
  <c r="X102" i="9" s="1"/>
  <c r="Y102" i="9" s="1"/>
  <c r="Z624" i="9"/>
  <c r="AG624" i="9" s="1"/>
  <c r="T624" i="9"/>
  <c r="W624" i="9" s="1"/>
  <c r="X624" i="9" s="1"/>
  <c r="Y624" i="9" s="1"/>
  <c r="Z479" i="9"/>
  <c r="AG479" i="9" s="1"/>
  <c r="T479" i="9"/>
  <c r="W479" i="9" s="1"/>
  <c r="X479" i="9" s="1"/>
  <c r="Y479" i="9" s="1"/>
  <c r="Z319" i="9"/>
  <c r="AG319" i="9" s="1"/>
  <c r="T319" i="9"/>
  <c r="W319" i="9" s="1"/>
  <c r="X319" i="9" s="1"/>
  <c r="Y319" i="9" s="1"/>
  <c r="Z218" i="9"/>
  <c r="AG218" i="9" s="1"/>
  <c r="T218" i="9"/>
  <c r="W218" i="9" s="1"/>
  <c r="X218" i="9" s="1"/>
  <c r="Y218" i="9" s="1"/>
  <c r="Z122" i="9"/>
  <c r="AG122" i="9" s="1"/>
  <c r="T122" i="9"/>
  <c r="W122" i="9" s="1"/>
  <c r="X122" i="9" s="1"/>
  <c r="Y122" i="9" s="1"/>
  <c r="Z694" i="9"/>
  <c r="AG694" i="9" s="1"/>
  <c r="T694" i="9"/>
  <c r="W694" i="9" s="1"/>
  <c r="X694" i="9" s="1"/>
  <c r="Y694" i="9" s="1"/>
  <c r="Z630" i="9"/>
  <c r="AG630" i="9" s="1"/>
  <c r="T630" i="9"/>
  <c r="W630" i="9" s="1"/>
  <c r="X630" i="9" s="1"/>
  <c r="Y630" i="9" s="1"/>
  <c r="Z566" i="9"/>
  <c r="AG566" i="9" s="1"/>
  <c r="T566" i="9"/>
  <c r="W566" i="9" s="1"/>
  <c r="X566" i="9" s="1"/>
  <c r="Y566" i="9" s="1"/>
  <c r="Z482" i="9"/>
  <c r="AG482" i="9" s="1"/>
  <c r="T482" i="9"/>
  <c r="W482" i="9" s="1"/>
  <c r="X482" i="9" s="1"/>
  <c r="Y482" i="9" s="1"/>
  <c r="Z397" i="9"/>
  <c r="AG397" i="9" s="1"/>
  <c r="T397" i="9"/>
  <c r="W397" i="9" s="1"/>
  <c r="X397" i="9" s="1"/>
  <c r="Y397" i="9" s="1"/>
  <c r="Z311" i="9"/>
  <c r="AG311" i="9" s="1"/>
  <c r="T311" i="9"/>
  <c r="W311" i="9" s="1"/>
  <c r="X311" i="9" s="1"/>
  <c r="Y311" i="9" s="1"/>
  <c r="Z226" i="9"/>
  <c r="AG226" i="9" s="1"/>
  <c r="T226" i="9"/>
  <c r="W226" i="9" s="1"/>
  <c r="X226" i="9" s="1"/>
  <c r="Y226" i="9" s="1"/>
  <c r="Z141" i="9"/>
  <c r="AG141" i="9" s="1"/>
  <c r="T141" i="9"/>
  <c r="W141" i="9" s="1"/>
  <c r="X141" i="9" s="1"/>
  <c r="Y141" i="9" s="1"/>
  <c r="Z540" i="9"/>
  <c r="AG540" i="9" s="1"/>
  <c r="T540" i="9"/>
  <c r="W540" i="9" s="1"/>
  <c r="X540" i="9" s="1"/>
  <c r="Y540" i="9" s="1"/>
  <c r="Z476" i="9"/>
  <c r="AG476" i="9" s="1"/>
  <c r="T476" i="9"/>
  <c r="W476" i="9" s="1"/>
  <c r="X476" i="9" s="1"/>
  <c r="Y476" i="9" s="1"/>
  <c r="Z412" i="9"/>
  <c r="AG412" i="9" s="1"/>
  <c r="T412" i="9"/>
  <c r="W412" i="9" s="1"/>
  <c r="X412" i="9" s="1"/>
  <c r="Y412" i="9" s="1"/>
  <c r="Z348" i="9"/>
  <c r="AG348" i="9" s="1"/>
  <c r="T348" i="9"/>
  <c r="W348" i="9" s="1"/>
  <c r="X348" i="9" s="1"/>
  <c r="Y348" i="9" s="1"/>
  <c r="Z284" i="9"/>
  <c r="AG284" i="9" s="1"/>
  <c r="T284" i="9"/>
  <c r="W284" i="9" s="1"/>
  <c r="X284" i="9" s="1"/>
  <c r="Y284" i="9" s="1"/>
  <c r="Z220" i="9"/>
  <c r="AG220" i="9" s="1"/>
  <c r="T220" i="9"/>
  <c r="W220" i="9" s="1"/>
  <c r="X220" i="9" s="1"/>
  <c r="Y220" i="9" s="1"/>
  <c r="T156" i="9"/>
  <c r="W156" i="9" s="1"/>
  <c r="X156" i="9" s="1"/>
  <c r="Y156" i="9" s="1"/>
  <c r="Z156" i="9"/>
  <c r="AG156" i="9" s="1"/>
  <c r="T92" i="9"/>
  <c r="W92" i="9" s="1"/>
  <c r="X92" i="9" s="1"/>
  <c r="Y92" i="9" s="1"/>
  <c r="Z92" i="9"/>
  <c r="AG92" i="9" s="1"/>
  <c r="AA17" i="9"/>
  <c r="AF16" i="9"/>
  <c r="G12" i="10"/>
  <c r="F12" i="10" s="1"/>
  <c r="I12" i="10" s="1"/>
  <c r="F11" i="10"/>
  <c r="I11" i="10" s="1"/>
  <c r="Z14" i="9"/>
  <c r="AG14" i="9" s="1"/>
  <c r="Z82" i="9"/>
  <c r="AG82" i="9" s="1"/>
  <c r="Z78" i="9"/>
  <c r="AG78" i="9" s="1"/>
  <c r="Z74" i="9"/>
  <c r="AG74" i="9" s="1"/>
  <c r="Z70" i="9"/>
  <c r="AG70" i="9" s="1"/>
  <c r="Z66" i="9"/>
  <c r="AG66" i="9" s="1"/>
  <c r="Z62" i="9"/>
  <c r="AG62" i="9" s="1"/>
  <c r="Z58" i="9"/>
  <c r="AG58" i="9" s="1"/>
  <c r="Z54" i="9"/>
  <c r="AG54" i="9" s="1"/>
  <c r="Z50" i="9"/>
  <c r="AG50" i="9" s="1"/>
  <c r="Z46" i="9"/>
  <c r="AG46" i="9" s="1"/>
  <c r="Z42" i="9"/>
  <c r="AG42" i="9" s="1"/>
  <c r="Z38" i="9"/>
  <c r="AG38" i="9" s="1"/>
  <c r="Z34" i="9"/>
  <c r="AG34" i="9" s="1"/>
  <c r="Z30" i="9"/>
  <c r="AG30" i="9" s="1"/>
  <c r="Z26" i="9"/>
  <c r="AG26" i="9" s="1"/>
  <c r="AG22" i="9"/>
  <c r="Z18" i="9"/>
  <c r="AG18" i="9" s="1"/>
  <c r="Z13" i="9"/>
  <c r="AG13" i="9" s="1"/>
  <c r="Z83" i="9"/>
  <c r="AG83" i="9" s="1"/>
  <c r="Z79" i="9"/>
  <c r="AG79" i="9" s="1"/>
  <c r="Z75" i="9"/>
  <c r="AG75" i="9" s="1"/>
  <c r="Z71" i="9"/>
  <c r="AG71" i="9" s="1"/>
  <c r="Z67" i="9"/>
  <c r="AG67" i="9" s="1"/>
  <c r="Z63" i="9"/>
  <c r="AG63" i="9" s="1"/>
  <c r="Z59" i="9"/>
  <c r="AG59" i="9" s="1"/>
  <c r="Z55" i="9"/>
  <c r="AG55" i="9" s="1"/>
  <c r="Z51" i="9"/>
  <c r="AG51" i="9" s="1"/>
  <c r="Z47" i="9"/>
  <c r="AG47" i="9" s="1"/>
  <c r="Z43" i="9"/>
  <c r="AG43" i="9" s="1"/>
  <c r="Z39" i="9"/>
  <c r="AG39" i="9" s="1"/>
  <c r="Z35" i="9"/>
  <c r="AG35" i="9" s="1"/>
  <c r="Z31" i="9"/>
  <c r="AG31" i="9" s="1"/>
  <c r="Z27" i="9"/>
  <c r="AG27" i="9" s="1"/>
  <c r="Z23" i="9"/>
  <c r="AG23" i="9" s="1"/>
  <c r="Z19" i="9"/>
  <c r="AG19" i="9" s="1"/>
  <c r="Z15" i="9"/>
  <c r="AG15" i="9" s="1"/>
  <c r="Z12" i="9"/>
  <c r="AG12" i="9" s="1"/>
  <c r="Z80" i="9"/>
  <c r="AG80" i="9" s="1"/>
  <c r="Z72" i="9"/>
  <c r="AG72" i="9" s="1"/>
  <c r="Z64" i="9"/>
  <c r="AG64" i="9" s="1"/>
  <c r="Z56" i="9"/>
  <c r="AG56" i="9" s="1"/>
  <c r="Z48" i="9"/>
  <c r="AG48" i="9" s="1"/>
  <c r="Z24" i="9"/>
  <c r="AG24" i="9" s="1"/>
  <c r="Z84" i="9"/>
  <c r="AG84" i="9" s="1"/>
  <c r="Z76" i="9"/>
  <c r="AG76" i="9" s="1"/>
  <c r="Z68" i="9"/>
  <c r="AG68" i="9" s="1"/>
  <c r="Z60" i="9"/>
  <c r="AG60" i="9" s="1"/>
  <c r="Z52" i="9"/>
  <c r="AG52" i="9" s="1"/>
  <c r="Z44" i="9"/>
  <c r="AG44" i="9" s="1"/>
  <c r="Z40" i="9"/>
  <c r="AG40" i="9" s="1"/>
  <c r="Z36" i="9"/>
  <c r="AG36" i="9" s="1"/>
  <c r="Z32" i="9"/>
  <c r="AG32" i="9" s="1"/>
  <c r="Z28" i="9"/>
  <c r="AG28" i="9" s="1"/>
  <c r="Z20" i="9"/>
  <c r="AG20" i="9" s="1"/>
  <c r="Z16" i="9"/>
  <c r="AG16" i="9" s="1"/>
  <c r="Z85" i="9"/>
  <c r="AG85" i="9" s="1"/>
  <c r="Z81" i="9"/>
  <c r="AG81" i="9" s="1"/>
  <c r="Z77" i="9"/>
  <c r="AG77" i="9" s="1"/>
  <c r="Z73" i="9"/>
  <c r="AG73" i="9" s="1"/>
  <c r="Z69" i="9"/>
  <c r="AG69" i="9" s="1"/>
  <c r="Z65" i="9"/>
  <c r="AG65" i="9" s="1"/>
  <c r="Z61" i="9"/>
  <c r="AG61" i="9" s="1"/>
  <c r="Z57" i="9"/>
  <c r="AG57" i="9" s="1"/>
  <c r="Z53" i="9"/>
  <c r="AG53" i="9" s="1"/>
  <c r="Z49" i="9"/>
  <c r="AG49" i="9" s="1"/>
  <c r="Z45" i="9"/>
  <c r="AG45" i="9" s="1"/>
  <c r="Z41" i="9"/>
  <c r="AG41" i="9" s="1"/>
  <c r="Z37" i="9"/>
  <c r="AG37" i="9" s="1"/>
  <c r="Z33" i="9"/>
  <c r="AG33" i="9" s="1"/>
  <c r="Z29" i="9"/>
  <c r="AG29" i="9" s="1"/>
  <c r="Z25" i="9"/>
  <c r="AG25" i="9" s="1"/>
  <c r="Z21" i="9"/>
  <c r="AG21" i="9" s="1"/>
  <c r="Z17" i="9"/>
  <c r="AG17" i="9" s="1"/>
  <c r="Z731" i="9"/>
  <c r="AG731" i="9" s="1"/>
  <c r="Z86" i="9"/>
  <c r="AG86" i="9" s="1"/>
  <c r="T86" i="9"/>
  <c r="W86" i="9" s="1"/>
  <c r="X86" i="9" s="1"/>
  <c r="Y86" i="9" s="1"/>
  <c r="T82" i="9"/>
  <c r="W82" i="9" s="1"/>
  <c r="X82" i="9" s="1"/>
  <c r="Y82" i="9" s="1"/>
  <c r="T78" i="9"/>
  <c r="W78" i="9" s="1"/>
  <c r="X78" i="9" s="1"/>
  <c r="Y78" i="9" s="1"/>
  <c r="T74" i="9"/>
  <c r="W74" i="9" s="1"/>
  <c r="X74" i="9" s="1"/>
  <c r="Y74" i="9" s="1"/>
  <c r="T70" i="9"/>
  <c r="W70" i="9" s="1"/>
  <c r="X70" i="9" s="1"/>
  <c r="Y70" i="9" s="1"/>
  <c r="T66" i="9"/>
  <c r="W66" i="9" s="1"/>
  <c r="X66" i="9" s="1"/>
  <c r="Y66" i="9" s="1"/>
  <c r="T62" i="9"/>
  <c r="W62" i="9" s="1"/>
  <c r="X62" i="9" s="1"/>
  <c r="Y62" i="9" s="1"/>
  <c r="T58" i="9"/>
  <c r="W58" i="9" s="1"/>
  <c r="X58" i="9" s="1"/>
  <c r="Y58" i="9" s="1"/>
  <c r="T83" i="9"/>
  <c r="W83" i="9" s="1"/>
  <c r="X83" i="9" s="1"/>
  <c r="Y83" i="9" s="1"/>
  <c r="T79" i="9"/>
  <c r="W79" i="9" s="1"/>
  <c r="X79" i="9" s="1"/>
  <c r="Y79" i="9" s="1"/>
  <c r="T75" i="9"/>
  <c r="W75" i="9" s="1"/>
  <c r="X75" i="9" s="1"/>
  <c r="Y75" i="9" s="1"/>
  <c r="T71" i="9"/>
  <c r="W71" i="9" s="1"/>
  <c r="X71" i="9" s="1"/>
  <c r="Y71" i="9" s="1"/>
  <c r="T67" i="9"/>
  <c r="W67" i="9" s="1"/>
  <c r="X67" i="9" s="1"/>
  <c r="Y67" i="9" s="1"/>
  <c r="T63" i="9"/>
  <c r="W63" i="9" s="1"/>
  <c r="X63" i="9" s="1"/>
  <c r="Y63" i="9" s="1"/>
  <c r="T59" i="9"/>
  <c r="W59" i="9" s="1"/>
  <c r="X59" i="9" s="1"/>
  <c r="Y59" i="9" s="1"/>
  <c r="T80" i="9"/>
  <c r="W80" i="9" s="1"/>
  <c r="X80" i="9" s="1"/>
  <c r="Y80" i="9" s="1"/>
  <c r="T72" i="9"/>
  <c r="W72" i="9" s="1"/>
  <c r="X72" i="9" s="1"/>
  <c r="Y72" i="9" s="1"/>
  <c r="T64" i="9"/>
  <c r="W64" i="9" s="1"/>
  <c r="X64" i="9" s="1"/>
  <c r="Y64" i="9" s="1"/>
  <c r="T84" i="9"/>
  <c r="W84" i="9" s="1"/>
  <c r="X84" i="9" s="1"/>
  <c r="Y84" i="9" s="1"/>
  <c r="T76" i="9"/>
  <c r="W76" i="9" s="1"/>
  <c r="X76" i="9" s="1"/>
  <c r="Y76" i="9" s="1"/>
  <c r="T68" i="9"/>
  <c r="W68" i="9" s="1"/>
  <c r="X68" i="9" s="1"/>
  <c r="Y68" i="9" s="1"/>
  <c r="T60" i="9"/>
  <c r="W60" i="9" s="1"/>
  <c r="X60" i="9" s="1"/>
  <c r="Y60" i="9" s="1"/>
  <c r="T85" i="9"/>
  <c r="W85" i="9" s="1"/>
  <c r="X85" i="9" s="1"/>
  <c r="Y85" i="9" s="1"/>
  <c r="T81" i="9"/>
  <c r="W81" i="9" s="1"/>
  <c r="X81" i="9" s="1"/>
  <c r="Y81" i="9" s="1"/>
  <c r="T77" i="9"/>
  <c r="W77" i="9" s="1"/>
  <c r="X77" i="9" s="1"/>
  <c r="Y77" i="9" s="1"/>
  <c r="T73" i="9"/>
  <c r="W73" i="9" s="1"/>
  <c r="X73" i="9" s="1"/>
  <c r="Y73" i="9" s="1"/>
  <c r="T69" i="9"/>
  <c r="W69" i="9" s="1"/>
  <c r="X69" i="9" s="1"/>
  <c r="Y69" i="9" s="1"/>
  <c r="T65" i="9"/>
  <c r="T61" i="9"/>
  <c r="W61" i="9" s="1"/>
  <c r="X61" i="9" s="1"/>
  <c r="Y61" i="9" s="1"/>
  <c r="T57" i="9"/>
  <c r="W57" i="9" s="1"/>
  <c r="X57" i="9" s="1"/>
  <c r="Y57" i="9" s="1"/>
  <c r="T731" i="9"/>
  <c r="W731" i="9" s="1"/>
  <c r="X731" i="9" s="1"/>
  <c r="Y731" i="9" s="1"/>
  <c r="W65" i="9"/>
  <c r="X65" i="9" s="1"/>
  <c r="Y65" i="9" s="1"/>
  <c r="AA18" i="9" l="1"/>
  <c r="AF17" i="9"/>
  <c r="G13" i="10"/>
  <c r="F13" i="10" s="1"/>
  <c r="I13" i="10" s="1"/>
  <c r="T49" i="9"/>
  <c r="W49" i="9" s="1"/>
  <c r="X49" i="9" s="1"/>
  <c r="Y49" i="9" s="1"/>
  <c r="T17" i="9"/>
  <c r="W17" i="9" s="1"/>
  <c r="X17" i="9" s="1"/>
  <c r="Y17" i="9" s="1"/>
  <c r="T34" i="9"/>
  <c r="W34" i="9" s="1"/>
  <c r="X34" i="9" s="1"/>
  <c r="Y34" i="9" s="1"/>
  <c r="T47" i="9"/>
  <c r="W47" i="9" s="1"/>
  <c r="X47" i="9" s="1"/>
  <c r="Y47" i="9" s="1"/>
  <c r="T15" i="9"/>
  <c r="W15" i="9" s="1"/>
  <c r="X15" i="9" s="1"/>
  <c r="Y15" i="9" s="1"/>
  <c r="T53" i="9"/>
  <c r="W53" i="9" s="1"/>
  <c r="X53" i="9" s="1"/>
  <c r="Y53" i="9" s="1"/>
  <c r="T37" i="9"/>
  <c r="W37" i="9" s="1"/>
  <c r="X37" i="9" s="1"/>
  <c r="Y37" i="9" s="1"/>
  <c r="T21" i="9"/>
  <c r="W21" i="9" s="1"/>
  <c r="X21" i="9" s="1"/>
  <c r="Y21" i="9" s="1"/>
  <c r="T54" i="9"/>
  <c r="W54" i="9" s="1"/>
  <c r="X54" i="9" s="1"/>
  <c r="Y54" i="9" s="1"/>
  <c r="T38" i="9"/>
  <c r="W38" i="9" s="1"/>
  <c r="X38" i="9" s="1"/>
  <c r="Y38" i="9" s="1"/>
  <c r="T51" i="9"/>
  <c r="W51" i="9" s="1"/>
  <c r="X51" i="9" s="1"/>
  <c r="Y51" i="9" s="1"/>
  <c r="T35" i="9"/>
  <c r="W35" i="9" s="1"/>
  <c r="X35" i="9" s="1"/>
  <c r="Y35" i="9" s="1"/>
  <c r="T19" i="9"/>
  <c r="W19" i="9" s="1"/>
  <c r="X19" i="9" s="1"/>
  <c r="Y19" i="9" s="1"/>
  <c r="T48" i="9"/>
  <c r="W48" i="9" s="1"/>
  <c r="X48" i="9" s="1"/>
  <c r="Y48" i="9" s="1"/>
  <c r="T32" i="9"/>
  <c r="W32" i="9" s="1"/>
  <c r="X32" i="9" s="1"/>
  <c r="Y32" i="9" s="1"/>
  <c r="T16" i="9"/>
  <c r="W16" i="9" s="1"/>
  <c r="X16" i="9" s="1"/>
  <c r="Y16" i="9" s="1"/>
  <c r="T12" i="9"/>
  <c r="W12" i="9" s="1"/>
  <c r="X12" i="9" s="1"/>
  <c r="Y12" i="9" s="1"/>
  <c r="T26" i="9"/>
  <c r="W26" i="9" s="1"/>
  <c r="X26" i="9" s="1"/>
  <c r="Y26" i="9" s="1"/>
  <c r="T23" i="9"/>
  <c r="W23" i="9" s="1"/>
  <c r="X23" i="9" s="1"/>
  <c r="Y23" i="9" s="1"/>
  <c r="T20" i="9"/>
  <c r="W20" i="9" s="1"/>
  <c r="X20" i="9" s="1"/>
  <c r="Y20" i="9" s="1"/>
  <c r="T25" i="9"/>
  <c r="W25" i="9" s="1"/>
  <c r="X25" i="9" s="1"/>
  <c r="Y25" i="9" s="1"/>
  <c r="T42" i="9"/>
  <c r="W42" i="9" s="1"/>
  <c r="X42" i="9" s="1"/>
  <c r="Y42" i="9" s="1"/>
  <c r="T55" i="9"/>
  <c r="W55" i="9" s="1"/>
  <c r="X55" i="9" s="1"/>
  <c r="Y55" i="9" s="1"/>
  <c r="T39" i="9"/>
  <c r="W39" i="9" s="1"/>
  <c r="X39" i="9" s="1"/>
  <c r="Y39" i="9" s="1"/>
  <c r="T52" i="9"/>
  <c r="W52" i="9" s="1"/>
  <c r="X52" i="9" s="1"/>
  <c r="Y52" i="9" s="1"/>
  <c r="T36" i="9"/>
  <c r="W36" i="9" s="1"/>
  <c r="X36" i="9" s="1"/>
  <c r="Y36" i="9" s="1"/>
  <c r="T45" i="9"/>
  <c r="W45" i="9" s="1"/>
  <c r="X45" i="9" s="1"/>
  <c r="Y45" i="9" s="1"/>
  <c r="T29" i="9"/>
  <c r="W29" i="9" s="1"/>
  <c r="X29" i="9" s="1"/>
  <c r="Y29" i="9" s="1"/>
  <c r="T13" i="9"/>
  <c r="W13" i="9" s="1"/>
  <c r="X13" i="9" s="1"/>
  <c r="Y13" i="9" s="1"/>
  <c r="T46" i="9"/>
  <c r="W46" i="9" s="1"/>
  <c r="X46" i="9" s="1"/>
  <c r="Y46" i="9" s="1"/>
  <c r="T30" i="9"/>
  <c r="W30" i="9" s="1"/>
  <c r="X30" i="9" s="1"/>
  <c r="Y30" i="9" s="1"/>
  <c r="T14" i="9"/>
  <c r="W14" i="9" s="1"/>
  <c r="X14" i="9" s="1"/>
  <c r="Y14" i="9" s="1"/>
  <c r="T43" i="9"/>
  <c r="W43" i="9" s="1"/>
  <c r="X43" i="9" s="1"/>
  <c r="Y43" i="9" s="1"/>
  <c r="T27" i="9"/>
  <c r="W27" i="9" s="1"/>
  <c r="X27" i="9" s="1"/>
  <c r="Y27" i="9" s="1"/>
  <c r="T56" i="9"/>
  <c r="W56" i="9" s="1"/>
  <c r="X56" i="9" s="1"/>
  <c r="Y56" i="9" s="1"/>
  <c r="T40" i="9"/>
  <c r="W40" i="9" s="1"/>
  <c r="X40" i="9" s="1"/>
  <c r="Y40" i="9" s="1"/>
  <c r="T24" i="9"/>
  <c r="W24" i="9" s="1"/>
  <c r="X24" i="9" s="1"/>
  <c r="Y24" i="9" s="1"/>
  <c r="T41" i="9"/>
  <c r="W41" i="9" s="1"/>
  <c r="X41" i="9" s="1"/>
  <c r="Y41" i="9" s="1"/>
  <c r="T33" i="9"/>
  <c r="W33" i="9" s="1"/>
  <c r="X33" i="9" s="1"/>
  <c r="Y33" i="9" s="1"/>
  <c r="T50" i="9"/>
  <c r="W50" i="9" s="1"/>
  <c r="X50" i="9" s="1"/>
  <c r="Y50" i="9" s="1"/>
  <c r="T18" i="9"/>
  <c r="W18" i="9" s="1"/>
  <c r="X18" i="9" s="1"/>
  <c r="Y18" i="9" s="1"/>
  <c r="T31" i="9"/>
  <c r="W31" i="9" s="1"/>
  <c r="X31" i="9" s="1"/>
  <c r="Y31" i="9" s="1"/>
  <c r="T44" i="9"/>
  <c r="W44" i="9" s="1"/>
  <c r="X44" i="9" s="1"/>
  <c r="Y44" i="9" s="1"/>
  <c r="T28" i="9"/>
  <c r="W28" i="9" s="1"/>
  <c r="X28" i="9" s="1"/>
  <c r="Y28" i="9" s="1"/>
  <c r="AA19" i="9" l="1"/>
  <c r="AF18" i="9"/>
  <c r="G14" i="10"/>
  <c r="F14" i="10" s="1"/>
  <c r="I14" i="10" s="1"/>
  <c r="AA20" i="9" l="1"/>
  <c r="AF19" i="9"/>
  <c r="G15" i="10"/>
  <c r="F15" i="10" s="1"/>
  <c r="I15" i="10" s="1"/>
  <c r="AA21" i="9" l="1"/>
  <c r="AF20" i="9"/>
  <c r="G16" i="10"/>
  <c r="F16" i="10" s="1"/>
  <c r="I16" i="10" s="1"/>
  <c r="AA22" i="9" l="1"/>
  <c r="AF21" i="9"/>
  <c r="G17" i="10"/>
  <c r="F17" i="10" s="1"/>
  <c r="I17" i="10" s="1"/>
  <c r="AA23" i="9" l="1"/>
  <c r="AF22" i="9"/>
  <c r="G18" i="10"/>
  <c r="F18" i="10" s="1"/>
  <c r="I18" i="10" s="1"/>
  <c r="AA24" i="9" l="1"/>
  <c r="AF23" i="9"/>
  <c r="G19" i="10"/>
  <c r="F19" i="10" s="1"/>
  <c r="I19" i="10" s="1"/>
  <c r="AA25" i="9" l="1"/>
  <c r="AF24" i="9"/>
  <c r="G20" i="10"/>
  <c r="F20" i="10" s="1"/>
  <c r="I20" i="10" s="1"/>
  <c r="AA26" i="9" l="1"/>
  <c r="AF25" i="9"/>
  <c r="G21" i="10"/>
  <c r="F21" i="10" s="1"/>
  <c r="I21" i="10" s="1"/>
  <c r="AA27" i="9" l="1"/>
  <c r="AF26" i="9"/>
  <c r="G22" i="10"/>
  <c r="F22" i="10" s="1"/>
  <c r="I22" i="10" s="1"/>
  <c r="AA28" i="9" l="1"/>
  <c r="AF27" i="9"/>
  <c r="G23" i="10"/>
  <c r="F23" i="10" s="1"/>
  <c r="I23" i="10" s="1"/>
  <c r="AA29" i="9" l="1"/>
  <c r="AF28" i="9"/>
  <c r="G24" i="10"/>
  <c r="F24" i="10" s="1"/>
  <c r="I24" i="10" s="1"/>
  <c r="AA30" i="9" l="1"/>
  <c r="AF29" i="9"/>
  <c r="G25" i="10"/>
  <c r="G26" i="10" s="1"/>
  <c r="F26" i="10" s="1"/>
  <c r="I26" i="10" s="1"/>
  <c r="AA31" i="9" l="1"/>
  <c r="AF30" i="9"/>
  <c r="G27" i="10"/>
  <c r="F27" i="10" s="1"/>
  <c r="I27" i="10" s="1"/>
  <c r="F25" i="10"/>
  <c r="I25" i="10" s="1"/>
  <c r="AA32" i="9" l="1"/>
  <c r="AF31" i="9"/>
  <c r="G28" i="10"/>
  <c r="F28" i="10" s="1"/>
  <c r="I28" i="10" s="1"/>
  <c r="AA33" i="9" l="1"/>
  <c r="AF32" i="9"/>
  <c r="G29" i="10"/>
  <c r="F29" i="10" s="1"/>
  <c r="I29" i="10" s="1"/>
  <c r="AA34" i="9" l="1"/>
  <c r="AF33" i="9"/>
  <c r="G30" i="10"/>
  <c r="F30" i="10" s="1"/>
  <c r="I30" i="10" s="1"/>
  <c r="AA35" i="9" l="1"/>
  <c r="AF34" i="9"/>
  <c r="G31" i="10"/>
  <c r="F31" i="10" s="1"/>
  <c r="I31" i="10" s="1"/>
  <c r="AA36" i="9" l="1"/>
  <c r="AF35" i="9"/>
  <c r="G32" i="10"/>
  <c r="AA37" i="9" l="1"/>
  <c r="AF36" i="9"/>
  <c r="F32" i="10"/>
  <c r="I32" i="10" s="1"/>
  <c r="G33" i="10"/>
  <c r="F33" i="10" s="1"/>
  <c r="I33" i="10" s="1"/>
  <c r="AA38" i="9" l="1"/>
  <c r="AF37" i="9"/>
  <c r="G34" i="10"/>
  <c r="F34" i="10" s="1"/>
  <c r="I34" i="10" s="1"/>
  <c r="G35" i="10"/>
  <c r="F35" i="10" s="1"/>
  <c r="I35" i="10" s="1"/>
  <c r="AA39" i="9" l="1"/>
  <c r="AF38" i="9"/>
  <c r="G36" i="10"/>
  <c r="F36" i="10" s="1"/>
  <c r="I36" i="10" s="1"/>
  <c r="AA40" i="9" l="1"/>
  <c r="AF39" i="9"/>
  <c r="G37" i="10"/>
  <c r="AA41" i="9" l="1"/>
  <c r="AF40" i="9"/>
  <c r="F37" i="10"/>
  <c r="I37" i="10" s="1"/>
  <c r="G38" i="10"/>
  <c r="F38" i="10" s="1"/>
  <c r="I38" i="10" s="1"/>
  <c r="AA42" i="9" l="1"/>
  <c r="AF41" i="9"/>
  <c r="G39" i="10"/>
  <c r="F39" i="10" s="1"/>
  <c r="I39" i="10" s="1"/>
  <c r="AA43" i="9" l="1"/>
  <c r="AF42" i="9"/>
  <c r="G40" i="10"/>
  <c r="F40" i="10" s="1"/>
  <c r="I40" i="10" s="1"/>
  <c r="G41" i="10"/>
  <c r="F41" i="10" s="1"/>
  <c r="I41" i="10" s="1"/>
  <c r="AA44" i="9" l="1"/>
  <c r="AF43" i="9"/>
  <c r="G42" i="10"/>
  <c r="G43" i="10"/>
  <c r="F42" i="10"/>
  <c r="I42" i="10" s="1"/>
  <c r="AA45" i="9" l="1"/>
  <c r="AF44" i="9"/>
  <c r="G44" i="10"/>
  <c r="F43" i="10"/>
  <c r="I43" i="10" s="1"/>
  <c r="AA46" i="9" l="1"/>
  <c r="AF45" i="9"/>
  <c r="G45" i="10"/>
  <c r="F44" i="10"/>
  <c r="I44" i="10" s="1"/>
  <c r="AA47" i="9" l="1"/>
  <c r="AF46" i="9"/>
  <c r="G46" i="10"/>
  <c r="F45" i="10"/>
  <c r="I45" i="10" s="1"/>
  <c r="AA48" i="9" l="1"/>
  <c r="AF47" i="9"/>
  <c r="G47" i="10"/>
  <c r="F46" i="10"/>
  <c r="I46" i="10" s="1"/>
  <c r="AA49" i="9" l="1"/>
  <c r="AF48" i="9"/>
  <c r="G48" i="10"/>
  <c r="F47" i="10"/>
  <c r="I47" i="10" s="1"/>
  <c r="AA50" i="9" l="1"/>
  <c r="AF49" i="9"/>
  <c r="G49" i="10"/>
  <c r="F48" i="10"/>
  <c r="I48" i="10" s="1"/>
  <c r="AA51" i="9" l="1"/>
  <c r="AF50" i="9"/>
  <c r="G50" i="10"/>
  <c r="F49" i="10"/>
  <c r="I49" i="10" s="1"/>
  <c r="AA52" i="9" l="1"/>
  <c r="AF51" i="9"/>
  <c r="G51" i="10"/>
  <c r="F50" i="10"/>
  <c r="I50" i="10" s="1"/>
  <c r="AA53" i="9" l="1"/>
  <c r="AF52" i="9"/>
  <c r="G52" i="10"/>
  <c r="F51" i="10"/>
  <c r="I51" i="10" s="1"/>
  <c r="AA54" i="9" l="1"/>
  <c r="AF53" i="9"/>
  <c r="G53" i="10"/>
  <c r="F52" i="10"/>
  <c r="I52" i="10" s="1"/>
  <c r="AA55" i="9" l="1"/>
  <c r="AF54" i="9"/>
  <c r="G54" i="10"/>
  <c r="F53" i="10"/>
  <c r="I53" i="10" s="1"/>
  <c r="AA56" i="9" l="1"/>
  <c r="AF55" i="9"/>
  <c r="G55" i="10"/>
  <c r="F54" i="10"/>
  <c r="I54" i="10" s="1"/>
  <c r="AA57" i="9" l="1"/>
  <c r="AF56" i="9"/>
  <c r="G56" i="10"/>
  <c r="F55" i="10"/>
  <c r="I55" i="10" s="1"/>
  <c r="AA58" i="9" l="1"/>
  <c r="AF57" i="9"/>
  <c r="G57" i="10"/>
  <c r="F56" i="10"/>
  <c r="I56" i="10" s="1"/>
  <c r="AA59" i="9" l="1"/>
  <c r="AF58" i="9"/>
  <c r="G58" i="10"/>
  <c r="F57" i="10"/>
  <c r="I57" i="10" s="1"/>
  <c r="AA60" i="9" l="1"/>
  <c r="AF59" i="9"/>
  <c r="G59" i="10"/>
  <c r="F58" i="10"/>
  <c r="I58" i="10" s="1"/>
  <c r="AA61" i="9" l="1"/>
  <c r="AF60" i="9"/>
  <c r="G60" i="10"/>
  <c r="F60" i="10" s="1"/>
  <c r="I60" i="10" s="1"/>
  <c r="F59" i="10"/>
  <c r="I59" i="10" s="1"/>
  <c r="AA62" i="9" l="1"/>
  <c r="AF61" i="9"/>
  <c r="AA63" i="9" l="1"/>
  <c r="AF62" i="9"/>
  <c r="AA64" i="9" l="1"/>
  <c r="AF63" i="9"/>
  <c r="AA65" i="9" l="1"/>
  <c r="AF64" i="9"/>
  <c r="AA66" i="9" l="1"/>
  <c r="AF65" i="9"/>
  <c r="AA67" i="9" l="1"/>
  <c r="AF66" i="9"/>
  <c r="AA68" i="9" l="1"/>
  <c r="AF67" i="9"/>
  <c r="AA69" i="9" l="1"/>
  <c r="AF68" i="9"/>
  <c r="AA70" i="9" l="1"/>
  <c r="AF69" i="9"/>
  <c r="AA71" i="9" l="1"/>
  <c r="AF70" i="9"/>
  <c r="AA72" i="9" l="1"/>
  <c r="AF71" i="9"/>
  <c r="AA73" i="9" l="1"/>
  <c r="AF72" i="9"/>
  <c r="AA74" i="9" l="1"/>
  <c r="AF73" i="9"/>
  <c r="AA75" i="9" l="1"/>
  <c r="AF74" i="9"/>
  <c r="AA76" i="9" l="1"/>
  <c r="AF75" i="9"/>
  <c r="AA77" i="9" l="1"/>
  <c r="AF76" i="9"/>
  <c r="AA78" i="9" l="1"/>
  <c r="AF77" i="9"/>
  <c r="AA79" i="9" l="1"/>
  <c r="AF78" i="9"/>
  <c r="AA80" i="9" l="1"/>
  <c r="AF79" i="9"/>
  <c r="AA81" i="9" l="1"/>
  <c r="AF80" i="9"/>
  <c r="AA82" i="9" l="1"/>
  <c r="AF81" i="9"/>
  <c r="AA83" i="9" l="1"/>
  <c r="AF82" i="9"/>
  <c r="AA84" i="9" l="1"/>
  <c r="AF83" i="9"/>
  <c r="AA85" i="9" l="1"/>
  <c r="AF84" i="9"/>
  <c r="AA86" i="9" l="1"/>
  <c r="AF85" i="9"/>
  <c r="AA87" i="9" l="1"/>
  <c r="AF86" i="9"/>
  <c r="AA88" i="9" l="1"/>
  <c r="AF87" i="9"/>
  <c r="AA89" i="9" l="1"/>
  <c r="AF88" i="9"/>
  <c r="AA90" i="9" l="1"/>
  <c r="AF89" i="9"/>
  <c r="AA91" i="9" l="1"/>
  <c r="AF90" i="9"/>
  <c r="AA92" i="9" l="1"/>
  <c r="AF91" i="9"/>
  <c r="AA93" i="9" l="1"/>
  <c r="AF92" i="9"/>
  <c r="AA94" i="9" l="1"/>
  <c r="AF93" i="9"/>
  <c r="AA95" i="9" l="1"/>
  <c r="AF94" i="9"/>
  <c r="AA96" i="9" l="1"/>
  <c r="AF95" i="9"/>
  <c r="AA97" i="9" l="1"/>
  <c r="AF96" i="9"/>
  <c r="AA98" i="9" l="1"/>
  <c r="AF97" i="9"/>
  <c r="AA99" i="9" l="1"/>
  <c r="AF98" i="9"/>
  <c r="AA100" i="9" l="1"/>
  <c r="AF99" i="9"/>
  <c r="AA101" i="9" l="1"/>
  <c r="AF100" i="9"/>
  <c r="AA102" i="9" l="1"/>
  <c r="AF101" i="9"/>
  <c r="AA103" i="9" l="1"/>
  <c r="AF102" i="9"/>
  <c r="AA104" i="9" l="1"/>
  <c r="AF103" i="9"/>
  <c r="AA105" i="9" l="1"/>
  <c r="AF104" i="9"/>
  <c r="AA106" i="9" l="1"/>
  <c r="AF105" i="9"/>
  <c r="AA107" i="9" l="1"/>
  <c r="AF106" i="9"/>
  <c r="AA108" i="9" l="1"/>
  <c r="AF107" i="9"/>
  <c r="AA109" i="9" l="1"/>
  <c r="AF108" i="9"/>
  <c r="AA110" i="9" l="1"/>
  <c r="AF109" i="9"/>
  <c r="AA111" i="9" l="1"/>
  <c r="AF110" i="9"/>
  <c r="AA112" i="9" l="1"/>
  <c r="AF111" i="9"/>
  <c r="AA113" i="9" l="1"/>
  <c r="AF112" i="9"/>
  <c r="AA114" i="9" l="1"/>
  <c r="AF113" i="9"/>
  <c r="AA115" i="9" l="1"/>
  <c r="AF114" i="9"/>
  <c r="AA116" i="9" l="1"/>
  <c r="AF115" i="9"/>
  <c r="AA117" i="9" l="1"/>
  <c r="AF116" i="9"/>
  <c r="AA118" i="9" l="1"/>
  <c r="AF117" i="9"/>
  <c r="AA119" i="9" l="1"/>
  <c r="AF118" i="9"/>
  <c r="AA120" i="9" l="1"/>
  <c r="AF119" i="9"/>
  <c r="AA121" i="9" l="1"/>
  <c r="AF120" i="9"/>
  <c r="AA122" i="9" l="1"/>
  <c r="AF121" i="9"/>
  <c r="AA123" i="9" l="1"/>
  <c r="AF122" i="9"/>
  <c r="AA124" i="9" l="1"/>
  <c r="AF123" i="9"/>
  <c r="AA125" i="9" l="1"/>
  <c r="AF124" i="9"/>
  <c r="AA126" i="9" l="1"/>
  <c r="AF125" i="9"/>
  <c r="AA127" i="9" l="1"/>
  <c r="AF126" i="9"/>
  <c r="AA128" i="9" l="1"/>
  <c r="AF127" i="9"/>
  <c r="AA129" i="9" l="1"/>
  <c r="AF128" i="9"/>
  <c r="AA130" i="9" l="1"/>
  <c r="AF129" i="9"/>
  <c r="AA131" i="9" l="1"/>
  <c r="AF130" i="9"/>
  <c r="AA132" i="9" l="1"/>
  <c r="AF131" i="9"/>
  <c r="AA133" i="9" l="1"/>
  <c r="AF132" i="9"/>
  <c r="AA134" i="9" l="1"/>
  <c r="AF133" i="9"/>
  <c r="AA135" i="9" l="1"/>
  <c r="AF134" i="9"/>
  <c r="AA136" i="9" l="1"/>
  <c r="AF135" i="9"/>
  <c r="AA137" i="9" l="1"/>
  <c r="AF136" i="9"/>
  <c r="AA138" i="9" l="1"/>
  <c r="AF137" i="9"/>
  <c r="AA139" i="9" l="1"/>
  <c r="AF138" i="9"/>
  <c r="AA140" i="9" l="1"/>
  <c r="AF139" i="9"/>
  <c r="AA141" i="9" l="1"/>
  <c r="AF140" i="9"/>
  <c r="AA142" i="9" l="1"/>
  <c r="AF141" i="9"/>
  <c r="AA143" i="9" l="1"/>
  <c r="AF142" i="9"/>
  <c r="AA144" i="9" l="1"/>
  <c r="AF143" i="9"/>
  <c r="AA145" i="9" l="1"/>
  <c r="AF144" i="9"/>
  <c r="AA146" i="9" l="1"/>
  <c r="AF145" i="9"/>
  <c r="AA147" i="9" l="1"/>
  <c r="AF146" i="9"/>
  <c r="AA148" i="9" l="1"/>
  <c r="AF147" i="9"/>
  <c r="AA149" i="9" l="1"/>
  <c r="AF148" i="9"/>
  <c r="AA150" i="9" l="1"/>
  <c r="AF149" i="9"/>
  <c r="AA151" i="9" l="1"/>
  <c r="AF150" i="9"/>
  <c r="AA152" i="9" l="1"/>
  <c r="AF151" i="9"/>
  <c r="AA153" i="9" l="1"/>
  <c r="AF152" i="9"/>
  <c r="AA154" i="9" l="1"/>
  <c r="AF153" i="9"/>
  <c r="AA155" i="9" l="1"/>
  <c r="AF154" i="9"/>
  <c r="AA156" i="9" l="1"/>
  <c r="AF155" i="9"/>
  <c r="AA157" i="9" l="1"/>
  <c r="AF156" i="9"/>
  <c r="AA158" i="9" l="1"/>
  <c r="AF157" i="9"/>
  <c r="AA159" i="9" l="1"/>
  <c r="AF158" i="9"/>
  <c r="AA160" i="9" l="1"/>
  <c r="AF159" i="9"/>
  <c r="AA161" i="9" l="1"/>
  <c r="AF160" i="9"/>
  <c r="AA162" i="9" l="1"/>
  <c r="AF161" i="9"/>
  <c r="AA163" i="9" l="1"/>
  <c r="AF162" i="9"/>
  <c r="AA164" i="9" l="1"/>
  <c r="AF163" i="9"/>
  <c r="AA165" i="9" l="1"/>
  <c r="AF164" i="9"/>
  <c r="AA166" i="9" l="1"/>
  <c r="AF165" i="9"/>
  <c r="AA167" i="9" l="1"/>
  <c r="AF166" i="9"/>
  <c r="AA168" i="9" l="1"/>
  <c r="AF167" i="9"/>
  <c r="AA169" i="9" l="1"/>
  <c r="AF168" i="9"/>
  <c r="AA170" i="9" l="1"/>
  <c r="AF169" i="9"/>
  <c r="AA171" i="9" l="1"/>
  <c r="AF170" i="9"/>
  <c r="AA172" i="9" l="1"/>
  <c r="AF171" i="9"/>
  <c r="AA173" i="9" l="1"/>
  <c r="AF172" i="9"/>
  <c r="AA174" i="9" l="1"/>
  <c r="AF173" i="9"/>
  <c r="AA175" i="9" l="1"/>
  <c r="AF174" i="9"/>
  <c r="AA176" i="9" l="1"/>
  <c r="AF175" i="9"/>
  <c r="AA177" i="9" l="1"/>
  <c r="AF176" i="9"/>
  <c r="AA178" i="9" l="1"/>
  <c r="AF177" i="9"/>
  <c r="AA179" i="9" l="1"/>
  <c r="AF178" i="9"/>
  <c r="AA180" i="9" l="1"/>
  <c r="AF179" i="9"/>
  <c r="AA181" i="9" l="1"/>
  <c r="AF180" i="9"/>
  <c r="AA182" i="9" l="1"/>
  <c r="AF181" i="9"/>
  <c r="AA183" i="9" l="1"/>
  <c r="AF182" i="9"/>
  <c r="AA184" i="9" l="1"/>
  <c r="AF183" i="9"/>
  <c r="AA185" i="9" l="1"/>
  <c r="AF184" i="9"/>
  <c r="AA186" i="9" l="1"/>
  <c r="AF185" i="9"/>
  <c r="AA187" i="9" l="1"/>
  <c r="AF186" i="9"/>
  <c r="AA188" i="9" l="1"/>
  <c r="AF187" i="9"/>
  <c r="AA189" i="9" l="1"/>
  <c r="AF188" i="9"/>
  <c r="AA190" i="9" l="1"/>
  <c r="AF189" i="9"/>
  <c r="AA191" i="9" l="1"/>
  <c r="AF190" i="9"/>
  <c r="AA192" i="9" l="1"/>
  <c r="AF191" i="9"/>
  <c r="AA193" i="9" l="1"/>
  <c r="AF192" i="9"/>
  <c r="AA194" i="9" l="1"/>
  <c r="AF193" i="9"/>
  <c r="AA195" i="9" l="1"/>
  <c r="AF194" i="9"/>
  <c r="AA196" i="9" l="1"/>
  <c r="AF195" i="9"/>
  <c r="AA197" i="9" l="1"/>
  <c r="AF196" i="9"/>
  <c r="AA198" i="9" l="1"/>
  <c r="AF197" i="9"/>
  <c r="AA199" i="9" l="1"/>
  <c r="AF198" i="9"/>
  <c r="AA200" i="9" l="1"/>
  <c r="AF199" i="9"/>
  <c r="AA201" i="9" l="1"/>
  <c r="AF200" i="9"/>
  <c r="AA202" i="9" l="1"/>
  <c r="AF201" i="9"/>
  <c r="AA203" i="9" l="1"/>
  <c r="AF202" i="9"/>
  <c r="AA204" i="9" l="1"/>
  <c r="AF203" i="9"/>
  <c r="AA205" i="9" l="1"/>
  <c r="AF204" i="9"/>
  <c r="AA206" i="9" l="1"/>
  <c r="AF205" i="9"/>
  <c r="AA207" i="9" l="1"/>
  <c r="AF206" i="9"/>
  <c r="AA208" i="9" l="1"/>
  <c r="AF207" i="9"/>
  <c r="AA209" i="9" l="1"/>
  <c r="AF208" i="9"/>
  <c r="AA210" i="9" l="1"/>
  <c r="AF209" i="9"/>
  <c r="AA211" i="9" l="1"/>
  <c r="AF210" i="9"/>
  <c r="AA212" i="9" l="1"/>
  <c r="AF211" i="9"/>
  <c r="AA213" i="9" l="1"/>
  <c r="AF212" i="9"/>
  <c r="AA214" i="9" l="1"/>
  <c r="AF213" i="9"/>
  <c r="AA215" i="9" l="1"/>
  <c r="AF214" i="9"/>
  <c r="AA216" i="9" l="1"/>
  <c r="AF215" i="9"/>
  <c r="AA217" i="9" l="1"/>
  <c r="AF216" i="9"/>
  <c r="AA218" i="9" l="1"/>
  <c r="AF217" i="9"/>
  <c r="AA219" i="9" l="1"/>
  <c r="AF218" i="9"/>
  <c r="AA220" i="9" l="1"/>
  <c r="AF219" i="9"/>
  <c r="AA221" i="9" l="1"/>
  <c r="AF220" i="9"/>
  <c r="AA222" i="9" l="1"/>
  <c r="AF221" i="9"/>
  <c r="AA223" i="9" l="1"/>
  <c r="AF222" i="9"/>
  <c r="AA224" i="9" l="1"/>
  <c r="AF223" i="9"/>
  <c r="AA225" i="9" l="1"/>
  <c r="AF224" i="9"/>
  <c r="AA226" i="9" l="1"/>
  <c r="AF225" i="9"/>
  <c r="AA227" i="9" l="1"/>
  <c r="AF226" i="9"/>
  <c r="AA228" i="9" l="1"/>
  <c r="AF227" i="9"/>
  <c r="AA229" i="9" l="1"/>
  <c r="AF228" i="9"/>
  <c r="AA230" i="9" l="1"/>
  <c r="AF229" i="9"/>
  <c r="AA231" i="9" l="1"/>
  <c r="AF230" i="9"/>
  <c r="AA232" i="9" l="1"/>
  <c r="AF231" i="9"/>
  <c r="AA233" i="9" l="1"/>
  <c r="AF232" i="9"/>
  <c r="AA234" i="9" l="1"/>
  <c r="AF233" i="9"/>
  <c r="AA235" i="9" l="1"/>
  <c r="AF234" i="9"/>
  <c r="AA236" i="9" l="1"/>
  <c r="AF235" i="9"/>
  <c r="AA237" i="9" l="1"/>
  <c r="AF236" i="9"/>
  <c r="AA238" i="9" l="1"/>
  <c r="AF237" i="9"/>
  <c r="AA239" i="9" l="1"/>
  <c r="AF238" i="9"/>
  <c r="AA240" i="9" l="1"/>
  <c r="AF239" i="9"/>
  <c r="AA241" i="9" l="1"/>
  <c r="AF240" i="9"/>
  <c r="AA242" i="9" l="1"/>
  <c r="AF241" i="9"/>
  <c r="AA243" i="9" l="1"/>
  <c r="AF242" i="9"/>
  <c r="AA244" i="9" l="1"/>
  <c r="AF243" i="9"/>
  <c r="AA245" i="9" l="1"/>
  <c r="AF244" i="9"/>
  <c r="AA246" i="9" l="1"/>
  <c r="AF245" i="9"/>
  <c r="AA247" i="9" l="1"/>
  <c r="AF246" i="9"/>
  <c r="AA248" i="9" l="1"/>
  <c r="AF247" i="9"/>
  <c r="AA249" i="9" l="1"/>
  <c r="AF248" i="9"/>
  <c r="AA250" i="9" l="1"/>
  <c r="AF249" i="9"/>
  <c r="AA251" i="9" l="1"/>
  <c r="AF250" i="9"/>
  <c r="AA252" i="9" l="1"/>
  <c r="AF251" i="9"/>
  <c r="AA253" i="9" l="1"/>
  <c r="AF252" i="9"/>
  <c r="AA254" i="9" l="1"/>
  <c r="AF253" i="9"/>
  <c r="AA255" i="9" l="1"/>
  <c r="AF254" i="9"/>
  <c r="AA256" i="9" l="1"/>
  <c r="AF255" i="9"/>
  <c r="AA257" i="9" l="1"/>
  <c r="AF256" i="9"/>
  <c r="AA258" i="9" l="1"/>
  <c r="AF257" i="9"/>
  <c r="AA259" i="9" l="1"/>
  <c r="AF258" i="9"/>
  <c r="AA260" i="9" l="1"/>
  <c r="AF259" i="9"/>
  <c r="AA261" i="9" l="1"/>
  <c r="AF260" i="9"/>
  <c r="AA262" i="9" l="1"/>
  <c r="AF261" i="9"/>
  <c r="AA263" i="9" l="1"/>
  <c r="AF262" i="9"/>
  <c r="AA264" i="9" l="1"/>
  <c r="AF263" i="9"/>
  <c r="AA265" i="9" l="1"/>
  <c r="AF264" i="9"/>
  <c r="AA266" i="9" l="1"/>
  <c r="AF265" i="9"/>
  <c r="AA267" i="9" l="1"/>
  <c r="AF266" i="9"/>
  <c r="AA268" i="9" l="1"/>
  <c r="AF267" i="9"/>
  <c r="AA269" i="9" l="1"/>
  <c r="AF268" i="9"/>
  <c r="AA270" i="9" l="1"/>
  <c r="AF269" i="9"/>
  <c r="AA271" i="9" l="1"/>
  <c r="AF270" i="9"/>
  <c r="AA272" i="9" l="1"/>
  <c r="AF271" i="9"/>
  <c r="AA273" i="9" l="1"/>
  <c r="AF272" i="9"/>
  <c r="AA274" i="9" l="1"/>
  <c r="AF273" i="9"/>
  <c r="AA275" i="9" l="1"/>
  <c r="AF274" i="9"/>
  <c r="AA276" i="9" l="1"/>
  <c r="AF275" i="9"/>
  <c r="AA277" i="9" l="1"/>
  <c r="AF276" i="9"/>
  <c r="AA278" i="9" l="1"/>
  <c r="AF277" i="9"/>
  <c r="AA279" i="9" l="1"/>
  <c r="AF278" i="9"/>
  <c r="AA280" i="9" l="1"/>
  <c r="AF279" i="9"/>
  <c r="AA281" i="9" l="1"/>
  <c r="AF280" i="9"/>
  <c r="AA282" i="9" l="1"/>
  <c r="AF281" i="9"/>
  <c r="AA283" i="9" l="1"/>
  <c r="AF282" i="9"/>
  <c r="AA284" i="9" l="1"/>
  <c r="AF283" i="9"/>
  <c r="AA285" i="9" l="1"/>
  <c r="AF284" i="9"/>
  <c r="AA286" i="9" l="1"/>
  <c r="AF285" i="9"/>
  <c r="AA287" i="9" l="1"/>
  <c r="AF286" i="9"/>
  <c r="AA288" i="9" l="1"/>
  <c r="AF287" i="9"/>
  <c r="AA289" i="9" l="1"/>
  <c r="AF288" i="9"/>
  <c r="AA290" i="9" l="1"/>
  <c r="AF289" i="9"/>
  <c r="AA291" i="9" l="1"/>
  <c r="AF290" i="9"/>
  <c r="AA292" i="9" l="1"/>
  <c r="AF291" i="9"/>
  <c r="AA293" i="9" l="1"/>
  <c r="AF292" i="9"/>
  <c r="AA294" i="9" l="1"/>
  <c r="AF293" i="9"/>
  <c r="AA295" i="9" l="1"/>
  <c r="AF294" i="9"/>
  <c r="AA296" i="9" l="1"/>
  <c r="AF295" i="9"/>
  <c r="AA297" i="9" l="1"/>
  <c r="AF296" i="9"/>
  <c r="AA298" i="9" l="1"/>
  <c r="AF297" i="9"/>
  <c r="AA299" i="9" l="1"/>
  <c r="AF298" i="9"/>
  <c r="AA300" i="9" l="1"/>
  <c r="AF299" i="9"/>
  <c r="AA301" i="9" l="1"/>
  <c r="AF300" i="9"/>
  <c r="AA302" i="9" l="1"/>
  <c r="AF301" i="9"/>
  <c r="AA303" i="9" l="1"/>
  <c r="AF302" i="9"/>
  <c r="AA304" i="9" l="1"/>
  <c r="AF303" i="9"/>
  <c r="AA305" i="9" l="1"/>
  <c r="AF304" i="9"/>
  <c r="AA306" i="9" l="1"/>
  <c r="AF305" i="9"/>
  <c r="AA307" i="9" l="1"/>
  <c r="AF306" i="9"/>
  <c r="AA308" i="9" l="1"/>
  <c r="AF307" i="9"/>
  <c r="AA309" i="9" l="1"/>
  <c r="AF308" i="9"/>
  <c r="AA310" i="9" l="1"/>
  <c r="AF309" i="9"/>
  <c r="AA311" i="9" l="1"/>
  <c r="AF310" i="9"/>
  <c r="AA312" i="9" l="1"/>
  <c r="AF311" i="9"/>
  <c r="AA313" i="9" l="1"/>
  <c r="AF312" i="9"/>
  <c r="AA314" i="9" l="1"/>
  <c r="AF313" i="9"/>
  <c r="AA315" i="9" l="1"/>
  <c r="AF314" i="9"/>
  <c r="AA316" i="9" l="1"/>
  <c r="AF315" i="9"/>
  <c r="AA317" i="9" l="1"/>
  <c r="AF316" i="9"/>
  <c r="AA318" i="9" l="1"/>
  <c r="AF317" i="9"/>
  <c r="AA319" i="9" l="1"/>
  <c r="AF318" i="9"/>
  <c r="AA320" i="9" l="1"/>
  <c r="AF319" i="9"/>
  <c r="AA321" i="9" l="1"/>
  <c r="AF320" i="9"/>
  <c r="AA322" i="9" l="1"/>
  <c r="AF321" i="9"/>
  <c r="AA323" i="9" l="1"/>
  <c r="AF322" i="9"/>
  <c r="AA324" i="9" l="1"/>
  <c r="AF323" i="9"/>
  <c r="AA325" i="9" l="1"/>
  <c r="AF324" i="9"/>
  <c r="AA326" i="9" l="1"/>
  <c r="AF325" i="9"/>
  <c r="AA327" i="9" l="1"/>
  <c r="AF326" i="9"/>
  <c r="AA328" i="9" l="1"/>
  <c r="AF327" i="9"/>
  <c r="AA329" i="9" l="1"/>
  <c r="AF328" i="9"/>
  <c r="AA330" i="9" l="1"/>
  <c r="AF329" i="9"/>
  <c r="AA331" i="9" l="1"/>
  <c r="AF330" i="9"/>
  <c r="AA332" i="9" l="1"/>
  <c r="AF331" i="9"/>
  <c r="AA333" i="9" l="1"/>
  <c r="AF332" i="9"/>
  <c r="AA334" i="9" l="1"/>
  <c r="AF333" i="9"/>
  <c r="AA335" i="9" l="1"/>
  <c r="AF334" i="9"/>
  <c r="AA336" i="9" l="1"/>
  <c r="AF335" i="9"/>
  <c r="AA337" i="9" l="1"/>
  <c r="AF336" i="9"/>
  <c r="AA338" i="9" l="1"/>
  <c r="AF337" i="9"/>
  <c r="AA339" i="9" l="1"/>
  <c r="AF338" i="9"/>
  <c r="AA340" i="9" l="1"/>
  <c r="AF339" i="9"/>
  <c r="AA341" i="9" l="1"/>
  <c r="AF340" i="9"/>
  <c r="AA342" i="9" l="1"/>
  <c r="AF341" i="9"/>
  <c r="AA343" i="9" l="1"/>
  <c r="AF342" i="9"/>
  <c r="AA344" i="9" l="1"/>
  <c r="AF343" i="9"/>
  <c r="AA345" i="9" l="1"/>
  <c r="AF344" i="9"/>
  <c r="AA346" i="9" l="1"/>
  <c r="AF345" i="9"/>
  <c r="AA347" i="9" l="1"/>
  <c r="AF346" i="9"/>
  <c r="AA348" i="9" l="1"/>
  <c r="AF347" i="9"/>
  <c r="AA349" i="9" l="1"/>
  <c r="AF348" i="9"/>
  <c r="AA350" i="9" l="1"/>
  <c r="AF349" i="9"/>
  <c r="AA351" i="9" l="1"/>
  <c r="AF350" i="9"/>
  <c r="AA352" i="9" l="1"/>
  <c r="AF351" i="9"/>
  <c r="AA353" i="9" l="1"/>
  <c r="AF352" i="9"/>
  <c r="AA354" i="9" l="1"/>
  <c r="AF353" i="9"/>
  <c r="AA355" i="9" l="1"/>
  <c r="AF354" i="9"/>
  <c r="AA356" i="9" l="1"/>
  <c r="AF355" i="9"/>
  <c r="AA357" i="9" l="1"/>
  <c r="AF356" i="9"/>
  <c r="AA358" i="9" l="1"/>
  <c r="AF357" i="9"/>
  <c r="AA359" i="9" l="1"/>
  <c r="AF358" i="9"/>
  <c r="AA360" i="9" l="1"/>
  <c r="AF359" i="9"/>
  <c r="AA361" i="9" l="1"/>
  <c r="AF360" i="9"/>
  <c r="AA362" i="9" l="1"/>
  <c r="AF361" i="9"/>
  <c r="AA363" i="9" l="1"/>
  <c r="AF362" i="9"/>
  <c r="AA364" i="9" l="1"/>
  <c r="AF363" i="9"/>
  <c r="AA365" i="9" l="1"/>
  <c r="AF364" i="9"/>
  <c r="AA366" i="9" l="1"/>
  <c r="AF365" i="9"/>
  <c r="AA367" i="9" l="1"/>
  <c r="AF366" i="9"/>
  <c r="AA368" i="9" l="1"/>
  <c r="AF367" i="9"/>
  <c r="AA369" i="9" l="1"/>
  <c r="AF368" i="9"/>
  <c r="AA370" i="9" l="1"/>
  <c r="AF369" i="9"/>
  <c r="AA371" i="9" l="1"/>
  <c r="AF370" i="9"/>
  <c r="AA372" i="9" l="1"/>
  <c r="AF371" i="9"/>
  <c r="AA373" i="9" l="1"/>
  <c r="AF372" i="9"/>
  <c r="AA374" i="9" l="1"/>
  <c r="AF373" i="9"/>
  <c r="AA375" i="9" l="1"/>
  <c r="AF374" i="9"/>
  <c r="AA376" i="9" l="1"/>
  <c r="AF375" i="9"/>
  <c r="AA377" i="9" l="1"/>
  <c r="AF376" i="9"/>
  <c r="AA378" i="9" l="1"/>
  <c r="AF377" i="9"/>
  <c r="AA379" i="9" l="1"/>
  <c r="AF378" i="9"/>
  <c r="AA380" i="9" l="1"/>
  <c r="AF379" i="9"/>
  <c r="AA381" i="9" l="1"/>
  <c r="AF380" i="9"/>
  <c r="AA382" i="9" l="1"/>
  <c r="AF381" i="9"/>
  <c r="AA383" i="9" l="1"/>
  <c r="AF382" i="9"/>
  <c r="AA384" i="9" l="1"/>
  <c r="AF383" i="9"/>
  <c r="AA385" i="9" l="1"/>
  <c r="AF384" i="9"/>
  <c r="AA386" i="9" l="1"/>
  <c r="AF385" i="9"/>
  <c r="AA387" i="9" l="1"/>
  <c r="AF386" i="9"/>
  <c r="AA388" i="9" l="1"/>
  <c r="AF387" i="9"/>
  <c r="AA389" i="9" l="1"/>
  <c r="AF388" i="9"/>
  <c r="AA390" i="9" l="1"/>
  <c r="AF389" i="9"/>
  <c r="AA391" i="9" l="1"/>
  <c r="AF390" i="9"/>
  <c r="AA392" i="9" l="1"/>
  <c r="AF391" i="9"/>
  <c r="AA393" i="9" l="1"/>
  <c r="AF392" i="9"/>
  <c r="AA394" i="9" l="1"/>
  <c r="AF393" i="9"/>
  <c r="AA395" i="9" l="1"/>
  <c r="AF394" i="9"/>
  <c r="AA396" i="9" l="1"/>
  <c r="AF395" i="9"/>
  <c r="AA397" i="9" l="1"/>
  <c r="AF396" i="9"/>
  <c r="AA398" i="9" l="1"/>
  <c r="AF397" i="9"/>
  <c r="AA399" i="9" l="1"/>
  <c r="AF398" i="9"/>
  <c r="AA400" i="9" l="1"/>
  <c r="AF399" i="9"/>
  <c r="AA401" i="9" l="1"/>
  <c r="AF400" i="9"/>
  <c r="AA402" i="9" l="1"/>
  <c r="AF401" i="9"/>
  <c r="AA403" i="9" l="1"/>
  <c r="AF402" i="9"/>
  <c r="AA404" i="9" l="1"/>
  <c r="AF403" i="9"/>
  <c r="AA405" i="9" l="1"/>
  <c r="AF404" i="9"/>
  <c r="AA406" i="9" l="1"/>
  <c r="AF405" i="9"/>
  <c r="AA407" i="9" l="1"/>
  <c r="AF406" i="9"/>
  <c r="AA408" i="9" l="1"/>
  <c r="AF407" i="9"/>
  <c r="AA409" i="9" l="1"/>
  <c r="AF408" i="9"/>
  <c r="AA410" i="9" l="1"/>
  <c r="AF409" i="9"/>
  <c r="AA411" i="9" l="1"/>
  <c r="AF410" i="9"/>
  <c r="AA412" i="9" l="1"/>
  <c r="AF411" i="9"/>
  <c r="AA413" i="9" l="1"/>
  <c r="AF412" i="9"/>
  <c r="AA414" i="9" l="1"/>
  <c r="AF413" i="9"/>
  <c r="AA415" i="9" l="1"/>
  <c r="AF414" i="9"/>
  <c r="AA416" i="9" l="1"/>
  <c r="AF415" i="9"/>
  <c r="AA417" i="9" l="1"/>
  <c r="AF416" i="9"/>
  <c r="AA418" i="9" l="1"/>
  <c r="AF417" i="9"/>
  <c r="AA419" i="9" l="1"/>
  <c r="AF418" i="9"/>
  <c r="AA420" i="9" l="1"/>
  <c r="AF419" i="9"/>
  <c r="AA421" i="9" l="1"/>
  <c r="AF420" i="9"/>
  <c r="AA422" i="9" l="1"/>
  <c r="AF421" i="9"/>
  <c r="AA423" i="9" l="1"/>
  <c r="AF422" i="9"/>
  <c r="AA424" i="9" l="1"/>
  <c r="AF423" i="9"/>
  <c r="AA425" i="9" l="1"/>
  <c r="AF424" i="9"/>
  <c r="AA426" i="9" l="1"/>
  <c r="AF425" i="9"/>
  <c r="AA427" i="9" l="1"/>
  <c r="AF426" i="9"/>
  <c r="AA428" i="9" l="1"/>
  <c r="AF427" i="9"/>
  <c r="AA429" i="9" l="1"/>
  <c r="AF428" i="9"/>
  <c r="AA430" i="9" l="1"/>
  <c r="AF429" i="9"/>
  <c r="AA431" i="9" l="1"/>
  <c r="AF430" i="9"/>
  <c r="AA432" i="9" l="1"/>
  <c r="AF431" i="9"/>
  <c r="AA433" i="9" l="1"/>
  <c r="AF432" i="9"/>
  <c r="AA434" i="9" l="1"/>
  <c r="AF433" i="9"/>
  <c r="AA435" i="9" l="1"/>
  <c r="AF434" i="9"/>
  <c r="AA436" i="9" l="1"/>
  <c r="AF435" i="9"/>
  <c r="AA437" i="9" l="1"/>
  <c r="AF436" i="9"/>
  <c r="AA438" i="9" l="1"/>
  <c r="AF437" i="9"/>
  <c r="AA439" i="9" l="1"/>
  <c r="AF438" i="9"/>
  <c r="AA440" i="9" l="1"/>
  <c r="AF439" i="9"/>
  <c r="AA441" i="9" l="1"/>
  <c r="AF440" i="9"/>
  <c r="AA442" i="9" l="1"/>
  <c r="AF441" i="9"/>
  <c r="AA443" i="9" l="1"/>
  <c r="AF442" i="9"/>
  <c r="AA444" i="9" l="1"/>
  <c r="AF443" i="9"/>
  <c r="AA445" i="9" l="1"/>
  <c r="AF444" i="9"/>
  <c r="AA446" i="9" l="1"/>
  <c r="AF445" i="9"/>
  <c r="AA447" i="9" l="1"/>
  <c r="AF446" i="9"/>
  <c r="AA448" i="9" l="1"/>
  <c r="AF447" i="9"/>
  <c r="AA449" i="9" l="1"/>
  <c r="AF448" i="9"/>
  <c r="AA450" i="9" l="1"/>
  <c r="AF449" i="9"/>
  <c r="AA451" i="9" l="1"/>
  <c r="AF450" i="9"/>
  <c r="AA452" i="9" l="1"/>
  <c r="AF451" i="9"/>
  <c r="AA453" i="9" l="1"/>
  <c r="AF452" i="9"/>
  <c r="AA454" i="9" l="1"/>
  <c r="AF453" i="9"/>
  <c r="AA455" i="9" l="1"/>
  <c r="AF454" i="9"/>
  <c r="AA456" i="9" l="1"/>
  <c r="AF455" i="9"/>
  <c r="AA457" i="9" l="1"/>
  <c r="AF456" i="9"/>
  <c r="AA458" i="9" l="1"/>
  <c r="AF457" i="9"/>
  <c r="AA459" i="9" l="1"/>
  <c r="AF458" i="9"/>
  <c r="AA460" i="9" l="1"/>
  <c r="AF459" i="9"/>
  <c r="AA461" i="9" l="1"/>
  <c r="AF460" i="9"/>
  <c r="AA462" i="9" l="1"/>
  <c r="AF461" i="9"/>
  <c r="AA463" i="9" l="1"/>
  <c r="AF462" i="9"/>
  <c r="AA464" i="9" l="1"/>
  <c r="AF463" i="9"/>
  <c r="AA465" i="9" l="1"/>
  <c r="AF464" i="9"/>
  <c r="AA466" i="9" l="1"/>
  <c r="AF465" i="9"/>
  <c r="AA467" i="9" l="1"/>
  <c r="AF466" i="9"/>
  <c r="AA468" i="9" l="1"/>
  <c r="AF467" i="9"/>
  <c r="AA469" i="9" l="1"/>
  <c r="AF468" i="9"/>
  <c r="AA470" i="9" l="1"/>
  <c r="AF469" i="9"/>
  <c r="AA471" i="9" l="1"/>
  <c r="AF470" i="9"/>
  <c r="AA472" i="9" l="1"/>
  <c r="AF471" i="9"/>
  <c r="AA473" i="9" l="1"/>
  <c r="AF472" i="9"/>
  <c r="AA474" i="9" l="1"/>
  <c r="AF473" i="9"/>
  <c r="AA475" i="9" l="1"/>
  <c r="AF474" i="9"/>
  <c r="AA476" i="9" l="1"/>
  <c r="AF475" i="9"/>
  <c r="AA477" i="9" l="1"/>
  <c r="AF476" i="9"/>
  <c r="AA478" i="9" l="1"/>
  <c r="AF477" i="9"/>
  <c r="AA479" i="9" l="1"/>
  <c r="AF478" i="9"/>
  <c r="AA480" i="9" l="1"/>
  <c r="AF479" i="9"/>
  <c r="AA481" i="9" l="1"/>
  <c r="AF480" i="9"/>
  <c r="AA482" i="9" l="1"/>
  <c r="AF481" i="9"/>
  <c r="AA483" i="9" l="1"/>
  <c r="AF482" i="9"/>
  <c r="AA484" i="9" l="1"/>
  <c r="AF483" i="9"/>
  <c r="AA485" i="9" l="1"/>
  <c r="AF484" i="9"/>
  <c r="AA486" i="9" l="1"/>
  <c r="AF485" i="9"/>
  <c r="AA487" i="9" l="1"/>
  <c r="AF486" i="9"/>
  <c r="AA488" i="9" l="1"/>
  <c r="AF487" i="9"/>
  <c r="AA489" i="9" l="1"/>
  <c r="AF488" i="9"/>
  <c r="AA490" i="9" l="1"/>
  <c r="AF489" i="9"/>
  <c r="AA491" i="9" l="1"/>
  <c r="AF490" i="9"/>
  <c r="AA492" i="9" l="1"/>
  <c r="AF491" i="9"/>
  <c r="AA493" i="9" l="1"/>
  <c r="AF492" i="9"/>
  <c r="AA494" i="9" l="1"/>
  <c r="AF493" i="9"/>
  <c r="AA495" i="9" l="1"/>
  <c r="AF494" i="9"/>
  <c r="AA496" i="9" l="1"/>
  <c r="AF495" i="9"/>
  <c r="AA497" i="9" l="1"/>
  <c r="AF496" i="9"/>
  <c r="AA498" i="9" l="1"/>
  <c r="AF497" i="9"/>
  <c r="AA499" i="9" l="1"/>
  <c r="AF498" i="9"/>
  <c r="AA500" i="9" l="1"/>
  <c r="AF499" i="9"/>
  <c r="AA501" i="9" l="1"/>
  <c r="AF500" i="9"/>
  <c r="AA502" i="9" l="1"/>
  <c r="AF501" i="9"/>
  <c r="AA503" i="9" l="1"/>
  <c r="AF502" i="9"/>
  <c r="AA504" i="9" l="1"/>
  <c r="AF503" i="9"/>
  <c r="AA505" i="9" l="1"/>
  <c r="AF504" i="9"/>
  <c r="AA506" i="9" l="1"/>
  <c r="AF505" i="9"/>
  <c r="AA507" i="9" l="1"/>
  <c r="AF506" i="9"/>
  <c r="AA508" i="9" l="1"/>
  <c r="AF507" i="9"/>
  <c r="AA509" i="9" l="1"/>
  <c r="AF508" i="9"/>
  <c r="AA510" i="9" l="1"/>
  <c r="AF509" i="9"/>
  <c r="AA511" i="9" l="1"/>
  <c r="AF510" i="9"/>
  <c r="AA512" i="9" l="1"/>
  <c r="AF511" i="9"/>
  <c r="AA513" i="9" l="1"/>
  <c r="AF512" i="9"/>
  <c r="AA514" i="9" l="1"/>
  <c r="AF513" i="9"/>
  <c r="AA515" i="9" l="1"/>
  <c r="AF514" i="9"/>
  <c r="AA516" i="9" l="1"/>
  <c r="AF515" i="9"/>
  <c r="AA517" i="9" l="1"/>
  <c r="AF516" i="9"/>
  <c r="AA518" i="9" l="1"/>
  <c r="AF517" i="9"/>
  <c r="AA519" i="9" l="1"/>
  <c r="AF518" i="9"/>
  <c r="AA520" i="9" l="1"/>
  <c r="AF519" i="9"/>
  <c r="AA521" i="9" l="1"/>
  <c r="AF520" i="9"/>
  <c r="AA522" i="9" l="1"/>
  <c r="AF521" i="9"/>
  <c r="AA523" i="9" l="1"/>
  <c r="AF522" i="9"/>
  <c r="AA524" i="9" l="1"/>
  <c r="AF523" i="9"/>
  <c r="AA525" i="9" l="1"/>
  <c r="AF524" i="9"/>
  <c r="AA526" i="9" l="1"/>
  <c r="AF525" i="9"/>
  <c r="AA527" i="9" l="1"/>
  <c r="AF526" i="9"/>
  <c r="AA528" i="9" l="1"/>
  <c r="AF527" i="9"/>
  <c r="AA529" i="9" l="1"/>
  <c r="AF528" i="9"/>
  <c r="AA530" i="9" l="1"/>
  <c r="AF529" i="9"/>
  <c r="AA531" i="9" l="1"/>
  <c r="AF530" i="9"/>
  <c r="AA532" i="9" l="1"/>
  <c r="AF531" i="9"/>
  <c r="AA533" i="9" l="1"/>
  <c r="AF532" i="9"/>
  <c r="AA534" i="9" l="1"/>
  <c r="AF533" i="9"/>
  <c r="AA535" i="9" l="1"/>
  <c r="AF534" i="9"/>
  <c r="AA536" i="9" l="1"/>
  <c r="AF535" i="9"/>
  <c r="AA537" i="9" l="1"/>
  <c r="AF536" i="9"/>
  <c r="AA538" i="9" l="1"/>
  <c r="AF537" i="9"/>
  <c r="AA539" i="9" l="1"/>
  <c r="AF538" i="9"/>
  <c r="AA540" i="9" l="1"/>
  <c r="AF539" i="9"/>
  <c r="AA541" i="9" l="1"/>
  <c r="AF540" i="9"/>
  <c r="AA542" i="9" l="1"/>
  <c r="AF541" i="9"/>
  <c r="AA543" i="9" l="1"/>
  <c r="AF542" i="9"/>
  <c r="AA544" i="9" l="1"/>
  <c r="AF543" i="9"/>
  <c r="AA545" i="9" l="1"/>
  <c r="AF544" i="9"/>
  <c r="AA546" i="9" l="1"/>
  <c r="AF545" i="9"/>
  <c r="AA547" i="9" l="1"/>
  <c r="AF546" i="9"/>
  <c r="AA548" i="9" l="1"/>
  <c r="AF547" i="9"/>
  <c r="AA549" i="9" l="1"/>
  <c r="AF548" i="9"/>
  <c r="AA550" i="9" l="1"/>
  <c r="AF549" i="9"/>
  <c r="AA551" i="9" l="1"/>
  <c r="AF550" i="9"/>
  <c r="AA552" i="9" l="1"/>
  <c r="AF551" i="9"/>
  <c r="AA553" i="9" l="1"/>
  <c r="AF552" i="9"/>
  <c r="AA554" i="9" l="1"/>
  <c r="AF553" i="9"/>
  <c r="AA555" i="9" l="1"/>
  <c r="AF554" i="9"/>
  <c r="AA556" i="9" l="1"/>
  <c r="AF555" i="9"/>
  <c r="AA557" i="9" l="1"/>
  <c r="AF556" i="9"/>
  <c r="AA558" i="9" l="1"/>
  <c r="AF557" i="9"/>
  <c r="AA559" i="9" l="1"/>
  <c r="AF558" i="9"/>
  <c r="AA560" i="9" l="1"/>
  <c r="AF559" i="9"/>
  <c r="AA561" i="9" l="1"/>
  <c r="AF560" i="9"/>
  <c r="AA562" i="9" l="1"/>
  <c r="AF561" i="9"/>
  <c r="AA563" i="9" l="1"/>
  <c r="AF562" i="9"/>
  <c r="AA564" i="9" l="1"/>
  <c r="AF563" i="9"/>
  <c r="AA565" i="9" l="1"/>
  <c r="AF564" i="9"/>
  <c r="AA566" i="9" l="1"/>
  <c r="AF565" i="9"/>
  <c r="AA567" i="9" l="1"/>
  <c r="AF566" i="9"/>
  <c r="AA568" i="9" l="1"/>
  <c r="AF567" i="9"/>
  <c r="AA569" i="9" l="1"/>
  <c r="AF568" i="9"/>
  <c r="AA570" i="9" l="1"/>
  <c r="AF569" i="9"/>
  <c r="AA571" i="9" l="1"/>
  <c r="AF570" i="9"/>
  <c r="AA572" i="9" l="1"/>
  <c r="AF571" i="9"/>
  <c r="AA573" i="9" l="1"/>
  <c r="AF572" i="9"/>
  <c r="AA574" i="9" l="1"/>
  <c r="AF573" i="9"/>
  <c r="AA575" i="9" l="1"/>
  <c r="AF574" i="9"/>
  <c r="AA576" i="9" l="1"/>
  <c r="AF575" i="9"/>
  <c r="AA577" i="9" l="1"/>
  <c r="AF576" i="9"/>
  <c r="AA578" i="9" l="1"/>
  <c r="AF577" i="9"/>
  <c r="AA579" i="9" l="1"/>
  <c r="AF578" i="9"/>
  <c r="AA580" i="9" l="1"/>
  <c r="AF579" i="9"/>
  <c r="AA581" i="9" l="1"/>
  <c r="AF580" i="9"/>
  <c r="AA582" i="9" l="1"/>
  <c r="AF581" i="9"/>
  <c r="AA583" i="9" l="1"/>
  <c r="AF582" i="9"/>
  <c r="AA584" i="9" l="1"/>
  <c r="AF583" i="9"/>
  <c r="AA585" i="9" l="1"/>
  <c r="AF584" i="9"/>
  <c r="AA586" i="9" l="1"/>
  <c r="AF585" i="9"/>
  <c r="AA587" i="9" l="1"/>
  <c r="AF586" i="9"/>
  <c r="AA588" i="9" l="1"/>
  <c r="AF587" i="9"/>
  <c r="AA589" i="9" l="1"/>
  <c r="AF588" i="9"/>
  <c r="AA590" i="9" l="1"/>
  <c r="AF589" i="9"/>
  <c r="AA591" i="9" l="1"/>
  <c r="AF590" i="9"/>
  <c r="AA592" i="9" l="1"/>
  <c r="AF591" i="9"/>
  <c r="AA593" i="9" l="1"/>
  <c r="AF592" i="9"/>
  <c r="AA594" i="9" l="1"/>
  <c r="AF593" i="9"/>
  <c r="AA595" i="9" l="1"/>
  <c r="AF594" i="9"/>
  <c r="AA596" i="9" l="1"/>
  <c r="AF595" i="9"/>
  <c r="AA597" i="9" l="1"/>
  <c r="AF596" i="9"/>
  <c r="AA598" i="9" l="1"/>
  <c r="AF597" i="9"/>
  <c r="AA599" i="9" l="1"/>
  <c r="AF598" i="9"/>
  <c r="AA600" i="9" l="1"/>
  <c r="AF599" i="9"/>
  <c r="AA601" i="9" l="1"/>
  <c r="AF600" i="9"/>
  <c r="AA602" i="9" l="1"/>
  <c r="AF601" i="9"/>
  <c r="AA603" i="9" l="1"/>
  <c r="AF602" i="9"/>
  <c r="AA604" i="9" l="1"/>
  <c r="AF603" i="9"/>
  <c r="AA605" i="9" l="1"/>
  <c r="AF604" i="9"/>
  <c r="AA606" i="9" l="1"/>
  <c r="AF605" i="9"/>
  <c r="AA607" i="9" l="1"/>
  <c r="AF606" i="9"/>
  <c r="AA608" i="9" l="1"/>
  <c r="AF607" i="9"/>
  <c r="AA609" i="9" l="1"/>
  <c r="AF608" i="9"/>
  <c r="AA610" i="9" l="1"/>
  <c r="AF609" i="9"/>
  <c r="AA611" i="9" l="1"/>
  <c r="AF610" i="9"/>
  <c r="AA612" i="9" l="1"/>
  <c r="AF611" i="9"/>
  <c r="AA613" i="9" l="1"/>
  <c r="AF612" i="9"/>
  <c r="AA614" i="9" l="1"/>
  <c r="AF613" i="9"/>
  <c r="AA615" i="9" l="1"/>
  <c r="AF614" i="9"/>
  <c r="AA616" i="9" l="1"/>
  <c r="AF615" i="9"/>
  <c r="AA617" i="9" l="1"/>
  <c r="AF616" i="9"/>
  <c r="AA618" i="9" l="1"/>
  <c r="AF617" i="9"/>
  <c r="AA619" i="9" l="1"/>
  <c r="AF618" i="9"/>
  <c r="AA620" i="9" l="1"/>
  <c r="AF619" i="9"/>
  <c r="AA621" i="9" l="1"/>
  <c r="AF620" i="9"/>
  <c r="AA622" i="9" l="1"/>
  <c r="AF621" i="9"/>
  <c r="AA623" i="9" l="1"/>
  <c r="AF622" i="9"/>
  <c r="AA624" i="9" l="1"/>
  <c r="AF623" i="9"/>
  <c r="AA625" i="9" l="1"/>
  <c r="AF624" i="9"/>
  <c r="AA626" i="9" l="1"/>
  <c r="AF625" i="9"/>
  <c r="AA627" i="9" l="1"/>
  <c r="AF626" i="9"/>
  <c r="AA628" i="9" l="1"/>
  <c r="AF627" i="9"/>
  <c r="AA629" i="9" l="1"/>
  <c r="AF628" i="9"/>
  <c r="AA630" i="9" l="1"/>
  <c r="AF629" i="9"/>
  <c r="AA631" i="9" l="1"/>
  <c r="AF630" i="9"/>
  <c r="AA632" i="9" l="1"/>
  <c r="AF631" i="9"/>
  <c r="AA633" i="9" l="1"/>
  <c r="AF632" i="9"/>
  <c r="AA634" i="9" l="1"/>
  <c r="AF633" i="9"/>
  <c r="AA635" i="9" l="1"/>
  <c r="AF634" i="9"/>
  <c r="AA636" i="9" l="1"/>
  <c r="AF635" i="9"/>
  <c r="AA637" i="9" l="1"/>
  <c r="AF636" i="9"/>
  <c r="AA638" i="9" l="1"/>
  <c r="AF637" i="9"/>
  <c r="AA639" i="9" l="1"/>
  <c r="AF638" i="9"/>
  <c r="AA640" i="9" l="1"/>
  <c r="AF639" i="9"/>
  <c r="AA641" i="9" l="1"/>
  <c r="AF640" i="9"/>
  <c r="AA642" i="9" l="1"/>
  <c r="AF641" i="9"/>
  <c r="AA643" i="9" l="1"/>
  <c r="AF642" i="9"/>
  <c r="AA644" i="9" l="1"/>
  <c r="AF643" i="9"/>
  <c r="AA645" i="9" l="1"/>
  <c r="AF644" i="9"/>
  <c r="AA646" i="9" l="1"/>
  <c r="AF645" i="9"/>
  <c r="AA647" i="9" l="1"/>
  <c r="AF646" i="9"/>
  <c r="AA648" i="9" l="1"/>
  <c r="AF647" i="9"/>
  <c r="AA649" i="9" l="1"/>
  <c r="AF648" i="9"/>
  <c r="AA650" i="9" l="1"/>
  <c r="AF649" i="9"/>
  <c r="AA651" i="9" l="1"/>
  <c r="AF650" i="9"/>
  <c r="AA652" i="9" l="1"/>
  <c r="AF651" i="9"/>
  <c r="AA653" i="9" l="1"/>
  <c r="AF652" i="9"/>
  <c r="AA654" i="9" l="1"/>
  <c r="AF653" i="9"/>
  <c r="AA655" i="9" l="1"/>
  <c r="AF654" i="9"/>
  <c r="AA656" i="9" l="1"/>
  <c r="AF655" i="9"/>
  <c r="AA657" i="9" l="1"/>
  <c r="AF656" i="9"/>
  <c r="AA658" i="9" l="1"/>
  <c r="AF657" i="9"/>
  <c r="AA659" i="9" l="1"/>
  <c r="AF658" i="9"/>
  <c r="AA660" i="9" l="1"/>
  <c r="AF659" i="9"/>
  <c r="AA661" i="9" l="1"/>
  <c r="AF660" i="9"/>
  <c r="AA662" i="9" l="1"/>
  <c r="AF661" i="9"/>
  <c r="AA663" i="9" l="1"/>
  <c r="AF662" i="9"/>
  <c r="AA664" i="9" l="1"/>
  <c r="AF663" i="9"/>
  <c r="AA665" i="9" l="1"/>
  <c r="AF664" i="9"/>
  <c r="AA666" i="9" l="1"/>
  <c r="AF665" i="9"/>
  <c r="AA667" i="9" l="1"/>
  <c r="AF666" i="9"/>
  <c r="AA668" i="9" l="1"/>
  <c r="AF667" i="9"/>
  <c r="AA669" i="9" l="1"/>
  <c r="AF668" i="9"/>
  <c r="AA670" i="9" l="1"/>
  <c r="AF669" i="9"/>
  <c r="AA671" i="9" l="1"/>
  <c r="AF670" i="9"/>
  <c r="AA672" i="9" l="1"/>
  <c r="AF671" i="9"/>
  <c r="AA673" i="9" l="1"/>
  <c r="AF672" i="9"/>
  <c r="AA674" i="9" l="1"/>
  <c r="AF673" i="9"/>
  <c r="AA675" i="9" l="1"/>
  <c r="AF674" i="9"/>
  <c r="AA676" i="9" l="1"/>
  <c r="AF675" i="9"/>
  <c r="AA677" i="9" l="1"/>
  <c r="AF676" i="9"/>
  <c r="AA678" i="9" l="1"/>
  <c r="AF677" i="9"/>
  <c r="AA679" i="9" l="1"/>
  <c r="AF678" i="9"/>
  <c r="AA680" i="9" l="1"/>
  <c r="AF679" i="9"/>
  <c r="AA681" i="9" l="1"/>
  <c r="AF680" i="9"/>
  <c r="AA682" i="9" l="1"/>
  <c r="AF681" i="9"/>
  <c r="AA683" i="9" l="1"/>
  <c r="AF682" i="9"/>
  <c r="AA684" i="9" l="1"/>
  <c r="AF683" i="9"/>
  <c r="AA685" i="9" l="1"/>
  <c r="AF684" i="9"/>
  <c r="AA686" i="9" l="1"/>
  <c r="AF685" i="9"/>
  <c r="AA687" i="9" l="1"/>
  <c r="AF686" i="9"/>
  <c r="AA688" i="9" l="1"/>
  <c r="AF687" i="9"/>
  <c r="AA689" i="9" l="1"/>
  <c r="AF688" i="9"/>
  <c r="AA690" i="9" l="1"/>
  <c r="AF689" i="9"/>
  <c r="AA691" i="9" l="1"/>
  <c r="AF690" i="9"/>
  <c r="AA692" i="9" l="1"/>
  <c r="AF691" i="9"/>
  <c r="AA693" i="9" l="1"/>
  <c r="AF692" i="9"/>
  <c r="AA694" i="9" l="1"/>
  <c r="AF693" i="9"/>
  <c r="AA695" i="9" l="1"/>
  <c r="AF694" i="9"/>
  <c r="AA696" i="9" l="1"/>
  <c r="AF695" i="9"/>
  <c r="AA697" i="9" l="1"/>
  <c r="AF696" i="9"/>
  <c r="AA698" i="9" l="1"/>
  <c r="AF697" i="9"/>
  <c r="AA699" i="9" l="1"/>
  <c r="AF698" i="9"/>
  <c r="AA700" i="9" l="1"/>
  <c r="AF699" i="9"/>
  <c r="AA701" i="9" l="1"/>
  <c r="AF700" i="9"/>
  <c r="AA702" i="9" l="1"/>
  <c r="AF701" i="9"/>
  <c r="AA703" i="9" l="1"/>
  <c r="AF702" i="9"/>
  <c r="AA704" i="9" l="1"/>
  <c r="AF703" i="9"/>
  <c r="AA705" i="9" l="1"/>
  <c r="AF704" i="9"/>
  <c r="AA706" i="9" l="1"/>
  <c r="AF705" i="9"/>
  <c r="AA707" i="9" l="1"/>
  <c r="AF706" i="9"/>
  <c r="AA708" i="9" l="1"/>
  <c r="AF707" i="9"/>
  <c r="AA709" i="9" l="1"/>
  <c r="AF708" i="9"/>
  <c r="AA710" i="9" l="1"/>
  <c r="AF709" i="9"/>
  <c r="AA711" i="9" l="1"/>
  <c r="AF710" i="9"/>
  <c r="AA712" i="9" l="1"/>
  <c r="AF711" i="9"/>
  <c r="AA713" i="9" l="1"/>
  <c r="AF712" i="9"/>
  <c r="AA714" i="9" l="1"/>
  <c r="AF713" i="9"/>
  <c r="AA715" i="9" l="1"/>
  <c r="AF714" i="9"/>
  <c r="AA716" i="9" l="1"/>
  <c r="AF715" i="9"/>
  <c r="AA717" i="9" l="1"/>
  <c r="AF716" i="9"/>
  <c r="AA718" i="9" l="1"/>
  <c r="AF717" i="9"/>
  <c r="AA719" i="9" l="1"/>
  <c r="AF718" i="9"/>
  <c r="AA720" i="9" l="1"/>
  <c r="AF719" i="9"/>
  <c r="AA721" i="9" l="1"/>
  <c r="AF720" i="9"/>
  <c r="AA722" i="9" l="1"/>
  <c r="AF721" i="9"/>
  <c r="AA723" i="9" l="1"/>
  <c r="AF722" i="9"/>
  <c r="AA724" i="9" l="1"/>
  <c r="AF723" i="9"/>
  <c r="AA725" i="9" l="1"/>
  <c r="AF724" i="9"/>
  <c r="AA726" i="9" l="1"/>
  <c r="AF725" i="9"/>
  <c r="AA727" i="9" l="1"/>
  <c r="AF726" i="9"/>
  <c r="AA728" i="9" l="1"/>
  <c r="AF727" i="9"/>
  <c r="AA729" i="9" l="1"/>
  <c r="AF728" i="9"/>
  <c r="AA730" i="9" l="1"/>
  <c r="AF729" i="9"/>
  <c r="AA731" i="9" l="1"/>
  <c r="AF731" i="9" s="1"/>
  <c r="AF730" i="9"/>
</calcChain>
</file>

<file path=xl/sharedStrings.xml><?xml version="1.0" encoding="utf-8"?>
<sst xmlns="http://schemas.openxmlformats.org/spreadsheetml/2006/main" count="9" uniqueCount="9">
  <si>
    <t>name</t>
  </si>
  <si>
    <t>dir</t>
  </si>
  <si>
    <t>scn_numb</t>
  </si>
  <si>
    <t>a</t>
  </si>
  <si>
    <t>signma</t>
  </si>
  <si>
    <t>corel</t>
  </si>
  <si>
    <t>delta</t>
  </si>
  <si>
    <t>C:\Users\b029735\NoBackupData\25_PROJECT_2015\MERGE_NEW_ESG_CODE\SETUP_OLD_CODE\03_Scenario_Gen\ESG_Output_Files\</t>
  </si>
  <si>
    <t>Scenario_3_1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</si>
</sst>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0.000%"/>
    <numFmt numFmtId="166" formatCode="0.00000%"/>
    <numFmt numFmtId="167" formatCode="0.0000000%"/>
  </numFmts>
  <fonts count="3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165" fontId="0" fillId="2" borderId="0" xfId="1" applyNumberFormat="1" applyFont="1" applyFill="1"/>
    <xf numFmtId="166" fontId="0" fillId="2" borderId="0" xfId="1" applyNumberFormat="1" applyFont="1" applyFill="1"/>
    <xf numFmtId="167" fontId="0" fillId="2" borderId="0" xfId="1" applyNumberFormat="1" applyFont="1" applyFill="1"/>
    <xf numFmtId="167" fontId="2" fillId="2" borderId="0" xfId="0" applyNumberFormat="1" applyFont="1" applyFill="1"/>
    <xf numFmtId="0" fontId="2" fillId="2" borderId="0" xfId="0" applyFont="1" applyFill="1"/>
    <xf numFmtId="9" fontId="0" fillId="2" borderId="0" xfId="1" applyFont="1" applyFill="1"/>
    <xf numFmtId="164" fontId="0" fillId="2" borderId="0" xfId="2" applyFont="1" applyFill="1"/>
    <xf numFmtId="165" fontId="0" fillId="0" borderId="0" xfId="1" applyNumberFormat="1" applyFont="1"/>
    <xf numFmtId="164" fontId="0" fillId="0" borderId="0" xfId="2" applyFont="1"/>
    <xf numFmtId="164" fontId="0" fillId="2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Output!$K$12:$K$731</c:f>
              <c:numCache>
                <c:formatCode>General</c:formatCode>
                <c:ptCount val="720"/>
                <c:pt idx="0">
                  <c:v>1.0000043007374577</c:v>
                </c:pt>
                <c:pt idx="1">
                  <c:v>0.99999977012289099</c:v>
                </c:pt>
                <c:pt idx="2">
                  <c:v>0.99999625767464351</c:v>
                </c:pt>
                <c:pt idx="3">
                  <c:v>1.000003804662537</c:v>
                </c:pt>
                <c:pt idx="4">
                  <c:v>0.99998808122648597</c:v>
                </c:pt>
                <c:pt idx="5">
                  <c:v>0.99997824691750281</c:v>
                </c:pt>
                <c:pt idx="6">
                  <c:v>0.99997975126349103</c:v>
                </c:pt>
                <c:pt idx="7">
                  <c:v>0.99996775475590616</c:v>
                </c:pt>
                <c:pt idx="8">
                  <c:v>0.99992511858859867</c:v>
                </c:pt>
                <c:pt idx="9">
                  <c:v>0.99993468497104365</c:v>
                </c:pt>
                <c:pt idx="10">
                  <c:v>0.99992921010099867</c:v>
                </c:pt>
                <c:pt idx="11">
                  <c:v>0.99991477141385243</c:v>
                </c:pt>
                <c:pt idx="12">
                  <c:v>0.99993090369107129</c:v>
                </c:pt>
                <c:pt idx="13">
                  <c:v>0.99991997291124202</c:v>
                </c:pt>
                <c:pt idx="14">
                  <c:v>0.99992712340707368</c:v>
                </c:pt>
                <c:pt idx="15">
                  <c:v>0.99986912389671234</c:v>
                </c:pt>
                <c:pt idx="16">
                  <c:v>0.99988161181296287</c:v>
                </c:pt>
                <c:pt idx="17">
                  <c:v>0.99986448792033111</c:v>
                </c:pt>
                <c:pt idx="18">
                  <c:v>0.99985779526246799</c:v>
                </c:pt>
                <c:pt idx="19">
                  <c:v>0.99986482106641184</c:v>
                </c:pt>
                <c:pt idx="20">
                  <c:v>0.99985621697174321</c:v>
                </c:pt>
                <c:pt idx="21">
                  <c:v>0.9998356643889007</c:v>
                </c:pt>
                <c:pt idx="22">
                  <c:v>0.99983684833776321</c:v>
                </c:pt>
                <c:pt idx="23">
                  <c:v>0.99982081812463741</c:v>
                </c:pt>
                <c:pt idx="24">
                  <c:v>0.99983827706157857</c:v>
                </c:pt>
                <c:pt idx="25">
                  <c:v>0.99981091370258957</c:v>
                </c:pt>
                <c:pt idx="26">
                  <c:v>0.99977036794584984</c:v>
                </c:pt>
                <c:pt idx="27">
                  <c:v>0.99974901752677559</c:v>
                </c:pt>
                <c:pt idx="28">
                  <c:v>0.99969869949411561</c:v>
                </c:pt>
                <c:pt idx="29">
                  <c:v>0.99978602784253356</c:v>
                </c:pt>
                <c:pt idx="30">
                  <c:v>0.99975532322896621</c:v>
                </c:pt>
                <c:pt idx="31">
                  <c:v>0.99974696355260084</c:v>
                </c:pt>
                <c:pt idx="32">
                  <c:v>0.99976071617363116</c:v>
                </c:pt>
                <c:pt idx="33">
                  <c:v>0.99972209972109083</c:v>
                </c:pt>
                <c:pt idx="34">
                  <c:v>0.99977860526775852</c:v>
                </c:pt>
                <c:pt idx="35">
                  <c:v>0.99980765336609345</c:v>
                </c:pt>
                <c:pt idx="36">
                  <c:v>0.99990321776901236</c:v>
                </c:pt>
                <c:pt idx="37">
                  <c:v>0.99989564909576101</c:v>
                </c:pt>
                <c:pt idx="38">
                  <c:v>0.99990680953200328</c:v>
                </c:pt>
                <c:pt idx="39">
                  <c:v>0.99996410188783846</c:v>
                </c:pt>
                <c:pt idx="40">
                  <c:v>0.99996863096731547</c:v>
                </c:pt>
                <c:pt idx="41">
                  <c:v>0.9999902478654602</c:v>
                </c:pt>
                <c:pt idx="42">
                  <c:v>1.0000833755400385</c:v>
                </c:pt>
                <c:pt idx="43">
                  <c:v>1.0000541869639794</c:v>
                </c:pt>
                <c:pt idx="44">
                  <c:v>1.0000592342972672</c:v>
                </c:pt>
                <c:pt idx="45">
                  <c:v>1.0000816571040869</c:v>
                </c:pt>
                <c:pt idx="46">
                  <c:v>1.0000872639672209</c:v>
                </c:pt>
                <c:pt idx="47">
                  <c:v>1.0001274952533843</c:v>
                </c:pt>
                <c:pt idx="48">
                  <c:v>1.0001311285614218</c:v>
                </c:pt>
                <c:pt idx="49">
                  <c:v>1.0000606221402255</c:v>
                </c:pt>
                <c:pt idx="50">
                  <c:v>1.0001054443609025</c:v>
                </c:pt>
                <c:pt idx="51">
                  <c:v>1.0001723905530551</c:v>
                </c:pt>
                <c:pt idx="52">
                  <c:v>1.0001574234524566</c:v>
                </c:pt>
                <c:pt idx="53">
                  <c:v>1.0001427269923051</c:v>
                </c:pt>
                <c:pt idx="54">
                  <c:v>1.0001467372893822</c:v>
                </c:pt>
                <c:pt idx="55">
                  <c:v>1.0001500229193701</c:v>
                </c:pt>
                <c:pt idx="56">
                  <c:v>1.0001642254102689</c:v>
                </c:pt>
                <c:pt idx="57">
                  <c:v>1.0002272511846793</c:v>
                </c:pt>
                <c:pt idx="58">
                  <c:v>1.000212049881839</c:v>
                </c:pt>
                <c:pt idx="59">
                  <c:v>1.0001860525339745</c:v>
                </c:pt>
                <c:pt idx="60">
                  <c:v>1.0001175103859516</c:v>
                </c:pt>
                <c:pt idx="61">
                  <c:v>1.0001550691670211</c:v>
                </c:pt>
                <c:pt idx="62">
                  <c:v>1.0002317707073414</c:v>
                </c:pt>
                <c:pt idx="63">
                  <c:v>1.0001786741262519</c:v>
                </c:pt>
                <c:pt idx="64">
                  <c:v>1.0002616720846815</c:v>
                </c:pt>
                <c:pt idx="65">
                  <c:v>1.0002362115338328</c:v>
                </c:pt>
                <c:pt idx="66">
                  <c:v>1.000219320293253</c:v>
                </c:pt>
                <c:pt idx="67">
                  <c:v>1.0002677225054464</c:v>
                </c:pt>
                <c:pt idx="68">
                  <c:v>1.0002599138591406</c:v>
                </c:pt>
                <c:pt idx="69">
                  <c:v>1.0002548097551172</c:v>
                </c:pt>
                <c:pt idx="70">
                  <c:v>1.0002883345582412</c:v>
                </c:pt>
                <c:pt idx="71">
                  <c:v>1.000394188793972</c:v>
                </c:pt>
                <c:pt idx="72">
                  <c:v>1.0003596378427826</c:v>
                </c:pt>
                <c:pt idx="73">
                  <c:v>1.0003965742181138</c:v>
                </c:pt>
                <c:pt idx="74">
                  <c:v>1.0004358119129415</c:v>
                </c:pt>
                <c:pt idx="75">
                  <c:v>1.0004213614032595</c:v>
                </c:pt>
                <c:pt idx="76">
                  <c:v>1.0005094160206263</c:v>
                </c:pt>
                <c:pt idx="77">
                  <c:v>1.000443397574537</c:v>
                </c:pt>
                <c:pt idx="78">
                  <c:v>1.000447303973633</c:v>
                </c:pt>
                <c:pt idx="79">
                  <c:v>1.0005033844061197</c:v>
                </c:pt>
                <c:pt idx="80">
                  <c:v>1.0004456480232433</c:v>
                </c:pt>
                <c:pt idx="81">
                  <c:v>1.0004880388131652</c:v>
                </c:pt>
                <c:pt idx="82">
                  <c:v>1.0003688640328976</c:v>
                </c:pt>
                <c:pt idx="83">
                  <c:v>1.0004185168569368</c:v>
                </c:pt>
                <c:pt idx="84">
                  <c:v>1.0003554194333186</c:v>
                </c:pt>
                <c:pt idx="85">
                  <c:v>1.0002992109145945</c:v>
                </c:pt>
                <c:pt idx="86">
                  <c:v>1.0002606190191914</c:v>
                </c:pt>
                <c:pt idx="87">
                  <c:v>1.0001331321479197</c:v>
                </c:pt>
                <c:pt idx="88">
                  <c:v>1.0001725806773789</c:v>
                </c:pt>
                <c:pt idx="89">
                  <c:v>1.0001509240610711</c:v>
                </c:pt>
                <c:pt idx="90">
                  <c:v>1.0002002502361254</c:v>
                </c:pt>
                <c:pt idx="91">
                  <c:v>1.0002400821480228</c:v>
                </c:pt>
                <c:pt idx="92">
                  <c:v>1.0001287868625719</c:v>
                </c:pt>
                <c:pt idx="93">
                  <c:v>1.0002220185992035</c:v>
                </c:pt>
                <c:pt idx="94">
                  <c:v>1.0003499061565513</c:v>
                </c:pt>
                <c:pt idx="95">
                  <c:v>1.0004083930056222</c:v>
                </c:pt>
                <c:pt idx="96">
                  <c:v>1.0003594267804341</c:v>
                </c:pt>
                <c:pt idx="97">
                  <c:v>1.0002715049001301</c:v>
                </c:pt>
                <c:pt idx="98">
                  <c:v>1.0002693689932529</c:v>
                </c:pt>
                <c:pt idx="99">
                  <c:v>1.0002955729023288</c:v>
                </c:pt>
                <c:pt idx="100">
                  <c:v>1.0001941987945733</c:v>
                </c:pt>
                <c:pt idx="101">
                  <c:v>1.0002548232283044</c:v>
                </c:pt>
                <c:pt idx="102">
                  <c:v>1.0003048261546359</c:v>
                </c:pt>
                <c:pt idx="103">
                  <c:v>1.0003634582996068</c:v>
                </c:pt>
                <c:pt idx="104">
                  <c:v>1.0003529414195049</c:v>
                </c:pt>
                <c:pt idx="105">
                  <c:v>1.0004010961681751</c:v>
                </c:pt>
                <c:pt idx="106">
                  <c:v>1.0003243303321268</c:v>
                </c:pt>
                <c:pt idx="107">
                  <c:v>1.0001927074853998</c:v>
                </c:pt>
                <c:pt idx="108">
                  <c:v>1.0002089419822906</c:v>
                </c:pt>
                <c:pt idx="109">
                  <c:v>1.0000636663469553</c:v>
                </c:pt>
                <c:pt idx="110">
                  <c:v>1.0001238103843721</c:v>
                </c:pt>
                <c:pt idx="111">
                  <c:v>1.0001138193661903</c:v>
                </c:pt>
                <c:pt idx="112">
                  <c:v>1.0001349997489135</c:v>
                </c:pt>
                <c:pt idx="113">
                  <c:v>1.000253378606146</c:v>
                </c:pt>
                <c:pt idx="114">
                  <c:v>1.0002493123959035</c:v>
                </c:pt>
                <c:pt idx="115">
                  <c:v>1.0001730373403377</c:v>
                </c:pt>
                <c:pt idx="116">
                  <c:v>1.0001536132387523</c:v>
                </c:pt>
                <c:pt idx="117">
                  <c:v>1.000258478336888</c:v>
                </c:pt>
                <c:pt idx="118">
                  <c:v>1.0002902207327207</c:v>
                </c:pt>
                <c:pt idx="119">
                  <c:v>1.0003320418543582</c:v>
                </c:pt>
                <c:pt idx="120">
                  <c:v>1.0002484528208198</c:v>
                </c:pt>
                <c:pt idx="121">
                  <c:v>1.0003729434485762</c:v>
                </c:pt>
                <c:pt idx="122">
                  <c:v>1.0002638236650105</c:v>
                </c:pt>
                <c:pt idx="123">
                  <c:v>1.0004252946833065</c:v>
                </c:pt>
                <c:pt idx="124">
                  <c:v>1.0003110691349484</c:v>
                </c:pt>
                <c:pt idx="125">
                  <c:v>1.0003733330767279</c:v>
                </c:pt>
                <c:pt idx="126">
                  <c:v>1.0004375501841871</c:v>
                </c:pt>
                <c:pt idx="127">
                  <c:v>1.000469600591037</c:v>
                </c:pt>
                <c:pt idx="128">
                  <c:v>1.0004995549902469</c:v>
                </c:pt>
                <c:pt idx="129">
                  <c:v>1.0004997443952752</c:v>
                </c:pt>
                <c:pt idx="130">
                  <c:v>1.0004247548579235</c:v>
                </c:pt>
                <c:pt idx="131">
                  <c:v>1.0003839894884194</c:v>
                </c:pt>
                <c:pt idx="132">
                  <c:v>1.0004980184767529</c:v>
                </c:pt>
                <c:pt idx="133">
                  <c:v>1.0005271680040468</c:v>
                </c:pt>
                <c:pt idx="134">
                  <c:v>1.0005680044807961</c:v>
                </c:pt>
                <c:pt idx="135">
                  <c:v>1.0006159135279398</c:v>
                </c:pt>
                <c:pt idx="136">
                  <c:v>1.0005711132088984</c:v>
                </c:pt>
                <c:pt idx="137">
                  <c:v>1.0004842553654276</c:v>
                </c:pt>
                <c:pt idx="138">
                  <c:v>1.0005097508499357</c:v>
                </c:pt>
                <c:pt idx="139">
                  <c:v>1.0005162837209127</c:v>
                </c:pt>
                <c:pt idx="140">
                  <c:v>1.0005595384375596</c:v>
                </c:pt>
                <c:pt idx="141">
                  <c:v>1.0005204677920001</c:v>
                </c:pt>
                <c:pt idx="142">
                  <c:v>1.0004514616500009</c:v>
                </c:pt>
                <c:pt idx="143">
                  <c:v>1.0005610291153153</c:v>
                </c:pt>
                <c:pt idx="144">
                  <c:v>1.0005658554572527</c:v>
                </c:pt>
                <c:pt idx="145">
                  <c:v>1.0006071210836396</c:v>
                </c:pt>
                <c:pt idx="146">
                  <c:v>1.0005795058758018</c:v>
                </c:pt>
                <c:pt idx="147">
                  <c:v>1.0005789724055045</c:v>
                </c:pt>
                <c:pt idx="148">
                  <c:v>1.0005006952020932</c:v>
                </c:pt>
                <c:pt idx="149">
                  <c:v>1.0005063933381295</c:v>
                </c:pt>
                <c:pt idx="150">
                  <c:v>1.0005838086275463</c:v>
                </c:pt>
                <c:pt idx="151">
                  <c:v>1.0005412679847356</c:v>
                </c:pt>
                <c:pt idx="152">
                  <c:v>1.0005413748014997</c:v>
                </c:pt>
                <c:pt idx="153">
                  <c:v>1.0006028128127371</c:v>
                </c:pt>
                <c:pt idx="154">
                  <c:v>1.0004730753521489</c:v>
                </c:pt>
                <c:pt idx="155">
                  <c:v>1.0002974940269846</c:v>
                </c:pt>
                <c:pt idx="156">
                  <c:v>1.0002801978531055</c:v>
                </c:pt>
                <c:pt idx="157">
                  <c:v>1.0002196839357795</c:v>
                </c:pt>
                <c:pt idx="158">
                  <c:v>1.0002879512757847</c:v>
                </c:pt>
                <c:pt idx="159">
                  <c:v>1.0003763001116048</c:v>
                </c:pt>
                <c:pt idx="160">
                  <c:v>1.000341366084762</c:v>
                </c:pt>
                <c:pt idx="161">
                  <c:v>1.0001523478414795</c:v>
                </c:pt>
                <c:pt idx="162">
                  <c:v>1.0000807107172887</c:v>
                </c:pt>
                <c:pt idx="163">
                  <c:v>1.0000897785270728</c:v>
                </c:pt>
                <c:pt idx="164">
                  <c:v>1.0000875997634147</c:v>
                </c:pt>
                <c:pt idx="165">
                  <c:v>1.0002677645223546</c:v>
                </c:pt>
                <c:pt idx="166">
                  <c:v>1.0001945913968062</c:v>
                </c:pt>
                <c:pt idx="167">
                  <c:v>1.0000036814307121</c:v>
                </c:pt>
                <c:pt idx="168">
                  <c:v>0.99990587098319728</c:v>
                </c:pt>
                <c:pt idx="169">
                  <c:v>0.99985852574315626</c:v>
                </c:pt>
                <c:pt idx="170">
                  <c:v>0.99987148239253032</c:v>
                </c:pt>
                <c:pt idx="171">
                  <c:v>0.99996644795104617</c:v>
                </c:pt>
                <c:pt idx="172">
                  <c:v>0.99995978501442417</c:v>
                </c:pt>
                <c:pt idx="173">
                  <c:v>0.99988053039951608</c:v>
                </c:pt>
                <c:pt idx="174">
                  <c:v>0.99995728283683272</c:v>
                </c:pt>
                <c:pt idx="175">
                  <c:v>0.99992027335724698</c:v>
                </c:pt>
                <c:pt idx="176">
                  <c:v>1.0001727768442998</c:v>
                </c:pt>
                <c:pt idx="177">
                  <c:v>1.0003363017250897</c:v>
                </c:pt>
                <c:pt idx="178">
                  <c:v>1.0004236475756751</c:v>
                </c:pt>
                <c:pt idx="179">
                  <c:v>1.0004028312796431</c:v>
                </c:pt>
                <c:pt idx="180">
                  <c:v>1.0004853398778935</c:v>
                </c:pt>
                <c:pt idx="181">
                  <c:v>1.0004676395185474</c:v>
                </c:pt>
                <c:pt idx="182">
                  <c:v>1.0004345004483712</c:v>
                </c:pt>
                <c:pt idx="183">
                  <c:v>1.0004745963964017</c:v>
                </c:pt>
                <c:pt idx="184">
                  <c:v>1.0004638420691407</c:v>
                </c:pt>
                <c:pt idx="185">
                  <c:v>1.0004531317413996</c:v>
                </c:pt>
                <c:pt idx="186">
                  <c:v>1.0005219893458421</c:v>
                </c:pt>
                <c:pt idx="187">
                  <c:v>1.0003624159961564</c:v>
                </c:pt>
                <c:pt idx="188">
                  <c:v>1.000447099845821</c:v>
                </c:pt>
                <c:pt idx="189">
                  <c:v>1.0005439814425681</c:v>
                </c:pt>
                <c:pt idx="190">
                  <c:v>1.0006140889553656</c:v>
                </c:pt>
                <c:pt idx="191">
                  <c:v>1.0005622194893649</c:v>
                </c:pt>
                <c:pt idx="192">
                  <c:v>1.0005340131686278</c:v>
                </c:pt>
                <c:pt idx="193">
                  <c:v>1.000564835291921</c:v>
                </c:pt>
                <c:pt idx="194">
                  <c:v>1.0007437369194119</c:v>
                </c:pt>
                <c:pt idx="195">
                  <c:v>1.0006674656589531</c:v>
                </c:pt>
                <c:pt idx="196">
                  <c:v>1.0006449306575929</c:v>
                </c:pt>
                <c:pt idx="197">
                  <c:v>1.0007386622272432</c:v>
                </c:pt>
                <c:pt idx="198">
                  <c:v>1.0006881823851324</c:v>
                </c:pt>
                <c:pt idx="199">
                  <c:v>1.0008510521899023</c:v>
                </c:pt>
                <c:pt idx="200">
                  <c:v>1.0008036976369357</c:v>
                </c:pt>
                <c:pt idx="201">
                  <c:v>1.0007566432921571</c:v>
                </c:pt>
                <c:pt idx="202">
                  <c:v>1.0008615252173221</c:v>
                </c:pt>
                <c:pt idx="203">
                  <c:v>1.0008056936349627</c:v>
                </c:pt>
                <c:pt idx="204">
                  <c:v>1.0009412593155265</c:v>
                </c:pt>
                <c:pt idx="205">
                  <c:v>1.0009185301184942</c:v>
                </c:pt>
                <c:pt idx="206">
                  <c:v>1.0007912864444815</c:v>
                </c:pt>
                <c:pt idx="207">
                  <c:v>1.0008207504020459</c:v>
                </c:pt>
                <c:pt idx="208">
                  <c:v>1.000770159038515</c:v>
                </c:pt>
                <c:pt idx="209">
                  <c:v>1.000823024023807</c:v>
                </c:pt>
                <c:pt idx="210">
                  <c:v>1.0008140036108788</c:v>
                </c:pt>
                <c:pt idx="211">
                  <c:v>1.0005962722835768</c:v>
                </c:pt>
                <c:pt idx="212">
                  <c:v>1.0003454201838438</c:v>
                </c:pt>
                <c:pt idx="213">
                  <c:v>1.0002781876685714</c:v>
                </c:pt>
                <c:pt idx="214">
                  <c:v>1.0001366978201125</c:v>
                </c:pt>
                <c:pt idx="215">
                  <c:v>1.0002356392811187</c:v>
                </c:pt>
                <c:pt idx="216">
                  <c:v>1.0000202062385557</c:v>
                </c:pt>
                <c:pt idx="217">
                  <c:v>0.99991134029056483</c:v>
                </c:pt>
                <c:pt idx="218">
                  <c:v>0.99973762513352338</c:v>
                </c:pt>
                <c:pt idx="219">
                  <c:v>0.99992197061053867</c:v>
                </c:pt>
                <c:pt idx="220">
                  <c:v>0.99987584706373445</c:v>
                </c:pt>
                <c:pt idx="221">
                  <c:v>0.99965269671315304</c:v>
                </c:pt>
                <c:pt idx="222">
                  <c:v>0.99965225371834854</c:v>
                </c:pt>
                <c:pt idx="223">
                  <c:v>0.99957385866509296</c:v>
                </c:pt>
                <c:pt idx="224">
                  <c:v>0.99960011748561994</c:v>
                </c:pt>
                <c:pt idx="225">
                  <c:v>0.99965460652545746</c:v>
                </c:pt>
                <c:pt idx="226">
                  <c:v>0.9997175250236443</c:v>
                </c:pt>
                <c:pt idx="227">
                  <c:v>0.99972862187883671</c:v>
                </c:pt>
                <c:pt idx="228">
                  <c:v>0.99981218955332485</c:v>
                </c:pt>
                <c:pt idx="229">
                  <c:v>0.99983911423019878</c:v>
                </c:pt>
                <c:pt idx="230">
                  <c:v>0.99975667970474491</c:v>
                </c:pt>
                <c:pt idx="231">
                  <c:v>0.99983765821654769</c:v>
                </c:pt>
                <c:pt idx="232">
                  <c:v>0.99984180782359833</c:v>
                </c:pt>
                <c:pt idx="233">
                  <c:v>0.99983168869324612</c:v>
                </c:pt>
                <c:pt idx="234">
                  <c:v>0.99983016708704187</c:v>
                </c:pt>
                <c:pt idx="235">
                  <c:v>0.99973294990329153</c:v>
                </c:pt>
                <c:pt idx="236">
                  <c:v>0.99958195846128184</c:v>
                </c:pt>
                <c:pt idx="237">
                  <c:v>0.99973716844459737</c:v>
                </c:pt>
                <c:pt idx="238">
                  <c:v>0.99990931871670596</c:v>
                </c:pt>
                <c:pt idx="239">
                  <c:v>0.99987478830826426</c:v>
                </c:pt>
                <c:pt idx="240">
                  <c:v>0.99976460538466516</c:v>
                </c:pt>
                <c:pt idx="241">
                  <c:v>0.99987203598998686</c:v>
                </c:pt>
                <c:pt idx="242">
                  <c:v>0.999903780994575</c:v>
                </c:pt>
                <c:pt idx="243">
                  <c:v>0.99982950663448722</c:v>
                </c:pt>
                <c:pt idx="244">
                  <c:v>0.99998223873829661</c:v>
                </c:pt>
                <c:pt idx="245">
                  <c:v>0.99993774829330628</c:v>
                </c:pt>
                <c:pt idx="246">
                  <c:v>1.0000729423087833</c:v>
                </c:pt>
                <c:pt idx="247">
                  <c:v>1.0002556910482563</c:v>
                </c:pt>
                <c:pt idx="248">
                  <c:v>1.0003075005685746</c:v>
                </c:pt>
                <c:pt idx="249">
                  <c:v>1.0002409928784313</c:v>
                </c:pt>
                <c:pt idx="250">
                  <c:v>1.0002752093942551</c:v>
                </c:pt>
                <c:pt idx="251">
                  <c:v>1.0000777974703403</c:v>
                </c:pt>
                <c:pt idx="252">
                  <c:v>1.0001717758059863</c:v>
                </c:pt>
                <c:pt idx="253">
                  <c:v>1.000118104080608</c:v>
                </c:pt>
                <c:pt idx="254">
                  <c:v>1.0000456057723244</c:v>
                </c:pt>
                <c:pt idx="255">
                  <c:v>1.0000879178977751</c:v>
                </c:pt>
                <c:pt idx="256">
                  <c:v>1.0003123964048424</c:v>
                </c:pt>
                <c:pt idx="257">
                  <c:v>1.0004709860963779</c:v>
                </c:pt>
                <c:pt idx="258">
                  <c:v>1.0005378699458354</c:v>
                </c:pt>
                <c:pt idx="259">
                  <c:v>1.0003940978093957</c:v>
                </c:pt>
                <c:pt idx="260">
                  <c:v>1.000397697757506</c:v>
                </c:pt>
                <c:pt idx="261">
                  <c:v>1.0004692476234927</c:v>
                </c:pt>
                <c:pt idx="262">
                  <c:v>1.0005249304373298</c:v>
                </c:pt>
                <c:pt idx="263">
                  <c:v>1.0006985995387705</c:v>
                </c:pt>
                <c:pt idx="264">
                  <c:v>1.0009071389580932</c:v>
                </c:pt>
                <c:pt idx="265">
                  <c:v>1.0010252130482771</c:v>
                </c:pt>
                <c:pt idx="266">
                  <c:v>1.001011224494718</c:v>
                </c:pt>
                <c:pt idx="267">
                  <c:v>1.0010434586739343</c:v>
                </c:pt>
                <c:pt idx="268">
                  <c:v>1.0009651877198453</c:v>
                </c:pt>
                <c:pt idx="269">
                  <c:v>1.0011746255960507</c:v>
                </c:pt>
                <c:pt idx="270">
                  <c:v>1.0010816164713394</c:v>
                </c:pt>
                <c:pt idx="271">
                  <c:v>1.0009353949609048</c:v>
                </c:pt>
                <c:pt idx="272">
                  <c:v>1.000937038805173</c:v>
                </c:pt>
                <c:pt idx="273">
                  <c:v>1.000913350666303</c:v>
                </c:pt>
                <c:pt idx="274">
                  <c:v>1.0010295535314262</c:v>
                </c:pt>
                <c:pt idx="275">
                  <c:v>1.0009299420671762</c:v>
                </c:pt>
                <c:pt idx="276">
                  <c:v>1.0010361186207184</c:v>
                </c:pt>
                <c:pt idx="277">
                  <c:v>1.0009682802999862</c:v>
                </c:pt>
                <c:pt idx="278">
                  <c:v>1.0009502302557687</c:v>
                </c:pt>
                <c:pt idx="279">
                  <c:v>1.0010431489582676</c:v>
                </c:pt>
                <c:pt idx="280">
                  <c:v>1.0011070874251116</c:v>
                </c:pt>
                <c:pt idx="281">
                  <c:v>1.0011599261415098</c:v>
                </c:pt>
                <c:pt idx="282">
                  <c:v>1.0011581748830147</c:v>
                </c:pt>
                <c:pt idx="283">
                  <c:v>1.001182166453725</c:v>
                </c:pt>
                <c:pt idx="284">
                  <c:v>1.0010608122267668</c:v>
                </c:pt>
                <c:pt idx="285">
                  <c:v>1.0011863948649051</c:v>
                </c:pt>
                <c:pt idx="286">
                  <c:v>1.0012854576084724</c:v>
                </c:pt>
                <c:pt idx="287">
                  <c:v>1.0011679989240971</c:v>
                </c:pt>
                <c:pt idx="288">
                  <c:v>1.001355191166202</c:v>
                </c:pt>
                <c:pt idx="289">
                  <c:v>1.0014206975984927</c:v>
                </c:pt>
                <c:pt idx="290">
                  <c:v>1.0012752624828181</c:v>
                </c:pt>
                <c:pt idx="291">
                  <c:v>1.0011612566581261</c:v>
                </c:pt>
                <c:pt idx="292">
                  <c:v>1.0011581176715101</c:v>
                </c:pt>
                <c:pt idx="293">
                  <c:v>1.0012026684592579</c:v>
                </c:pt>
                <c:pt idx="294">
                  <c:v>1.0013823268142126</c:v>
                </c:pt>
                <c:pt idx="295">
                  <c:v>1.0012855743180145</c:v>
                </c:pt>
                <c:pt idx="296">
                  <c:v>1.0014527361539627</c:v>
                </c:pt>
                <c:pt idx="297">
                  <c:v>1.0011440186369049</c:v>
                </c:pt>
                <c:pt idx="298">
                  <c:v>1.0012178351402803</c:v>
                </c:pt>
                <c:pt idx="299">
                  <c:v>1.0009656902270208</c:v>
                </c:pt>
                <c:pt idx="300">
                  <c:v>1.0010620117759566</c:v>
                </c:pt>
                <c:pt idx="301">
                  <c:v>1.0010923889395551</c:v>
                </c:pt>
                <c:pt idx="302">
                  <c:v>1.0010858873777133</c:v>
                </c:pt>
                <c:pt idx="303">
                  <c:v>1.0012756965847465</c:v>
                </c:pt>
                <c:pt idx="304">
                  <c:v>1.0010236396581111</c:v>
                </c:pt>
                <c:pt idx="305">
                  <c:v>1.0009505591849897</c:v>
                </c:pt>
                <c:pt idx="306">
                  <c:v>1.0007274265176116</c:v>
                </c:pt>
                <c:pt idx="307">
                  <c:v>1.0006847252221138</c:v>
                </c:pt>
                <c:pt idx="308">
                  <c:v>1.0008729981027069</c:v>
                </c:pt>
                <c:pt idx="309">
                  <c:v>1.0010112956903396</c:v>
                </c:pt>
                <c:pt idx="310">
                  <c:v>1.0010911099841895</c:v>
                </c:pt>
                <c:pt idx="311">
                  <c:v>1.001142050046341</c:v>
                </c:pt>
                <c:pt idx="312">
                  <c:v>1.0010971203480583</c:v>
                </c:pt>
                <c:pt idx="313">
                  <c:v>1.0011344950157797</c:v>
                </c:pt>
                <c:pt idx="314">
                  <c:v>1.0011062146275223</c:v>
                </c:pt>
                <c:pt idx="315">
                  <c:v>1.001022414522577</c:v>
                </c:pt>
                <c:pt idx="316">
                  <c:v>1.0010543804715042</c:v>
                </c:pt>
                <c:pt idx="317">
                  <c:v>1.001176945609523</c:v>
                </c:pt>
                <c:pt idx="318">
                  <c:v>1.0011354767339447</c:v>
                </c:pt>
                <c:pt idx="319">
                  <c:v>1.0011418036421826</c:v>
                </c:pt>
                <c:pt idx="320">
                  <c:v>1.0011823164063798</c:v>
                </c:pt>
                <c:pt idx="321">
                  <c:v>1.001178771987167</c:v>
                </c:pt>
                <c:pt idx="322">
                  <c:v>1.0012017553250809</c:v>
                </c:pt>
                <c:pt idx="323">
                  <c:v>1.0011220601342949</c:v>
                </c:pt>
                <c:pt idx="324">
                  <c:v>1.0012117790701567</c:v>
                </c:pt>
                <c:pt idx="325">
                  <c:v>1.00120283953182</c:v>
                </c:pt>
                <c:pt idx="326">
                  <c:v>1.0010673911716437</c:v>
                </c:pt>
                <c:pt idx="327">
                  <c:v>1.0012056476641775</c:v>
                </c:pt>
                <c:pt idx="328">
                  <c:v>1.0012306669933935</c:v>
                </c:pt>
                <c:pt idx="329">
                  <c:v>1.0010894157341796</c:v>
                </c:pt>
                <c:pt idx="330">
                  <c:v>1.0010894918012483</c:v>
                </c:pt>
                <c:pt idx="331">
                  <c:v>1.0011865410403205</c:v>
                </c:pt>
                <c:pt idx="332">
                  <c:v>1.0010685932568522</c:v>
                </c:pt>
                <c:pt idx="333">
                  <c:v>1.0009386195207497</c:v>
                </c:pt>
                <c:pt idx="334">
                  <c:v>1.0010176319321058</c:v>
                </c:pt>
                <c:pt idx="335">
                  <c:v>1.0007781153220827</c:v>
                </c:pt>
                <c:pt idx="336">
                  <c:v>1.0006076975354781</c:v>
                </c:pt>
                <c:pt idx="337">
                  <c:v>1.0006812176822977</c:v>
                </c:pt>
                <c:pt idx="338">
                  <c:v>1.0004481349410852</c:v>
                </c:pt>
                <c:pt idx="339">
                  <c:v>1.0005003365829106</c:v>
                </c:pt>
                <c:pt idx="340">
                  <c:v>1.0005294735783654</c:v>
                </c:pt>
                <c:pt idx="341">
                  <c:v>1.0007492925198975</c:v>
                </c:pt>
                <c:pt idx="342">
                  <c:v>1.000667460349135</c:v>
                </c:pt>
                <c:pt idx="343">
                  <c:v>1.0007119728628318</c:v>
                </c:pt>
                <c:pt idx="344">
                  <c:v>1.0009323602754623</c:v>
                </c:pt>
                <c:pt idx="345">
                  <c:v>1.0008707763563374</c:v>
                </c:pt>
                <c:pt idx="346">
                  <c:v>1.0009846868161885</c:v>
                </c:pt>
                <c:pt idx="347">
                  <c:v>1.0009378540278655</c:v>
                </c:pt>
                <c:pt idx="348">
                  <c:v>1.0009804261546831</c:v>
                </c:pt>
                <c:pt idx="349">
                  <c:v>1.0009341007054509</c:v>
                </c:pt>
                <c:pt idx="350">
                  <c:v>1.0008875089189346</c:v>
                </c:pt>
                <c:pt idx="351">
                  <c:v>1.0008389334328289</c:v>
                </c:pt>
                <c:pt idx="352">
                  <c:v>1.0007440856383187</c:v>
                </c:pt>
                <c:pt idx="353">
                  <c:v>1.0007009195062211</c:v>
                </c:pt>
                <c:pt idx="354">
                  <c:v>1.0007326604575921</c:v>
                </c:pt>
                <c:pt idx="355">
                  <c:v>1.0007314257327535</c:v>
                </c:pt>
                <c:pt idx="356">
                  <c:v>1.0006952647049536</c:v>
                </c:pt>
                <c:pt idx="357">
                  <c:v>1.0006730835266833</c:v>
                </c:pt>
                <c:pt idx="358">
                  <c:v>1.0006675785821297</c:v>
                </c:pt>
                <c:pt idx="359">
                  <c:v>1.0005230577609558</c:v>
                </c:pt>
                <c:pt idx="360">
                  <c:v>1.0005149728023928</c:v>
                </c:pt>
                <c:pt idx="361">
                  <c:v>1.0006200984165996</c:v>
                </c:pt>
                <c:pt idx="362">
                  <c:v>1.0006410360698892</c:v>
                </c:pt>
                <c:pt idx="363">
                  <c:v>1.0004442656981738</c:v>
                </c:pt>
                <c:pt idx="364">
                  <c:v>1.0005818113610143</c:v>
                </c:pt>
                <c:pt idx="365">
                  <c:v>1.0005514094948806</c:v>
                </c:pt>
                <c:pt idx="366">
                  <c:v>1.0006069872682213</c:v>
                </c:pt>
                <c:pt idx="367">
                  <c:v>1.0005834902588486</c:v>
                </c:pt>
                <c:pt idx="368">
                  <c:v>1.0004922196114021</c:v>
                </c:pt>
                <c:pt idx="369">
                  <c:v>1.0005919214421426</c:v>
                </c:pt>
                <c:pt idx="370">
                  <c:v>1.0004830665887747</c:v>
                </c:pt>
                <c:pt idx="371">
                  <c:v>1.0005665900726781</c:v>
                </c:pt>
                <c:pt idx="372">
                  <c:v>1.0006213516530573</c:v>
                </c:pt>
                <c:pt idx="373">
                  <c:v>1.000806171395801</c:v>
                </c:pt>
                <c:pt idx="374">
                  <c:v>1.0006643114178948</c:v>
                </c:pt>
                <c:pt idx="375">
                  <c:v>1.0007007444258298</c:v>
                </c:pt>
                <c:pt idx="376">
                  <c:v>1.0007562854200849</c:v>
                </c:pt>
                <c:pt idx="377">
                  <c:v>1.000830405112562</c:v>
                </c:pt>
                <c:pt idx="378">
                  <c:v>1.0006187975480474</c:v>
                </c:pt>
                <c:pt idx="379">
                  <c:v>1.0005390666792842</c:v>
                </c:pt>
                <c:pt idx="380">
                  <c:v>1.0004694707560509</c:v>
                </c:pt>
                <c:pt idx="381">
                  <c:v>1.0004930681022437</c:v>
                </c:pt>
                <c:pt idx="382">
                  <c:v>1.0008267936912887</c:v>
                </c:pt>
                <c:pt idx="383">
                  <c:v>1.0006100767209065</c:v>
                </c:pt>
                <c:pt idx="384">
                  <c:v>1.000394596642229</c:v>
                </c:pt>
                <c:pt idx="385">
                  <c:v>1.0002154021493743</c:v>
                </c:pt>
                <c:pt idx="386">
                  <c:v>1.000131925034399</c:v>
                </c:pt>
                <c:pt idx="387">
                  <c:v>1.0000579604745947</c:v>
                </c:pt>
                <c:pt idx="388">
                  <c:v>0.99989273104780307</c:v>
                </c:pt>
                <c:pt idx="389">
                  <c:v>0.99980053491989718</c:v>
                </c:pt>
                <c:pt idx="390">
                  <c:v>0.99960565154011416</c:v>
                </c:pt>
                <c:pt idx="391">
                  <c:v>0.99968477835628589</c:v>
                </c:pt>
                <c:pt idx="392">
                  <c:v>0.99975467469060186</c:v>
                </c:pt>
                <c:pt idx="393">
                  <c:v>0.99952279737007788</c:v>
                </c:pt>
                <c:pt idx="394">
                  <c:v>0.99942524859921411</c:v>
                </c:pt>
                <c:pt idx="395">
                  <c:v>0.99925792408647551</c:v>
                </c:pt>
                <c:pt idx="396">
                  <c:v>0.99928945980747808</c:v>
                </c:pt>
                <c:pt idx="397">
                  <c:v>0.99935247106206238</c:v>
                </c:pt>
                <c:pt idx="398">
                  <c:v>0.99912457308075775</c:v>
                </c:pt>
                <c:pt idx="399">
                  <c:v>0.99924870518234399</c:v>
                </c:pt>
                <c:pt idx="400">
                  <c:v>0.99932951957909666</c:v>
                </c:pt>
                <c:pt idx="401">
                  <c:v>0.99954996060701451</c:v>
                </c:pt>
                <c:pt idx="402">
                  <c:v>0.99950415010578431</c:v>
                </c:pt>
                <c:pt idx="403">
                  <c:v>0.999524315731248</c:v>
                </c:pt>
                <c:pt idx="404">
                  <c:v>0.99969273765667832</c:v>
                </c:pt>
                <c:pt idx="405">
                  <c:v>0.99979492439367834</c:v>
                </c:pt>
                <c:pt idx="406">
                  <c:v>0.99985864744199726</c:v>
                </c:pt>
                <c:pt idx="407">
                  <c:v>0.99978973506739266</c:v>
                </c:pt>
                <c:pt idx="408">
                  <c:v>0.99976359080517663</c:v>
                </c:pt>
                <c:pt idx="409">
                  <c:v>0.99971381344966193</c:v>
                </c:pt>
                <c:pt idx="410">
                  <c:v>0.99967848751541688</c:v>
                </c:pt>
                <c:pt idx="411">
                  <c:v>0.99968448500029639</c:v>
                </c:pt>
                <c:pt idx="412">
                  <c:v>0.99974717567602622</c:v>
                </c:pt>
                <c:pt idx="413">
                  <c:v>0.99948135258733961</c:v>
                </c:pt>
                <c:pt idx="414">
                  <c:v>0.99950730219631001</c:v>
                </c:pt>
                <c:pt idx="415">
                  <c:v>0.99969949374108458</c:v>
                </c:pt>
                <c:pt idx="416">
                  <c:v>0.99967117657168125</c:v>
                </c:pt>
                <c:pt idx="417">
                  <c:v>0.99953872002221045</c:v>
                </c:pt>
                <c:pt idx="418">
                  <c:v>0.99975067520556737</c:v>
                </c:pt>
                <c:pt idx="419">
                  <c:v>0.99969077347904389</c:v>
                </c:pt>
                <c:pt idx="420">
                  <c:v>0.99979970054172362</c:v>
                </c:pt>
                <c:pt idx="421">
                  <c:v>0.99952920752244068</c:v>
                </c:pt>
                <c:pt idx="422">
                  <c:v>0.99949284754838175</c:v>
                </c:pt>
                <c:pt idx="423">
                  <c:v>0.99961891095471178</c:v>
                </c:pt>
                <c:pt idx="424">
                  <c:v>0.99926950127542868</c:v>
                </c:pt>
                <c:pt idx="425">
                  <c:v>0.99937420545587219</c:v>
                </c:pt>
                <c:pt idx="426">
                  <c:v>0.9993237707186321</c:v>
                </c:pt>
                <c:pt idx="427">
                  <c:v>0.99935091685005484</c:v>
                </c:pt>
                <c:pt idx="428">
                  <c:v>0.99943213446224943</c:v>
                </c:pt>
                <c:pt idx="429">
                  <c:v>0.9992339710610959</c:v>
                </c:pt>
                <c:pt idx="430">
                  <c:v>0.99922869986682861</c:v>
                </c:pt>
                <c:pt idx="431">
                  <c:v>0.99940670122395336</c:v>
                </c:pt>
                <c:pt idx="432">
                  <c:v>0.99928996488037269</c:v>
                </c:pt>
                <c:pt idx="433">
                  <c:v>0.9991502670703295</c:v>
                </c:pt>
                <c:pt idx="434">
                  <c:v>0.99933569048858828</c:v>
                </c:pt>
                <c:pt idx="435">
                  <c:v>0.99929760581698157</c:v>
                </c:pt>
                <c:pt idx="436">
                  <c:v>0.99929041145199271</c:v>
                </c:pt>
                <c:pt idx="437">
                  <c:v>0.99912484903977805</c:v>
                </c:pt>
                <c:pt idx="438">
                  <c:v>0.99915976330630962</c:v>
                </c:pt>
                <c:pt idx="439">
                  <c:v>0.99903425735288498</c:v>
                </c:pt>
                <c:pt idx="440">
                  <c:v>0.99908839547634065</c:v>
                </c:pt>
                <c:pt idx="441">
                  <c:v>0.99911693043192085</c:v>
                </c:pt>
                <c:pt idx="442">
                  <c:v>0.99896439344533561</c:v>
                </c:pt>
                <c:pt idx="443">
                  <c:v>0.99900306510062742</c:v>
                </c:pt>
                <c:pt idx="444">
                  <c:v>0.99915822564673873</c:v>
                </c:pt>
                <c:pt idx="445">
                  <c:v>0.99907020112968759</c:v>
                </c:pt>
                <c:pt idx="446">
                  <c:v>0.9989603325689389</c:v>
                </c:pt>
                <c:pt idx="447">
                  <c:v>0.99888018025519476</c:v>
                </c:pt>
                <c:pt idx="448">
                  <c:v>0.99886547256441038</c:v>
                </c:pt>
                <c:pt idx="449">
                  <c:v>0.99871240449289678</c:v>
                </c:pt>
                <c:pt idx="450">
                  <c:v>0.99864121586445509</c:v>
                </c:pt>
                <c:pt idx="451">
                  <c:v>0.99872130889567934</c:v>
                </c:pt>
                <c:pt idx="452">
                  <c:v>0.99881671553038598</c:v>
                </c:pt>
                <c:pt idx="453">
                  <c:v>0.99897062339186715</c:v>
                </c:pt>
                <c:pt idx="454">
                  <c:v>0.99873716671307178</c:v>
                </c:pt>
                <c:pt idx="455">
                  <c:v>0.99871437490092785</c:v>
                </c:pt>
                <c:pt idx="456">
                  <c:v>0.99861867907757063</c:v>
                </c:pt>
                <c:pt idx="457">
                  <c:v>0.99872557191401601</c:v>
                </c:pt>
                <c:pt idx="458">
                  <c:v>0.99888227648444594</c:v>
                </c:pt>
                <c:pt idx="459">
                  <c:v>0.99891482121579578</c:v>
                </c:pt>
                <c:pt idx="460">
                  <c:v>0.99869575623846019</c:v>
                </c:pt>
                <c:pt idx="461">
                  <c:v>0.99888591377567093</c:v>
                </c:pt>
                <c:pt idx="462">
                  <c:v>0.99907522598512366</c:v>
                </c:pt>
                <c:pt idx="463">
                  <c:v>0.99926376018315066</c:v>
                </c:pt>
                <c:pt idx="464">
                  <c:v>0.99938378681714757</c:v>
                </c:pt>
                <c:pt idx="465">
                  <c:v>0.99938607885072273</c:v>
                </c:pt>
                <c:pt idx="466">
                  <c:v>0.99946718325290163</c:v>
                </c:pt>
                <c:pt idx="467">
                  <c:v>0.99961156349805869</c:v>
                </c:pt>
                <c:pt idx="468">
                  <c:v>0.99962890065723109</c:v>
                </c:pt>
                <c:pt idx="469">
                  <c:v>0.99946815685086454</c:v>
                </c:pt>
                <c:pt idx="470">
                  <c:v>0.99921935783319604</c:v>
                </c:pt>
                <c:pt idx="471">
                  <c:v>0.99909674878158894</c:v>
                </c:pt>
                <c:pt idx="472">
                  <c:v>0.99913164116027797</c:v>
                </c:pt>
                <c:pt idx="473">
                  <c:v>0.99897283041017793</c:v>
                </c:pt>
                <c:pt idx="474">
                  <c:v>0.99927105929964943</c:v>
                </c:pt>
                <c:pt idx="475">
                  <c:v>0.99947685793795249</c:v>
                </c:pt>
                <c:pt idx="476">
                  <c:v>0.99941221043102446</c:v>
                </c:pt>
                <c:pt idx="477">
                  <c:v>0.99936879446860449</c:v>
                </c:pt>
                <c:pt idx="478">
                  <c:v>0.99942417281422335</c:v>
                </c:pt>
                <c:pt idx="479">
                  <c:v>0.9994131009808267</c:v>
                </c:pt>
                <c:pt idx="480">
                  <c:v>0.99955946492742576</c:v>
                </c:pt>
                <c:pt idx="481">
                  <c:v>0.99950951492348894</c:v>
                </c:pt>
                <c:pt idx="482">
                  <c:v>0.99967363480889737</c:v>
                </c:pt>
                <c:pt idx="483">
                  <c:v>0.99951916673645991</c:v>
                </c:pt>
                <c:pt idx="484">
                  <c:v>0.99968078566815866</c:v>
                </c:pt>
                <c:pt idx="485">
                  <c:v>0.99993937976004355</c:v>
                </c:pt>
                <c:pt idx="486">
                  <c:v>0.99967512719994389</c:v>
                </c:pt>
                <c:pt idx="487">
                  <c:v>0.99990325850320139</c:v>
                </c:pt>
                <c:pt idx="488">
                  <c:v>0.99997883792946962</c:v>
                </c:pt>
                <c:pt idx="489">
                  <c:v>0.99986076235690202</c:v>
                </c:pt>
                <c:pt idx="490">
                  <c:v>0.99989475009636952</c:v>
                </c:pt>
                <c:pt idx="491">
                  <c:v>0.99982654323349163</c:v>
                </c:pt>
                <c:pt idx="492">
                  <c:v>0.99986863554193206</c:v>
                </c:pt>
                <c:pt idx="493">
                  <c:v>1.0000350272713863</c:v>
                </c:pt>
                <c:pt idx="494">
                  <c:v>1.0001660325783863</c:v>
                </c:pt>
                <c:pt idx="495">
                  <c:v>1.0004520593989463</c:v>
                </c:pt>
                <c:pt idx="496">
                  <c:v>1.0002285398105097</c:v>
                </c:pt>
                <c:pt idx="497">
                  <c:v>1.0001539015738694</c:v>
                </c:pt>
                <c:pt idx="498">
                  <c:v>1.0000100287710727</c:v>
                </c:pt>
                <c:pt idx="499">
                  <c:v>1.0000754477603706</c:v>
                </c:pt>
                <c:pt idx="500">
                  <c:v>1.0001823672030847</c:v>
                </c:pt>
                <c:pt idx="501">
                  <c:v>1.0003360162271826</c:v>
                </c:pt>
                <c:pt idx="502">
                  <c:v>1.0002172156016595</c:v>
                </c:pt>
                <c:pt idx="503">
                  <c:v>1.0003968334425479</c:v>
                </c:pt>
                <c:pt idx="504">
                  <c:v>1.0001713184062129</c:v>
                </c:pt>
                <c:pt idx="505">
                  <c:v>1.0002359997773587</c:v>
                </c:pt>
                <c:pt idx="506">
                  <c:v>1.0003083047395163</c:v>
                </c:pt>
                <c:pt idx="507">
                  <c:v>1.0003692480885742</c:v>
                </c:pt>
                <c:pt idx="508">
                  <c:v>1.000465088723981</c:v>
                </c:pt>
                <c:pt idx="509">
                  <c:v>1.0003778982400711</c:v>
                </c:pt>
                <c:pt idx="510">
                  <c:v>1.0003815789512183</c:v>
                </c:pt>
                <c:pt idx="511">
                  <c:v>1.0003341734834594</c:v>
                </c:pt>
                <c:pt idx="512">
                  <c:v>1.0004842515179888</c:v>
                </c:pt>
                <c:pt idx="513">
                  <c:v>1.0002755673662287</c:v>
                </c:pt>
                <c:pt idx="514">
                  <c:v>1.0003689536690565</c:v>
                </c:pt>
                <c:pt idx="515">
                  <c:v>1.0001080119505714</c:v>
                </c:pt>
                <c:pt idx="516">
                  <c:v>1.000034111424333</c:v>
                </c:pt>
                <c:pt idx="517">
                  <c:v>1.0002350260249031</c:v>
                </c:pt>
                <c:pt idx="518">
                  <c:v>1.0000602125832732</c:v>
                </c:pt>
                <c:pt idx="519">
                  <c:v>1.0001604054039648</c:v>
                </c:pt>
                <c:pt idx="520">
                  <c:v>0.99995749433562797</c:v>
                </c:pt>
                <c:pt idx="521">
                  <c:v>0.99998304597884025</c:v>
                </c:pt>
                <c:pt idx="522">
                  <c:v>1.0000040962704926</c:v>
                </c:pt>
                <c:pt idx="523">
                  <c:v>0.99999851887510549</c:v>
                </c:pt>
                <c:pt idx="524">
                  <c:v>1.0003167557779644</c:v>
                </c:pt>
                <c:pt idx="525">
                  <c:v>1.0002202809087273</c:v>
                </c:pt>
                <c:pt idx="526">
                  <c:v>1.0001891697698848</c:v>
                </c:pt>
                <c:pt idx="527">
                  <c:v>1.0000584222693538</c:v>
                </c:pt>
                <c:pt idx="528">
                  <c:v>0.99998269896190539</c:v>
                </c:pt>
                <c:pt idx="529">
                  <c:v>1.0000780567446179</c:v>
                </c:pt>
                <c:pt idx="530">
                  <c:v>0.99998614020581167</c:v>
                </c:pt>
                <c:pt idx="531">
                  <c:v>0.99994276580257246</c:v>
                </c:pt>
                <c:pt idx="532">
                  <c:v>0.99990201890314512</c:v>
                </c:pt>
                <c:pt idx="533">
                  <c:v>0.99978206953966653</c:v>
                </c:pt>
                <c:pt idx="534">
                  <c:v>0.99963157361527599</c:v>
                </c:pt>
                <c:pt idx="535">
                  <c:v>0.99984216320772312</c:v>
                </c:pt>
                <c:pt idx="536">
                  <c:v>0.99956903244050488</c:v>
                </c:pt>
                <c:pt idx="537">
                  <c:v>0.99936988461523013</c:v>
                </c:pt>
                <c:pt idx="538">
                  <c:v>0.99904830563561575</c:v>
                </c:pt>
                <c:pt idx="539">
                  <c:v>0.99904867594817526</c:v>
                </c:pt>
                <c:pt idx="540">
                  <c:v>0.99913537955641252</c:v>
                </c:pt>
                <c:pt idx="541">
                  <c:v>0.99900722464681291</c:v>
                </c:pt>
                <c:pt idx="542">
                  <c:v>0.99871757593363497</c:v>
                </c:pt>
                <c:pt idx="543">
                  <c:v>0.99878712014734305</c:v>
                </c:pt>
                <c:pt idx="544">
                  <c:v>0.99893461497936065</c:v>
                </c:pt>
                <c:pt idx="545">
                  <c:v>0.99882541444641859</c:v>
                </c:pt>
                <c:pt idx="546">
                  <c:v>0.99878105777038007</c:v>
                </c:pt>
                <c:pt idx="547">
                  <c:v>0.99880755625684048</c:v>
                </c:pt>
                <c:pt idx="548">
                  <c:v>0.99885764277433908</c:v>
                </c:pt>
                <c:pt idx="549">
                  <c:v>0.99888394582612405</c:v>
                </c:pt>
                <c:pt idx="550">
                  <c:v>0.99888919336979887</c:v>
                </c:pt>
                <c:pt idx="551">
                  <c:v>0.99879495755247616</c:v>
                </c:pt>
                <c:pt idx="552">
                  <c:v>0.99887052289372025</c:v>
                </c:pt>
                <c:pt idx="553">
                  <c:v>0.99886748028493</c:v>
                </c:pt>
                <c:pt idx="554">
                  <c:v>0.99894924614173319</c:v>
                </c:pt>
                <c:pt idx="555">
                  <c:v>0.99903795312451016</c:v>
                </c:pt>
                <c:pt idx="556">
                  <c:v>0.9989306363257392</c:v>
                </c:pt>
                <c:pt idx="557">
                  <c:v>0.99895095471925832</c:v>
                </c:pt>
                <c:pt idx="558">
                  <c:v>0.99891816304183556</c:v>
                </c:pt>
                <c:pt idx="559">
                  <c:v>0.99878178921094574</c:v>
                </c:pt>
                <c:pt idx="560">
                  <c:v>0.99886543183168608</c:v>
                </c:pt>
                <c:pt idx="561">
                  <c:v>0.9988056633648057</c:v>
                </c:pt>
                <c:pt idx="562">
                  <c:v>0.99884990600278734</c:v>
                </c:pt>
                <c:pt idx="563">
                  <c:v>0.99851285343850349</c:v>
                </c:pt>
                <c:pt idx="564">
                  <c:v>0.99836196493451967</c:v>
                </c:pt>
                <c:pt idx="565">
                  <c:v>0.99854188892853579</c:v>
                </c:pt>
                <c:pt idx="566">
                  <c:v>0.99861920912456903</c:v>
                </c:pt>
                <c:pt idx="567">
                  <c:v>0.99843533106009708</c:v>
                </c:pt>
                <c:pt idx="568">
                  <c:v>0.99875608832053031</c:v>
                </c:pt>
                <c:pt idx="569">
                  <c:v>0.99873557668346813</c:v>
                </c:pt>
                <c:pt idx="570">
                  <c:v>0.99886274405337427</c:v>
                </c:pt>
                <c:pt idx="571">
                  <c:v>0.99883682067453694</c:v>
                </c:pt>
                <c:pt idx="572">
                  <c:v>0.99911171145047117</c:v>
                </c:pt>
                <c:pt idx="573">
                  <c:v>0.99885059924146691</c:v>
                </c:pt>
                <c:pt idx="574">
                  <c:v>0.99848439165170566</c:v>
                </c:pt>
                <c:pt idx="575">
                  <c:v>0.99841544891007272</c:v>
                </c:pt>
                <c:pt idx="576">
                  <c:v>0.99853253671899889</c:v>
                </c:pt>
                <c:pt idx="577">
                  <c:v>0.99852982616721864</c:v>
                </c:pt>
                <c:pt idx="578">
                  <c:v>0.99874892964544792</c:v>
                </c:pt>
                <c:pt idx="579">
                  <c:v>0.99860763715182566</c:v>
                </c:pt>
                <c:pt idx="580">
                  <c:v>0.99856572236241714</c:v>
                </c:pt>
                <c:pt idx="581">
                  <c:v>0.99879313543564363</c:v>
                </c:pt>
                <c:pt idx="582">
                  <c:v>0.99886936282663508</c:v>
                </c:pt>
                <c:pt idx="583">
                  <c:v>0.99904050901264785</c:v>
                </c:pt>
                <c:pt idx="584">
                  <c:v>0.9989512964231011</c:v>
                </c:pt>
                <c:pt idx="585">
                  <c:v>0.99856241861565898</c:v>
                </c:pt>
                <c:pt idx="586">
                  <c:v>0.99852680455494325</c:v>
                </c:pt>
                <c:pt idx="587">
                  <c:v>0.9987313568079994</c:v>
                </c:pt>
                <c:pt idx="588">
                  <c:v>0.99847893962100187</c:v>
                </c:pt>
                <c:pt idx="589">
                  <c:v>0.99864944020467816</c:v>
                </c:pt>
                <c:pt idx="590">
                  <c:v>0.99864844464957303</c:v>
                </c:pt>
                <c:pt idx="591">
                  <c:v>0.99858714839818608</c:v>
                </c:pt>
                <c:pt idx="592">
                  <c:v>0.99868294737334717</c:v>
                </c:pt>
                <c:pt idx="593">
                  <c:v>0.99851280208881099</c:v>
                </c:pt>
                <c:pt idx="594">
                  <c:v>0.99826934471070283</c:v>
                </c:pt>
                <c:pt idx="595">
                  <c:v>0.99849202801041992</c:v>
                </c:pt>
                <c:pt idx="596">
                  <c:v>0.99822817608967196</c:v>
                </c:pt>
                <c:pt idx="597">
                  <c:v>0.99840464690845832</c:v>
                </c:pt>
                <c:pt idx="598">
                  <c:v>0.99839925567846988</c:v>
                </c:pt>
                <c:pt idx="599">
                  <c:v>0.99838617055821088</c:v>
                </c:pt>
                <c:pt idx="600">
                  <c:v>0.99818047055873571</c:v>
                </c:pt>
                <c:pt idx="601">
                  <c:v>0.99789018603099522</c:v>
                </c:pt>
                <c:pt idx="602">
                  <c:v>0.9979616464425195</c:v>
                </c:pt>
                <c:pt idx="603">
                  <c:v>0.99780586121102766</c:v>
                </c:pt>
                <c:pt idx="604">
                  <c:v>0.99785309209751527</c:v>
                </c:pt>
                <c:pt idx="605">
                  <c:v>0.99792301582193343</c:v>
                </c:pt>
                <c:pt idx="606">
                  <c:v>0.9977725901532305</c:v>
                </c:pt>
                <c:pt idx="607">
                  <c:v>0.99763676965612613</c:v>
                </c:pt>
                <c:pt idx="608">
                  <c:v>0.99754495219193551</c:v>
                </c:pt>
                <c:pt idx="609">
                  <c:v>0.99749387309273196</c:v>
                </c:pt>
                <c:pt idx="610">
                  <c:v>0.99749042933023113</c:v>
                </c:pt>
                <c:pt idx="611">
                  <c:v>0.99762865567066594</c:v>
                </c:pt>
                <c:pt idx="612">
                  <c:v>0.99785608153677441</c:v>
                </c:pt>
                <c:pt idx="613">
                  <c:v>0.99792785537886841</c:v>
                </c:pt>
                <c:pt idx="614">
                  <c:v>0.99808463311979478</c:v>
                </c:pt>
                <c:pt idx="615">
                  <c:v>0.99814870641216413</c:v>
                </c:pt>
                <c:pt idx="616">
                  <c:v>0.99793460542473511</c:v>
                </c:pt>
                <c:pt idx="617">
                  <c:v>0.99803387585700254</c:v>
                </c:pt>
                <c:pt idx="618">
                  <c:v>0.99806450750203557</c:v>
                </c:pt>
                <c:pt idx="619">
                  <c:v>0.99818789124428742</c:v>
                </c:pt>
                <c:pt idx="620">
                  <c:v>0.99825064633378346</c:v>
                </c:pt>
                <c:pt idx="621">
                  <c:v>0.99870486305195616</c:v>
                </c:pt>
                <c:pt idx="622">
                  <c:v>0.99879624779377729</c:v>
                </c:pt>
                <c:pt idx="623">
                  <c:v>0.99919033946850944</c:v>
                </c:pt>
                <c:pt idx="624">
                  <c:v>0.99898700686024811</c:v>
                </c:pt>
                <c:pt idx="625">
                  <c:v>0.99901229189685337</c:v>
                </c:pt>
                <c:pt idx="626">
                  <c:v>0.99879109511182274</c:v>
                </c:pt>
                <c:pt idx="627">
                  <c:v>0.99889544838701261</c:v>
                </c:pt>
                <c:pt idx="628">
                  <c:v>0.99909513038878484</c:v>
                </c:pt>
                <c:pt idx="629">
                  <c:v>0.99947825634059417</c:v>
                </c:pt>
                <c:pt idx="630">
                  <c:v>0.99972040760166681</c:v>
                </c:pt>
                <c:pt idx="631">
                  <c:v>0.99967386490925914</c:v>
                </c:pt>
                <c:pt idx="632">
                  <c:v>0.99942196325593957</c:v>
                </c:pt>
                <c:pt idx="633">
                  <c:v>0.99969403153426051</c:v>
                </c:pt>
                <c:pt idx="634">
                  <c:v>0.99991646157771541</c:v>
                </c:pt>
                <c:pt idx="635">
                  <c:v>0.99965235558743193</c:v>
                </c:pt>
                <c:pt idx="636">
                  <c:v>0.999705440111199</c:v>
                </c:pt>
                <c:pt idx="637">
                  <c:v>0.99957741922118337</c:v>
                </c:pt>
                <c:pt idx="638">
                  <c:v>0.99935903946643456</c:v>
                </c:pt>
                <c:pt idx="639">
                  <c:v>0.99938246443992274</c:v>
                </c:pt>
                <c:pt idx="640">
                  <c:v>0.99917474558531072</c:v>
                </c:pt>
                <c:pt idx="641">
                  <c:v>0.99931746353715445</c:v>
                </c:pt>
                <c:pt idx="642">
                  <c:v>0.99952554374916269</c:v>
                </c:pt>
                <c:pt idx="643">
                  <c:v>0.99946805129553951</c:v>
                </c:pt>
                <c:pt idx="644">
                  <c:v>0.99946444556299885</c:v>
                </c:pt>
                <c:pt idx="645">
                  <c:v>0.9995006735590497</c:v>
                </c:pt>
                <c:pt idx="646">
                  <c:v>0.99911346451700034</c:v>
                </c:pt>
                <c:pt idx="647">
                  <c:v>0.99889481904185107</c:v>
                </c:pt>
                <c:pt idx="648">
                  <c:v>0.99877606862459178</c:v>
                </c:pt>
                <c:pt idx="649">
                  <c:v>0.9988474642051518</c:v>
                </c:pt>
                <c:pt idx="650">
                  <c:v>0.9990723649249359</c:v>
                </c:pt>
                <c:pt idx="651">
                  <c:v>0.99918008068683806</c:v>
                </c:pt>
                <c:pt idx="652">
                  <c:v>0.99932328173698615</c:v>
                </c:pt>
                <c:pt idx="653">
                  <c:v>0.99928494278534208</c:v>
                </c:pt>
                <c:pt idx="654">
                  <c:v>0.99927216064592816</c:v>
                </c:pt>
                <c:pt idx="655">
                  <c:v>0.99904031143703786</c:v>
                </c:pt>
                <c:pt idx="656">
                  <c:v>0.99887849398372186</c:v>
                </c:pt>
                <c:pt idx="657">
                  <c:v>0.99884891482160898</c:v>
                </c:pt>
                <c:pt idx="658">
                  <c:v>0.99895002355914797</c:v>
                </c:pt>
                <c:pt idx="659">
                  <c:v>0.99896150318923005</c:v>
                </c:pt>
                <c:pt idx="660">
                  <c:v>0.99869399338120324</c:v>
                </c:pt>
                <c:pt idx="661">
                  <c:v>0.99876596260761308</c:v>
                </c:pt>
                <c:pt idx="662">
                  <c:v>0.99864645680220288</c:v>
                </c:pt>
                <c:pt idx="663">
                  <c:v>0.99876544124375022</c:v>
                </c:pt>
                <c:pt idx="664">
                  <c:v>0.99880376400732318</c:v>
                </c:pt>
                <c:pt idx="665">
                  <c:v>0.99878491725366103</c:v>
                </c:pt>
                <c:pt idx="666">
                  <c:v>0.99898665423051536</c:v>
                </c:pt>
                <c:pt idx="667">
                  <c:v>0.99910123396999828</c:v>
                </c:pt>
                <c:pt idx="668">
                  <c:v>0.99898458103972765</c:v>
                </c:pt>
                <c:pt idx="669">
                  <c:v>0.99902705737254327</c:v>
                </c:pt>
                <c:pt idx="670">
                  <c:v>0.99897932493660602</c:v>
                </c:pt>
                <c:pt idx="671">
                  <c:v>0.99914348498849082</c:v>
                </c:pt>
                <c:pt idx="672">
                  <c:v>0.99938621060755473</c:v>
                </c:pt>
                <c:pt idx="673">
                  <c:v>0.99940532265927995</c:v>
                </c:pt>
                <c:pt idx="674">
                  <c:v>0.99932935079145202</c:v>
                </c:pt>
                <c:pt idx="675">
                  <c:v>0.99951977239412815</c:v>
                </c:pt>
                <c:pt idx="676">
                  <c:v>0.99938887512670138</c:v>
                </c:pt>
                <c:pt idx="677">
                  <c:v>0.99914730913041239</c:v>
                </c:pt>
                <c:pt idx="678">
                  <c:v>0.99900386543282005</c:v>
                </c:pt>
                <c:pt idx="679">
                  <c:v>0.99906816117970387</c:v>
                </c:pt>
                <c:pt idx="680">
                  <c:v>0.9990231515461655</c:v>
                </c:pt>
                <c:pt idx="681">
                  <c:v>0.99891263893389792</c:v>
                </c:pt>
                <c:pt idx="682">
                  <c:v>0.99882367602098798</c:v>
                </c:pt>
                <c:pt idx="683">
                  <c:v>0.99913649683590222</c:v>
                </c:pt>
                <c:pt idx="684">
                  <c:v>0.99888042784729913</c:v>
                </c:pt>
                <c:pt idx="685">
                  <c:v>0.99891187153429983</c:v>
                </c:pt>
                <c:pt idx="686">
                  <c:v>0.99861847868074194</c:v>
                </c:pt>
                <c:pt idx="687">
                  <c:v>0.9986634859869773</c:v>
                </c:pt>
                <c:pt idx="688">
                  <c:v>0.9985337082418364</c:v>
                </c:pt>
                <c:pt idx="689">
                  <c:v>0.99878435361800544</c:v>
                </c:pt>
                <c:pt idx="690">
                  <c:v>0.99866326166619379</c:v>
                </c:pt>
                <c:pt idx="691">
                  <c:v>0.99884940114811605</c:v>
                </c:pt>
                <c:pt idx="692">
                  <c:v>0.99882638072288987</c:v>
                </c:pt>
                <c:pt idx="693">
                  <c:v>0.99870704285884249</c:v>
                </c:pt>
                <c:pt idx="694">
                  <c:v>0.99876201344726667</c:v>
                </c:pt>
                <c:pt idx="695">
                  <c:v>0.99877205829624383</c:v>
                </c:pt>
                <c:pt idx="696">
                  <c:v>0.99870784936018209</c:v>
                </c:pt>
                <c:pt idx="697">
                  <c:v>0.99854257762979337</c:v>
                </c:pt>
                <c:pt idx="698">
                  <c:v>0.9985795790306573</c:v>
                </c:pt>
                <c:pt idx="699">
                  <c:v>0.99822712613866249</c:v>
                </c:pt>
                <c:pt idx="700">
                  <c:v>0.99818652643954309</c:v>
                </c:pt>
                <c:pt idx="701">
                  <c:v>0.99822494420430907</c:v>
                </c:pt>
                <c:pt idx="702">
                  <c:v>0.99819345541525106</c:v>
                </c:pt>
                <c:pt idx="703">
                  <c:v>0.99841302459639369</c:v>
                </c:pt>
                <c:pt idx="704">
                  <c:v>0.99831260612648531</c:v>
                </c:pt>
                <c:pt idx="705">
                  <c:v>0.99848271241041353</c:v>
                </c:pt>
                <c:pt idx="706">
                  <c:v>0.99854605451535705</c:v>
                </c:pt>
                <c:pt idx="707">
                  <c:v>0.99833174845449124</c:v>
                </c:pt>
                <c:pt idx="708">
                  <c:v>0.9983982971481451</c:v>
                </c:pt>
                <c:pt idx="709">
                  <c:v>0.99820521154324238</c:v>
                </c:pt>
                <c:pt idx="710">
                  <c:v>0.99819846667349266</c:v>
                </c:pt>
                <c:pt idx="711">
                  <c:v>0.9980042343767862</c:v>
                </c:pt>
                <c:pt idx="712">
                  <c:v>0.99801422442823517</c:v>
                </c:pt>
                <c:pt idx="713">
                  <c:v>0.99778124283923386</c:v>
                </c:pt>
                <c:pt idx="714">
                  <c:v>0.99762907110279941</c:v>
                </c:pt>
                <c:pt idx="715">
                  <c:v>0.99770364081141494</c:v>
                </c:pt>
                <c:pt idx="716">
                  <c:v>0.99781577717028391</c:v>
                </c:pt>
                <c:pt idx="717">
                  <c:v>0.99796352682450595</c:v>
                </c:pt>
                <c:pt idx="718">
                  <c:v>0.9977856689402349</c:v>
                </c:pt>
                <c:pt idx="719">
                  <c:v>0.9980779070449991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Output!$L$12:$L$731</c:f>
              <c:numCache>
                <c:formatCode>General</c:formatCode>
                <c:ptCount val="720"/>
                <c:pt idx="0">
                  <c:v>1.1005599440055995</c:v>
                </c:pt>
                <c:pt idx="1">
                  <c:v>1.1328551935612878</c:v>
                </c:pt>
                <c:pt idx="2">
                  <c:v>1.1500457079236526</c:v>
                </c:pt>
                <c:pt idx="3">
                  <c:v>1.1940756223814271</c:v>
                </c:pt>
                <c:pt idx="4">
                  <c:v>1.1960205226885725</c:v>
                </c:pt>
                <c:pt idx="5">
                  <c:v>1.2194475561791389</c:v>
                </c:pt>
                <c:pt idx="6">
                  <c:v>1.2541548013170962</c:v>
                </c:pt>
                <c:pt idx="7">
                  <c:v>1.3064326666897306</c:v>
                </c:pt>
                <c:pt idx="8">
                  <c:v>1.3303323723957385</c:v>
                </c:pt>
                <c:pt idx="9">
                  <c:v>1.2975848993680161</c:v>
                </c:pt>
                <c:pt idx="10">
                  <c:v>1.3515559417705945</c:v>
                </c:pt>
                <c:pt idx="11">
                  <c:v>1.3435877874379829</c:v>
                </c:pt>
                <c:pt idx="12">
                  <c:v>1.4082553464596201</c:v>
                </c:pt>
                <c:pt idx="13">
                  <c:v>1.4026065647444175</c:v>
                </c:pt>
                <c:pt idx="14">
                  <c:v>1.3937795564904896</c:v>
                </c:pt>
                <c:pt idx="15">
                  <c:v>1.3897791773128985</c:v>
                </c:pt>
                <c:pt idx="16">
                  <c:v>1.4261568849682094</c:v>
                </c:pt>
                <c:pt idx="17">
                  <c:v>1.4593510624834558</c:v>
                </c:pt>
                <c:pt idx="18">
                  <c:v>1.4913783998366097</c:v>
                </c:pt>
                <c:pt idx="19">
                  <c:v>1.4490850714829033</c:v>
                </c:pt>
                <c:pt idx="20">
                  <c:v>1.4631363502898047</c:v>
                </c:pt>
                <c:pt idx="21">
                  <c:v>1.5279038530862425</c:v>
                </c:pt>
                <c:pt idx="22">
                  <c:v>1.5208331409244618</c:v>
                </c:pt>
                <c:pt idx="23">
                  <c:v>1.5114017231580126</c:v>
                </c:pt>
                <c:pt idx="24">
                  <c:v>1.5596947778873116</c:v>
                </c:pt>
                <c:pt idx="25">
                  <c:v>1.5656675043147341</c:v>
                </c:pt>
                <c:pt idx="26">
                  <c:v>1.6220896538458565</c:v>
                </c:pt>
                <c:pt idx="27">
                  <c:v>1.5949187908981539</c:v>
                </c:pt>
                <c:pt idx="28">
                  <c:v>1.6195216201253535</c:v>
                </c:pt>
                <c:pt idx="29">
                  <c:v>1.614457512263209</c:v>
                </c:pt>
                <c:pt idx="30">
                  <c:v>1.6382659854738939</c:v>
                </c:pt>
                <c:pt idx="31">
                  <c:v>1.648434474343893</c:v>
                </c:pt>
                <c:pt idx="32">
                  <c:v>1.7212752952114589</c:v>
                </c:pt>
                <c:pt idx="33">
                  <c:v>1.8043159622767531</c:v>
                </c:pt>
                <c:pt idx="34">
                  <c:v>1.8208490033459801</c:v>
                </c:pt>
                <c:pt idx="35">
                  <c:v>1.8763441850578171</c:v>
                </c:pt>
                <c:pt idx="36">
                  <c:v>1.8383998891377658</c:v>
                </c:pt>
                <c:pt idx="37">
                  <c:v>1.8539393936620912</c:v>
                </c:pt>
                <c:pt idx="38">
                  <c:v>1.9025465970105382</c:v>
                </c:pt>
                <c:pt idx="39">
                  <c:v>1.9544617406493947</c:v>
                </c:pt>
                <c:pt idx="40">
                  <c:v>1.9241660711255109</c:v>
                </c:pt>
                <c:pt idx="41">
                  <c:v>1.8952132136935047</c:v>
                </c:pt>
                <c:pt idx="42">
                  <c:v>1.8992046985733571</c:v>
                </c:pt>
                <c:pt idx="43">
                  <c:v>1.9025387921737809</c:v>
                </c:pt>
                <c:pt idx="44">
                  <c:v>1.9456838084606636</c:v>
                </c:pt>
                <c:pt idx="45">
                  <c:v>1.9142281301572612</c:v>
                </c:pt>
                <c:pt idx="46">
                  <c:v>1.9120162445849711</c:v>
                </c:pt>
                <c:pt idx="47">
                  <c:v>1.8903734799611984</c:v>
                </c:pt>
                <c:pt idx="48">
                  <c:v>1.9246443115339802</c:v>
                </c:pt>
                <c:pt idx="49">
                  <c:v>1.9204880792191614</c:v>
                </c:pt>
                <c:pt idx="50">
                  <c:v>1.9596189882432236</c:v>
                </c:pt>
                <c:pt idx="51">
                  <c:v>1.9837366404191856</c:v>
                </c:pt>
                <c:pt idx="52">
                  <c:v>1.9447755707275274</c:v>
                </c:pt>
                <c:pt idx="53">
                  <c:v>1.9699730128246893</c:v>
                </c:pt>
                <c:pt idx="54">
                  <c:v>2.0146404037344472</c:v>
                </c:pt>
                <c:pt idx="55">
                  <c:v>1.9924462576990964</c:v>
                </c:pt>
                <c:pt idx="56">
                  <c:v>1.9578427003924685</c:v>
                </c:pt>
                <c:pt idx="57">
                  <c:v>1.9422840660489289</c:v>
                </c:pt>
                <c:pt idx="58">
                  <c:v>1.9770195999394657</c:v>
                </c:pt>
                <c:pt idx="59">
                  <c:v>1.953499840451367</c:v>
                </c:pt>
                <c:pt idx="60">
                  <c:v>1.9456788042429454</c:v>
                </c:pt>
                <c:pt idx="61">
                  <c:v>2.0305968265771352</c:v>
                </c:pt>
                <c:pt idx="62">
                  <c:v>2.0384214086132664</c:v>
                </c:pt>
                <c:pt idx="63">
                  <c:v>2.0525586287146598</c:v>
                </c:pt>
                <c:pt idx="64">
                  <c:v>2.0771007716272525</c:v>
                </c:pt>
                <c:pt idx="65">
                  <c:v>2.1031817274379856</c:v>
                </c:pt>
                <c:pt idx="66">
                  <c:v>2.0428518302494898</c:v>
                </c:pt>
                <c:pt idx="67">
                  <c:v>2.0730337288053895</c:v>
                </c:pt>
                <c:pt idx="68">
                  <c:v>2.01508891284386</c:v>
                </c:pt>
                <c:pt idx="69">
                  <c:v>2.0379638064639831</c:v>
                </c:pt>
                <c:pt idx="70">
                  <c:v>2.0627479478197026</c:v>
                </c:pt>
                <c:pt idx="71">
                  <c:v>2.0680537856695218</c:v>
                </c:pt>
                <c:pt idx="72">
                  <c:v>2.0060805736788545</c:v>
                </c:pt>
                <c:pt idx="73">
                  <c:v>1.9793345511789109</c:v>
                </c:pt>
                <c:pt idx="74">
                  <c:v>2.0440501380014235</c:v>
                </c:pt>
                <c:pt idx="75">
                  <c:v>2.0208945142423409</c:v>
                </c:pt>
                <c:pt idx="76">
                  <c:v>2.0136763483752969</c:v>
                </c:pt>
                <c:pt idx="77">
                  <c:v>2.058996023549907</c:v>
                </c:pt>
                <c:pt idx="78">
                  <c:v>2.1078849813995579</c:v>
                </c:pt>
                <c:pt idx="79">
                  <c:v>2.0700137980367175</c:v>
                </c:pt>
                <c:pt idx="80">
                  <c:v>2.0461279798070398</c:v>
                </c:pt>
                <c:pt idx="81">
                  <c:v>2.0331527302075401</c:v>
                </c:pt>
                <c:pt idx="82">
                  <c:v>2.0790705672062382</c:v>
                </c:pt>
                <c:pt idx="83">
                  <c:v>2.0548302085734358</c:v>
                </c:pt>
                <c:pt idx="84">
                  <c:v>2.0364564755362284</c:v>
                </c:pt>
                <c:pt idx="85">
                  <c:v>2.0561636726299355</c:v>
                </c:pt>
                <c:pt idx="86">
                  <c:v>2.0670346833081239</c:v>
                </c:pt>
                <c:pt idx="87">
                  <c:v>2.0591534574626378</c:v>
                </c:pt>
                <c:pt idx="88">
                  <c:v>2.0113672525817261</c:v>
                </c:pt>
                <c:pt idx="89">
                  <c:v>2.0265137514745022</c:v>
                </c:pt>
                <c:pt idx="90">
                  <c:v>2.1363244808348014</c:v>
                </c:pt>
                <c:pt idx="91">
                  <c:v>2.0765564831999912</c:v>
                </c:pt>
                <c:pt idx="92">
                  <c:v>2.0629848622883751</c:v>
                </c:pt>
                <c:pt idx="93">
                  <c:v>2.020020168683148</c:v>
                </c:pt>
                <c:pt idx="94">
                  <c:v>2.028194444387827</c:v>
                </c:pt>
                <c:pt idx="95">
                  <c:v>2.1192683341224337</c:v>
                </c:pt>
                <c:pt idx="96">
                  <c:v>2.1700486243131816</c:v>
                </c:pt>
                <c:pt idx="97">
                  <c:v>2.1993795325238685</c:v>
                </c:pt>
                <c:pt idx="98">
                  <c:v>2.177878041045521</c:v>
                </c:pt>
                <c:pt idx="99">
                  <c:v>2.1318083750672949</c:v>
                </c:pt>
                <c:pt idx="100">
                  <c:v>2.1871608825807618</c:v>
                </c:pt>
                <c:pt idx="101">
                  <c:v>2.186231153456125</c:v>
                </c:pt>
                <c:pt idx="102">
                  <c:v>2.1870454649360034</c:v>
                </c:pt>
                <c:pt idx="103">
                  <c:v>2.1736491433462817</c:v>
                </c:pt>
                <c:pt idx="104">
                  <c:v>2.1667180470987182</c:v>
                </c:pt>
                <c:pt idx="105">
                  <c:v>2.1714872538239431</c:v>
                </c:pt>
                <c:pt idx="106">
                  <c:v>2.1775909804483362</c:v>
                </c:pt>
                <c:pt idx="107">
                  <c:v>2.1324365802478802</c:v>
                </c:pt>
                <c:pt idx="108">
                  <c:v>2.1294728656805546</c:v>
                </c:pt>
                <c:pt idx="109">
                  <c:v>2.1177090454398337</c:v>
                </c:pt>
                <c:pt idx="110">
                  <c:v>2.1606811385760074</c:v>
                </c:pt>
                <c:pt idx="111">
                  <c:v>2.2234188093709366</c:v>
                </c:pt>
                <c:pt idx="112">
                  <c:v>2.2120801388349136</c:v>
                </c:pt>
                <c:pt idx="113">
                  <c:v>2.2141621193240919</c:v>
                </c:pt>
                <c:pt idx="114">
                  <c:v>2.260992282344557</c:v>
                </c:pt>
                <c:pt idx="115">
                  <c:v>2.252490842815821</c:v>
                </c:pt>
                <c:pt idx="116">
                  <c:v>2.2898149877366847</c:v>
                </c:pt>
                <c:pt idx="117">
                  <c:v>2.3230979537899068</c:v>
                </c:pt>
                <c:pt idx="118">
                  <c:v>2.2507433888034338</c:v>
                </c:pt>
                <c:pt idx="119">
                  <c:v>2.2940811023237684</c:v>
                </c:pt>
                <c:pt idx="120">
                  <c:v>2.2714161504229695</c:v>
                </c:pt>
                <c:pt idx="121">
                  <c:v>2.3217102122351654</c:v>
                </c:pt>
                <c:pt idx="122">
                  <c:v>2.3184004958552231</c:v>
                </c:pt>
                <c:pt idx="123">
                  <c:v>2.3373978401319269</c:v>
                </c:pt>
                <c:pt idx="124">
                  <c:v>2.3031725913920478</c:v>
                </c:pt>
                <c:pt idx="125">
                  <c:v>2.4067654366062978</c:v>
                </c:pt>
                <c:pt idx="126">
                  <c:v>2.3875395362710079</c:v>
                </c:pt>
                <c:pt idx="127">
                  <c:v>2.4031381185545104</c:v>
                </c:pt>
                <c:pt idx="128">
                  <c:v>2.420926915368236</c:v>
                </c:pt>
                <c:pt idx="129">
                  <c:v>2.425394518647737</c:v>
                </c:pt>
                <c:pt idx="130">
                  <c:v>2.3981830164866245</c:v>
                </c:pt>
                <c:pt idx="131">
                  <c:v>2.4238126746949313</c:v>
                </c:pt>
                <c:pt idx="132">
                  <c:v>2.4254363494523425</c:v>
                </c:pt>
                <c:pt idx="133">
                  <c:v>2.5151487452380832</c:v>
                </c:pt>
                <c:pt idx="134">
                  <c:v>2.626231515353517</c:v>
                </c:pt>
                <c:pt idx="135">
                  <c:v>2.6419037561704664</c:v>
                </c:pt>
                <c:pt idx="136">
                  <c:v>2.6189116753254646</c:v>
                </c:pt>
                <c:pt idx="137">
                  <c:v>2.5713019364878056</c:v>
                </c:pt>
                <c:pt idx="138">
                  <c:v>2.6477184567812864</c:v>
                </c:pt>
                <c:pt idx="139">
                  <c:v>2.6945521846910134</c:v>
                </c:pt>
                <c:pt idx="140">
                  <c:v>2.7192461754762891</c:v>
                </c:pt>
                <c:pt idx="141">
                  <c:v>2.7601227421761965</c:v>
                </c:pt>
                <c:pt idx="142">
                  <c:v>2.7244753540962718</c:v>
                </c:pt>
                <c:pt idx="143">
                  <c:v>2.7440423400320797</c:v>
                </c:pt>
                <c:pt idx="144">
                  <c:v>2.7303049614613797</c:v>
                </c:pt>
                <c:pt idx="145">
                  <c:v>2.5948788321600933</c:v>
                </c:pt>
                <c:pt idx="146">
                  <c:v>2.6327570637223583</c:v>
                </c:pt>
                <c:pt idx="147">
                  <c:v>2.6161301899477962</c:v>
                </c:pt>
                <c:pt idx="148">
                  <c:v>2.5658794931769209</c:v>
                </c:pt>
                <c:pt idx="149">
                  <c:v>2.7129996965611634</c:v>
                </c:pt>
                <c:pt idx="150">
                  <c:v>2.7715937075818626</c:v>
                </c:pt>
                <c:pt idx="151">
                  <c:v>2.8848958646616425</c:v>
                </c:pt>
                <c:pt idx="152">
                  <c:v>2.8962895052369735</c:v>
                </c:pt>
                <c:pt idx="153">
                  <c:v>2.8574152242588755</c:v>
                </c:pt>
                <c:pt idx="154">
                  <c:v>2.9238730501056773</c:v>
                </c:pt>
                <c:pt idx="155">
                  <c:v>2.8973542298144772</c:v>
                </c:pt>
                <c:pt idx="156">
                  <c:v>2.8661422520160489</c:v>
                </c:pt>
                <c:pt idx="157">
                  <c:v>2.834362850191138</c:v>
                </c:pt>
                <c:pt idx="158">
                  <c:v>2.9540612775366215</c:v>
                </c:pt>
                <c:pt idx="159">
                  <c:v>2.9343572078873512</c:v>
                </c:pt>
                <c:pt idx="160">
                  <c:v>2.9489553352160609</c:v>
                </c:pt>
                <c:pt idx="161">
                  <c:v>3.014103924880958</c:v>
                </c:pt>
                <c:pt idx="162">
                  <c:v>3.0881238567080778</c:v>
                </c:pt>
                <c:pt idx="163">
                  <c:v>3.1511872926381583</c:v>
                </c:pt>
                <c:pt idx="164">
                  <c:v>3.1058251250684989</c:v>
                </c:pt>
                <c:pt idx="165">
                  <c:v>3.1375392746052611</c:v>
                </c:pt>
                <c:pt idx="166">
                  <c:v>3.100224793169017</c:v>
                </c:pt>
                <c:pt idx="167">
                  <c:v>3.1783230589951619</c:v>
                </c:pt>
                <c:pt idx="168">
                  <c:v>3.2185776855876251</c:v>
                </c:pt>
                <c:pt idx="169">
                  <c:v>3.2711989829925598</c:v>
                </c:pt>
                <c:pt idx="170">
                  <c:v>3.1985575144124287</c:v>
                </c:pt>
                <c:pt idx="171">
                  <c:v>3.2821097144361238</c:v>
                </c:pt>
                <c:pt idx="172">
                  <c:v>3.1526003388321202</c:v>
                </c:pt>
                <c:pt idx="173">
                  <c:v>3.2780312517416341</c:v>
                </c:pt>
                <c:pt idx="174">
                  <c:v>3.3247182877360264</c:v>
                </c:pt>
                <c:pt idx="175">
                  <c:v>3.2843379566657118</c:v>
                </c:pt>
                <c:pt idx="176">
                  <c:v>3.2676660480099731</c:v>
                </c:pt>
                <c:pt idx="177">
                  <c:v>3.3684403042281068</c:v>
                </c:pt>
                <c:pt idx="178">
                  <c:v>3.4486142174090464</c:v>
                </c:pt>
                <c:pt idx="179">
                  <c:v>3.4071932033808472</c:v>
                </c:pt>
                <c:pt idx="180">
                  <c:v>3.3294117673711536</c:v>
                </c:pt>
                <c:pt idx="181">
                  <c:v>3.4237396372581248</c:v>
                </c:pt>
                <c:pt idx="182">
                  <c:v>3.4008171153822642</c:v>
                </c:pt>
                <c:pt idx="183">
                  <c:v>3.1971514667303564</c:v>
                </c:pt>
                <c:pt idx="184">
                  <c:v>3.2330682129068431</c:v>
                </c:pt>
                <c:pt idx="185">
                  <c:v>3.2230283728713647</c:v>
                </c:pt>
                <c:pt idx="186">
                  <c:v>3.2569814377411288</c:v>
                </c:pt>
                <c:pt idx="187">
                  <c:v>3.3551021289098841</c:v>
                </c:pt>
                <c:pt idx="188">
                  <c:v>3.4387170578104183</c:v>
                </c:pt>
                <c:pt idx="189">
                  <c:v>3.4141461597945817</c:v>
                </c:pt>
                <c:pt idx="190">
                  <c:v>3.4543257377995973</c:v>
                </c:pt>
                <c:pt idx="191">
                  <c:v>3.4572774259408523</c:v>
                </c:pt>
                <c:pt idx="192">
                  <c:v>3.4811849357963411</c:v>
                </c:pt>
                <c:pt idx="193">
                  <c:v>3.4494371229508149</c:v>
                </c:pt>
                <c:pt idx="194">
                  <c:v>3.5453572142455161</c:v>
                </c:pt>
                <c:pt idx="195">
                  <c:v>3.7096455490687772</c:v>
                </c:pt>
                <c:pt idx="196">
                  <c:v>3.6043926629311702</c:v>
                </c:pt>
                <c:pt idx="197">
                  <c:v>3.6286214984831338</c:v>
                </c:pt>
                <c:pt idx="198">
                  <c:v>3.6487743485766075</c:v>
                </c:pt>
                <c:pt idx="199">
                  <c:v>3.7455506804616445</c:v>
                </c:pt>
                <c:pt idx="200">
                  <c:v>3.6162361065946649</c:v>
                </c:pt>
                <c:pt idx="201">
                  <c:v>3.4873152050594212</c:v>
                </c:pt>
                <c:pt idx="202">
                  <c:v>3.3932780677894123</c:v>
                </c:pt>
                <c:pt idx="203">
                  <c:v>3.4586243676063924</c:v>
                </c:pt>
                <c:pt idx="204">
                  <c:v>3.505103111587053</c:v>
                </c:pt>
                <c:pt idx="205">
                  <c:v>3.448071461680112</c:v>
                </c:pt>
                <c:pt idx="206">
                  <c:v>3.6457294068382184</c:v>
                </c:pt>
                <c:pt idx="207">
                  <c:v>3.5242757876355681</c:v>
                </c:pt>
                <c:pt idx="208">
                  <c:v>3.3203938947790199</c:v>
                </c:pt>
                <c:pt idx="209">
                  <c:v>3.2025143452314748</c:v>
                </c:pt>
                <c:pt idx="210">
                  <c:v>3.1999927204437091</c:v>
                </c:pt>
                <c:pt idx="211">
                  <c:v>3.2962909756390011</c:v>
                </c:pt>
                <c:pt idx="212">
                  <c:v>3.3860250375216143</c:v>
                </c:pt>
                <c:pt idx="213">
                  <c:v>3.3339077552645944</c:v>
                </c:pt>
                <c:pt idx="214">
                  <c:v>3.3758661940180601</c:v>
                </c:pt>
                <c:pt idx="215">
                  <c:v>3.3534426786265388</c:v>
                </c:pt>
                <c:pt idx="216">
                  <c:v>3.2851100577843222</c:v>
                </c:pt>
                <c:pt idx="217">
                  <c:v>3.2817475107352507</c:v>
                </c:pt>
                <c:pt idx="218">
                  <c:v>3.2395124341736046</c:v>
                </c:pt>
                <c:pt idx="219">
                  <c:v>3.2866031781329434</c:v>
                </c:pt>
                <c:pt idx="220">
                  <c:v>3.2844128954465166</c:v>
                </c:pt>
                <c:pt idx="221">
                  <c:v>3.1879214978165629</c:v>
                </c:pt>
                <c:pt idx="222">
                  <c:v>3.1558750104977671</c:v>
                </c:pt>
                <c:pt idx="223">
                  <c:v>3.1840894917138893</c:v>
                </c:pt>
                <c:pt idx="224">
                  <c:v>3.1111332831355987</c:v>
                </c:pt>
                <c:pt idx="225">
                  <c:v>3.0565897784612037</c:v>
                </c:pt>
                <c:pt idx="226">
                  <c:v>3.1225002793471779</c:v>
                </c:pt>
                <c:pt idx="227">
                  <c:v>3.0774341982334938</c:v>
                </c:pt>
                <c:pt idx="228">
                  <c:v>3.1399777574707075</c:v>
                </c:pt>
                <c:pt idx="229">
                  <c:v>3.1404712479348125</c:v>
                </c:pt>
                <c:pt idx="230">
                  <c:v>3.2388165908782445</c:v>
                </c:pt>
                <c:pt idx="231">
                  <c:v>3.1629104988293308</c:v>
                </c:pt>
                <c:pt idx="232">
                  <c:v>3.0566718721675463</c:v>
                </c:pt>
                <c:pt idx="233">
                  <c:v>3.0601018633178718</c:v>
                </c:pt>
                <c:pt idx="234">
                  <c:v>2.9789173561245366</c:v>
                </c:pt>
                <c:pt idx="235">
                  <c:v>3.0204432175254365</c:v>
                </c:pt>
                <c:pt idx="236">
                  <c:v>3.0336113959680606</c:v>
                </c:pt>
                <c:pt idx="237">
                  <c:v>3.1382781829626487</c:v>
                </c:pt>
                <c:pt idx="238">
                  <c:v>3.179611676401279</c:v>
                </c:pt>
                <c:pt idx="239">
                  <c:v>3.3054246177323718</c:v>
                </c:pt>
                <c:pt idx="240">
                  <c:v>3.3293419484319977</c:v>
                </c:pt>
                <c:pt idx="241">
                  <c:v>3.4514023618553433</c:v>
                </c:pt>
                <c:pt idx="242">
                  <c:v>3.4425778205242827</c:v>
                </c:pt>
                <c:pt idx="243">
                  <c:v>3.5232836776182208</c:v>
                </c:pt>
                <c:pt idx="244">
                  <c:v>3.697796945575309</c:v>
                </c:pt>
                <c:pt idx="245">
                  <c:v>3.6483985929649703</c:v>
                </c:pt>
                <c:pt idx="246">
                  <c:v>3.6839411762927319</c:v>
                </c:pt>
                <c:pt idx="247">
                  <c:v>3.7647944630189034</c:v>
                </c:pt>
                <c:pt idx="248">
                  <c:v>3.7915114456562224</c:v>
                </c:pt>
                <c:pt idx="249">
                  <c:v>3.6945846435108609</c:v>
                </c:pt>
                <c:pt idx="250">
                  <c:v>3.7397814395456366</c:v>
                </c:pt>
                <c:pt idx="251">
                  <c:v>3.7472371920819332</c:v>
                </c:pt>
                <c:pt idx="252">
                  <c:v>3.6670999944000036</c:v>
                </c:pt>
                <c:pt idx="253">
                  <c:v>3.6511090547948375</c:v>
                </c:pt>
                <c:pt idx="254">
                  <c:v>3.6625424453256907</c:v>
                </c:pt>
                <c:pt idx="255">
                  <c:v>3.6101759068356509</c:v>
                </c:pt>
                <c:pt idx="256">
                  <c:v>3.6638465270393819</c:v>
                </c:pt>
                <c:pt idx="257">
                  <c:v>3.6671557536260675</c:v>
                </c:pt>
                <c:pt idx="258">
                  <c:v>3.7717427526911194</c:v>
                </c:pt>
                <c:pt idx="259">
                  <c:v>3.9124859006707693</c:v>
                </c:pt>
                <c:pt idx="260">
                  <c:v>3.7659993393665543</c:v>
                </c:pt>
                <c:pt idx="261">
                  <c:v>3.7482976845759746</c:v>
                </c:pt>
                <c:pt idx="262">
                  <c:v>3.8135774099697106</c:v>
                </c:pt>
                <c:pt idx="263">
                  <c:v>3.8351272660013791</c:v>
                </c:pt>
                <c:pt idx="264">
                  <c:v>3.906266999673369</c:v>
                </c:pt>
                <c:pt idx="265">
                  <c:v>4.0160046174544259</c:v>
                </c:pt>
                <c:pt idx="266">
                  <c:v>4.0940108864562834</c:v>
                </c:pt>
                <c:pt idx="267">
                  <c:v>4.0179329589857682</c:v>
                </c:pt>
                <c:pt idx="268">
                  <c:v>4.0932701740473059</c:v>
                </c:pt>
                <c:pt idx="269">
                  <c:v>4.3006853231838305</c:v>
                </c:pt>
                <c:pt idx="270">
                  <c:v>4.3683410018889939</c:v>
                </c:pt>
                <c:pt idx="271">
                  <c:v>4.2063974755686377</c:v>
                </c:pt>
                <c:pt idx="272">
                  <c:v>4.249459297105032</c:v>
                </c:pt>
                <c:pt idx="273">
                  <c:v>4.3854866601313507</c:v>
                </c:pt>
                <c:pt idx="274">
                  <c:v>4.2891329176359454</c:v>
                </c:pt>
                <c:pt idx="275">
                  <c:v>4.2628026897173221</c:v>
                </c:pt>
                <c:pt idx="276">
                  <c:v>4.2749896980929778</c:v>
                </c:pt>
                <c:pt idx="277">
                  <c:v>4.299761618528394</c:v>
                </c:pt>
                <c:pt idx="278">
                  <c:v>4.4034682223703268</c:v>
                </c:pt>
                <c:pt idx="279">
                  <c:v>4.3953264852776961</c:v>
                </c:pt>
                <c:pt idx="280">
                  <c:v>4.335145695587741</c:v>
                </c:pt>
                <c:pt idx="281">
                  <c:v>4.2322641606778193</c:v>
                </c:pt>
                <c:pt idx="282">
                  <c:v>4.2065348901708797</c:v>
                </c:pt>
                <c:pt idx="283">
                  <c:v>4.1655659008382733</c:v>
                </c:pt>
                <c:pt idx="284">
                  <c:v>4.0377431405068576</c:v>
                </c:pt>
                <c:pt idx="285">
                  <c:v>4.1016878520192082</c:v>
                </c:pt>
                <c:pt idx="286">
                  <c:v>4.1664064348597432</c:v>
                </c:pt>
                <c:pt idx="287">
                  <c:v>4.3447922628101159</c:v>
                </c:pt>
                <c:pt idx="288">
                  <c:v>4.4228725163341531</c:v>
                </c:pt>
                <c:pt idx="289">
                  <c:v>4.3282346168843304</c:v>
                </c:pt>
                <c:pt idx="290">
                  <c:v>4.3364770341282268</c:v>
                </c:pt>
                <c:pt idx="291">
                  <c:v>4.3139336761278591</c:v>
                </c:pt>
                <c:pt idx="292">
                  <c:v>4.2837084513102912</c:v>
                </c:pt>
                <c:pt idx="293">
                  <c:v>4.2130832724092953</c:v>
                </c:pt>
                <c:pt idx="294">
                  <c:v>4.0153695381010586</c:v>
                </c:pt>
                <c:pt idx="295">
                  <c:v>4.1309563709490371</c:v>
                </c:pt>
                <c:pt idx="296">
                  <c:v>4.1468383949944947</c:v>
                </c:pt>
                <c:pt idx="297">
                  <c:v>4.0989793444905631</c:v>
                </c:pt>
                <c:pt idx="298">
                  <c:v>4.0593548203694194</c:v>
                </c:pt>
                <c:pt idx="299">
                  <c:v>3.9537109958458241</c:v>
                </c:pt>
                <c:pt idx="300">
                  <c:v>3.9510298613141979</c:v>
                </c:pt>
                <c:pt idx="301">
                  <c:v>4.1167389289096468</c:v>
                </c:pt>
                <c:pt idx="302">
                  <c:v>4.3040592781876654</c:v>
                </c:pt>
                <c:pt idx="303">
                  <c:v>4.0743379328471487</c:v>
                </c:pt>
                <c:pt idx="304">
                  <c:v>4.087768622622475</c:v>
                </c:pt>
                <c:pt idx="305">
                  <c:v>4.0507981399027617</c:v>
                </c:pt>
                <c:pt idx="306">
                  <c:v>4.0009111919687017</c:v>
                </c:pt>
                <c:pt idx="307">
                  <c:v>4.0772772283101952</c:v>
                </c:pt>
                <c:pt idx="308">
                  <c:v>4.1086268567007318</c:v>
                </c:pt>
                <c:pt idx="309">
                  <c:v>4.1174076499814065</c:v>
                </c:pt>
                <c:pt idx="310">
                  <c:v>4.1049652208383245</c:v>
                </c:pt>
                <c:pt idx="311">
                  <c:v>4.1170961361868157</c:v>
                </c:pt>
                <c:pt idx="312">
                  <c:v>4.2461162871858118</c:v>
                </c:pt>
                <c:pt idx="313">
                  <c:v>4.3806273075997693</c:v>
                </c:pt>
                <c:pt idx="314">
                  <c:v>4.4414548031165673</c:v>
                </c:pt>
                <c:pt idx="315">
                  <c:v>4.3410721546472084</c:v>
                </c:pt>
                <c:pt idx="316">
                  <c:v>4.2697575707161928</c:v>
                </c:pt>
                <c:pt idx="317">
                  <c:v>4.290765910155554</c:v>
                </c:pt>
                <c:pt idx="318">
                  <c:v>4.2841362202152284</c:v>
                </c:pt>
                <c:pt idx="319">
                  <c:v>4.3097240260326446</c:v>
                </c:pt>
                <c:pt idx="320">
                  <c:v>4.3139247153981204</c:v>
                </c:pt>
                <c:pt idx="321">
                  <c:v>4.2733676963686955</c:v>
                </c:pt>
                <c:pt idx="322">
                  <c:v>4.2718277673073821</c:v>
                </c:pt>
                <c:pt idx="323">
                  <c:v>4.2796431667624928</c:v>
                </c:pt>
                <c:pt idx="324">
                  <c:v>4.3120011357194015</c:v>
                </c:pt>
                <c:pt idx="325">
                  <c:v>4.2845618346459613</c:v>
                </c:pt>
                <c:pt idx="326">
                  <c:v>4.2400454628110138</c:v>
                </c:pt>
                <c:pt idx="327">
                  <c:v>4.2812854854914404</c:v>
                </c:pt>
                <c:pt idx="328">
                  <c:v>4.3720575086199833</c:v>
                </c:pt>
                <c:pt idx="329">
                  <c:v>4.3175441915418729</c:v>
                </c:pt>
                <c:pt idx="330">
                  <c:v>4.4588040674777529</c:v>
                </c:pt>
                <c:pt idx="331">
                  <c:v>4.4488920982774269</c:v>
                </c:pt>
                <c:pt idx="332">
                  <c:v>4.6829488206612222</c:v>
                </c:pt>
                <c:pt idx="333">
                  <c:v>4.5683376599985603</c:v>
                </c:pt>
                <c:pt idx="334">
                  <c:v>4.6004264968358699</c:v>
                </c:pt>
                <c:pt idx="335">
                  <c:v>4.5127133421880155</c:v>
                </c:pt>
                <c:pt idx="336">
                  <c:v>4.6053904489867215</c:v>
                </c:pt>
                <c:pt idx="337">
                  <c:v>4.4919053219838538</c:v>
                </c:pt>
                <c:pt idx="338">
                  <c:v>4.5355032854143635</c:v>
                </c:pt>
                <c:pt idx="339">
                  <c:v>4.4209356113059988</c:v>
                </c:pt>
                <c:pt idx="340">
                  <c:v>4.2833879581707501</c:v>
                </c:pt>
                <c:pt idx="341">
                  <c:v>4.2392754429969255</c:v>
                </c:pt>
                <c:pt idx="342">
                  <c:v>4.3724737336722468</c:v>
                </c:pt>
                <c:pt idx="343">
                  <c:v>4.3880322322124679</c:v>
                </c:pt>
                <c:pt idx="344">
                  <c:v>4.4467596237268419</c:v>
                </c:pt>
                <c:pt idx="345">
                  <c:v>4.4207660995286284</c:v>
                </c:pt>
                <c:pt idx="346">
                  <c:v>4.3964502978305324</c:v>
                </c:pt>
                <c:pt idx="347">
                  <c:v>4.3238151556312756</c:v>
                </c:pt>
                <c:pt idx="348">
                  <c:v>4.4125979521497527</c:v>
                </c:pt>
                <c:pt idx="349">
                  <c:v>4.5523696943794372</c:v>
                </c:pt>
                <c:pt idx="350">
                  <c:v>4.529210562077437</c:v>
                </c:pt>
                <c:pt idx="351">
                  <c:v>4.6306976150106793</c:v>
                </c:pt>
                <c:pt idx="352">
                  <c:v>4.6550571471092743</c:v>
                </c:pt>
                <c:pt idx="353">
                  <c:v>4.7270077515904649</c:v>
                </c:pt>
                <c:pt idx="354">
                  <c:v>4.8682625794232015</c:v>
                </c:pt>
                <c:pt idx="355">
                  <c:v>4.9450947205925662</c:v>
                </c:pt>
                <c:pt idx="356">
                  <c:v>4.8170106692683232</c:v>
                </c:pt>
                <c:pt idx="357">
                  <c:v>4.9300458184018261</c:v>
                </c:pt>
                <c:pt idx="358">
                  <c:v>4.8804653241132385</c:v>
                </c:pt>
                <c:pt idx="359">
                  <c:v>4.9745181598936465</c:v>
                </c:pt>
                <c:pt idx="360">
                  <c:v>4.9838941242965804</c:v>
                </c:pt>
                <c:pt idx="361">
                  <c:v>5.1849138696077599</c:v>
                </c:pt>
                <c:pt idx="362">
                  <c:v>5.1102646827957505</c:v>
                </c:pt>
                <c:pt idx="363">
                  <c:v>4.9998377958099089</c:v>
                </c:pt>
                <c:pt idx="364">
                  <c:v>4.9953487050726535</c:v>
                </c:pt>
                <c:pt idx="365">
                  <c:v>4.9390696042447004</c:v>
                </c:pt>
                <c:pt idx="366">
                  <c:v>4.8820542053313822</c:v>
                </c:pt>
                <c:pt idx="367">
                  <c:v>5.0293616697401102</c:v>
                </c:pt>
                <c:pt idx="368">
                  <c:v>5.1318034219901492</c:v>
                </c:pt>
                <c:pt idx="369">
                  <c:v>5.229759728630123</c:v>
                </c:pt>
                <c:pt idx="370">
                  <c:v>5.2415204346584039</c:v>
                </c:pt>
                <c:pt idx="371">
                  <c:v>5.2331370537602053</c:v>
                </c:pt>
                <c:pt idx="372">
                  <c:v>5.2706839769731424</c:v>
                </c:pt>
                <c:pt idx="373">
                  <c:v>5.1160241149402177</c:v>
                </c:pt>
                <c:pt idx="374">
                  <c:v>5.1526628922655435</c:v>
                </c:pt>
                <c:pt idx="375">
                  <c:v>5.297300006696716</c:v>
                </c:pt>
                <c:pt idx="376">
                  <c:v>5.3000525060489787</c:v>
                </c:pt>
                <c:pt idx="377">
                  <c:v>5.324853911372788</c:v>
                </c:pt>
                <c:pt idx="378">
                  <c:v>5.3337669346100487</c:v>
                </c:pt>
                <c:pt idx="379">
                  <c:v>5.2772843903952094</c:v>
                </c:pt>
                <c:pt idx="380">
                  <c:v>5.3108727065715495</c:v>
                </c:pt>
                <c:pt idx="381">
                  <c:v>5.3244573645004563</c:v>
                </c:pt>
                <c:pt idx="382">
                  <c:v>5.5812322412226258</c:v>
                </c:pt>
                <c:pt idx="383">
                  <c:v>5.648630556580688</c:v>
                </c:pt>
                <c:pt idx="384">
                  <c:v>5.597413877305824</c:v>
                </c:pt>
                <c:pt idx="385">
                  <c:v>5.6810873189640398</c:v>
                </c:pt>
                <c:pt idx="386">
                  <c:v>5.6796779662598897</c:v>
                </c:pt>
                <c:pt idx="387">
                  <c:v>5.7573359875533185</c:v>
                </c:pt>
                <c:pt idx="388">
                  <c:v>5.7366630627494262</c:v>
                </c:pt>
                <c:pt idx="389">
                  <c:v>5.7910593439400166</c:v>
                </c:pt>
                <c:pt idx="390">
                  <c:v>5.7040907396626785</c:v>
                </c:pt>
                <c:pt idx="391">
                  <c:v>5.6549061350153043</c:v>
                </c:pt>
                <c:pt idx="392">
                  <c:v>5.6555514232557007</c:v>
                </c:pt>
                <c:pt idx="393">
                  <c:v>5.5941195938277559</c:v>
                </c:pt>
                <c:pt idx="394">
                  <c:v>5.5665983260129206</c:v>
                </c:pt>
                <c:pt idx="395">
                  <c:v>5.5096572812965743</c:v>
                </c:pt>
                <c:pt idx="396">
                  <c:v>5.3819664446348812</c:v>
                </c:pt>
                <c:pt idx="397">
                  <c:v>5.3637525373315915</c:v>
                </c:pt>
                <c:pt idx="398">
                  <c:v>5.4451650827714202</c:v>
                </c:pt>
                <c:pt idx="399">
                  <c:v>5.6339980265497545</c:v>
                </c:pt>
                <c:pt idx="400">
                  <c:v>5.7709489585362794</c:v>
                </c:pt>
                <c:pt idx="401">
                  <c:v>5.4693121066834101</c:v>
                </c:pt>
                <c:pt idx="402">
                  <c:v>5.4613079187886342</c:v>
                </c:pt>
                <c:pt idx="403">
                  <c:v>5.4642365342807429</c:v>
                </c:pt>
                <c:pt idx="404">
                  <c:v>5.4938561226410441</c:v>
                </c:pt>
                <c:pt idx="405">
                  <c:v>5.3417772284712379</c:v>
                </c:pt>
                <c:pt idx="406">
                  <c:v>5.4218981465448666</c:v>
                </c:pt>
                <c:pt idx="407">
                  <c:v>5.2725254383167899</c:v>
                </c:pt>
                <c:pt idx="408">
                  <c:v>5.2783368225436069</c:v>
                </c:pt>
                <c:pt idx="409">
                  <c:v>5.3186456478219872</c:v>
                </c:pt>
                <c:pt idx="410">
                  <c:v>5.3122920206356152</c:v>
                </c:pt>
                <c:pt idx="411">
                  <c:v>5.1596815652079178</c:v>
                </c:pt>
                <c:pt idx="412">
                  <c:v>5.2445213215750748</c:v>
                </c:pt>
                <c:pt idx="413">
                  <c:v>5.2772764187558767</c:v>
                </c:pt>
                <c:pt idx="414">
                  <c:v>5.2202754131638995</c:v>
                </c:pt>
                <c:pt idx="415">
                  <c:v>5.1764278682383322</c:v>
                </c:pt>
                <c:pt idx="416">
                  <c:v>5.1288227785291864</c:v>
                </c:pt>
                <c:pt idx="417">
                  <c:v>5.1178082589081573</c:v>
                </c:pt>
                <c:pt idx="418">
                  <c:v>5.0494187421576449</c:v>
                </c:pt>
                <c:pt idx="419">
                  <c:v>5.0372098100634393</c:v>
                </c:pt>
                <c:pt idx="420">
                  <c:v>5.0401467866459448</c:v>
                </c:pt>
                <c:pt idx="421">
                  <c:v>5.186411965304039</c:v>
                </c:pt>
                <c:pt idx="422">
                  <c:v>5.0953029458127155</c:v>
                </c:pt>
                <c:pt idx="423">
                  <c:v>5.055144544955283</c:v>
                </c:pt>
                <c:pt idx="424">
                  <c:v>5.0531947023785078</c:v>
                </c:pt>
                <c:pt idx="425">
                  <c:v>4.9743696163694429</c:v>
                </c:pt>
                <c:pt idx="426">
                  <c:v>4.9849177343965598</c:v>
                </c:pt>
                <c:pt idx="427">
                  <c:v>5.053346263419729</c:v>
                </c:pt>
                <c:pt idx="428">
                  <c:v>4.9416789429758134</c:v>
                </c:pt>
                <c:pt idx="429">
                  <c:v>4.8805509817377049</c:v>
                </c:pt>
                <c:pt idx="430">
                  <c:v>4.8429467108348838</c:v>
                </c:pt>
                <c:pt idx="431">
                  <c:v>4.9068985836604933</c:v>
                </c:pt>
                <c:pt idx="432">
                  <c:v>4.7960586102900722</c:v>
                </c:pt>
                <c:pt idx="433">
                  <c:v>4.9032552223182266</c:v>
                </c:pt>
                <c:pt idx="434">
                  <c:v>4.7871238834670526</c:v>
                </c:pt>
                <c:pt idx="435">
                  <c:v>4.7982999801099258</c:v>
                </c:pt>
                <c:pt idx="436">
                  <c:v>4.7987596300148327</c:v>
                </c:pt>
                <c:pt idx="437">
                  <c:v>4.7488278428706714</c:v>
                </c:pt>
                <c:pt idx="438">
                  <c:v>4.7140418359883176</c:v>
                </c:pt>
                <c:pt idx="439">
                  <c:v>4.8618679861951648</c:v>
                </c:pt>
                <c:pt idx="440">
                  <c:v>5.0288368825598484</c:v>
                </c:pt>
                <c:pt idx="441">
                  <c:v>4.9696804234418428</c:v>
                </c:pt>
                <c:pt idx="442">
                  <c:v>5.0696252845636227</c:v>
                </c:pt>
                <c:pt idx="443">
                  <c:v>5.0671903805139689</c:v>
                </c:pt>
                <c:pt idx="444">
                  <c:v>5.2105073925686227</c:v>
                </c:pt>
                <c:pt idx="445">
                  <c:v>5.2375920962595428</c:v>
                </c:pt>
                <c:pt idx="446">
                  <c:v>5.3336153482839315</c:v>
                </c:pt>
                <c:pt idx="447">
                  <c:v>5.2358649608963885</c:v>
                </c:pt>
                <c:pt idx="448">
                  <c:v>5.098398495002832</c:v>
                </c:pt>
                <c:pt idx="449">
                  <c:v>5.080596582988675</c:v>
                </c:pt>
                <c:pt idx="450">
                  <c:v>5.2072648046021541</c:v>
                </c:pt>
                <c:pt idx="451">
                  <c:v>5.2526220043819682</c:v>
                </c:pt>
                <c:pt idx="452">
                  <c:v>5.3465808463995579</c:v>
                </c:pt>
                <c:pt idx="453">
                  <c:v>5.3685074717198171</c:v>
                </c:pt>
                <c:pt idx="454">
                  <c:v>5.1409486489875746</c:v>
                </c:pt>
                <c:pt idx="455">
                  <c:v>5.2100368291520232</c:v>
                </c:pt>
                <c:pt idx="456">
                  <c:v>5.18928680003562</c:v>
                </c:pt>
                <c:pt idx="457">
                  <c:v>5.2210270734799371</c:v>
                </c:pt>
                <c:pt idx="458">
                  <c:v>5.1702062114977174</c:v>
                </c:pt>
                <c:pt idx="459">
                  <c:v>5.3115466692204336</c:v>
                </c:pt>
                <c:pt idx="460">
                  <c:v>5.1950029254832915</c:v>
                </c:pt>
                <c:pt idx="461">
                  <c:v>5.117934194010374</c:v>
                </c:pt>
                <c:pt idx="462">
                  <c:v>5.0680431204630727</c:v>
                </c:pt>
                <c:pt idx="463">
                  <c:v>4.9789145302244453</c:v>
                </c:pt>
                <c:pt idx="464">
                  <c:v>4.8675671171227943</c:v>
                </c:pt>
                <c:pt idx="465">
                  <c:v>4.8945235805840763</c:v>
                </c:pt>
                <c:pt idx="466">
                  <c:v>4.9320477069305086</c:v>
                </c:pt>
                <c:pt idx="467">
                  <c:v>5.1531123722884233</c:v>
                </c:pt>
                <c:pt idx="468">
                  <c:v>5.1911014977674279</c:v>
                </c:pt>
                <c:pt idx="469">
                  <c:v>5.061794154324291</c:v>
                </c:pt>
                <c:pt idx="470">
                  <c:v>4.9818853122484761</c:v>
                </c:pt>
                <c:pt idx="471">
                  <c:v>5.0163356313071743</c:v>
                </c:pt>
                <c:pt idx="472">
                  <c:v>5.0215647156480756</c:v>
                </c:pt>
                <c:pt idx="473">
                  <c:v>5.3050131841686401</c:v>
                </c:pt>
                <c:pt idx="474">
                  <c:v>5.3404070865754942</c:v>
                </c:pt>
                <c:pt idx="475">
                  <c:v>5.1817160180196185</c:v>
                </c:pt>
                <c:pt idx="476">
                  <c:v>5.0863342016849566</c:v>
                </c:pt>
                <c:pt idx="477">
                  <c:v>5.1240397554044055</c:v>
                </c:pt>
                <c:pt idx="478">
                  <c:v>5.0472665614070999</c:v>
                </c:pt>
                <c:pt idx="479">
                  <c:v>5.2049995545352976</c:v>
                </c:pt>
                <c:pt idx="480">
                  <c:v>5.2793482880341074</c:v>
                </c:pt>
                <c:pt idx="481">
                  <c:v>5.1965289061162441</c:v>
                </c:pt>
                <c:pt idx="482">
                  <c:v>5.3513393486361087</c:v>
                </c:pt>
                <c:pt idx="483">
                  <c:v>5.2579051121749352</c:v>
                </c:pt>
                <c:pt idx="484">
                  <c:v>5.1381088713109628</c:v>
                </c:pt>
                <c:pt idx="485">
                  <c:v>5.4274221559428781</c:v>
                </c:pt>
                <c:pt idx="486">
                  <c:v>5.5063971395060962</c:v>
                </c:pt>
                <c:pt idx="487">
                  <c:v>5.2490913193497137</c:v>
                </c:pt>
                <c:pt idx="488">
                  <c:v>5.462783703643403</c:v>
                </c:pt>
                <c:pt idx="489">
                  <c:v>5.4736787775928804</c:v>
                </c:pt>
                <c:pt idx="490">
                  <c:v>5.3325939407372465</c:v>
                </c:pt>
                <c:pt idx="491">
                  <c:v>5.3815078960956892</c:v>
                </c:pt>
                <c:pt idx="492">
                  <c:v>5.4777794942060583</c:v>
                </c:pt>
                <c:pt idx="493">
                  <c:v>5.3748400375875196</c:v>
                </c:pt>
                <c:pt idx="494">
                  <c:v>5.3372063442157707</c:v>
                </c:pt>
                <c:pt idx="495">
                  <c:v>5.2779159102304174</c:v>
                </c:pt>
                <c:pt idx="496">
                  <c:v>5.0874541557327619</c:v>
                </c:pt>
                <c:pt idx="497">
                  <c:v>5.186283874962581</c:v>
                </c:pt>
                <c:pt idx="498">
                  <c:v>5.2486941621607368</c:v>
                </c:pt>
                <c:pt idx="499">
                  <c:v>5.3575116620139251</c:v>
                </c:pt>
                <c:pt idx="500">
                  <c:v>5.2888391333515576</c:v>
                </c:pt>
                <c:pt idx="501">
                  <c:v>5.4146797149578694</c:v>
                </c:pt>
                <c:pt idx="502">
                  <c:v>5.3405736551227996</c:v>
                </c:pt>
                <c:pt idx="503">
                  <c:v>5.5710254755743414</c:v>
                </c:pt>
                <c:pt idx="504">
                  <c:v>5.7139421416685323</c:v>
                </c:pt>
                <c:pt idx="505">
                  <c:v>5.6743004438165512</c:v>
                </c:pt>
                <c:pt idx="506">
                  <c:v>5.6521689099324126</c:v>
                </c:pt>
                <c:pt idx="507">
                  <c:v>5.6006185865803753</c:v>
                </c:pt>
                <c:pt idx="508">
                  <c:v>5.6066407816268518</c:v>
                </c:pt>
                <c:pt idx="509">
                  <c:v>5.4696737787502707</c:v>
                </c:pt>
                <c:pt idx="510">
                  <c:v>5.4729462793793688</c:v>
                </c:pt>
                <c:pt idx="511">
                  <c:v>5.5231095106923584</c:v>
                </c:pt>
                <c:pt idx="512">
                  <c:v>5.634823826606552</c:v>
                </c:pt>
                <c:pt idx="513">
                  <c:v>5.7757625429986126</c:v>
                </c:pt>
                <c:pt idx="514">
                  <c:v>5.7851554250438415</c:v>
                </c:pt>
                <c:pt idx="515">
                  <c:v>5.8781512909077298</c:v>
                </c:pt>
                <c:pt idx="516">
                  <c:v>5.8591140276992313</c:v>
                </c:pt>
                <c:pt idx="517">
                  <c:v>5.9257765408721452</c:v>
                </c:pt>
                <c:pt idx="518">
                  <c:v>5.7546347876343447</c:v>
                </c:pt>
                <c:pt idx="519">
                  <c:v>5.9030517869540642</c:v>
                </c:pt>
                <c:pt idx="520">
                  <c:v>5.9459594823832704</c:v>
                </c:pt>
                <c:pt idx="521">
                  <c:v>5.9535483186057414</c:v>
                </c:pt>
                <c:pt idx="522">
                  <c:v>5.9959230416930192</c:v>
                </c:pt>
                <c:pt idx="523">
                  <c:v>6.1507884046991377</c:v>
                </c:pt>
                <c:pt idx="524">
                  <c:v>6.2051434771109726</c:v>
                </c:pt>
                <c:pt idx="525">
                  <c:v>6.3486319240349411</c:v>
                </c:pt>
                <c:pt idx="526">
                  <c:v>6.3144384625402363</c:v>
                </c:pt>
                <c:pt idx="527">
                  <c:v>6.419063757895727</c:v>
                </c:pt>
                <c:pt idx="528">
                  <c:v>6.2046354781830191</c:v>
                </c:pt>
                <c:pt idx="529">
                  <c:v>6.3614372387218863</c:v>
                </c:pt>
                <c:pt idx="530">
                  <c:v>6.5708589755333522</c:v>
                </c:pt>
                <c:pt idx="531">
                  <c:v>6.3231753645899431</c:v>
                </c:pt>
                <c:pt idx="532">
                  <c:v>6.3423046421660771</c:v>
                </c:pt>
                <c:pt idx="533">
                  <c:v>6.441587713178615</c:v>
                </c:pt>
                <c:pt idx="534">
                  <c:v>6.4711343450183998</c:v>
                </c:pt>
                <c:pt idx="535">
                  <c:v>6.4342744973155188</c:v>
                </c:pt>
                <c:pt idx="536">
                  <c:v>6.7345052829510124</c:v>
                </c:pt>
                <c:pt idx="537">
                  <c:v>6.6912093949557789</c:v>
                </c:pt>
                <c:pt idx="538">
                  <c:v>6.5941754803570714</c:v>
                </c:pt>
                <c:pt idx="539">
                  <c:v>6.4178134900596389</c:v>
                </c:pt>
                <c:pt idx="540">
                  <c:v>6.5109106004387103</c:v>
                </c:pt>
                <c:pt idx="541">
                  <c:v>6.6340533862183966</c:v>
                </c:pt>
                <c:pt idx="542">
                  <c:v>6.5464047708933304</c:v>
                </c:pt>
                <c:pt idx="543">
                  <c:v>6.6178770601161014</c:v>
                </c:pt>
                <c:pt idx="544">
                  <c:v>6.5913743754457217</c:v>
                </c:pt>
                <c:pt idx="545">
                  <c:v>6.7487845421505375</c:v>
                </c:pt>
                <c:pt idx="546">
                  <c:v>6.6600157463492646</c:v>
                </c:pt>
                <c:pt idx="547">
                  <c:v>6.7271722074575093</c:v>
                </c:pt>
                <c:pt idx="548">
                  <c:v>6.7657182844940795</c:v>
                </c:pt>
                <c:pt idx="549">
                  <c:v>6.9091153587149954</c:v>
                </c:pt>
                <c:pt idx="550">
                  <c:v>6.8991246233279124</c:v>
                </c:pt>
                <c:pt idx="551">
                  <c:v>6.8730315900885177</c:v>
                </c:pt>
                <c:pt idx="552">
                  <c:v>6.8610129209070063</c:v>
                </c:pt>
                <c:pt idx="553">
                  <c:v>6.9918533974275086</c:v>
                </c:pt>
                <c:pt idx="554">
                  <c:v>6.9040442758053242</c:v>
                </c:pt>
                <c:pt idx="555">
                  <c:v>6.9567631131674519</c:v>
                </c:pt>
                <c:pt idx="556">
                  <c:v>7.0173489866832339</c:v>
                </c:pt>
                <c:pt idx="557">
                  <c:v>7.0773159226244369</c:v>
                </c:pt>
                <c:pt idx="558">
                  <c:v>7.1627652491927112</c:v>
                </c:pt>
                <c:pt idx="559">
                  <c:v>7.0814278546160514</c:v>
                </c:pt>
                <c:pt idx="560">
                  <c:v>6.7558499987792784</c:v>
                </c:pt>
                <c:pt idx="561">
                  <c:v>6.7505008123769557</c:v>
                </c:pt>
                <c:pt idx="562">
                  <c:v>6.723672283700294</c:v>
                </c:pt>
                <c:pt idx="563">
                  <c:v>6.5668517236304016</c:v>
                </c:pt>
                <c:pt idx="564">
                  <c:v>6.5022904047493686</c:v>
                </c:pt>
                <c:pt idx="565">
                  <c:v>6.5203917991750879</c:v>
                </c:pt>
                <c:pt idx="566">
                  <c:v>6.6425543561297129</c:v>
                </c:pt>
                <c:pt idx="567">
                  <c:v>6.7758638882769997</c:v>
                </c:pt>
                <c:pt idx="568">
                  <c:v>6.740466681623535</c:v>
                </c:pt>
                <c:pt idx="569">
                  <c:v>6.8139653206741659</c:v>
                </c:pt>
                <c:pt idx="570">
                  <c:v>6.7851399770407577</c:v>
                </c:pt>
                <c:pt idx="571">
                  <c:v>6.7919912752591394</c:v>
                </c:pt>
                <c:pt idx="572">
                  <c:v>6.8076037308778847</c:v>
                </c:pt>
                <c:pt idx="573">
                  <c:v>6.8017631585111529</c:v>
                </c:pt>
                <c:pt idx="574">
                  <c:v>7.1825794419548066</c:v>
                </c:pt>
                <c:pt idx="575">
                  <c:v>7.1900621964667915</c:v>
                </c:pt>
                <c:pt idx="576">
                  <c:v>7.2431636816506488</c:v>
                </c:pt>
                <c:pt idx="577">
                  <c:v>7.3187389827569502</c:v>
                </c:pt>
                <c:pt idx="578">
                  <c:v>7.4560590117140757</c:v>
                </c:pt>
                <c:pt idx="579">
                  <c:v>7.5174502504444911</c:v>
                </c:pt>
                <c:pt idx="580">
                  <c:v>7.343957764473882</c:v>
                </c:pt>
                <c:pt idx="581">
                  <c:v>7.5681268717507564</c:v>
                </c:pt>
                <c:pt idx="582">
                  <c:v>7.739284964778121</c:v>
                </c:pt>
                <c:pt idx="583">
                  <c:v>7.5745363472107705</c:v>
                </c:pt>
                <c:pt idx="584">
                  <c:v>7.8452229426332432</c:v>
                </c:pt>
                <c:pt idx="585">
                  <c:v>8.1128892717745451</c:v>
                </c:pt>
                <c:pt idx="586">
                  <c:v>8.2406115783976812</c:v>
                </c:pt>
                <c:pt idx="587">
                  <c:v>8.1575981264696082</c:v>
                </c:pt>
                <c:pt idx="588">
                  <c:v>7.91244787131326</c:v>
                </c:pt>
                <c:pt idx="589">
                  <c:v>7.6609822892872312</c:v>
                </c:pt>
                <c:pt idx="590">
                  <c:v>7.457778813836466</c:v>
                </c:pt>
                <c:pt idx="591">
                  <c:v>7.3832246730166462</c:v>
                </c:pt>
                <c:pt idx="592">
                  <c:v>7.285268598138682</c:v>
                </c:pt>
                <c:pt idx="593">
                  <c:v>7.3287749155611781</c:v>
                </c:pt>
                <c:pt idx="594">
                  <c:v>7.3505578118654471</c:v>
                </c:pt>
                <c:pt idx="595">
                  <c:v>7.2906059935255065</c:v>
                </c:pt>
                <c:pt idx="596">
                  <c:v>7.1146503657261144</c:v>
                </c:pt>
                <c:pt idx="597">
                  <c:v>7.2347336404632623</c:v>
                </c:pt>
                <c:pt idx="598">
                  <c:v>7.0029355790469721</c:v>
                </c:pt>
                <c:pt idx="599">
                  <c:v>7.1897315961320052</c:v>
                </c:pt>
                <c:pt idx="600">
                  <c:v>7.1097206821015124</c:v>
                </c:pt>
                <c:pt idx="601">
                  <c:v>7.1888464804359966</c:v>
                </c:pt>
                <c:pt idx="602">
                  <c:v>7.2101587654082833</c:v>
                </c:pt>
                <c:pt idx="603">
                  <c:v>7.0125108004282106</c:v>
                </c:pt>
                <c:pt idx="604">
                  <c:v>7.0653890789309886</c:v>
                </c:pt>
                <c:pt idx="605">
                  <c:v>7.1284857778935091</c:v>
                </c:pt>
                <c:pt idx="606">
                  <c:v>7.1153157906828159</c:v>
                </c:pt>
                <c:pt idx="607">
                  <c:v>7.2115875369582163</c:v>
                </c:pt>
                <c:pt idx="608">
                  <c:v>7.1297866864139028</c:v>
                </c:pt>
                <c:pt idx="609">
                  <c:v>7.0084124507186463</c:v>
                </c:pt>
                <c:pt idx="610">
                  <c:v>7.0645364560421386</c:v>
                </c:pt>
                <c:pt idx="611">
                  <c:v>7.0193860827659789</c:v>
                </c:pt>
                <c:pt idx="612">
                  <c:v>7.1842486142990092</c:v>
                </c:pt>
                <c:pt idx="613">
                  <c:v>7.0363949172553326</c:v>
                </c:pt>
                <c:pt idx="614">
                  <c:v>6.9361273262643435</c:v>
                </c:pt>
                <c:pt idx="615">
                  <c:v>6.8526957438158309</c:v>
                </c:pt>
                <c:pt idx="616">
                  <c:v>6.625086269937972</c:v>
                </c:pt>
                <c:pt idx="617">
                  <c:v>6.6579294302747325</c:v>
                </c:pt>
                <c:pt idx="618">
                  <c:v>6.5701852119521122</c:v>
                </c:pt>
                <c:pt idx="619">
                  <c:v>6.5601571555125151</c:v>
                </c:pt>
                <c:pt idx="620">
                  <c:v>6.675071440170381</c:v>
                </c:pt>
                <c:pt idx="621">
                  <c:v>6.8370542618997776</c:v>
                </c:pt>
                <c:pt idx="622">
                  <c:v>6.9680997425110993</c:v>
                </c:pt>
                <c:pt idx="623">
                  <c:v>6.9760694961117515</c:v>
                </c:pt>
                <c:pt idx="624">
                  <c:v>6.8770439650444803</c:v>
                </c:pt>
                <c:pt idx="625">
                  <c:v>7.1434404470470128</c:v>
                </c:pt>
                <c:pt idx="626">
                  <c:v>7.2613406617949003</c:v>
                </c:pt>
                <c:pt idx="627">
                  <c:v>7.3508250162567874</c:v>
                </c:pt>
                <c:pt idx="628">
                  <c:v>7.0945699210262916</c:v>
                </c:pt>
                <c:pt idx="629">
                  <c:v>7.129597810601207</c:v>
                </c:pt>
                <c:pt idx="630">
                  <c:v>6.9610877629984191</c:v>
                </c:pt>
                <c:pt idx="631">
                  <c:v>7.093997006465516</c:v>
                </c:pt>
                <c:pt idx="632">
                  <c:v>6.9333601782419061</c:v>
                </c:pt>
                <c:pt idx="633">
                  <c:v>7.0104557118090378</c:v>
                </c:pt>
                <c:pt idx="634">
                  <c:v>6.8098879814206867</c:v>
                </c:pt>
                <c:pt idx="635">
                  <c:v>6.7614470657127601</c:v>
                </c:pt>
                <c:pt idx="636">
                  <c:v>6.89078539640541</c:v>
                </c:pt>
                <c:pt idx="637">
                  <c:v>7.0527106795101115</c:v>
                </c:pt>
                <c:pt idx="638">
                  <c:v>7.206457835161947</c:v>
                </c:pt>
                <c:pt idx="639">
                  <c:v>7.1323700911103751</c:v>
                </c:pt>
                <c:pt idx="640">
                  <c:v>7.0358043495480596</c:v>
                </c:pt>
                <c:pt idx="641">
                  <c:v>6.8571946387292391</c:v>
                </c:pt>
                <c:pt idx="642">
                  <c:v>6.8184532923919177</c:v>
                </c:pt>
                <c:pt idx="643">
                  <c:v>6.897820626607345</c:v>
                </c:pt>
                <c:pt idx="644">
                  <c:v>6.8386180141702129</c:v>
                </c:pt>
                <c:pt idx="645">
                  <c:v>6.9631081069861214</c:v>
                </c:pt>
                <c:pt idx="646">
                  <c:v>6.8787146251827949</c:v>
                </c:pt>
                <c:pt idx="647">
                  <c:v>6.9472930468299134</c:v>
                </c:pt>
                <c:pt idx="648">
                  <c:v>7.0642403724837441</c:v>
                </c:pt>
                <c:pt idx="649">
                  <c:v>7.0411218636076329</c:v>
                </c:pt>
                <c:pt idx="650">
                  <c:v>7.1896139184419701</c:v>
                </c:pt>
                <c:pt idx="651">
                  <c:v>7.0879036373729862</c:v>
                </c:pt>
                <c:pt idx="652">
                  <c:v>6.933333134106193</c:v>
                </c:pt>
                <c:pt idx="653">
                  <c:v>6.9371957237680899</c:v>
                </c:pt>
                <c:pt idx="654">
                  <c:v>7.1406806652858901</c:v>
                </c:pt>
                <c:pt idx="655">
                  <c:v>7.127972297202029</c:v>
                </c:pt>
                <c:pt idx="656">
                  <c:v>7.3265215835904183</c:v>
                </c:pt>
                <c:pt idx="657">
                  <c:v>7.4601974490901943</c:v>
                </c:pt>
                <c:pt idx="658">
                  <c:v>7.6052942196951223</c:v>
                </c:pt>
                <c:pt idx="659">
                  <c:v>7.8291075118034072</c:v>
                </c:pt>
                <c:pt idx="660">
                  <c:v>8.0573051124776356</c:v>
                </c:pt>
                <c:pt idx="661">
                  <c:v>8.4243413440922854</c:v>
                </c:pt>
                <c:pt idx="662">
                  <c:v>8.5168914604414834</c:v>
                </c:pt>
                <c:pt idx="663">
                  <c:v>8.6421007826561169</c:v>
                </c:pt>
                <c:pt idx="664">
                  <c:v>8.5973795949089524</c:v>
                </c:pt>
                <c:pt idx="665">
                  <c:v>8.800906298437031</c:v>
                </c:pt>
                <c:pt idx="666">
                  <c:v>8.7980607076569726</c:v>
                </c:pt>
                <c:pt idx="667">
                  <c:v>8.8123986633508586</c:v>
                </c:pt>
                <c:pt idx="668">
                  <c:v>9.0033607034978367</c:v>
                </c:pt>
                <c:pt idx="669">
                  <c:v>9.0377309558289838</c:v>
                </c:pt>
                <c:pt idx="670">
                  <c:v>8.9304322038452248</c:v>
                </c:pt>
                <c:pt idx="671">
                  <c:v>8.9594396324148047</c:v>
                </c:pt>
                <c:pt idx="672">
                  <c:v>8.9231528692289377</c:v>
                </c:pt>
                <c:pt idx="673">
                  <c:v>9.1074614620290291</c:v>
                </c:pt>
                <c:pt idx="674">
                  <c:v>9.2143450615018327</c:v>
                </c:pt>
                <c:pt idx="675">
                  <c:v>9.4537368447051122</c:v>
                </c:pt>
                <c:pt idx="676">
                  <c:v>9.898397071799014</c:v>
                </c:pt>
                <c:pt idx="677">
                  <c:v>9.8284173290229919</c:v>
                </c:pt>
                <c:pt idx="678">
                  <c:v>9.4673910805091737</c:v>
                </c:pt>
                <c:pt idx="679">
                  <c:v>9.6153896938654171</c:v>
                </c:pt>
                <c:pt idx="680">
                  <c:v>9.7998962116495214</c:v>
                </c:pt>
                <c:pt idx="681">
                  <c:v>9.7557059524110361</c:v>
                </c:pt>
                <c:pt idx="682">
                  <c:v>9.4004028967899096</c:v>
                </c:pt>
                <c:pt idx="683">
                  <c:v>9.3213156958834311</c:v>
                </c:pt>
                <c:pt idx="684">
                  <c:v>9.0415517219083714</c:v>
                </c:pt>
                <c:pt idx="685">
                  <c:v>9.3310342136635605</c:v>
                </c:pt>
                <c:pt idx="686">
                  <c:v>9.3479252736693734</c:v>
                </c:pt>
                <c:pt idx="687">
                  <c:v>9.2127411385910936</c:v>
                </c:pt>
                <c:pt idx="688">
                  <c:v>9.1074598655092824</c:v>
                </c:pt>
                <c:pt idx="689">
                  <c:v>9.2979697109760053</c:v>
                </c:pt>
                <c:pt idx="690">
                  <c:v>9.3218686748171304</c:v>
                </c:pt>
                <c:pt idx="691">
                  <c:v>9.6786209172528714</c:v>
                </c:pt>
                <c:pt idx="692">
                  <c:v>9.9728175044924008</c:v>
                </c:pt>
                <c:pt idx="693">
                  <c:v>10.079346482657156</c:v>
                </c:pt>
                <c:pt idx="694">
                  <c:v>10.024784148774742</c:v>
                </c:pt>
                <c:pt idx="695">
                  <c:v>9.8283782961165613</c:v>
                </c:pt>
                <c:pt idx="696">
                  <c:v>9.8537407889307218</c:v>
                </c:pt>
                <c:pt idx="697">
                  <c:v>9.4620347854305802</c:v>
                </c:pt>
                <c:pt idx="698">
                  <c:v>9.2827349316239509</c:v>
                </c:pt>
                <c:pt idx="699">
                  <c:v>9.2452144181177083</c:v>
                </c:pt>
                <c:pt idx="700">
                  <c:v>9.3996885523446636</c:v>
                </c:pt>
                <c:pt idx="701">
                  <c:v>9.1565180689963839</c:v>
                </c:pt>
                <c:pt idx="702">
                  <c:v>9.0994323747076571</c:v>
                </c:pt>
                <c:pt idx="703">
                  <c:v>8.8805092886608623</c:v>
                </c:pt>
                <c:pt idx="704">
                  <c:v>8.9048308724308196</c:v>
                </c:pt>
                <c:pt idx="705">
                  <c:v>8.6550112430296764</c:v>
                </c:pt>
                <c:pt idx="706">
                  <c:v>8.5809708054209644</c:v>
                </c:pt>
                <c:pt idx="707">
                  <c:v>8.7097129540273723</c:v>
                </c:pt>
                <c:pt idx="708">
                  <c:v>8.666817559854481</c:v>
                </c:pt>
                <c:pt idx="709">
                  <c:v>8.9265934871496739</c:v>
                </c:pt>
                <c:pt idx="710">
                  <c:v>9.1538121743971459</c:v>
                </c:pt>
                <c:pt idx="711">
                  <c:v>8.8752319060866931</c:v>
                </c:pt>
                <c:pt idx="712">
                  <c:v>8.90647330771918</c:v>
                </c:pt>
                <c:pt idx="713">
                  <c:v>8.7792464637462917</c:v>
                </c:pt>
                <c:pt idx="714">
                  <c:v>8.9367626879560582</c:v>
                </c:pt>
                <c:pt idx="715">
                  <c:v>9.0285639372871653</c:v>
                </c:pt>
                <c:pt idx="716">
                  <c:v>9.0900407299807302</c:v>
                </c:pt>
                <c:pt idx="717">
                  <c:v>9.1114857343893316</c:v>
                </c:pt>
                <c:pt idx="718">
                  <c:v>8.7961329753782902</c:v>
                </c:pt>
                <c:pt idx="719">
                  <c:v>8.9622936244781179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Output!$M$12:$M$731</c:f>
              <c:numCache>
                <c:formatCode>General</c:formatCode>
                <c:ptCount val="720"/>
                <c:pt idx="0">
                  <c:v>0.90812999999999999</c:v>
                </c:pt>
                <c:pt idx="1">
                  <c:v>0.88182953586286905</c:v>
                </c:pt>
                <c:pt idx="2">
                  <c:v>0.86812746833568466</c:v>
                </c:pt>
                <c:pt idx="3">
                  <c:v>0.83569901723467199</c:v>
                </c:pt>
                <c:pt idx="4">
                  <c:v>0.83391634345680454</c:v>
                </c:pt>
                <c:pt idx="5">
                  <c:v>0.81738241081417273</c:v>
                </c:pt>
                <c:pt idx="6">
                  <c:v>0.79434624737609782</c:v>
                </c:pt>
                <c:pt idx="7">
                  <c:v>0.76215607869606739</c:v>
                </c:pt>
                <c:pt idx="8">
                  <c:v>0.748059108492099</c:v>
                </c:pt>
                <c:pt idx="9">
                  <c:v>0.76657613726743434</c:v>
                </c:pt>
                <c:pt idx="10">
                  <c:v>0.7355433488579769</c:v>
                </c:pt>
                <c:pt idx="11">
                  <c:v>0.73950516277569966</c:v>
                </c:pt>
                <c:pt idx="12">
                  <c:v>0.70518885238449758</c:v>
                </c:pt>
                <c:pt idx="13">
                  <c:v>0.70762163005000123</c:v>
                </c:pt>
                <c:pt idx="14">
                  <c:v>0.71172053948309622</c:v>
                </c:pt>
                <c:pt idx="15">
                  <c:v>0.71345666872129276</c:v>
                </c:pt>
                <c:pt idx="16">
                  <c:v>0.694868490901701</c:v>
                </c:pt>
                <c:pt idx="17">
                  <c:v>0.67871537013114647</c:v>
                </c:pt>
                <c:pt idx="18">
                  <c:v>0.66376195008161354</c:v>
                </c:pt>
                <c:pt idx="19">
                  <c:v>0.68275472459093867</c:v>
                </c:pt>
                <c:pt idx="20">
                  <c:v>0.67584166311175609</c:v>
                </c:pt>
                <c:pt idx="21">
                  <c:v>0.64685052363538453</c:v>
                </c:pt>
                <c:pt idx="22">
                  <c:v>0.64950369544628572</c:v>
                </c:pt>
                <c:pt idx="23">
                  <c:v>0.65322143526527332</c:v>
                </c:pt>
                <c:pt idx="24">
                  <c:v>0.63263953498572845</c:v>
                </c:pt>
                <c:pt idx="25">
                  <c:v>0.62988598113336658</c:v>
                </c:pt>
                <c:pt idx="26">
                  <c:v>0.60766811826960676</c:v>
                </c:pt>
                <c:pt idx="27">
                  <c:v>0.61770653607263559</c:v>
                </c:pt>
                <c:pt idx="28">
                  <c:v>0.60798895708522582</c:v>
                </c:pt>
                <c:pt idx="29">
                  <c:v>0.60954744256126137</c:v>
                </c:pt>
                <c:pt idx="30">
                  <c:v>0.60040997452269118</c:v>
                </c:pt>
                <c:pt idx="31">
                  <c:v>0.59634382059738411</c:v>
                </c:pt>
                <c:pt idx="32">
                  <c:v>0.57084588645709922</c:v>
                </c:pt>
                <c:pt idx="33">
                  <c:v>0.54429545238661559</c:v>
                </c:pt>
                <c:pt idx="34">
                  <c:v>0.5390619851453583</c:v>
                </c:pt>
                <c:pt idx="35">
                  <c:v>0.52283230030051753</c:v>
                </c:pt>
                <c:pt idx="36">
                  <c:v>0.53331651622413834</c:v>
                </c:pt>
                <c:pt idx="37">
                  <c:v>0.52855545197778475</c:v>
                </c:pt>
                <c:pt idx="38">
                  <c:v>0.51479759667095359</c:v>
                </c:pt>
                <c:pt idx="39">
                  <c:v>0.50083215826096772</c:v>
                </c:pt>
                <c:pt idx="40">
                  <c:v>0.5084538116670908</c:v>
                </c:pt>
                <c:pt idx="41">
                  <c:v>0.51594625245829562</c:v>
                </c:pt>
                <c:pt idx="42">
                  <c:v>0.51457773374149307</c:v>
                </c:pt>
                <c:pt idx="43">
                  <c:v>0.51343816717755619</c:v>
                </c:pt>
                <c:pt idx="44">
                  <c:v>0.50176108201381941</c:v>
                </c:pt>
                <c:pt idx="45">
                  <c:v>0.50972481873259456</c:v>
                </c:pt>
                <c:pt idx="46">
                  <c:v>0.51004247686171633</c:v>
                </c:pt>
                <c:pt idx="47">
                  <c:v>0.51564533989377448</c:v>
                </c:pt>
                <c:pt idx="48">
                  <c:v>0.50618382071496559</c:v>
                </c:pt>
                <c:pt idx="49">
                  <c:v>0.50701470576090846</c:v>
                </c:pt>
                <c:pt idx="50">
                  <c:v>0.49660058712794541</c:v>
                </c:pt>
                <c:pt idx="51">
                  <c:v>0.49033389857036153</c:v>
                </c:pt>
                <c:pt idx="52">
                  <c:v>0.4998826533863861</c:v>
                </c:pt>
                <c:pt idx="53">
                  <c:v>0.49321691766966996</c:v>
                </c:pt>
                <c:pt idx="54">
                  <c:v>0.48200399033156183</c:v>
                </c:pt>
                <c:pt idx="55">
                  <c:v>0.48715252578691326</c:v>
                </c:pt>
                <c:pt idx="56">
                  <c:v>0.49547217759041362</c:v>
                </c:pt>
                <c:pt idx="57">
                  <c:v>0.49917352381949304</c:v>
                </c:pt>
                <c:pt idx="58">
                  <c:v>0.49015175024733371</c:v>
                </c:pt>
                <c:pt idx="59">
                  <c:v>0.4957836036637171</c:v>
                </c:pt>
                <c:pt idx="60">
                  <c:v>0.49748239928114757</c:v>
                </c:pt>
                <c:pt idx="61">
                  <c:v>0.47642788669497715</c:v>
                </c:pt>
                <c:pt idx="62">
                  <c:v>0.47434826787484557</c:v>
                </c:pt>
                <c:pt idx="63">
                  <c:v>0.47085513929359896</c:v>
                </c:pt>
                <c:pt idx="64">
                  <c:v>0.46502502227215164</c:v>
                </c:pt>
                <c:pt idx="65">
                  <c:v>0.45904384448538593</c:v>
                </c:pt>
                <c:pt idx="66">
                  <c:v>0.47232606705690577</c:v>
                </c:pt>
                <c:pt idx="67">
                  <c:v>0.46519891086915277</c:v>
                </c:pt>
                <c:pt idx="68">
                  <c:v>0.47834074535749049</c:v>
                </c:pt>
                <c:pt idx="69">
                  <c:v>0.47270706066027229</c:v>
                </c:pt>
                <c:pt idx="70">
                  <c:v>0.46677320573139236</c:v>
                </c:pt>
                <c:pt idx="71">
                  <c:v>0.46532726605568542</c:v>
                </c:pt>
                <c:pt idx="72">
                  <c:v>0.47944514817659706</c:v>
                </c:pt>
                <c:pt idx="73">
                  <c:v>0.48565481988969988</c:v>
                </c:pt>
                <c:pt idx="74">
                  <c:v>0.47004639472100918</c:v>
                </c:pt>
                <c:pt idx="75">
                  <c:v>0.4751646475704624</c:v>
                </c:pt>
                <c:pt idx="76">
                  <c:v>0.47663881466981051</c:v>
                </c:pt>
                <c:pt idx="77">
                  <c:v>0.46588998789811942</c:v>
                </c:pt>
                <c:pt idx="78">
                  <c:v>0.45485507057116997</c:v>
                </c:pt>
                <c:pt idx="79">
                  <c:v>0.46290812900682438</c:v>
                </c:pt>
                <c:pt idx="80">
                  <c:v>0.46804967721355012</c:v>
                </c:pt>
                <c:pt idx="81">
                  <c:v>0.4708172120741797</c:v>
                </c:pt>
                <c:pt idx="82">
                  <c:v>0.46015918400277733</c:v>
                </c:pt>
                <c:pt idx="83">
                  <c:v>0.46534879741354057</c:v>
                </c:pt>
                <c:pt idx="84">
                  <c:v>0.46927029946022103</c:v>
                </c:pt>
                <c:pt idx="85">
                  <c:v>0.46455465447139782</c:v>
                </c:pt>
                <c:pt idx="86">
                  <c:v>0.46184097651734479</c:v>
                </c:pt>
                <c:pt idx="87">
                  <c:v>0.4633923097918356</c:v>
                </c:pt>
                <c:pt idx="88">
                  <c:v>0.4741237683298582</c:v>
                </c:pt>
                <c:pt idx="89">
                  <c:v>0.47034894900668839</c:v>
                </c:pt>
                <c:pt idx="90">
                  <c:v>0.44590197634105366</c:v>
                </c:pt>
                <c:pt idx="91">
                  <c:v>0.45852683690726159</c:v>
                </c:pt>
                <c:pt idx="92">
                  <c:v>0.46127717754304848</c:v>
                </c:pt>
                <c:pt idx="93">
                  <c:v>0.47082287053156291</c:v>
                </c:pt>
                <c:pt idx="94">
                  <c:v>0.46868683930534966</c:v>
                </c:pt>
                <c:pt idx="95">
                  <c:v>0.44829626960973057</c:v>
                </c:pt>
                <c:pt idx="96">
                  <c:v>0.4375714384665273</c:v>
                </c:pt>
                <c:pt idx="97">
                  <c:v>0.43152353324084497</c:v>
                </c:pt>
                <c:pt idx="98">
                  <c:v>0.4355638374567819</c:v>
                </c:pt>
                <c:pt idx="99">
                  <c:v>0.44473935161776174</c:v>
                </c:pt>
                <c:pt idx="100">
                  <c:v>0.43322236633374944</c:v>
                </c:pt>
                <c:pt idx="101">
                  <c:v>0.43320673939771137</c:v>
                </c:pt>
                <c:pt idx="102">
                  <c:v>0.43278849415426141</c:v>
                </c:pt>
                <c:pt idx="103">
                  <c:v>0.43523896200370099</c:v>
                </c:pt>
                <c:pt idx="104">
                  <c:v>0.43640852520468632</c:v>
                </c:pt>
                <c:pt idx="105">
                  <c:v>0.43518690205755972</c:v>
                </c:pt>
                <c:pt idx="106">
                  <c:v>0.43373911387477454</c:v>
                </c:pt>
                <c:pt idx="107">
                  <c:v>0.44270573099202887</c:v>
                </c:pt>
                <c:pt idx="108">
                  <c:v>0.44307469185261211</c:v>
                </c:pt>
                <c:pt idx="109">
                  <c:v>0.44530678313577671</c:v>
                </c:pt>
                <c:pt idx="110">
                  <c:v>0.43622266021567041</c:v>
                </c:pt>
                <c:pt idx="111">
                  <c:v>0.42366909746538967</c:v>
                </c:pt>
                <c:pt idx="112">
                  <c:v>0.42562051422791092</c:v>
                </c:pt>
                <c:pt idx="113">
                  <c:v>0.42499552801475021</c:v>
                </c:pt>
                <c:pt idx="114">
                  <c:v>0.41595487354709915</c:v>
                </c:pt>
                <c:pt idx="115">
                  <c:v>0.41734731176138085</c:v>
                </c:pt>
                <c:pt idx="116">
                  <c:v>0.41031650777030027</c:v>
                </c:pt>
                <c:pt idx="117">
                  <c:v>0.40422736761664541</c:v>
                </c:pt>
                <c:pt idx="118">
                  <c:v>0.41697109609704414</c:v>
                </c:pt>
                <c:pt idx="119">
                  <c:v>0.4088964972557409</c:v>
                </c:pt>
                <c:pt idx="120">
                  <c:v>0.41274218547160285</c:v>
                </c:pt>
                <c:pt idx="121">
                  <c:v>0.40361579910852508</c:v>
                </c:pt>
                <c:pt idx="122">
                  <c:v>0.40397398258830541</c:v>
                </c:pt>
                <c:pt idx="123">
                  <c:v>0.40045135454510306</c:v>
                </c:pt>
                <c:pt idx="124">
                  <c:v>0.40618073932032017</c:v>
                </c:pt>
                <c:pt idx="125">
                  <c:v>0.3884906491170656</c:v>
                </c:pt>
                <c:pt idx="126">
                  <c:v>0.39142040556319746</c:v>
                </c:pt>
                <c:pt idx="127">
                  <c:v>0.38865730299616502</c:v>
                </c:pt>
                <c:pt idx="128">
                  <c:v>0.38560600125694705</c:v>
                </c:pt>
                <c:pt idx="129">
                  <c:v>0.38469378151825206</c:v>
                </c:pt>
                <c:pt idx="130">
                  <c:v>0.38884594752352303</c:v>
                </c:pt>
                <c:pt idx="131">
                  <c:v>0.38451355181719943</c:v>
                </c:pt>
                <c:pt idx="132">
                  <c:v>0.38406055258313165</c:v>
                </c:pt>
                <c:pt idx="133">
                  <c:v>0.37016544692920528</c:v>
                </c:pt>
                <c:pt idx="134">
                  <c:v>0.35432438370385111</c:v>
                </c:pt>
                <c:pt idx="135">
                  <c:v>0.35201958712618514</c:v>
                </c:pt>
                <c:pt idx="136">
                  <c:v>0.35493971871597679</c:v>
                </c:pt>
                <c:pt idx="137">
                  <c:v>0.36130809893888216</c:v>
                </c:pt>
                <c:pt idx="138">
                  <c:v>0.35068949716696807</c:v>
                </c:pt>
                <c:pt idx="139">
                  <c:v>0.34441403152882466</c:v>
                </c:pt>
                <c:pt idx="140">
                  <c:v>0.34110165254419489</c:v>
                </c:pt>
                <c:pt idx="141">
                  <c:v>0.33588255877073958</c:v>
                </c:pt>
                <c:pt idx="142">
                  <c:v>0.34010155940945697</c:v>
                </c:pt>
                <c:pt idx="143">
                  <c:v>0.33749305058502649</c:v>
                </c:pt>
                <c:pt idx="144">
                  <c:v>0.33899363141119165</c:v>
                </c:pt>
                <c:pt idx="145">
                  <c:v>0.35650425674348929</c:v>
                </c:pt>
                <c:pt idx="146">
                  <c:v>0.35117914921672544</c:v>
                </c:pt>
                <c:pt idx="147">
                  <c:v>0.35323804904457012</c:v>
                </c:pt>
                <c:pt idx="148">
                  <c:v>0.35995272141650342</c:v>
                </c:pt>
                <c:pt idx="149">
                  <c:v>0.34025453566680758</c:v>
                </c:pt>
                <c:pt idx="150">
                  <c:v>0.33288917662083795</c:v>
                </c:pt>
                <c:pt idx="151">
                  <c:v>0.31963616412559936</c:v>
                </c:pt>
                <c:pt idx="152">
                  <c:v>0.31821608918528232</c:v>
                </c:pt>
                <c:pt idx="153">
                  <c:v>0.32237289045956402</c:v>
                </c:pt>
                <c:pt idx="154">
                  <c:v>0.31487322652191935</c:v>
                </c:pt>
                <c:pt idx="155">
                  <c:v>0.31759167081974959</c:v>
                </c:pt>
                <c:pt idx="156">
                  <c:v>0.32087722739706454</c:v>
                </c:pt>
                <c:pt idx="157">
                  <c:v>0.32429278646947668</c:v>
                </c:pt>
                <c:pt idx="158">
                  <c:v>0.31098458424601894</c:v>
                </c:pt>
                <c:pt idx="159">
                  <c:v>0.31291118806713675</c:v>
                </c:pt>
                <c:pt idx="160">
                  <c:v>0.31120071493621515</c:v>
                </c:pt>
                <c:pt idx="161">
                  <c:v>0.30431562029794956</c:v>
                </c:pt>
                <c:pt idx="162">
                  <c:v>0.29686195077222327</c:v>
                </c:pt>
                <c:pt idx="163">
                  <c:v>0.29076771702536902</c:v>
                </c:pt>
                <c:pt idx="164">
                  <c:v>0.29485250645956795</c:v>
                </c:pt>
                <c:pt idx="165">
                  <c:v>0.29172424211753795</c:v>
                </c:pt>
                <c:pt idx="166">
                  <c:v>0.29507541684022504</c:v>
                </c:pt>
                <c:pt idx="167">
                  <c:v>0.28766508964074317</c:v>
                </c:pt>
                <c:pt idx="168">
                  <c:v>0.28390937286265328</c:v>
                </c:pt>
                <c:pt idx="169">
                  <c:v>0.279197867118888</c:v>
                </c:pt>
                <c:pt idx="170">
                  <c:v>0.28538405154972629</c:v>
                </c:pt>
                <c:pt idx="171">
                  <c:v>0.27797145054029987</c:v>
                </c:pt>
                <c:pt idx="172">
                  <c:v>0.28923332930790491</c:v>
                </c:pt>
                <c:pt idx="173">
                  <c:v>0.27802881604229185</c:v>
                </c:pt>
                <c:pt idx="174">
                  <c:v>0.27397989659577132</c:v>
                </c:pt>
                <c:pt idx="175">
                  <c:v>0.27719895424100915</c:v>
                </c:pt>
                <c:pt idx="176">
                  <c:v>0.27846002608627807</c:v>
                </c:pt>
                <c:pt idx="177">
                  <c:v>0.26998310119612018</c:v>
                </c:pt>
                <c:pt idx="178">
                  <c:v>0.26356324402225484</c:v>
                </c:pt>
                <c:pt idx="179">
                  <c:v>0.26663030633431895</c:v>
                </c:pt>
                <c:pt idx="180">
                  <c:v>0.27271284463895518</c:v>
                </c:pt>
                <c:pt idx="181">
                  <c:v>0.26505730059977523</c:v>
                </c:pt>
                <c:pt idx="182">
                  <c:v>0.26670164448723799</c:v>
                </c:pt>
                <c:pt idx="183">
                  <c:v>0.2835452040127498</c:v>
                </c:pt>
                <c:pt idx="184">
                  <c:v>0.28024559641215907</c:v>
                </c:pt>
                <c:pt idx="185">
                  <c:v>0.28096453930459148</c:v>
                </c:pt>
                <c:pt idx="186">
                  <c:v>0.27789218672992644</c:v>
                </c:pt>
                <c:pt idx="187">
                  <c:v>0.2696186328211691</c:v>
                </c:pt>
                <c:pt idx="188">
                  <c:v>0.26292982424557199</c:v>
                </c:pt>
                <c:pt idx="189">
                  <c:v>0.26467134398681752</c:v>
                </c:pt>
                <c:pt idx="190">
                  <c:v>0.26145295600049101</c:v>
                </c:pt>
                <c:pt idx="191">
                  <c:v>0.26109385620298753</c:v>
                </c:pt>
                <c:pt idx="192">
                  <c:v>0.25915787527477846</c:v>
                </c:pt>
                <c:pt idx="193">
                  <c:v>0.26140929791534073</c:v>
                </c:pt>
                <c:pt idx="194">
                  <c:v>0.25420315512311581</c:v>
                </c:pt>
                <c:pt idx="195">
                  <c:v>0.24280667226374775</c:v>
                </c:pt>
                <c:pt idx="196">
                  <c:v>0.24976135310299286</c:v>
                </c:pt>
                <c:pt idx="197">
                  <c:v>0.24796668326560928</c:v>
                </c:pt>
                <c:pt idx="198">
                  <c:v>0.24646523174759177</c:v>
                </c:pt>
                <c:pt idx="199">
                  <c:v>0.23996635438294306</c:v>
                </c:pt>
                <c:pt idx="200">
                  <c:v>0.24842429460907667</c:v>
                </c:pt>
                <c:pt idx="201">
                  <c:v>0.25746094677062598</c:v>
                </c:pt>
                <c:pt idx="202">
                  <c:v>0.26445497556422404</c:v>
                </c:pt>
                <c:pt idx="203">
                  <c:v>0.25933232690169383</c:v>
                </c:pt>
                <c:pt idx="204">
                  <c:v>0.25574494072308179</c:v>
                </c:pt>
                <c:pt idx="205">
                  <c:v>0.25984615453250065</c:v>
                </c:pt>
                <c:pt idx="206">
                  <c:v>0.24561997918834647</c:v>
                </c:pt>
                <c:pt idx="207">
                  <c:v>0.25395726030070831</c:v>
                </c:pt>
                <c:pt idx="208">
                  <c:v>0.26939689645944981</c:v>
                </c:pt>
                <c:pt idx="209">
                  <c:v>0.27917301114816112</c:v>
                </c:pt>
                <c:pt idx="210">
                  <c:v>0.27923565658911659</c:v>
                </c:pt>
                <c:pt idx="211">
                  <c:v>0.27093112011909137</c:v>
                </c:pt>
                <c:pt idx="212">
                  <c:v>0.2636178733391395</c:v>
                </c:pt>
                <c:pt idx="213">
                  <c:v>0.26759170040009944</c:v>
                </c:pt>
                <c:pt idx="214">
                  <c:v>0.26413290274157664</c:v>
                </c:pt>
                <c:pt idx="215">
                  <c:v>0.26575804803260883</c:v>
                </c:pt>
                <c:pt idx="216">
                  <c:v>0.2711354076819224</c:v>
                </c:pt>
                <c:pt idx="217">
                  <c:v>0.2712653477904412</c:v>
                </c:pt>
                <c:pt idx="218">
                  <c:v>0.2746597131337743</c:v>
                </c:pt>
                <c:pt idx="219">
                  <c:v>0.27057198256592985</c:v>
                </c:pt>
                <c:pt idx="220">
                  <c:v>0.27061269513468145</c:v>
                </c:pt>
                <c:pt idx="221">
                  <c:v>0.27866255808304724</c:v>
                </c:pt>
                <c:pt idx="222">
                  <c:v>0.28133335420701988</c:v>
                </c:pt>
                <c:pt idx="223">
                  <c:v>0.27869545210731167</c:v>
                </c:pt>
                <c:pt idx="224">
                  <c:v>0.2850784118934675</c:v>
                </c:pt>
                <c:pt idx="225">
                  <c:v>0.29000977917108467</c:v>
                </c:pt>
                <c:pt idx="226">
                  <c:v>0.28373160887272286</c:v>
                </c:pt>
                <c:pt idx="227">
                  <c:v>0.28774156318478405</c:v>
                </c:pt>
                <c:pt idx="228">
                  <c:v>0.28185469703727983</c:v>
                </c:pt>
                <c:pt idx="229">
                  <c:v>0.28166333936901061</c:v>
                </c:pt>
                <c:pt idx="230">
                  <c:v>0.27296419638052749</c:v>
                </c:pt>
                <c:pt idx="231">
                  <c:v>0.27937241730690759</c:v>
                </c:pt>
                <c:pt idx="232">
                  <c:v>0.28891752436891038</c:v>
                </c:pt>
                <c:pt idx="233">
                  <c:v>0.28844795135189644</c:v>
                </c:pt>
                <c:pt idx="234">
                  <c:v>0.29614631295067928</c:v>
                </c:pt>
                <c:pt idx="235">
                  <c:v>0.29192572913758652</c:v>
                </c:pt>
                <c:pt idx="236">
                  <c:v>0.29051729518754682</c:v>
                </c:pt>
                <c:pt idx="237">
                  <c:v>0.28066828100006758</c:v>
                </c:pt>
                <c:pt idx="238">
                  <c:v>0.27686340335790482</c:v>
                </c:pt>
                <c:pt idx="239">
                  <c:v>0.26618478381500543</c:v>
                </c:pt>
                <c:pt idx="240">
                  <c:v>0.26413589611694627</c:v>
                </c:pt>
                <c:pt idx="241">
                  <c:v>0.254648669964886</c:v>
                </c:pt>
                <c:pt idx="242">
                  <c:v>0.25517508618730006</c:v>
                </c:pt>
                <c:pt idx="243">
                  <c:v>0.24919751612724403</c:v>
                </c:pt>
                <c:pt idx="244">
                  <c:v>0.23730487722833846</c:v>
                </c:pt>
                <c:pt idx="245">
                  <c:v>0.24039174514427411</c:v>
                </c:pt>
                <c:pt idx="246">
                  <c:v>0.23794018260485267</c:v>
                </c:pt>
                <c:pt idx="247">
                  <c:v>0.23271128645983435</c:v>
                </c:pt>
                <c:pt idx="248">
                  <c:v>0.23094817988755595</c:v>
                </c:pt>
                <c:pt idx="249">
                  <c:v>0.23688239945712741</c:v>
                </c:pt>
                <c:pt idx="250">
                  <c:v>0.233890755600213</c:v>
                </c:pt>
                <c:pt idx="251">
                  <c:v>0.23329765521583479</c:v>
                </c:pt>
                <c:pt idx="252">
                  <c:v>0.23827822474982779</c:v>
                </c:pt>
                <c:pt idx="253">
                  <c:v>0.23919564623634185</c:v>
                </c:pt>
                <c:pt idx="254">
                  <c:v>0.23831503009460719</c:v>
                </c:pt>
                <c:pt idx="255">
                  <c:v>0.24164523838378768</c:v>
                </c:pt>
                <c:pt idx="256">
                  <c:v>0.23797406819313308</c:v>
                </c:pt>
                <c:pt idx="257">
                  <c:v>0.23763376700762973</c:v>
                </c:pt>
                <c:pt idx="258">
                  <c:v>0.23092297421047783</c:v>
                </c:pt>
                <c:pt idx="259">
                  <c:v>0.2225012439290191</c:v>
                </c:pt>
                <c:pt idx="260">
                  <c:v>0.23102998267238153</c:v>
                </c:pt>
                <c:pt idx="261">
                  <c:v>0.2319987201515144</c:v>
                </c:pt>
                <c:pt idx="262">
                  <c:v>0.22789991170637872</c:v>
                </c:pt>
                <c:pt idx="263">
                  <c:v>0.22649861029371698</c:v>
                </c:pt>
                <c:pt idx="264">
                  <c:v>0.22226192831291361</c:v>
                </c:pt>
                <c:pt idx="265">
                  <c:v>0.21607152399823354</c:v>
                </c:pt>
                <c:pt idx="266">
                  <c:v>0.21184129771278989</c:v>
                </c:pt>
                <c:pt idx="267">
                  <c:v>0.21573476922633081</c:v>
                </c:pt>
                <c:pt idx="268">
                  <c:v>0.21165106922663204</c:v>
                </c:pt>
                <c:pt idx="269">
                  <c:v>0.20133512232914302</c:v>
                </c:pt>
                <c:pt idx="270">
                  <c:v>0.19811192221419469</c:v>
                </c:pt>
                <c:pt idx="271">
                  <c:v>0.20562563245307464</c:v>
                </c:pt>
                <c:pt idx="272">
                  <c:v>0.20343570350716822</c:v>
                </c:pt>
                <c:pt idx="273">
                  <c:v>0.19702400518752358</c:v>
                </c:pt>
                <c:pt idx="274">
                  <c:v>0.20134372328151637</c:v>
                </c:pt>
                <c:pt idx="275">
                  <c:v>0.2024758449702653</c:v>
                </c:pt>
                <c:pt idx="276">
                  <c:v>0.20179346893987296</c:v>
                </c:pt>
                <c:pt idx="277">
                  <c:v>0.20052689045283467</c:v>
                </c:pt>
                <c:pt idx="278">
                  <c:v>0.19569936715192196</c:v>
                </c:pt>
                <c:pt idx="279">
                  <c:v>0.19595514946251572</c:v>
                </c:pt>
                <c:pt idx="280">
                  <c:v>0.19856448035209831</c:v>
                </c:pt>
                <c:pt idx="281">
                  <c:v>0.20328425137311917</c:v>
                </c:pt>
                <c:pt idx="282">
                  <c:v>0.20441848212182048</c:v>
                </c:pt>
                <c:pt idx="283">
                  <c:v>0.2063211690080875</c:v>
                </c:pt>
                <c:pt idx="284">
                  <c:v>0.21274242396243631</c:v>
                </c:pt>
                <c:pt idx="285">
                  <c:v>0.20931187453200251</c:v>
                </c:pt>
                <c:pt idx="286">
                  <c:v>0.20594982153413643</c:v>
                </c:pt>
                <c:pt idx="287">
                  <c:v>0.19738898623790205</c:v>
                </c:pt>
                <c:pt idx="288">
                  <c:v>0.19380273425859168</c:v>
                </c:pt>
                <c:pt idx="289">
                  <c:v>0.19793086128584031</c:v>
                </c:pt>
                <c:pt idx="290">
                  <c:v>0.19745233939462409</c:v>
                </c:pt>
                <c:pt idx="291">
                  <c:v>0.19837698749237451</c:v>
                </c:pt>
                <c:pt idx="292">
                  <c:v>0.19967200200515298</c:v>
                </c:pt>
                <c:pt idx="293">
                  <c:v>0.20291070943071601</c:v>
                </c:pt>
                <c:pt idx="294">
                  <c:v>0.2127835199487951</c:v>
                </c:pt>
                <c:pt idx="295">
                  <c:v>0.20672440261256272</c:v>
                </c:pt>
                <c:pt idx="296">
                  <c:v>0.20581761571532114</c:v>
                </c:pt>
                <c:pt idx="297">
                  <c:v>0.20811529232979054</c:v>
                </c:pt>
                <c:pt idx="298">
                  <c:v>0.21003444323736456</c:v>
                </c:pt>
                <c:pt idx="299">
                  <c:v>0.21553041517765767</c:v>
                </c:pt>
                <c:pt idx="300">
                  <c:v>0.21556381405140657</c:v>
                </c:pt>
                <c:pt idx="301">
                  <c:v>0.20677477439112357</c:v>
                </c:pt>
                <c:pt idx="302">
                  <c:v>0.19767266007386541</c:v>
                </c:pt>
                <c:pt idx="303">
                  <c:v>0.20870437227594349</c:v>
                </c:pt>
                <c:pt idx="304">
                  <c:v>0.20790894654703945</c:v>
                </c:pt>
                <c:pt idx="305">
                  <c:v>0.20969334250611787</c:v>
                </c:pt>
                <c:pt idx="306">
                  <c:v>0.21219434204062454</c:v>
                </c:pt>
                <c:pt idx="307">
                  <c:v>0.20810665967375752</c:v>
                </c:pt>
                <c:pt idx="308">
                  <c:v>0.20641034517960449</c:v>
                </c:pt>
                <c:pt idx="309">
                  <c:v>0.20585993206631817</c:v>
                </c:pt>
                <c:pt idx="310">
                  <c:v>0.20637375256670629</c:v>
                </c:pt>
                <c:pt idx="311">
                  <c:v>0.20565490700881855</c:v>
                </c:pt>
                <c:pt idx="312">
                  <c:v>0.19929880395050578</c:v>
                </c:pt>
                <c:pt idx="313">
                  <c:v>0.1930751575528637</c:v>
                </c:pt>
                <c:pt idx="314">
                  <c:v>0.19033330835858542</c:v>
                </c:pt>
                <c:pt idx="315">
                  <c:v>0.19462676873336543</c:v>
                </c:pt>
                <c:pt idx="316">
                  <c:v>0.19777696054783428</c:v>
                </c:pt>
                <c:pt idx="317">
                  <c:v>0.19670298600390448</c:v>
                </c:pt>
                <c:pt idx="318">
                  <c:v>0.19689952760404941</c:v>
                </c:pt>
                <c:pt idx="319">
                  <c:v>0.19562782011324642</c:v>
                </c:pt>
                <c:pt idx="320">
                  <c:v>0.1953313714771589</c:v>
                </c:pt>
                <c:pt idx="321">
                  <c:v>0.19708239671176503</c:v>
                </c:pt>
                <c:pt idx="322">
                  <c:v>0.19704583802602263</c:v>
                </c:pt>
                <c:pt idx="323">
                  <c:v>0.19658277961126833</c:v>
                </c:pt>
                <c:pt idx="324">
                  <c:v>0.19500090444776139</c:v>
                </c:pt>
                <c:pt idx="325">
                  <c:v>0.19614615555327619</c:v>
                </c:pt>
                <c:pt idx="326">
                  <c:v>0.19809600720501017</c:v>
                </c:pt>
                <c:pt idx="327">
                  <c:v>0.19608624711361688</c:v>
                </c:pt>
                <c:pt idx="328">
                  <c:v>0.19190897930944703</c:v>
                </c:pt>
                <c:pt idx="329">
                  <c:v>0.19423244621904903</c:v>
                </c:pt>
                <c:pt idx="330">
                  <c:v>0.18797911390321889</c:v>
                </c:pt>
                <c:pt idx="331">
                  <c:v>0.18830102469882326</c:v>
                </c:pt>
                <c:pt idx="332">
                  <c:v>0.1787897555666923</c:v>
                </c:pt>
                <c:pt idx="333">
                  <c:v>0.18318085319982902</c:v>
                </c:pt>
                <c:pt idx="334">
                  <c:v>0.18180316265740445</c:v>
                </c:pt>
                <c:pt idx="335">
                  <c:v>0.18523945484364074</c:v>
                </c:pt>
                <c:pt idx="336">
                  <c:v>0.1814150564817445</c:v>
                </c:pt>
                <c:pt idx="337">
                  <c:v>0.18590123779583828</c:v>
                </c:pt>
                <c:pt idx="338">
                  <c:v>0.18401272331855101</c:v>
                </c:pt>
                <c:pt idx="339">
                  <c:v>0.18868281445450436</c:v>
                </c:pt>
                <c:pt idx="340">
                  <c:v>0.1946358355776534</c:v>
                </c:pt>
                <c:pt idx="341">
                  <c:v>0.19655549790042573</c:v>
                </c:pt>
                <c:pt idx="342">
                  <c:v>0.19047276068296343</c:v>
                </c:pt>
                <c:pt idx="343">
                  <c:v>0.1896942648029456</c:v>
                </c:pt>
                <c:pt idx="344">
                  <c:v>0.18708842393672992</c:v>
                </c:pt>
                <c:pt idx="345">
                  <c:v>0.18808533325976443</c:v>
                </c:pt>
                <c:pt idx="346">
                  <c:v>0.18902497225567513</c:v>
                </c:pt>
                <c:pt idx="347">
                  <c:v>0.19210154854022854</c:v>
                </c:pt>
                <c:pt idx="348">
                  <c:v>0.18813418151169392</c:v>
                </c:pt>
                <c:pt idx="349">
                  <c:v>0.1822603213542438</c:v>
                </c:pt>
                <c:pt idx="350">
                  <c:v>0.18309707459811861</c:v>
                </c:pt>
                <c:pt idx="351">
                  <c:v>0.17898490141961049</c:v>
                </c:pt>
                <c:pt idx="352">
                  <c:v>0.17795508887602074</c:v>
                </c:pt>
                <c:pt idx="353">
                  <c:v>0.17515384914339049</c:v>
                </c:pt>
                <c:pt idx="354">
                  <c:v>0.16997924010613111</c:v>
                </c:pt>
                <c:pt idx="355">
                  <c:v>0.16725093043671432</c:v>
                </c:pt>
                <c:pt idx="356">
                  <c:v>0.17160718611698483</c:v>
                </c:pt>
                <c:pt idx="357">
                  <c:v>0.16758529076423645</c:v>
                </c:pt>
                <c:pt idx="358">
                  <c:v>0.16919443972455425</c:v>
                </c:pt>
                <c:pt idx="359">
                  <c:v>0.16590577995468853</c:v>
                </c:pt>
                <c:pt idx="360">
                  <c:v>0.16550735394016106</c:v>
                </c:pt>
                <c:pt idx="361">
                  <c:v>0.15900626844380056</c:v>
                </c:pt>
                <c:pt idx="362">
                  <c:v>0.16124336861803043</c:v>
                </c:pt>
                <c:pt idx="363">
                  <c:v>0.16471321050811769</c:v>
                </c:pt>
                <c:pt idx="364">
                  <c:v>0.16477623331094837</c:v>
                </c:pt>
                <c:pt idx="365">
                  <c:v>0.16656341021944238</c:v>
                </c:pt>
                <c:pt idx="366">
                  <c:v>0.16842107915564863</c:v>
                </c:pt>
                <c:pt idx="367">
                  <c:v>0.16340070597744416</c:v>
                </c:pt>
                <c:pt idx="368">
                  <c:v>0.16005047046120313</c:v>
                </c:pt>
                <c:pt idx="369">
                  <c:v>0.15697074399005514</c:v>
                </c:pt>
                <c:pt idx="370">
                  <c:v>0.15653302998981516</c:v>
                </c:pt>
                <c:pt idx="371">
                  <c:v>0.15670139749554235</c:v>
                </c:pt>
                <c:pt idx="372">
                  <c:v>0.15550428234840497</c:v>
                </c:pt>
                <c:pt idx="373">
                  <c:v>0.16011651835854385</c:v>
                </c:pt>
                <c:pt idx="374">
                  <c:v>0.15889573472058766</c:v>
                </c:pt>
                <c:pt idx="375">
                  <c:v>0.1544740827312045</c:v>
                </c:pt>
                <c:pt idx="376">
                  <c:v>0.15431351873430338</c:v>
                </c:pt>
                <c:pt idx="377">
                  <c:v>0.15351104485527584</c:v>
                </c:pt>
                <c:pt idx="378">
                  <c:v>0.1531738160637808</c:v>
                </c:pt>
                <c:pt idx="379">
                  <c:v>0.15473069788547456</c:v>
                </c:pt>
                <c:pt idx="380">
                  <c:v>0.15366800820404095</c:v>
                </c:pt>
                <c:pt idx="381">
                  <c:v>0.15319547523895022</c:v>
                </c:pt>
                <c:pt idx="382">
                  <c:v>0.14607018759986845</c:v>
                </c:pt>
                <c:pt idx="383">
                  <c:v>0.14425218216318925</c:v>
                </c:pt>
                <c:pt idx="384">
                  <c:v>0.14549289251545477</c:v>
                </c:pt>
                <c:pt idx="385">
                  <c:v>0.14327181747868584</c:v>
                </c:pt>
                <c:pt idx="386">
                  <c:v>0.14323193462267433</c:v>
                </c:pt>
                <c:pt idx="387">
                  <c:v>0.14122287547028287</c:v>
                </c:pt>
                <c:pt idx="388">
                  <c:v>0.14166017838641162</c:v>
                </c:pt>
                <c:pt idx="389">
                  <c:v>0.14025136706481492</c:v>
                </c:pt>
                <c:pt idx="390">
                  <c:v>0.14231707837957308</c:v>
                </c:pt>
                <c:pt idx="391">
                  <c:v>0.14347506268415919</c:v>
                </c:pt>
                <c:pt idx="392">
                  <c:v>0.14338335942790753</c:v>
                </c:pt>
                <c:pt idx="393">
                  <c:v>0.14488213643231965</c:v>
                </c:pt>
                <c:pt idx="394">
                  <c:v>0.1455187705263119</c:v>
                </c:pt>
                <c:pt idx="395">
                  <c:v>0.14694270119459726</c:v>
                </c:pt>
                <c:pt idx="396">
                  <c:v>0.1503510347806512</c:v>
                </c:pt>
                <c:pt idx="397">
                  <c:v>0.1507807294969849</c:v>
                </c:pt>
                <c:pt idx="398">
                  <c:v>0.14844675162381238</c:v>
                </c:pt>
                <c:pt idx="399">
                  <c:v>0.1433947641203506</c:v>
                </c:pt>
                <c:pt idx="400">
                  <c:v>0.13991824030726888</c:v>
                </c:pt>
                <c:pt idx="401">
                  <c:v>0.14755546794429095</c:v>
                </c:pt>
                <c:pt idx="402">
                  <c:v>0.14769382889325383</c:v>
                </c:pt>
                <c:pt idx="403">
                  <c:v>0.14753567813711516</c:v>
                </c:pt>
                <c:pt idx="404">
                  <c:v>0.14666119359710189</c:v>
                </c:pt>
                <c:pt idx="405">
                  <c:v>0.1507586564423341</c:v>
                </c:pt>
                <c:pt idx="406">
                  <c:v>0.14844832391276533</c:v>
                </c:pt>
                <c:pt idx="407">
                  <c:v>0.15257360941970127</c:v>
                </c:pt>
                <c:pt idx="408">
                  <c:v>0.15232481631028177</c:v>
                </c:pt>
                <c:pt idx="409">
                  <c:v>0.1510884305544806</c:v>
                </c:pt>
                <c:pt idx="410">
                  <c:v>0.15118761429365141</c:v>
                </c:pt>
                <c:pt idx="411">
                  <c:v>0.1555789760028698</c:v>
                </c:pt>
                <c:pt idx="412">
                  <c:v>0.15298010621332789</c:v>
                </c:pt>
                <c:pt idx="413">
                  <c:v>0.15194825933130277</c:v>
                </c:pt>
                <c:pt idx="414">
                  <c:v>0.15352565311996155</c:v>
                </c:pt>
                <c:pt idx="415">
                  <c:v>0.15474237085908976</c:v>
                </c:pt>
                <c:pt idx="416">
                  <c:v>0.15609602334619657</c:v>
                </c:pt>
                <c:pt idx="417">
                  <c:v>0.15635170470909901</c:v>
                </c:pt>
                <c:pt idx="418">
                  <c:v>0.15838367768078665</c:v>
                </c:pt>
                <c:pt idx="419">
                  <c:v>0.15868389664574797</c:v>
                </c:pt>
                <c:pt idx="420">
                  <c:v>0.15850401039097101</c:v>
                </c:pt>
                <c:pt idx="421">
                  <c:v>0.15395278065391171</c:v>
                </c:pt>
                <c:pt idx="422">
                  <c:v>0.15662365479595963</c:v>
                </c:pt>
                <c:pt idx="423">
                  <c:v>0.15778152923589955</c:v>
                </c:pt>
                <c:pt idx="424">
                  <c:v>0.15775951263757926</c:v>
                </c:pt>
                <c:pt idx="425">
                  <c:v>0.16017526716986752</c:v>
                </c:pt>
                <c:pt idx="426">
                  <c:v>0.15975030313954744</c:v>
                </c:pt>
                <c:pt idx="427">
                  <c:v>0.15750012350456188</c:v>
                </c:pt>
                <c:pt idx="428">
                  <c:v>0.16097485682282039</c:v>
                </c:pt>
                <c:pt idx="429">
                  <c:v>0.16290238967592111</c:v>
                </c:pt>
                <c:pt idx="430">
                  <c:v>0.16408250602675051</c:v>
                </c:pt>
                <c:pt idx="431">
                  <c:v>0.1618556503686284</c:v>
                </c:pt>
                <c:pt idx="432">
                  <c:v>0.16550914674692493</c:v>
                </c:pt>
                <c:pt idx="433">
                  <c:v>0.16180519566838344</c:v>
                </c:pt>
                <c:pt idx="434">
                  <c:v>0.16564068587728364</c:v>
                </c:pt>
                <c:pt idx="435">
                  <c:v>0.16516540345975894</c:v>
                </c:pt>
                <c:pt idx="436">
                  <c:v>0.16506508469031525</c:v>
                </c:pt>
                <c:pt idx="437">
                  <c:v>0.1667057952234075</c:v>
                </c:pt>
                <c:pt idx="438">
                  <c:v>0.16784866110620675</c:v>
                </c:pt>
                <c:pt idx="439">
                  <c:v>0.16265525546071513</c:v>
                </c:pt>
                <c:pt idx="440">
                  <c:v>0.15717755738558895</c:v>
                </c:pt>
                <c:pt idx="441">
                  <c:v>0.15895878648074205</c:v>
                </c:pt>
                <c:pt idx="442">
                  <c:v>0.15574986058543494</c:v>
                </c:pt>
                <c:pt idx="443">
                  <c:v>0.1557380230171049</c:v>
                </c:pt>
                <c:pt idx="444">
                  <c:v>0.1513753373003735</c:v>
                </c:pt>
                <c:pt idx="445">
                  <c:v>0.15051334614264036</c:v>
                </c:pt>
                <c:pt idx="446">
                  <c:v>0.14772534940478105</c:v>
                </c:pt>
                <c:pt idx="447">
                  <c:v>0.1503963542617274</c:v>
                </c:pt>
                <c:pt idx="448">
                  <c:v>0.15437879701391927</c:v>
                </c:pt>
                <c:pt idx="449">
                  <c:v>0.15482851893857272</c:v>
                </c:pt>
                <c:pt idx="450">
                  <c:v>0.15098432180019183</c:v>
                </c:pt>
                <c:pt idx="451">
                  <c:v>0.14959967851037911</c:v>
                </c:pt>
                <c:pt idx="452">
                  <c:v>0.14689134129152528</c:v>
                </c:pt>
                <c:pt idx="453">
                  <c:v>0.14621483147754996</c:v>
                </c:pt>
                <c:pt idx="454">
                  <c:v>0.15260791392581965</c:v>
                </c:pt>
                <c:pt idx="455">
                  <c:v>0.15050217279803402</c:v>
                </c:pt>
                <c:pt idx="456">
                  <c:v>0.15102260035089396</c:v>
                </c:pt>
                <c:pt idx="457">
                  <c:v>0.15002493236541331</c:v>
                </c:pt>
                <c:pt idx="458">
                  <c:v>0.15141904832655997</c:v>
                </c:pt>
                <c:pt idx="459">
                  <c:v>0.14731304809299076</c:v>
                </c:pt>
                <c:pt idx="460">
                  <c:v>0.150535344619013</c:v>
                </c:pt>
                <c:pt idx="461">
                  <c:v>0.152719845417809</c:v>
                </c:pt>
                <c:pt idx="462">
                  <c:v>0.15414083341517124</c:v>
                </c:pt>
                <c:pt idx="463">
                  <c:v>0.15681398198066976</c:v>
                </c:pt>
                <c:pt idx="464">
                  <c:v>0.16031713341084064</c:v>
                </c:pt>
                <c:pt idx="465">
                  <c:v>0.1593506706975803</c:v>
                </c:pt>
                <c:pt idx="466">
                  <c:v>0.15805249348229902</c:v>
                </c:pt>
                <c:pt idx="467">
                  <c:v>0.15119390667693763</c:v>
                </c:pt>
                <c:pt idx="468">
                  <c:v>0.15000696225104054</c:v>
                </c:pt>
                <c:pt idx="469">
                  <c:v>0.15375686966587862</c:v>
                </c:pt>
                <c:pt idx="470">
                  <c:v>0.15613968715682988</c:v>
                </c:pt>
                <c:pt idx="471">
                  <c:v>0.15497961728546567</c:v>
                </c:pt>
                <c:pt idx="472">
                  <c:v>0.15473251701431581</c:v>
                </c:pt>
                <c:pt idx="473">
                  <c:v>0.14638899192493626</c:v>
                </c:pt>
                <c:pt idx="474">
                  <c:v>0.14533995423627891</c:v>
                </c:pt>
                <c:pt idx="475">
                  <c:v>0.14971675896618378</c:v>
                </c:pt>
                <c:pt idx="476">
                  <c:v>0.15244353779492517</c:v>
                </c:pt>
                <c:pt idx="477">
                  <c:v>0.15124313658824742</c:v>
                </c:pt>
                <c:pt idx="478">
                  <c:v>0.15345588452711406</c:v>
                </c:pt>
                <c:pt idx="479">
                  <c:v>0.14872998047944183</c:v>
                </c:pt>
                <c:pt idx="480">
                  <c:v>0.14655084612202496</c:v>
                </c:pt>
                <c:pt idx="481">
                  <c:v>0.1488196827435716</c:v>
                </c:pt>
                <c:pt idx="482">
                  <c:v>0.14443026231744549</c:v>
                </c:pt>
                <c:pt idx="483">
                  <c:v>0.14692358011741041</c:v>
                </c:pt>
                <c:pt idx="484">
                  <c:v>0.15026763316114292</c:v>
                </c:pt>
                <c:pt idx="485">
                  <c:v>0.14218156754872996</c:v>
                </c:pt>
                <c:pt idx="486">
                  <c:v>0.14006782893115913</c:v>
                </c:pt>
                <c:pt idx="487">
                  <c:v>0.14685455663322416</c:v>
                </c:pt>
                <c:pt idx="488">
                  <c:v>0.14103518019297842</c:v>
                </c:pt>
                <c:pt idx="489">
                  <c:v>0.14068122069229469</c:v>
                </c:pt>
                <c:pt idx="490">
                  <c:v>0.1443234917805041</c:v>
                </c:pt>
                <c:pt idx="491">
                  <c:v>0.14293191855768231</c:v>
                </c:pt>
                <c:pt idx="492">
                  <c:v>0.14034726833547784</c:v>
                </c:pt>
                <c:pt idx="493">
                  <c:v>0.14295971931894022</c:v>
                </c:pt>
                <c:pt idx="494">
                  <c:v>0.14389014918137638</c:v>
                </c:pt>
                <c:pt idx="495">
                  <c:v>0.14542752945744772</c:v>
                </c:pt>
                <c:pt idx="496">
                  <c:v>0.15079493748567804</c:v>
                </c:pt>
                <c:pt idx="497">
                  <c:v>0.1478337166794331</c:v>
                </c:pt>
                <c:pt idx="498">
                  <c:v>0.1460011974231053</c:v>
                </c:pt>
                <c:pt idx="499">
                  <c:v>0.14296805788372205</c:v>
                </c:pt>
                <c:pt idx="500">
                  <c:v>0.14473948943969331</c:v>
                </c:pt>
                <c:pt idx="501">
                  <c:v>0.14130420841042426</c:v>
                </c:pt>
                <c:pt idx="502">
                  <c:v>0.14318452635799003</c:v>
                </c:pt>
                <c:pt idx="503">
                  <c:v>0.13718666994103693</c:v>
                </c:pt>
                <c:pt idx="504">
                  <c:v>0.13368976433741314</c:v>
                </c:pt>
                <c:pt idx="505">
                  <c:v>0.13454729467629398</c:v>
                </c:pt>
                <c:pt idx="506">
                  <c:v>0.13500256184584725</c:v>
                </c:pt>
                <c:pt idx="507">
                  <c:v>0.13617403261282099</c:v>
                </c:pt>
                <c:pt idx="508">
                  <c:v>0.13595684079162018</c:v>
                </c:pt>
                <c:pt idx="509">
                  <c:v>0.13928472649259177</c:v>
                </c:pt>
                <c:pt idx="510">
                  <c:v>0.13912889362768863</c:v>
                </c:pt>
                <c:pt idx="511">
                  <c:v>0.13779316234841785</c:v>
                </c:pt>
                <c:pt idx="512">
                  <c:v>0.13498932727973703</c:v>
                </c:pt>
                <c:pt idx="513">
                  <c:v>0.1316231613591525</c:v>
                </c:pt>
                <c:pt idx="514">
                  <c:v>0.13133899943411956</c:v>
                </c:pt>
                <c:pt idx="515">
                  <c:v>0.12919418549216086</c:v>
                </c:pt>
                <c:pt idx="516">
                  <c:v>0.12953888496518684</c:v>
                </c:pt>
                <c:pt idx="517">
                  <c:v>0.12802211388903209</c:v>
                </c:pt>
                <c:pt idx="518">
                  <c:v>0.13175920043254241</c:v>
                </c:pt>
                <c:pt idx="519">
                  <c:v>0.12837420224424403</c:v>
                </c:pt>
                <c:pt idx="520">
                  <c:v>0.12738217711478403</c:v>
                </c:pt>
                <c:pt idx="521">
                  <c:v>0.12715461386300791</c:v>
                </c:pt>
                <c:pt idx="522">
                  <c:v>0.12618260618972632</c:v>
                </c:pt>
                <c:pt idx="523">
                  <c:v>0.12294279649308257</c:v>
                </c:pt>
                <c:pt idx="524">
                  <c:v>0.12179897793949826</c:v>
                </c:pt>
                <c:pt idx="525">
                  <c:v>0.11898051614125135</c:v>
                </c:pt>
                <c:pt idx="526">
                  <c:v>0.11956442908588678</c:v>
                </c:pt>
                <c:pt idx="527">
                  <c:v>0.11755257992002036</c:v>
                </c:pt>
                <c:pt idx="528">
                  <c:v>0.12154900213307479</c:v>
                </c:pt>
                <c:pt idx="529">
                  <c:v>0.11849165018030856</c:v>
                </c:pt>
                <c:pt idx="530">
                  <c:v>0.11465180840979312</c:v>
                </c:pt>
                <c:pt idx="531">
                  <c:v>0.11908283928516822</c:v>
                </c:pt>
                <c:pt idx="532">
                  <c:v>0.11865450359537331</c:v>
                </c:pt>
                <c:pt idx="533">
                  <c:v>0.11676847048150239</c:v>
                </c:pt>
                <c:pt idx="534">
                  <c:v>0.1161692645413915</c:v>
                </c:pt>
                <c:pt idx="535">
                  <c:v>0.11677685647149967</c:v>
                </c:pt>
                <c:pt idx="536">
                  <c:v>0.11150907421454742</c:v>
                </c:pt>
                <c:pt idx="537">
                  <c:v>0.11216768519235271</c:v>
                </c:pt>
                <c:pt idx="538">
                  <c:v>0.11376203933162918</c:v>
                </c:pt>
                <c:pt idx="539">
                  <c:v>0.11682327076602131</c:v>
                </c:pt>
                <c:pt idx="540">
                  <c:v>0.11509336443880175</c:v>
                </c:pt>
                <c:pt idx="541">
                  <c:v>0.11289412154409047</c:v>
                </c:pt>
                <c:pt idx="542">
                  <c:v>0.1143503952256175</c:v>
                </c:pt>
                <c:pt idx="543">
                  <c:v>0.1130529885212333</c:v>
                </c:pt>
                <c:pt idx="544">
                  <c:v>0.11344640104954329</c:v>
                </c:pt>
                <c:pt idx="545">
                  <c:v>0.11073935053912658</c:v>
                </c:pt>
                <c:pt idx="546">
                  <c:v>0.11215584499274064</c:v>
                </c:pt>
                <c:pt idx="547">
                  <c:v>0.11097534775795484</c:v>
                </c:pt>
                <c:pt idx="548">
                  <c:v>0.11028826430835383</c:v>
                </c:pt>
                <c:pt idx="549">
                  <c:v>0.10794048092011144</c:v>
                </c:pt>
                <c:pt idx="550">
                  <c:v>0.1080376743206834</c:v>
                </c:pt>
                <c:pt idx="551">
                  <c:v>0.10838815933618332</c:v>
                </c:pt>
                <c:pt idx="552">
                  <c:v>0.10852076343743443</c:v>
                </c:pt>
                <c:pt idx="553">
                  <c:v>0.10643385531202307</c:v>
                </c:pt>
                <c:pt idx="554">
                  <c:v>0.10773317463661067</c:v>
                </c:pt>
                <c:pt idx="555">
                  <c:v>0.10685672243628934</c:v>
                </c:pt>
                <c:pt idx="556">
                  <c:v>0.10588099764582429</c:v>
                </c:pt>
                <c:pt idx="557">
                  <c:v>0.10492336800968742</c:v>
                </c:pt>
                <c:pt idx="558">
                  <c:v>0.10361989135838162</c:v>
                </c:pt>
                <c:pt idx="559">
                  <c:v>0.10474977929369741</c:v>
                </c:pt>
                <c:pt idx="560">
                  <c:v>0.10974510635094185</c:v>
                </c:pt>
                <c:pt idx="561">
                  <c:v>0.10977189717675762</c:v>
                </c:pt>
                <c:pt idx="562">
                  <c:v>0.11014938502638164</c:v>
                </c:pt>
                <c:pt idx="563">
                  <c:v>0.11271987576311711</c:v>
                </c:pt>
                <c:pt idx="564">
                  <c:v>0.11378169698915247</c:v>
                </c:pt>
                <c:pt idx="565">
                  <c:v>0.1133997916236186</c:v>
                </c:pt>
                <c:pt idx="566">
                  <c:v>0.11125963882610732</c:v>
                </c:pt>
                <c:pt idx="567">
                  <c:v>0.10901569977318477</c:v>
                </c:pt>
                <c:pt idx="568">
                  <c:v>0.109522363369701</c:v>
                </c:pt>
                <c:pt idx="569">
                  <c:v>0.10828808237244927</c:v>
                </c:pt>
                <c:pt idx="570">
                  <c:v>0.10869092598844751</c:v>
                </c:pt>
                <c:pt idx="571">
                  <c:v>0.10851643360923106</c:v>
                </c:pt>
                <c:pt idx="572">
                  <c:v>0.10821611632983176</c:v>
                </c:pt>
                <c:pt idx="573">
                  <c:v>0.10824764383104482</c:v>
                </c:pt>
                <c:pt idx="574">
                  <c:v>0.10245792358206073</c:v>
                </c:pt>
                <c:pt idx="575">
                  <c:v>0.10229390362388255</c:v>
                </c:pt>
                <c:pt idx="576">
                  <c:v>0.10148645940696412</c:v>
                </c:pt>
                <c:pt idx="577">
                  <c:v>0.10038698420497473</c:v>
                </c:pt>
                <c:pt idx="578">
                  <c:v>9.8488279714269503E-2</c:v>
                </c:pt>
                <c:pt idx="579">
                  <c:v>9.7629810406915762E-2</c:v>
                </c:pt>
                <c:pt idx="580">
                  <c:v>9.9886802200284425E-2</c:v>
                </c:pt>
                <c:pt idx="581">
                  <c:v>9.6875095755773133E-2</c:v>
                </c:pt>
                <c:pt idx="582">
                  <c:v>9.4681322863873207E-2</c:v>
                </c:pt>
                <c:pt idx="583">
                  <c:v>9.668839229626032E-2</c:v>
                </c:pt>
                <c:pt idx="584">
                  <c:v>9.3304407202511624E-2</c:v>
                </c:pt>
                <c:pt idx="585">
                  <c:v>9.0175317041474828E-2</c:v>
                </c:pt>
                <c:pt idx="586">
                  <c:v>8.8731132135887514E-2</c:v>
                </c:pt>
                <c:pt idx="587">
                  <c:v>8.9584885271435682E-2</c:v>
                </c:pt>
                <c:pt idx="588">
                  <c:v>9.2310498289655471E-2</c:v>
                </c:pt>
                <c:pt idx="589">
                  <c:v>9.5294541371996416E-2</c:v>
                </c:pt>
                <c:pt idx="590">
                  <c:v>9.7834704826082711E-2</c:v>
                </c:pt>
                <c:pt idx="591">
                  <c:v>9.8773036897445571E-2</c:v>
                </c:pt>
                <c:pt idx="592">
                  <c:v>0.10004441888386727</c:v>
                </c:pt>
                <c:pt idx="593">
                  <c:v>9.9396744604382858E-2</c:v>
                </c:pt>
                <c:pt idx="594">
                  <c:v>9.905172053897679E-2</c:v>
                </c:pt>
                <c:pt idx="595">
                  <c:v>9.9811781897129595E-2</c:v>
                </c:pt>
                <c:pt idx="596">
                  <c:v>0.10222724301072131</c:v>
                </c:pt>
                <c:pt idx="597">
                  <c:v>0.10047737241012733</c:v>
                </c:pt>
                <c:pt idx="598">
                  <c:v>0.10374504654834706</c:v>
                </c:pt>
                <c:pt idx="599">
                  <c:v>0.10099440571979414</c:v>
                </c:pt>
                <c:pt idx="600">
                  <c:v>0.10207966002907405</c:v>
                </c:pt>
                <c:pt idx="601">
                  <c:v>0.10090584710752527</c:v>
                </c:pt>
                <c:pt idx="602">
                  <c:v>0.10055210549026766</c:v>
                </c:pt>
                <c:pt idx="603">
                  <c:v>0.10332986004675153</c:v>
                </c:pt>
                <c:pt idx="604">
                  <c:v>0.10250068676986471</c:v>
                </c:pt>
                <c:pt idx="605">
                  <c:v>0.10154049341242793</c:v>
                </c:pt>
                <c:pt idx="606">
                  <c:v>0.10167185670514912</c:v>
                </c:pt>
                <c:pt idx="607">
                  <c:v>0.10026545495226234</c:v>
                </c:pt>
                <c:pt idx="608">
                  <c:v>0.10135892935714814</c:v>
                </c:pt>
                <c:pt idx="609">
                  <c:v>0.10305539734070805</c:v>
                </c:pt>
                <c:pt idx="610">
                  <c:v>0.10218666198524259</c:v>
                </c:pt>
                <c:pt idx="611">
                  <c:v>0.1027894452387129</c:v>
                </c:pt>
                <c:pt idx="612">
                  <c:v>0.10037873481418728</c:v>
                </c:pt>
                <c:pt idx="613">
                  <c:v>0.10243361285131103</c:v>
                </c:pt>
                <c:pt idx="614">
                  <c:v>0.10385273904348097</c:v>
                </c:pt>
                <c:pt idx="615">
                  <c:v>0.10506077832104246</c:v>
                </c:pt>
                <c:pt idx="616">
                  <c:v>0.10861261085250713</c:v>
                </c:pt>
                <c:pt idx="617">
                  <c:v>0.10802037080448894</c:v>
                </c:pt>
                <c:pt idx="618">
                  <c:v>0.10940974485162541</c:v>
                </c:pt>
                <c:pt idx="619">
                  <c:v>0.10951834287149748</c:v>
                </c:pt>
                <c:pt idx="620">
                  <c:v>0.10757505085711225</c:v>
                </c:pt>
                <c:pt idx="621">
                  <c:v>0.10497020698648284</c:v>
                </c:pt>
                <c:pt idx="622">
                  <c:v>0.1029426159321956</c:v>
                </c:pt>
                <c:pt idx="623">
                  <c:v>0.10276946310059754</c:v>
                </c:pt>
                <c:pt idx="624">
                  <c:v>0.10419333503332354</c:v>
                </c:pt>
                <c:pt idx="625">
                  <c:v>0.10025429640837162</c:v>
                </c:pt>
                <c:pt idx="626">
                  <c:v>9.8574729310138567E-2</c:v>
                </c:pt>
                <c:pt idx="627">
                  <c:v>9.7322078984928048E-2</c:v>
                </c:pt>
                <c:pt idx="628">
                  <c:v>0.10078386535356601</c:v>
                </c:pt>
                <c:pt idx="629">
                  <c:v>0.10023435543440107</c:v>
                </c:pt>
                <c:pt idx="630">
                  <c:v>0.1026071107097053</c:v>
                </c:pt>
                <c:pt idx="631">
                  <c:v>0.10062986654804824</c:v>
                </c:pt>
                <c:pt idx="632">
                  <c:v>0.10290696217568363</c:v>
                </c:pt>
                <c:pt idx="633">
                  <c:v>0.10171942661667789</c:v>
                </c:pt>
                <c:pt idx="634">
                  <c:v>0.10465980035472366</c:v>
                </c:pt>
                <c:pt idx="635">
                  <c:v>0.10535390962828423</c:v>
                </c:pt>
                <c:pt idx="636">
                  <c:v>0.10332073971267618</c:v>
                </c:pt>
                <c:pt idx="637">
                  <c:v>0.10089513370021994</c:v>
                </c:pt>
                <c:pt idx="638">
                  <c:v>9.8689890948413517E-2</c:v>
                </c:pt>
                <c:pt idx="639">
                  <c:v>9.966256258292723E-2</c:v>
                </c:pt>
                <c:pt idx="640">
                  <c:v>0.10097586031595419</c:v>
                </c:pt>
                <c:pt idx="641">
                  <c:v>0.10354893907648338</c:v>
                </c:pt>
                <c:pt idx="642">
                  <c:v>0.10408242646620113</c:v>
                </c:pt>
                <c:pt idx="643">
                  <c:v>0.1028285948725083</c:v>
                </c:pt>
                <c:pt idx="644">
                  <c:v>0.10366170397918892</c:v>
                </c:pt>
                <c:pt idx="645">
                  <c:v>0.1017575221097692</c:v>
                </c:pt>
                <c:pt idx="646">
                  <c:v>0.10295337275638683</c:v>
                </c:pt>
                <c:pt idx="647">
                  <c:v>0.10188574724367289</c:v>
                </c:pt>
                <c:pt idx="648">
                  <c:v>0.10014173868859133</c:v>
                </c:pt>
                <c:pt idx="649">
                  <c:v>0.10041226404902963</c:v>
                </c:pt>
                <c:pt idx="650">
                  <c:v>9.829369112948641E-2</c:v>
                </c:pt>
                <c:pt idx="651">
                  <c:v>9.9650903289135742E-2</c:v>
                </c:pt>
                <c:pt idx="652">
                  <c:v>0.10181353563625602</c:v>
                </c:pt>
                <c:pt idx="653">
                  <c:v>0.10170515894612717</c:v>
                </c:pt>
                <c:pt idx="654">
                  <c:v>9.8756427133699573E-2</c:v>
                </c:pt>
                <c:pt idx="655">
                  <c:v>9.8873350236715188E-2</c:v>
                </c:pt>
                <c:pt idx="656">
                  <c:v>9.6146040064039012E-2</c:v>
                </c:pt>
                <c:pt idx="657">
                  <c:v>9.4371157806623265E-2</c:v>
                </c:pt>
                <c:pt idx="658">
                  <c:v>9.2522958765916194E-2</c:v>
                </c:pt>
                <c:pt idx="659">
                  <c:v>8.9826903113413625E-2</c:v>
                </c:pt>
                <c:pt idx="660">
                  <c:v>8.7236579269695899E-2</c:v>
                </c:pt>
                <c:pt idx="661">
                  <c:v>8.3392135896977318E-2</c:v>
                </c:pt>
                <c:pt idx="662">
                  <c:v>8.244314981116603E-2</c:v>
                </c:pt>
                <c:pt idx="663">
                  <c:v>8.1208321820603196E-2</c:v>
                </c:pt>
                <c:pt idx="664">
                  <c:v>8.1583685067999956E-2</c:v>
                </c:pt>
                <c:pt idx="665">
                  <c:v>7.9654479313821386E-2</c:v>
                </c:pt>
                <c:pt idx="666">
                  <c:v>7.963910162070556E-2</c:v>
                </c:pt>
                <c:pt idx="667">
                  <c:v>7.9465902363744359E-2</c:v>
                </c:pt>
                <c:pt idx="668">
                  <c:v>7.7737918475059564E-2</c:v>
                </c:pt>
                <c:pt idx="669">
                  <c:v>7.7402980761571191E-2</c:v>
                </c:pt>
                <c:pt idx="670">
                  <c:v>7.829373463076425E-2</c:v>
                </c:pt>
                <c:pt idx="671">
                  <c:v>7.7994740636171622E-2</c:v>
                </c:pt>
                <c:pt idx="672">
                  <c:v>7.8271544307536703E-2</c:v>
                </c:pt>
                <c:pt idx="673">
                  <c:v>7.6646310239127019E-2</c:v>
                </c:pt>
                <c:pt idx="674">
                  <c:v>7.5715512922612999E-2</c:v>
                </c:pt>
                <c:pt idx="675">
                  <c:v>7.3759203692250544E-2</c:v>
                </c:pt>
                <c:pt idx="676">
                  <c:v>7.0407931680776345E-2</c:v>
                </c:pt>
                <c:pt idx="677">
                  <c:v>7.0873003913431709E-2</c:v>
                </c:pt>
                <c:pt idx="678">
                  <c:v>7.3536319877156434E-2</c:v>
                </c:pt>
                <c:pt idx="679">
                  <c:v>7.2365615308269821E-2</c:v>
                </c:pt>
                <c:pt idx="680">
                  <c:v>7.0967332426430232E-2</c:v>
                </c:pt>
                <c:pt idx="681">
                  <c:v>7.1248891426360567E-2</c:v>
                </c:pt>
                <c:pt idx="682">
                  <c:v>7.3903369453997877E-2</c:v>
                </c:pt>
                <c:pt idx="683">
                  <c:v>7.4491991665776802E-2</c:v>
                </c:pt>
                <c:pt idx="684">
                  <c:v>7.6751935151838799E-2</c:v>
                </c:pt>
                <c:pt idx="685">
                  <c:v>7.433142763329785E-2</c:v>
                </c:pt>
                <c:pt idx="686">
                  <c:v>7.4158522707967495E-2</c:v>
                </c:pt>
                <c:pt idx="687">
                  <c:v>7.5204938935583152E-2</c:v>
                </c:pt>
                <c:pt idx="688">
                  <c:v>7.6034552226297181E-2</c:v>
                </c:pt>
                <c:pt idx="689">
                  <c:v>7.443900435394904E-2</c:v>
                </c:pt>
                <c:pt idx="690">
                  <c:v>7.4206318304720284E-2</c:v>
                </c:pt>
                <c:pt idx="691">
                  <c:v>7.1435811340126373E-2</c:v>
                </c:pt>
                <c:pt idx="692">
                  <c:v>6.9288664807924116E-2</c:v>
                </c:pt>
                <c:pt idx="693">
                  <c:v>6.8519015028866523E-2</c:v>
                </c:pt>
                <c:pt idx="694">
                  <c:v>6.8858729138182015E-2</c:v>
                </c:pt>
                <c:pt idx="695">
                  <c:v>7.0197361311972156E-2</c:v>
                </c:pt>
                <c:pt idx="696">
                  <c:v>6.9975454113827176E-2</c:v>
                </c:pt>
                <c:pt idx="697">
                  <c:v>7.2835416812654305E-2</c:v>
                </c:pt>
                <c:pt idx="698">
                  <c:v>7.4201604250278955E-2</c:v>
                </c:pt>
                <c:pt idx="699">
                  <c:v>7.4465254739643452E-2</c:v>
                </c:pt>
                <c:pt idx="700">
                  <c:v>7.3201191470467789E-2</c:v>
                </c:pt>
                <c:pt idx="701">
                  <c:v>7.5103903902547231E-2</c:v>
                </c:pt>
                <c:pt idx="702">
                  <c:v>7.5537972343568183E-2</c:v>
                </c:pt>
                <c:pt idx="703">
                  <c:v>7.7356195575739278E-2</c:v>
                </c:pt>
                <c:pt idx="704">
                  <c:v>7.7105508470756104E-2</c:v>
                </c:pt>
                <c:pt idx="705">
                  <c:v>7.928737982389028E-2</c:v>
                </c:pt>
                <c:pt idx="706">
                  <c:v>7.9931178436520214E-2</c:v>
                </c:pt>
                <c:pt idx="707">
                  <c:v>7.8708089187737237E-2</c:v>
                </c:pt>
                <c:pt idx="708">
                  <c:v>7.9055962830305054E-2</c:v>
                </c:pt>
                <c:pt idx="709">
                  <c:v>7.6712929015332693E-2</c:v>
                </c:pt>
                <c:pt idx="710">
                  <c:v>7.4769737210052686E-2</c:v>
                </c:pt>
                <c:pt idx="711">
                  <c:v>7.7071798423552357E-2</c:v>
                </c:pt>
                <c:pt idx="712">
                  <c:v>7.6765218172933788E-2</c:v>
                </c:pt>
                <c:pt idx="713">
                  <c:v>7.7831593996313314E-2</c:v>
                </c:pt>
                <c:pt idx="714">
                  <c:v>7.6418835321214212E-2</c:v>
                </c:pt>
                <c:pt idx="715">
                  <c:v>7.5602452722980468E-2</c:v>
                </c:pt>
                <c:pt idx="716">
                  <c:v>7.505161767198272E-2</c:v>
                </c:pt>
                <c:pt idx="717">
                  <c:v>7.483739933474752E-2</c:v>
                </c:pt>
                <c:pt idx="718">
                  <c:v>7.7479854070314449E-2</c:v>
                </c:pt>
                <c:pt idx="719">
                  <c:v>7.5999327753068224E-2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55328"/>
        <c:axId val="374756864"/>
      </c:lineChart>
      <c:catAx>
        <c:axId val="374755328"/>
        <c:scaling>
          <c:orientation val="minMax"/>
        </c:scaling>
        <c:delete val="0"/>
        <c:axPos val="b"/>
        <c:majorTickMark val="out"/>
        <c:minorTickMark val="none"/>
        <c:tickLblPos val="nextTo"/>
        <c:crossAx val="374756864"/>
        <c:crosses val="autoZero"/>
        <c:auto val="1"/>
        <c:lblAlgn val="ctr"/>
        <c:lblOffset val="100"/>
        <c:noMultiLvlLbl val="0"/>
      </c:catAx>
      <c:valAx>
        <c:axId val="37475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4755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Output!$O$12:$O$731</c:f>
              <c:numCache>
                <c:formatCode>General</c:formatCode>
                <c:ptCount val="720"/>
                <c:pt idx="0">
                  <c:v>4.8740855742122327E-4</c:v>
                </c:pt>
                <c:pt idx="1">
                  <c:v>4.9648445639140421E-4</c:v>
                </c:pt>
                <c:pt idx="2">
                  <c:v>4.9970414747146615E-4</c:v>
                </c:pt>
                <c:pt idx="3">
                  <c:v>4.9918535891021597E-4</c:v>
                </c:pt>
                <c:pt idx="4">
                  <c:v>4.9920805810363357E-4</c:v>
                </c:pt>
                <c:pt idx="5">
                  <c:v>5.000450121799469E-4</c:v>
                </c:pt>
                <c:pt idx="6">
                  <c:v>4.9937906497711493E-4</c:v>
                </c:pt>
                <c:pt idx="7">
                  <c:v>5.0012579771612647E-4</c:v>
                </c:pt>
                <c:pt idx="8">
                  <c:v>4.9916945265753455E-4</c:v>
                </c:pt>
                <c:pt idx="9">
                  <c:v>4.9964282368922665E-4</c:v>
                </c:pt>
                <c:pt idx="10">
                  <c:v>4.994771251633079E-4</c:v>
                </c:pt>
                <c:pt idx="11">
                  <c:v>4.9959559243672818E-4</c:v>
                </c:pt>
                <c:pt idx="12">
                  <c:v>4.9943677636059324E-4</c:v>
                </c:pt>
                <c:pt idx="13">
                  <c:v>4.9928222362148958E-4</c:v>
                </c:pt>
                <c:pt idx="14">
                  <c:v>4.9888156605030587E-4</c:v>
                </c:pt>
                <c:pt idx="15">
                  <c:v>4.9886186610665186E-4</c:v>
                </c:pt>
                <c:pt idx="16">
                  <c:v>4.9855874504129197E-4</c:v>
                </c:pt>
                <c:pt idx="17">
                  <c:v>4.9858357826624926E-4</c:v>
                </c:pt>
                <c:pt idx="18">
                  <c:v>4.9862009105763189E-4</c:v>
                </c:pt>
                <c:pt idx="19">
                  <c:v>4.9802547228473717E-4</c:v>
                </c:pt>
                <c:pt idx="20">
                  <c:v>4.9823175999111672E-4</c:v>
                </c:pt>
                <c:pt idx="21">
                  <c:v>4.9788052836279809E-4</c:v>
                </c:pt>
                <c:pt idx="22">
                  <c:v>4.9787562693572702E-4</c:v>
                </c:pt>
                <c:pt idx="23">
                  <c:v>4.9770544571274783E-4</c:v>
                </c:pt>
                <c:pt idx="24">
                  <c:v>4.97822836863743E-4</c:v>
                </c:pt>
                <c:pt idx="25">
                  <c:v>4.9764759825683658E-4</c:v>
                </c:pt>
                <c:pt idx="26">
                  <c:v>4.9741797503726729E-4</c:v>
                </c:pt>
                <c:pt idx="27">
                  <c:v>4.9748105741813506E-4</c:v>
                </c:pt>
                <c:pt idx="28">
                  <c:v>4.9721939883715473E-4</c:v>
                </c:pt>
                <c:pt idx="29">
                  <c:v>4.9705669526192535E-4</c:v>
                </c:pt>
                <c:pt idx="30">
                  <c:v>4.9717627682817822E-4</c:v>
                </c:pt>
                <c:pt idx="31">
                  <c:v>4.9700652097321718E-4</c:v>
                </c:pt>
                <c:pt idx="32">
                  <c:v>4.9693840814260678E-4</c:v>
                </c:pt>
                <c:pt idx="33">
                  <c:v>4.9687264244049228E-4</c:v>
                </c:pt>
                <c:pt idx="34">
                  <c:v>4.9669462646029445E-4</c:v>
                </c:pt>
                <c:pt idx="35">
                  <c:v>4.9683885268416686E-4</c:v>
                </c:pt>
                <c:pt idx="36">
                  <c:v>4.9660514786627891E-4</c:v>
                </c:pt>
                <c:pt idx="37">
                  <c:v>4.9647548540572648E-4</c:v>
                </c:pt>
                <c:pt idx="38">
                  <c:v>4.9642705774712167E-4</c:v>
                </c:pt>
                <c:pt idx="39">
                  <c:v>4.9648947457409044E-4</c:v>
                </c:pt>
                <c:pt idx="40">
                  <c:v>4.9622901411860531E-4</c:v>
                </c:pt>
                <c:pt idx="41">
                  <c:v>4.9601649644836565E-4</c:v>
                </c:pt>
                <c:pt idx="42">
                  <c:v>4.9572958124601289E-4</c:v>
                </c:pt>
                <c:pt idx="43">
                  <c:v>4.9563849478967371E-4</c:v>
                </c:pt>
                <c:pt idx="44">
                  <c:v>4.9542701343250662E-4</c:v>
                </c:pt>
                <c:pt idx="45">
                  <c:v>4.9527496655157118E-4</c:v>
                </c:pt>
                <c:pt idx="46">
                  <c:v>4.9515459984718682E-4</c:v>
                </c:pt>
                <c:pt idx="47">
                  <c:v>4.9502341117598631E-4</c:v>
                </c:pt>
                <c:pt idx="48">
                  <c:v>4.9491646810512387E-4</c:v>
                </c:pt>
                <c:pt idx="49">
                  <c:v>4.9478045581434547E-4</c:v>
                </c:pt>
                <c:pt idx="50">
                  <c:v>4.9468627503066983E-4</c:v>
                </c:pt>
                <c:pt idx="51">
                  <c:v>4.9456841348031436E-4</c:v>
                </c:pt>
                <c:pt idx="52">
                  <c:v>4.9462365897705936E-4</c:v>
                </c:pt>
                <c:pt idx="53">
                  <c:v>4.9448223165153256E-4</c:v>
                </c:pt>
                <c:pt idx="54">
                  <c:v>4.9440097315032821E-4</c:v>
                </c:pt>
                <c:pt idx="55">
                  <c:v>4.9434141520499509E-4</c:v>
                </c:pt>
                <c:pt idx="56">
                  <c:v>4.9423393807769946E-4</c:v>
                </c:pt>
                <c:pt idx="57">
                  <c:v>4.9404068857879756E-4</c:v>
                </c:pt>
                <c:pt idx="58">
                  <c:v>4.9381933109193072E-4</c:v>
                </c:pt>
                <c:pt idx="59">
                  <c:v>4.9344596409322053E-4</c:v>
                </c:pt>
                <c:pt idx="60">
                  <c:v>4.931221136610178E-4</c:v>
                </c:pt>
                <c:pt idx="61">
                  <c:v>4.9273189689122052E-4</c:v>
                </c:pt>
                <c:pt idx="62">
                  <c:v>4.9227913572773253E-4</c:v>
                </c:pt>
                <c:pt idx="63">
                  <c:v>4.9185456020006549E-4</c:v>
                </c:pt>
                <c:pt idx="64">
                  <c:v>4.9142702793786774E-4</c:v>
                </c:pt>
                <c:pt idx="65">
                  <c:v>4.9112374760788499E-4</c:v>
                </c:pt>
                <c:pt idx="66">
                  <c:v>4.9090484896776242E-4</c:v>
                </c:pt>
                <c:pt idx="67">
                  <c:v>4.9077037299720882E-4</c:v>
                </c:pt>
                <c:pt idx="68">
                  <c:v>4.907660733464343E-4</c:v>
                </c:pt>
                <c:pt idx="69">
                  <c:v>4.9089614347207189E-4</c:v>
                </c:pt>
                <c:pt idx="70">
                  <c:v>4.9131406107583923E-4</c:v>
                </c:pt>
                <c:pt idx="71">
                  <c:v>4.9197575624927833E-4</c:v>
                </c:pt>
                <c:pt idx="72">
                  <c:v>4.9292197365866466E-4</c:v>
                </c:pt>
                <c:pt idx="73">
                  <c:v>4.939471333451767E-4</c:v>
                </c:pt>
                <c:pt idx="74">
                  <c:v>4.9508945675205706E-4</c:v>
                </c:pt>
                <c:pt idx="75">
                  <c:v>4.9610134951225148E-4</c:v>
                </c:pt>
                <c:pt idx="76">
                  <c:v>4.9698479513198327E-4</c:v>
                </c:pt>
                <c:pt idx="77">
                  <c:v>4.9763895847381649E-4</c:v>
                </c:pt>
                <c:pt idx="78">
                  <c:v>4.9804905757239236E-4</c:v>
                </c:pt>
                <c:pt idx="79">
                  <c:v>4.9797577374964953E-4</c:v>
                </c:pt>
                <c:pt idx="80">
                  <c:v>4.9747414527387401E-4</c:v>
                </c:pt>
                <c:pt idx="81">
                  <c:v>4.9634283225298483E-4</c:v>
                </c:pt>
                <c:pt idx="82">
                  <c:v>4.9439183135192508E-4</c:v>
                </c:pt>
                <c:pt idx="83">
                  <c:v>4.917119061483182E-4</c:v>
                </c:pt>
                <c:pt idx="84">
                  <c:v>4.8828922829984218E-4</c:v>
                </c:pt>
                <c:pt idx="85">
                  <c:v>4.8483989236844849E-4</c:v>
                </c:pt>
                <c:pt idx="86">
                  <c:v>4.8234296978528178E-4</c:v>
                </c:pt>
                <c:pt idx="87">
                  <c:v>4.8183250046897319E-4</c:v>
                </c:pt>
                <c:pt idx="88">
                  <c:v>4.8397187902205906E-4</c:v>
                </c:pt>
                <c:pt idx="89">
                  <c:v>4.8976288803913044E-4</c:v>
                </c:pt>
                <c:pt idx="90">
                  <c:v>5.0018316558235834E-4</c:v>
                </c:pt>
                <c:pt idx="91">
                  <c:v>5.1609607636021976E-4</c:v>
                </c:pt>
                <c:pt idx="92">
                  <c:v>5.3848076080802577E-4</c:v>
                </c:pt>
                <c:pt idx="93">
                  <c:v>5.681766546595451E-4</c:v>
                </c:pt>
                <c:pt idx="94">
                  <c:v>6.0617112004196147E-4</c:v>
                </c:pt>
                <c:pt idx="95">
                  <c:v>6.5332430041982448E-4</c:v>
                </c:pt>
                <c:pt idx="96">
                  <c:v>7.101903566598157E-4</c:v>
                </c:pt>
                <c:pt idx="97">
                  <c:v>7.7602540462880514E-4</c:v>
                </c:pt>
                <c:pt idx="98">
                  <c:v>8.4966278658944001E-4</c:v>
                </c:pt>
                <c:pt idx="99">
                  <c:v>9.3005492331445705E-4</c:v>
                </c:pt>
                <c:pt idx="100">
                  <c:v>1.0160989246759929E-3</c:v>
                </c:pt>
                <c:pt idx="101">
                  <c:v>1.1066448000584535E-3</c:v>
                </c:pt>
                <c:pt idx="102">
                  <c:v>1.2006747802937863E-3</c:v>
                </c:pt>
                <c:pt idx="103">
                  <c:v>1.2969366460558014E-3</c:v>
                </c:pt>
                <c:pt idx="104">
                  <c:v>1.3944375991701611E-3</c:v>
                </c:pt>
                <c:pt idx="105">
                  <c:v>1.4918942900157064E-3</c:v>
                </c:pt>
                <c:pt idx="106">
                  <c:v>1.5881864547314566E-3</c:v>
                </c:pt>
                <c:pt idx="107">
                  <c:v>1.6821571163003171E-3</c:v>
                </c:pt>
                <c:pt idx="108">
                  <c:v>1.7729522637292062E-3</c:v>
                </c:pt>
                <c:pt idx="109">
                  <c:v>1.8604273343239344E-3</c:v>
                </c:pt>
                <c:pt idx="110">
                  <c:v>1.9447174098650413E-3</c:v>
                </c:pt>
                <c:pt idx="111">
                  <c:v>2.0261533782345211E-3</c:v>
                </c:pt>
                <c:pt idx="112">
                  <c:v>2.1047765556998759E-3</c:v>
                </c:pt>
                <c:pt idx="113">
                  <c:v>2.1808823662008863E-3</c:v>
                </c:pt>
                <c:pt idx="114">
                  <c:v>2.2544216746834345E-3</c:v>
                </c:pt>
                <c:pt idx="115">
                  <c:v>2.3258498973032587E-3</c:v>
                </c:pt>
                <c:pt idx="116">
                  <c:v>2.3951407615044585E-3</c:v>
                </c:pt>
                <c:pt idx="117">
                  <c:v>2.4624294082918907E-3</c:v>
                </c:pt>
                <c:pt idx="118">
                  <c:v>2.5278923905751758E-3</c:v>
                </c:pt>
                <c:pt idx="119">
                  <c:v>2.5916952017028946E-3</c:v>
                </c:pt>
                <c:pt idx="120">
                  <c:v>2.6541409740121398E-3</c:v>
                </c:pt>
                <c:pt idx="121">
                  <c:v>2.7152906132920456E-3</c:v>
                </c:pt>
                <c:pt idx="122">
                  <c:v>2.7753495833046735E-3</c:v>
                </c:pt>
                <c:pt idx="123">
                  <c:v>2.8345730691907646E-3</c:v>
                </c:pt>
                <c:pt idx="124">
                  <c:v>2.8931753670459895E-3</c:v>
                </c:pt>
                <c:pt idx="125">
                  <c:v>2.9513305158705479E-3</c:v>
                </c:pt>
                <c:pt idx="126">
                  <c:v>3.0092840135879993E-3</c:v>
                </c:pt>
                <c:pt idx="127">
                  <c:v>3.0672423223634939E-3</c:v>
                </c:pt>
                <c:pt idx="128">
                  <c:v>3.1253614837615418E-3</c:v>
                </c:pt>
                <c:pt idx="129">
                  <c:v>3.1839521849204881E-3</c:v>
                </c:pt>
                <c:pt idx="130">
                  <c:v>3.2432332407136078E-3</c:v>
                </c:pt>
                <c:pt idx="131">
                  <c:v>3.3033564444471769E-3</c:v>
                </c:pt>
                <c:pt idx="132">
                  <c:v>3.3644930012908794E-3</c:v>
                </c:pt>
                <c:pt idx="133">
                  <c:v>3.426387126458414E-3</c:v>
                </c:pt>
                <c:pt idx="134">
                  <c:v>3.4886795625161194E-3</c:v>
                </c:pt>
                <c:pt idx="135">
                  <c:v>3.5510759482107242E-3</c:v>
                </c:pt>
                <c:pt idx="136">
                  <c:v>3.6132624581869293E-3</c:v>
                </c:pt>
                <c:pt idx="137">
                  <c:v>3.6749543305731333E-3</c:v>
                </c:pt>
                <c:pt idx="138">
                  <c:v>3.7357829877179682E-3</c:v>
                </c:pt>
                <c:pt idx="139">
                  <c:v>3.7953945459571516E-3</c:v>
                </c:pt>
                <c:pt idx="140">
                  <c:v>3.8534993629528967E-3</c:v>
                </c:pt>
                <c:pt idx="141">
                  <c:v>3.9098914534032771E-3</c:v>
                </c:pt>
                <c:pt idx="142">
                  <c:v>3.964197459077402E-3</c:v>
                </c:pt>
                <c:pt idx="143">
                  <c:v>4.0160591539010479E-3</c:v>
                </c:pt>
                <c:pt idx="144">
                  <c:v>4.0652951066077019E-3</c:v>
                </c:pt>
                <c:pt idx="145">
                  <c:v>4.1120840898340102E-3</c:v>
                </c:pt>
                <c:pt idx="146">
                  <c:v>4.1566469708647687E-3</c:v>
                </c:pt>
                <c:pt idx="147">
                  <c:v>4.1992714600419326E-3</c:v>
                </c:pt>
                <c:pt idx="148">
                  <c:v>4.240270032519285E-3</c:v>
                </c:pt>
                <c:pt idx="149">
                  <c:v>4.2798668757118002E-3</c:v>
                </c:pt>
                <c:pt idx="150">
                  <c:v>4.3183370245702679E-3</c:v>
                </c:pt>
                <c:pt idx="151">
                  <c:v>4.3560252317203238E-3</c:v>
                </c:pt>
                <c:pt idx="152">
                  <c:v>4.393189858304075E-3</c:v>
                </c:pt>
                <c:pt idx="153">
                  <c:v>4.4301360567224318E-3</c:v>
                </c:pt>
                <c:pt idx="154">
                  <c:v>4.4671601143367722E-3</c:v>
                </c:pt>
                <c:pt idx="155">
                  <c:v>4.5045785651667237E-3</c:v>
                </c:pt>
                <c:pt idx="156">
                  <c:v>4.5425494554393424E-3</c:v>
                </c:pt>
                <c:pt idx="157">
                  <c:v>4.5811341560576058E-3</c:v>
                </c:pt>
                <c:pt idx="158">
                  <c:v>4.6203049120557673E-3</c:v>
                </c:pt>
                <c:pt idx="159">
                  <c:v>4.6600107170941315E-3</c:v>
                </c:pt>
                <c:pt idx="160">
                  <c:v>4.7002984474519222E-3</c:v>
                </c:pt>
                <c:pt idx="161">
                  <c:v>4.7411241926746776E-3</c:v>
                </c:pt>
                <c:pt idx="162">
                  <c:v>4.782472015625483E-3</c:v>
                </c:pt>
                <c:pt idx="163">
                  <c:v>4.8243843019754257E-3</c:v>
                </c:pt>
                <c:pt idx="164">
                  <c:v>4.8668291186981048E-3</c:v>
                </c:pt>
                <c:pt idx="165">
                  <c:v>4.9098492743672156E-3</c:v>
                </c:pt>
                <c:pt idx="166">
                  <c:v>4.9533602627854067E-3</c:v>
                </c:pt>
                <c:pt idx="167">
                  <c:v>4.997399380548404E-3</c:v>
                </c:pt>
                <c:pt idx="168">
                  <c:v>5.0419625571445541E-3</c:v>
                </c:pt>
                <c:pt idx="169">
                  <c:v>5.0867886744070979E-3</c:v>
                </c:pt>
                <c:pt idx="170">
                  <c:v>5.1316131509822459E-3</c:v>
                </c:pt>
                <c:pt idx="171">
                  <c:v>5.1762340271987433E-3</c:v>
                </c:pt>
                <c:pt idx="172">
                  <c:v>5.2203579458535709E-3</c:v>
                </c:pt>
                <c:pt idx="173">
                  <c:v>5.2638106181989806E-3</c:v>
                </c:pt>
                <c:pt idx="174">
                  <c:v>5.3062956164114869E-3</c:v>
                </c:pt>
                <c:pt idx="175">
                  <c:v>5.34761353907984E-3</c:v>
                </c:pt>
                <c:pt idx="176">
                  <c:v>5.3875756282779569E-3</c:v>
                </c:pt>
                <c:pt idx="177">
                  <c:v>5.4257772624788578E-3</c:v>
                </c:pt>
                <c:pt idx="178">
                  <c:v>5.462067527995355E-3</c:v>
                </c:pt>
                <c:pt idx="179">
                  <c:v>5.4962004193338252E-3</c:v>
                </c:pt>
                <c:pt idx="180">
                  <c:v>5.5280256263197406E-3</c:v>
                </c:pt>
                <c:pt idx="181">
                  <c:v>5.5575941520122994E-3</c:v>
                </c:pt>
                <c:pt idx="182">
                  <c:v>5.5852445463621964E-3</c:v>
                </c:pt>
                <c:pt idx="183">
                  <c:v>5.6112866478280395E-3</c:v>
                </c:pt>
                <c:pt idx="184">
                  <c:v>5.6359425535274848E-3</c:v>
                </c:pt>
                <c:pt idx="185">
                  <c:v>5.6594075072222833E-3</c:v>
                </c:pt>
                <c:pt idx="186">
                  <c:v>5.6819611230613564E-3</c:v>
                </c:pt>
                <c:pt idx="187">
                  <c:v>5.7038663905516953E-3</c:v>
                </c:pt>
                <c:pt idx="188">
                  <c:v>5.7253549603991146E-3</c:v>
                </c:pt>
                <c:pt idx="189">
                  <c:v>5.7467050006425238E-3</c:v>
                </c:pt>
                <c:pt idx="190">
                  <c:v>5.768234140757748E-3</c:v>
                </c:pt>
                <c:pt idx="191">
                  <c:v>5.7901585950559586E-3</c:v>
                </c:pt>
                <c:pt idx="192">
                  <c:v>5.8126565143347079E-3</c:v>
                </c:pt>
                <c:pt idx="193">
                  <c:v>5.8357149486610062E-3</c:v>
                </c:pt>
                <c:pt idx="194">
                  <c:v>5.8592624135698507E-3</c:v>
                </c:pt>
                <c:pt idx="195">
                  <c:v>5.8833138646919442E-3</c:v>
                </c:pt>
                <c:pt idx="196">
                  <c:v>5.9077462812387261E-3</c:v>
                </c:pt>
                <c:pt idx="197">
                  <c:v>5.9325774807290604E-3</c:v>
                </c:pt>
                <c:pt idx="198">
                  <c:v>5.9576999925517009E-3</c:v>
                </c:pt>
                <c:pt idx="199">
                  <c:v>5.9831309656700063E-3</c:v>
                </c:pt>
                <c:pt idx="200">
                  <c:v>6.0087316453921961E-3</c:v>
                </c:pt>
                <c:pt idx="201">
                  <c:v>6.0344386533782912E-3</c:v>
                </c:pt>
                <c:pt idx="202">
                  <c:v>6.0601772258161452E-3</c:v>
                </c:pt>
                <c:pt idx="203">
                  <c:v>6.0859207431212467E-3</c:v>
                </c:pt>
                <c:pt idx="204">
                  <c:v>6.1115262118793274E-3</c:v>
                </c:pt>
                <c:pt idx="205">
                  <c:v>6.1369824915025514E-3</c:v>
                </c:pt>
                <c:pt idx="206">
                  <c:v>6.1623661724936381E-3</c:v>
                </c:pt>
                <c:pt idx="207">
                  <c:v>6.1876526547816439E-3</c:v>
                </c:pt>
                <c:pt idx="208">
                  <c:v>6.2128710838303576E-3</c:v>
                </c:pt>
                <c:pt idx="209">
                  <c:v>6.2379824100018853E-3</c:v>
                </c:pt>
                <c:pt idx="210">
                  <c:v>6.2629200539630753E-3</c:v>
                </c:pt>
                <c:pt idx="211">
                  <c:v>6.287723379228824E-3</c:v>
                </c:pt>
                <c:pt idx="212">
                  <c:v>6.3124535387315056E-3</c:v>
                </c:pt>
                <c:pt idx="213">
                  <c:v>6.3370771325030146E-3</c:v>
                </c:pt>
                <c:pt idx="214">
                  <c:v>6.3616407782153273E-3</c:v>
                </c:pt>
                <c:pt idx="215">
                  <c:v>6.3860427048427508E-3</c:v>
                </c:pt>
                <c:pt idx="216">
                  <c:v>6.4104763393118833E-3</c:v>
                </c:pt>
                <c:pt idx="217">
                  <c:v>6.4348508550066824E-3</c:v>
                </c:pt>
                <c:pt idx="218">
                  <c:v>6.4592496271403243E-3</c:v>
                </c:pt>
                <c:pt idx="219">
                  <c:v>6.4836614475950322E-3</c:v>
                </c:pt>
                <c:pt idx="220">
                  <c:v>6.5081044054279853E-3</c:v>
                </c:pt>
                <c:pt idx="221">
                  <c:v>6.5327133400058272E-3</c:v>
                </c:pt>
                <c:pt idx="222">
                  <c:v>6.5574490021252339E-3</c:v>
                </c:pt>
                <c:pt idx="223">
                  <c:v>6.5824689029291544E-3</c:v>
                </c:pt>
                <c:pt idx="224">
                  <c:v>6.6078443198106327E-3</c:v>
                </c:pt>
                <c:pt idx="225">
                  <c:v>6.6335443095843407E-3</c:v>
                </c:pt>
                <c:pt idx="226">
                  <c:v>6.6596531193771555E-3</c:v>
                </c:pt>
                <c:pt idx="227">
                  <c:v>6.6862486014234255E-3</c:v>
                </c:pt>
                <c:pt idx="228">
                  <c:v>6.7133540769864384E-3</c:v>
                </c:pt>
                <c:pt idx="229">
                  <c:v>6.7407905090025493E-3</c:v>
                </c:pt>
                <c:pt idx="230">
                  <c:v>6.7683067854398546E-3</c:v>
                </c:pt>
                <c:pt idx="231">
                  <c:v>6.7957242415192902E-3</c:v>
                </c:pt>
                <c:pt idx="232">
                  <c:v>6.8228189732600624E-3</c:v>
                </c:pt>
                <c:pt idx="233">
                  <c:v>6.8493204077050302E-3</c:v>
                </c:pt>
                <c:pt idx="234">
                  <c:v>6.8750416767323994E-3</c:v>
                </c:pt>
                <c:pt idx="235">
                  <c:v>6.8997571419109494E-3</c:v>
                </c:pt>
                <c:pt idx="236">
                  <c:v>6.9231754092083791E-3</c:v>
                </c:pt>
                <c:pt idx="237">
                  <c:v>6.9451431458069481E-3</c:v>
                </c:pt>
                <c:pt idx="238">
                  <c:v>6.9654499093797064E-3</c:v>
                </c:pt>
                <c:pt idx="239">
                  <c:v>6.9838517337974639E-3</c:v>
                </c:pt>
                <c:pt idx="240">
                  <c:v>7.0003022966927762E-3</c:v>
                </c:pt>
                <c:pt idx="241">
                  <c:v>7.0149441462600427E-3</c:v>
                </c:pt>
                <c:pt idx="242">
                  <c:v>7.0278827345708113E-3</c:v>
                </c:pt>
                <c:pt idx="243">
                  <c:v>7.0394029401594799E-3</c:v>
                </c:pt>
                <c:pt idx="244">
                  <c:v>7.0497485054124218E-3</c:v>
                </c:pt>
                <c:pt idx="245">
                  <c:v>7.0590995103228674E-3</c:v>
                </c:pt>
                <c:pt idx="246">
                  <c:v>7.0677229310131401E-3</c:v>
                </c:pt>
                <c:pt idx="247">
                  <c:v>7.0758011771693153E-3</c:v>
                </c:pt>
                <c:pt idx="248">
                  <c:v>7.0835302211536746E-3</c:v>
                </c:pt>
                <c:pt idx="249">
                  <c:v>7.0909888744891203E-3</c:v>
                </c:pt>
                <c:pt idx="250">
                  <c:v>7.0985094862131143E-3</c:v>
                </c:pt>
                <c:pt idx="251">
                  <c:v>7.1063900533897568E-3</c:v>
                </c:pt>
                <c:pt idx="252">
                  <c:v>7.1147231723878521E-3</c:v>
                </c:pt>
                <c:pt idx="253">
                  <c:v>7.1235673154715299E-3</c:v>
                </c:pt>
                <c:pt idx="254">
                  <c:v>7.1328456504547808E-3</c:v>
                </c:pt>
                <c:pt idx="255">
                  <c:v>7.142497220961469E-3</c:v>
                </c:pt>
                <c:pt idx="256">
                  <c:v>7.1524587232057847E-3</c:v>
                </c:pt>
                <c:pt idx="257">
                  <c:v>7.1626184082460263E-3</c:v>
                </c:pt>
                <c:pt idx="258">
                  <c:v>7.1730184099020088E-3</c:v>
                </c:pt>
                <c:pt idx="259">
                  <c:v>7.1835839152331413E-3</c:v>
                </c:pt>
                <c:pt idx="260">
                  <c:v>7.1942815827737748E-3</c:v>
                </c:pt>
                <c:pt idx="261">
                  <c:v>7.2050463489334955E-3</c:v>
                </c:pt>
                <c:pt idx="262">
                  <c:v>7.2158638695810785E-3</c:v>
                </c:pt>
                <c:pt idx="263">
                  <c:v>7.2266804638094111E-3</c:v>
                </c:pt>
                <c:pt idx="264">
                  <c:v>7.2373516663788448E-3</c:v>
                </c:pt>
                <c:pt idx="265">
                  <c:v>7.2479542655542826E-3</c:v>
                </c:pt>
                <c:pt idx="266">
                  <c:v>7.258432373581189E-3</c:v>
                </c:pt>
                <c:pt idx="267">
                  <c:v>7.2687651099795046E-3</c:v>
                </c:pt>
                <c:pt idx="268">
                  <c:v>7.2790063484645465E-3</c:v>
                </c:pt>
                <c:pt idx="269">
                  <c:v>7.2891733841693139E-3</c:v>
                </c:pt>
                <c:pt idx="270">
                  <c:v>7.2992913288987011E-3</c:v>
                </c:pt>
                <c:pt idx="271">
                  <c:v>7.3092679061331411E-3</c:v>
                </c:pt>
                <c:pt idx="272">
                  <c:v>7.3191417711620773E-3</c:v>
                </c:pt>
                <c:pt idx="273">
                  <c:v>7.3289857468152482E-3</c:v>
                </c:pt>
                <c:pt idx="274">
                  <c:v>7.3388231697549666E-3</c:v>
                </c:pt>
                <c:pt idx="275">
                  <c:v>7.3486558812192807E-3</c:v>
                </c:pt>
                <c:pt idx="276">
                  <c:v>7.3583891510688674E-3</c:v>
                </c:pt>
                <c:pt idx="277">
                  <c:v>7.3681119141032793E-3</c:v>
                </c:pt>
                <c:pt idx="278">
                  <c:v>7.3779500488948199E-3</c:v>
                </c:pt>
                <c:pt idx="279">
                  <c:v>7.3879307730636279E-3</c:v>
                </c:pt>
                <c:pt idx="280">
                  <c:v>7.3980184831549216E-3</c:v>
                </c:pt>
                <c:pt idx="281">
                  <c:v>7.4082468544150858E-3</c:v>
                </c:pt>
                <c:pt idx="282">
                  <c:v>7.4186410566374865E-3</c:v>
                </c:pt>
                <c:pt idx="283">
                  <c:v>7.4293080609833624E-3</c:v>
                </c:pt>
                <c:pt idx="284">
                  <c:v>7.440272558516748E-3</c:v>
                </c:pt>
                <c:pt idx="285">
                  <c:v>7.451492847653958E-3</c:v>
                </c:pt>
                <c:pt idx="286">
                  <c:v>7.4631025966889987E-3</c:v>
                </c:pt>
                <c:pt idx="287">
                  <c:v>7.4752149531713153E-3</c:v>
                </c:pt>
                <c:pt idx="288">
                  <c:v>7.4876193496677219E-3</c:v>
                </c:pt>
                <c:pt idx="289">
                  <c:v>7.5002497674294955E-3</c:v>
                </c:pt>
                <c:pt idx="290">
                  <c:v>7.5129701810063721E-3</c:v>
                </c:pt>
                <c:pt idx="291">
                  <c:v>7.5256397325943174E-3</c:v>
                </c:pt>
                <c:pt idx="292">
                  <c:v>7.5381142182896436E-3</c:v>
                </c:pt>
                <c:pt idx="293">
                  <c:v>7.5501422962129042E-3</c:v>
                </c:pt>
                <c:pt idx="294">
                  <c:v>7.5615752544960519E-3</c:v>
                </c:pt>
                <c:pt idx="295">
                  <c:v>7.5722637835802225E-3</c:v>
                </c:pt>
                <c:pt idx="296">
                  <c:v>7.5819112834452484E-3</c:v>
                </c:pt>
                <c:pt idx="297">
                  <c:v>7.5904056283718031E-3</c:v>
                </c:pt>
                <c:pt idx="298">
                  <c:v>7.5976758280920809E-3</c:v>
                </c:pt>
                <c:pt idx="299">
                  <c:v>7.6035111308804457E-3</c:v>
                </c:pt>
                <c:pt idx="300">
                  <c:v>7.6077048286138805E-3</c:v>
                </c:pt>
                <c:pt idx="301">
                  <c:v>7.6103088885943705E-3</c:v>
                </c:pt>
                <c:pt idx="302">
                  <c:v>7.6116226407373002E-3</c:v>
                </c:pt>
                <c:pt idx="303">
                  <c:v>7.6117345890572867E-3</c:v>
                </c:pt>
                <c:pt idx="304">
                  <c:v>7.6108761771641088E-3</c:v>
                </c:pt>
                <c:pt idx="305">
                  <c:v>7.6093167586667575E-3</c:v>
                </c:pt>
                <c:pt idx="306">
                  <c:v>7.6070902017760459E-3</c:v>
                </c:pt>
                <c:pt idx="307">
                  <c:v>7.6043756831228482E-3</c:v>
                </c:pt>
                <c:pt idx="308">
                  <c:v>7.6013745347807901E-3</c:v>
                </c:pt>
                <c:pt idx="309">
                  <c:v>7.5983055026479229E-3</c:v>
                </c:pt>
                <c:pt idx="310">
                  <c:v>7.595372410576836E-3</c:v>
                </c:pt>
                <c:pt idx="311">
                  <c:v>7.5926816409291938E-3</c:v>
                </c:pt>
                <c:pt idx="312">
                  <c:v>7.5903909349683447E-3</c:v>
                </c:pt>
                <c:pt idx="313">
                  <c:v>7.5885540263670066E-3</c:v>
                </c:pt>
                <c:pt idx="314">
                  <c:v>7.5870385399457625E-3</c:v>
                </c:pt>
                <c:pt idx="315">
                  <c:v>7.5858270950059569E-3</c:v>
                </c:pt>
                <c:pt idx="316">
                  <c:v>7.5848374831414605E-3</c:v>
                </c:pt>
                <c:pt idx="317">
                  <c:v>7.5840199585603778E-3</c:v>
                </c:pt>
                <c:pt idx="318">
                  <c:v>7.5833421127112907E-3</c:v>
                </c:pt>
                <c:pt idx="319">
                  <c:v>7.5827183709903118E-3</c:v>
                </c:pt>
                <c:pt idx="320">
                  <c:v>7.5822344692262726E-3</c:v>
                </c:pt>
                <c:pt idx="321">
                  <c:v>7.5817453920705531E-3</c:v>
                </c:pt>
                <c:pt idx="322">
                  <c:v>7.5811692559018427E-3</c:v>
                </c:pt>
                <c:pt idx="323">
                  <c:v>7.5804657893487294E-3</c:v>
                </c:pt>
                <c:pt idx="324">
                  <c:v>7.5796678796860488E-3</c:v>
                </c:pt>
                <c:pt idx="325">
                  <c:v>7.5787765475446196E-3</c:v>
                </c:pt>
                <c:pt idx="326">
                  <c:v>7.5778408008725668E-3</c:v>
                </c:pt>
                <c:pt idx="327">
                  <c:v>7.576888591944957E-3</c:v>
                </c:pt>
                <c:pt idx="328">
                  <c:v>7.5759396243890685E-3</c:v>
                </c:pt>
                <c:pt idx="329">
                  <c:v>7.5750189760689412E-3</c:v>
                </c:pt>
                <c:pt idx="330">
                  <c:v>7.574029615700948E-3</c:v>
                </c:pt>
                <c:pt idx="331">
                  <c:v>7.573040676646642E-3</c:v>
                </c:pt>
                <c:pt idx="332">
                  <c:v>7.5720096985239464E-3</c:v>
                </c:pt>
                <c:pt idx="333">
                  <c:v>7.5710791903614181E-3</c:v>
                </c:pt>
                <c:pt idx="334">
                  <c:v>7.5701505197984581E-3</c:v>
                </c:pt>
                <c:pt idx="335">
                  <c:v>7.5692935483094616E-3</c:v>
                </c:pt>
                <c:pt idx="336">
                  <c:v>7.5684215909543329E-3</c:v>
                </c:pt>
                <c:pt idx="337">
                  <c:v>7.567600576200163E-3</c:v>
                </c:pt>
                <c:pt idx="338">
                  <c:v>7.5669369267605631E-3</c:v>
                </c:pt>
                <c:pt idx="339">
                  <c:v>7.5662897695731824E-3</c:v>
                </c:pt>
                <c:pt idx="340">
                  <c:v>7.5656344548991937E-3</c:v>
                </c:pt>
                <c:pt idx="341">
                  <c:v>7.5650803139803184E-3</c:v>
                </c:pt>
                <c:pt idx="342">
                  <c:v>7.5645540810445489E-3</c:v>
                </c:pt>
                <c:pt idx="343">
                  <c:v>7.5639348793433408E-3</c:v>
                </c:pt>
                <c:pt idx="344">
                  <c:v>7.5633371314699476E-3</c:v>
                </c:pt>
                <c:pt idx="345">
                  <c:v>7.5626883684099871E-3</c:v>
                </c:pt>
                <c:pt idx="346">
                  <c:v>7.5619765359624643E-3</c:v>
                </c:pt>
                <c:pt idx="347">
                  <c:v>7.5613019179007254E-3</c:v>
                </c:pt>
                <c:pt idx="348">
                  <c:v>7.5605213428719736E-3</c:v>
                </c:pt>
                <c:pt idx="349">
                  <c:v>7.55977976044686E-3</c:v>
                </c:pt>
                <c:pt idx="350">
                  <c:v>7.5590779802528719E-3</c:v>
                </c:pt>
                <c:pt idx="351">
                  <c:v>7.5584062836673068E-3</c:v>
                </c:pt>
                <c:pt idx="352">
                  <c:v>7.5577944136494242E-3</c:v>
                </c:pt>
                <c:pt idx="353">
                  <c:v>7.5571936724734348E-3</c:v>
                </c:pt>
                <c:pt idx="354">
                  <c:v>7.5565963739652213E-3</c:v>
                </c:pt>
                <c:pt idx="355">
                  <c:v>7.5560336233782867E-3</c:v>
                </c:pt>
                <c:pt idx="356">
                  <c:v>7.5554511179236009E-3</c:v>
                </c:pt>
                <c:pt idx="357">
                  <c:v>7.5547963992198628E-3</c:v>
                </c:pt>
                <c:pt idx="358">
                  <c:v>7.5541818308321323E-3</c:v>
                </c:pt>
                <c:pt idx="359">
                  <c:v>7.5535379815800307E-3</c:v>
                </c:pt>
                <c:pt idx="360">
                  <c:v>7.5529285632897139E-3</c:v>
                </c:pt>
                <c:pt idx="361">
                  <c:v>7.5523262955308618E-3</c:v>
                </c:pt>
                <c:pt idx="362">
                  <c:v>7.5517741319940414E-3</c:v>
                </c:pt>
                <c:pt idx="363">
                  <c:v>7.5512877530102326E-3</c:v>
                </c:pt>
                <c:pt idx="364">
                  <c:v>7.5509038743891716E-3</c:v>
                </c:pt>
                <c:pt idx="365">
                  <c:v>7.5504823771364521E-3</c:v>
                </c:pt>
                <c:pt idx="366">
                  <c:v>7.5500833737698111E-3</c:v>
                </c:pt>
                <c:pt idx="367">
                  <c:v>7.5497573882029774E-3</c:v>
                </c:pt>
                <c:pt idx="368">
                  <c:v>7.5494288005118169E-3</c:v>
                </c:pt>
                <c:pt idx="369">
                  <c:v>7.5492125244951032E-3</c:v>
                </c:pt>
                <c:pt idx="370">
                  <c:v>7.5490356135765255E-3</c:v>
                </c:pt>
                <c:pt idx="371">
                  <c:v>7.5489040664158836E-3</c:v>
                </c:pt>
                <c:pt idx="372">
                  <c:v>7.5487888474439031E-3</c:v>
                </c:pt>
                <c:pt idx="373">
                  <c:v>7.5486503620729043E-3</c:v>
                </c:pt>
                <c:pt idx="374">
                  <c:v>7.5484923561645939E-3</c:v>
                </c:pt>
                <c:pt idx="375">
                  <c:v>7.5483473017884141E-3</c:v>
                </c:pt>
                <c:pt idx="376">
                  <c:v>7.5481739909003228E-3</c:v>
                </c:pt>
                <c:pt idx="377">
                  <c:v>7.5479370977188636E-3</c:v>
                </c:pt>
                <c:pt idx="378">
                  <c:v>7.5476673285944235E-3</c:v>
                </c:pt>
                <c:pt idx="379">
                  <c:v>7.547418016854917E-3</c:v>
                </c:pt>
                <c:pt idx="380">
                  <c:v>7.5471792565686632E-3</c:v>
                </c:pt>
                <c:pt idx="381">
                  <c:v>7.5469942049624789E-3</c:v>
                </c:pt>
                <c:pt idx="382">
                  <c:v>7.5468592868622487E-3</c:v>
                </c:pt>
                <c:pt idx="383">
                  <c:v>7.5467379540228845E-3</c:v>
                </c:pt>
                <c:pt idx="384">
                  <c:v>7.5466264255573496E-3</c:v>
                </c:pt>
                <c:pt idx="385">
                  <c:v>7.5465061787714609E-3</c:v>
                </c:pt>
                <c:pt idx="386">
                  <c:v>7.546347842980243E-3</c:v>
                </c:pt>
                <c:pt idx="387">
                  <c:v>7.5461390962752763E-3</c:v>
                </c:pt>
                <c:pt idx="388">
                  <c:v>7.5460489212064944E-3</c:v>
                </c:pt>
                <c:pt idx="389">
                  <c:v>7.5460247144033352E-3</c:v>
                </c:pt>
                <c:pt idx="390">
                  <c:v>7.5458867317542708E-3</c:v>
                </c:pt>
                <c:pt idx="391">
                  <c:v>7.545731294471834E-3</c:v>
                </c:pt>
                <c:pt idx="392">
                  <c:v>7.5455486573859244E-3</c:v>
                </c:pt>
                <c:pt idx="393">
                  <c:v>7.5453718898759632E-3</c:v>
                </c:pt>
                <c:pt idx="394">
                  <c:v>7.5452404956954013E-3</c:v>
                </c:pt>
                <c:pt idx="395">
                  <c:v>7.5450473179786938E-3</c:v>
                </c:pt>
                <c:pt idx="396">
                  <c:v>7.5449087831977475E-3</c:v>
                </c:pt>
                <c:pt idx="397">
                  <c:v>7.5447431424745682E-3</c:v>
                </c:pt>
                <c:pt idx="398">
                  <c:v>7.54455403045957E-3</c:v>
                </c:pt>
                <c:pt idx="399">
                  <c:v>7.5444022156972625E-3</c:v>
                </c:pt>
                <c:pt idx="400">
                  <c:v>7.5443330733194133E-3</c:v>
                </c:pt>
                <c:pt idx="401">
                  <c:v>7.5442131137334334E-3</c:v>
                </c:pt>
                <c:pt idx="402">
                  <c:v>7.5440527382395432E-3</c:v>
                </c:pt>
                <c:pt idx="403">
                  <c:v>7.5438394120765397E-3</c:v>
                </c:pt>
                <c:pt idx="404">
                  <c:v>7.5436880539665966E-3</c:v>
                </c:pt>
                <c:pt idx="405">
                  <c:v>7.5435438364860764E-3</c:v>
                </c:pt>
                <c:pt idx="406">
                  <c:v>7.543386431411411E-3</c:v>
                </c:pt>
                <c:pt idx="407">
                  <c:v>7.5431602117505157E-3</c:v>
                </c:pt>
                <c:pt idx="408">
                  <c:v>7.5429514203252598E-3</c:v>
                </c:pt>
                <c:pt idx="409">
                  <c:v>7.5427249276770799E-3</c:v>
                </c:pt>
                <c:pt idx="410">
                  <c:v>7.5424652631077109E-3</c:v>
                </c:pt>
                <c:pt idx="411">
                  <c:v>7.5422487399010134E-3</c:v>
                </c:pt>
                <c:pt idx="412">
                  <c:v>7.5421053068994966E-3</c:v>
                </c:pt>
                <c:pt idx="413">
                  <c:v>7.5419105747307784E-3</c:v>
                </c:pt>
                <c:pt idx="414">
                  <c:v>7.541709715555435E-3</c:v>
                </c:pt>
                <c:pt idx="415">
                  <c:v>7.5414887490732659E-3</c:v>
                </c:pt>
                <c:pt idx="416">
                  <c:v>7.5412150124424294E-3</c:v>
                </c:pt>
                <c:pt idx="417">
                  <c:v>7.5408632373430151E-3</c:v>
                </c:pt>
                <c:pt idx="418">
                  <c:v>7.5405426038377792E-3</c:v>
                </c:pt>
                <c:pt idx="419">
                  <c:v>7.5402052380153638E-3</c:v>
                </c:pt>
                <c:pt idx="420">
                  <c:v>7.5398454442888183E-3</c:v>
                </c:pt>
                <c:pt idx="421">
                  <c:v>7.5394279431201562E-3</c:v>
                </c:pt>
                <c:pt idx="422">
                  <c:v>7.5390779143211083E-3</c:v>
                </c:pt>
                <c:pt idx="423">
                  <c:v>7.5387037892122285E-3</c:v>
                </c:pt>
                <c:pt idx="424">
                  <c:v>7.5381852093652935E-3</c:v>
                </c:pt>
                <c:pt idx="425">
                  <c:v>7.5375747442495864E-3</c:v>
                </c:pt>
                <c:pt idx="426">
                  <c:v>7.5369817098409593E-3</c:v>
                </c:pt>
                <c:pt idx="427">
                  <c:v>7.5364183912529602E-3</c:v>
                </c:pt>
                <c:pt idx="428">
                  <c:v>7.5356621659181493E-3</c:v>
                </c:pt>
                <c:pt idx="429">
                  <c:v>7.5348566012782923E-3</c:v>
                </c:pt>
                <c:pt idx="430">
                  <c:v>7.5340470104064538E-3</c:v>
                </c:pt>
                <c:pt idx="431">
                  <c:v>7.5332252265695567E-3</c:v>
                </c:pt>
                <c:pt idx="432">
                  <c:v>7.5324113415291393E-3</c:v>
                </c:pt>
                <c:pt idx="433">
                  <c:v>7.5316041618826296E-3</c:v>
                </c:pt>
                <c:pt idx="434">
                  <c:v>7.5307082266668542E-3</c:v>
                </c:pt>
                <c:pt idx="435">
                  <c:v>7.5298812320249084E-3</c:v>
                </c:pt>
                <c:pt idx="436">
                  <c:v>7.5291025768962818E-3</c:v>
                </c:pt>
                <c:pt idx="437">
                  <c:v>7.5283900184675472E-3</c:v>
                </c:pt>
                <c:pt idx="438">
                  <c:v>7.5277546119811569E-3</c:v>
                </c:pt>
                <c:pt idx="439">
                  <c:v>7.527068841712726E-3</c:v>
                </c:pt>
                <c:pt idx="440">
                  <c:v>7.5263871158667327E-3</c:v>
                </c:pt>
                <c:pt idx="441">
                  <c:v>7.5257143250071368E-3</c:v>
                </c:pt>
                <c:pt idx="442">
                  <c:v>7.5250537321905888E-3</c:v>
                </c:pt>
                <c:pt idx="443">
                  <c:v>7.5243671284597503E-3</c:v>
                </c:pt>
                <c:pt idx="444">
                  <c:v>7.5237278803086862E-3</c:v>
                </c:pt>
                <c:pt idx="445">
                  <c:v>7.5230169953902186E-3</c:v>
                </c:pt>
                <c:pt idx="446">
                  <c:v>7.5222165468623514E-3</c:v>
                </c:pt>
                <c:pt idx="447">
                  <c:v>7.5213708515766142E-3</c:v>
                </c:pt>
                <c:pt idx="448">
                  <c:v>7.5205698910108193E-3</c:v>
                </c:pt>
                <c:pt idx="449">
                  <c:v>7.519768729490485E-3</c:v>
                </c:pt>
                <c:pt idx="450">
                  <c:v>7.5188329432881798E-3</c:v>
                </c:pt>
                <c:pt idx="451">
                  <c:v>7.5178081900335548E-3</c:v>
                </c:pt>
                <c:pt idx="452">
                  <c:v>7.5167927397765261E-3</c:v>
                </c:pt>
                <c:pt idx="453">
                  <c:v>7.5157178193633357E-3</c:v>
                </c:pt>
                <c:pt idx="454">
                  <c:v>7.5145915217302295E-3</c:v>
                </c:pt>
                <c:pt idx="455">
                  <c:v>7.5135420144374528E-3</c:v>
                </c:pt>
                <c:pt idx="456">
                  <c:v>7.5125035251610885E-3</c:v>
                </c:pt>
                <c:pt idx="457">
                  <c:v>7.5115078228914361E-3</c:v>
                </c:pt>
                <c:pt idx="458">
                  <c:v>7.5104882919654822E-3</c:v>
                </c:pt>
                <c:pt idx="459">
                  <c:v>7.5094599538607773E-3</c:v>
                </c:pt>
                <c:pt idx="460">
                  <c:v>7.5084384281921763E-3</c:v>
                </c:pt>
                <c:pt idx="461">
                  <c:v>7.5073950919769435E-3</c:v>
                </c:pt>
                <c:pt idx="462">
                  <c:v>7.506303986141152E-3</c:v>
                </c:pt>
                <c:pt idx="463">
                  <c:v>7.5050820415969947E-3</c:v>
                </c:pt>
                <c:pt idx="464">
                  <c:v>7.5037725938659604E-3</c:v>
                </c:pt>
                <c:pt idx="465">
                  <c:v>7.5024059502967026E-3</c:v>
                </c:pt>
                <c:pt idx="466">
                  <c:v>7.5009425166296948E-3</c:v>
                </c:pt>
                <c:pt idx="467">
                  <c:v>7.4994997069512195E-3</c:v>
                </c:pt>
                <c:pt idx="468">
                  <c:v>7.4979955952769982E-3</c:v>
                </c:pt>
                <c:pt idx="469">
                  <c:v>7.4965140931578479E-3</c:v>
                </c:pt>
                <c:pt idx="470">
                  <c:v>7.4951385711749269E-3</c:v>
                </c:pt>
                <c:pt idx="471">
                  <c:v>7.4938734542364296E-3</c:v>
                </c:pt>
                <c:pt idx="472">
                  <c:v>7.4926355959495355E-3</c:v>
                </c:pt>
                <c:pt idx="473">
                  <c:v>7.4914024735404233E-3</c:v>
                </c:pt>
                <c:pt idx="474">
                  <c:v>7.490111810422917E-3</c:v>
                </c:pt>
                <c:pt idx="475">
                  <c:v>7.4888254124846976E-3</c:v>
                </c:pt>
                <c:pt idx="476">
                  <c:v>7.4875097665713652E-3</c:v>
                </c:pt>
                <c:pt idx="477">
                  <c:v>7.4862013839667157E-3</c:v>
                </c:pt>
                <c:pt idx="478">
                  <c:v>7.4848702048735255E-3</c:v>
                </c:pt>
                <c:pt idx="479">
                  <c:v>7.4835962880588774E-3</c:v>
                </c:pt>
                <c:pt idx="480">
                  <c:v>7.4823039173268924E-3</c:v>
                </c:pt>
                <c:pt idx="481">
                  <c:v>7.4811151579727581E-3</c:v>
                </c:pt>
                <c:pt idx="482">
                  <c:v>7.4799746550082303E-3</c:v>
                </c:pt>
                <c:pt idx="483">
                  <c:v>7.4788573993502571E-3</c:v>
                </c:pt>
                <c:pt idx="484">
                  <c:v>7.4777560157314286E-3</c:v>
                </c:pt>
                <c:pt idx="485">
                  <c:v>7.4766576675514927E-3</c:v>
                </c:pt>
                <c:pt idx="486">
                  <c:v>7.4754703522690591E-3</c:v>
                </c:pt>
                <c:pt idx="487">
                  <c:v>7.4742539415961085E-3</c:v>
                </c:pt>
                <c:pt idx="488">
                  <c:v>7.4729956264041894E-3</c:v>
                </c:pt>
                <c:pt idx="489">
                  <c:v>7.4718599079102391E-3</c:v>
                </c:pt>
                <c:pt idx="490">
                  <c:v>7.4708088279413255E-3</c:v>
                </c:pt>
                <c:pt idx="491">
                  <c:v>7.4697675414996442E-3</c:v>
                </c:pt>
                <c:pt idx="492">
                  <c:v>7.4686859152086251E-3</c:v>
                </c:pt>
                <c:pt idx="493">
                  <c:v>7.4675831536295655E-3</c:v>
                </c:pt>
                <c:pt idx="494">
                  <c:v>7.4664649959779493E-3</c:v>
                </c:pt>
                <c:pt idx="495">
                  <c:v>7.4653525303183827E-3</c:v>
                </c:pt>
                <c:pt idx="496">
                  <c:v>7.4642645341429599E-3</c:v>
                </c:pt>
                <c:pt idx="497">
                  <c:v>7.4631165554896479E-3</c:v>
                </c:pt>
                <c:pt idx="498">
                  <c:v>7.4619249650760911E-3</c:v>
                </c:pt>
                <c:pt idx="499">
                  <c:v>7.4607339871189081E-3</c:v>
                </c:pt>
                <c:pt idx="500">
                  <c:v>7.4596525680039492E-3</c:v>
                </c:pt>
                <c:pt idx="501">
                  <c:v>7.4585534855167029E-3</c:v>
                </c:pt>
                <c:pt idx="502">
                  <c:v>7.4575249489947735E-3</c:v>
                </c:pt>
                <c:pt idx="503">
                  <c:v>7.4564927902545115E-3</c:v>
                </c:pt>
                <c:pt idx="504">
                  <c:v>7.455513018884437E-3</c:v>
                </c:pt>
                <c:pt idx="505">
                  <c:v>7.454541655636371E-3</c:v>
                </c:pt>
                <c:pt idx="506">
                  <c:v>7.4535439456365352E-3</c:v>
                </c:pt>
                <c:pt idx="507">
                  <c:v>7.4525586531183421E-3</c:v>
                </c:pt>
                <c:pt idx="508">
                  <c:v>7.451485959619383E-3</c:v>
                </c:pt>
                <c:pt idx="509">
                  <c:v>7.4503371215401647E-3</c:v>
                </c:pt>
                <c:pt idx="510">
                  <c:v>7.4491766022168771E-3</c:v>
                </c:pt>
                <c:pt idx="511">
                  <c:v>7.4480296920140954E-3</c:v>
                </c:pt>
                <c:pt idx="512">
                  <c:v>7.4468426187639537E-3</c:v>
                </c:pt>
                <c:pt idx="513">
                  <c:v>7.445629901949375E-3</c:v>
                </c:pt>
                <c:pt idx="514">
                  <c:v>7.444426765519813E-3</c:v>
                </c:pt>
                <c:pt idx="515">
                  <c:v>7.4433740357193181E-3</c:v>
                </c:pt>
                <c:pt idx="516">
                  <c:v>7.4423848987284153E-3</c:v>
                </c:pt>
                <c:pt idx="517">
                  <c:v>7.4413591564460348E-3</c:v>
                </c:pt>
                <c:pt idx="518">
                  <c:v>7.440271514150075E-3</c:v>
                </c:pt>
                <c:pt idx="519">
                  <c:v>7.4391107773927947E-3</c:v>
                </c:pt>
                <c:pt idx="520">
                  <c:v>7.4380430312753262E-3</c:v>
                </c:pt>
                <c:pt idx="521">
                  <c:v>7.436924182532223E-3</c:v>
                </c:pt>
                <c:pt idx="522">
                  <c:v>7.4358419190924891E-3</c:v>
                </c:pt>
                <c:pt idx="523">
                  <c:v>7.4348388731780785E-3</c:v>
                </c:pt>
                <c:pt idx="524">
                  <c:v>7.4338603399640175E-3</c:v>
                </c:pt>
                <c:pt idx="525">
                  <c:v>7.4329791956698268E-3</c:v>
                </c:pt>
                <c:pt idx="526">
                  <c:v>7.4321987976189831E-3</c:v>
                </c:pt>
                <c:pt idx="527">
                  <c:v>7.4314750975496956E-3</c:v>
                </c:pt>
                <c:pt idx="528">
                  <c:v>7.4308372620648499E-3</c:v>
                </c:pt>
                <c:pt idx="529">
                  <c:v>7.4302490304364501E-3</c:v>
                </c:pt>
                <c:pt idx="530">
                  <c:v>7.4296381498496419E-3</c:v>
                </c:pt>
                <c:pt idx="531">
                  <c:v>7.4289981736989294E-3</c:v>
                </c:pt>
                <c:pt idx="532">
                  <c:v>7.4283930857571637E-3</c:v>
                </c:pt>
                <c:pt idx="533">
                  <c:v>7.4278138550899538E-3</c:v>
                </c:pt>
                <c:pt idx="534">
                  <c:v>7.4272370536961931E-3</c:v>
                </c:pt>
                <c:pt idx="535">
                  <c:v>7.4266421103321625E-3</c:v>
                </c:pt>
                <c:pt idx="536">
                  <c:v>7.425961716768641E-3</c:v>
                </c:pt>
                <c:pt idx="537">
                  <c:v>7.4252639388444792E-3</c:v>
                </c:pt>
                <c:pt idx="538">
                  <c:v>7.4246081759292096E-3</c:v>
                </c:pt>
                <c:pt idx="539">
                  <c:v>7.4239120625716401E-3</c:v>
                </c:pt>
                <c:pt idx="540">
                  <c:v>7.4232408577658291E-3</c:v>
                </c:pt>
                <c:pt idx="541">
                  <c:v>7.42261603490477E-3</c:v>
                </c:pt>
                <c:pt idx="542">
                  <c:v>7.4219821555941545E-3</c:v>
                </c:pt>
                <c:pt idx="543">
                  <c:v>7.4212786662126414E-3</c:v>
                </c:pt>
                <c:pt idx="544">
                  <c:v>7.4205910133763233E-3</c:v>
                </c:pt>
                <c:pt idx="545">
                  <c:v>7.4199726443560047E-3</c:v>
                </c:pt>
                <c:pt idx="546">
                  <c:v>7.4194268259428243E-3</c:v>
                </c:pt>
                <c:pt idx="547">
                  <c:v>7.4189462516479447E-3</c:v>
                </c:pt>
                <c:pt idx="548">
                  <c:v>7.4185352194528244E-3</c:v>
                </c:pt>
                <c:pt idx="549">
                  <c:v>7.4181116704917774E-3</c:v>
                </c:pt>
                <c:pt idx="550">
                  <c:v>7.4176698461681555E-3</c:v>
                </c:pt>
                <c:pt idx="551">
                  <c:v>7.4171881919102428E-3</c:v>
                </c:pt>
                <c:pt idx="552">
                  <c:v>7.416805717482414E-3</c:v>
                </c:pt>
                <c:pt idx="553">
                  <c:v>7.4164774150331011E-3</c:v>
                </c:pt>
                <c:pt idx="554">
                  <c:v>7.4161458046220069E-3</c:v>
                </c:pt>
                <c:pt idx="555">
                  <c:v>7.4158657663868279E-3</c:v>
                </c:pt>
                <c:pt idx="556">
                  <c:v>7.4157549725662377E-3</c:v>
                </c:pt>
                <c:pt idx="557">
                  <c:v>7.4156192151368962E-3</c:v>
                </c:pt>
                <c:pt idx="558">
                  <c:v>7.4155231169091215E-3</c:v>
                </c:pt>
                <c:pt idx="559">
                  <c:v>7.4153412767541498E-3</c:v>
                </c:pt>
                <c:pt idx="560">
                  <c:v>7.4151136307058999E-3</c:v>
                </c:pt>
                <c:pt idx="561">
                  <c:v>7.4149213313370391E-3</c:v>
                </c:pt>
                <c:pt idx="562">
                  <c:v>7.4147626726425667E-3</c:v>
                </c:pt>
                <c:pt idx="563">
                  <c:v>7.4146537642931064E-3</c:v>
                </c:pt>
                <c:pt idx="564">
                  <c:v>7.4145190019722015E-3</c:v>
                </c:pt>
                <c:pt idx="565">
                  <c:v>7.4144403614993092E-3</c:v>
                </c:pt>
                <c:pt idx="566">
                  <c:v>7.4143356511436036E-3</c:v>
                </c:pt>
                <c:pt idx="567">
                  <c:v>7.4142602043325376E-3</c:v>
                </c:pt>
                <c:pt idx="568">
                  <c:v>7.414235175842776E-3</c:v>
                </c:pt>
                <c:pt idx="569">
                  <c:v>7.4144013537482643E-3</c:v>
                </c:pt>
                <c:pt idx="570">
                  <c:v>7.4146740766055201E-3</c:v>
                </c:pt>
                <c:pt idx="571">
                  <c:v>7.4149317843016874E-3</c:v>
                </c:pt>
                <c:pt idx="572">
                  <c:v>7.4151799421359769E-3</c:v>
                </c:pt>
                <c:pt idx="573">
                  <c:v>7.4154233096189147E-3</c:v>
                </c:pt>
                <c:pt idx="574">
                  <c:v>7.4158179194104626E-3</c:v>
                </c:pt>
                <c:pt idx="575">
                  <c:v>7.4161776295522397E-3</c:v>
                </c:pt>
                <c:pt idx="576">
                  <c:v>7.4164412175429578E-3</c:v>
                </c:pt>
                <c:pt idx="577">
                  <c:v>7.4167238492050206E-3</c:v>
                </c:pt>
                <c:pt idx="578">
                  <c:v>7.4169976677188115E-3</c:v>
                </c:pt>
                <c:pt idx="579">
                  <c:v>7.4172039921209885E-3</c:v>
                </c:pt>
                <c:pt idx="580">
                  <c:v>7.4174422669517105E-3</c:v>
                </c:pt>
                <c:pt idx="581">
                  <c:v>7.4178214114513858E-3</c:v>
                </c:pt>
                <c:pt idx="582">
                  <c:v>7.4181609336700146E-3</c:v>
                </c:pt>
                <c:pt idx="583">
                  <c:v>7.4185205357310781E-3</c:v>
                </c:pt>
                <c:pt idx="584">
                  <c:v>7.4189946501726362E-3</c:v>
                </c:pt>
                <c:pt idx="585">
                  <c:v>7.4195004841990549E-3</c:v>
                </c:pt>
                <c:pt idx="586">
                  <c:v>7.4199722812209983E-3</c:v>
                </c:pt>
                <c:pt idx="587">
                  <c:v>7.4204526707852807E-3</c:v>
                </c:pt>
                <c:pt idx="588">
                  <c:v>7.4209124757579521E-3</c:v>
                </c:pt>
                <c:pt idx="589">
                  <c:v>7.4213376892860311E-3</c:v>
                </c:pt>
                <c:pt idx="590">
                  <c:v>7.4217362485968445E-3</c:v>
                </c:pt>
                <c:pt idx="591">
                  <c:v>7.4221695377380131E-3</c:v>
                </c:pt>
                <c:pt idx="592">
                  <c:v>7.422575956832652E-3</c:v>
                </c:pt>
                <c:pt idx="593">
                  <c:v>7.4229854092825072E-3</c:v>
                </c:pt>
                <c:pt idx="594">
                  <c:v>7.4234122068357021E-3</c:v>
                </c:pt>
                <c:pt idx="595">
                  <c:v>7.4238985325981114E-3</c:v>
                </c:pt>
                <c:pt idx="596">
                  <c:v>7.4244044703266924E-3</c:v>
                </c:pt>
                <c:pt idx="597">
                  <c:v>7.4249293487881583E-3</c:v>
                </c:pt>
                <c:pt idx="598">
                  <c:v>7.4254195447543345E-3</c:v>
                </c:pt>
                <c:pt idx="599">
                  <c:v>7.4260912443683338E-3</c:v>
                </c:pt>
                <c:pt idx="600">
                  <c:v>7.4268075882275107E-3</c:v>
                </c:pt>
                <c:pt idx="601">
                  <c:v>7.4275008248567125E-3</c:v>
                </c:pt>
                <c:pt idx="602">
                  <c:v>7.4281200517939405E-3</c:v>
                </c:pt>
                <c:pt idx="603">
                  <c:v>7.4288536779671122E-3</c:v>
                </c:pt>
                <c:pt idx="604">
                  <c:v>7.4296566123848483E-3</c:v>
                </c:pt>
                <c:pt idx="605">
                  <c:v>7.4305178273198266E-3</c:v>
                </c:pt>
                <c:pt idx="606">
                  <c:v>7.4313653519767747E-3</c:v>
                </c:pt>
                <c:pt idx="607">
                  <c:v>7.4321978803906117E-3</c:v>
                </c:pt>
                <c:pt idx="608">
                  <c:v>7.433135809985102E-3</c:v>
                </c:pt>
                <c:pt idx="609">
                  <c:v>7.4341534122710513E-3</c:v>
                </c:pt>
                <c:pt idx="610">
                  <c:v>7.4352780039196389E-3</c:v>
                </c:pt>
                <c:pt idx="611">
                  <c:v>7.4364146038612515E-3</c:v>
                </c:pt>
                <c:pt idx="612">
                  <c:v>7.4375951717315378E-3</c:v>
                </c:pt>
                <c:pt idx="613">
                  <c:v>7.4388493637348625E-3</c:v>
                </c:pt>
                <c:pt idx="614">
                  <c:v>7.440139246052955E-3</c:v>
                </c:pt>
                <c:pt idx="615">
                  <c:v>7.4414261729667582E-3</c:v>
                </c:pt>
                <c:pt idx="616">
                  <c:v>7.4428003594493534E-3</c:v>
                </c:pt>
                <c:pt idx="617">
                  <c:v>7.4441651915610751E-3</c:v>
                </c:pt>
                <c:pt idx="618">
                  <c:v>7.4455182707247308E-3</c:v>
                </c:pt>
                <c:pt idx="619">
                  <c:v>7.4468240987670842E-3</c:v>
                </c:pt>
                <c:pt idx="620">
                  <c:v>7.4481922652997624E-3</c:v>
                </c:pt>
                <c:pt idx="621">
                  <c:v>7.4496841369146583E-3</c:v>
                </c:pt>
                <c:pt idx="622">
                  <c:v>7.451209334075292E-3</c:v>
                </c:pt>
                <c:pt idx="623">
                  <c:v>7.4526470460803277E-3</c:v>
                </c:pt>
                <c:pt idx="624">
                  <c:v>7.4541046426320557E-3</c:v>
                </c:pt>
                <c:pt idx="625">
                  <c:v>7.4556080457772039E-3</c:v>
                </c:pt>
                <c:pt idx="626">
                  <c:v>7.4571579388698801E-3</c:v>
                </c:pt>
                <c:pt idx="627">
                  <c:v>7.4586114055992777E-3</c:v>
                </c:pt>
                <c:pt idx="628">
                  <c:v>7.4601871956963654E-3</c:v>
                </c:pt>
                <c:pt idx="629">
                  <c:v>7.4617886663160514E-3</c:v>
                </c:pt>
                <c:pt idx="630">
                  <c:v>7.4633943248497512E-3</c:v>
                </c:pt>
                <c:pt idx="631">
                  <c:v>7.4650131505656454E-3</c:v>
                </c:pt>
                <c:pt idx="632">
                  <c:v>7.4666913569366306E-3</c:v>
                </c:pt>
                <c:pt idx="633">
                  <c:v>7.4684335165856831E-3</c:v>
                </c:pt>
                <c:pt idx="634">
                  <c:v>7.4701360115480356E-3</c:v>
                </c:pt>
                <c:pt idx="635">
                  <c:v>7.4718227108070707E-3</c:v>
                </c:pt>
                <c:pt idx="636">
                  <c:v>7.4733983500470036E-3</c:v>
                </c:pt>
                <c:pt idx="637">
                  <c:v>7.4749938019954745E-3</c:v>
                </c:pt>
                <c:pt idx="638">
                  <c:v>7.4766145821917847E-3</c:v>
                </c:pt>
                <c:pt idx="639">
                  <c:v>7.4782603313076415E-3</c:v>
                </c:pt>
                <c:pt idx="640">
                  <c:v>7.4799254174191653E-3</c:v>
                </c:pt>
                <c:pt idx="641">
                  <c:v>7.4817198360845102E-3</c:v>
                </c:pt>
                <c:pt idx="642">
                  <c:v>7.4834929936742492E-3</c:v>
                </c:pt>
                <c:pt idx="643">
                  <c:v>7.4852669145424261E-3</c:v>
                </c:pt>
                <c:pt idx="644">
                  <c:v>7.4870152970230863E-3</c:v>
                </c:pt>
                <c:pt idx="645">
                  <c:v>7.4888147798222171E-3</c:v>
                </c:pt>
                <c:pt idx="646">
                  <c:v>7.4906998402856691E-3</c:v>
                </c:pt>
                <c:pt idx="647">
                  <c:v>7.4925997160475511E-3</c:v>
                </c:pt>
                <c:pt idx="648">
                  <c:v>7.4945575104312517E-3</c:v>
                </c:pt>
                <c:pt idx="649">
                  <c:v>7.4964582201302934E-3</c:v>
                </c:pt>
                <c:pt idx="650">
                  <c:v>7.4982703253100684E-3</c:v>
                </c:pt>
                <c:pt idx="651">
                  <c:v>7.5000993534962892E-3</c:v>
                </c:pt>
                <c:pt idx="652">
                  <c:v>7.5018705245734583E-3</c:v>
                </c:pt>
                <c:pt idx="653">
                  <c:v>7.5036906583373086E-3</c:v>
                </c:pt>
                <c:pt idx="654">
                  <c:v>7.5055272468419736E-3</c:v>
                </c:pt>
                <c:pt idx="655">
                  <c:v>7.5074150756610442E-3</c:v>
                </c:pt>
                <c:pt idx="656">
                  <c:v>7.5093207265745253E-3</c:v>
                </c:pt>
                <c:pt idx="657">
                  <c:v>7.5112575176412592E-3</c:v>
                </c:pt>
                <c:pt idx="658">
                  <c:v>7.5131793945787256E-3</c:v>
                </c:pt>
                <c:pt idx="659">
                  <c:v>7.5150140834005699E-3</c:v>
                </c:pt>
                <c:pt idx="660">
                  <c:v>7.5168858362440489E-3</c:v>
                </c:pt>
                <c:pt idx="661">
                  <c:v>7.5187492024341232E-3</c:v>
                </c:pt>
                <c:pt idx="662">
                  <c:v>7.5204851591681304E-3</c:v>
                </c:pt>
                <c:pt idx="663">
                  <c:v>7.5223262352268521E-3</c:v>
                </c:pt>
                <c:pt idx="664">
                  <c:v>7.5241832735858955E-3</c:v>
                </c:pt>
                <c:pt idx="665">
                  <c:v>7.526092156962926E-3</c:v>
                </c:pt>
                <c:pt idx="666">
                  <c:v>7.5280801450809433E-3</c:v>
                </c:pt>
                <c:pt idx="667">
                  <c:v>7.5301728084846394E-3</c:v>
                </c:pt>
                <c:pt idx="668">
                  <c:v>7.5323579028851633E-3</c:v>
                </c:pt>
                <c:pt idx="669">
                  <c:v>7.5345177220662125E-3</c:v>
                </c:pt>
                <c:pt idx="670">
                  <c:v>7.5366712875548462E-3</c:v>
                </c:pt>
                <c:pt idx="671">
                  <c:v>7.5387818129042106E-3</c:v>
                </c:pt>
                <c:pt idx="672">
                  <c:v>7.540955328069001E-3</c:v>
                </c:pt>
                <c:pt idx="673">
                  <c:v>7.5431655583785466E-3</c:v>
                </c:pt>
                <c:pt idx="674">
                  <c:v>7.5452988932847541E-3</c:v>
                </c:pt>
                <c:pt idx="675">
                  <c:v>7.5474273592558757E-3</c:v>
                </c:pt>
                <c:pt idx="676">
                  <c:v>7.5496114621937845E-3</c:v>
                </c:pt>
                <c:pt idx="677">
                  <c:v>7.5518101452628356E-3</c:v>
                </c:pt>
                <c:pt idx="678">
                  <c:v>7.5538750810076744E-3</c:v>
                </c:pt>
                <c:pt idx="679">
                  <c:v>7.555927497019505E-3</c:v>
                </c:pt>
                <c:pt idx="680">
                  <c:v>7.5579254732038321E-3</c:v>
                </c:pt>
                <c:pt idx="681">
                  <c:v>7.5598747092508398E-3</c:v>
                </c:pt>
                <c:pt idx="682">
                  <c:v>7.5617737266825422E-3</c:v>
                </c:pt>
                <c:pt idx="683">
                  <c:v>7.5636911353749352E-3</c:v>
                </c:pt>
                <c:pt idx="684">
                  <c:v>7.5656135897394896E-3</c:v>
                </c:pt>
                <c:pt idx="685">
                  <c:v>7.5676301158328178E-3</c:v>
                </c:pt>
                <c:pt idx="686">
                  <c:v>7.5696800446556339E-3</c:v>
                </c:pt>
                <c:pt idx="687">
                  <c:v>7.5717215795903878E-3</c:v>
                </c:pt>
                <c:pt idx="688">
                  <c:v>7.5738171072804901E-3</c:v>
                </c:pt>
                <c:pt idx="689">
                  <c:v>7.5759164835208677E-3</c:v>
                </c:pt>
                <c:pt idx="690">
                  <c:v>7.5779650741427777E-3</c:v>
                </c:pt>
                <c:pt idx="691">
                  <c:v>7.5800281529535699E-3</c:v>
                </c:pt>
                <c:pt idx="692">
                  <c:v>7.5819691838083297E-3</c:v>
                </c:pt>
                <c:pt idx="693">
                  <c:v>7.583908537489777E-3</c:v>
                </c:pt>
                <c:pt idx="694">
                  <c:v>7.5856543772723052E-3</c:v>
                </c:pt>
                <c:pt idx="695">
                  <c:v>7.5874076006223557E-3</c:v>
                </c:pt>
                <c:pt idx="696">
                  <c:v>7.5891782354454602E-3</c:v>
                </c:pt>
                <c:pt idx="697">
                  <c:v>7.5909636815505999E-3</c:v>
                </c:pt>
                <c:pt idx="698">
                  <c:v>7.5927098749851776E-3</c:v>
                </c:pt>
                <c:pt idx="699">
                  <c:v>7.5944166820462004E-3</c:v>
                </c:pt>
                <c:pt idx="700">
                  <c:v>7.596119794303165E-3</c:v>
                </c:pt>
                <c:pt idx="701">
                  <c:v>7.597861443719307E-3</c:v>
                </c:pt>
                <c:pt idx="702">
                  <c:v>7.5996392580806177E-3</c:v>
                </c:pt>
                <c:pt idx="703">
                  <c:v>7.6013375212078717E-3</c:v>
                </c:pt>
                <c:pt idx="704">
                  <c:v>7.6029650623039898E-3</c:v>
                </c:pt>
                <c:pt idx="705">
                  <c:v>7.6045767108235719E-3</c:v>
                </c:pt>
                <c:pt idx="706">
                  <c:v>7.6062651128287039E-3</c:v>
                </c:pt>
                <c:pt idx="707">
                  <c:v>7.6080600227403164E-3</c:v>
                </c:pt>
                <c:pt idx="708">
                  <c:v>7.6098544340451853E-3</c:v>
                </c:pt>
                <c:pt idx="709">
                  <c:v>7.6114977162515651E-3</c:v>
                </c:pt>
                <c:pt idx="710">
                  <c:v>7.6131214213029123E-3</c:v>
                </c:pt>
                <c:pt idx="711">
                  <c:v>7.6147183239648249E-3</c:v>
                </c:pt>
                <c:pt idx="712">
                  <c:v>7.6164166910983166E-3</c:v>
                </c:pt>
                <c:pt idx="713">
                  <c:v>7.618028689296891E-3</c:v>
                </c:pt>
                <c:pt idx="714">
                  <c:v>7.6196254584597993E-3</c:v>
                </c:pt>
                <c:pt idx="715">
                  <c:v>7.6211900084027697E-3</c:v>
                </c:pt>
                <c:pt idx="716">
                  <c:v>7.6227360175644965E-3</c:v>
                </c:pt>
                <c:pt idx="717">
                  <c:v>7.6243265846884858E-3</c:v>
                </c:pt>
                <c:pt idx="718">
                  <c:v>7.6260086431814457E-3</c:v>
                </c:pt>
                <c:pt idx="719">
                  <c:v>7.627756468041114E-3</c:v>
                </c:pt>
              </c:numCache>
            </c:numRef>
          </c:val>
          <c:smooth val="0"/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noFill/>
            </c:spPr>
          </c:marker>
          <c:val>
            <c:numRef>
              <c:f>Output!$AC$12:$AC$731</c:f>
              <c:numCache>
                <c:formatCode>General</c:formatCode>
                <c:ptCount val="720"/>
                <c:pt idx="0">
                  <c:v>5.0000000290000002E-4</c:v>
                </c:pt>
                <c:pt idx="1">
                  <c:v>5.0000000000000001E-4</c:v>
                </c:pt>
                <c:pt idx="2">
                  <c:v>4.999999971E-4</c:v>
                </c:pt>
                <c:pt idx="3">
                  <c:v>5.0000000000000001E-4</c:v>
                </c:pt>
                <c:pt idx="4">
                  <c:v>5.0000001080000001E-4</c:v>
                </c:pt>
                <c:pt idx="5">
                  <c:v>5.0000001639999997E-4</c:v>
                </c:pt>
                <c:pt idx="6">
                  <c:v>5.0000000000000001E-4</c:v>
                </c:pt>
                <c:pt idx="7">
                  <c:v>4.9999995770000003E-4</c:v>
                </c:pt>
                <c:pt idx="8">
                  <c:v>4.9999993739999996E-4</c:v>
                </c:pt>
                <c:pt idx="9">
                  <c:v>5.0000000000000001E-4</c:v>
                </c:pt>
                <c:pt idx="10">
                  <c:v>5.0000015850000003E-4</c:v>
                </c:pt>
                <c:pt idx="11">
                  <c:v>5.0000023410000003E-4</c:v>
                </c:pt>
                <c:pt idx="12">
                  <c:v>5.0006249999999996E-4</c:v>
                </c:pt>
                <c:pt idx="13">
                  <c:v>5.0011149119999997E-4</c:v>
                </c:pt>
                <c:pt idx="14">
                  <c:v>5.001291698E-4</c:v>
                </c:pt>
                <c:pt idx="15">
                  <c:v>5.0012397669999995E-4</c:v>
                </c:pt>
                <c:pt idx="16">
                  <c:v>5.001043531E-4</c:v>
                </c:pt>
                <c:pt idx="17">
                  <c:v>5.0007874000000002E-4</c:v>
                </c:pt>
                <c:pt idx="18">
                  <c:v>5.0005557849999997E-4</c:v>
                </c:pt>
                <c:pt idx="19">
                  <c:v>5.0004155829999999E-4</c:v>
                </c:pt>
                <c:pt idx="20">
                  <c:v>5.0003636380000003E-4</c:v>
                </c:pt>
                <c:pt idx="21">
                  <c:v>5.0003792790000005E-4</c:v>
                </c:pt>
                <c:pt idx="22">
                  <c:v>5.0004418349999997E-4</c:v>
                </c:pt>
                <c:pt idx="23">
                  <c:v>5.000530637E-4</c:v>
                </c:pt>
                <c:pt idx="24">
                  <c:v>5.000625013E-4</c:v>
                </c:pt>
                <c:pt idx="25">
                  <c:v>5.0007078979999995E-4</c:v>
                </c:pt>
                <c:pt idx="26">
                  <c:v>5.0007766430000002E-4</c:v>
                </c:pt>
                <c:pt idx="27">
                  <c:v>5.0008322030000005E-4</c:v>
                </c:pt>
                <c:pt idx="28">
                  <c:v>5.0008755350000004E-4</c:v>
                </c:pt>
                <c:pt idx="29">
                  <c:v>5.0009075940000004E-4</c:v>
                </c:pt>
                <c:pt idx="30">
                  <c:v>5.0009293350000001E-4</c:v>
                </c:pt>
                <c:pt idx="31">
                  <c:v>5.0009404559999999E-4</c:v>
                </c:pt>
                <c:pt idx="32">
                  <c:v>5.0009356240000001E-4</c:v>
                </c:pt>
                <c:pt idx="33">
                  <c:v>5.0009082480000002E-4</c:v>
                </c:pt>
                <c:pt idx="34">
                  <c:v>5.0008517369999996E-4</c:v>
                </c:pt>
                <c:pt idx="35">
                  <c:v>5.0007595E-4</c:v>
                </c:pt>
                <c:pt idx="36">
                  <c:v>5.0006249449999999E-4</c:v>
                </c:pt>
                <c:pt idx="37">
                  <c:v>5.0004457260000002E-4</c:v>
                </c:pt>
                <c:pt idx="38">
                  <c:v>5.000236473E-4</c:v>
                </c:pt>
                <c:pt idx="39">
                  <c:v>5.0000160599999999E-4</c:v>
                </c:pt>
                <c:pt idx="40">
                  <c:v>4.9998033609999996E-4</c:v>
                </c:pt>
                <c:pt idx="41">
                  <c:v>4.9996172499999997E-4</c:v>
                </c:pt>
                <c:pt idx="42">
                  <c:v>4.9994766009999999E-4</c:v>
                </c:pt>
                <c:pt idx="43">
                  <c:v>4.9994001999999996E-4</c:v>
                </c:pt>
                <c:pt idx="44">
                  <c:v>4.9994064779999999E-4</c:v>
                </c:pt>
                <c:pt idx="45">
                  <c:v>4.9995137759999999E-4</c:v>
                </c:pt>
                <c:pt idx="46">
                  <c:v>4.9997404359999995E-4</c:v>
                </c:pt>
                <c:pt idx="47">
                  <c:v>5.0001047999999998E-4</c:v>
                </c:pt>
                <c:pt idx="48">
                  <c:v>5.0006252099999999E-4</c:v>
                </c:pt>
                <c:pt idx="49">
                  <c:v>5.0013054870000004E-4</c:v>
                </c:pt>
                <c:pt idx="50">
                  <c:v>5.0020913689999996E-4</c:v>
                </c:pt>
                <c:pt idx="51">
                  <c:v>5.0029140719999999E-4</c:v>
                </c:pt>
                <c:pt idx="52">
                  <c:v>5.0037048119999997E-4</c:v>
                </c:pt>
                <c:pt idx="53">
                  <c:v>5.0043948069999997E-4</c:v>
                </c:pt>
                <c:pt idx="54">
                  <c:v>5.0049152719999995E-4</c:v>
                </c:pt>
                <c:pt idx="55">
                  <c:v>5.0051974159999999E-4</c:v>
                </c:pt>
                <c:pt idx="56">
                  <c:v>5.0051724119999999E-4</c:v>
                </c:pt>
                <c:pt idx="57">
                  <c:v>5.0047714240000003E-4</c:v>
                </c:pt>
                <c:pt idx="58">
                  <c:v>5.0039256169999999E-4</c:v>
                </c:pt>
                <c:pt idx="59">
                  <c:v>5.0025661549999996E-4</c:v>
                </c:pt>
                <c:pt idx="60">
                  <c:v>5.000624203E-4</c:v>
                </c:pt>
                <c:pt idx="61">
                  <c:v>4.9980851990000003E-4</c:v>
                </c:pt>
                <c:pt idx="62">
                  <c:v>4.9951516800000005E-4</c:v>
                </c:pt>
                <c:pt idx="63">
                  <c:v>4.9920804560000002E-4</c:v>
                </c:pt>
                <c:pt idx="64">
                  <c:v>4.989128337E-4</c:v>
                </c:pt>
                <c:pt idx="65">
                  <c:v>4.9865521349999999E-4</c:v>
                </c:pt>
                <c:pt idx="66">
                  <c:v>4.9846086579999999E-4</c:v>
                </c:pt>
                <c:pt idx="67">
                  <c:v>4.983554773E-4</c:v>
                </c:pt>
                <c:pt idx="68">
                  <c:v>4.9836475560000005E-4</c:v>
                </c:pt>
                <c:pt idx="69">
                  <c:v>4.9851441390000003E-4</c:v>
                </c:pt>
                <c:pt idx="70">
                  <c:v>4.9883016540000003E-4</c:v>
                </c:pt>
                <c:pt idx="71">
                  <c:v>4.9933772319999997E-4</c:v>
                </c:pt>
                <c:pt idx="72">
                  <c:v>5.0006280060000004E-4</c:v>
                </c:pt>
                <c:pt idx="73">
                  <c:v>5.0101083490000002E-4</c:v>
                </c:pt>
                <c:pt idx="74">
                  <c:v>5.0210616069999996E-4</c:v>
                </c:pt>
                <c:pt idx="75">
                  <c:v>5.0325283660000004E-4</c:v>
                </c:pt>
                <c:pt idx="76">
                  <c:v>5.0435492129999998E-4</c:v>
                </c:pt>
                <c:pt idx="77">
                  <c:v>5.0531647370000003E-4</c:v>
                </c:pt>
                <c:pt idx="78">
                  <c:v>5.0604155240000003E-4</c:v>
                </c:pt>
                <c:pt idx="79">
                  <c:v>5.0643425329999995E-4</c:v>
                </c:pt>
                <c:pt idx="80">
                  <c:v>5.0639882019999996E-4</c:v>
                </c:pt>
                <c:pt idx="81">
                  <c:v>5.0583953429999997E-4</c:v>
                </c:pt>
                <c:pt idx="82">
                  <c:v>5.0466067649999999E-4</c:v>
                </c:pt>
                <c:pt idx="83">
                  <c:v>5.0276652800000004E-4</c:v>
                </c:pt>
                <c:pt idx="84">
                  <c:v>5.0006136979999997E-4</c:v>
                </c:pt>
                <c:pt idx="85">
                  <c:v>4.9661774360000002E-4</c:v>
                </c:pt>
                <c:pt idx="86">
                  <c:v>4.9318123440000004E-4</c:v>
                </c:pt>
                <c:pt idx="87">
                  <c:v>4.9066568800000001E-4</c:v>
                </c:pt>
                <c:pt idx="88">
                  <c:v>4.8998494999999995E-4</c:v>
                </c:pt>
                <c:pt idx="89">
                  <c:v>4.9205286609999997E-4</c:v>
                </c:pt>
                <c:pt idx="90">
                  <c:v>4.9778328220000004E-4</c:v>
                </c:pt>
                <c:pt idx="91">
                  <c:v>5.0809120860000002E-4</c:v>
                </c:pt>
                <c:pt idx="92">
                  <c:v>5.2389631480000002E-4</c:v>
                </c:pt>
                <c:pt idx="93">
                  <c:v>5.4611943489999999E-4</c:v>
                </c:pt>
                <c:pt idx="94">
                  <c:v>5.7568140309999997E-4</c:v>
                </c:pt>
                <c:pt idx="95">
                  <c:v>6.1350305360000003E-4</c:v>
                </c:pt>
                <c:pt idx="96">
                  <c:v>6.6050522040000004E-4</c:v>
                </c:pt>
                <c:pt idx="97">
                  <c:v>7.1726938839999997E-4</c:v>
                </c:pt>
                <c:pt idx="98">
                  <c:v>7.8301964399999995E-4</c:v>
                </c:pt>
                <c:pt idx="99">
                  <c:v>8.5664072450000002E-4</c:v>
                </c:pt>
                <c:pt idx="100">
                  <c:v>9.3701736680000005E-4</c:v>
                </c:pt>
                <c:pt idx="101">
                  <c:v>1.023034308E-3</c:v>
                </c:pt>
                <c:pt idx="102">
                  <c:v>1.113576286E-3</c:v>
                </c:pt>
                <c:pt idx="103">
                  <c:v>1.207524311E-3</c:v>
                </c:pt>
                <c:pt idx="104">
                  <c:v>1.3037444950000001E-3</c:v>
                </c:pt>
                <c:pt idx="105">
                  <c:v>1.401099223E-3</c:v>
                </c:pt>
                <c:pt idx="106">
                  <c:v>1.4984508810000001E-3</c:v>
                </c:pt>
                <c:pt idx="107">
                  <c:v>1.5946618530000001E-3</c:v>
                </c:pt>
                <c:pt idx="108">
                  <c:v>1.6885945259999999E-3</c:v>
                </c:pt>
                <c:pt idx="109">
                  <c:v>1.779327669E-3</c:v>
                </c:pt>
                <c:pt idx="110">
                  <c:v>1.8668055890000001E-3</c:v>
                </c:pt>
                <c:pt idx="111">
                  <c:v>1.951188975E-3</c:v>
                </c:pt>
                <c:pt idx="112">
                  <c:v>2.0326385199999999E-3</c:v>
                </c:pt>
                <c:pt idx="113">
                  <c:v>2.1113149129999998E-3</c:v>
                </c:pt>
                <c:pt idx="114">
                  <c:v>2.1873788459999999E-3</c:v>
                </c:pt>
                <c:pt idx="115">
                  <c:v>2.2609919879999999E-3</c:v>
                </c:pt>
                <c:pt idx="116">
                  <c:v>2.332319927E-3</c:v>
                </c:pt>
                <c:pt idx="117">
                  <c:v>2.4015292279999999E-3</c:v>
                </c:pt>
                <c:pt idx="118">
                  <c:v>2.4687864590000001E-3</c:v>
                </c:pt>
                <c:pt idx="119">
                  <c:v>2.5342581859999999E-3</c:v>
                </c:pt>
                <c:pt idx="120">
                  <c:v>2.5981109739999998E-3</c:v>
                </c:pt>
                <c:pt idx="121">
                  <c:v>2.6605188710000002E-3</c:v>
                </c:pt>
                <c:pt idx="122">
                  <c:v>2.7216858369999999E-3</c:v>
                </c:pt>
                <c:pt idx="123">
                  <c:v>2.7818233150000002E-3</c:v>
                </c:pt>
                <c:pt idx="124">
                  <c:v>2.8411427460000001E-3</c:v>
                </c:pt>
                <c:pt idx="125">
                  <c:v>2.8998555710000001E-3</c:v>
                </c:pt>
                <c:pt idx="126">
                  <c:v>2.9581732320000001E-3</c:v>
                </c:pt>
                <c:pt idx="127">
                  <c:v>3.0163078469999998E-3</c:v>
                </c:pt>
                <c:pt idx="128">
                  <c:v>3.0744742460000001E-3</c:v>
                </c:pt>
                <c:pt idx="129">
                  <c:v>3.1328879340000002E-3</c:v>
                </c:pt>
                <c:pt idx="130">
                  <c:v>3.1917644190000002E-3</c:v>
                </c:pt>
                <c:pt idx="131">
                  <c:v>3.251319206E-3</c:v>
                </c:pt>
                <c:pt idx="132">
                  <c:v>3.311767801E-3</c:v>
                </c:pt>
                <c:pt idx="133">
                  <c:v>3.3732362710000002E-3</c:v>
                </c:pt>
                <c:pt idx="134">
                  <c:v>3.4354929159999999E-3</c:v>
                </c:pt>
                <c:pt idx="135">
                  <c:v>3.498216598E-3</c:v>
                </c:pt>
                <c:pt idx="136">
                  <c:v>3.5610861769999999E-3</c:v>
                </c:pt>
                <c:pt idx="137">
                  <c:v>3.6237805150000002E-3</c:v>
                </c:pt>
                <c:pt idx="138">
                  <c:v>3.6859784720000002E-3</c:v>
                </c:pt>
                <c:pt idx="139">
                  <c:v>3.7473577770000001E-3</c:v>
                </c:pt>
                <c:pt idx="140">
                  <c:v>3.807591638E-3</c:v>
                </c:pt>
                <c:pt idx="141">
                  <c:v>3.8663521269999999E-3</c:v>
                </c:pt>
                <c:pt idx="142">
                  <c:v>3.9233113189999997E-3</c:v>
                </c:pt>
                <c:pt idx="143">
                  <c:v>3.9781412879999999E-3</c:v>
                </c:pt>
                <c:pt idx="144">
                  <c:v>4.0305141100000002E-3</c:v>
                </c:pt>
                <c:pt idx="145">
                  <c:v>4.0802033210000001E-3</c:v>
                </c:pt>
                <c:pt idx="146">
                  <c:v>4.1273883090000001E-3</c:v>
                </c:pt>
                <c:pt idx="147">
                  <c:v>4.1723499249999999E-3</c:v>
                </c:pt>
                <c:pt idx="148">
                  <c:v>4.21536902E-3</c:v>
                </c:pt>
                <c:pt idx="149">
                  <c:v>4.2567264439999997E-3</c:v>
                </c:pt>
                <c:pt idx="150">
                  <c:v>4.296703049E-3</c:v>
                </c:pt>
                <c:pt idx="151">
                  <c:v>4.3355804669999998E-3</c:v>
                </c:pt>
                <c:pt idx="152">
                  <c:v>4.3736434599999999E-3</c:v>
                </c:pt>
                <c:pt idx="153">
                  <c:v>4.4111775690000004E-3</c:v>
                </c:pt>
                <c:pt idx="154">
                  <c:v>4.4484683380000001E-3</c:v>
                </c:pt>
                <c:pt idx="155">
                  <c:v>4.4858013099999998E-3</c:v>
                </c:pt>
                <c:pt idx="156">
                  <c:v>4.5234620270000001E-3</c:v>
                </c:pt>
                <c:pt idx="157">
                  <c:v>4.5616866070000003E-3</c:v>
                </c:pt>
                <c:pt idx="158">
                  <c:v>4.6005134680000004E-3</c:v>
                </c:pt>
                <c:pt idx="159">
                  <c:v>4.6399316000000001E-3</c:v>
                </c:pt>
                <c:pt idx="160">
                  <c:v>4.6799299950000001E-3</c:v>
                </c:pt>
                <c:pt idx="161">
                  <c:v>4.7204976459999997E-3</c:v>
                </c:pt>
                <c:pt idx="162">
                  <c:v>4.761623544E-3</c:v>
                </c:pt>
                <c:pt idx="163">
                  <c:v>4.8032966840000002E-3</c:v>
                </c:pt>
                <c:pt idx="164">
                  <c:v>4.8455060810000004E-3</c:v>
                </c:pt>
                <c:pt idx="165">
                  <c:v>4.8882407510000003E-3</c:v>
                </c:pt>
                <c:pt idx="166">
                  <c:v>4.9314897119999996E-3</c:v>
                </c:pt>
                <c:pt idx="167">
                  <c:v>4.975241981E-3</c:v>
                </c:pt>
                <c:pt idx="168">
                  <c:v>5.0194865769999999E-3</c:v>
                </c:pt>
                <c:pt idx="169">
                  <c:v>5.0641743779999996E-3</c:v>
                </c:pt>
                <c:pt idx="170">
                  <c:v>5.109103714E-3</c:v>
                </c:pt>
                <c:pt idx="171">
                  <c:v>5.154034775E-3</c:v>
                </c:pt>
                <c:pt idx="172">
                  <c:v>5.1987277530000002E-3</c:v>
                </c:pt>
                <c:pt idx="173">
                  <c:v>5.2429428390000001E-3</c:v>
                </c:pt>
                <c:pt idx="174">
                  <c:v>5.2864402239999999E-3</c:v>
                </c:pt>
                <c:pt idx="175">
                  <c:v>5.328979381E-3</c:v>
                </c:pt>
                <c:pt idx="176">
                  <c:v>5.3703169079999998E-3</c:v>
                </c:pt>
                <c:pt idx="177">
                  <c:v>5.4102086860000004E-3</c:v>
                </c:pt>
                <c:pt idx="178">
                  <c:v>5.4484105960000001E-3</c:v>
                </c:pt>
                <c:pt idx="179">
                  <c:v>5.4846785180000003E-3</c:v>
                </c:pt>
                <c:pt idx="180">
                  <c:v>5.5187683330000003E-3</c:v>
                </c:pt>
                <c:pt idx="181">
                  <c:v>5.5505191039999999E-3</c:v>
                </c:pt>
                <c:pt idx="182">
                  <c:v>5.5801026249999996E-3</c:v>
                </c:pt>
                <c:pt idx="183">
                  <c:v>5.6077738719999999E-3</c:v>
                </c:pt>
                <c:pt idx="184">
                  <c:v>5.6337878219999997E-3</c:v>
                </c:pt>
                <c:pt idx="185">
                  <c:v>5.6583994519999996E-3</c:v>
                </c:pt>
                <c:pt idx="186">
                  <c:v>5.6818637369999998E-3</c:v>
                </c:pt>
                <c:pt idx="187">
                  <c:v>5.7044362200000002E-3</c:v>
                </c:pt>
                <c:pt idx="188">
                  <c:v>5.7263746969999996E-3</c:v>
                </c:pt>
                <c:pt idx="189">
                  <c:v>5.7479375309999999E-3</c:v>
                </c:pt>
                <c:pt idx="190">
                  <c:v>5.7693830850000004E-3</c:v>
                </c:pt>
                <c:pt idx="191">
                  <c:v>5.7909697199999997E-3</c:v>
                </c:pt>
                <c:pt idx="192">
                  <c:v>5.8129557980000001E-3</c:v>
                </c:pt>
                <c:pt idx="193">
                  <c:v>5.8355458269999999E-3</c:v>
                </c:pt>
                <c:pt idx="194">
                  <c:v>5.8587288899999996E-3</c:v>
                </c:pt>
                <c:pt idx="195">
                  <c:v>5.8824402149999996E-3</c:v>
                </c:pt>
                <c:pt idx="196">
                  <c:v>5.9066150300000004E-3</c:v>
                </c:pt>
                <c:pt idx="197">
                  <c:v>5.9311885639999999E-3</c:v>
                </c:pt>
                <c:pt idx="198">
                  <c:v>5.9560960450000004E-3</c:v>
                </c:pt>
                <c:pt idx="199">
                  <c:v>5.9812725470000001E-3</c:v>
                </c:pt>
                <c:pt idx="200">
                  <c:v>6.0066525270000004E-3</c:v>
                </c:pt>
                <c:pt idx="201">
                  <c:v>6.0321702899999996E-3</c:v>
                </c:pt>
                <c:pt idx="202">
                  <c:v>6.05776014E-3</c:v>
                </c:pt>
                <c:pt idx="203">
                  <c:v>6.0833563789999996E-3</c:v>
                </c:pt>
                <c:pt idx="204">
                  <c:v>6.1088933140000003E-3</c:v>
                </c:pt>
                <c:pt idx="205">
                  <c:v>6.1343167059999997E-3</c:v>
                </c:pt>
                <c:pt idx="206">
                  <c:v>6.1596181610000002E-3</c:v>
                </c:pt>
                <c:pt idx="207">
                  <c:v>6.1848007460000003E-3</c:v>
                </c:pt>
                <c:pt idx="208">
                  <c:v>6.2098675239999996E-3</c:v>
                </c:pt>
                <c:pt idx="209">
                  <c:v>6.2348215609999997E-3</c:v>
                </c:pt>
                <c:pt idx="210">
                  <c:v>6.2596659230000004E-3</c:v>
                </c:pt>
                <c:pt idx="211">
                  <c:v>6.2844036850000003E-3</c:v>
                </c:pt>
                <c:pt idx="212">
                  <c:v>6.3090379599999996E-3</c:v>
                </c:pt>
                <c:pt idx="213">
                  <c:v>6.3335718699999996E-3</c:v>
                </c:pt>
                <c:pt idx="214">
                  <c:v>6.3580085399999996E-3</c:v>
                </c:pt>
                <c:pt idx="215">
                  <c:v>6.3823510920000001E-3</c:v>
                </c:pt>
                <c:pt idx="216">
                  <c:v>6.40660265E-3</c:v>
                </c:pt>
                <c:pt idx="217">
                  <c:v>6.4307747450000003E-3</c:v>
                </c:pt>
                <c:pt idx="218">
                  <c:v>6.4549125499999997E-3</c:v>
                </c:pt>
                <c:pt idx="219">
                  <c:v>6.4790696439999997E-3</c:v>
                </c:pt>
                <c:pt idx="220">
                  <c:v>6.5032996079999999E-3</c:v>
                </c:pt>
                <c:pt idx="221">
                  <c:v>6.5276560219999996E-3</c:v>
                </c:pt>
                <c:pt idx="222">
                  <c:v>6.5521924670000004E-3</c:v>
                </c:pt>
                <c:pt idx="223">
                  <c:v>6.5769627009999998E-3</c:v>
                </c:pt>
                <c:pt idx="224">
                  <c:v>6.6020211879999997E-3</c:v>
                </c:pt>
                <c:pt idx="225">
                  <c:v>6.6274225689999999E-3</c:v>
                </c:pt>
                <c:pt idx="226">
                  <c:v>6.6532214870000002E-3</c:v>
                </c:pt>
                <c:pt idx="227">
                  <c:v>6.6794725839999999E-3</c:v>
                </c:pt>
                <c:pt idx="228">
                  <c:v>6.7062305009999998E-3</c:v>
                </c:pt>
                <c:pt idx="229">
                  <c:v>6.7335042729999997E-3</c:v>
                </c:pt>
                <c:pt idx="230">
                  <c:v>6.7611205080000004E-3</c:v>
                </c:pt>
                <c:pt idx="231">
                  <c:v>6.7888602070000003E-3</c:v>
                </c:pt>
                <c:pt idx="232">
                  <c:v>6.8165043720000004E-3</c:v>
                </c:pt>
                <c:pt idx="233">
                  <c:v>6.843834004E-3</c:v>
                </c:pt>
                <c:pt idx="234">
                  <c:v>6.870630103E-3</c:v>
                </c:pt>
                <c:pt idx="235">
                  <c:v>6.8966730920000004E-3</c:v>
                </c:pt>
                <c:pt idx="236">
                  <c:v>6.9217410720000001E-3</c:v>
                </c:pt>
                <c:pt idx="237">
                  <c:v>6.9456115660000003E-3</c:v>
                </c:pt>
                <c:pt idx="238">
                  <c:v>6.9680620960000002E-3</c:v>
                </c:pt>
                <c:pt idx="239">
                  <c:v>6.9888701859999996E-3</c:v>
                </c:pt>
                <c:pt idx="240">
                  <c:v>7.0078133569999998E-3</c:v>
                </c:pt>
                <c:pt idx="241">
                  <c:v>7.0247428319999998E-3</c:v>
                </c:pt>
                <c:pt idx="242">
                  <c:v>7.0398046420000002E-3</c:v>
                </c:pt>
                <c:pt idx="243">
                  <c:v>7.0532185159999997E-3</c:v>
                </c:pt>
                <c:pt idx="244">
                  <c:v>7.065204185E-3</c:v>
                </c:pt>
                <c:pt idx="245">
                  <c:v>7.0759813779999996E-3</c:v>
                </c:pt>
                <c:pt idx="246">
                  <c:v>7.0857698270000002E-3</c:v>
                </c:pt>
                <c:pt idx="247">
                  <c:v>7.0947896259999999E-3</c:v>
                </c:pt>
                <c:pt idx="248">
                  <c:v>7.1032623360000003E-3</c:v>
                </c:pt>
                <c:pt idx="249">
                  <c:v>7.1114098819999999E-3</c:v>
                </c:pt>
                <c:pt idx="250">
                  <c:v>7.1194541869999996E-3</c:v>
                </c:pt>
                <c:pt idx="251">
                  <c:v>7.1276171789999999E-3</c:v>
                </c:pt>
                <c:pt idx="252">
                  <c:v>7.1361207810000001E-3</c:v>
                </c:pt>
                <c:pt idx="253">
                  <c:v>7.1451405870000002E-3</c:v>
                </c:pt>
                <c:pt idx="254">
                  <c:v>7.1546668690000001E-3</c:v>
                </c:pt>
                <c:pt idx="255">
                  <c:v>7.1646435660000004E-3</c:v>
                </c:pt>
                <c:pt idx="256">
                  <c:v>7.1750146170000001E-3</c:v>
                </c:pt>
                <c:pt idx="257">
                  <c:v>7.1857239629999998E-3</c:v>
                </c:pt>
                <c:pt idx="258">
                  <c:v>7.1967155430000002E-3</c:v>
                </c:pt>
                <c:pt idx="259">
                  <c:v>7.2079332050000002E-3</c:v>
                </c:pt>
                <c:pt idx="260">
                  <c:v>7.2193204360000004E-3</c:v>
                </c:pt>
                <c:pt idx="261">
                  <c:v>7.2308206270000003E-3</c:v>
                </c:pt>
                <c:pt idx="262">
                  <c:v>7.2423771739999997E-3</c:v>
                </c:pt>
                <c:pt idx="263">
                  <c:v>7.253933469E-3</c:v>
                </c:pt>
                <c:pt idx="264">
                  <c:v>7.2654329060000003E-3</c:v>
                </c:pt>
                <c:pt idx="265">
                  <c:v>7.2768288670000004E-3</c:v>
                </c:pt>
                <c:pt idx="266">
                  <c:v>7.2881146879999999E-3</c:v>
                </c:pt>
                <c:pt idx="267">
                  <c:v>7.2992936919999999E-3</c:v>
                </c:pt>
                <c:pt idx="268">
                  <c:v>7.3103692019999998E-3</c:v>
                </c:pt>
                <c:pt idx="269">
                  <c:v>7.3213445409999996E-3</c:v>
                </c:pt>
                <c:pt idx="270">
                  <c:v>7.3322230320000004E-3</c:v>
                </c:pt>
                <c:pt idx="271">
                  <c:v>7.3430080079999998E-3</c:v>
                </c:pt>
                <c:pt idx="272">
                  <c:v>7.3537028329999999E-3</c:v>
                </c:pt>
                <c:pt idx="273">
                  <c:v>7.3643108799999997E-3</c:v>
                </c:pt>
                <c:pt idx="274">
                  <c:v>7.3748355229999998E-3</c:v>
                </c:pt>
                <c:pt idx="275">
                  <c:v>7.385280133E-3</c:v>
                </c:pt>
                <c:pt idx="276">
                  <c:v>7.395648084E-3</c:v>
                </c:pt>
                <c:pt idx="277">
                  <c:v>7.4059493820000004E-3</c:v>
                </c:pt>
                <c:pt idx="278">
                  <c:v>7.4162205570000002E-3</c:v>
                </c:pt>
                <c:pt idx="279">
                  <c:v>7.4265047739999999E-3</c:v>
                </c:pt>
                <c:pt idx="280">
                  <c:v>7.4368451949999997E-3</c:v>
                </c:pt>
                <c:pt idx="281">
                  <c:v>7.4472849850000002E-3</c:v>
                </c:pt>
                <c:pt idx="282">
                  <c:v>7.4578673059999996E-3</c:v>
                </c:pt>
                <c:pt idx="283">
                  <c:v>7.468635425E-3</c:v>
                </c:pt>
                <c:pt idx="284">
                  <c:v>7.4796330089999998E-3</c:v>
                </c:pt>
                <c:pt idx="285">
                  <c:v>7.4909038289999999E-3</c:v>
                </c:pt>
                <c:pt idx="286">
                  <c:v>7.5024916549999996E-3</c:v>
                </c:pt>
                <c:pt idx="287">
                  <c:v>7.5144402590000001E-3</c:v>
                </c:pt>
                <c:pt idx="288">
                  <c:v>7.526793409E-3</c:v>
                </c:pt>
                <c:pt idx="289">
                  <c:v>7.5395580370000003E-3</c:v>
                </c:pt>
                <c:pt idx="290">
                  <c:v>7.5525937140000004E-3</c:v>
                </c:pt>
                <c:pt idx="291">
                  <c:v>7.5657231700000001E-3</c:v>
                </c:pt>
                <c:pt idx="292">
                  <c:v>7.5787691349999999E-3</c:v>
                </c:pt>
                <c:pt idx="293">
                  <c:v>7.5915543419999999E-3</c:v>
                </c:pt>
                <c:pt idx="294">
                  <c:v>7.6039015200000002E-3</c:v>
                </c:pt>
                <c:pt idx="295">
                  <c:v>7.6156330990000002E-3</c:v>
                </c:pt>
                <c:pt idx="296">
                  <c:v>7.6265702990000002E-3</c:v>
                </c:pt>
                <c:pt idx="297">
                  <c:v>7.6365340369999998E-3</c:v>
                </c:pt>
                <c:pt idx="298">
                  <c:v>7.6453452340000004E-3</c:v>
                </c:pt>
                <c:pt idx="299">
                  <c:v>7.6528248069999997E-3</c:v>
                </c:pt>
                <c:pt idx="300">
                  <c:v>7.6587936739999996E-3</c:v>
                </c:pt>
                <c:pt idx="301">
                  <c:v>7.6631323939999997E-3</c:v>
                </c:pt>
                <c:pt idx="302">
                  <c:v>7.6659600830000004E-3</c:v>
                </c:pt>
                <c:pt idx="303">
                  <c:v>7.6674555010000003E-3</c:v>
                </c:pt>
                <c:pt idx="304">
                  <c:v>7.6677974030000002E-3</c:v>
                </c:pt>
                <c:pt idx="305">
                  <c:v>7.6671645460000002E-3</c:v>
                </c:pt>
                <c:pt idx="306">
                  <c:v>7.6657356890000002E-3</c:v>
                </c:pt>
                <c:pt idx="307">
                  <c:v>7.6636897100000002E-3</c:v>
                </c:pt>
                <c:pt idx="308">
                  <c:v>7.6612059749999999E-3</c:v>
                </c:pt>
                <c:pt idx="309">
                  <c:v>7.6584639720000004E-3</c:v>
                </c:pt>
                <c:pt idx="310">
                  <c:v>7.6556431900000003E-3</c:v>
                </c:pt>
                <c:pt idx="311">
                  <c:v>7.6529231149999998E-3</c:v>
                </c:pt>
                <c:pt idx="312">
                  <c:v>7.6504832360000004E-3</c:v>
                </c:pt>
                <c:pt idx="313">
                  <c:v>7.6484651070000001E-3</c:v>
                </c:pt>
                <c:pt idx="314">
                  <c:v>7.6468585450000003E-3</c:v>
                </c:pt>
                <c:pt idx="315">
                  <c:v>7.6456154330000001E-3</c:v>
                </c:pt>
                <c:pt idx="316">
                  <c:v>7.6446876539999998E-3</c:v>
                </c:pt>
                <c:pt idx="317">
                  <c:v>7.6440270899999999E-3</c:v>
                </c:pt>
                <c:pt idx="318">
                  <c:v>7.6435856250000002E-3</c:v>
                </c:pt>
                <c:pt idx="319">
                  <c:v>7.6433151199999999E-3</c:v>
                </c:pt>
                <c:pt idx="320">
                  <c:v>7.6431673450000001E-3</c:v>
                </c:pt>
                <c:pt idx="321">
                  <c:v>7.6430940500000003E-3</c:v>
                </c:pt>
                <c:pt idx="322">
                  <c:v>7.6430469809999997E-3</c:v>
                </c:pt>
                <c:pt idx="323">
                  <c:v>7.6429778889999999E-3</c:v>
                </c:pt>
                <c:pt idx="324">
                  <c:v>7.642838521E-3</c:v>
                </c:pt>
                <c:pt idx="325">
                  <c:v>7.6425908139999997E-3</c:v>
                </c:pt>
                <c:pt idx="326">
                  <c:v>7.6422374499999996E-3</c:v>
                </c:pt>
                <c:pt idx="327">
                  <c:v>7.6417913010000003E-3</c:v>
                </c:pt>
                <c:pt idx="328">
                  <c:v>7.6412652380000003E-3</c:v>
                </c:pt>
                <c:pt idx="329">
                  <c:v>7.6406721310000002E-3</c:v>
                </c:pt>
                <c:pt idx="330">
                  <c:v>7.6400248510000001E-3</c:v>
                </c:pt>
                <c:pt idx="331">
                  <c:v>7.6393362799999998E-3</c:v>
                </c:pt>
                <c:pt idx="332">
                  <c:v>7.6386193359999997E-3</c:v>
                </c:pt>
                <c:pt idx="333">
                  <c:v>7.6378869499999997E-3</c:v>
                </c:pt>
                <c:pt idx="334">
                  <c:v>7.6371520500000002E-3</c:v>
                </c:pt>
                <c:pt idx="335">
                  <c:v>7.6364275670000002E-3</c:v>
                </c:pt>
                <c:pt idx="336">
                  <c:v>7.6357264299999998E-3</c:v>
                </c:pt>
                <c:pt idx="337">
                  <c:v>7.6350588309999998E-3</c:v>
                </c:pt>
                <c:pt idx="338">
                  <c:v>7.6344240090000003E-3</c:v>
                </c:pt>
                <c:pt idx="339">
                  <c:v>7.6338184660000004E-3</c:v>
                </c:pt>
                <c:pt idx="340">
                  <c:v>7.6332387049999999E-3</c:v>
                </c:pt>
                <c:pt idx="341">
                  <c:v>7.6326812250000001E-3</c:v>
                </c:pt>
                <c:pt idx="342">
                  <c:v>7.6321425300000002E-3</c:v>
                </c:pt>
                <c:pt idx="343">
                  <c:v>7.631619119E-3</c:v>
                </c:pt>
                <c:pt idx="344">
                  <c:v>7.6311074839999996E-3</c:v>
                </c:pt>
                <c:pt idx="345">
                  <c:v>7.6306041139999996E-3</c:v>
                </c:pt>
                <c:pt idx="346">
                  <c:v>7.630105501E-3</c:v>
                </c:pt>
                <c:pt idx="347">
                  <c:v>7.6296081330000003E-3</c:v>
                </c:pt>
                <c:pt idx="348">
                  <c:v>7.6291085010000001E-3</c:v>
                </c:pt>
                <c:pt idx="349">
                  <c:v>7.628603831E-3</c:v>
                </c:pt>
                <c:pt idx="350">
                  <c:v>7.6280942930000003E-3</c:v>
                </c:pt>
                <c:pt idx="351">
                  <c:v>7.6275807940000004E-3</c:v>
                </c:pt>
                <c:pt idx="352">
                  <c:v>7.6270642409999997E-3</c:v>
                </c:pt>
                <c:pt idx="353">
                  <c:v>7.6265455390000002E-3</c:v>
                </c:pt>
                <c:pt idx="354">
                  <c:v>7.6260255949999996E-3</c:v>
                </c:pt>
                <c:pt idx="355">
                  <c:v>7.6255053179999999E-3</c:v>
                </c:pt>
                <c:pt idx="356">
                  <c:v>7.6249856169999996E-3</c:v>
                </c:pt>
                <c:pt idx="357">
                  <c:v>7.6244674060000003E-3</c:v>
                </c:pt>
                <c:pt idx="358">
                  <c:v>7.6239515959999997E-3</c:v>
                </c:pt>
                <c:pt idx="359">
                  <c:v>7.6234390999999997E-3</c:v>
                </c:pt>
                <c:pt idx="360">
                  <c:v>7.6229308300000001E-3</c:v>
                </c:pt>
                <c:pt idx="361">
                  <c:v>7.6224275019999999E-3</c:v>
                </c:pt>
                <c:pt idx="362">
                  <c:v>7.6219290380000002E-3</c:v>
                </c:pt>
                <c:pt idx="363">
                  <c:v>7.6214351680000004E-3</c:v>
                </c:pt>
                <c:pt idx="364">
                  <c:v>7.6209456179999998E-3</c:v>
                </c:pt>
                <c:pt idx="365">
                  <c:v>7.6204601140000003E-3</c:v>
                </c:pt>
                <c:pt idx="366">
                  <c:v>7.6199783859999997E-3</c:v>
                </c:pt>
                <c:pt idx="367">
                  <c:v>7.6195001590000002E-3</c:v>
                </c:pt>
                <c:pt idx="368">
                  <c:v>7.619025162E-3</c:v>
                </c:pt>
                <c:pt idx="369">
                  <c:v>7.6185531210000001E-3</c:v>
                </c:pt>
                <c:pt idx="370">
                  <c:v>7.6180837650000003E-3</c:v>
                </c:pt>
                <c:pt idx="371">
                  <c:v>7.6176168210000004E-3</c:v>
                </c:pt>
                <c:pt idx="372">
                  <c:v>7.6171520160000002E-3</c:v>
                </c:pt>
                <c:pt idx="373">
                  <c:v>7.6166891319999997E-3</c:v>
                </c:pt>
                <c:pt idx="374">
                  <c:v>7.6162281620000003E-3</c:v>
                </c:pt>
                <c:pt idx="375">
                  <c:v>7.6157691550000003E-3</c:v>
                </c:pt>
                <c:pt idx="376">
                  <c:v>7.6153121580000002E-3</c:v>
                </c:pt>
                <c:pt idx="377">
                  <c:v>7.6148572189999996E-3</c:v>
                </c:pt>
                <c:pt idx="378">
                  <c:v>7.6144043860000002E-3</c:v>
                </c:pt>
                <c:pt idx="379">
                  <c:v>7.6139537069999999E-3</c:v>
                </c:pt>
                <c:pt idx="380">
                  <c:v>7.6135052300000004E-3</c:v>
                </c:pt>
                <c:pt idx="381">
                  <c:v>7.6130590060000001E-3</c:v>
                </c:pt>
                <c:pt idx="382">
                  <c:v>7.6126150829999998E-3</c:v>
                </c:pt>
                <c:pt idx="383">
                  <c:v>7.6121735100000004E-3</c:v>
                </c:pt>
                <c:pt idx="384">
                  <c:v>7.6117343370000002E-3</c:v>
                </c:pt>
                <c:pt idx="385">
                  <c:v>7.6112975990000001E-3</c:v>
                </c:pt>
                <c:pt idx="386">
                  <c:v>7.610863275E-3</c:v>
                </c:pt>
                <c:pt idx="387">
                  <c:v>7.610431329E-3</c:v>
                </c:pt>
                <c:pt idx="388">
                  <c:v>7.610001727E-3</c:v>
                </c:pt>
                <c:pt idx="389">
                  <c:v>7.609574432E-3</c:v>
                </c:pt>
                <c:pt idx="390">
                  <c:v>7.6091494089999996E-3</c:v>
                </c:pt>
                <c:pt idx="391">
                  <c:v>7.6087266239999998E-3</c:v>
                </c:pt>
                <c:pt idx="392">
                  <c:v>7.6083060409999998E-3</c:v>
                </c:pt>
                <c:pt idx="393">
                  <c:v>7.6078876259999999E-3</c:v>
                </c:pt>
                <c:pt idx="394">
                  <c:v>7.6074713450000001E-3</c:v>
                </c:pt>
                <c:pt idx="395">
                  <c:v>7.6070571639999997E-3</c:v>
                </c:pt>
                <c:pt idx="396">
                  <c:v>7.6066450480000002E-3</c:v>
                </c:pt>
                <c:pt idx="397">
                  <c:v>7.6062349660000004E-3</c:v>
                </c:pt>
                <c:pt idx="398">
                  <c:v>7.6058269049999998E-3</c:v>
                </c:pt>
                <c:pt idx="399">
                  <c:v>7.6054208530000004E-3</c:v>
                </c:pt>
                <c:pt idx="400">
                  <c:v>7.6050168009999999E-3</c:v>
                </c:pt>
                <c:pt idx="401">
                  <c:v>7.6046147379999996E-3</c:v>
                </c:pt>
                <c:pt idx="402">
                  <c:v>7.6042146530000002E-3</c:v>
                </c:pt>
                <c:pt idx="403">
                  <c:v>7.6038165370000002E-3</c:v>
                </c:pt>
                <c:pt idx="404">
                  <c:v>7.6034203790000003E-3</c:v>
                </c:pt>
                <c:pt idx="405">
                  <c:v>7.6030261710000003E-3</c:v>
                </c:pt>
                <c:pt idx="406">
                  <c:v>7.6026339030000004E-3</c:v>
                </c:pt>
                <c:pt idx="407">
                  <c:v>7.6022435640000002E-3</c:v>
                </c:pt>
                <c:pt idx="408">
                  <c:v>7.6018551470000001E-3</c:v>
                </c:pt>
                <c:pt idx="409">
                  <c:v>7.6014686400000002E-3</c:v>
                </c:pt>
                <c:pt idx="410">
                  <c:v>7.6010840289999996E-3</c:v>
                </c:pt>
                <c:pt idx="411">
                  <c:v>7.6007012989999997E-3</c:v>
                </c:pt>
                <c:pt idx="412">
                  <c:v>7.6003204370000002E-3</c:v>
                </c:pt>
                <c:pt idx="413">
                  <c:v>7.5999414259999998E-3</c:v>
                </c:pt>
                <c:pt idx="414">
                  <c:v>7.5995642520000004E-3</c:v>
                </c:pt>
                <c:pt idx="415">
                  <c:v>7.5991888999999996E-3</c:v>
                </c:pt>
                <c:pt idx="416">
                  <c:v>7.5988153560000004E-3</c:v>
                </c:pt>
                <c:pt idx="417">
                  <c:v>7.5984436049999996E-3</c:v>
                </c:pt>
                <c:pt idx="418">
                  <c:v>7.598073635E-3</c:v>
                </c:pt>
                <c:pt idx="419">
                  <c:v>7.5977054299999998E-3</c:v>
                </c:pt>
                <c:pt idx="420">
                  <c:v>7.5973389770000004E-3</c:v>
                </c:pt>
                <c:pt idx="421">
                  <c:v>7.5969742609999997E-3</c:v>
                </c:pt>
                <c:pt idx="422">
                  <c:v>7.5966112709999999E-3</c:v>
                </c:pt>
                <c:pt idx="423">
                  <c:v>7.5962499950000002E-3</c:v>
                </c:pt>
                <c:pt idx="424">
                  <c:v>7.5958904209999997E-3</c:v>
                </c:pt>
                <c:pt idx="425">
                  <c:v>7.5955325370000003E-3</c:v>
                </c:pt>
                <c:pt idx="426">
                  <c:v>7.5951763330000003E-3</c:v>
                </c:pt>
                <c:pt idx="427">
                  <c:v>7.5948217949999997E-3</c:v>
                </c:pt>
                <c:pt idx="428">
                  <c:v>7.5944689130000003E-3</c:v>
                </c:pt>
                <c:pt idx="429">
                  <c:v>7.594117676E-3</c:v>
                </c:pt>
                <c:pt idx="430">
                  <c:v>7.593768073E-3</c:v>
                </c:pt>
                <c:pt idx="431">
                  <c:v>7.5934200919999997E-3</c:v>
                </c:pt>
                <c:pt idx="432">
                  <c:v>7.5930737229999998E-3</c:v>
                </c:pt>
                <c:pt idx="433">
                  <c:v>7.5927289550000001E-3</c:v>
                </c:pt>
                <c:pt idx="434">
                  <c:v>7.5923857759999996E-3</c:v>
                </c:pt>
                <c:pt idx="435">
                  <c:v>7.5920441760000002E-3</c:v>
                </c:pt>
                <c:pt idx="436">
                  <c:v>7.5917041439999998E-3</c:v>
                </c:pt>
                <c:pt idx="437">
                  <c:v>7.591365668E-3</c:v>
                </c:pt>
                <c:pt idx="438">
                  <c:v>7.5910287389999997E-3</c:v>
                </c:pt>
                <c:pt idx="439">
                  <c:v>7.5906933449999998E-3</c:v>
                </c:pt>
                <c:pt idx="440">
                  <c:v>7.5903594760000003E-3</c:v>
                </c:pt>
                <c:pt idx="441">
                  <c:v>7.590027121E-3</c:v>
                </c:pt>
                <c:pt idx="442">
                  <c:v>7.5896962699999997E-3</c:v>
                </c:pt>
                <c:pt idx="443">
                  <c:v>7.589366914E-3</c:v>
                </c:pt>
                <c:pt idx="444">
                  <c:v>7.5890390400000004E-3</c:v>
                </c:pt>
                <c:pt idx="445">
                  <c:v>7.5887126400000001E-3</c:v>
                </c:pt>
                <c:pt idx="446">
                  <c:v>7.588387704E-3</c:v>
                </c:pt>
                <c:pt idx="447">
                  <c:v>7.5880642209999998E-3</c:v>
                </c:pt>
                <c:pt idx="448">
                  <c:v>7.5877421830000003E-3</c:v>
                </c:pt>
                <c:pt idx="449">
                  <c:v>7.5874215790000003E-3</c:v>
                </c:pt>
                <c:pt idx="450">
                  <c:v>7.5871024000000002E-3</c:v>
                </c:pt>
                <c:pt idx="451">
                  <c:v>7.5867846360000001E-3</c:v>
                </c:pt>
                <c:pt idx="452">
                  <c:v>7.586468279E-3</c:v>
                </c:pt>
                <c:pt idx="453">
                  <c:v>7.5861533179999996E-3</c:v>
                </c:pt>
                <c:pt idx="454">
                  <c:v>7.5858397440000001E-3</c:v>
                </c:pt>
                <c:pt idx="455">
                  <c:v>7.5855275500000003E-3</c:v>
                </c:pt>
                <c:pt idx="456">
                  <c:v>7.5852167240000002E-3</c:v>
                </c:pt>
                <c:pt idx="457">
                  <c:v>7.5849072590000004E-3</c:v>
                </c:pt>
                <c:pt idx="458">
                  <c:v>7.5845991460000003E-3</c:v>
                </c:pt>
                <c:pt idx="459">
                  <c:v>7.5842923750000001E-3</c:v>
                </c:pt>
                <c:pt idx="460">
                  <c:v>7.5839869379999997E-3</c:v>
                </c:pt>
                <c:pt idx="461">
                  <c:v>7.5836828270000002E-3</c:v>
                </c:pt>
                <c:pt idx="462">
                  <c:v>7.5833800319999997E-3</c:v>
                </c:pt>
                <c:pt idx="463">
                  <c:v>7.583078545E-3</c:v>
                </c:pt>
                <c:pt idx="464">
                  <c:v>7.582778357E-3</c:v>
                </c:pt>
                <c:pt idx="465">
                  <c:v>7.5824794609999999E-3</c:v>
                </c:pt>
                <c:pt idx="466">
                  <c:v>7.5821818480000004E-3</c:v>
                </c:pt>
                <c:pt idx="467">
                  <c:v>7.5818855099999997E-3</c:v>
                </c:pt>
                <c:pt idx="468">
                  <c:v>7.581590438E-3</c:v>
                </c:pt>
                <c:pt idx="469">
                  <c:v>7.5812966239999996E-3</c:v>
                </c:pt>
                <c:pt idx="470">
                  <c:v>7.5810040609999999E-3</c:v>
                </c:pt>
                <c:pt idx="471">
                  <c:v>7.5807127400000004E-3</c:v>
                </c:pt>
                <c:pt idx="472">
                  <c:v>7.5804226539999998E-3</c:v>
                </c:pt>
                <c:pt idx="473">
                  <c:v>7.5801337939999996E-3</c:v>
                </c:pt>
                <c:pt idx="474">
                  <c:v>7.5798461530000001E-3</c:v>
                </c:pt>
                <c:pt idx="475">
                  <c:v>7.5795597229999997E-3</c:v>
                </c:pt>
                <c:pt idx="476">
                  <c:v>7.5792744969999997E-3</c:v>
                </c:pt>
                <c:pt idx="477">
                  <c:v>7.5789904670000002E-3</c:v>
                </c:pt>
                <c:pt idx="478">
                  <c:v>7.5787076250000002E-3</c:v>
                </c:pt>
                <c:pt idx="479">
                  <c:v>7.5784259649999998E-3</c:v>
                </c:pt>
                <c:pt idx="480">
                  <c:v>7.5781454780000004E-3</c:v>
                </c:pt>
                <c:pt idx="481">
                  <c:v>7.5778661569999997E-3</c:v>
                </c:pt>
                <c:pt idx="482">
                  <c:v>7.5775879959999997E-3</c:v>
                </c:pt>
                <c:pt idx="483">
                  <c:v>7.5773109859999998E-3</c:v>
                </c:pt>
                <c:pt idx="484">
                  <c:v>7.5770351210000001E-3</c:v>
                </c:pt>
                <c:pt idx="485">
                  <c:v>7.5767603940000003E-3</c:v>
                </c:pt>
                <c:pt idx="486">
                  <c:v>7.5764867979999997E-3</c:v>
                </c:pt>
                <c:pt idx="487">
                  <c:v>7.5762143250000004E-3</c:v>
                </c:pt>
                <c:pt idx="488">
                  <c:v>7.5759429689999996E-3</c:v>
                </c:pt>
                <c:pt idx="489">
                  <c:v>7.575672722E-3</c:v>
                </c:pt>
                <c:pt idx="490">
                  <c:v>7.5754035790000004E-3</c:v>
                </c:pt>
                <c:pt idx="491">
                  <c:v>7.5751355330000002E-3</c:v>
                </c:pt>
                <c:pt idx="492">
                  <c:v>7.5748685759999997E-3</c:v>
                </c:pt>
                <c:pt idx="493">
                  <c:v>7.5746027020000004E-3</c:v>
                </c:pt>
                <c:pt idx="494">
                  <c:v>7.5743379040000003E-3</c:v>
                </c:pt>
                <c:pt idx="495">
                  <c:v>7.5740741769999998E-3</c:v>
                </c:pt>
                <c:pt idx="496">
                  <c:v>7.5738115129999999E-3</c:v>
                </c:pt>
                <c:pt idx="497">
                  <c:v>7.5735499059999996E-3</c:v>
                </c:pt>
                <c:pt idx="498">
                  <c:v>7.5732893499999999E-3</c:v>
                </c:pt>
                <c:pt idx="499">
                  <c:v>7.5730298380000003E-3</c:v>
                </c:pt>
                <c:pt idx="500">
                  <c:v>7.5727713640000001E-3</c:v>
                </c:pt>
                <c:pt idx="501">
                  <c:v>7.5725139220000001E-3</c:v>
                </c:pt>
                <c:pt idx="502">
                  <c:v>7.5722575060000004E-3</c:v>
                </c:pt>
                <c:pt idx="503">
                  <c:v>7.5720021090000004E-3</c:v>
                </c:pt>
                <c:pt idx="504">
                  <c:v>7.5717477259999999E-3</c:v>
                </c:pt>
                <c:pt idx="505">
                  <c:v>7.5714943509999997E-3</c:v>
                </c:pt>
                <c:pt idx="506">
                  <c:v>7.5712419770000003E-3</c:v>
                </c:pt>
                <c:pt idx="507">
                  <c:v>7.5709905990000003E-3</c:v>
                </c:pt>
                <c:pt idx="508">
                  <c:v>7.5707402100000003E-3</c:v>
                </c:pt>
                <c:pt idx="509">
                  <c:v>7.5704908049999999E-3</c:v>
                </c:pt>
                <c:pt idx="510">
                  <c:v>7.5702423790000003E-3</c:v>
                </c:pt>
                <c:pt idx="511">
                  <c:v>7.5699949250000002E-3</c:v>
                </c:pt>
                <c:pt idx="512">
                  <c:v>7.5697484369999998E-3</c:v>
                </c:pt>
                <c:pt idx="513">
                  <c:v>7.5695029109999999E-3</c:v>
                </c:pt>
                <c:pt idx="514">
                  <c:v>7.5692583400000001E-3</c:v>
                </c:pt>
                <c:pt idx="515">
                  <c:v>7.5690147189999999E-3</c:v>
                </c:pt>
                <c:pt idx="516">
                  <c:v>7.5687720420000004E-3</c:v>
                </c:pt>
                <c:pt idx="517">
                  <c:v>7.568530304E-3</c:v>
                </c:pt>
                <c:pt idx="518">
                  <c:v>7.5682894989999999E-3</c:v>
                </c:pt>
                <c:pt idx="519">
                  <c:v>7.568049623E-3</c:v>
                </c:pt>
                <c:pt idx="520">
                  <c:v>7.5678106689999998E-3</c:v>
                </c:pt>
                <c:pt idx="521">
                  <c:v>7.5675726319999999E-3</c:v>
                </c:pt>
                <c:pt idx="522">
                  <c:v>7.5673355080000003E-3</c:v>
                </c:pt>
                <c:pt idx="523">
                  <c:v>7.5670992899999996E-3</c:v>
                </c:pt>
                <c:pt idx="524">
                  <c:v>7.5668639739999996E-3</c:v>
                </c:pt>
                <c:pt idx="525">
                  <c:v>7.5666295539999996E-3</c:v>
                </c:pt>
                <c:pt idx="526">
                  <c:v>7.5663960260000003E-3</c:v>
                </c:pt>
                <c:pt idx="527">
                  <c:v>7.5661633840000001E-3</c:v>
                </c:pt>
                <c:pt idx="528">
                  <c:v>7.5659316239999998E-3</c:v>
                </c:pt>
                <c:pt idx="529">
                  <c:v>7.5657007400000004E-3</c:v>
                </c:pt>
                <c:pt idx="530">
                  <c:v>7.5654707269999996E-3</c:v>
                </c:pt>
                <c:pt idx="531">
                  <c:v>7.5652415799999997E-3</c:v>
                </c:pt>
                <c:pt idx="532">
                  <c:v>7.5650132949999999E-3</c:v>
                </c:pt>
                <c:pt idx="533">
                  <c:v>7.5647858660000001E-3</c:v>
                </c:pt>
                <c:pt idx="534">
                  <c:v>7.5645592899999999E-3</c:v>
                </c:pt>
                <c:pt idx="535">
                  <c:v>7.5643335599999998E-3</c:v>
                </c:pt>
                <c:pt idx="536">
                  <c:v>7.5641086730000003E-3</c:v>
                </c:pt>
                <c:pt idx="537">
                  <c:v>7.563884624E-3</c:v>
                </c:pt>
                <c:pt idx="538">
                  <c:v>7.5636614069999998E-3</c:v>
                </c:pt>
                <c:pt idx="539">
                  <c:v>7.5634390190000003E-3</c:v>
                </c:pt>
                <c:pt idx="540">
                  <c:v>7.5632174539999996E-3</c:v>
                </c:pt>
                <c:pt idx="541">
                  <c:v>7.562996709E-3</c:v>
                </c:pt>
                <c:pt idx="542">
                  <c:v>7.5627767779999997E-3</c:v>
                </c:pt>
                <c:pt idx="543">
                  <c:v>7.5625576569999997E-3</c:v>
                </c:pt>
                <c:pt idx="544">
                  <c:v>7.5623393419999999E-3</c:v>
                </c:pt>
                <c:pt idx="545">
                  <c:v>7.5621218279999999E-3</c:v>
                </c:pt>
                <c:pt idx="546">
                  <c:v>7.5619051109999998E-3</c:v>
                </c:pt>
                <c:pt idx="547">
                  <c:v>7.561689186E-3</c:v>
                </c:pt>
                <c:pt idx="548">
                  <c:v>7.5614740500000001E-3</c:v>
                </c:pt>
                <c:pt idx="549">
                  <c:v>7.5612596970000001E-3</c:v>
                </c:pt>
                <c:pt idx="550">
                  <c:v>7.5610461239999996E-3</c:v>
                </c:pt>
                <c:pt idx="551">
                  <c:v>7.5608333259999999E-3</c:v>
                </c:pt>
                <c:pt idx="552">
                  <c:v>7.5606212990000001E-3</c:v>
                </c:pt>
                <c:pt idx="553">
                  <c:v>7.5604100390000003E-3</c:v>
                </c:pt>
                <c:pt idx="554">
                  <c:v>7.5601995410000001E-3</c:v>
                </c:pt>
                <c:pt idx="555">
                  <c:v>7.5599898019999999E-3</c:v>
                </c:pt>
                <c:pt idx="556">
                  <c:v>7.5597808179999997E-3</c:v>
                </c:pt>
                <c:pt idx="557">
                  <c:v>7.5595725839999999E-3</c:v>
                </c:pt>
                <c:pt idx="558">
                  <c:v>7.5593650970000002E-3</c:v>
                </c:pt>
                <c:pt idx="559">
                  <c:v>7.5591583520000002E-3</c:v>
                </c:pt>
                <c:pt idx="560">
                  <c:v>7.5589523449999998E-3</c:v>
                </c:pt>
                <c:pt idx="561">
                  <c:v>7.5587470730000004E-3</c:v>
                </c:pt>
                <c:pt idx="562">
                  <c:v>7.5585425309999997E-3</c:v>
                </c:pt>
                <c:pt idx="563">
                  <c:v>7.5583387160000001E-3</c:v>
                </c:pt>
                <c:pt idx="564">
                  <c:v>7.5581356239999998E-3</c:v>
                </c:pt>
                <c:pt idx="565">
                  <c:v>7.5579332509999996E-3</c:v>
                </c:pt>
                <c:pt idx="566">
                  <c:v>7.5577315929999996E-3</c:v>
                </c:pt>
                <c:pt idx="567">
                  <c:v>7.5575306459999998E-3</c:v>
                </c:pt>
                <c:pt idx="568">
                  <c:v>7.5573304069999998E-3</c:v>
                </c:pt>
                <c:pt idx="569">
                  <c:v>7.5571308720000004E-3</c:v>
                </c:pt>
                <c:pt idx="570">
                  <c:v>7.556932037E-3</c:v>
                </c:pt>
                <c:pt idx="571">
                  <c:v>7.5567338980000003E-3</c:v>
                </c:pt>
                <c:pt idx="572">
                  <c:v>7.5565364519999999E-3</c:v>
                </c:pt>
                <c:pt idx="573">
                  <c:v>7.5563396960000003E-3</c:v>
                </c:pt>
                <c:pt idx="574">
                  <c:v>7.5561436250000001E-3</c:v>
                </c:pt>
                <c:pt idx="575">
                  <c:v>7.5559482359999998E-3</c:v>
                </c:pt>
                <c:pt idx="576">
                  <c:v>7.5557535250000002E-3</c:v>
                </c:pt>
                <c:pt idx="577">
                  <c:v>7.5555594899999997E-3</c:v>
                </c:pt>
                <c:pt idx="578">
                  <c:v>7.5553661249999999E-3</c:v>
                </c:pt>
                <c:pt idx="579">
                  <c:v>7.5551734289999997E-3</c:v>
                </c:pt>
                <c:pt idx="580">
                  <c:v>7.5549813979999998E-3</c:v>
                </c:pt>
                <c:pt idx="581">
                  <c:v>7.5547900269999999E-3</c:v>
                </c:pt>
                <c:pt idx="582">
                  <c:v>7.554599314E-3</c:v>
                </c:pt>
                <c:pt idx="583">
                  <c:v>7.5544092559999996E-3</c:v>
                </c:pt>
                <c:pt idx="584">
                  <c:v>7.5542198480000001E-3</c:v>
                </c:pt>
                <c:pt idx="585">
                  <c:v>7.5540310879999998E-3</c:v>
                </c:pt>
                <c:pt idx="586">
                  <c:v>7.5538429720000003E-3</c:v>
                </c:pt>
                <c:pt idx="587">
                  <c:v>7.5536554969999996E-3</c:v>
                </c:pt>
                <c:pt idx="588">
                  <c:v>7.5534686599999998E-3</c:v>
                </c:pt>
                <c:pt idx="589">
                  <c:v>7.553282457E-3</c:v>
                </c:pt>
                <c:pt idx="590">
                  <c:v>7.5530968860000004E-3</c:v>
                </c:pt>
                <c:pt idx="591">
                  <c:v>7.5529119420000004E-3</c:v>
                </c:pt>
                <c:pt idx="592">
                  <c:v>7.5527276239999996E-3</c:v>
                </c:pt>
                <c:pt idx="593">
                  <c:v>7.5525439270000003E-3</c:v>
                </c:pt>
                <c:pt idx="594">
                  <c:v>7.5523608480000002E-3</c:v>
                </c:pt>
                <c:pt idx="595">
                  <c:v>7.5521783850000003E-3</c:v>
                </c:pt>
                <c:pt idx="596">
                  <c:v>7.5519965350000001E-3</c:v>
                </c:pt>
                <c:pt idx="597">
                  <c:v>7.551815293E-3</c:v>
                </c:pt>
                <c:pt idx="598">
                  <c:v>7.5516346579999998E-3</c:v>
                </c:pt>
                <c:pt idx="599">
                  <c:v>7.5514546260000001E-3</c:v>
                </c:pt>
                <c:pt idx="600">
                  <c:v>7.5512751939999997E-3</c:v>
                </c:pt>
                <c:pt idx="601">
                  <c:v>7.5510963599999996E-3</c:v>
                </c:pt>
                <c:pt idx="602">
                  <c:v>7.5509181190000002E-3</c:v>
                </c:pt>
                <c:pt idx="603">
                  <c:v>7.5507404689999997E-3</c:v>
                </c:pt>
                <c:pt idx="604">
                  <c:v>7.5505634079999998E-3</c:v>
                </c:pt>
                <c:pt idx="605">
                  <c:v>7.5503869330000003E-3</c:v>
                </c:pt>
                <c:pt idx="606">
                  <c:v>7.5502110389999997E-3</c:v>
                </c:pt>
                <c:pt idx="607">
                  <c:v>7.5500357259999998E-3</c:v>
                </c:pt>
                <c:pt idx="608">
                  <c:v>7.5498609890000002E-3</c:v>
                </c:pt>
                <c:pt idx="609">
                  <c:v>7.5496868260000001E-3</c:v>
                </c:pt>
                <c:pt idx="610">
                  <c:v>7.5495132330000003E-3</c:v>
                </c:pt>
                <c:pt idx="611">
                  <c:v>7.5493402099999999E-3</c:v>
                </c:pt>
                <c:pt idx="612">
                  <c:v>7.5491677509999999E-3</c:v>
                </c:pt>
                <c:pt idx="613">
                  <c:v>7.5489958560000002E-3</c:v>
                </c:pt>
                <c:pt idx="614">
                  <c:v>7.5488245199999996E-3</c:v>
                </c:pt>
                <c:pt idx="615">
                  <c:v>7.5486537420000003E-3</c:v>
                </c:pt>
                <c:pt idx="616">
                  <c:v>7.5484835179999996E-3</c:v>
                </c:pt>
                <c:pt idx="617">
                  <c:v>7.5483138449999997E-3</c:v>
                </c:pt>
                <c:pt idx="618">
                  <c:v>7.5481447220000003E-3</c:v>
                </c:pt>
                <c:pt idx="619">
                  <c:v>7.5479761459999999E-3</c:v>
                </c:pt>
                <c:pt idx="620">
                  <c:v>7.5478081129999996E-3</c:v>
                </c:pt>
                <c:pt idx="621">
                  <c:v>7.5476406219999997E-3</c:v>
                </c:pt>
                <c:pt idx="622">
                  <c:v>7.5474736690000002E-3</c:v>
                </c:pt>
                <c:pt idx="623">
                  <c:v>7.5473072520000004E-3</c:v>
                </c:pt>
                <c:pt idx="624">
                  <c:v>7.5471413679999997E-3</c:v>
                </c:pt>
                <c:pt idx="625">
                  <c:v>7.5469760149999999E-3</c:v>
                </c:pt>
                <c:pt idx="626">
                  <c:v>7.5468111910000002E-3</c:v>
                </c:pt>
                <c:pt idx="627">
                  <c:v>7.5466468919999996E-3</c:v>
                </c:pt>
                <c:pt idx="628">
                  <c:v>7.5464831169999996E-3</c:v>
                </c:pt>
                <c:pt idx="629">
                  <c:v>7.5463198629999997E-3</c:v>
                </c:pt>
                <c:pt idx="630">
                  <c:v>7.5461571259999999E-3</c:v>
                </c:pt>
                <c:pt idx="631">
                  <c:v>7.5459949060000002E-3</c:v>
                </c:pt>
                <c:pt idx="632">
                  <c:v>7.5458331989999997E-3</c:v>
                </c:pt>
                <c:pt idx="633">
                  <c:v>7.5456720030000002E-3</c:v>
                </c:pt>
                <c:pt idx="634">
                  <c:v>7.5455113149999996E-3</c:v>
                </c:pt>
                <c:pt idx="635">
                  <c:v>7.545351134E-3</c:v>
                </c:pt>
                <c:pt idx="636">
                  <c:v>7.5451914559999996E-3</c:v>
                </c:pt>
                <c:pt idx="637">
                  <c:v>7.5450322799999999E-3</c:v>
                </c:pt>
                <c:pt idx="638">
                  <c:v>7.5448736019999999E-3</c:v>
                </c:pt>
                <c:pt idx="639">
                  <c:v>7.5447154219999996E-3</c:v>
                </c:pt>
                <c:pt idx="640">
                  <c:v>7.5445577349999996E-3</c:v>
                </c:pt>
                <c:pt idx="641">
                  <c:v>7.5444005409999997E-3</c:v>
                </c:pt>
                <c:pt idx="642">
                  <c:v>7.5442438360000001E-3</c:v>
                </c:pt>
                <c:pt idx="643">
                  <c:v>7.5440876190000002E-3</c:v>
                </c:pt>
                <c:pt idx="644">
                  <c:v>7.5439318869999997E-3</c:v>
                </c:pt>
                <c:pt idx="645">
                  <c:v>7.5437766380000004E-3</c:v>
                </c:pt>
                <c:pt idx="646">
                  <c:v>7.5436218700000003E-3</c:v>
                </c:pt>
                <c:pt idx="647">
                  <c:v>7.5434675800000002E-3</c:v>
                </c:pt>
                <c:pt idx="648">
                  <c:v>7.5433137659999998E-3</c:v>
                </c:pt>
                <c:pt idx="649">
                  <c:v>7.5431604269999997E-3</c:v>
                </c:pt>
                <c:pt idx="650">
                  <c:v>7.5430075589999999E-3</c:v>
                </c:pt>
                <c:pt idx="651">
                  <c:v>7.542855161E-3</c:v>
                </c:pt>
                <c:pt idx="652">
                  <c:v>7.5427032300000004E-3</c:v>
                </c:pt>
                <c:pt idx="653">
                  <c:v>7.5425517649999997E-3</c:v>
                </c:pt>
                <c:pt idx="654">
                  <c:v>7.5424007630000003E-3</c:v>
                </c:pt>
                <c:pt idx="655">
                  <c:v>7.5422502220000003E-3</c:v>
                </c:pt>
                <c:pt idx="656">
                  <c:v>7.5421001399999998E-3</c:v>
                </c:pt>
                <c:pt idx="657">
                  <c:v>7.5419505140000001E-3</c:v>
                </c:pt>
                <c:pt idx="658">
                  <c:v>7.5418013440000002E-3</c:v>
                </c:pt>
                <c:pt idx="659">
                  <c:v>7.5416526269999999E-3</c:v>
                </c:pt>
                <c:pt idx="660">
                  <c:v>7.5415043600000004E-3</c:v>
                </c:pt>
                <c:pt idx="661">
                  <c:v>7.5413565409999999E-3</c:v>
                </c:pt>
                <c:pt idx="662">
                  <c:v>7.5412091700000003E-3</c:v>
                </c:pt>
                <c:pt idx="663">
                  <c:v>7.5410622429999997E-3</c:v>
                </c:pt>
                <c:pt idx="664">
                  <c:v>7.540915758E-3</c:v>
                </c:pt>
                <c:pt idx="665">
                  <c:v>7.5407697139999999E-3</c:v>
                </c:pt>
                <c:pt idx="666">
                  <c:v>7.5406241090000001E-3</c:v>
                </c:pt>
                <c:pt idx="667">
                  <c:v>7.5404789400000003E-3</c:v>
                </c:pt>
                <c:pt idx="668">
                  <c:v>7.5403342060000001E-3</c:v>
                </c:pt>
                <c:pt idx="669">
                  <c:v>7.5401899050000004E-3</c:v>
                </c:pt>
                <c:pt idx="670">
                  <c:v>7.5400460339999998E-3</c:v>
                </c:pt>
                <c:pt idx="671">
                  <c:v>7.539902593E-3</c:v>
                </c:pt>
                <c:pt idx="672">
                  <c:v>7.5397595780000003E-3</c:v>
                </c:pt>
                <c:pt idx="673">
                  <c:v>7.5396169880000002E-3</c:v>
                </c:pt>
                <c:pt idx="674">
                  <c:v>7.5394748209999998E-3</c:v>
                </c:pt>
                <c:pt idx="675">
                  <c:v>7.5393330760000002E-3</c:v>
                </c:pt>
                <c:pt idx="676">
                  <c:v>7.5391917500000002E-3</c:v>
                </c:pt>
                <c:pt idx="677">
                  <c:v>7.5390508420000004E-3</c:v>
                </c:pt>
                <c:pt idx="678">
                  <c:v>7.5389103490000001E-3</c:v>
                </c:pt>
                <c:pt idx="679">
                  <c:v>7.53877027E-3</c:v>
                </c:pt>
                <c:pt idx="680">
                  <c:v>7.5386306029999999E-3</c:v>
                </c:pt>
                <c:pt idx="681">
                  <c:v>7.5384913459999999E-3</c:v>
                </c:pt>
                <c:pt idx="682">
                  <c:v>7.5383524979999996E-3</c:v>
                </c:pt>
                <c:pt idx="683">
                  <c:v>7.5382140560000003E-3</c:v>
                </c:pt>
                <c:pt idx="684">
                  <c:v>7.5380760189999998E-3</c:v>
                </c:pt>
                <c:pt idx="685">
                  <c:v>7.5379383849999999E-3</c:v>
                </c:pt>
                <c:pt idx="686">
                  <c:v>7.537801153E-3</c:v>
                </c:pt>
                <c:pt idx="687">
                  <c:v>7.5376643199999999E-3</c:v>
                </c:pt>
                <c:pt idx="688">
                  <c:v>7.5375278840000004E-3</c:v>
                </c:pt>
                <c:pt idx="689">
                  <c:v>7.5373918449999997E-3</c:v>
                </c:pt>
                <c:pt idx="690">
                  <c:v>7.5372562000000001E-3</c:v>
                </c:pt>
                <c:pt idx="691">
                  <c:v>7.5371209480000001E-3</c:v>
                </c:pt>
                <c:pt idx="692">
                  <c:v>7.5369860869999999E-3</c:v>
                </c:pt>
                <c:pt idx="693">
                  <c:v>7.5368516150000004E-3</c:v>
                </c:pt>
                <c:pt idx="694">
                  <c:v>7.5367175299999997E-3</c:v>
                </c:pt>
                <c:pt idx="695">
                  <c:v>7.5365838310000001E-3</c:v>
                </c:pt>
                <c:pt idx="696">
                  <c:v>7.5364505170000002E-3</c:v>
                </c:pt>
                <c:pt idx="697">
                  <c:v>7.5363175849999997E-3</c:v>
                </c:pt>
                <c:pt idx="698">
                  <c:v>7.5361850339999998E-3</c:v>
                </c:pt>
                <c:pt idx="699">
                  <c:v>7.5360528619999997E-3</c:v>
                </c:pt>
                <c:pt idx="700">
                  <c:v>7.5359210679999998E-3</c:v>
                </c:pt>
                <c:pt idx="701">
                  <c:v>7.5357896500000002E-3</c:v>
                </c:pt>
                <c:pt idx="702">
                  <c:v>7.5356586070000004E-3</c:v>
                </c:pt>
                <c:pt idx="703">
                  <c:v>7.5355279359999999E-3</c:v>
                </c:pt>
                <c:pt idx="704">
                  <c:v>7.5353976360000002E-3</c:v>
                </c:pt>
                <c:pt idx="705">
                  <c:v>7.5352677059999998E-3</c:v>
                </c:pt>
                <c:pt idx="706">
                  <c:v>7.5351381439999997E-3</c:v>
                </c:pt>
                <c:pt idx="707">
                  <c:v>7.5350089490000003E-3</c:v>
                </c:pt>
                <c:pt idx="708">
                  <c:v>7.5348801189999998E-3</c:v>
                </c:pt>
                <c:pt idx="709">
                  <c:v>7.5347516520000001E-3</c:v>
                </c:pt>
                <c:pt idx="710">
                  <c:v>7.5346235469999998E-3</c:v>
                </c:pt>
                <c:pt idx="711">
                  <c:v>7.5344958019999998E-3</c:v>
                </c:pt>
                <c:pt idx="712">
                  <c:v>7.5343684170000001E-3</c:v>
                </c:pt>
                <c:pt idx="713">
                  <c:v>7.5342413879999999E-3</c:v>
                </c:pt>
                <c:pt idx="714">
                  <c:v>7.5341147160000004E-3</c:v>
                </c:pt>
                <c:pt idx="715">
                  <c:v>7.5339883980000003E-3</c:v>
                </c:pt>
                <c:pt idx="716">
                  <c:v>7.5338624319999997E-3</c:v>
                </c:pt>
                <c:pt idx="717">
                  <c:v>7.5337368180000003E-3</c:v>
                </c:pt>
                <c:pt idx="718">
                  <c:v>7.5336115540000003E-3</c:v>
                </c:pt>
                <c:pt idx="719">
                  <c:v>7.5334866390000003E-3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759936"/>
        <c:axId val="390761856"/>
      </c:lineChart>
      <c:catAx>
        <c:axId val="390759936"/>
        <c:scaling>
          <c:orientation val="minMax"/>
        </c:scaling>
        <c:delete val="0"/>
        <c:axPos val="b"/>
        <c:majorTickMark val="out"/>
        <c:minorTickMark val="none"/>
        <c:tickLblPos val="nextTo"/>
        <c:crossAx val="390761856"/>
        <c:crosses val="autoZero"/>
        <c:auto val="1"/>
        <c:lblAlgn val="ctr"/>
        <c:lblOffset val="100"/>
        <c:noMultiLvlLbl val="0"/>
      </c:catAx>
      <c:valAx>
        <c:axId val="39076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07599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Output!$P$12:$P$731</c:f>
              <c:numCache>
                <c:formatCode>General</c:formatCode>
                <c:ptCount val="720"/>
                <c:pt idx="0">
                  <c:v>0.9999593834450895</c:v>
                </c:pt>
                <c:pt idx="1">
                  <c:v>0.99991725601407389</c:v>
                </c:pt>
                <c:pt idx="2">
                  <c:v>0.99987508176606454</c:v>
                </c:pt>
                <c:pt idx="3">
                  <c:v>0.99983361872326337</c:v>
                </c:pt>
                <c:pt idx="4">
                  <c:v>0.99979201827365538</c:v>
                </c:pt>
                <c:pt idx="5">
                  <c:v>0.9997500087469321</c:v>
                </c:pt>
                <c:pt idx="6">
                  <c:v>0.99970873797045301</c:v>
                </c:pt>
                <c:pt idx="7">
                  <c:v>0.99966663837885972</c:v>
                </c:pt>
                <c:pt idx="8">
                  <c:v>0.9996256929808649</c:v>
                </c:pt>
                <c:pt idx="9">
                  <c:v>0.99958371764981002</c:v>
                </c:pt>
                <c:pt idx="10">
                  <c:v>0.99954225076776249</c:v>
                </c:pt>
                <c:pt idx="11">
                  <c:v>0.99950052918466104</c:v>
                </c:pt>
                <c:pt idx="12">
                  <c:v>0.99945908983695353</c:v>
                </c:pt>
                <c:pt idx="13">
                  <c:v>0.99941767369025891</c:v>
                </c:pt>
                <c:pt idx="14">
                  <c:v>0.9993765924417265</c:v>
                </c:pt>
                <c:pt idx="15">
                  <c:v>0.9993350720078521</c:v>
                </c:pt>
                <c:pt idx="16">
                  <c:v>0.99929395780969388</c:v>
                </c:pt>
                <c:pt idx="17">
                  <c:v>0.9992524042216796</c:v>
                </c:pt>
                <c:pt idx="18">
                  <c:v>0.99921082974792819</c:v>
                </c:pt>
                <c:pt idx="19">
                  <c:v>0.99917030193613698</c:v>
                </c:pt>
                <c:pt idx="20">
                  <c:v>0.99912847441923658</c:v>
                </c:pt>
                <c:pt idx="21">
                  <c:v>0.99908763548916202</c:v>
                </c:pt>
                <c:pt idx="22">
                  <c:v>0.99904619354453161</c:v>
                </c:pt>
                <c:pt idx="23">
                  <c:v>0.99900508436565416</c:v>
                </c:pt>
                <c:pt idx="24">
                  <c:v>0.99896340672424777</c:v>
                </c:pt>
                <c:pt idx="25">
                  <c:v>0.99892234462517626</c:v>
                </c:pt>
                <c:pt idx="26">
                  <c:v>0.99888143561620901</c:v>
                </c:pt>
                <c:pt idx="27">
                  <c:v>0.99883988432112614</c:v>
                </c:pt>
                <c:pt idx="28">
                  <c:v>0.99879910810129213</c:v>
                </c:pt>
                <c:pt idx="29">
                  <c:v>0.99875813002138325</c:v>
                </c:pt>
                <c:pt idx="30">
                  <c:v>0.99871645240430085</c:v>
                </c:pt>
                <c:pt idx="31">
                  <c:v>0.99867552716679375</c:v>
                </c:pt>
                <c:pt idx="32">
                  <c:v>0.99863435272369394</c:v>
                </c:pt>
                <c:pt idx="33">
                  <c:v>0.99859318467350355</c:v>
                </c:pt>
                <c:pt idx="34">
                  <c:v>0.99855235618815552</c:v>
                </c:pt>
                <c:pt idx="35">
                  <c:v>0.99851059371005957</c:v>
                </c:pt>
                <c:pt idx="36">
                  <c:v>0.99846997248147784</c:v>
                </c:pt>
                <c:pt idx="37">
                  <c:v>0.99842906284512101</c:v>
                </c:pt>
                <c:pt idx="38">
                  <c:v>0.99838791287297579</c:v>
                </c:pt>
                <c:pt idx="39">
                  <c:v>0.9983464037840345</c:v>
                </c:pt>
                <c:pt idx="40">
                  <c:v>0.99830598733037623</c:v>
                </c:pt>
                <c:pt idx="41">
                  <c:v>0.99826544833899344</c:v>
                </c:pt>
                <c:pt idx="42">
                  <c:v>0.99822521246852713</c:v>
                </c:pt>
                <c:pt idx="43">
                  <c:v>0.99818430921695134</c:v>
                </c:pt>
                <c:pt idx="44">
                  <c:v>0.99814387343708799</c:v>
                </c:pt>
                <c:pt idx="45">
                  <c:v>0.99810324707525322</c:v>
                </c:pt>
                <c:pt idx="46">
                  <c:v>0.99806252381874494</c:v>
                </c:pt>
                <c:pt idx="47">
                  <c:v>0.99802186544744165</c:v>
                </c:pt>
                <c:pt idx="48">
                  <c:v>0.99798113175008973</c:v>
                </c:pt>
                <c:pt idx="49">
                  <c:v>0.99794053837469265</c:v>
                </c:pt>
                <c:pt idx="50">
                  <c:v>0.99789979186102329</c:v>
                </c:pt>
                <c:pt idx="51">
                  <c:v>0.99785916507121497</c:v>
                </c:pt>
                <c:pt idx="52">
                  <c:v>0.99781779664815728</c:v>
                </c:pt>
                <c:pt idx="53">
                  <c:v>0.99777730381317031</c:v>
                </c:pt>
                <c:pt idx="54">
                  <c:v>0.9977365609896951</c:v>
                </c:pt>
                <c:pt idx="55">
                  <c:v>0.99769573230585895</c:v>
                </c:pt>
                <c:pt idx="56">
                  <c:v>0.99765514227819307</c:v>
                </c:pt>
                <c:pt idx="57">
                  <c:v>0.99761498534963722</c:v>
                </c:pt>
                <c:pt idx="58">
                  <c:v>0.99757500003005906</c:v>
                </c:pt>
                <c:pt idx="59">
                  <c:v>0.99753581128947422</c:v>
                </c:pt>
                <c:pt idx="60">
                  <c:v>0.9974964350813611</c:v>
                </c:pt>
                <c:pt idx="61">
                  <c:v>0.99745745628624782</c:v>
                </c:pt>
                <c:pt idx="62">
                  <c:v>0.99741887139301133</c:v>
                </c:pt>
                <c:pt idx="63">
                  <c:v>0.99738021332528948</c:v>
                </c:pt>
                <c:pt idx="64">
                  <c:v>0.99734164330342323</c:v>
                </c:pt>
                <c:pt idx="65">
                  <c:v>0.99730246429391733</c:v>
                </c:pt>
                <c:pt idx="66">
                  <c:v>0.99726286739022463</c:v>
                </c:pt>
                <c:pt idx="67">
                  <c:v>0.99722283137383361</c:v>
                </c:pt>
                <c:pt idx="68">
                  <c:v>0.99718207290938488</c:v>
                </c:pt>
                <c:pt idx="69">
                  <c:v>0.99714053524268909</c:v>
                </c:pt>
                <c:pt idx="70">
                  <c:v>0.99709727953537286</c:v>
                </c:pt>
                <c:pt idx="71">
                  <c:v>0.99705249790146744</c:v>
                </c:pt>
                <c:pt idx="72">
                  <c:v>0.99700588266352175</c:v>
                </c:pt>
                <c:pt idx="73">
                  <c:v>0.99695862705136895</c:v>
                </c:pt>
                <c:pt idx="74">
                  <c:v>0.99691047333566274</c:v>
                </c:pt>
                <c:pt idx="75">
                  <c:v>0.99686295562500105</c:v>
                </c:pt>
                <c:pt idx="76">
                  <c:v>0.99681609364552526</c:v>
                </c:pt>
                <c:pt idx="77">
                  <c:v>0.99677057262455193</c:v>
                </c:pt>
                <c:pt idx="78">
                  <c:v>0.99672654650754078</c:v>
                </c:pt>
                <c:pt idx="79">
                  <c:v>0.99668566607902764</c:v>
                </c:pt>
                <c:pt idx="80">
                  <c:v>0.99664768112979663</c:v>
                </c:pt>
                <c:pt idx="81">
                  <c:v>0.99661406921555651</c:v>
                </c:pt>
                <c:pt idx="82">
                  <c:v>0.99658629648010533</c:v>
                </c:pt>
                <c:pt idx="83">
                  <c:v>0.9965639334911337</c:v>
                </c:pt>
                <c:pt idx="84">
                  <c:v>0.99654725909889419</c:v>
                </c:pt>
                <c:pt idx="85">
                  <c:v>0.99653134383989461</c:v>
                </c:pt>
                <c:pt idx="86">
                  <c:v>0.99650912080529053</c:v>
                </c:pt>
                <c:pt idx="87">
                  <c:v>0.99647279691035173</c:v>
                </c:pt>
                <c:pt idx="88">
                  <c:v>0.99641697630101222</c:v>
                </c:pt>
                <c:pt idx="89">
                  <c:v>0.99633351636577683</c:v>
                </c:pt>
                <c:pt idx="90">
                  <c:v>0.99621412887666516</c:v>
                </c:pt>
                <c:pt idx="91">
                  <c:v>0.99605108098269013</c:v>
                </c:pt>
                <c:pt idx="92">
                  <c:v>0.99583546991020122</c:v>
                </c:pt>
                <c:pt idx="93">
                  <c:v>0.99555917263569038</c:v>
                </c:pt>
                <c:pt idx="94">
                  <c:v>0.99521264140615207</c:v>
                </c:pt>
                <c:pt idx="95">
                  <c:v>0.99478704047616562</c:v>
                </c:pt>
                <c:pt idx="96">
                  <c:v>0.99427574097985594</c:v>
                </c:pt>
                <c:pt idx="97">
                  <c:v>0.99368249905044093</c:v>
                </c:pt>
                <c:pt idx="98">
                  <c:v>0.99301479277915172</c:v>
                </c:pt>
                <c:pt idx="99">
                  <c:v>0.99227949965858864</c:v>
                </c:pt>
                <c:pt idx="100">
                  <c:v>0.99148429979411634</c:v>
                </c:pt>
                <c:pt idx="101">
                  <c:v>0.99063762174843972</c:v>
                </c:pt>
                <c:pt idx="102">
                  <c:v>0.98974713084926735</c:v>
                </c:pt>
                <c:pt idx="103">
                  <c:v>0.98882281650639015</c:v>
                </c:pt>
                <c:pt idx="104">
                  <c:v>0.9878728054028173</c:v>
                </c:pt>
                <c:pt idx="105">
                  <c:v>0.98690805534986992</c:v>
                </c:pt>
                <c:pt idx="106">
                  <c:v>0.98593847074581376</c:v>
                </c:pt>
                <c:pt idx="107">
                  <c:v>0.98497461073411641</c:v>
                </c:pt>
                <c:pt idx="108">
                  <c:v>0.98402466479491069</c:v>
                </c:pt>
                <c:pt idx="109">
                  <c:v>0.98309067767846836</c:v>
                </c:pt>
                <c:pt idx="110">
                  <c:v>0.98217219365917485</c:v>
                </c:pt>
                <c:pt idx="111">
                  <c:v>0.98126692182374242</c:v>
                </c:pt>
                <c:pt idx="112">
                  <c:v>0.98037514530772862</c:v>
                </c:pt>
                <c:pt idx="113">
                  <c:v>0.97949476862067131</c:v>
                </c:pt>
                <c:pt idx="114">
                  <c:v>0.97862683920183458</c:v>
                </c:pt>
                <c:pt idx="115">
                  <c:v>0.97776764822663897</c:v>
                </c:pt>
                <c:pt idx="116">
                  <c:v>0.97691793985723707</c:v>
                </c:pt>
                <c:pt idx="117">
                  <c:v>0.97607691513675432</c:v>
                </c:pt>
                <c:pt idx="118">
                  <c:v>0.97524333359299487</c:v>
                </c:pt>
                <c:pt idx="119">
                  <c:v>0.97441600953275098</c:v>
                </c:pt>
                <c:pt idx="120">
                  <c:v>0.97359235644653064</c:v>
                </c:pt>
                <c:pt idx="121">
                  <c:v>0.97277209388294783</c:v>
                </c:pt>
                <c:pt idx="122">
                  <c:v>0.97195348244976976</c:v>
                </c:pt>
                <c:pt idx="123">
                  <c:v>0.97113422313831055</c:v>
                </c:pt>
                <c:pt idx="124">
                  <c:v>0.97031235543655692</c:v>
                </c:pt>
                <c:pt idx="125">
                  <c:v>0.96948626604664334</c:v>
                </c:pt>
                <c:pt idx="126">
                  <c:v>0.96865355847667189</c:v>
                </c:pt>
                <c:pt idx="127">
                  <c:v>0.9678121684043357</c:v>
                </c:pt>
                <c:pt idx="128">
                  <c:v>0.96696049651523075</c:v>
                </c:pt>
                <c:pt idx="129">
                  <c:v>0.9660952807309241</c:v>
                </c:pt>
                <c:pt idx="130">
                  <c:v>0.96521413933779954</c:v>
                </c:pt>
                <c:pt idx="131">
                  <c:v>0.96431534076270931</c:v>
                </c:pt>
                <c:pt idx="132">
                  <c:v>0.96339690494281982</c:v>
                </c:pt>
                <c:pt idx="133">
                  <c:v>0.96246139481075987</c:v>
                </c:pt>
                <c:pt idx="134">
                  <c:v>0.96151256580541922</c:v>
                </c:pt>
                <c:pt idx="135">
                  <c:v>0.96055356796444391</c:v>
                </c:pt>
                <c:pt idx="136">
                  <c:v>0.95958784669718522</c:v>
                </c:pt>
                <c:pt idx="137">
                  <c:v>0.95861861375309276</c:v>
                </c:pt>
                <c:pt idx="138">
                  <c:v>0.95765008870303803</c:v>
                </c:pt>
                <c:pt idx="139">
                  <c:v>0.95668642764388456</c:v>
                </c:pt>
                <c:pt idx="140">
                  <c:v>0.95573116129316171</c:v>
                </c:pt>
                <c:pt idx="141">
                  <c:v>0.95478695336984798</c:v>
                </c:pt>
                <c:pt idx="142">
                  <c:v>0.95385842527973874</c:v>
                </c:pt>
                <c:pt idx="143">
                  <c:v>0.95295012650857358</c:v>
                </c:pt>
                <c:pt idx="144">
                  <c:v>0.95206466995637329</c:v>
                </c:pt>
                <c:pt idx="145">
                  <c:v>0.95120054901306217</c:v>
                </c:pt>
                <c:pt idx="146">
                  <c:v>0.95035571712531097</c:v>
                </c:pt>
                <c:pt idx="147">
                  <c:v>0.94952728337809988</c:v>
                </c:pt>
                <c:pt idx="148">
                  <c:v>0.94871198501500176</c:v>
                </c:pt>
                <c:pt idx="149">
                  <c:v>0.94790751837141152</c:v>
                </c:pt>
                <c:pt idx="150">
                  <c:v>0.94711091115135759</c:v>
                </c:pt>
                <c:pt idx="151">
                  <c:v>0.9463182787806812</c:v>
                </c:pt>
                <c:pt idx="152">
                  <c:v>0.94552668256637118</c:v>
                </c:pt>
                <c:pt idx="153">
                  <c:v>0.94473254498349135</c:v>
                </c:pt>
                <c:pt idx="154">
                  <c:v>0.94393231261710631</c:v>
                </c:pt>
                <c:pt idx="155">
                  <c:v>0.94312210283088749</c:v>
                </c:pt>
                <c:pt idx="156">
                  <c:v>0.94229990111576101</c:v>
                </c:pt>
                <c:pt idx="157">
                  <c:v>0.9414648492799621</c:v>
                </c:pt>
                <c:pt idx="158">
                  <c:v>0.94061718434186858</c:v>
                </c:pt>
                <c:pt idx="159">
                  <c:v>0.93975744314073073</c:v>
                </c:pt>
                <c:pt idx="160">
                  <c:v>0.93888494412154366</c:v>
                </c:pt>
                <c:pt idx="161">
                  <c:v>0.9380001438655774</c:v>
                </c:pt>
                <c:pt idx="162">
                  <c:v>0.93710315550849599</c:v>
                </c:pt>
                <c:pt idx="163">
                  <c:v>0.9361933511210706</c:v>
                </c:pt>
                <c:pt idx="164">
                  <c:v>0.93527104838580966</c:v>
                </c:pt>
                <c:pt idx="165">
                  <c:v>0.93433560830389084</c:v>
                </c:pt>
                <c:pt idx="166">
                  <c:v>0.93338803557750516</c:v>
                </c:pt>
                <c:pt idx="167">
                  <c:v>0.93242776774500669</c:v>
                </c:pt>
                <c:pt idx="168">
                  <c:v>0.93145477639467067</c:v>
                </c:pt>
                <c:pt idx="169">
                  <c:v>0.93047242350184234</c:v>
                </c:pt>
                <c:pt idx="170">
                  <c:v>0.92948418415215017</c:v>
                </c:pt>
                <c:pt idx="171">
                  <c:v>0.92849276744603082</c:v>
                </c:pt>
                <c:pt idx="172">
                  <c:v>0.92750215561869553</c:v>
                </c:pt>
                <c:pt idx="173">
                  <c:v>0.92651480493309968</c:v>
                </c:pt>
                <c:pt idx="174">
                  <c:v>0.92553486352830849</c:v>
                </c:pt>
                <c:pt idx="175">
                  <c:v>0.92456523771668297</c:v>
                </c:pt>
                <c:pt idx="176">
                  <c:v>0.923608738206802</c:v>
                </c:pt>
                <c:pt idx="177">
                  <c:v>0.92267117684389588</c:v>
                </c:pt>
                <c:pt idx="178">
                  <c:v>0.92175497860821498</c:v>
                </c:pt>
                <c:pt idx="179">
                  <c:v>0.92086391981240812</c:v>
                </c:pt>
                <c:pt idx="180">
                  <c:v>0.92000051128283877</c:v>
                </c:pt>
                <c:pt idx="181">
                  <c:v>0.91916449610347462</c:v>
                </c:pt>
                <c:pt idx="182">
                  <c:v>0.9183515777960547</c:v>
                </c:pt>
                <c:pt idx="183">
                  <c:v>0.91755777721008724</c:v>
                </c:pt>
                <c:pt idx="184">
                  <c:v>0.9167802755548855</c:v>
                </c:pt>
                <c:pt idx="185">
                  <c:v>0.91601657786860446</c:v>
                </c:pt>
                <c:pt idx="186">
                  <c:v>0.91526293514949641</c:v>
                </c:pt>
                <c:pt idx="187">
                  <c:v>0.91451576401182233</c:v>
                </c:pt>
                <c:pt idx="188">
                  <c:v>0.91377186382450959</c:v>
                </c:pt>
                <c:pt idx="189">
                  <c:v>0.91302730143055244</c:v>
                </c:pt>
                <c:pt idx="190">
                  <c:v>0.91227749890612331</c:v>
                </c:pt>
                <c:pt idx="191">
                  <c:v>0.91151927600652805</c:v>
                </c:pt>
                <c:pt idx="192">
                  <c:v>0.9107499552104521</c:v>
                </c:pt>
                <c:pt idx="193">
                  <c:v>0.90996962573937712</c:v>
                </c:pt>
                <c:pt idx="194">
                  <c:v>0.90917924573140274</c:v>
                </c:pt>
                <c:pt idx="195">
                  <c:v>0.90837850959416699</c:v>
                </c:pt>
                <c:pt idx="196">
                  <c:v>0.90756916447448888</c:v>
                </c:pt>
                <c:pt idx="197">
                  <c:v>0.90675088171242779</c:v>
                </c:pt>
                <c:pt idx="198">
                  <c:v>0.90592521103181345</c:v>
                </c:pt>
                <c:pt idx="199">
                  <c:v>0.90509184935883813</c:v>
                </c:pt>
                <c:pt idx="200">
                  <c:v>0.90425285118577525</c:v>
                </c:pt>
                <c:pt idx="201">
                  <c:v>0.90340915910387942</c:v>
                </c:pt>
                <c:pt idx="202">
                  <c:v>0.90256190523434032</c:v>
                </c:pt>
                <c:pt idx="203">
                  <c:v>0.90171150201718564</c:v>
                </c:pt>
                <c:pt idx="204">
                  <c:v>0.90086015936387365</c:v>
                </c:pt>
                <c:pt idx="205">
                  <c:v>0.90000808463464088</c:v>
                </c:pt>
                <c:pt idx="206">
                  <c:v>0.89915412701393449</c:v>
                </c:pt>
                <c:pt idx="207">
                  <c:v>0.89829869273259377</c:v>
                </c:pt>
                <c:pt idx="208">
                  <c:v>0.8974413538000886</c:v>
                </c:pt>
                <c:pt idx="209">
                  <c:v>0.89658274517593117</c:v>
                </c:pt>
                <c:pt idx="210">
                  <c:v>0.89572394466699845</c:v>
                </c:pt>
                <c:pt idx="211">
                  <c:v>0.8948643709461529</c:v>
                </c:pt>
                <c:pt idx="212">
                  <c:v>0.8940030874308792</c:v>
                </c:pt>
                <c:pt idx="213">
                  <c:v>0.89314064896876122</c:v>
                </c:pt>
                <c:pt idx="214">
                  <c:v>0.89227633901586145</c:v>
                </c:pt>
                <c:pt idx="215">
                  <c:v>0.89141181093437727</c:v>
                </c:pt>
                <c:pt idx="216">
                  <c:v>0.89054398803134005</c:v>
                </c:pt>
                <c:pt idx="217">
                  <c:v>0.88967434248853472</c:v>
                </c:pt>
                <c:pt idx="218">
                  <c:v>0.88880154203503525</c:v>
                </c:pt>
                <c:pt idx="219">
                  <c:v>0.8879257746945538</c:v>
                </c:pt>
                <c:pt idx="220">
                  <c:v>0.88704675252374254</c:v>
                </c:pt>
                <c:pt idx="221">
                  <c:v>0.88616226944391308</c:v>
                </c:pt>
                <c:pt idx="222">
                  <c:v>0.88527295249944704</c:v>
                </c:pt>
                <c:pt idx="223">
                  <c:v>0.88437618974682386</c:v>
                </c:pt>
                <c:pt idx="224">
                  <c:v>0.88347076213441333</c:v>
                </c:pt>
                <c:pt idx="225">
                  <c:v>0.88255713402645253</c:v>
                </c:pt>
                <c:pt idx="226">
                  <c:v>0.88163385621349988</c:v>
                </c:pt>
                <c:pt idx="227">
                  <c:v>0.88069956823136319</c:v>
                </c:pt>
                <c:pt idx="228">
                  <c:v>0.87975380857322161</c:v>
                </c:pt>
                <c:pt idx="229">
                  <c:v>0.87879951992557592</c:v>
                </c:pt>
                <c:pt idx="230">
                  <c:v>0.87784090301680695</c:v>
                </c:pt>
                <c:pt idx="231">
                  <c:v>0.87688098567677675</c:v>
                </c:pt>
                <c:pt idx="232">
                  <c:v>0.87592360414332326</c:v>
                </c:pt>
                <c:pt idx="233">
                  <c:v>0.87497343949311868</c:v>
                </c:pt>
                <c:pt idx="234">
                  <c:v>0.8740337986622787</c:v>
                </c:pt>
                <c:pt idx="235">
                  <c:v>0.87310869470003327</c:v>
                </c:pt>
                <c:pt idx="236">
                  <c:v>0.87220332242685628</c:v>
                </c:pt>
                <c:pt idx="237">
                  <c:v>0.87132055480750292</c:v>
                </c:pt>
                <c:pt idx="238">
                  <c:v>0.87046428911889417</c:v>
                </c:pt>
                <c:pt idx="239">
                  <c:v>0.86963905330780011</c:v>
                </c:pt>
                <c:pt idx="240">
                  <c:v>0.86884598275558411</c:v>
                </c:pt>
                <c:pt idx="241">
                  <c:v>0.86808291882605193</c:v>
                </c:pt>
                <c:pt idx="242">
                  <c:v>0.86734832376071502</c:v>
                </c:pt>
                <c:pt idx="243">
                  <c:v>0.8666374753902869</c:v>
                </c:pt>
                <c:pt idx="244">
                  <c:v>0.86594631408149281</c:v>
                </c:pt>
                <c:pt idx="245">
                  <c:v>0.8652718534669771</c:v>
                </c:pt>
                <c:pt idx="246">
                  <c:v>0.86460951908391004</c:v>
                </c:pt>
                <c:pt idx="247">
                  <c:v>0.86395618408537989</c:v>
                </c:pt>
                <c:pt idx="248">
                  <c:v>0.86330843590814732</c:v>
                </c:pt>
                <c:pt idx="249">
                  <c:v>0.86266492161821806</c:v>
                </c:pt>
                <c:pt idx="250">
                  <c:v>0.8620196982742292</c:v>
                </c:pt>
                <c:pt idx="251">
                  <c:v>0.86136736668670388</c:v>
                </c:pt>
                <c:pt idx="252">
                  <c:v>0.86070618596682913</c:v>
                </c:pt>
                <c:pt idx="253">
                  <c:v>0.86003501551859685</c:v>
                </c:pt>
                <c:pt idx="254">
                  <c:v>0.85935517277602447</c:v>
                </c:pt>
                <c:pt idx="255">
                  <c:v>0.85866770254457547</c:v>
                </c:pt>
                <c:pt idx="256">
                  <c:v>0.85797370714060617</c:v>
                </c:pt>
                <c:pt idx="257">
                  <c:v>0.85727519654382811</c:v>
                </c:pt>
                <c:pt idx="258">
                  <c:v>0.85657136130308698</c:v>
                </c:pt>
                <c:pt idx="259">
                  <c:v>0.85586355135981174</c:v>
                </c:pt>
                <c:pt idx="260">
                  <c:v>0.85515236227912084</c:v>
                </c:pt>
                <c:pt idx="261">
                  <c:v>0.85443898900521542</c:v>
                </c:pt>
                <c:pt idx="262">
                  <c:v>0.85372369206108778</c:v>
                </c:pt>
                <c:pt idx="263">
                  <c:v>0.85300747341025152</c:v>
                </c:pt>
                <c:pt idx="264">
                  <c:v>0.85229305561972946</c:v>
                </c:pt>
                <c:pt idx="265">
                  <c:v>0.85157901661568003</c:v>
                </c:pt>
                <c:pt idx="266">
                  <c:v>0.85086642909577104</c:v>
                </c:pt>
                <c:pt idx="267">
                  <c:v>0.85015571332965278</c:v>
                </c:pt>
                <c:pt idx="268">
                  <c:v>0.84944587064342314</c:v>
                </c:pt>
                <c:pt idx="269">
                  <c:v>0.84873658897785587</c:v>
                </c:pt>
                <c:pt idx="270">
                  <c:v>0.84802740272543264</c:v>
                </c:pt>
                <c:pt idx="271">
                  <c:v>0.84732009528977925</c:v>
                </c:pt>
                <c:pt idx="272">
                  <c:v>0.84661394835902881</c:v>
                </c:pt>
                <c:pt idx="273">
                  <c:v>0.84590757516983039</c:v>
                </c:pt>
                <c:pt idx="274">
                  <c:v>0.84520053157463526</c:v>
                </c:pt>
                <c:pt idx="275">
                  <c:v>0.84449278586105225</c:v>
                </c:pt>
                <c:pt idx="276">
                  <c:v>0.8437861868719736</c:v>
                </c:pt>
                <c:pt idx="277">
                  <c:v>0.84307901666288843</c:v>
                </c:pt>
                <c:pt idx="278">
                  <c:v>0.84236881452959145</c:v>
                </c:pt>
                <c:pt idx="279">
                  <c:v>0.84165503034293454</c:v>
                </c:pt>
                <c:pt idx="280">
                  <c:v>0.84093834535035283</c:v>
                </c:pt>
                <c:pt idx="281">
                  <c:v>0.84021808059957737</c:v>
                </c:pt>
                <c:pt idx="282">
                  <c:v>0.83949371850295407</c:v>
                </c:pt>
                <c:pt idx="283">
                  <c:v>0.83876311249342594</c:v>
                </c:pt>
                <c:pt idx="284">
                  <c:v>0.83802573138220771</c:v>
                </c:pt>
                <c:pt idx="285">
                  <c:v>0.83728236405433576</c:v>
                </c:pt>
                <c:pt idx="286">
                  <c:v>0.83653029979260407</c:v>
                </c:pt>
                <c:pt idx="287">
                  <c:v>0.83576721228620321</c:v>
                </c:pt>
                <c:pt idx="288">
                  <c:v>0.83499726242368555</c:v>
                </c:pt>
                <c:pt idx="289">
                  <c:v>0.83422174051387321</c:v>
                </c:pt>
                <c:pt idx="290">
                  <c:v>0.83344336551740128</c:v>
                </c:pt>
                <c:pt idx="291">
                  <c:v>0.83266498202127481</c:v>
                </c:pt>
                <c:pt idx="292">
                  <c:v>0.83188953104449515</c:v>
                </c:pt>
                <c:pt idx="293">
                  <c:v>0.83112216420825102</c:v>
                </c:pt>
                <c:pt idx="294">
                  <c:v>0.83036598881139878</c:v>
                </c:pt>
                <c:pt idx="295">
                  <c:v>0.82962415449176452</c:v>
                </c:pt>
                <c:pt idx="296">
                  <c:v>0.82890286312450434</c:v>
                </c:pt>
                <c:pt idx="297">
                  <c:v>0.82820458390597251</c:v>
                </c:pt>
                <c:pt idx="298">
                  <c:v>0.82753096205522236</c:v>
                </c:pt>
                <c:pt idx="299">
                  <c:v>0.82688654808533812</c:v>
                </c:pt>
                <c:pt idx="300">
                  <c:v>0.82627585517041746</c:v>
                </c:pt>
                <c:pt idx="301">
                  <c:v>0.82569806830116155</c:v>
                </c:pt>
                <c:pt idx="302">
                  <c:v>0.82514721043161576</c:v>
                </c:pt>
                <c:pt idx="303">
                  <c:v>0.82462164530834203</c:v>
                </c:pt>
                <c:pt idx="304">
                  <c:v>0.82411672476541931</c:v>
                </c:pt>
                <c:pt idx="305">
                  <c:v>0.82362695397203922</c:v>
                </c:pt>
                <c:pt idx="306">
                  <c:v>0.82315173730875058</c:v>
                </c:pt>
                <c:pt idx="307">
                  <c:v>0.82268740368772564</c:v>
                </c:pt>
                <c:pt idx="308">
                  <c:v>0.82222977260473651</c:v>
                </c:pt>
                <c:pt idx="309">
                  <c:v>0.82177424824399714</c:v>
                </c:pt>
                <c:pt idx="310">
                  <c:v>0.82131650276177381</c:v>
                </c:pt>
                <c:pt idx="311">
                  <c:v>0.82085424181691047</c:v>
                </c:pt>
                <c:pt idx="312">
                  <c:v>0.82038404821283617</c:v>
                </c:pt>
                <c:pt idx="313">
                  <c:v>0.81990470106596425</c:v>
                </c:pt>
                <c:pt idx="314">
                  <c:v>0.81941897112884121</c:v>
                </c:pt>
                <c:pt idx="315">
                  <c:v>0.81892717909031931</c:v>
                </c:pt>
                <c:pt idx="316">
                  <c:v>0.81843105136574423</c:v>
                </c:pt>
                <c:pt idx="317">
                  <c:v>0.81793162908211114</c:v>
                </c:pt>
                <c:pt idx="318">
                  <c:v>0.81742958770911611</c:v>
                </c:pt>
                <c:pt idx="319">
                  <c:v>0.8169267681340765</c:v>
                </c:pt>
                <c:pt idx="320">
                  <c:v>0.81642128871958886</c:v>
                </c:pt>
                <c:pt idx="321">
                  <c:v>0.81591630118680969</c:v>
                </c:pt>
                <c:pt idx="322">
                  <c:v>0.81541360326230539</c:v>
                </c:pt>
                <c:pt idx="323">
                  <c:v>0.81491409491225153</c:v>
                </c:pt>
                <c:pt idx="324">
                  <c:v>0.81441707117922202</c:v>
                </c:pt>
                <c:pt idx="325">
                  <c:v>0.81392252453907998</c:v>
                </c:pt>
                <c:pt idx="326">
                  <c:v>0.81342938353628813</c:v>
                </c:pt>
                <c:pt idx="327">
                  <c:v>0.8129370338983658</c:v>
                </c:pt>
                <c:pt idx="328">
                  <c:v>0.81244503900426468</c:v>
                </c:pt>
                <c:pt idx="329">
                  <c:v>0.81195283795626361</c:v>
                </c:pt>
                <c:pt idx="330">
                  <c:v>0.81146259757813521</c:v>
                </c:pt>
                <c:pt idx="331">
                  <c:v>0.81097277746810259</c:v>
                </c:pt>
                <c:pt idx="332">
                  <c:v>0.81048433211039428</c:v>
                </c:pt>
                <c:pt idx="333">
                  <c:v>0.80999405504079691</c:v>
                </c:pt>
                <c:pt idx="334">
                  <c:v>0.8095041585633479</c:v>
                </c:pt>
                <c:pt idx="335">
                  <c:v>0.80901305944532942</c:v>
                </c:pt>
                <c:pt idx="336">
                  <c:v>0.80852271401002584</c:v>
                </c:pt>
                <c:pt idx="337">
                  <c:v>0.80803162377114224</c:v>
                </c:pt>
                <c:pt idx="338">
                  <c:v>0.80753735234512702</c:v>
                </c:pt>
                <c:pt idx="339">
                  <c:v>0.8070430954140948</c:v>
                </c:pt>
                <c:pt idx="340">
                  <c:v>0.80654941495434651</c:v>
                </c:pt>
                <c:pt idx="341">
                  <c:v>0.80605380030231677</c:v>
                </c:pt>
                <c:pt idx="342">
                  <c:v>0.80555792200181664</c:v>
                </c:pt>
                <c:pt idx="343">
                  <c:v>0.80506456494877132</c:v>
                </c:pt>
                <c:pt idx="344">
                  <c:v>0.80457109682240779</c:v>
                </c:pt>
                <c:pt idx="345">
                  <c:v>0.8040791940253198</c:v>
                </c:pt>
                <c:pt idx="346">
                  <c:v>0.80358914440949947</c:v>
                </c:pt>
                <c:pt idx="347">
                  <c:v>0.80309862201698445</c:v>
                </c:pt>
                <c:pt idx="348">
                  <c:v>0.80261096259628095</c:v>
                </c:pt>
                <c:pt idx="349">
                  <c:v>0.80212279140406417</c:v>
                </c:pt>
                <c:pt idx="350">
                  <c:v>0.80163408293623817</c:v>
                </c:pt>
                <c:pt idx="351">
                  <c:v>0.80114505895519761</c:v>
                </c:pt>
                <c:pt idx="352">
                  <c:v>0.80065501385584137</c:v>
                </c:pt>
                <c:pt idx="353">
                  <c:v>0.80016508741231029</c:v>
                </c:pt>
                <c:pt idx="354">
                  <c:v>0.79967545938113316</c:v>
                </c:pt>
                <c:pt idx="355">
                  <c:v>0.79918539141358347</c:v>
                </c:pt>
                <c:pt idx="356">
                  <c:v>0.79869616808665478</c:v>
                </c:pt>
                <c:pt idx="357">
                  <c:v>0.79820904136167159</c:v>
                </c:pt>
                <c:pt idx="358">
                  <c:v>0.79772134058930733</c:v>
                </c:pt>
                <c:pt idx="359">
                  <c:v>0.79723471976956639</c:v>
                </c:pt>
                <c:pt idx="360">
                  <c:v>0.79674765602262654</c:v>
                </c:pt>
                <c:pt idx="361">
                  <c:v>0.79626079895951773</c:v>
                </c:pt>
                <c:pt idx="362">
                  <c:v>0.79577311315471477</c:v>
                </c:pt>
                <c:pt idx="363">
                  <c:v>0.79528421226755985</c:v>
                </c:pt>
                <c:pt idx="364">
                  <c:v>0.79479319823016403</c:v>
                </c:pt>
                <c:pt idx="365">
                  <c:v>0.79430344952561127</c:v>
                </c:pt>
                <c:pt idx="366">
                  <c:v>0.79381351227283703</c:v>
                </c:pt>
                <c:pt idx="367">
                  <c:v>0.79332215355766567</c:v>
                </c:pt>
                <c:pt idx="368">
                  <c:v>0.79283120550009756</c:v>
                </c:pt>
                <c:pt idx="369">
                  <c:v>0.79233786083252611</c:v>
                </c:pt>
                <c:pt idx="370">
                  <c:v>0.7918438879905213</c:v>
                </c:pt>
                <c:pt idx="371">
                  <c:v>0.79134913358614112</c:v>
                </c:pt>
                <c:pt idx="372">
                  <c:v>0.79085430426392012</c:v>
                </c:pt>
                <c:pt idx="373">
                  <c:v>0.79036037265370673</c:v>
                </c:pt>
                <c:pt idx="374">
                  <c:v>0.78986724959367027</c:v>
                </c:pt>
                <c:pt idx="375">
                  <c:v>0.78937413465182316</c:v>
                </c:pt>
                <c:pt idx="376">
                  <c:v>0.7888820469442589</c:v>
                </c:pt>
                <c:pt idx="377">
                  <c:v>0.78839186779482862</c:v>
                </c:pt>
                <c:pt idx="378">
                  <c:v>0.78790284243504827</c:v>
                </c:pt>
                <c:pt idx="379">
                  <c:v>0.78741364571201966</c:v>
                </c:pt>
                <c:pt idx="380">
                  <c:v>0.78692452179539674</c:v>
                </c:pt>
                <c:pt idx="381">
                  <c:v>0.78643438841793478</c:v>
                </c:pt>
                <c:pt idx="382">
                  <c:v>0.78594332697398184</c:v>
                </c:pt>
                <c:pt idx="383">
                  <c:v>0.78545224835969929</c:v>
                </c:pt>
                <c:pt idx="384">
                  <c:v>0.78496124554310853</c:v>
                </c:pt>
                <c:pt idx="385">
                  <c:v>0.7844707842409756</c:v>
                </c:pt>
                <c:pt idx="386">
                  <c:v>0.78398160812109441</c:v>
                </c:pt>
                <c:pt idx="387">
                  <c:v>0.7834940347721967</c:v>
                </c:pt>
                <c:pt idx="388">
                  <c:v>0.78300378226105594</c:v>
                </c:pt>
                <c:pt idx="389">
                  <c:v>0.78251217059080269</c:v>
                </c:pt>
                <c:pt idx="390">
                  <c:v>0.78202376984595989</c:v>
                </c:pt>
                <c:pt idx="391">
                  <c:v>0.78153613752667817</c:v>
                </c:pt>
                <c:pt idx="392">
                  <c:v>0.7810495252589984</c:v>
                </c:pt>
                <c:pt idx="393">
                  <c:v>0.78056308930506213</c:v>
                </c:pt>
                <c:pt idx="394">
                  <c:v>0.7800758142100952</c:v>
                </c:pt>
                <c:pt idx="395">
                  <c:v>0.77959044984579218</c:v>
                </c:pt>
                <c:pt idx="396">
                  <c:v>0.77910400411776359</c:v>
                </c:pt>
                <c:pt idx="397">
                  <c:v>0.77861857988629768</c:v>
                </c:pt>
                <c:pt idx="398">
                  <c:v>0.7781340868538531</c:v>
                </c:pt>
                <c:pt idx="399">
                  <c:v>0.77764895299995673</c:v>
                </c:pt>
                <c:pt idx="400">
                  <c:v>0.77716199425247401</c:v>
                </c:pt>
                <c:pt idx="401">
                  <c:v>0.77667667158057474</c:v>
                </c:pt>
                <c:pt idx="402">
                  <c:v>0.77619272102829551</c:v>
                </c:pt>
                <c:pt idx="403">
                  <c:v>0.77571047559831519</c:v>
                </c:pt>
                <c:pt idx="404">
                  <c:v>0.77522693602004267</c:v>
                </c:pt>
                <c:pt idx="405">
                  <c:v>0.77474353022909026</c:v>
                </c:pt>
                <c:pt idx="406">
                  <c:v>0.77426079079495846</c:v>
                </c:pt>
                <c:pt idx="407">
                  <c:v>0.77378018286140526</c:v>
                </c:pt>
                <c:pt idx="408">
                  <c:v>0.77329944306262832</c:v>
                </c:pt>
                <c:pt idx="409">
                  <c:v>0.77281949622911894</c:v>
                </c:pt>
                <c:pt idx="410">
                  <c:v>0.77234075391399881</c:v>
                </c:pt>
                <c:pt idx="411">
                  <c:v>0.77186119830051092</c:v>
                </c:pt>
                <c:pt idx="412">
                  <c:v>0.77138002786058024</c:v>
                </c:pt>
                <c:pt idx="413">
                  <c:v>0.77090054016111476</c:v>
                </c:pt>
                <c:pt idx="414">
                  <c:v>0.77042153876056974</c:v>
                </c:pt>
                <c:pt idx="415">
                  <c:v>0.76994339745542084</c:v>
                </c:pt>
                <c:pt idx="416">
                  <c:v>0.76946699225198256</c:v>
                </c:pt>
                <c:pt idx="417">
                  <c:v>0.7689930072910488</c:v>
                </c:pt>
                <c:pt idx="418">
                  <c:v>0.76851852370111484</c:v>
                </c:pt>
                <c:pt idx="419">
                  <c:v>0.76804482371101535</c:v>
                </c:pt>
                <c:pt idx="420">
                  <c:v>0.76757206281966905</c:v>
                </c:pt>
                <c:pt idx="421">
                  <c:v>0.76710119566729595</c:v>
                </c:pt>
                <c:pt idx="422">
                  <c:v>0.76662884736027803</c:v>
                </c:pt>
                <c:pt idx="423">
                  <c:v>0.76615748690989116</c:v>
                </c:pt>
                <c:pt idx="424">
                  <c:v>0.76569038136103607</c:v>
                </c:pt>
                <c:pt idx="425">
                  <c:v>0.76522612283979907</c:v>
                </c:pt>
                <c:pt idx="426">
                  <c:v>0.76476174928299567</c:v>
                </c:pt>
                <c:pt idx="427">
                  <c:v>0.76429692301995189</c:v>
                </c:pt>
                <c:pt idx="428">
                  <c:v>0.76383771871893746</c:v>
                </c:pt>
                <c:pt idx="429">
                  <c:v>0.76338023617988526</c:v>
                </c:pt>
                <c:pt idx="430">
                  <c:v>0.76292324039525494</c:v>
                </c:pt>
                <c:pt idx="431">
                  <c:v>0.76246695575338586</c:v>
                </c:pt>
                <c:pt idx="432">
                  <c:v>0.76201083118712687</c:v>
                </c:pt>
                <c:pt idx="433">
                  <c:v>0.7615548981016641</c:v>
                </c:pt>
                <c:pt idx="434">
                  <c:v>0.76110178896165326</c:v>
                </c:pt>
                <c:pt idx="435">
                  <c:v>0.7606471576916265</c:v>
                </c:pt>
                <c:pt idx="436">
                  <c:v>0.76019156455213066</c:v>
                </c:pt>
                <c:pt idx="437">
                  <c:v>0.7597345100035201</c:v>
                </c:pt>
                <c:pt idx="438">
                  <c:v>0.75927567738438373</c:v>
                </c:pt>
                <c:pt idx="439">
                  <c:v>0.75881860351908748</c:v>
                </c:pt>
                <c:pt idx="440">
                  <c:v>0.7583617787659499</c:v>
                </c:pt>
                <c:pt idx="441">
                  <c:v>0.75790506571421412</c:v>
                </c:pt>
                <c:pt idx="442">
                  <c:v>0.75744837155830524</c:v>
                </c:pt>
                <c:pt idx="443">
                  <c:v>0.75699276447087926</c:v>
                </c:pt>
                <c:pt idx="444">
                  <c:v>0.7565361894493805</c:v>
                </c:pt>
                <c:pt idx="445">
                  <c:v>0.75608198342726551</c:v>
                </c:pt>
                <c:pt idx="446">
                  <c:v>0.75563066059128425</c:v>
                </c:pt>
                <c:pt idx="447">
                  <c:v>0.7551809835673482</c:v>
                </c:pt>
                <c:pt idx="448">
                  <c:v>0.75473041723874168</c:v>
                </c:pt>
                <c:pt idx="449">
                  <c:v>0.7542802261086804</c:v>
                </c:pt>
                <c:pt idx="450">
                  <c:v>0.75383421829430941</c:v>
                </c:pt>
                <c:pt idx="451">
                  <c:v>0.75339111638620004</c:v>
                </c:pt>
                <c:pt idx="452">
                  <c:v>0.75294813910350022</c:v>
                </c:pt>
                <c:pt idx="453">
                  <c:v>0.75250724274189984</c:v>
                </c:pt>
                <c:pt idx="454">
                  <c:v>0.75206820435414057</c:v>
                </c:pt>
                <c:pt idx="455">
                  <c:v>0.75162736993281698</c:v>
                </c:pt>
                <c:pt idx="456">
                  <c:v>0.75118661010819177</c:v>
                </c:pt>
                <c:pt idx="457">
                  <c:v>0.75074501269298011</c:v>
                </c:pt>
                <c:pt idx="458">
                  <c:v>0.75030448325305388</c:v>
                </c:pt>
                <c:pt idx="459">
                  <c:v>0.74986459289020002</c:v>
                </c:pt>
                <c:pt idx="460">
                  <c:v>0.74942489273824231</c:v>
                </c:pt>
                <c:pt idx="461">
                  <c:v>0.74898620686043482</c:v>
                </c:pt>
                <c:pt idx="462">
                  <c:v>0.74854928759608086</c:v>
                </c:pt>
                <c:pt idx="463">
                  <c:v>0.74811654403691019</c:v>
                </c:pt>
                <c:pt idx="464">
                  <c:v>0.74768673813576725</c:v>
                </c:pt>
                <c:pt idx="465">
                  <c:v>0.74725900198684048</c:v>
                </c:pt>
                <c:pt idx="466">
                  <c:v>0.74683449377771705</c:v>
                </c:pt>
                <c:pt idx="467">
                  <c:v>0.74640980841571403</c:v>
                </c:pt>
                <c:pt idx="468">
                  <c:v>0.7459873312344133</c:v>
                </c:pt>
                <c:pt idx="469">
                  <c:v>0.74556461985437616</c:v>
                </c:pt>
                <c:pt idx="470">
                  <c:v>0.74513923241344404</c:v>
                </c:pt>
                <c:pt idx="471">
                  <c:v>0.74471102442099846</c:v>
                </c:pt>
                <c:pt idx="472">
                  <c:v>0.74428241974927778</c:v>
                </c:pt>
                <c:pt idx="473">
                  <c:v>0.74385407606670073</c:v>
                </c:pt>
                <c:pt idx="474">
                  <c:v>0.74342782495911797</c:v>
                </c:pt>
                <c:pt idx="475">
                  <c:v>0.74300185222885495</c:v>
                </c:pt>
                <c:pt idx="476">
                  <c:v>0.74257714610740366</c:v>
                </c:pt>
                <c:pt idx="477">
                  <c:v>0.74215263076563009</c:v>
                </c:pt>
                <c:pt idx="478">
                  <c:v>0.74172919479768917</c:v>
                </c:pt>
                <c:pt idx="479">
                  <c:v>0.74130446693685448</c:v>
                </c:pt>
                <c:pt idx="480">
                  <c:v>0.7408806876114945</c:v>
                </c:pt>
                <c:pt idx="481">
                  <c:v>0.74045422846537301</c:v>
                </c:pt>
                <c:pt idx="482">
                  <c:v>0.74002672404322056</c:v>
                </c:pt>
                <c:pt idx="483">
                  <c:v>0.73959891354962959</c:v>
                </c:pt>
                <c:pt idx="484">
                  <c:v>0.73917101383986472</c:v>
                </c:pt>
                <c:pt idx="485">
                  <c:v>0.73874340648325232</c:v>
                </c:pt>
                <c:pt idx="486">
                  <c:v>0.73831884740602571</c:v>
                </c:pt>
                <c:pt idx="487">
                  <c:v>0.73789555143044616</c:v>
                </c:pt>
                <c:pt idx="488">
                  <c:v>0.73747390696834281</c:v>
                </c:pt>
                <c:pt idx="489">
                  <c:v>0.73704896831438149</c:v>
                </c:pt>
                <c:pt idx="490">
                  <c:v>0.73662186292764464</c:v>
                </c:pt>
                <c:pt idx="491">
                  <c:v>0.73619483839895949</c:v>
                </c:pt>
                <c:pt idx="492">
                  <c:v>0.73576940849639427</c:v>
                </c:pt>
                <c:pt idx="493">
                  <c:v>0.73534499680204812</c:v>
                </c:pt>
                <c:pt idx="494">
                  <c:v>0.73492143173322966</c:v>
                </c:pt>
                <c:pt idx="495">
                  <c:v>0.73449807471769069</c:v>
                </c:pt>
                <c:pt idx="496">
                  <c:v>0.7340743537417167</c:v>
                </c:pt>
                <c:pt idx="497">
                  <c:v>0.7336528364987539</c:v>
                </c:pt>
                <c:pt idx="498">
                  <c:v>0.73323303132007622</c:v>
                </c:pt>
                <c:pt idx="499">
                  <c:v>0.73281359319400263</c:v>
                </c:pt>
                <c:pt idx="500">
                  <c:v>0.73239119035586597</c:v>
                </c:pt>
                <c:pt idx="501">
                  <c:v>0.73196970378872295</c:v>
                </c:pt>
                <c:pt idx="502">
                  <c:v>0.73154643056601176</c:v>
                </c:pt>
                <c:pt idx="503">
                  <c:v>0.73112363866717733</c:v>
                </c:pt>
                <c:pt idx="504">
                  <c:v>0.73069960588993321</c:v>
                </c:pt>
                <c:pt idx="505">
                  <c:v>0.73027567937749061</c:v>
                </c:pt>
                <c:pt idx="506">
                  <c:v>0.7298529294065802</c:v>
                </c:pt>
                <c:pt idx="507">
                  <c:v>0.72943016201301736</c:v>
                </c:pt>
                <c:pt idx="508">
                  <c:v>0.72901046184687346</c:v>
                </c:pt>
                <c:pt idx="509">
                  <c:v>0.72859349125745121</c:v>
                </c:pt>
                <c:pt idx="510">
                  <c:v>0.72817726080247436</c:v>
                </c:pt>
                <c:pt idx="511">
                  <c:v>0.72776098631613306</c:v>
                </c:pt>
                <c:pt idx="512">
                  <c:v>0.72734633766414258</c:v>
                </c:pt>
                <c:pt idx="513">
                  <c:v>0.72693286754451369</c:v>
                </c:pt>
                <c:pt idx="514">
                  <c:v>0.72651948059699334</c:v>
                </c:pt>
                <c:pt idx="515">
                  <c:v>0.72610177826464739</c:v>
                </c:pt>
                <c:pt idx="516">
                  <c:v>0.72568245518899976</c:v>
                </c:pt>
                <c:pt idx="517">
                  <c:v>0.72526463984653244</c:v>
                </c:pt>
                <c:pt idx="518">
                  <c:v>0.72484912952688185</c:v>
                </c:pt>
                <c:pt idx="519">
                  <c:v>0.72443628317263964</c:v>
                </c:pt>
                <c:pt idx="520">
                  <c:v>0.72402088889971528</c:v>
                </c:pt>
                <c:pt idx="521">
                  <c:v>0.72360747013824267</c:v>
                </c:pt>
                <c:pt idx="522">
                  <c:v>0.72319326915857984</c:v>
                </c:pt>
                <c:pt idx="523">
                  <c:v>0.72277693543592236</c:v>
                </c:pt>
                <c:pt idx="524">
                  <c:v>0.72236018747019182</c:v>
                </c:pt>
                <c:pt idx="525">
                  <c:v>0.72194071565374573</c:v>
                </c:pt>
                <c:pt idx="526">
                  <c:v>0.72151840106240461</c:v>
                </c:pt>
                <c:pt idx="527">
                  <c:v>0.72109462837826155</c:v>
                </c:pt>
                <c:pt idx="528">
                  <c:v>0.72066846363807691</c:v>
                </c:pt>
                <c:pt idx="529">
                  <c:v>0.72024104939354572</c:v>
                </c:pt>
                <c:pt idx="530">
                  <c:v>0.71981468061924458</c:v>
                </c:pt>
                <c:pt idx="531">
                  <c:v>0.71938956543283494</c:v>
                </c:pt>
                <c:pt idx="532">
                  <c:v>0.71896366388195942</c:v>
                </c:pt>
                <c:pt idx="533">
                  <c:v>0.71853726015704189</c:v>
                </c:pt>
                <c:pt idx="534">
                  <c:v>0.71811110087432173</c:v>
                </c:pt>
                <c:pt idx="535">
                  <c:v>0.71768584490752074</c:v>
                </c:pt>
                <c:pt idx="536">
                  <c:v>0.71726365463000286</c:v>
                </c:pt>
                <c:pt idx="537">
                  <c:v>0.71684235270769037</c:v>
                </c:pt>
                <c:pt idx="538">
                  <c:v>0.71642002955364492</c:v>
                </c:pt>
                <c:pt idx="539">
                  <c:v>0.7159993335516398</c:v>
                </c:pt>
                <c:pt idx="540">
                  <c:v>0.71557816404482322</c:v>
                </c:pt>
                <c:pt idx="541">
                  <c:v>0.71515582408948175</c:v>
                </c:pt>
                <c:pt idx="542">
                  <c:v>0.71473410073397103</c:v>
                </c:pt>
                <c:pt idx="543">
                  <c:v>0.71431495566012415</c:v>
                </c:pt>
                <c:pt idx="544">
                  <c:v>0.71389562662597772</c:v>
                </c:pt>
                <c:pt idx="545">
                  <c:v>0.71347437635413558</c:v>
                </c:pt>
                <c:pt idx="546">
                  <c:v>0.71305109000481115</c:v>
                </c:pt>
                <c:pt idx="547">
                  <c:v>0.71262599634912249</c:v>
                </c:pt>
                <c:pt idx="548">
                  <c:v>0.71219894726127475</c:v>
                </c:pt>
                <c:pt idx="549">
                  <c:v>0.71177261118080426</c:v>
                </c:pt>
                <c:pt idx="550">
                  <c:v>0.71134717745065712</c:v>
                </c:pt>
                <c:pt idx="551">
                  <c:v>0.71092335289322517</c:v>
                </c:pt>
                <c:pt idx="552">
                  <c:v>0.710496590530173</c:v>
                </c:pt>
                <c:pt idx="553">
                  <c:v>0.71006835377321509</c:v>
                </c:pt>
                <c:pt idx="554">
                  <c:v>0.70964052252651921</c:v>
                </c:pt>
                <c:pt idx="555">
                  <c:v>0.70921129358421031</c:v>
                </c:pt>
                <c:pt idx="556">
                  <c:v>0.70877678934045163</c:v>
                </c:pt>
                <c:pt idx="557">
                  <c:v>0.70834338662941221</c:v>
                </c:pt>
                <c:pt idx="558">
                  <c:v>0.70790895711959823</c:v>
                </c:pt>
                <c:pt idx="559">
                  <c:v>0.70747763619560355</c:v>
                </c:pt>
                <c:pt idx="560">
                  <c:v>0.70704811358806163</c:v>
                </c:pt>
                <c:pt idx="561">
                  <c:v>0.70661770882346486</c:v>
                </c:pt>
                <c:pt idx="562">
                  <c:v>0.70618647411358959</c:v>
                </c:pt>
                <c:pt idx="563">
                  <c:v>0.70575387099767861</c:v>
                </c:pt>
                <c:pt idx="564">
                  <c:v>0.7053224042750903</c:v>
                </c:pt>
                <c:pt idx="565">
                  <c:v>0.70488935126299024</c:v>
                </c:pt>
                <c:pt idx="566">
                  <c:v>0.70445744112092146</c:v>
                </c:pt>
                <c:pt idx="567">
                  <c:v>0.7040248327372195</c:v>
                </c:pt>
                <c:pt idx="568">
                  <c:v>0.70359081681170543</c:v>
                </c:pt>
                <c:pt idx="569">
                  <c:v>0.70315068512356316</c:v>
                </c:pt>
                <c:pt idx="570">
                  <c:v>0.70270724672867857</c:v>
                </c:pt>
                <c:pt idx="571">
                  <c:v>0.70226455869187077</c:v>
                </c:pt>
                <c:pt idx="572">
                  <c:v>0.70182243942842615</c:v>
                </c:pt>
                <c:pt idx="573">
                  <c:v>0.70138073021102798</c:v>
                </c:pt>
                <c:pt idx="574">
                  <c:v>0.70093419085560615</c:v>
                </c:pt>
                <c:pt idx="575">
                  <c:v>0.70048906316946946</c:v>
                </c:pt>
                <c:pt idx="576">
                  <c:v>0.70004741171552876</c:v>
                </c:pt>
                <c:pt idx="577">
                  <c:v>0.69960536625642744</c:v>
                </c:pt>
                <c:pt idx="578">
                  <c:v>0.69916386430143196</c:v>
                </c:pt>
                <c:pt idx="579">
                  <c:v>0.6987248884665066</c:v>
                </c:pt>
                <c:pt idx="580">
                  <c:v>0.69828508403270706</c:v>
                </c:pt>
                <c:pt idx="581">
                  <c:v>0.69784076092639424</c:v>
                </c:pt>
                <c:pt idx="582">
                  <c:v>0.69739801895427556</c:v>
                </c:pt>
                <c:pt idx="583">
                  <c:v>0.69695483736134578</c:v>
                </c:pt>
                <c:pt idx="584">
                  <c:v>0.69650800740449892</c:v>
                </c:pt>
                <c:pt idx="585">
                  <c:v>0.69606033073649998</c:v>
                </c:pt>
                <c:pt idx="586">
                  <c:v>0.69561404134636706</c:v>
                </c:pt>
                <c:pt idx="587">
                  <c:v>0.69516769074855889</c:v>
                </c:pt>
                <c:pt idx="588">
                  <c:v>0.69472227285459587</c:v>
                </c:pt>
                <c:pt idx="589">
                  <c:v>0.69427826793988201</c:v>
                </c:pt>
                <c:pt idx="590">
                  <c:v>0.69383540843361891</c:v>
                </c:pt>
                <c:pt idx="591">
                  <c:v>0.6933915973392043</c:v>
                </c:pt>
                <c:pt idx="592">
                  <c:v>0.69294894020343523</c:v>
                </c:pt>
                <c:pt idx="593">
                  <c:v>0.69250641476881336</c:v>
                </c:pt>
                <c:pt idx="594">
                  <c:v>0.6920635295140064</c:v>
                </c:pt>
                <c:pt idx="595">
                  <c:v>0.69161883348388331</c:v>
                </c:pt>
                <c:pt idx="596">
                  <c:v>0.69117369280209473</c:v>
                </c:pt>
                <c:pt idx="597">
                  <c:v>0.69072812841340703</c:v>
                </c:pt>
                <c:pt idx="598">
                  <c:v>0.69028398591402207</c:v>
                </c:pt>
                <c:pt idx="599">
                  <c:v>0.68983381224549201</c:v>
                </c:pt>
                <c:pt idx="600">
                  <c:v>0.68938231357035606</c:v>
                </c:pt>
                <c:pt idx="601">
                  <c:v>0.68893182676884246</c:v>
                </c:pt>
                <c:pt idx="602">
                  <c:v>0.68848411525636888</c:v>
                </c:pt>
                <c:pt idx="603">
                  <c:v>0.6880326619179542</c:v>
                </c:pt>
                <c:pt idx="604">
                  <c:v>0.68757901793043974</c:v>
                </c:pt>
                <c:pt idx="605">
                  <c:v>0.68712355877170805</c:v>
                </c:pt>
                <c:pt idx="606">
                  <c:v>0.68666877827002581</c:v>
                </c:pt>
                <c:pt idx="607">
                  <c:v>0.68621472323175259</c:v>
                </c:pt>
                <c:pt idx="608">
                  <c:v>0.68575720508121807</c:v>
                </c:pt>
                <c:pt idx="609">
                  <c:v>0.68529710936495081</c:v>
                </c:pt>
                <c:pt idx="610">
                  <c:v>0.68483347552338059</c:v>
                </c:pt>
                <c:pt idx="611">
                  <c:v>0.68436960795404189</c:v>
                </c:pt>
                <c:pt idx="612">
                  <c:v>0.68390438895747052</c:v>
                </c:pt>
                <c:pt idx="613">
                  <c:v>0.68343677715128537</c:v>
                </c:pt>
                <c:pt idx="614">
                  <c:v>0.6829680930692269</c:v>
                </c:pt>
                <c:pt idx="615">
                  <c:v>0.68249968721764398</c:v>
                </c:pt>
                <c:pt idx="616">
                  <c:v>0.68202839633654944</c:v>
                </c:pt>
                <c:pt idx="617">
                  <c:v>0.68155760314151348</c:v>
                </c:pt>
                <c:pt idx="618">
                  <c:v>0.68108739291252962</c:v>
                </c:pt>
                <c:pt idx="619">
                  <c:v>0.680619015194456</c:v>
                </c:pt>
                <c:pt idx="620">
                  <c:v>0.68014861737441734</c:v>
                </c:pt>
                <c:pt idx="621">
                  <c:v>0.67967403156032946</c:v>
                </c:pt>
                <c:pt idx="622">
                  <c:v>0.67919843290012338</c:v>
                </c:pt>
                <c:pt idx="623">
                  <c:v>0.67872608217946029</c:v>
                </c:pt>
                <c:pt idx="624">
                  <c:v>0.67825319499865966</c:v>
                </c:pt>
                <c:pt idx="625">
                  <c:v>0.67777885302941021</c:v>
                </c:pt>
                <c:pt idx="626">
                  <c:v>0.67730302784616148</c:v>
                </c:pt>
                <c:pt idx="627">
                  <c:v>0.67683077736565023</c:v>
                </c:pt>
                <c:pt idx="628">
                  <c:v>0.6763543556668915</c:v>
                </c:pt>
                <c:pt idx="629">
                  <c:v>0.67587718057793211</c:v>
                </c:pt>
                <c:pt idx="630">
                  <c:v>0.67540001313584597</c:v>
                </c:pt>
                <c:pt idx="631">
                  <c:v>0.67492253391689705</c:v>
                </c:pt>
                <c:pt idx="632">
                  <c:v>0.67444309770595345</c:v>
                </c:pt>
                <c:pt idx="633">
                  <c:v>0.6739615363288477</c:v>
                </c:pt>
                <c:pt idx="634">
                  <c:v>0.67348153682572476</c:v>
                </c:pt>
                <c:pt idx="635">
                  <c:v>0.67300225163606564</c:v>
                </c:pt>
                <c:pt idx="636">
                  <c:v>0.67252708330247268</c:v>
                </c:pt>
                <c:pt idx="637">
                  <c:v>0.67205136604979343</c:v>
                </c:pt>
                <c:pt idx="638">
                  <c:v>0.6715749009482721</c:v>
                </c:pt>
                <c:pt idx="639">
                  <c:v>0.67109769867780455</c:v>
                </c:pt>
                <c:pt idx="640">
                  <c:v>0.6706199588526055</c:v>
                </c:pt>
                <c:pt idx="641">
                  <c:v>0.67013773625135253</c:v>
                </c:pt>
                <c:pt idx="642">
                  <c:v>0.66965642302652051</c:v>
                </c:pt>
                <c:pt idx="643">
                  <c:v>0.66917523032537052</c:v>
                </c:pt>
                <c:pt idx="644">
                  <c:v>0.66869510360074003</c:v>
                </c:pt>
                <c:pt idx="645">
                  <c:v>0.66821328845562056</c:v>
                </c:pt>
                <c:pt idx="646">
                  <c:v>0.66772853926274378</c:v>
                </c:pt>
                <c:pt idx="647">
                  <c:v>0.66724339828180057</c:v>
                </c:pt>
                <c:pt idx="648">
                  <c:v>0.66675631008353253</c:v>
                </c:pt>
                <c:pt idx="649">
                  <c:v>0.66627142022299202</c:v>
                </c:pt>
                <c:pt idx="650">
                  <c:v>0.66578987238892073</c:v>
                </c:pt>
                <c:pt idx="651">
                  <c:v>0.66530785991903307</c:v>
                </c:pt>
                <c:pt idx="652">
                  <c:v>0.66482808688333439</c:v>
                </c:pt>
                <c:pt idx="653">
                  <c:v>0.66434669092436416</c:v>
                </c:pt>
                <c:pt idx="654">
                  <c:v>0.66386484589893768</c:v>
                </c:pt>
                <c:pt idx="655">
                  <c:v>0.66338128906668281</c:v>
                </c:pt>
                <c:pt idx="656">
                  <c:v>0.66289722905385207</c:v>
                </c:pt>
                <c:pt idx="657">
                  <c:v>0.66241218078273933</c:v>
                </c:pt>
                <c:pt idx="658">
                  <c:v>0.66192781589827421</c:v>
                </c:pt>
                <c:pt idx="659">
                  <c:v>0.66144676517789869</c:v>
                </c:pt>
                <c:pt idx="660">
                  <c:v>0.66096451251308175</c:v>
                </c:pt>
                <c:pt idx="661">
                  <c:v>0.66048271099070199</c:v>
                </c:pt>
                <c:pt idx="662">
                  <c:v>0.66000570171026185</c:v>
                </c:pt>
                <c:pt idx="663">
                  <c:v>0.65952500990716512</c:v>
                </c:pt>
                <c:pt idx="664">
                  <c:v>0.65904388299810901</c:v>
                </c:pt>
                <c:pt idx="665">
                  <c:v>0.65856100829898079</c:v>
                </c:pt>
                <c:pt idx="666">
                  <c:v>0.65807538452994929</c:v>
                </c:pt>
                <c:pt idx="667">
                  <c:v>0.65758606926497953</c:v>
                </c:pt>
                <c:pt idx="668">
                  <c:v>0.6570935026223732</c:v>
                </c:pt>
                <c:pt idx="669">
                  <c:v>0.65660199241147765</c:v>
                </c:pt>
                <c:pt idx="670">
                  <c:v>0.65611084310582013</c:v>
                </c:pt>
                <c:pt idx="671">
                  <c:v>0.65562140607614894</c:v>
                </c:pt>
                <c:pt idx="672">
                  <c:v>0.65512978933760302</c:v>
                </c:pt>
                <c:pt idx="673">
                  <c:v>0.65463695412040557</c:v>
                </c:pt>
                <c:pt idx="674">
                  <c:v>0.65414707810031925</c:v>
                </c:pt>
                <c:pt idx="675">
                  <c:v>0.65365751553846441</c:v>
                </c:pt>
                <c:pt idx="676">
                  <c:v>0.65316603746180579</c:v>
                </c:pt>
                <c:pt idx="677">
                  <c:v>0.65267415367896942</c:v>
                </c:pt>
                <c:pt idx="678">
                  <c:v>0.65218733698158049</c:v>
                </c:pt>
                <c:pt idx="679">
                  <c:v>0.65170112145459957</c:v>
                </c:pt>
                <c:pt idx="680">
                  <c:v>0.65121705755399439</c:v>
                </c:pt>
                <c:pt idx="681">
                  <c:v>0.65073493908507829</c:v>
                </c:pt>
                <c:pt idx="682">
                  <c:v>0.65025482490087949</c:v>
                </c:pt>
                <c:pt idx="683">
                  <c:v>0.64977417813086225</c:v>
                </c:pt>
                <c:pt idx="684">
                  <c:v>0.64929349213338672</c:v>
                </c:pt>
                <c:pt idx="685">
                  <c:v>0.64880946469368306</c:v>
                </c:pt>
                <c:pt idx="686">
                  <c:v>0.64832434039072584</c:v>
                </c:pt>
                <c:pt idx="687">
                  <c:v>0.64783966925731673</c:v>
                </c:pt>
                <c:pt idx="688">
                  <c:v>0.64735313333336031</c:v>
                </c:pt>
                <c:pt idx="689">
                  <c:v>0.64686659373672195</c:v>
                </c:pt>
                <c:pt idx="690">
                  <c:v>0.64638208392941499</c:v>
                </c:pt>
                <c:pt idx="691">
                  <c:v>0.64589717685696579</c:v>
                </c:pt>
                <c:pt idx="692">
                  <c:v>0.64541696068903098</c:v>
                </c:pt>
                <c:pt idx="693">
                  <c:v>0.64493695547178853</c:v>
                </c:pt>
                <c:pt idx="694">
                  <c:v>0.64446432184516578</c:v>
                </c:pt>
                <c:pt idx="695">
                  <c:v>0.64399157141000296</c:v>
                </c:pt>
                <c:pt idx="696">
                  <c:v>0.64351832892384386</c:v>
                </c:pt>
                <c:pt idx="697">
                  <c:v>0.64304469043942547</c:v>
                </c:pt>
                <c:pt idx="698">
                  <c:v>0.64257267856703892</c:v>
                </c:pt>
                <c:pt idx="699">
                  <c:v>0.64210230154486447</c:v>
                </c:pt>
                <c:pt idx="700">
                  <c:v>0.64163222481375515</c:v>
                </c:pt>
                <c:pt idx="701">
                  <c:v>0.64116086477595424</c:v>
                </c:pt>
                <c:pt idx="702">
                  <c:v>0.64068830763149853</c:v>
                </c:pt>
                <c:pt idx="703">
                  <c:v>0.64021889697832357</c:v>
                </c:pt>
                <c:pt idx="704">
                  <c:v>0.63975230728293053</c:v>
                </c:pt>
                <c:pt idx="705">
                  <c:v>0.63928648196712412</c:v>
                </c:pt>
                <c:pt idx="706">
                  <c:v>0.63881793546277932</c:v>
                </c:pt>
                <c:pt idx="707">
                  <c:v>0.63834554137962674</c:v>
                </c:pt>
                <c:pt idx="708">
                  <c:v>0.63787332459363799</c:v>
                </c:pt>
                <c:pt idx="709">
                  <c:v>0.6374069660471221</c:v>
                </c:pt>
                <c:pt idx="710">
                  <c:v>0.63694151283419376</c:v>
                </c:pt>
                <c:pt idx="711">
                  <c:v>0.63647723944028822</c:v>
                </c:pt>
                <c:pt idx="712">
                  <c:v>0.63600930087641461</c:v>
                </c:pt>
                <c:pt idx="713">
                  <c:v>0.63554479246972706</c:v>
                </c:pt>
                <c:pt idx="714">
                  <c:v>0.63508102896142726</c:v>
                </c:pt>
                <c:pt idx="715">
                  <c:v>0.63461865497473813</c:v>
                </c:pt>
                <c:pt idx="716">
                  <c:v>0.6341571547865098</c:v>
                </c:pt>
                <c:pt idx="717">
                  <c:v>0.63369413745853975</c:v>
                </c:pt>
                <c:pt idx="718">
                  <c:v>0.63322781905295389</c:v>
                </c:pt>
                <c:pt idx="719">
                  <c:v>0.63275916954688982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78240"/>
        <c:axId val="403580416"/>
      </c:lineChart>
      <c:catAx>
        <c:axId val="403578240"/>
        <c:scaling>
          <c:orientation val="minMax"/>
        </c:scaling>
        <c:delete val="0"/>
        <c:axPos val="b"/>
        <c:majorTickMark val="out"/>
        <c:minorTickMark val="none"/>
        <c:tickLblPos val="nextTo"/>
        <c:crossAx val="403580416"/>
        <c:crosses val="autoZero"/>
        <c:auto val="1"/>
        <c:lblAlgn val="ctr"/>
        <c:lblOffset val="100"/>
        <c:noMultiLvlLbl val="0"/>
      </c:catAx>
      <c:valAx>
        <c:axId val="40358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3578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Output!$AA$12:$AA$731</c:f>
              <c:numCache>
                <c:formatCode>_-* #\,##0.00_-;\-* #\,##0.00_-;_-*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cat>
          <c:val>
            <c:numRef>
              <c:f>Output!$Y$12:$Y$731</c:f>
              <c:numCache>
                <c:formatCode>0.00000%</c:formatCode>
                <c:ptCount val="720"/>
                <c:pt idx="0">
                  <c:v>8.0694214889649632E-2</c:v>
                </c:pt>
                <c:pt idx="1">
                  <c:v>7.9849055207321398E-2</c:v>
                </c:pt>
                <c:pt idx="2">
                  <c:v>8.0094571224656436E-2</c:v>
                </c:pt>
                <c:pt idx="3">
                  <c:v>8.0569009506890318E-2</c:v>
                </c:pt>
                <c:pt idx="4">
                  <c:v>8.0208153201851318E-2</c:v>
                </c:pt>
                <c:pt idx="5">
                  <c:v>7.9824541206759331E-2</c:v>
                </c:pt>
                <c:pt idx="6">
                  <c:v>8.0121964670585008E-2</c:v>
                </c:pt>
                <c:pt idx="7">
                  <c:v>7.9610781251379159E-2</c:v>
                </c:pt>
                <c:pt idx="8">
                  <c:v>7.9198819971468715E-2</c:v>
                </c:pt>
                <c:pt idx="9">
                  <c:v>7.9457544625963661E-2</c:v>
                </c:pt>
                <c:pt idx="10">
                  <c:v>7.9199192447062763E-2</c:v>
                </c:pt>
                <c:pt idx="11">
                  <c:v>7.9046916219632779E-2</c:v>
                </c:pt>
                <c:pt idx="12">
                  <c:v>7.9502872926349E-2</c:v>
                </c:pt>
                <c:pt idx="13">
                  <c:v>7.9553590795052226E-2</c:v>
                </c:pt>
                <c:pt idx="14">
                  <c:v>7.9768068638009032E-2</c:v>
                </c:pt>
                <c:pt idx="15">
                  <c:v>7.9340687847739441E-2</c:v>
                </c:pt>
                <c:pt idx="16">
                  <c:v>7.9520873240763873E-2</c:v>
                </c:pt>
                <c:pt idx="17">
                  <c:v>7.9336927795443324E-2</c:v>
                </c:pt>
                <c:pt idx="18">
                  <c:v>7.9376280470098967E-2</c:v>
                </c:pt>
                <c:pt idx="19">
                  <c:v>7.9294149202520953E-2</c:v>
                </c:pt>
                <c:pt idx="20">
                  <c:v>7.9076556616309024E-2</c:v>
                </c:pt>
                <c:pt idx="21">
                  <c:v>7.9139195953843194E-2</c:v>
                </c:pt>
                <c:pt idx="22">
                  <c:v>7.8986605174718186E-2</c:v>
                </c:pt>
                <c:pt idx="23">
                  <c:v>7.9018842523890617E-2</c:v>
                </c:pt>
                <c:pt idx="24">
                  <c:v>7.9205910352196499E-2</c:v>
                </c:pt>
                <c:pt idx="25">
                  <c:v>7.8998822029176297E-2</c:v>
                </c:pt>
                <c:pt idx="26">
                  <c:v>7.8909441052732024E-2</c:v>
                </c:pt>
                <c:pt idx="27">
                  <c:v>7.8936972692776358E-2</c:v>
                </c:pt>
                <c:pt idx="28">
                  <c:v>7.882113318670822E-2</c:v>
                </c:pt>
                <c:pt idx="29">
                  <c:v>7.9012564603233207E-2</c:v>
                </c:pt>
                <c:pt idx="30">
                  <c:v>7.8936997473670445E-2</c:v>
                </c:pt>
                <c:pt idx="31">
                  <c:v>7.9039980653035247E-2</c:v>
                </c:pt>
                <c:pt idx="32">
                  <c:v>7.9585388868615381E-2</c:v>
                </c:pt>
                <c:pt idx="33">
                  <c:v>7.9259108427852956E-2</c:v>
                </c:pt>
                <c:pt idx="34">
                  <c:v>7.9338924615789938E-2</c:v>
                </c:pt>
                <c:pt idx="35">
                  <c:v>7.938327938113697E-2</c:v>
                </c:pt>
                <c:pt idx="36">
                  <c:v>7.9607215665359471E-2</c:v>
                </c:pt>
                <c:pt idx="37">
                  <c:v>7.9577237464163564E-2</c:v>
                </c:pt>
                <c:pt idx="38">
                  <c:v>7.9549588031691321E-2</c:v>
                </c:pt>
                <c:pt idx="39">
                  <c:v>7.9689561665964248E-2</c:v>
                </c:pt>
                <c:pt idx="40">
                  <c:v>7.987775434488073E-2</c:v>
                </c:pt>
                <c:pt idx="41">
                  <c:v>8.0049821084956216E-2</c:v>
                </c:pt>
                <c:pt idx="42">
                  <c:v>8.0485884555447862E-2</c:v>
                </c:pt>
                <c:pt idx="43">
                  <c:v>8.0375809126205525E-2</c:v>
                </c:pt>
                <c:pt idx="44">
                  <c:v>8.0370410490750943E-2</c:v>
                </c:pt>
                <c:pt idx="45">
                  <c:v>8.0405322799136369E-2</c:v>
                </c:pt>
                <c:pt idx="46">
                  <c:v>8.0407159165387709E-2</c:v>
                </c:pt>
                <c:pt idx="47">
                  <c:v>8.0735933299866572E-2</c:v>
                </c:pt>
                <c:pt idx="48">
                  <c:v>8.073986378842514E-2</c:v>
                </c:pt>
                <c:pt idx="49">
                  <c:v>8.0412873943880275E-2</c:v>
                </c:pt>
                <c:pt idx="50">
                  <c:v>8.056495781968287E-2</c:v>
                </c:pt>
                <c:pt idx="51">
                  <c:v>8.0689279367724978E-2</c:v>
                </c:pt>
                <c:pt idx="52">
                  <c:v>8.0415409901902268E-2</c:v>
                </c:pt>
                <c:pt idx="53">
                  <c:v>8.0367328341048816E-2</c:v>
                </c:pt>
                <c:pt idx="54">
                  <c:v>8.0366032052822778E-2</c:v>
                </c:pt>
                <c:pt idx="55">
                  <c:v>8.0395559900947544E-2</c:v>
                </c:pt>
                <c:pt idx="56">
                  <c:v>8.0500469189295931E-2</c:v>
                </c:pt>
                <c:pt idx="57">
                  <c:v>8.0479422907291071E-2</c:v>
                </c:pt>
                <c:pt idx="58">
                  <c:v>8.0525280073360475E-2</c:v>
                </c:pt>
                <c:pt idx="59">
                  <c:v>8.0491544999264114E-2</c:v>
                </c:pt>
                <c:pt idx="60">
                  <c:v>8.0384056973636278E-2</c:v>
                </c:pt>
                <c:pt idx="61">
                  <c:v>8.0466889952607284E-2</c:v>
                </c:pt>
                <c:pt idx="62">
                  <c:v>8.0651886048806187E-2</c:v>
                </c:pt>
                <c:pt idx="63">
                  <c:v>8.0714287023579911E-2</c:v>
                </c:pt>
                <c:pt idx="64">
                  <c:v>8.082727657446663E-2</c:v>
                </c:pt>
                <c:pt idx="65">
                  <c:v>8.0745733354802188E-2</c:v>
                </c:pt>
                <c:pt idx="66">
                  <c:v>8.0710975821054173E-2</c:v>
                </c:pt>
                <c:pt idx="67">
                  <c:v>8.093484038964463E-2</c:v>
                </c:pt>
                <c:pt idx="68">
                  <c:v>8.1057330313140746E-2</c:v>
                </c:pt>
                <c:pt idx="69">
                  <c:v>8.1000092334850324E-2</c:v>
                </c:pt>
                <c:pt idx="70">
                  <c:v>8.1051815975689515E-2</c:v>
                </c:pt>
                <c:pt idx="71">
                  <c:v>8.1282690071680361E-2</c:v>
                </c:pt>
                <c:pt idx="72">
                  <c:v>8.1286126584798432E-2</c:v>
                </c:pt>
                <c:pt idx="73">
                  <c:v>8.1329594195665156E-2</c:v>
                </c:pt>
                <c:pt idx="74">
                  <c:v>8.1120342725723465E-2</c:v>
                </c:pt>
                <c:pt idx="75">
                  <c:v>8.1080919417355152E-2</c:v>
                </c:pt>
                <c:pt idx="76">
                  <c:v>8.1016106341991162E-2</c:v>
                </c:pt>
                <c:pt idx="77">
                  <c:v>8.0976385310074159E-2</c:v>
                </c:pt>
                <c:pt idx="78">
                  <c:v>8.1036001526852142E-2</c:v>
                </c:pt>
                <c:pt idx="79">
                  <c:v>8.101820656045805E-2</c:v>
                </c:pt>
                <c:pt idx="80">
                  <c:v>8.0903387275204505E-2</c:v>
                </c:pt>
                <c:pt idx="81">
                  <c:v>8.0963218197192349E-2</c:v>
                </c:pt>
                <c:pt idx="82">
                  <c:v>8.0657354532179065E-2</c:v>
                </c:pt>
                <c:pt idx="83">
                  <c:v>8.0776164790065788E-2</c:v>
                </c:pt>
                <c:pt idx="84">
                  <c:v>8.0629570373067144E-2</c:v>
                </c:pt>
                <c:pt idx="85">
                  <c:v>8.0640635866176896E-2</c:v>
                </c:pt>
                <c:pt idx="86">
                  <c:v>8.0667583259722148E-2</c:v>
                </c:pt>
                <c:pt idx="87">
                  <c:v>8.0398122467020772E-2</c:v>
                </c:pt>
                <c:pt idx="88">
                  <c:v>8.0324803280320781E-2</c:v>
                </c:pt>
                <c:pt idx="89">
                  <c:v>8.0069338143597651E-2</c:v>
                </c:pt>
                <c:pt idx="90">
                  <c:v>8.0123452234549003E-2</c:v>
                </c:pt>
                <c:pt idx="91">
                  <c:v>8.0257311480824642E-2</c:v>
                </c:pt>
                <c:pt idx="92">
                  <c:v>8.0032233889574103E-2</c:v>
                </c:pt>
                <c:pt idx="93">
                  <c:v>8.0139051126119173E-2</c:v>
                </c:pt>
                <c:pt idx="94">
                  <c:v>8.0134597543046499E-2</c:v>
                </c:pt>
                <c:pt idx="95">
                  <c:v>8.0123493934217777E-2</c:v>
                </c:pt>
                <c:pt idx="96">
                  <c:v>8.0049355245483789E-2</c:v>
                </c:pt>
                <c:pt idx="97">
                  <c:v>7.9982372180322864E-2</c:v>
                </c:pt>
                <c:pt idx="98">
                  <c:v>8.0033379350213971E-2</c:v>
                </c:pt>
                <c:pt idx="99">
                  <c:v>8.0108926374753295E-2</c:v>
                </c:pt>
                <c:pt idx="100">
                  <c:v>8.0016592639117659E-2</c:v>
                </c:pt>
                <c:pt idx="101">
                  <c:v>7.996747967428651E-2</c:v>
                </c:pt>
                <c:pt idx="102">
                  <c:v>8.0124012875015652E-2</c:v>
                </c:pt>
                <c:pt idx="103">
                  <c:v>7.9969779523835979E-2</c:v>
                </c:pt>
                <c:pt idx="104">
                  <c:v>7.9931079847405523E-2</c:v>
                </c:pt>
                <c:pt idx="105">
                  <c:v>7.9916837520688871E-2</c:v>
                </c:pt>
                <c:pt idx="106">
                  <c:v>7.9748900443217335E-2</c:v>
                </c:pt>
                <c:pt idx="107">
                  <c:v>7.9760439598949032E-2</c:v>
                </c:pt>
                <c:pt idx="108">
                  <c:v>7.9804756716319425E-2</c:v>
                </c:pt>
                <c:pt idx="109">
                  <c:v>7.9620164674668523E-2</c:v>
                </c:pt>
                <c:pt idx="110">
                  <c:v>7.9700023429577382E-2</c:v>
                </c:pt>
                <c:pt idx="111">
                  <c:v>7.9617539826916495E-2</c:v>
                </c:pt>
                <c:pt idx="112">
                  <c:v>7.9527146408361268E-2</c:v>
                </c:pt>
                <c:pt idx="113">
                  <c:v>7.9431472966585218E-2</c:v>
                </c:pt>
                <c:pt idx="114">
                  <c:v>7.9453764569264451E-2</c:v>
                </c:pt>
                <c:pt idx="115">
                  <c:v>7.945274601542264E-2</c:v>
                </c:pt>
                <c:pt idx="116">
                  <c:v>7.9384547895585633E-2</c:v>
                </c:pt>
                <c:pt idx="117">
                  <c:v>7.9677758865856263E-2</c:v>
                </c:pt>
                <c:pt idx="118">
                  <c:v>7.9766657800237672E-2</c:v>
                </c:pt>
                <c:pt idx="119">
                  <c:v>7.9704275518914569E-2</c:v>
                </c:pt>
                <c:pt idx="120">
                  <c:v>7.9734639779973304E-2</c:v>
                </c:pt>
                <c:pt idx="121">
                  <c:v>8.0067670014569672E-2</c:v>
                </c:pt>
                <c:pt idx="122">
                  <c:v>7.9918191498165356E-2</c:v>
                </c:pt>
                <c:pt idx="123">
                  <c:v>8.0071086669043418E-2</c:v>
                </c:pt>
                <c:pt idx="124">
                  <c:v>7.9875594906896386E-2</c:v>
                </c:pt>
                <c:pt idx="125">
                  <c:v>7.9844871666010342E-2</c:v>
                </c:pt>
                <c:pt idx="126">
                  <c:v>7.9878675984226821E-2</c:v>
                </c:pt>
                <c:pt idx="127">
                  <c:v>7.9775268213447742E-2</c:v>
                </c:pt>
                <c:pt idx="128">
                  <c:v>7.9799546555222006E-2</c:v>
                </c:pt>
                <c:pt idx="129">
                  <c:v>7.9759826455065658E-2</c:v>
                </c:pt>
                <c:pt idx="130">
                  <c:v>7.9632085645978318E-2</c:v>
                </c:pt>
                <c:pt idx="131">
                  <c:v>7.9571765289421781E-2</c:v>
                </c:pt>
                <c:pt idx="132">
                  <c:v>7.9597209181106771E-2</c:v>
                </c:pt>
                <c:pt idx="133">
                  <c:v>7.9600137185313669E-2</c:v>
                </c:pt>
                <c:pt idx="134">
                  <c:v>7.9683279750417488E-2</c:v>
                </c:pt>
                <c:pt idx="135">
                  <c:v>7.9643295317435706E-2</c:v>
                </c:pt>
                <c:pt idx="136">
                  <c:v>7.9609387728695691E-2</c:v>
                </c:pt>
                <c:pt idx="137">
                  <c:v>7.9610923613969348E-2</c:v>
                </c:pt>
                <c:pt idx="138">
                  <c:v>7.9576139891582923E-2</c:v>
                </c:pt>
                <c:pt idx="139">
                  <c:v>7.9434042311276862E-2</c:v>
                </c:pt>
                <c:pt idx="140">
                  <c:v>7.9425951659308977E-2</c:v>
                </c:pt>
                <c:pt idx="141">
                  <c:v>7.9201250459171577E-2</c:v>
                </c:pt>
                <c:pt idx="142">
                  <c:v>7.9209283655528887E-2</c:v>
                </c:pt>
                <c:pt idx="143">
                  <c:v>7.9221774675940299E-2</c:v>
                </c:pt>
                <c:pt idx="144">
                  <c:v>7.9263504709113586E-2</c:v>
                </c:pt>
                <c:pt idx="145">
                  <c:v>7.9288216554581112E-2</c:v>
                </c:pt>
                <c:pt idx="146">
                  <c:v>7.9342010240706695E-2</c:v>
                </c:pt>
                <c:pt idx="147">
                  <c:v>7.937681236161849E-2</c:v>
                </c:pt>
                <c:pt idx="148">
                  <c:v>7.9230625839836047E-2</c:v>
                </c:pt>
                <c:pt idx="149">
                  <c:v>7.9254202239620847E-2</c:v>
                </c:pt>
                <c:pt idx="150">
                  <c:v>7.9405723633075326E-2</c:v>
                </c:pt>
                <c:pt idx="151">
                  <c:v>7.9350287917176465E-2</c:v>
                </c:pt>
                <c:pt idx="152">
                  <c:v>7.9378173798788143E-2</c:v>
                </c:pt>
                <c:pt idx="153">
                  <c:v>7.9391679508810861E-2</c:v>
                </c:pt>
                <c:pt idx="154">
                  <c:v>7.9201943754854218E-2</c:v>
                </c:pt>
                <c:pt idx="155">
                  <c:v>7.9068454124125331E-2</c:v>
                </c:pt>
                <c:pt idx="156">
                  <c:v>7.9074180005996891E-2</c:v>
                </c:pt>
                <c:pt idx="157">
                  <c:v>7.896570546924335E-2</c:v>
                </c:pt>
                <c:pt idx="158">
                  <c:v>7.9017614427681529E-2</c:v>
                </c:pt>
                <c:pt idx="159">
                  <c:v>7.9111167049302211E-2</c:v>
                </c:pt>
                <c:pt idx="160">
                  <c:v>7.9013715339433049E-2</c:v>
                </c:pt>
                <c:pt idx="161">
                  <c:v>7.8932370496484716E-2</c:v>
                </c:pt>
                <c:pt idx="162">
                  <c:v>7.8829603304897036E-2</c:v>
                </c:pt>
                <c:pt idx="163">
                  <c:v>7.8728398263476454E-2</c:v>
                </c:pt>
                <c:pt idx="164">
                  <c:v>7.8717861025141944E-2</c:v>
                </c:pt>
                <c:pt idx="165">
                  <c:v>7.8910382767388959E-2</c:v>
                </c:pt>
                <c:pt idx="166">
                  <c:v>7.904498363015855E-2</c:v>
                </c:pt>
                <c:pt idx="167">
                  <c:v>7.8858711450035202E-2</c:v>
                </c:pt>
                <c:pt idx="168">
                  <c:v>7.8702404735033302E-2</c:v>
                </c:pt>
                <c:pt idx="169">
                  <c:v>7.8700180723289895E-2</c:v>
                </c:pt>
                <c:pt idx="170">
                  <c:v>7.8765825733269373E-2</c:v>
                </c:pt>
                <c:pt idx="171">
                  <c:v>7.8809824890133884E-2</c:v>
                </c:pt>
                <c:pt idx="172">
                  <c:v>7.8897941203363436E-2</c:v>
                </c:pt>
                <c:pt idx="173">
                  <c:v>7.8762115464564131E-2</c:v>
                </c:pt>
                <c:pt idx="174">
                  <c:v>7.8791894896350231E-2</c:v>
                </c:pt>
                <c:pt idx="175">
                  <c:v>7.8726461425819086E-2</c:v>
                </c:pt>
                <c:pt idx="176">
                  <c:v>7.8886848135575172E-2</c:v>
                </c:pt>
                <c:pt idx="177">
                  <c:v>7.8818236979743855E-2</c:v>
                </c:pt>
                <c:pt idx="178">
                  <c:v>7.8964287337556407E-2</c:v>
                </c:pt>
                <c:pt idx="179">
                  <c:v>7.9133885813772051E-2</c:v>
                </c:pt>
                <c:pt idx="180">
                  <c:v>7.9160216172989101E-2</c:v>
                </c:pt>
                <c:pt idx="181">
                  <c:v>7.9197357864342316E-2</c:v>
                </c:pt>
                <c:pt idx="182">
                  <c:v>7.9095763725796908E-2</c:v>
                </c:pt>
                <c:pt idx="183">
                  <c:v>7.9069342847475937E-2</c:v>
                </c:pt>
                <c:pt idx="184">
                  <c:v>7.9098767891211424E-2</c:v>
                </c:pt>
                <c:pt idx="185">
                  <c:v>7.9150474922628528E-2</c:v>
                </c:pt>
                <c:pt idx="186">
                  <c:v>7.9128644638704587E-2</c:v>
                </c:pt>
                <c:pt idx="187">
                  <c:v>7.9195940581006707E-2</c:v>
                </c:pt>
                <c:pt idx="188">
                  <c:v>7.9124732520618649E-2</c:v>
                </c:pt>
                <c:pt idx="189">
                  <c:v>7.9216370161347333E-2</c:v>
                </c:pt>
                <c:pt idx="190">
                  <c:v>7.9213412640316977E-2</c:v>
                </c:pt>
                <c:pt idx="191">
                  <c:v>7.9165969964579072E-2</c:v>
                </c:pt>
                <c:pt idx="192">
                  <c:v>7.9017633230309289E-2</c:v>
                </c:pt>
                <c:pt idx="193">
                  <c:v>7.9050097933726027E-2</c:v>
                </c:pt>
                <c:pt idx="194">
                  <c:v>7.9203389527236351E-2</c:v>
                </c:pt>
                <c:pt idx="195">
                  <c:v>7.9004551728022662E-2</c:v>
                </c:pt>
                <c:pt idx="196">
                  <c:v>7.8894604680056657E-2</c:v>
                </c:pt>
                <c:pt idx="197">
                  <c:v>7.8984403990853033E-2</c:v>
                </c:pt>
                <c:pt idx="198">
                  <c:v>7.8988702412638223E-2</c:v>
                </c:pt>
                <c:pt idx="199">
                  <c:v>7.8919588147290012E-2</c:v>
                </c:pt>
                <c:pt idx="200">
                  <c:v>7.8870641145190379E-2</c:v>
                </c:pt>
                <c:pt idx="201">
                  <c:v>7.8680767848580538E-2</c:v>
                </c:pt>
                <c:pt idx="202">
                  <c:v>7.8748612605816337E-2</c:v>
                </c:pt>
                <c:pt idx="203">
                  <c:v>7.8695238718934635E-2</c:v>
                </c:pt>
                <c:pt idx="204">
                  <c:v>7.8648642751939585E-2</c:v>
                </c:pt>
                <c:pt idx="205">
                  <c:v>7.872809706682439E-2</c:v>
                </c:pt>
                <c:pt idx="206">
                  <c:v>7.874554149669398E-2</c:v>
                </c:pt>
                <c:pt idx="207">
                  <c:v>7.8735457794317773E-2</c:v>
                </c:pt>
                <c:pt idx="208">
                  <c:v>7.8806131072865243E-2</c:v>
                </c:pt>
                <c:pt idx="209">
                  <c:v>7.8826254047582603E-2</c:v>
                </c:pt>
                <c:pt idx="210">
                  <c:v>7.8677982332037474E-2</c:v>
                </c:pt>
                <c:pt idx="211">
                  <c:v>7.8640566835632503E-2</c:v>
                </c:pt>
                <c:pt idx="212">
                  <c:v>7.845806604818642E-2</c:v>
                </c:pt>
                <c:pt idx="213">
                  <c:v>7.8489522800082395E-2</c:v>
                </c:pt>
                <c:pt idx="214">
                  <c:v>7.8446721114510939E-2</c:v>
                </c:pt>
                <c:pt idx="215">
                  <c:v>7.8491681346468958E-2</c:v>
                </c:pt>
                <c:pt idx="216">
                  <c:v>7.8471574408587236E-2</c:v>
                </c:pt>
                <c:pt idx="217">
                  <c:v>7.8405258300482839E-2</c:v>
                </c:pt>
                <c:pt idx="218">
                  <c:v>7.8331795703094731E-2</c:v>
                </c:pt>
                <c:pt idx="219">
                  <c:v>7.8360018816015356E-2</c:v>
                </c:pt>
                <c:pt idx="220">
                  <c:v>7.8210166627022834E-2</c:v>
                </c:pt>
                <c:pt idx="221">
                  <c:v>7.8131217250111101E-2</c:v>
                </c:pt>
                <c:pt idx="222">
                  <c:v>7.8243201511738372E-2</c:v>
                </c:pt>
                <c:pt idx="223">
                  <c:v>7.8241728618155149E-2</c:v>
                </c:pt>
                <c:pt idx="224">
                  <c:v>7.8352866251163347E-2</c:v>
                </c:pt>
                <c:pt idx="225">
                  <c:v>7.8269196727324269E-2</c:v>
                </c:pt>
                <c:pt idx="226">
                  <c:v>7.82484398065902E-2</c:v>
                </c:pt>
                <c:pt idx="227">
                  <c:v>7.8373919638334136E-2</c:v>
                </c:pt>
                <c:pt idx="228">
                  <c:v>7.8386451976936028E-2</c:v>
                </c:pt>
                <c:pt idx="229">
                  <c:v>7.8450845747402992E-2</c:v>
                </c:pt>
                <c:pt idx="230">
                  <c:v>7.8420277046665335E-2</c:v>
                </c:pt>
                <c:pt idx="231">
                  <c:v>7.8558385699101493E-2</c:v>
                </c:pt>
                <c:pt idx="232">
                  <c:v>7.8591198237647666E-2</c:v>
                </c:pt>
                <c:pt idx="233">
                  <c:v>7.8601276567664968E-2</c:v>
                </c:pt>
                <c:pt idx="234">
                  <c:v>7.8458109506594723E-2</c:v>
                </c:pt>
                <c:pt idx="235">
                  <c:v>7.8404623888866876E-2</c:v>
                </c:pt>
                <c:pt idx="236">
                  <c:v>7.8441120934386876E-2</c:v>
                </c:pt>
                <c:pt idx="237">
                  <c:v>7.8668978032555098E-2</c:v>
                </c:pt>
                <c:pt idx="238">
                  <c:v>7.8702060662617562E-2</c:v>
                </c:pt>
                <c:pt idx="239">
                  <c:v>7.8725774622059499E-2</c:v>
                </c:pt>
                <c:pt idx="240">
                  <c:v>7.864691802565367E-2</c:v>
                </c:pt>
                <c:pt idx="241">
                  <c:v>7.8686434909764097E-2</c:v>
                </c:pt>
                <c:pt idx="242">
                  <c:v>7.8664961732231434E-2</c:v>
                </c:pt>
                <c:pt idx="243">
                  <c:v>7.8572154019883017E-2</c:v>
                </c:pt>
                <c:pt idx="244">
                  <c:v>7.8677126456757882E-2</c:v>
                </c:pt>
                <c:pt idx="245">
                  <c:v>7.8766176860931861E-2</c:v>
                </c:pt>
                <c:pt idx="246">
                  <c:v>7.8831440642695871E-2</c:v>
                </c:pt>
                <c:pt idx="247">
                  <c:v>7.8964592020454694E-2</c:v>
                </c:pt>
                <c:pt idx="248">
                  <c:v>7.8999175481189551E-2</c:v>
                </c:pt>
                <c:pt idx="249">
                  <c:v>7.903680027379964E-2</c:v>
                </c:pt>
                <c:pt idx="250">
                  <c:v>7.9158915891406653E-2</c:v>
                </c:pt>
                <c:pt idx="251">
                  <c:v>7.9077704200129051E-2</c:v>
                </c:pt>
                <c:pt idx="252">
                  <c:v>7.9141948644564059E-2</c:v>
                </c:pt>
                <c:pt idx="253">
                  <c:v>7.9324502757917942E-2</c:v>
                </c:pt>
                <c:pt idx="254">
                  <c:v>7.9318792066077712E-2</c:v>
                </c:pt>
                <c:pt idx="255">
                  <c:v>7.9395325969739139E-2</c:v>
                </c:pt>
                <c:pt idx="256">
                  <c:v>7.95992659706794E-2</c:v>
                </c:pt>
                <c:pt idx="257">
                  <c:v>7.9566635577964381E-2</c:v>
                </c:pt>
                <c:pt idx="258">
                  <c:v>7.9608406002234233E-2</c:v>
                </c:pt>
                <c:pt idx="259">
                  <c:v>7.962101057711729E-2</c:v>
                </c:pt>
                <c:pt idx="260">
                  <c:v>7.9673064616383474E-2</c:v>
                </c:pt>
                <c:pt idx="261">
                  <c:v>7.970305299889896E-2</c:v>
                </c:pt>
                <c:pt idx="262">
                  <c:v>7.9701521184162738E-2</c:v>
                </c:pt>
                <c:pt idx="263">
                  <c:v>7.9783169833777118E-2</c:v>
                </c:pt>
                <c:pt idx="264">
                  <c:v>7.9832413283615664E-2</c:v>
                </c:pt>
                <c:pt idx="265">
                  <c:v>7.9868000375875103E-2</c:v>
                </c:pt>
                <c:pt idx="266">
                  <c:v>7.9889147913517145E-2</c:v>
                </c:pt>
                <c:pt idx="267">
                  <c:v>7.9834533158325727E-2</c:v>
                </c:pt>
                <c:pt idx="268">
                  <c:v>7.9704669036088277E-2</c:v>
                </c:pt>
                <c:pt idx="269">
                  <c:v>7.9608373233009427E-2</c:v>
                </c:pt>
                <c:pt idx="270">
                  <c:v>7.9727948739286597E-2</c:v>
                </c:pt>
                <c:pt idx="271">
                  <c:v>7.9659390594401011E-2</c:v>
                </c:pt>
                <c:pt idx="272">
                  <c:v>7.9630777208624104E-2</c:v>
                </c:pt>
                <c:pt idx="273">
                  <c:v>7.9655043317348379E-2</c:v>
                </c:pt>
                <c:pt idx="274">
                  <c:v>7.9718076721231171E-2</c:v>
                </c:pt>
                <c:pt idx="275">
                  <c:v>7.9684377203798881E-2</c:v>
                </c:pt>
                <c:pt idx="276">
                  <c:v>7.9637547322139124E-2</c:v>
                </c:pt>
                <c:pt idx="277">
                  <c:v>7.9676672312504179E-2</c:v>
                </c:pt>
                <c:pt idx="278">
                  <c:v>7.9568755763087876E-2</c:v>
                </c:pt>
                <c:pt idx="279">
                  <c:v>7.9477249235442915E-2</c:v>
                </c:pt>
                <c:pt idx="280">
                  <c:v>7.95080996594804E-2</c:v>
                </c:pt>
                <c:pt idx="281">
                  <c:v>7.9586175766146128E-2</c:v>
                </c:pt>
                <c:pt idx="282">
                  <c:v>7.9582982755537032E-2</c:v>
                </c:pt>
                <c:pt idx="283">
                  <c:v>7.944418973646851E-2</c:v>
                </c:pt>
                <c:pt idx="284">
                  <c:v>7.9445371985071511E-2</c:v>
                </c:pt>
                <c:pt idx="285">
                  <c:v>7.9531999208276166E-2</c:v>
                </c:pt>
                <c:pt idx="286">
                  <c:v>7.9494993878318237E-2</c:v>
                </c:pt>
                <c:pt idx="287">
                  <c:v>7.9501828099282454E-2</c:v>
                </c:pt>
                <c:pt idx="288">
                  <c:v>7.960274074462366E-2</c:v>
                </c:pt>
                <c:pt idx="289">
                  <c:v>7.962705059722848E-2</c:v>
                </c:pt>
                <c:pt idx="290">
                  <c:v>7.9551796467098576E-2</c:v>
                </c:pt>
                <c:pt idx="291">
                  <c:v>7.9579131707122483E-2</c:v>
                </c:pt>
                <c:pt idx="292">
                  <c:v>7.9576211211624587E-2</c:v>
                </c:pt>
                <c:pt idx="293">
                  <c:v>7.9631987572003904E-2</c:v>
                </c:pt>
                <c:pt idx="294">
                  <c:v>7.9797109856866097E-2</c:v>
                </c:pt>
                <c:pt idx="295">
                  <c:v>7.9821980806574849E-2</c:v>
                </c:pt>
                <c:pt idx="296">
                  <c:v>7.9829991610936568E-2</c:v>
                </c:pt>
                <c:pt idx="297">
                  <c:v>7.9866561476405529E-2</c:v>
                </c:pt>
                <c:pt idx="298">
                  <c:v>7.9834519629454689E-2</c:v>
                </c:pt>
                <c:pt idx="299">
                  <c:v>7.9759606292734542E-2</c:v>
                </c:pt>
                <c:pt idx="300">
                  <c:v>7.9759107686149175E-2</c:v>
                </c:pt>
                <c:pt idx="301">
                  <c:v>7.9697443006902596E-2</c:v>
                </c:pt>
                <c:pt idx="302">
                  <c:v>7.9769921820929068E-2</c:v>
                </c:pt>
                <c:pt idx="303">
                  <c:v>7.9802934565956704E-2</c:v>
                </c:pt>
                <c:pt idx="304">
                  <c:v>7.9776202509028143E-2</c:v>
                </c:pt>
                <c:pt idx="305">
                  <c:v>7.9753650002505921E-2</c:v>
                </c:pt>
                <c:pt idx="306">
                  <c:v>7.9646095955906659E-2</c:v>
                </c:pt>
                <c:pt idx="307">
                  <c:v>7.9733058784926814E-2</c:v>
                </c:pt>
                <c:pt idx="308">
                  <c:v>7.9754705406633555E-2</c:v>
                </c:pt>
                <c:pt idx="309">
                  <c:v>7.977880082425437E-2</c:v>
                </c:pt>
                <c:pt idx="310">
                  <c:v>7.9833736210652914E-2</c:v>
                </c:pt>
                <c:pt idx="311">
                  <c:v>7.9758585935359533E-2</c:v>
                </c:pt>
                <c:pt idx="312">
                  <c:v>7.968100076477265E-2</c:v>
                </c:pt>
                <c:pt idx="313">
                  <c:v>7.9611399504742886E-2</c:v>
                </c:pt>
                <c:pt idx="314">
                  <c:v>7.953942468853302E-2</c:v>
                </c:pt>
                <c:pt idx="315">
                  <c:v>7.9474634416885903E-2</c:v>
                </c:pt>
                <c:pt idx="316">
                  <c:v>7.9464508714380322E-2</c:v>
                </c:pt>
                <c:pt idx="317">
                  <c:v>7.942116442580513E-2</c:v>
                </c:pt>
                <c:pt idx="318">
                  <c:v>7.9591039770917693E-2</c:v>
                </c:pt>
                <c:pt idx="319">
                  <c:v>7.977173890019662E-2</c:v>
                </c:pt>
                <c:pt idx="320">
                  <c:v>7.972929841498419E-2</c:v>
                </c:pt>
                <c:pt idx="321">
                  <c:v>7.9834929393115872E-2</c:v>
                </c:pt>
                <c:pt idx="322">
                  <c:v>7.9730013027581606E-2</c:v>
                </c:pt>
                <c:pt idx="323">
                  <c:v>7.9878258527863705E-2</c:v>
                </c:pt>
                <c:pt idx="324">
                  <c:v>7.9827673278057759E-2</c:v>
                </c:pt>
                <c:pt idx="325">
                  <c:v>7.9820855572772909E-2</c:v>
                </c:pt>
                <c:pt idx="326">
                  <c:v>7.9741791169217618E-2</c:v>
                </c:pt>
                <c:pt idx="327">
                  <c:v>7.9908006756355815E-2</c:v>
                </c:pt>
                <c:pt idx="328">
                  <c:v>7.9782917587645191E-2</c:v>
                </c:pt>
                <c:pt idx="329">
                  <c:v>7.9841970571499887E-2</c:v>
                </c:pt>
                <c:pt idx="330">
                  <c:v>7.9714310721582582E-2</c:v>
                </c:pt>
                <c:pt idx="331">
                  <c:v>7.969274384785674E-2</c:v>
                </c:pt>
                <c:pt idx="332">
                  <c:v>7.963567020953688E-2</c:v>
                </c:pt>
                <c:pt idx="333">
                  <c:v>7.946230875659395E-2</c:v>
                </c:pt>
                <c:pt idx="334">
                  <c:v>7.9526992627914891E-2</c:v>
                </c:pt>
                <c:pt idx="335">
                  <c:v>7.9458551589029605E-2</c:v>
                </c:pt>
                <c:pt idx="336">
                  <c:v>7.9419784784663133E-2</c:v>
                </c:pt>
                <c:pt idx="337">
                  <c:v>7.9340247064908637E-2</c:v>
                </c:pt>
                <c:pt idx="338">
                  <c:v>7.9222611753575381E-2</c:v>
                </c:pt>
                <c:pt idx="339">
                  <c:v>7.9489397556505428E-2</c:v>
                </c:pt>
                <c:pt idx="340">
                  <c:v>7.9340646002487747E-2</c:v>
                </c:pt>
                <c:pt idx="341">
                  <c:v>7.9367083181525189E-2</c:v>
                </c:pt>
                <c:pt idx="342">
                  <c:v>7.9344236597955767E-2</c:v>
                </c:pt>
                <c:pt idx="343">
                  <c:v>7.9396811441411724E-2</c:v>
                </c:pt>
                <c:pt idx="344">
                  <c:v>7.94485830746227E-2</c:v>
                </c:pt>
                <c:pt idx="345">
                  <c:v>7.9443031735949104E-2</c:v>
                </c:pt>
                <c:pt idx="346">
                  <c:v>7.9530028499445765E-2</c:v>
                </c:pt>
                <c:pt idx="347">
                  <c:v>7.9575678251076878E-2</c:v>
                </c:pt>
                <c:pt idx="348">
                  <c:v>7.9739760815580013E-2</c:v>
                </c:pt>
                <c:pt idx="349">
                  <c:v>7.963811838333891E-2</c:v>
                </c:pt>
                <c:pt idx="350">
                  <c:v>7.9520309719673665E-2</c:v>
                </c:pt>
                <c:pt idx="351">
                  <c:v>7.9641109256319648E-2</c:v>
                </c:pt>
                <c:pt idx="352">
                  <c:v>7.9704468301656381E-2</c:v>
                </c:pt>
                <c:pt idx="353">
                  <c:v>7.9565169447797734E-2</c:v>
                </c:pt>
                <c:pt idx="354">
                  <c:v>7.948049016259226E-2</c:v>
                </c:pt>
                <c:pt idx="355">
                  <c:v>7.9480134446530307E-2</c:v>
                </c:pt>
                <c:pt idx="356">
                  <c:v>7.9385766607667885E-2</c:v>
                </c:pt>
                <c:pt idx="357">
                  <c:v>7.9373146310664E-2</c:v>
                </c:pt>
                <c:pt idx="358">
                  <c:v>7.9430518211718065E-2</c:v>
                </c:pt>
                <c:pt idx="359">
                  <c:v>7.9456618771075349E-2</c:v>
                </c:pt>
                <c:pt idx="360">
                  <c:v>7.9489362243015643E-2</c:v>
                </c:pt>
                <c:pt idx="361">
                  <c:v>7.9385994810511923E-2</c:v>
                </c:pt>
                <c:pt idx="362">
                  <c:v>7.948533060867731E-2</c:v>
                </c:pt>
                <c:pt idx="363">
                  <c:v>7.9452180149686344E-2</c:v>
                </c:pt>
                <c:pt idx="364">
                  <c:v>7.9337687769196918E-2</c:v>
                </c:pt>
                <c:pt idx="365">
                  <c:v>7.9353465434784415E-2</c:v>
                </c:pt>
                <c:pt idx="366">
                  <c:v>7.9326076770788928E-2</c:v>
                </c:pt>
                <c:pt idx="367">
                  <c:v>7.9271346734908182E-2</c:v>
                </c:pt>
                <c:pt idx="368">
                  <c:v>7.9282720845170171E-2</c:v>
                </c:pt>
                <c:pt idx="369">
                  <c:v>7.9175697664440298E-2</c:v>
                </c:pt>
                <c:pt idx="370">
                  <c:v>7.9252127330335001E-2</c:v>
                </c:pt>
                <c:pt idx="371">
                  <c:v>7.9309805218926638E-2</c:v>
                </c:pt>
                <c:pt idx="372">
                  <c:v>7.9418588986695654E-2</c:v>
                </c:pt>
                <c:pt idx="373">
                  <c:v>7.9485969286058444E-2</c:v>
                </c:pt>
                <c:pt idx="374">
                  <c:v>7.9458018104382966E-2</c:v>
                </c:pt>
                <c:pt idx="375">
                  <c:v>7.9432526745826654E-2</c:v>
                </c:pt>
                <c:pt idx="376">
                  <c:v>7.9423896483977574E-2</c:v>
                </c:pt>
                <c:pt idx="377">
                  <c:v>7.9472250183429058E-2</c:v>
                </c:pt>
                <c:pt idx="378">
                  <c:v>7.9478696589488695E-2</c:v>
                </c:pt>
                <c:pt idx="379">
                  <c:v>7.9542003891425295E-2</c:v>
                </c:pt>
                <c:pt idx="380">
                  <c:v>7.9496803151790141E-2</c:v>
                </c:pt>
                <c:pt idx="381">
                  <c:v>7.9538562604554969E-2</c:v>
                </c:pt>
                <c:pt idx="382">
                  <c:v>7.976380957463837E-2</c:v>
                </c:pt>
                <c:pt idx="383">
                  <c:v>7.9704457504809659E-2</c:v>
                </c:pt>
                <c:pt idx="384">
                  <c:v>7.9684274136685662E-2</c:v>
                </c:pt>
                <c:pt idx="385">
                  <c:v>7.9718574018282196E-2</c:v>
                </c:pt>
                <c:pt idx="386">
                  <c:v>7.9781742237726119E-2</c:v>
                </c:pt>
                <c:pt idx="387">
                  <c:v>7.9754289363921399E-2</c:v>
                </c:pt>
                <c:pt idx="388">
                  <c:v>7.9570720735957973E-2</c:v>
                </c:pt>
                <c:pt idx="389">
                  <c:v>7.9580862760769894E-2</c:v>
                </c:pt>
                <c:pt idx="390">
                  <c:v>7.9584578289314811E-2</c:v>
                </c:pt>
                <c:pt idx="391">
                  <c:v>7.957608582438809E-2</c:v>
                </c:pt>
                <c:pt idx="392">
                  <c:v>7.9552983418435086E-2</c:v>
                </c:pt>
                <c:pt idx="393">
                  <c:v>7.9384359070939187E-2</c:v>
                </c:pt>
                <c:pt idx="394">
                  <c:v>7.9384189164457997E-2</c:v>
                </c:pt>
                <c:pt idx="395">
                  <c:v>7.9269568827488007E-2</c:v>
                </c:pt>
                <c:pt idx="396">
                  <c:v>7.9203537824072426E-2</c:v>
                </c:pt>
                <c:pt idx="397">
                  <c:v>7.9243386815047487E-2</c:v>
                </c:pt>
                <c:pt idx="398">
                  <c:v>7.9143937347393029E-2</c:v>
                </c:pt>
                <c:pt idx="399">
                  <c:v>7.9186221880544055E-2</c:v>
                </c:pt>
                <c:pt idx="400">
                  <c:v>7.9125794336427802E-2</c:v>
                </c:pt>
                <c:pt idx="401">
                  <c:v>7.9229589696237168E-2</c:v>
                </c:pt>
                <c:pt idx="402">
                  <c:v>7.9333954566990869E-2</c:v>
                </c:pt>
                <c:pt idx="403">
                  <c:v>7.9381695972823824E-2</c:v>
                </c:pt>
                <c:pt idx="404">
                  <c:v>7.9480151518742798E-2</c:v>
                </c:pt>
                <c:pt idx="405">
                  <c:v>7.9423666428733053E-2</c:v>
                </c:pt>
                <c:pt idx="406">
                  <c:v>7.9438953628755415E-2</c:v>
                </c:pt>
                <c:pt idx="407">
                  <c:v>7.9374606944988657E-2</c:v>
                </c:pt>
                <c:pt idx="408">
                  <c:v>7.9462513145237196E-2</c:v>
                </c:pt>
                <c:pt idx="409">
                  <c:v>7.9437583722909072E-2</c:v>
                </c:pt>
                <c:pt idx="410">
                  <c:v>7.9404942651218696E-2</c:v>
                </c:pt>
                <c:pt idx="411">
                  <c:v>7.9340683332355333E-2</c:v>
                </c:pt>
                <c:pt idx="412">
                  <c:v>7.9392693113896351E-2</c:v>
                </c:pt>
                <c:pt idx="413">
                  <c:v>7.9269062024510312E-2</c:v>
                </c:pt>
                <c:pt idx="414">
                  <c:v>7.9383896808565307E-2</c:v>
                </c:pt>
                <c:pt idx="415">
                  <c:v>7.9356943816086198E-2</c:v>
                </c:pt>
                <c:pt idx="416">
                  <c:v>7.9400116668192411E-2</c:v>
                </c:pt>
                <c:pt idx="417">
                  <c:v>7.9108542802894408E-2</c:v>
                </c:pt>
                <c:pt idx="418">
                  <c:v>7.9143595374884204E-2</c:v>
                </c:pt>
                <c:pt idx="419">
                  <c:v>7.9066802995824512E-2</c:v>
                </c:pt>
                <c:pt idx="420">
                  <c:v>7.9114635158040028E-2</c:v>
                </c:pt>
                <c:pt idx="421">
                  <c:v>7.9005194654598473E-2</c:v>
                </c:pt>
                <c:pt idx="422">
                  <c:v>7.9040656270510268E-2</c:v>
                </c:pt>
                <c:pt idx="423">
                  <c:v>7.9081963331695884E-2</c:v>
                </c:pt>
                <c:pt idx="424">
                  <c:v>7.8971842971771192E-2</c:v>
                </c:pt>
                <c:pt idx="425">
                  <c:v>7.9013832913661708E-2</c:v>
                </c:pt>
                <c:pt idx="426">
                  <c:v>7.9120081641918832E-2</c:v>
                </c:pt>
                <c:pt idx="427">
                  <c:v>7.9040553894386467E-2</c:v>
                </c:pt>
                <c:pt idx="428">
                  <c:v>7.906907045559354E-2</c:v>
                </c:pt>
                <c:pt idx="429">
                  <c:v>7.9108099703072754E-2</c:v>
                </c:pt>
                <c:pt idx="430">
                  <c:v>7.9035766810774052E-2</c:v>
                </c:pt>
                <c:pt idx="431">
                  <c:v>7.8976583602262895E-2</c:v>
                </c:pt>
                <c:pt idx="432">
                  <c:v>7.894538918619344E-2</c:v>
                </c:pt>
                <c:pt idx="433">
                  <c:v>7.8939103009335099E-2</c:v>
                </c:pt>
                <c:pt idx="434">
                  <c:v>7.8938361813761543E-2</c:v>
                </c:pt>
                <c:pt idx="435">
                  <c:v>7.8867296586212401E-2</c:v>
                </c:pt>
                <c:pt idx="436">
                  <c:v>7.8815299240201697E-2</c:v>
                </c:pt>
                <c:pt idx="437">
                  <c:v>7.8799100403920685E-2</c:v>
                </c:pt>
                <c:pt idx="438">
                  <c:v>7.8812732628961379E-2</c:v>
                </c:pt>
                <c:pt idx="439">
                  <c:v>7.8867236528204071E-2</c:v>
                </c:pt>
                <c:pt idx="440">
                  <c:v>7.8901401242305449E-2</c:v>
                </c:pt>
                <c:pt idx="441">
                  <c:v>7.9003646723387597E-2</c:v>
                </c:pt>
                <c:pt idx="442">
                  <c:v>7.9017510538367794E-2</c:v>
                </c:pt>
                <c:pt idx="443">
                  <c:v>7.9019141506073295E-2</c:v>
                </c:pt>
                <c:pt idx="444">
                  <c:v>7.8969733708310841E-2</c:v>
                </c:pt>
                <c:pt idx="445">
                  <c:v>7.8971318832407336E-2</c:v>
                </c:pt>
                <c:pt idx="446">
                  <c:v>7.8987174255740963E-2</c:v>
                </c:pt>
                <c:pt idx="447">
                  <c:v>7.8987197408367321E-2</c:v>
                </c:pt>
                <c:pt idx="448">
                  <c:v>7.9008050075139682E-2</c:v>
                </c:pt>
                <c:pt idx="449">
                  <c:v>7.8915397250048452E-2</c:v>
                </c:pt>
                <c:pt idx="450">
                  <c:v>7.8901280022437029E-2</c:v>
                </c:pt>
                <c:pt idx="451">
                  <c:v>7.8777804875915167E-2</c:v>
                </c:pt>
                <c:pt idx="452">
                  <c:v>7.873087312246442E-2</c:v>
                </c:pt>
                <c:pt idx="453">
                  <c:v>7.8681305032034632E-2</c:v>
                </c:pt>
                <c:pt idx="454">
                  <c:v>7.8673967489740634E-2</c:v>
                </c:pt>
                <c:pt idx="455">
                  <c:v>7.8695739393297229E-2</c:v>
                </c:pt>
                <c:pt idx="456">
                  <c:v>7.8749433143047026E-2</c:v>
                </c:pt>
                <c:pt idx="457">
                  <c:v>7.8720454284024327E-2</c:v>
                </c:pt>
                <c:pt idx="458">
                  <c:v>7.8748109192736948E-2</c:v>
                </c:pt>
                <c:pt idx="459">
                  <c:v>7.8585372822138108E-2</c:v>
                </c:pt>
                <c:pt idx="460">
                  <c:v>7.856801791780739E-2</c:v>
                </c:pt>
                <c:pt idx="461">
                  <c:v>7.861197295447217E-2</c:v>
                </c:pt>
                <c:pt idx="462">
                  <c:v>7.8739509217938264E-2</c:v>
                </c:pt>
                <c:pt idx="463">
                  <c:v>7.8845110569045571E-2</c:v>
                </c:pt>
                <c:pt idx="464">
                  <c:v>7.8917128005102644E-2</c:v>
                </c:pt>
                <c:pt idx="465">
                  <c:v>7.8970278566441052E-2</c:v>
                </c:pt>
                <c:pt idx="466">
                  <c:v>7.9109009399159699E-2</c:v>
                </c:pt>
                <c:pt idx="467">
                  <c:v>7.9152403370454927E-2</c:v>
                </c:pt>
                <c:pt idx="468">
                  <c:v>7.9255783687795928E-2</c:v>
                </c:pt>
                <c:pt idx="469">
                  <c:v>7.9348868475009965E-2</c:v>
                </c:pt>
                <c:pt idx="470">
                  <c:v>7.9324767392068951E-2</c:v>
                </c:pt>
                <c:pt idx="471">
                  <c:v>7.9137129048104396E-2</c:v>
                </c:pt>
                <c:pt idx="472">
                  <c:v>7.9135275782356476E-2</c:v>
                </c:pt>
                <c:pt idx="473">
                  <c:v>7.9161098834777233E-2</c:v>
                </c:pt>
                <c:pt idx="474">
                  <c:v>7.9171408863390885E-2</c:v>
                </c:pt>
                <c:pt idx="475">
                  <c:v>7.9276206682736786E-2</c:v>
                </c:pt>
                <c:pt idx="476">
                  <c:v>7.9255263594203998E-2</c:v>
                </c:pt>
                <c:pt idx="477">
                  <c:v>7.9296861859931053E-2</c:v>
                </c:pt>
                <c:pt idx="478">
                  <c:v>7.934383491370782E-2</c:v>
                </c:pt>
                <c:pt idx="479">
                  <c:v>7.9411503634063005E-2</c:v>
                </c:pt>
                <c:pt idx="480">
                  <c:v>7.9535145139895208E-2</c:v>
                </c:pt>
                <c:pt idx="481">
                  <c:v>7.9562677581342875E-2</c:v>
                </c:pt>
                <c:pt idx="482">
                  <c:v>7.9566314957447495E-2</c:v>
                </c:pt>
                <c:pt idx="483">
                  <c:v>7.9555759669102916E-2</c:v>
                </c:pt>
                <c:pt idx="484">
                  <c:v>7.938534645115021E-2</c:v>
                </c:pt>
                <c:pt idx="485">
                  <c:v>7.9378973486819202E-2</c:v>
                </c:pt>
                <c:pt idx="486">
                  <c:v>7.9324752636871748E-2</c:v>
                </c:pt>
                <c:pt idx="487">
                  <c:v>7.9216900991939218E-2</c:v>
                </c:pt>
                <c:pt idx="488">
                  <c:v>7.9265169317119494E-2</c:v>
                </c:pt>
                <c:pt idx="489">
                  <c:v>7.9217435613629789E-2</c:v>
                </c:pt>
                <c:pt idx="490">
                  <c:v>7.9231549248695521E-2</c:v>
                </c:pt>
                <c:pt idx="491">
                  <c:v>7.9159428992221809E-2</c:v>
                </c:pt>
                <c:pt idx="492">
                  <c:v>7.9151268340139316E-2</c:v>
                </c:pt>
                <c:pt idx="493">
                  <c:v>7.9206594930870927E-2</c:v>
                </c:pt>
                <c:pt idx="494">
                  <c:v>7.9190125324009278E-2</c:v>
                </c:pt>
                <c:pt idx="495">
                  <c:v>7.9120567594308938E-2</c:v>
                </c:pt>
                <c:pt idx="496">
                  <c:v>7.9133474333941911E-2</c:v>
                </c:pt>
                <c:pt idx="497">
                  <c:v>7.9141446811918176E-2</c:v>
                </c:pt>
                <c:pt idx="498">
                  <c:v>7.9112750367451218E-2</c:v>
                </c:pt>
                <c:pt idx="499">
                  <c:v>7.9242150291364277E-2</c:v>
                </c:pt>
                <c:pt idx="500">
                  <c:v>7.9350279560497727E-2</c:v>
                </c:pt>
                <c:pt idx="501">
                  <c:v>7.9427555172835188E-2</c:v>
                </c:pt>
                <c:pt idx="502">
                  <c:v>7.9345132298613189E-2</c:v>
                </c:pt>
                <c:pt idx="503">
                  <c:v>7.9391261028100388E-2</c:v>
                </c:pt>
                <c:pt idx="504">
                  <c:v>7.9352683736331142E-2</c:v>
                </c:pt>
                <c:pt idx="505">
                  <c:v>7.9397690636889076E-2</c:v>
                </c:pt>
                <c:pt idx="506">
                  <c:v>7.9404528960461074E-2</c:v>
                </c:pt>
                <c:pt idx="507">
                  <c:v>7.9472283063082919E-2</c:v>
                </c:pt>
                <c:pt idx="508">
                  <c:v>7.9563860592061261E-2</c:v>
                </c:pt>
                <c:pt idx="509">
                  <c:v>7.9529142175240014E-2</c:v>
                </c:pt>
                <c:pt idx="510">
                  <c:v>7.9513496868311301E-2</c:v>
                </c:pt>
                <c:pt idx="511">
                  <c:v>7.9489569665401147E-2</c:v>
                </c:pt>
                <c:pt idx="512">
                  <c:v>7.9587763241990961E-2</c:v>
                </c:pt>
                <c:pt idx="513">
                  <c:v>7.9651091186224432E-2</c:v>
                </c:pt>
                <c:pt idx="514">
                  <c:v>7.9749334896817903E-2</c:v>
                </c:pt>
                <c:pt idx="515">
                  <c:v>7.969558048990226E-2</c:v>
                </c:pt>
                <c:pt idx="516">
                  <c:v>7.9845112503189972E-2</c:v>
                </c:pt>
                <c:pt idx="517">
                  <c:v>7.9975202820862276E-2</c:v>
                </c:pt>
                <c:pt idx="518">
                  <c:v>8.0016327239719687E-2</c:v>
                </c:pt>
                <c:pt idx="519">
                  <c:v>8.0028265026608397E-2</c:v>
                </c:pt>
                <c:pt idx="520">
                  <c:v>8.0080974068642563E-2</c:v>
                </c:pt>
                <c:pt idx="521">
                  <c:v>8.0166167954849085E-2</c:v>
                </c:pt>
                <c:pt idx="522">
                  <c:v>8.0140939384379814E-2</c:v>
                </c:pt>
                <c:pt idx="523">
                  <c:v>8.0164906433597111E-2</c:v>
                </c:pt>
                <c:pt idx="524">
                  <c:v>8.0254863935145346E-2</c:v>
                </c:pt>
                <c:pt idx="525">
                  <c:v>8.0239981836761134E-2</c:v>
                </c:pt>
                <c:pt idx="526">
                  <c:v>8.0193525590219097E-2</c:v>
                </c:pt>
                <c:pt idx="527">
                  <c:v>8.0258361916226442E-2</c:v>
                </c:pt>
                <c:pt idx="528">
                  <c:v>8.0344492301691162E-2</c:v>
                </c:pt>
                <c:pt idx="529">
                  <c:v>8.0301997160231384E-2</c:v>
                </c:pt>
                <c:pt idx="530">
                  <c:v>8.0355719768145581E-2</c:v>
                </c:pt>
                <c:pt idx="531">
                  <c:v>8.0338954735196422E-2</c:v>
                </c:pt>
                <c:pt idx="532">
                  <c:v>8.0452445183033711E-2</c:v>
                </c:pt>
                <c:pt idx="533">
                  <c:v>8.0387698565130269E-2</c:v>
                </c:pt>
                <c:pt idx="534">
                  <c:v>8.0298307612797645E-2</c:v>
                </c:pt>
                <c:pt idx="535">
                  <c:v>8.0333566923163763E-2</c:v>
                </c:pt>
                <c:pt idx="536">
                  <c:v>8.0343716938845011E-2</c:v>
                </c:pt>
                <c:pt idx="537">
                  <c:v>8.0491359296719703E-2</c:v>
                </c:pt>
                <c:pt idx="538">
                  <c:v>8.0526771475026779E-2</c:v>
                </c:pt>
                <c:pt idx="539">
                  <c:v>8.0625452486612903E-2</c:v>
                </c:pt>
                <c:pt idx="540">
                  <c:v>8.06305288041122E-2</c:v>
                </c:pt>
                <c:pt idx="541">
                  <c:v>8.0623102184071274E-2</c:v>
                </c:pt>
                <c:pt idx="542">
                  <c:v>8.0643548683584365E-2</c:v>
                </c:pt>
                <c:pt idx="543">
                  <c:v>8.0737286295387803E-2</c:v>
                </c:pt>
                <c:pt idx="544">
                  <c:v>8.0665854319171837E-2</c:v>
                </c:pt>
                <c:pt idx="545">
                  <c:v>8.0692956965791388E-2</c:v>
                </c:pt>
                <c:pt idx="546">
                  <c:v>8.0641055080734575E-2</c:v>
                </c:pt>
                <c:pt idx="547">
                  <c:v>8.0666530454799157E-2</c:v>
                </c:pt>
                <c:pt idx="548">
                  <c:v>8.0737490775371346E-2</c:v>
                </c:pt>
                <c:pt idx="549">
                  <c:v>8.0887070758581231E-2</c:v>
                </c:pt>
                <c:pt idx="550">
                  <c:v>8.0965224941753344E-2</c:v>
                </c:pt>
                <c:pt idx="551">
                  <c:v>8.1010813264348558E-2</c:v>
                </c:pt>
                <c:pt idx="552">
                  <c:v>8.105648253470478E-2</c:v>
                </c:pt>
                <c:pt idx="553">
                  <c:v>8.1099143744843477E-2</c:v>
                </c:pt>
                <c:pt idx="554">
                  <c:v>8.1166805126581421E-2</c:v>
                </c:pt>
                <c:pt idx="555">
                  <c:v>8.1255026321447876E-2</c:v>
                </c:pt>
                <c:pt idx="556">
                  <c:v>8.1322530712723301E-2</c:v>
                </c:pt>
                <c:pt idx="557">
                  <c:v>8.1326400616334726E-2</c:v>
                </c:pt>
                <c:pt idx="558">
                  <c:v>8.1461780569856534E-2</c:v>
                </c:pt>
                <c:pt idx="559">
                  <c:v>8.1409208025081156E-2</c:v>
                </c:pt>
                <c:pt idx="560">
                  <c:v>8.1377570561745022E-2</c:v>
                </c:pt>
                <c:pt idx="561">
                  <c:v>8.1375361147779324E-2</c:v>
                </c:pt>
                <c:pt idx="562">
                  <c:v>8.1349328494594891E-2</c:v>
                </c:pt>
                <c:pt idx="563">
                  <c:v>8.1337563347353717E-2</c:v>
                </c:pt>
                <c:pt idx="564">
                  <c:v>8.1250806410371759E-2</c:v>
                </c:pt>
                <c:pt idx="565">
                  <c:v>8.1153612184366897E-2</c:v>
                </c:pt>
                <c:pt idx="566">
                  <c:v>8.1219439656620124E-2</c:v>
                </c:pt>
                <c:pt idx="567">
                  <c:v>8.1224407283176592E-2</c:v>
                </c:pt>
                <c:pt idx="568">
                  <c:v>8.1117415010735161E-2</c:v>
                </c:pt>
                <c:pt idx="569">
                  <c:v>8.115624211712319E-2</c:v>
                </c:pt>
                <c:pt idx="570">
                  <c:v>8.1173434094968064E-2</c:v>
                </c:pt>
                <c:pt idx="571">
                  <c:v>8.1280643622344523E-2</c:v>
                </c:pt>
                <c:pt idx="572">
                  <c:v>8.1307327501098037E-2</c:v>
                </c:pt>
                <c:pt idx="573">
                  <c:v>8.1425238231626465E-2</c:v>
                </c:pt>
                <c:pt idx="574">
                  <c:v>8.1524251341631146E-2</c:v>
                </c:pt>
                <c:pt idx="575">
                  <c:v>8.1537743342880706E-2</c:v>
                </c:pt>
                <c:pt idx="576">
                  <c:v>8.1670766013322793E-2</c:v>
                </c:pt>
                <c:pt idx="577">
                  <c:v>8.1682287887830579E-2</c:v>
                </c:pt>
                <c:pt idx="578">
                  <c:v>8.1649999592781658E-2</c:v>
                </c:pt>
                <c:pt idx="579">
                  <c:v>8.1656765505648182E-2</c:v>
                </c:pt>
                <c:pt idx="580">
                  <c:v>8.1641767355462178E-2</c:v>
                </c:pt>
                <c:pt idx="581">
                  <c:v>8.1579023429402625E-2</c:v>
                </c:pt>
                <c:pt idx="582">
                  <c:v>8.1686152738942655E-2</c:v>
                </c:pt>
                <c:pt idx="583">
                  <c:v>8.1735677525093364E-2</c:v>
                </c:pt>
                <c:pt idx="584">
                  <c:v>8.1631513935094213E-2</c:v>
                </c:pt>
                <c:pt idx="585">
                  <c:v>8.1542921932608925E-2</c:v>
                </c:pt>
                <c:pt idx="586">
                  <c:v>8.1557782487417463E-2</c:v>
                </c:pt>
                <c:pt idx="587">
                  <c:v>8.1457514852482912E-2</c:v>
                </c:pt>
                <c:pt idx="588">
                  <c:v>8.1346516094074686E-2</c:v>
                </c:pt>
                <c:pt idx="589">
                  <c:v>8.1297365307217428E-2</c:v>
                </c:pt>
                <c:pt idx="590">
                  <c:v>8.1393858876927461E-2</c:v>
                </c:pt>
                <c:pt idx="591">
                  <c:v>8.1243022369748452E-2</c:v>
                </c:pt>
                <c:pt idx="592">
                  <c:v>8.1239624903240854E-2</c:v>
                </c:pt>
                <c:pt idx="593">
                  <c:v>8.1186506186552113E-2</c:v>
                </c:pt>
                <c:pt idx="594">
                  <c:v>8.1155303009615432E-2</c:v>
                </c:pt>
                <c:pt idx="595">
                  <c:v>8.1170454836093628E-2</c:v>
                </c:pt>
                <c:pt idx="596">
                  <c:v>8.1135784691455992E-2</c:v>
                </c:pt>
                <c:pt idx="597">
                  <c:v>8.1156537736585127E-2</c:v>
                </c:pt>
                <c:pt idx="598">
                  <c:v>8.1059144162553345E-2</c:v>
                </c:pt>
                <c:pt idx="599">
                  <c:v>8.1030304036911541E-2</c:v>
                </c:pt>
                <c:pt idx="600">
                  <c:v>8.1033924994561579E-2</c:v>
                </c:pt>
                <c:pt idx="601">
                  <c:v>8.1094881424875281E-2</c:v>
                </c:pt>
                <c:pt idx="602">
                  <c:v>8.1177407634301799E-2</c:v>
                </c:pt>
                <c:pt idx="603">
                  <c:v>8.1209632357431741E-2</c:v>
                </c:pt>
                <c:pt idx="604">
                  <c:v>8.1186273665948328E-2</c:v>
                </c:pt>
                <c:pt idx="605">
                  <c:v>8.1128312501434069E-2</c:v>
                </c:pt>
                <c:pt idx="606">
                  <c:v>8.1116336269070999E-2</c:v>
                </c:pt>
                <c:pt idx="607">
                  <c:v>8.0964946634713111E-2</c:v>
                </c:pt>
                <c:pt idx="608">
                  <c:v>8.1021378490412577E-2</c:v>
                </c:pt>
                <c:pt idx="609">
                  <c:v>8.1013744599987933E-2</c:v>
                </c:pt>
                <c:pt idx="610">
                  <c:v>8.0946425514523523E-2</c:v>
                </c:pt>
                <c:pt idx="611">
                  <c:v>8.1024367403949749E-2</c:v>
                </c:pt>
                <c:pt idx="612">
                  <c:v>8.110833661650918E-2</c:v>
                </c:pt>
                <c:pt idx="613">
                  <c:v>8.1133705684217156E-2</c:v>
                </c:pt>
                <c:pt idx="614">
                  <c:v>8.1210580571395713E-2</c:v>
                </c:pt>
                <c:pt idx="615">
                  <c:v>8.1123877995154997E-2</c:v>
                </c:pt>
                <c:pt idx="616">
                  <c:v>8.1030875907059846E-2</c:v>
                </c:pt>
                <c:pt idx="617">
                  <c:v>8.1033947043001403E-2</c:v>
                </c:pt>
                <c:pt idx="618">
                  <c:v>8.0964831662648604E-2</c:v>
                </c:pt>
                <c:pt idx="619">
                  <c:v>8.1104226613384803E-2</c:v>
                </c:pt>
                <c:pt idx="620">
                  <c:v>8.0982232312780136E-2</c:v>
                </c:pt>
                <c:pt idx="621">
                  <c:v>8.0910175589679931E-2</c:v>
                </c:pt>
                <c:pt idx="622">
                  <c:v>8.0968288998430005E-2</c:v>
                </c:pt>
                <c:pt idx="623">
                  <c:v>8.0966786650194023E-2</c:v>
                </c:pt>
                <c:pt idx="624">
                  <c:v>8.0988158963750029E-2</c:v>
                </c:pt>
                <c:pt idx="625">
                  <c:v>8.0991710147112067E-2</c:v>
                </c:pt>
                <c:pt idx="626">
                  <c:v>8.0896428905749926E-2</c:v>
                </c:pt>
                <c:pt idx="627">
                  <c:v>8.081124706010416E-2</c:v>
                </c:pt>
                <c:pt idx="628">
                  <c:v>8.0775827474603074E-2</c:v>
                </c:pt>
                <c:pt idx="629">
                  <c:v>8.0734875351284624E-2</c:v>
                </c:pt>
                <c:pt idx="630">
                  <c:v>8.0640233939919551E-2</c:v>
                </c:pt>
                <c:pt idx="631">
                  <c:v>8.0746226196787035E-2</c:v>
                </c:pt>
                <c:pt idx="632">
                  <c:v>8.0778138198506641E-2</c:v>
                </c:pt>
                <c:pt idx="633">
                  <c:v>8.0949536099205535E-2</c:v>
                </c:pt>
                <c:pt idx="634">
                  <c:v>8.0893147766509688E-2</c:v>
                </c:pt>
                <c:pt idx="635">
                  <c:v>8.0776168599819537E-2</c:v>
                </c:pt>
                <c:pt idx="636">
                  <c:v>8.0749408146438301E-2</c:v>
                </c:pt>
                <c:pt idx="637">
                  <c:v>8.085877404007788E-2</c:v>
                </c:pt>
                <c:pt idx="638">
                  <c:v>8.0744987893076409E-2</c:v>
                </c:pt>
                <c:pt idx="639">
                  <c:v>8.076609347249819E-2</c:v>
                </c:pt>
                <c:pt idx="640">
                  <c:v>8.0646321484488817E-2</c:v>
                </c:pt>
                <c:pt idx="641">
                  <c:v>8.0640327748288929E-2</c:v>
                </c:pt>
                <c:pt idx="642">
                  <c:v>8.0698985614158447E-2</c:v>
                </c:pt>
                <c:pt idx="643">
                  <c:v>8.0692091105836056E-2</c:v>
                </c:pt>
                <c:pt idx="644">
                  <c:v>8.063649837964551E-2</c:v>
                </c:pt>
                <c:pt idx="645">
                  <c:v>8.0595651281970201E-2</c:v>
                </c:pt>
                <c:pt idx="646">
                  <c:v>8.0613442969003468E-2</c:v>
                </c:pt>
                <c:pt idx="647">
                  <c:v>8.0737314179506026E-2</c:v>
                </c:pt>
                <c:pt idx="648">
                  <c:v>8.0613297975663273E-2</c:v>
                </c:pt>
                <c:pt idx="649">
                  <c:v>8.0582134772048536E-2</c:v>
                </c:pt>
                <c:pt idx="650">
                  <c:v>8.0548240527768156E-2</c:v>
                </c:pt>
                <c:pt idx="651">
                  <c:v>8.054329044178124E-2</c:v>
                </c:pt>
                <c:pt idx="652">
                  <c:v>8.053790177235122E-2</c:v>
                </c:pt>
                <c:pt idx="653">
                  <c:v>8.0575686643501454E-2</c:v>
                </c:pt>
                <c:pt idx="654">
                  <c:v>8.0573824803940639E-2</c:v>
                </c:pt>
                <c:pt idx="655">
                  <c:v>8.0508222608325783E-2</c:v>
                </c:pt>
                <c:pt idx="656">
                  <c:v>8.0476420608096871E-2</c:v>
                </c:pt>
                <c:pt idx="657">
                  <c:v>8.0506014258061087E-2</c:v>
                </c:pt>
                <c:pt idx="658">
                  <c:v>8.0496807691937872E-2</c:v>
                </c:pt>
                <c:pt idx="659">
                  <c:v>8.0530941748014631E-2</c:v>
                </c:pt>
                <c:pt idx="660">
                  <c:v>8.0545330114471791E-2</c:v>
                </c:pt>
                <c:pt idx="661">
                  <c:v>8.0644230668097991E-2</c:v>
                </c:pt>
                <c:pt idx="662">
                  <c:v>8.0638470062645337E-2</c:v>
                </c:pt>
                <c:pt idx="663">
                  <c:v>8.0743167124267851E-2</c:v>
                </c:pt>
                <c:pt idx="664">
                  <c:v>8.0679939084414787E-2</c:v>
                </c:pt>
                <c:pt idx="665">
                  <c:v>8.0693524695505683E-2</c:v>
                </c:pt>
                <c:pt idx="666">
                  <c:v>8.07283068663599E-2</c:v>
                </c:pt>
                <c:pt idx="667">
                  <c:v>8.0676402158172053E-2</c:v>
                </c:pt>
                <c:pt idx="668">
                  <c:v>8.0727196820331526E-2</c:v>
                </c:pt>
                <c:pt idx="669">
                  <c:v>8.073723997005848E-2</c:v>
                </c:pt>
                <c:pt idx="670">
                  <c:v>8.0787656203765337E-2</c:v>
                </c:pt>
                <c:pt idx="671">
                  <c:v>8.0753753114082824E-2</c:v>
                </c:pt>
                <c:pt idx="672">
                  <c:v>8.0761625935044129E-2</c:v>
                </c:pt>
                <c:pt idx="673">
                  <c:v>8.0755601746019201E-2</c:v>
                </c:pt>
                <c:pt idx="674">
                  <c:v>8.0822981252904477E-2</c:v>
                </c:pt>
                <c:pt idx="675">
                  <c:v>8.0763904011235385E-2</c:v>
                </c:pt>
                <c:pt idx="676">
                  <c:v>8.0734254224250901E-2</c:v>
                </c:pt>
                <c:pt idx="677">
                  <c:v>8.0745998172534916E-2</c:v>
                </c:pt>
                <c:pt idx="678">
                  <c:v>8.0585422470801082E-2</c:v>
                </c:pt>
                <c:pt idx="679">
                  <c:v>8.0684263305419682E-2</c:v>
                </c:pt>
                <c:pt idx="680">
                  <c:v>8.0742256329935119E-2</c:v>
                </c:pt>
                <c:pt idx="681">
                  <c:v>8.0834441562809473E-2</c:v>
                </c:pt>
                <c:pt idx="682">
                  <c:v>8.084261805581526E-2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298752"/>
        <c:axId val="404449536"/>
      </c:lineChart>
      <c:catAx>
        <c:axId val="404298752"/>
        <c:scaling>
          <c:orientation val="minMax"/>
        </c:scaling>
        <c:delete val="0"/>
        <c:axPos val="b"/>
        <c:numFmt formatCode="_-* #\,##0.00_-;\-* #\,##0.00_-;_-* &quot;-&quot;??_-;_-@_-" sourceLinked="1"/>
        <c:majorTickMark val="out"/>
        <c:minorTickMark val="none"/>
        <c:tickLblPos val="nextTo"/>
        <c:crossAx val="404449536"/>
        <c:crosses val="autoZero"/>
        <c:auto val="1"/>
        <c:lblAlgn val="ctr"/>
        <c:lblOffset val="100"/>
        <c:noMultiLvlLbl val="0"/>
      </c:catAx>
      <c:valAx>
        <c:axId val="404449536"/>
        <c:scaling>
          <c:orientation val="minMax"/>
          <c:max val="7.0000000000000021E-2"/>
          <c:min val="3.0000000000000002E-2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04298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Output!$AF$12:$AF$731</c:f>
              <c:numCache>
                <c:formatCode>_-* #\,##0.00_-;\-* #\,##0.00_-;_-* "-"??_-;_-@_-</c:formatCode>
                <c:ptCount val="720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0.41666666666666663</c:v>
                </c:pt>
                <c:pt idx="6">
                  <c:v>0.49999999999999994</c:v>
                </c:pt>
                <c:pt idx="7">
                  <c:v>0.58333333333333326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0.91666666666666674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1.1666666666666665</c:v>
                </c:pt>
                <c:pt idx="15">
                  <c:v>1.2499999999999998</c:v>
                </c:pt>
                <c:pt idx="16">
                  <c:v>1.333333333333333</c:v>
                </c:pt>
                <c:pt idx="17">
                  <c:v>1.4166666666666663</c:v>
                </c:pt>
                <c:pt idx="18">
                  <c:v>1.4999999999999996</c:v>
                </c:pt>
                <c:pt idx="19">
                  <c:v>1.5833333333333328</c:v>
                </c:pt>
                <c:pt idx="20">
                  <c:v>1.6666666666666661</c:v>
                </c:pt>
                <c:pt idx="21">
                  <c:v>1.7499999999999993</c:v>
                </c:pt>
                <c:pt idx="22">
                  <c:v>1.8333333333333326</c:v>
                </c:pt>
                <c:pt idx="23">
                  <c:v>1.9166666666666659</c:v>
                </c:pt>
                <c:pt idx="24">
                  <c:v>1.9999999999999991</c:v>
                </c:pt>
                <c:pt idx="25">
                  <c:v>2.0833333333333326</c:v>
                </c:pt>
                <c:pt idx="26">
                  <c:v>2.1666666666666661</c:v>
                </c:pt>
                <c:pt idx="27">
                  <c:v>2.2499999999999996</c:v>
                </c:pt>
                <c:pt idx="28">
                  <c:v>2.333333333333333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2.666666666666667</c:v>
                </c:pt>
                <c:pt idx="33">
                  <c:v>2.7500000000000004</c:v>
                </c:pt>
                <c:pt idx="34">
                  <c:v>2.8333333333333339</c:v>
                </c:pt>
                <c:pt idx="35">
                  <c:v>2.9166666666666674</c:v>
                </c:pt>
                <c:pt idx="36">
                  <c:v>3.0000000000000009</c:v>
                </c:pt>
                <c:pt idx="37">
                  <c:v>3.0833333333333344</c:v>
                </c:pt>
                <c:pt idx="38">
                  <c:v>3.1666666666666679</c:v>
                </c:pt>
                <c:pt idx="39">
                  <c:v>3.2500000000000013</c:v>
                </c:pt>
                <c:pt idx="40">
                  <c:v>3.3333333333333348</c:v>
                </c:pt>
                <c:pt idx="41">
                  <c:v>3.4166666666666683</c:v>
                </c:pt>
                <c:pt idx="42">
                  <c:v>3.5000000000000018</c:v>
                </c:pt>
                <c:pt idx="43">
                  <c:v>3.5833333333333353</c:v>
                </c:pt>
                <c:pt idx="44">
                  <c:v>3.6666666666666687</c:v>
                </c:pt>
                <c:pt idx="45">
                  <c:v>3.7500000000000022</c:v>
                </c:pt>
                <c:pt idx="46">
                  <c:v>3.8333333333333357</c:v>
                </c:pt>
                <c:pt idx="47">
                  <c:v>3.9166666666666692</c:v>
                </c:pt>
                <c:pt idx="48">
                  <c:v>4.0000000000000027</c:v>
                </c:pt>
                <c:pt idx="49">
                  <c:v>4.0833333333333357</c:v>
                </c:pt>
                <c:pt idx="50">
                  <c:v>4.1666666666666687</c:v>
                </c:pt>
                <c:pt idx="51">
                  <c:v>4.2500000000000018</c:v>
                </c:pt>
                <c:pt idx="52">
                  <c:v>4.3333333333333348</c:v>
                </c:pt>
                <c:pt idx="53">
                  <c:v>4.4166666666666679</c:v>
                </c:pt>
                <c:pt idx="54">
                  <c:v>4.5000000000000009</c:v>
                </c:pt>
                <c:pt idx="55">
                  <c:v>4.5833333333333339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4.9166666666666661</c:v>
                </c:pt>
                <c:pt idx="60">
                  <c:v>4.9999999999999991</c:v>
                </c:pt>
                <c:pt idx="61">
                  <c:v>5.0833333333333321</c:v>
                </c:pt>
                <c:pt idx="62">
                  <c:v>5.1666666666666652</c:v>
                </c:pt>
                <c:pt idx="63">
                  <c:v>5.2499999999999982</c:v>
                </c:pt>
                <c:pt idx="64">
                  <c:v>5.3333333333333313</c:v>
                </c:pt>
                <c:pt idx="65">
                  <c:v>5.4166666666666643</c:v>
                </c:pt>
                <c:pt idx="66">
                  <c:v>5.4999999999999973</c:v>
                </c:pt>
                <c:pt idx="67">
                  <c:v>5.5833333333333304</c:v>
                </c:pt>
                <c:pt idx="68">
                  <c:v>5.6666666666666634</c:v>
                </c:pt>
                <c:pt idx="69">
                  <c:v>5.7499999999999964</c:v>
                </c:pt>
                <c:pt idx="70">
                  <c:v>5.8333333333333295</c:v>
                </c:pt>
                <c:pt idx="71">
                  <c:v>5.9166666666666625</c:v>
                </c:pt>
                <c:pt idx="72">
                  <c:v>5.9999999999999956</c:v>
                </c:pt>
                <c:pt idx="73">
                  <c:v>6.0833333333333286</c:v>
                </c:pt>
                <c:pt idx="74">
                  <c:v>6.1666666666666616</c:v>
                </c:pt>
                <c:pt idx="75">
                  <c:v>6.2499999999999947</c:v>
                </c:pt>
                <c:pt idx="76">
                  <c:v>6.3333333333333277</c:v>
                </c:pt>
                <c:pt idx="77">
                  <c:v>6.4166666666666607</c:v>
                </c:pt>
                <c:pt idx="78">
                  <c:v>6.4999999999999938</c:v>
                </c:pt>
                <c:pt idx="79">
                  <c:v>6.5833333333333268</c:v>
                </c:pt>
                <c:pt idx="80">
                  <c:v>6.6666666666666599</c:v>
                </c:pt>
                <c:pt idx="81">
                  <c:v>6.7499999999999929</c:v>
                </c:pt>
                <c:pt idx="82">
                  <c:v>6.8333333333333259</c:v>
                </c:pt>
                <c:pt idx="83">
                  <c:v>6.916666666666659</c:v>
                </c:pt>
                <c:pt idx="84">
                  <c:v>6.999999999999992</c:v>
                </c:pt>
                <c:pt idx="85">
                  <c:v>7.083333333333325</c:v>
                </c:pt>
                <c:pt idx="86">
                  <c:v>7.1666666666666581</c:v>
                </c:pt>
                <c:pt idx="87">
                  <c:v>7.2499999999999911</c:v>
                </c:pt>
                <c:pt idx="88">
                  <c:v>7.3333333333333242</c:v>
                </c:pt>
                <c:pt idx="89">
                  <c:v>7.4166666666666572</c:v>
                </c:pt>
                <c:pt idx="90">
                  <c:v>7.4999999999999902</c:v>
                </c:pt>
                <c:pt idx="91">
                  <c:v>7.5833333333333233</c:v>
                </c:pt>
                <c:pt idx="92">
                  <c:v>7.6666666666666563</c:v>
                </c:pt>
                <c:pt idx="93">
                  <c:v>7.7499999999999893</c:v>
                </c:pt>
                <c:pt idx="94">
                  <c:v>7.8333333333333224</c:v>
                </c:pt>
                <c:pt idx="95">
                  <c:v>7.9166666666666554</c:v>
                </c:pt>
                <c:pt idx="96">
                  <c:v>7.9999999999999885</c:v>
                </c:pt>
                <c:pt idx="97">
                  <c:v>8.0833333333333215</c:v>
                </c:pt>
                <c:pt idx="98">
                  <c:v>8.1666666666666554</c:v>
                </c:pt>
                <c:pt idx="99">
                  <c:v>8.2499999999999893</c:v>
                </c:pt>
                <c:pt idx="100">
                  <c:v>8.3333333333333233</c:v>
                </c:pt>
                <c:pt idx="101">
                  <c:v>8.4166666666666572</c:v>
                </c:pt>
                <c:pt idx="102">
                  <c:v>8.4999999999999911</c:v>
                </c:pt>
                <c:pt idx="103">
                  <c:v>8.583333333333325</c:v>
                </c:pt>
                <c:pt idx="104">
                  <c:v>8.666666666666659</c:v>
                </c:pt>
                <c:pt idx="105">
                  <c:v>8.7499999999999929</c:v>
                </c:pt>
                <c:pt idx="106">
                  <c:v>8.8333333333333268</c:v>
                </c:pt>
                <c:pt idx="107">
                  <c:v>8.9166666666666607</c:v>
                </c:pt>
                <c:pt idx="108">
                  <c:v>8.9999999999999947</c:v>
                </c:pt>
                <c:pt idx="109">
                  <c:v>9.0833333333333286</c:v>
                </c:pt>
                <c:pt idx="110">
                  <c:v>9.1666666666666625</c:v>
                </c:pt>
                <c:pt idx="111">
                  <c:v>9.2499999999999964</c:v>
                </c:pt>
                <c:pt idx="112">
                  <c:v>9.3333333333333304</c:v>
                </c:pt>
                <c:pt idx="113">
                  <c:v>9.4166666666666643</c:v>
                </c:pt>
                <c:pt idx="114">
                  <c:v>9.4999999999999982</c:v>
                </c:pt>
                <c:pt idx="115">
                  <c:v>9.5833333333333321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9.9166666666666679</c:v>
                </c:pt>
                <c:pt idx="120">
                  <c:v>10.000000000000002</c:v>
                </c:pt>
                <c:pt idx="121">
                  <c:v>10.083333333333336</c:v>
                </c:pt>
                <c:pt idx="122">
                  <c:v>10.16666666666667</c:v>
                </c:pt>
                <c:pt idx="123">
                  <c:v>10.250000000000004</c:v>
                </c:pt>
                <c:pt idx="124">
                  <c:v>10.333333333333337</c:v>
                </c:pt>
                <c:pt idx="125">
                  <c:v>10.416666666666671</c:v>
                </c:pt>
                <c:pt idx="126">
                  <c:v>10.500000000000005</c:v>
                </c:pt>
                <c:pt idx="127">
                  <c:v>10.583333333333339</c:v>
                </c:pt>
                <c:pt idx="128">
                  <c:v>10.666666666666673</c:v>
                </c:pt>
                <c:pt idx="129">
                  <c:v>10.750000000000007</c:v>
                </c:pt>
                <c:pt idx="130">
                  <c:v>10.833333333333341</c:v>
                </c:pt>
                <c:pt idx="131">
                  <c:v>10.916666666666675</c:v>
                </c:pt>
                <c:pt idx="132">
                  <c:v>11.000000000000009</c:v>
                </c:pt>
                <c:pt idx="133">
                  <c:v>11.083333333333343</c:v>
                </c:pt>
                <c:pt idx="134">
                  <c:v>11.166666666666677</c:v>
                </c:pt>
                <c:pt idx="135">
                  <c:v>11.250000000000011</c:v>
                </c:pt>
                <c:pt idx="136">
                  <c:v>11.333333333333345</c:v>
                </c:pt>
                <c:pt idx="137">
                  <c:v>11.416666666666679</c:v>
                </c:pt>
                <c:pt idx="138">
                  <c:v>11.500000000000012</c:v>
                </c:pt>
                <c:pt idx="139">
                  <c:v>11.583333333333346</c:v>
                </c:pt>
                <c:pt idx="140">
                  <c:v>11.66666666666668</c:v>
                </c:pt>
                <c:pt idx="141">
                  <c:v>11.750000000000014</c:v>
                </c:pt>
                <c:pt idx="142">
                  <c:v>11.833333333333348</c:v>
                </c:pt>
                <c:pt idx="143">
                  <c:v>11.916666666666682</c:v>
                </c:pt>
                <c:pt idx="144">
                  <c:v>12.000000000000016</c:v>
                </c:pt>
                <c:pt idx="145">
                  <c:v>12.08333333333335</c:v>
                </c:pt>
                <c:pt idx="146">
                  <c:v>12.166666666666684</c:v>
                </c:pt>
                <c:pt idx="147">
                  <c:v>12.250000000000018</c:v>
                </c:pt>
                <c:pt idx="148">
                  <c:v>12.333333333333352</c:v>
                </c:pt>
                <c:pt idx="149">
                  <c:v>12.416666666666686</c:v>
                </c:pt>
                <c:pt idx="150">
                  <c:v>12.50000000000002</c:v>
                </c:pt>
                <c:pt idx="151">
                  <c:v>12.583333333333353</c:v>
                </c:pt>
                <c:pt idx="152">
                  <c:v>12.666666666666687</c:v>
                </c:pt>
                <c:pt idx="153">
                  <c:v>12.750000000000021</c:v>
                </c:pt>
                <c:pt idx="154">
                  <c:v>12.833333333333355</c:v>
                </c:pt>
                <c:pt idx="155">
                  <c:v>12.916666666666689</c:v>
                </c:pt>
                <c:pt idx="156">
                  <c:v>13.000000000000023</c:v>
                </c:pt>
                <c:pt idx="157">
                  <c:v>13.083333333333357</c:v>
                </c:pt>
                <c:pt idx="158">
                  <c:v>13.166666666666691</c:v>
                </c:pt>
                <c:pt idx="159">
                  <c:v>13.250000000000025</c:v>
                </c:pt>
                <c:pt idx="160">
                  <c:v>13.333333333333359</c:v>
                </c:pt>
                <c:pt idx="161">
                  <c:v>13.416666666666693</c:v>
                </c:pt>
                <c:pt idx="162">
                  <c:v>13.500000000000027</c:v>
                </c:pt>
                <c:pt idx="163">
                  <c:v>13.583333333333361</c:v>
                </c:pt>
                <c:pt idx="164">
                  <c:v>13.666666666666694</c:v>
                </c:pt>
                <c:pt idx="165">
                  <c:v>13.750000000000028</c:v>
                </c:pt>
                <c:pt idx="166">
                  <c:v>13.833333333333362</c:v>
                </c:pt>
                <c:pt idx="167">
                  <c:v>13.916666666666696</c:v>
                </c:pt>
                <c:pt idx="168">
                  <c:v>14.00000000000003</c:v>
                </c:pt>
                <c:pt idx="169">
                  <c:v>14.083333333333364</c:v>
                </c:pt>
                <c:pt idx="170">
                  <c:v>14.166666666666698</c:v>
                </c:pt>
                <c:pt idx="171">
                  <c:v>14.250000000000032</c:v>
                </c:pt>
                <c:pt idx="172">
                  <c:v>14.333333333333366</c:v>
                </c:pt>
                <c:pt idx="173">
                  <c:v>14.4166666666667</c:v>
                </c:pt>
                <c:pt idx="174">
                  <c:v>14.500000000000034</c:v>
                </c:pt>
                <c:pt idx="175">
                  <c:v>14.583333333333368</c:v>
                </c:pt>
                <c:pt idx="176">
                  <c:v>14.666666666666702</c:v>
                </c:pt>
                <c:pt idx="177">
                  <c:v>14.750000000000036</c:v>
                </c:pt>
                <c:pt idx="178">
                  <c:v>14.833333333333369</c:v>
                </c:pt>
                <c:pt idx="179">
                  <c:v>14.916666666666703</c:v>
                </c:pt>
                <c:pt idx="180">
                  <c:v>15.000000000000037</c:v>
                </c:pt>
                <c:pt idx="181">
                  <c:v>15.083333333333371</c:v>
                </c:pt>
                <c:pt idx="182">
                  <c:v>15.166666666666705</c:v>
                </c:pt>
                <c:pt idx="183">
                  <c:v>15.250000000000039</c:v>
                </c:pt>
                <c:pt idx="184">
                  <c:v>15.333333333333373</c:v>
                </c:pt>
                <c:pt idx="185">
                  <c:v>15.416666666666707</c:v>
                </c:pt>
                <c:pt idx="186">
                  <c:v>15.500000000000041</c:v>
                </c:pt>
                <c:pt idx="187">
                  <c:v>15.583333333333375</c:v>
                </c:pt>
                <c:pt idx="188">
                  <c:v>15.666666666666709</c:v>
                </c:pt>
                <c:pt idx="189">
                  <c:v>15.750000000000043</c:v>
                </c:pt>
                <c:pt idx="190">
                  <c:v>15.833333333333377</c:v>
                </c:pt>
                <c:pt idx="191">
                  <c:v>15.91666666666671</c:v>
                </c:pt>
                <c:pt idx="192">
                  <c:v>16.000000000000043</c:v>
                </c:pt>
                <c:pt idx="193">
                  <c:v>16.083333333333375</c:v>
                </c:pt>
                <c:pt idx="194">
                  <c:v>16.166666666666707</c:v>
                </c:pt>
                <c:pt idx="195">
                  <c:v>16.250000000000039</c:v>
                </c:pt>
                <c:pt idx="196">
                  <c:v>16.333333333333371</c:v>
                </c:pt>
                <c:pt idx="197">
                  <c:v>16.416666666666703</c:v>
                </c:pt>
                <c:pt idx="198">
                  <c:v>16.500000000000036</c:v>
                </c:pt>
                <c:pt idx="199">
                  <c:v>16.583333333333368</c:v>
                </c:pt>
                <c:pt idx="200">
                  <c:v>16.6666666666667</c:v>
                </c:pt>
                <c:pt idx="201">
                  <c:v>16.750000000000032</c:v>
                </c:pt>
                <c:pt idx="202">
                  <c:v>16.833333333333364</c:v>
                </c:pt>
                <c:pt idx="203">
                  <c:v>16.916666666666696</c:v>
                </c:pt>
                <c:pt idx="204">
                  <c:v>17.000000000000028</c:v>
                </c:pt>
                <c:pt idx="205">
                  <c:v>17.083333333333361</c:v>
                </c:pt>
                <c:pt idx="206">
                  <c:v>17.166666666666693</c:v>
                </c:pt>
                <c:pt idx="207">
                  <c:v>17.250000000000025</c:v>
                </c:pt>
                <c:pt idx="208">
                  <c:v>17.333333333333357</c:v>
                </c:pt>
                <c:pt idx="209">
                  <c:v>17.416666666666689</c:v>
                </c:pt>
                <c:pt idx="210">
                  <c:v>17.500000000000021</c:v>
                </c:pt>
                <c:pt idx="211">
                  <c:v>17.583333333333353</c:v>
                </c:pt>
                <c:pt idx="212">
                  <c:v>17.666666666666686</c:v>
                </c:pt>
                <c:pt idx="213">
                  <c:v>17.750000000000018</c:v>
                </c:pt>
                <c:pt idx="214">
                  <c:v>17.83333333333335</c:v>
                </c:pt>
                <c:pt idx="215">
                  <c:v>17.916666666666682</c:v>
                </c:pt>
                <c:pt idx="216">
                  <c:v>18.000000000000014</c:v>
                </c:pt>
                <c:pt idx="217">
                  <c:v>18.083333333333346</c:v>
                </c:pt>
                <c:pt idx="218">
                  <c:v>18.166666666666679</c:v>
                </c:pt>
                <c:pt idx="219">
                  <c:v>18.250000000000011</c:v>
                </c:pt>
                <c:pt idx="220">
                  <c:v>18.333333333333343</c:v>
                </c:pt>
                <c:pt idx="221">
                  <c:v>18.416666666666675</c:v>
                </c:pt>
                <c:pt idx="222">
                  <c:v>18.500000000000007</c:v>
                </c:pt>
                <c:pt idx="223">
                  <c:v>18.583333333333339</c:v>
                </c:pt>
                <c:pt idx="224">
                  <c:v>18.666666666666671</c:v>
                </c:pt>
                <c:pt idx="225">
                  <c:v>18.750000000000004</c:v>
                </c:pt>
                <c:pt idx="226">
                  <c:v>18.833333333333336</c:v>
                </c:pt>
                <c:pt idx="227">
                  <c:v>18.916666666666668</c:v>
                </c:pt>
                <c:pt idx="228">
                  <c:v>19</c:v>
                </c:pt>
                <c:pt idx="229">
                  <c:v>19.083333333333332</c:v>
                </c:pt>
                <c:pt idx="230">
                  <c:v>19.166666666666664</c:v>
                </c:pt>
                <c:pt idx="231">
                  <c:v>19.249999999999996</c:v>
                </c:pt>
                <c:pt idx="232">
                  <c:v>19.333333333333329</c:v>
                </c:pt>
                <c:pt idx="233">
                  <c:v>19.416666666666661</c:v>
                </c:pt>
                <c:pt idx="234">
                  <c:v>19.499999999999993</c:v>
                </c:pt>
                <c:pt idx="235">
                  <c:v>19.583333333333325</c:v>
                </c:pt>
                <c:pt idx="236">
                  <c:v>19.666666666666657</c:v>
                </c:pt>
                <c:pt idx="237">
                  <c:v>19.749999999999989</c:v>
                </c:pt>
                <c:pt idx="238">
                  <c:v>19.833333333333321</c:v>
                </c:pt>
                <c:pt idx="239">
                  <c:v>19.916666666666654</c:v>
                </c:pt>
                <c:pt idx="240">
                  <c:v>19.999999999999986</c:v>
                </c:pt>
                <c:pt idx="241">
                  <c:v>20.083333333333318</c:v>
                </c:pt>
                <c:pt idx="242">
                  <c:v>20.16666666666665</c:v>
                </c:pt>
                <c:pt idx="243">
                  <c:v>20.249999999999982</c:v>
                </c:pt>
                <c:pt idx="244">
                  <c:v>20.333333333333314</c:v>
                </c:pt>
                <c:pt idx="245">
                  <c:v>20.416666666666647</c:v>
                </c:pt>
                <c:pt idx="246">
                  <c:v>20.499999999999979</c:v>
                </c:pt>
                <c:pt idx="247">
                  <c:v>20.583333333333311</c:v>
                </c:pt>
                <c:pt idx="248">
                  <c:v>20.666666666666643</c:v>
                </c:pt>
                <c:pt idx="249">
                  <c:v>20.749999999999975</c:v>
                </c:pt>
                <c:pt idx="250">
                  <c:v>20.833333333333307</c:v>
                </c:pt>
                <c:pt idx="251">
                  <c:v>20.916666666666639</c:v>
                </c:pt>
                <c:pt idx="252">
                  <c:v>20.999999999999972</c:v>
                </c:pt>
                <c:pt idx="253">
                  <c:v>21.083333333333304</c:v>
                </c:pt>
                <c:pt idx="254">
                  <c:v>21.166666666666636</c:v>
                </c:pt>
                <c:pt idx="255">
                  <c:v>21.249999999999968</c:v>
                </c:pt>
                <c:pt idx="256">
                  <c:v>21.3333333333333</c:v>
                </c:pt>
                <c:pt idx="257">
                  <c:v>21.416666666666632</c:v>
                </c:pt>
                <c:pt idx="258">
                  <c:v>21.499999999999964</c:v>
                </c:pt>
                <c:pt idx="259">
                  <c:v>21.583333333333297</c:v>
                </c:pt>
                <c:pt idx="260">
                  <c:v>21.666666666666629</c:v>
                </c:pt>
                <c:pt idx="261">
                  <c:v>21.749999999999961</c:v>
                </c:pt>
                <c:pt idx="262">
                  <c:v>21.833333333333293</c:v>
                </c:pt>
                <c:pt idx="263">
                  <c:v>21.916666666666625</c:v>
                </c:pt>
                <c:pt idx="264">
                  <c:v>21.999999999999957</c:v>
                </c:pt>
                <c:pt idx="265">
                  <c:v>22.08333333333329</c:v>
                </c:pt>
                <c:pt idx="266">
                  <c:v>22.166666666666622</c:v>
                </c:pt>
                <c:pt idx="267">
                  <c:v>22.249999999999954</c:v>
                </c:pt>
                <c:pt idx="268">
                  <c:v>22.333333333333286</c:v>
                </c:pt>
                <c:pt idx="269">
                  <c:v>22.416666666666618</c:v>
                </c:pt>
                <c:pt idx="270">
                  <c:v>22.49999999999995</c:v>
                </c:pt>
                <c:pt idx="271">
                  <c:v>22.583333333333282</c:v>
                </c:pt>
                <c:pt idx="272">
                  <c:v>22.666666666666615</c:v>
                </c:pt>
                <c:pt idx="273">
                  <c:v>22.749999999999947</c:v>
                </c:pt>
                <c:pt idx="274">
                  <c:v>22.833333333333279</c:v>
                </c:pt>
                <c:pt idx="275">
                  <c:v>22.916666666666611</c:v>
                </c:pt>
                <c:pt idx="276">
                  <c:v>22.999999999999943</c:v>
                </c:pt>
                <c:pt idx="277">
                  <c:v>23.083333333333275</c:v>
                </c:pt>
                <c:pt idx="278">
                  <c:v>23.166666666666607</c:v>
                </c:pt>
                <c:pt idx="279">
                  <c:v>23.24999999999994</c:v>
                </c:pt>
                <c:pt idx="280">
                  <c:v>23.333333333333272</c:v>
                </c:pt>
                <c:pt idx="281">
                  <c:v>23.416666666666604</c:v>
                </c:pt>
                <c:pt idx="282">
                  <c:v>23.499999999999936</c:v>
                </c:pt>
                <c:pt idx="283">
                  <c:v>23.583333333333268</c:v>
                </c:pt>
                <c:pt idx="284">
                  <c:v>23.6666666666666</c:v>
                </c:pt>
                <c:pt idx="285">
                  <c:v>23.749999999999932</c:v>
                </c:pt>
                <c:pt idx="286">
                  <c:v>23.833333333333265</c:v>
                </c:pt>
                <c:pt idx="287">
                  <c:v>23.916666666666597</c:v>
                </c:pt>
                <c:pt idx="288">
                  <c:v>23.999999999999929</c:v>
                </c:pt>
                <c:pt idx="289">
                  <c:v>24.083333333333261</c:v>
                </c:pt>
                <c:pt idx="290">
                  <c:v>24.166666666666593</c:v>
                </c:pt>
                <c:pt idx="291">
                  <c:v>24.249999999999925</c:v>
                </c:pt>
                <c:pt idx="292">
                  <c:v>24.333333333333258</c:v>
                </c:pt>
                <c:pt idx="293">
                  <c:v>24.41666666666659</c:v>
                </c:pt>
                <c:pt idx="294">
                  <c:v>24.499999999999922</c:v>
                </c:pt>
                <c:pt idx="295">
                  <c:v>24.583333333333254</c:v>
                </c:pt>
                <c:pt idx="296">
                  <c:v>24.666666666666586</c:v>
                </c:pt>
                <c:pt idx="297">
                  <c:v>24.749999999999918</c:v>
                </c:pt>
                <c:pt idx="298">
                  <c:v>24.83333333333325</c:v>
                </c:pt>
                <c:pt idx="299">
                  <c:v>24.916666666666583</c:v>
                </c:pt>
                <c:pt idx="300">
                  <c:v>24.999999999999915</c:v>
                </c:pt>
                <c:pt idx="301">
                  <c:v>25.083333333333247</c:v>
                </c:pt>
                <c:pt idx="302">
                  <c:v>25.166666666666579</c:v>
                </c:pt>
                <c:pt idx="303">
                  <c:v>25.249999999999911</c:v>
                </c:pt>
                <c:pt idx="304">
                  <c:v>25.333333333333243</c:v>
                </c:pt>
                <c:pt idx="305">
                  <c:v>25.416666666666575</c:v>
                </c:pt>
                <c:pt idx="306">
                  <c:v>25.499999999999908</c:v>
                </c:pt>
                <c:pt idx="307">
                  <c:v>25.58333333333324</c:v>
                </c:pt>
                <c:pt idx="308">
                  <c:v>25.666666666666572</c:v>
                </c:pt>
                <c:pt idx="309">
                  <c:v>25.749999999999904</c:v>
                </c:pt>
                <c:pt idx="310">
                  <c:v>25.833333333333236</c:v>
                </c:pt>
                <c:pt idx="311">
                  <c:v>25.916666666666568</c:v>
                </c:pt>
                <c:pt idx="312">
                  <c:v>25.999999999999901</c:v>
                </c:pt>
                <c:pt idx="313">
                  <c:v>26.083333333333233</c:v>
                </c:pt>
                <c:pt idx="314">
                  <c:v>26.166666666666565</c:v>
                </c:pt>
                <c:pt idx="315">
                  <c:v>26.249999999999897</c:v>
                </c:pt>
                <c:pt idx="316">
                  <c:v>26.333333333333229</c:v>
                </c:pt>
                <c:pt idx="317">
                  <c:v>26.416666666666561</c:v>
                </c:pt>
                <c:pt idx="318">
                  <c:v>26.499999999999893</c:v>
                </c:pt>
                <c:pt idx="319">
                  <c:v>26.583333333333226</c:v>
                </c:pt>
                <c:pt idx="320">
                  <c:v>26.666666666666558</c:v>
                </c:pt>
                <c:pt idx="321">
                  <c:v>26.74999999999989</c:v>
                </c:pt>
                <c:pt idx="322">
                  <c:v>26.833333333333222</c:v>
                </c:pt>
                <c:pt idx="323">
                  <c:v>26.916666666666554</c:v>
                </c:pt>
                <c:pt idx="324">
                  <c:v>26.999999999999886</c:v>
                </c:pt>
                <c:pt idx="325">
                  <c:v>27.083333333333218</c:v>
                </c:pt>
                <c:pt idx="326">
                  <c:v>27.166666666666551</c:v>
                </c:pt>
                <c:pt idx="327">
                  <c:v>27.249999999999883</c:v>
                </c:pt>
                <c:pt idx="328">
                  <c:v>27.333333333333215</c:v>
                </c:pt>
                <c:pt idx="329">
                  <c:v>27.416666666666547</c:v>
                </c:pt>
                <c:pt idx="330">
                  <c:v>27.499999999999879</c:v>
                </c:pt>
                <c:pt idx="331">
                  <c:v>27.583333333333211</c:v>
                </c:pt>
                <c:pt idx="332">
                  <c:v>27.666666666666544</c:v>
                </c:pt>
                <c:pt idx="333">
                  <c:v>27.749999999999876</c:v>
                </c:pt>
                <c:pt idx="334">
                  <c:v>27.833333333333208</c:v>
                </c:pt>
                <c:pt idx="335">
                  <c:v>27.91666666666654</c:v>
                </c:pt>
                <c:pt idx="336">
                  <c:v>27.999999999999872</c:v>
                </c:pt>
                <c:pt idx="337">
                  <c:v>28.083333333333204</c:v>
                </c:pt>
                <c:pt idx="338">
                  <c:v>28.166666666666536</c:v>
                </c:pt>
                <c:pt idx="339">
                  <c:v>28.249999999999869</c:v>
                </c:pt>
                <c:pt idx="340">
                  <c:v>28.333333333333201</c:v>
                </c:pt>
                <c:pt idx="341">
                  <c:v>28.416666666666533</c:v>
                </c:pt>
                <c:pt idx="342">
                  <c:v>28.499999999999865</c:v>
                </c:pt>
                <c:pt idx="343">
                  <c:v>28.583333333333197</c:v>
                </c:pt>
                <c:pt idx="344">
                  <c:v>28.666666666666529</c:v>
                </c:pt>
                <c:pt idx="345">
                  <c:v>28.749999999999861</c:v>
                </c:pt>
                <c:pt idx="346">
                  <c:v>28.833333333333194</c:v>
                </c:pt>
                <c:pt idx="347">
                  <c:v>28.916666666666526</c:v>
                </c:pt>
                <c:pt idx="348">
                  <c:v>28.999999999999858</c:v>
                </c:pt>
                <c:pt idx="349">
                  <c:v>29.08333333333319</c:v>
                </c:pt>
                <c:pt idx="350">
                  <c:v>29.166666666666522</c:v>
                </c:pt>
                <c:pt idx="351">
                  <c:v>29.249999999999854</c:v>
                </c:pt>
                <c:pt idx="352">
                  <c:v>29.333333333333186</c:v>
                </c:pt>
                <c:pt idx="353">
                  <c:v>29.416666666666519</c:v>
                </c:pt>
                <c:pt idx="354">
                  <c:v>29.499999999999851</c:v>
                </c:pt>
                <c:pt idx="355">
                  <c:v>29.583333333333183</c:v>
                </c:pt>
                <c:pt idx="356">
                  <c:v>29.666666666666515</c:v>
                </c:pt>
                <c:pt idx="357">
                  <c:v>29.749999999999847</c:v>
                </c:pt>
                <c:pt idx="358">
                  <c:v>29.833333333333179</c:v>
                </c:pt>
                <c:pt idx="359">
                  <c:v>29.916666666666512</c:v>
                </c:pt>
                <c:pt idx="360">
                  <c:v>29.999999999999844</c:v>
                </c:pt>
                <c:pt idx="361">
                  <c:v>30.083333333333176</c:v>
                </c:pt>
                <c:pt idx="362">
                  <c:v>30.166666666666508</c:v>
                </c:pt>
                <c:pt idx="363">
                  <c:v>30.24999999999984</c:v>
                </c:pt>
                <c:pt idx="364">
                  <c:v>30.333333333333172</c:v>
                </c:pt>
                <c:pt idx="365">
                  <c:v>30.416666666666504</c:v>
                </c:pt>
                <c:pt idx="366">
                  <c:v>30.499999999999837</c:v>
                </c:pt>
                <c:pt idx="367">
                  <c:v>30.583333333333169</c:v>
                </c:pt>
                <c:pt idx="368">
                  <c:v>30.666666666666501</c:v>
                </c:pt>
                <c:pt idx="369">
                  <c:v>30.749999999999833</c:v>
                </c:pt>
                <c:pt idx="370">
                  <c:v>30.833333333333165</c:v>
                </c:pt>
                <c:pt idx="371">
                  <c:v>30.916666666666497</c:v>
                </c:pt>
                <c:pt idx="372">
                  <c:v>30.999999999999829</c:v>
                </c:pt>
                <c:pt idx="373">
                  <c:v>31.083333333333162</c:v>
                </c:pt>
                <c:pt idx="374">
                  <c:v>31.166666666666494</c:v>
                </c:pt>
                <c:pt idx="375">
                  <c:v>31.249999999999826</c:v>
                </c:pt>
                <c:pt idx="376">
                  <c:v>31.333333333333158</c:v>
                </c:pt>
                <c:pt idx="377">
                  <c:v>31.41666666666649</c:v>
                </c:pt>
                <c:pt idx="378">
                  <c:v>31.499999999999822</c:v>
                </c:pt>
                <c:pt idx="379">
                  <c:v>31.583333333333155</c:v>
                </c:pt>
                <c:pt idx="380">
                  <c:v>31.666666666666487</c:v>
                </c:pt>
                <c:pt idx="381">
                  <c:v>31.749999999999819</c:v>
                </c:pt>
                <c:pt idx="382">
                  <c:v>31.833333333333151</c:v>
                </c:pt>
                <c:pt idx="383">
                  <c:v>31.916666666666483</c:v>
                </c:pt>
                <c:pt idx="384">
                  <c:v>31.999999999999815</c:v>
                </c:pt>
                <c:pt idx="385">
                  <c:v>32.083333333333151</c:v>
                </c:pt>
                <c:pt idx="386">
                  <c:v>32.166666666666487</c:v>
                </c:pt>
                <c:pt idx="387">
                  <c:v>32.249999999999822</c:v>
                </c:pt>
                <c:pt idx="388">
                  <c:v>32.333333333333158</c:v>
                </c:pt>
                <c:pt idx="389">
                  <c:v>32.416666666666494</c:v>
                </c:pt>
                <c:pt idx="390">
                  <c:v>32.499999999999829</c:v>
                </c:pt>
                <c:pt idx="391">
                  <c:v>32.583333333333165</c:v>
                </c:pt>
                <c:pt idx="392">
                  <c:v>32.666666666666501</c:v>
                </c:pt>
                <c:pt idx="393">
                  <c:v>32.749999999999837</c:v>
                </c:pt>
                <c:pt idx="394">
                  <c:v>32.833333333333172</c:v>
                </c:pt>
                <c:pt idx="395">
                  <c:v>32.916666666666508</c:v>
                </c:pt>
                <c:pt idx="396">
                  <c:v>32.999999999999844</c:v>
                </c:pt>
                <c:pt idx="397">
                  <c:v>33.083333333333179</c:v>
                </c:pt>
                <c:pt idx="398">
                  <c:v>33.166666666666515</c:v>
                </c:pt>
                <c:pt idx="399">
                  <c:v>33.249999999999851</c:v>
                </c:pt>
                <c:pt idx="400">
                  <c:v>33.333333333333186</c:v>
                </c:pt>
                <c:pt idx="401">
                  <c:v>33.416666666666522</c:v>
                </c:pt>
                <c:pt idx="402">
                  <c:v>33.499999999999858</c:v>
                </c:pt>
                <c:pt idx="403">
                  <c:v>33.583333333333194</c:v>
                </c:pt>
                <c:pt idx="404">
                  <c:v>33.666666666666529</c:v>
                </c:pt>
                <c:pt idx="405">
                  <c:v>33.749999999999865</c:v>
                </c:pt>
                <c:pt idx="406">
                  <c:v>33.833333333333201</c:v>
                </c:pt>
                <c:pt idx="407">
                  <c:v>33.916666666666536</c:v>
                </c:pt>
                <c:pt idx="408">
                  <c:v>33.999999999999872</c:v>
                </c:pt>
                <c:pt idx="409">
                  <c:v>34.083333333333208</c:v>
                </c:pt>
                <c:pt idx="410">
                  <c:v>34.166666666666544</c:v>
                </c:pt>
                <c:pt idx="411">
                  <c:v>34.249999999999879</c:v>
                </c:pt>
                <c:pt idx="412">
                  <c:v>34.333333333333215</c:v>
                </c:pt>
                <c:pt idx="413">
                  <c:v>34.416666666666551</c:v>
                </c:pt>
                <c:pt idx="414">
                  <c:v>34.499999999999886</c:v>
                </c:pt>
                <c:pt idx="415">
                  <c:v>34.583333333333222</c:v>
                </c:pt>
                <c:pt idx="416">
                  <c:v>34.666666666666558</c:v>
                </c:pt>
                <c:pt idx="417">
                  <c:v>34.749999999999893</c:v>
                </c:pt>
                <c:pt idx="418">
                  <c:v>34.833333333333229</c:v>
                </c:pt>
                <c:pt idx="419">
                  <c:v>34.916666666666565</c:v>
                </c:pt>
                <c:pt idx="420">
                  <c:v>34.999999999999901</c:v>
                </c:pt>
                <c:pt idx="421">
                  <c:v>35.083333333333236</c:v>
                </c:pt>
                <c:pt idx="422">
                  <c:v>35.166666666666572</c:v>
                </c:pt>
                <c:pt idx="423">
                  <c:v>35.249999999999908</c:v>
                </c:pt>
                <c:pt idx="424">
                  <c:v>35.333333333333243</c:v>
                </c:pt>
                <c:pt idx="425">
                  <c:v>35.416666666666579</c:v>
                </c:pt>
                <c:pt idx="426">
                  <c:v>35.499999999999915</c:v>
                </c:pt>
                <c:pt idx="427">
                  <c:v>35.58333333333325</c:v>
                </c:pt>
                <c:pt idx="428">
                  <c:v>35.666666666666586</c:v>
                </c:pt>
                <c:pt idx="429">
                  <c:v>35.749999999999922</c:v>
                </c:pt>
                <c:pt idx="430">
                  <c:v>35.833333333333258</c:v>
                </c:pt>
                <c:pt idx="431">
                  <c:v>35.916666666666593</c:v>
                </c:pt>
                <c:pt idx="432">
                  <c:v>35.999999999999929</c:v>
                </c:pt>
                <c:pt idx="433">
                  <c:v>36.083333333333265</c:v>
                </c:pt>
                <c:pt idx="434">
                  <c:v>36.1666666666666</c:v>
                </c:pt>
                <c:pt idx="435">
                  <c:v>36.249999999999936</c:v>
                </c:pt>
                <c:pt idx="436">
                  <c:v>36.333333333333272</c:v>
                </c:pt>
                <c:pt idx="437">
                  <c:v>36.416666666666607</c:v>
                </c:pt>
                <c:pt idx="438">
                  <c:v>36.499999999999943</c:v>
                </c:pt>
                <c:pt idx="439">
                  <c:v>36.583333333333279</c:v>
                </c:pt>
                <c:pt idx="440">
                  <c:v>36.666666666666615</c:v>
                </c:pt>
                <c:pt idx="441">
                  <c:v>36.74999999999995</c:v>
                </c:pt>
                <c:pt idx="442">
                  <c:v>36.833333333333286</c:v>
                </c:pt>
                <c:pt idx="443">
                  <c:v>36.916666666666622</c:v>
                </c:pt>
                <c:pt idx="444">
                  <c:v>36.999999999999957</c:v>
                </c:pt>
                <c:pt idx="445">
                  <c:v>37.083333333333293</c:v>
                </c:pt>
                <c:pt idx="446">
                  <c:v>37.166666666666629</c:v>
                </c:pt>
                <c:pt idx="447">
                  <c:v>37.249999999999964</c:v>
                </c:pt>
                <c:pt idx="448">
                  <c:v>37.3333333333333</c:v>
                </c:pt>
                <c:pt idx="449">
                  <c:v>37.416666666666636</c:v>
                </c:pt>
                <c:pt idx="450">
                  <c:v>37.499999999999972</c:v>
                </c:pt>
                <c:pt idx="451">
                  <c:v>37.583333333333307</c:v>
                </c:pt>
                <c:pt idx="452">
                  <c:v>37.666666666666643</c:v>
                </c:pt>
                <c:pt idx="453">
                  <c:v>37.749999999999979</c:v>
                </c:pt>
                <c:pt idx="454">
                  <c:v>37.833333333333314</c:v>
                </c:pt>
                <c:pt idx="455">
                  <c:v>37.91666666666665</c:v>
                </c:pt>
                <c:pt idx="456">
                  <c:v>37.999999999999986</c:v>
                </c:pt>
                <c:pt idx="457">
                  <c:v>38.083333333333321</c:v>
                </c:pt>
                <c:pt idx="458">
                  <c:v>38.166666666666657</c:v>
                </c:pt>
                <c:pt idx="459">
                  <c:v>38.249999999999993</c:v>
                </c:pt>
                <c:pt idx="460">
                  <c:v>38.333333333333329</c:v>
                </c:pt>
                <c:pt idx="461">
                  <c:v>38.416666666666664</c:v>
                </c:pt>
                <c:pt idx="462">
                  <c:v>38.5</c:v>
                </c:pt>
                <c:pt idx="463">
                  <c:v>38.583333333333336</c:v>
                </c:pt>
                <c:pt idx="464">
                  <c:v>38.666666666666671</c:v>
                </c:pt>
                <c:pt idx="465">
                  <c:v>38.750000000000007</c:v>
                </c:pt>
                <c:pt idx="466">
                  <c:v>38.833333333333343</c:v>
                </c:pt>
                <c:pt idx="467">
                  <c:v>38.916666666666679</c:v>
                </c:pt>
                <c:pt idx="468">
                  <c:v>39.000000000000014</c:v>
                </c:pt>
                <c:pt idx="469">
                  <c:v>39.08333333333335</c:v>
                </c:pt>
                <c:pt idx="470">
                  <c:v>39.166666666666686</c:v>
                </c:pt>
                <c:pt idx="471">
                  <c:v>39.250000000000021</c:v>
                </c:pt>
                <c:pt idx="472">
                  <c:v>39.333333333333357</c:v>
                </c:pt>
                <c:pt idx="473">
                  <c:v>39.416666666666693</c:v>
                </c:pt>
                <c:pt idx="474">
                  <c:v>39.500000000000028</c:v>
                </c:pt>
                <c:pt idx="475">
                  <c:v>39.583333333333364</c:v>
                </c:pt>
                <c:pt idx="476">
                  <c:v>39.6666666666667</c:v>
                </c:pt>
                <c:pt idx="477">
                  <c:v>39.750000000000036</c:v>
                </c:pt>
                <c:pt idx="478">
                  <c:v>39.833333333333371</c:v>
                </c:pt>
                <c:pt idx="479">
                  <c:v>39.916666666666707</c:v>
                </c:pt>
                <c:pt idx="480">
                  <c:v>40.000000000000043</c:v>
                </c:pt>
                <c:pt idx="481">
                  <c:v>40.083333333333378</c:v>
                </c:pt>
                <c:pt idx="482">
                  <c:v>40.166666666666714</c:v>
                </c:pt>
                <c:pt idx="483">
                  <c:v>40.25000000000005</c:v>
                </c:pt>
                <c:pt idx="484">
                  <c:v>40.333333333333385</c:v>
                </c:pt>
                <c:pt idx="485">
                  <c:v>40.416666666666721</c:v>
                </c:pt>
                <c:pt idx="486">
                  <c:v>40.500000000000057</c:v>
                </c:pt>
                <c:pt idx="487">
                  <c:v>40.583333333333393</c:v>
                </c:pt>
                <c:pt idx="488">
                  <c:v>40.666666666666728</c:v>
                </c:pt>
                <c:pt idx="489">
                  <c:v>40.750000000000064</c:v>
                </c:pt>
                <c:pt idx="490">
                  <c:v>40.8333333333334</c:v>
                </c:pt>
                <c:pt idx="491">
                  <c:v>40.916666666666735</c:v>
                </c:pt>
                <c:pt idx="492">
                  <c:v>41.000000000000071</c:v>
                </c:pt>
                <c:pt idx="493">
                  <c:v>41.083333333333407</c:v>
                </c:pt>
                <c:pt idx="494">
                  <c:v>41.166666666666742</c:v>
                </c:pt>
                <c:pt idx="495">
                  <c:v>41.250000000000078</c:v>
                </c:pt>
                <c:pt idx="496">
                  <c:v>41.333333333333414</c:v>
                </c:pt>
                <c:pt idx="497">
                  <c:v>41.41666666666675</c:v>
                </c:pt>
                <c:pt idx="498">
                  <c:v>41.500000000000085</c:v>
                </c:pt>
                <c:pt idx="499">
                  <c:v>41.583333333333421</c:v>
                </c:pt>
                <c:pt idx="500">
                  <c:v>41.666666666666757</c:v>
                </c:pt>
                <c:pt idx="501">
                  <c:v>41.750000000000092</c:v>
                </c:pt>
                <c:pt idx="502">
                  <c:v>41.833333333333428</c:v>
                </c:pt>
                <c:pt idx="503">
                  <c:v>41.916666666666764</c:v>
                </c:pt>
                <c:pt idx="504">
                  <c:v>42.000000000000099</c:v>
                </c:pt>
                <c:pt idx="505">
                  <c:v>42.083333333333435</c:v>
                </c:pt>
                <c:pt idx="506">
                  <c:v>42.166666666666771</c:v>
                </c:pt>
                <c:pt idx="507">
                  <c:v>42.250000000000107</c:v>
                </c:pt>
                <c:pt idx="508">
                  <c:v>42.333333333333442</c:v>
                </c:pt>
                <c:pt idx="509">
                  <c:v>42.416666666666778</c:v>
                </c:pt>
                <c:pt idx="510">
                  <c:v>42.500000000000114</c:v>
                </c:pt>
                <c:pt idx="511">
                  <c:v>42.583333333333449</c:v>
                </c:pt>
                <c:pt idx="512">
                  <c:v>42.666666666666785</c:v>
                </c:pt>
                <c:pt idx="513">
                  <c:v>42.750000000000121</c:v>
                </c:pt>
                <c:pt idx="514">
                  <c:v>42.833333333333456</c:v>
                </c:pt>
                <c:pt idx="515">
                  <c:v>42.916666666666792</c:v>
                </c:pt>
                <c:pt idx="516">
                  <c:v>43.000000000000128</c:v>
                </c:pt>
                <c:pt idx="517">
                  <c:v>43.083333333333464</c:v>
                </c:pt>
                <c:pt idx="518">
                  <c:v>43.166666666666799</c:v>
                </c:pt>
                <c:pt idx="519">
                  <c:v>43.250000000000135</c:v>
                </c:pt>
                <c:pt idx="520">
                  <c:v>43.333333333333471</c:v>
                </c:pt>
                <c:pt idx="521">
                  <c:v>43.416666666666806</c:v>
                </c:pt>
                <c:pt idx="522">
                  <c:v>43.500000000000142</c:v>
                </c:pt>
                <c:pt idx="523">
                  <c:v>43.583333333333478</c:v>
                </c:pt>
                <c:pt idx="524">
                  <c:v>43.666666666666814</c:v>
                </c:pt>
                <c:pt idx="525">
                  <c:v>43.750000000000149</c:v>
                </c:pt>
                <c:pt idx="526">
                  <c:v>43.833333333333485</c:v>
                </c:pt>
                <c:pt idx="527">
                  <c:v>43.916666666666821</c:v>
                </c:pt>
                <c:pt idx="528">
                  <c:v>44.000000000000156</c:v>
                </c:pt>
                <c:pt idx="529">
                  <c:v>44.083333333333492</c:v>
                </c:pt>
                <c:pt idx="530">
                  <c:v>44.166666666666828</c:v>
                </c:pt>
                <c:pt idx="531">
                  <c:v>44.250000000000163</c:v>
                </c:pt>
                <c:pt idx="532">
                  <c:v>44.333333333333499</c:v>
                </c:pt>
                <c:pt idx="533">
                  <c:v>44.416666666666835</c:v>
                </c:pt>
                <c:pt idx="534">
                  <c:v>44.500000000000171</c:v>
                </c:pt>
                <c:pt idx="535">
                  <c:v>44.583333333333506</c:v>
                </c:pt>
                <c:pt idx="536">
                  <c:v>44.666666666666842</c:v>
                </c:pt>
                <c:pt idx="537">
                  <c:v>44.750000000000178</c:v>
                </c:pt>
                <c:pt idx="538">
                  <c:v>44.833333333333513</c:v>
                </c:pt>
                <c:pt idx="539">
                  <c:v>44.916666666666849</c:v>
                </c:pt>
                <c:pt idx="540">
                  <c:v>45.000000000000185</c:v>
                </c:pt>
                <c:pt idx="541">
                  <c:v>45.08333333333352</c:v>
                </c:pt>
                <c:pt idx="542">
                  <c:v>45.166666666666856</c:v>
                </c:pt>
                <c:pt idx="543">
                  <c:v>45.250000000000192</c:v>
                </c:pt>
                <c:pt idx="544">
                  <c:v>45.333333333333528</c:v>
                </c:pt>
                <c:pt idx="545">
                  <c:v>45.416666666666863</c:v>
                </c:pt>
                <c:pt idx="546">
                  <c:v>45.500000000000199</c:v>
                </c:pt>
                <c:pt idx="547">
                  <c:v>45.583333333333535</c:v>
                </c:pt>
                <c:pt idx="548">
                  <c:v>45.66666666666687</c:v>
                </c:pt>
                <c:pt idx="549">
                  <c:v>45.750000000000206</c:v>
                </c:pt>
                <c:pt idx="550">
                  <c:v>45.833333333333542</c:v>
                </c:pt>
                <c:pt idx="551">
                  <c:v>45.916666666666877</c:v>
                </c:pt>
                <c:pt idx="552">
                  <c:v>46.000000000000213</c:v>
                </c:pt>
                <c:pt idx="553">
                  <c:v>46.083333333333549</c:v>
                </c:pt>
                <c:pt idx="554">
                  <c:v>46.166666666666885</c:v>
                </c:pt>
                <c:pt idx="555">
                  <c:v>46.25000000000022</c:v>
                </c:pt>
                <c:pt idx="556">
                  <c:v>46.333333333333556</c:v>
                </c:pt>
                <c:pt idx="557">
                  <c:v>46.416666666666892</c:v>
                </c:pt>
                <c:pt idx="558">
                  <c:v>46.500000000000227</c:v>
                </c:pt>
                <c:pt idx="559">
                  <c:v>46.583333333333563</c:v>
                </c:pt>
                <c:pt idx="560">
                  <c:v>46.666666666666899</c:v>
                </c:pt>
                <c:pt idx="561">
                  <c:v>46.750000000000234</c:v>
                </c:pt>
                <c:pt idx="562">
                  <c:v>46.83333333333357</c:v>
                </c:pt>
                <c:pt idx="563">
                  <c:v>46.916666666666906</c:v>
                </c:pt>
                <c:pt idx="564">
                  <c:v>47.000000000000242</c:v>
                </c:pt>
                <c:pt idx="565">
                  <c:v>47.083333333333577</c:v>
                </c:pt>
                <c:pt idx="566">
                  <c:v>47.166666666666913</c:v>
                </c:pt>
                <c:pt idx="567">
                  <c:v>47.250000000000249</c:v>
                </c:pt>
                <c:pt idx="568">
                  <c:v>47.333333333333584</c:v>
                </c:pt>
                <c:pt idx="569">
                  <c:v>47.41666666666692</c:v>
                </c:pt>
                <c:pt idx="570">
                  <c:v>47.500000000000256</c:v>
                </c:pt>
                <c:pt idx="571">
                  <c:v>47.583333333333591</c:v>
                </c:pt>
                <c:pt idx="572">
                  <c:v>47.666666666666927</c:v>
                </c:pt>
                <c:pt idx="573">
                  <c:v>47.750000000000263</c:v>
                </c:pt>
                <c:pt idx="574">
                  <c:v>47.833333333333599</c:v>
                </c:pt>
                <c:pt idx="575">
                  <c:v>47.916666666666934</c:v>
                </c:pt>
                <c:pt idx="576">
                  <c:v>48.00000000000027</c:v>
                </c:pt>
                <c:pt idx="577">
                  <c:v>48.083333333333606</c:v>
                </c:pt>
                <c:pt idx="578">
                  <c:v>48.166666666666941</c:v>
                </c:pt>
                <c:pt idx="579">
                  <c:v>48.250000000000277</c:v>
                </c:pt>
                <c:pt idx="580">
                  <c:v>48.333333333333613</c:v>
                </c:pt>
                <c:pt idx="581">
                  <c:v>48.416666666666949</c:v>
                </c:pt>
                <c:pt idx="582">
                  <c:v>48.500000000000284</c:v>
                </c:pt>
                <c:pt idx="583">
                  <c:v>48.58333333333362</c:v>
                </c:pt>
                <c:pt idx="584">
                  <c:v>48.666666666666956</c:v>
                </c:pt>
                <c:pt idx="585">
                  <c:v>48.750000000000291</c:v>
                </c:pt>
                <c:pt idx="586">
                  <c:v>48.833333333333627</c:v>
                </c:pt>
                <c:pt idx="587">
                  <c:v>48.916666666666963</c:v>
                </c:pt>
                <c:pt idx="588">
                  <c:v>49.000000000000298</c:v>
                </c:pt>
                <c:pt idx="589">
                  <c:v>49.083333333333634</c:v>
                </c:pt>
                <c:pt idx="590">
                  <c:v>49.16666666666697</c:v>
                </c:pt>
                <c:pt idx="591">
                  <c:v>49.250000000000306</c:v>
                </c:pt>
                <c:pt idx="592">
                  <c:v>49.333333333333641</c:v>
                </c:pt>
                <c:pt idx="593">
                  <c:v>49.416666666666977</c:v>
                </c:pt>
                <c:pt idx="594">
                  <c:v>49.500000000000313</c:v>
                </c:pt>
                <c:pt idx="595">
                  <c:v>49.583333333333648</c:v>
                </c:pt>
                <c:pt idx="596">
                  <c:v>49.666666666666984</c:v>
                </c:pt>
                <c:pt idx="597">
                  <c:v>49.75000000000032</c:v>
                </c:pt>
                <c:pt idx="598">
                  <c:v>49.833333333333655</c:v>
                </c:pt>
                <c:pt idx="599">
                  <c:v>49.916666666666991</c:v>
                </c:pt>
                <c:pt idx="600">
                  <c:v>50.000000000000327</c:v>
                </c:pt>
                <c:pt idx="601">
                  <c:v>50.083333333333663</c:v>
                </c:pt>
                <c:pt idx="602">
                  <c:v>50.166666666666998</c:v>
                </c:pt>
                <c:pt idx="603">
                  <c:v>50.250000000000334</c:v>
                </c:pt>
                <c:pt idx="604">
                  <c:v>50.33333333333367</c:v>
                </c:pt>
                <c:pt idx="605">
                  <c:v>50.416666666667005</c:v>
                </c:pt>
                <c:pt idx="606">
                  <c:v>50.500000000000341</c:v>
                </c:pt>
                <c:pt idx="607">
                  <c:v>50.583333333333677</c:v>
                </c:pt>
                <c:pt idx="608">
                  <c:v>50.666666666667012</c:v>
                </c:pt>
                <c:pt idx="609">
                  <c:v>50.750000000000348</c:v>
                </c:pt>
                <c:pt idx="610">
                  <c:v>50.833333333333684</c:v>
                </c:pt>
                <c:pt idx="611">
                  <c:v>50.91666666666702</c:v>
                </c:pt>
                <c:pt idx="612">
                  <c:v>51.000000000000355</c:v>
                </c:pt>
                <c:pt idx="613">
                  <c:v>51.083333333333691</c:v>
                </c:pt>
                <c:pt idx="614">
                  <c:v>51.166666666667027</c:v>
                </c:pt>
                <c:pt idx="615">
                  <c:v>51.250000000000362</c:v>
                </c:pt>
                <c:pt idx="616">
                  <c:v>51.333333333333698</c:v>
                </c:pt>
                <c:pt idx="617">
                  <c:v>51.416666666667034</c:v>
                </c:pt>
                <c:pt idx="618">
                  <c:v>51.500000000000369</c:v>
                </c:pt>
                <c:pt idx="619">
                  <c:v>51.583333333333705</c:v>
                </c:pt>
                <c:pt idx="620">
                  <c:v>51.666666666667041</c:v>
                </c:pt>
                <c:pt idx="621">
                  <c:v>51.750000000000377</c:v>
                </c:pt>
                <c:pt idx="622">
                  <c:v>51.833333333333712</c:v>
                </c:pt>
                <c:pt idx="623">
                  <c:v>51.916666666667048</c:v>
                </c:pt>
                <c:pt idx="624">
                  <c:v>52.000000000000384</c:v>
                </c:pt>
                <c:pt idx="625">
                  <c:v>52.083333333333719</c:v>
                </c:pt>
                <c:pt idx="626">
                  <c:v>52.166666666667055</c:v>
                </c:pt>
                <c:pt idx="627">
                  <c:v>52.250000000000391</c:v>
                </c:pt>
                <c:pt idx="628">
                  <c:v>52.333333333333727</c:v>
                </c:pt>
                <c:pt idx="629">
                  <c:v>52.416666666667062</c:v>
                </c:pt>
                <c:pt idx="630">
                  <c:v>52.500000000000398</c:v>
                </c:pt>
                <c:pt idx="631">
                  <c:v>52.583333333333734</c:v>
                </c:pt>
                <c:pt idx="632">
                  <c:v>52.666666666667069</c:v>
                </c:pt>
                <c:pt idx="633">
                  <c:v>52.750000000000405</c:v>
                </c:pt>
                <c:pt idx="634">
                  <c:v>52.833333333333741</c:v>
                </c:pt>
                <c:pt idx="635">
                  <c:v>52.916666666667076</c:v>
                </c:pt>
                <c:pt idx="636">
                  <c:v>53.000000000000412</c:v>
                </c:pt>
                <c:pt idx="637">
                  <c:v>53.083333333333748</c:v>
                </c:pt>
                <c:pt idx="638">
                  <c:v>53.166666666667084</c:v>
                </c:pt>
                <c:pt idx="639">
                  <c:v>53.250000000000419</c:v>
                </c:pt>
                <c:pt idx="640">
                  <c:v>53.333333333333755</c:v>
                </c:pt>
                <c:pt idx="641">
                  <c:v>53.416666666667091</c:v>
                </c:pt>
                <c:pt idx="642">
                  <c:v>53.500000000000426</c:v>
                </c:pt>
                <c:pt idx="643">
                  <c:v>53.583333333333762</c:v>
                </c:pt>
                <c:pt idx="644">
                  <c:v>53.666666666667098</c:v>
                </c:pt>
                <c:pt idx="645">
                  <c:v>53.750000000000433</c:v>
                </c:pt>
                <c:pt idx="646">
                  <c:v>53.833333333333769</c:v>
                </c:pt>
                <c:pt idx="647">
                  <c:v>53.916666666667105</c:v>
                </c:pt>
                <c:pt idx="648">
                  <c:v>54.000000000000441</c:v>
                </c:pt>
                <c:pt idx="649">
                  <c:v>54.083333333333776</c:v>
                </c:pt>
                <c:pt idx="650">
                  <c:v>54.166666666667112</c:v>
                </c:pt>
                <c:pt idx="651">
                  <c:v>54.250000000000448</c:v>
                </c:pt>
                <c:pt idx="652">
                  <c:v>54.333333333333783</c:v>
                </c:pt>
                <c:pt idx="653">
                  <c:v>54.416666666667119</c:v>
                </c:pt>
                <c:pt idx="654">
                  <c:v>54.500000000000455</c:v>
                </c:pt>
                <c:pt idx="655">
                  <c:v>54.58333333333379</c:v>
                </c:pt>
                <c:pt idx="656">
                  <c:v>54.666666666667126</c:v>
                </c:pt>
                <c:pt idx="657">
                  <c:v>54.750000000000462</c:v>
                </c:pt>
                <c:pt idx="658">
                  <c:v>54.833333333333798</c:v>
                </c:pt>
                <c:pt idx="659">
                  <c:v>54.916666666667133</c:v>
                </c:pt>
                <c:pt idx="660">
                  <c:v>55.000000000000469</c:v>
                </c:pt>
                <c:pt idx="661">
                  <c:v>55.083333333333805</c:v>
                </c:pt>
                <c:pt idx="662">
                  <c:v>55.16666666666714</c:v>
                </c:pt>
                <c:pt idx="663">
                  <c:v>55.250000000000476</c:v>
                </c:pt>
                <c:pt idx="664">
                  <c:v>55.333333333333812</c:v>
                </c:pt>
                <c:pt idx="665">
                  <c:v>55.416666666667147</c:v>
                </c:pt>
                <c:pt idx="666">
                  <c:v>55.500000000000483</c:v>
                </c:pt>
                <c:pt idx="667">
                  <c:v>55.583333333333819</c:v>
                </c:pt>
                <c:pt idx="668">
                  <c:v>55.666666666667155</c:v>
                </c:pt>
                <c:pt idx="669">
                  <c:v>55.75000000000049</c:v>
                </c:pt>
                <c:pt idx="670">
                  <c:v>55.833333333333826</c:v>
                </c:pt>
                <c:pt idx="671">
                  <c:v>55.916666666667162</c:v>
                </c:pt>
                <c:pt idx="672">
                  <c:v>56.000000000000497</c:v>
                </c:pt>
                <c:pt idx="673">
                  <c:v>56.083333333333833</c:v>
                </c:pt>
                <c:pt idx="674">
                  <c:v>56.166666666667169</c:v>
                </c:pt>
                <c:pt idx="675">
                  <c:v>56.250000000000504</c:v>
                </c:pt>
                <c:pt idx="676">
                  <c:v>56.33333333333384</c:v>
                </c:pt>
                <c:pt idx="677">
                  <c:v>56.416666666667176</c:v>
                </c:pt>
                <c:pt idx="678">
                  <c:v>56.500000000000512</c:v>
                </c:pt>
                <c:pt idx="679">
                  <c:v>56.583333333333847</c:v>
                </c:pt>
                <c:pt idx="680">
                  <c:v>56.666666666667183</c:v>
                </c:pt>
                <c:pt idx="681">
                  <c:v>56.750000000000519</c:v>
                </c:pt>
                <c:pt idx="682">
                  <c:v>56.833333333333854</c:v>
                </c:pt>
                <c:pt idx="683">
                  <c:v>56.91666666666719</c:v>
                </c:pt>
                <c:pt idx="684">
                  <c:v>57.000000000000526</c:v>
                </c:pt>
                <c:pt idx="685">
                  <c:v>57.083333333333862</c:v>
                </c:pt>
                <c:pt idx="686">
                  <c:v>57.166666666667197</c:v>
                </c:pt>
                <c:pt idx="687">
                  <c:v>57.250000000000533</c:v>
                </c:pt>
                <c:pt idx="688">
                  <c:v>57.333333333333869</c:v>
                </c:pt>
                <c:pt idx="689">
                  <c:v>57.416666666667204</c:v>
                </c:pt>
                <c:pt idx="690">
                  <c:v>57.50000000000054</c:v>
                </c:pt>
                <c:pt idx="691">
                  <c:v>57.583333333333876</c:v>
                </c:pt>
                <c:pt idx="692">
                  <c:v>57.666666666667211</c:v>
                </c:pt>
                <c:pt idx="693">
                  <c:v>57.750000000000547</c:v>
                </c:pt>
                <c:pt idx="694">
                  <c:v>57.833333333333883</c:v>
                </c:pt>
                <c:pt idx="695">
                  <c:v>57.916666666667219</c:v>
                </c:pt>
                <c:pt idx="696">
                  <c:v>58.000000000000554</c:v>
                </c:pt>
                <c:pt idx="697">
                  <c:v>58.08333333333389</c:v>
                </c:pt>
                <c:pt idx="698">
                  <c:v>58.166666666667226</c:v>
                </c:pt>
                <c:pt idx="699">
                  <c:v>58.250000000000561</c:v>
                </c:pt>
                <c:pt idx="700">
                  <c:v>58.333333333333897</c:v>
                </c:pt>
                <c:pt idx="701">
                  <c:v>58.416666666667233</c:v>
                </c:pt>
                <c:pt idx="702">
                  <c:v>58.500000000000568</c:v>
                </c:pt>
                <c:pt idx="703">
                  <c:v>58.583333333333904</c:v>
                </c:pt>
                <c:pt idx="704">
                  <c:v>58.66666666666724</c:v>
                </c:pt>
                <c:pt idx="705">
                  <c:v>58.750000000000576</c:v>
                </c:pt>
                <c:pt idx="706">
                  <c:v>58.833333333333911</c:v>
                </c:pt>
                <c:pt idx="707">
                  <c:v>58.916666666667247</c:v>
                </c:pt>
                <c:pt idx="708">
                  <c:v>59.000000000000583</c:v>
                </c:pt>
                <c:pt idx="709">
                  <c:v>59.083333333333918</c:v>
                </c:pt>
                <c:pt idx="710">
                  <c:v>59.166666666667254</c:v>
                </c:pt>
                <c:pt idx="711">
                  <c:v>59.25000000000059</c:v>
                </c:pt>
                <c:pt idx="712">
                  <c:v>59.333333333333925</c:v>
                </c:pt>
                <c:pt idx="713">
                  <c:v>59.416666666667261</c:v>
                </c:pt>
                <c:pt idx="714">
                  <c:v>59.500000000000597</c:v>
                </c:pt>
                <c:pt idx="715">
                  <c:v>59.583333333333933</c:v>
                </c:pt>
                <c:pt idx="716">
                  <c:v>59.666666666667268</c:v>
                </c:pt>
                <c:pt idx="717">
                  <c:v>59.750000000000604</c:v>
                </c:pt>
                <c:pt idx="718">
                  <c:v>59.83333333333394</c:v>
                </c:pt>
                <c:pt idx="719">
                  <c:v>59.916666666667275</c:v>
                </c:pt>
              </c:numCache>
            </c:numRef>
          </c:xVal>
          <c:yVal>
            <c:numRef>
              <c:f>Output!$AG$12:$AG$731</c:f>
              <c:numCache>
                <c:formatCode>General</c:formatCode>
                <c:ptCount val="720"/>
                <c:pt idx="0">
                  <c:v>8.0799627792704387E-2</c:v>
                </c:pt>
                <c:pt idx="1">
                  <c:v>8.0062410384562244E-2</c:v>
                </c:pt>
                <c:pt idx="2">
                  <c:v>8.0418286355177088E-2</c:v>
                </c:pt>
                <c:pt idx="3">
                  <c:v>8.1005404872129039E-2</c:v>
                </c:pt>
                <c:pt idx="4">
                  <c:v>8.0759835426134075E-2</c:v>
                </c:pt>
                <c:pt idx="5">
                  <c:v>8.0494010058801427E-2</c:v>
                </c:pt>
                <c:pt idx="6">
                  <c:v>8.0911164131088426E-2</c:v>
                </c:pt>
                <c:pt idx="7">
                  <c:v>8.052274026544004E-2</c:v>
                </c:pt>
                <c:pt idx="8">
                  <c:v>8.0235970323871392E-2</c:v>
                </c:pt>
                <c:pt idx="9">
                  <c:v>8.0621288878913719E-2</c:v>
                </c:pt>
                <c:pt idx="10">
                  <c:v>8.0492633967407703E-2</c:v>
                </c:pt>
                <c:pt idx="11">
                  <c:v>8.0472201617724143E-2</c:v>
                </c:pt>
                <c:pt idx="12">
                  <c:v>8.1060622885050643E-2</c:v>
                </c:pt>
                <c:pt idx="13">
                  <c:v>8.1246869967910265E-2</c:v>
                </c:pt>
                <c:pt idx="14">
                  <c:v>8.1598356591562837E-2</c:v>
                </c:pt>
                <c:pt idx="15">
                  <c:v>8.1312488843408373E-2</c:v>
                </c:pt>
                <c:pt idx="16">
                  <c:v>8.1633872209915831E-2</c:v>
                </c:pt>
                <c:pt idx="17">
                  <c:v>8.1594834552281267E-2</c:v>
                </c:pt>
                <c:pt idx="18">
                  <c:v>8.1780025178349619E-2</c:v>
                </c:pt>
                <c:pt idx="19">
                  <c:v>8.1846421559221672E-2</c:v>
                </c:pt>
                <c:pt idx="20">
                  <c:v>8.1780336257436526E-2</c:v>
                </c:pt>
                <c:pt idx="21">
                  <c:v>8.1994559579097598E-2</c:v>
                </c:pt>
                <c:pt idx="22">
                  <c:v>8.1997130686161143E-2</c:v>
                </c:pt>
                <c:pt idx="23">
                  <c:v>8.2184955404526985E-2</c:v>
                </c:pt>
                <c:pt idx="24">
                  <c:v>8.2527921021970638E-2</c:v>
                </c:pt>
                <c:pt idx="25">
                  <c:v>8.2482329759304751E-2</c:v>
                </c:pt>
                <c:pt idx="26">
                  <c:v>8.2555233780354773E-2</c:v>
                </c:pt>
                <c:pt idx="27">
                  <c:v>8.2745555775126878E-2</c:v>
                </c:pt>
                <c:pt idx="28">
                  <c:v>8.2796005310451753E-2</c:v>
                </c:pt>
                <c:pt idx="29">
                  <c:v>8.3151479719900806E-2</c:v>
                </c:pt>
                <c:pt idx="30">
                  <c:v>8.3245124356955816E-2</c:v>
                </c:pt>
                <c:pt idx="31">
                  <c:v>8.3516397392837047E-2</c:v>
                </c:pt>
                <c:pt idx="32">
                  <c:v>8.4224549426729287E-2</c:v>
                </c:pt>
                <c:pt idx="33">
                  <c:v>8.4076194326536152E-2</c:v>
                </c:pt>
                <c:pt idx="34">
                  <c:v>8.4328943729572337E-2</c:v>
                </c:pt>
                <c:pt idx="35">
                  <c:v>8.4548280433974041E-2</c:v>
                </c:pt>
                <c:pt idx="36">
                  <c:v>8.494515827961989E-2</c:v>
                </c:pt>
                <c:pt idx="37">
                  <c:v>8.5094330124190209E-2</c:v>
                </c:pt>
                <c:pt idx="38">
                  <c:v>8.5247293542599301E-2</c:v>
                </c:pt>
                <c:pt idx="39">
                  <c:v>8.5565657385007141E-2</c:v>
                </c:pt>
                <c:pt idx="40">
                  <c:v>8.5932277410598501E-2</c:v>
                </c:pt>
                <c:pt idx="41">
                  <c:v>8.6284184854060544E-2</c:v>
                </c:pt>
                <c:pt idx="42">
                  <c:v>8.689460811806575E-2</c:v>
                </c:pt>
                <c:pt idx="43">
                  <c:v>8.6973376110231704E-2</c:v>
                </c:pt>
                <c:pt idx="44">
                  <c:v>8.7155556212143298E-2</c:v>
                </c:pt>
                <c:pt idx="45">
                  <c:v>8.7378220565294124E-2</c:v>
                </c:pt>
                <c:pt idx="46">
                  <c:v>8.7569941390394715E-2</c:v>
                </c:pt>
                <c:pt idx="47">
                  <c:v>8.8080140261213746E-2</c:v>
                </c:pt>
                <c:pt idx="48">
                  <c:v>8.8275981439932691E-2</c:v>
                </c:pt>
                <c:pt idx="49">
                  <c:v>8.8152584737685072E-2</c:v>
                </c:pt>
                <c:pt idx="50">
                  <c:v>8.8494392399509458E-2</c:v>
                </c:pt>
                <c:pt idx="51">
                  <c:v>8.8810207862730556E-2</c:v>
                </c:pt>
                <c:pt idx="52">
                  <c:v>8.874262162373614E-2</c:v>
                </c:pt>
                <c:pt idx="53">
                  <c:v>8.8894376841350528E-2</c:v>
                </c:pt>
                <c:pt idx="54">
                  <c:v>8.9092357704395317E-2</c:v>
                </c:pt>
                <c:pt idx="55">
                  <c:v>8.9321039872380562E-2</c:v>
                </c:pt>
                <c:pt idx="56">
                  <c:v>8.9623094929827465E-2</c:v>
                </c:pt>
                <c:pt idx="57">
                  <c:v>8.9805104883248402E-2</c:v>
                </c:pt>
                <c:pt idx="58">
                  <c:v>9.0052267720852758E-2</c:v>
                </c:pt>
                <c:pt idx="59">
                  <c:v>9.0224133860861672E-2</c:v>
                </c:pt>
                <c:pt idx="60">
                  <c:v>9.032654903195185E-2</c:v>
                </c:pt>
                <c:pt idx="61">
                  <c:v>9.0611840743759636E-2</c:v>
                </c:pt>
                <c:pt idx="62">
                  <c:v>9.0995290864015241E-2</c:v>
                </c:pt>
                <c:pt idx="63">
                  <c:v>9.1262458622961076E-2</c:v>
                </c:pt>
                <c:pt idx="64">
                  <c:v>9.1578499503804048E-2</c:v>
                </c:pt>
                <c:pt idx="65">
                  <c:v>9.1710286265830179E-2</c:v>
                </c:pt>
                <c:pt idx="66">
                  <c:v>9.1887519073533749E-2</c:v>
                </c:pt>
                <c:pt idx="67">
                  <c:v>9.2310807322811397E-2</c:v>
                </c:pt>
                <c:pt idx="68">
                  <c:v>9.2638423207003051E-2</c:v>
                </c:pt>
                <c:pt idx="69">
                  <c:v>9.2796571315655746E-2</c:v>
                </c:pt>
                <c:pt idx="70">
                  <c:v>9.3058549234423388E-2</c:v>
                </c:pt>
                <c:pt idx="71">
                  <c:v>9.3490191797046651E-2</c:v>
                </c:pt>
                <c:pt idx="72">
                  <c:v>9.370771530017491E-2</c:v>
                </c:pt>
                <c:pt idx="73">
                  <c:v>9.3963633699007135E-2</c:v>
                </c:pt>
                <c:pt idx="74">
                  <c:v>9.3982624842695858E-2</c:v>
                </c:pt>
                <c:pt idx="75">
                  <c:v>9.4162238230015266E-2</c:v>
                </c:pt>
                <c:pt idx="76">
                  <c:v>9.43188338801009E-2</c:v>
                </c:pt>
                <c:pt idx="77">
                  <c:v>9.4499740388171341E-2</c:v>
                </c:pt>
                <c:pt idx="78">
                  <c:v>9.4774241362791278E-2</c:v>
                </c:pt>
                <c:pt idx="79">
                  <c:v>9.4976967352754876E-2</c:v>
                </c:pt>
                <c:pt idx="80">
                  <c:v>9.5089915629503557E-2</c:v>
                </c:pt>
                <c:pt idx="81">
                  <c:v>9.5366331948149433E-2</c:v>
                </c:pt>
                <c:pt idx="82">
                  <c:v>9.5303284788154238E-2</c:v>
                </c:pt>
                <c:pt idx="83">
                  <c:v>9.5635738888373525E-2</c:v>
                </c:pt>
                <c:pt idx="84">
                  <c:v>9.5722480077244307E-2</c:v>
                </c:pt>
                <c:pt idx="85">
                  <c:v>9.595605218024017E-2</c:v>
                </c:pt>
                <c:pt idx="86">
                  <c:v>9.6204806485841995E-2</c:v>
                </c:pt>
                <c:pt idx="87">
                  <c:v>9.6180495212676367E-2</c:v>
                </c:pt>
                <c:pt idx="88">
                  <c:v>9.6338130360999474E-2</c:v>
                </c:pt>
                <c:pt idx="89">
                  <c:v>9.632894372540389E-2</c:v>
                </c:pt>
                <c:pt idx="90">
                  <c:v>9.6605199159949681E-2</c:v>
                </c:pt>
                <c:pt idx="91">
                  <c:v>9.6954927558634788E-2</c:v>
                </c:pt>
                <c:pt idx="92">
                  <c:v>9.6976046202879432E-2</c:v>
                </c:pt>
                <c:pt idx="93">
                  <c:v>9.7301690491512938E-2</c:v>
                </c:pt>
                <c:pt idx="94">
                  <c:v>9.7525882521578622E-2</c:v>
                </c:pt>
                <c:pt idx="95">
                  <c:v>9.7744435807813876E-2</c:v>
                </c:pt>
                <c:pt idx="96">
                  <c:v>9.7906020377615102E-2</c:v>
                </c:pt>
                <c:pt idx="97">
                  <c:v>9.8074698814319489E-2</c:v>
                </c:pt>
                <c:pt idx="98">
                  <c:v>9.8351052406432896E-2</c:v>
                </c:pt>
                <c:pt idx="99">
                  <c:v>9.8649900144796271E-2</c:v>
                </c:pt>
                <c:pt idx="100">
                  <c:v>9.8796897800804778E-2</c:v>
                </c:pt>
                <c:pt idx="101">
                  <c:v>9.898356023504068E-2</c:v>
                </c:pt>
                <c:pt idx="102">
                  <c:v>9.9356353645899925E-2</c:v>
                </c:pt>
                <c:pt idx="103">
                  <c:v>9.9448872053958429E-2</c:v>
                </c:pt>
                <c:pt idx="104">
                  <c:v>9.9646121902302945E-2</c:v>
                </c:pt>
                <c:pt idx="105">
                  <c:v>9.9865755102835366E-2</c:v>
                </c:pt>
                <c:pt idx="106">
                  <c:v>9.9947785176205631E-2</c:v>
                </c:pt>
                <c:pt idx="107">
                  <c:v>0.10019135693166274</c:v>
                </c:pt>
                <c:pt idx="108">
                  <c:v>0.10046449738451918</c:v>
                </c:pt>
                <c:pt idx="109">
                  <c:v>0.1005332701225429</c:v>
                </c:pt>
                <c:pt idx="110">
                  <c:v>0.10083867365029747</c:v>
                </c:pt>
                <c:pt idx="111">
                  <c:v>0.10099950368490831</c:v>
                </c:pt>
                <c:pt idx="112">
                  <c:v>0.10115374923014313</c:v>
                </c:pt>
                <c:pt idx="113">
                  <c:v>0.10130376952409983</c:v>
                </c:pt>
                <c:pt idx="114">
                  <c:v>0.10155882665773019</c:v>
                </c:pt>
                <c:pt idx="115">
                  <c:v>0.10179339008903107</c:v>
                </c:pt>
                <c:pt idx="116">
                  <c:v>0.10196876005433314</c:v>
                </c:pt>
                <c:pt idx="117">
                  <c:v>0.10246357793741287</c:v>
                </c:pt>
                <c:pt idx="118">
                  <c:v>0.10277772567449459</c:v>
                </c:pt>
                <c:pt idx="119">
                  <c:v>0.10295855089131359</c:v>
                </c:pt>
                <c:pt idx="120">
                  <c:v>0.1032212720143075</c:v>
                </c:pt>
                <c:pt idx="121">
                  <c:v>0.10375006378753238</c:v>
                </c:pt>
                <c:pt idx="122">
                  <c:v>0.10385470055558577</c:v>
                </c:pt>
                <c:pt idx="123">
                  <c:v>0.10422488420740952</c:v>
                </c:pt>
                <c:pt idx="124">
                  <c:v>0.10428986639335235</c:v>
                </c:pt>
                <c:pt idx="125">
                  <c:v>0.10449946779251786</c:v>
                </c:pt>
                <c:pt idx="126">
                  <c:v>0.10476555661359348</c:v>
                </c:pt>
                <c:pt idx="127">
                  <c:v>0.10491210396925955</c:v>
                </c:pt>
                <c:pt idx="128">
                  <c:v>0.10517008931965276</c:v>
                </c:pt>
                <c:pt idx="129">
                  <c:v>0.10537249729736178</c:v>
                </c:pt>
                <c:pt idx="130">
                  <c:v>0.10549873706463643</c:v>
                </c:pt>
                <c:pt idx="131">
                  <c:v>0.10568376292116657</c:v>
                </c:pt>
                <c:pt idx="132">
                  <c:v>0.10594315647484809</c:v>
                </c:pt>
                <c:pt idx="133">
                  <c:v>0.1061830989357105</c:v>
                </c:pt>
                <c:pt idx="134">
                  <c:v>0.10649226036657046</c:v>
                </c:pt>
                <c:pt idx="135">
                  <c:v>0.10669521707322453</c:v>
                </c:pt>
                <c:pt idx="136">
                  <c:v>0.10690353065816394</c:v>
                </c:pt>
                <c:pt idx="137">
                  <c:v>0.10714238985401417</c:v>
                </c:pt>
                <c:pt idx="138">
                  <c:v>0.10735011711429172</c:v>
                </c:pt>
                <c:pt idx="139">
                  <c:v>0.10746606671236847</c:v>
                </c:pt>
                <c:pt idx="140">
                  <c:v>0.10769693313346076</c:v>
                </c:pt>
                <c:pt idx="141">
                  <c:v>0.10774297663175443</c:v>
                </c:pt>
                <c:pt idx="142">
                  <c:v>0.10798786621577973</c:v>
                </c:pt>
                <c:pt idx="143">
                  <c:v>0.10823651513117666</c:v>
                </c:pt>
                <c:pt idx="144">
                  <c:v>0.10850995832648788</c:v>
                </c:pt>
                <c:pt idx="145">
                  <c:v>0.10876884039805972</c:v>
                </c:pt>
                <c:pt idx="146">
                  <c:v>0.10905228323753859</c:v>
                </c:pt>
                <c:pt idx="147">
                  <c:v>0.10931949433830579</c:v>
                </c:pt>
                <c:pt idx="148">
                  <c:v>0.10943360677988032</c:v>
                </c:pt>
                <c:pt idx="149">
                  <c:v>0.10969128971790912</c:v>
                </c:pt>
                <c:pt idx="150">
                  <c:v>0.11005672415705757</c:v>
                </c:pt>
                <c:pt idx="151">
                  <c:v>0.11024752235749451</c:v>
                </c:pt>
                <c:pt idx="152">
                  <c:v>0.11050844002073071</c:v>
                </c:pt>
                <c:pt idx="153">
                  <c:v>0.1107571507605361</c:v>
                </c:pt>
                <c:pt idx="154">
                  <c:v>0.1108353625454378</c:v>
                </c:pt>
                <c:pt idx="155">
                  <c:v>0.11096106948354603</c:v>
                </c:pt>
                <c:pt idx="156">
                  <c:v>0.11120332898255679</c:v>
                </c:pt>
                <c:pt idx="157">
                  <c:v>0.11135021095471886</c:v>
                </c:pt>
                <c:pt idx="158">
                  <c:v>0.11163085691285939</c:v>
                </c:pt>
                <c:pt idx="159">
                  <c:v>0.1119459510167831</c:v>
                </c:pt>
                <c:pt idx="160">
                  <c:v>0.11210199811379704</c:v>
                </c:pt>
                <c:pt idx="161">
                  <c:v>0.1122715376326997</c:v>
                </c:pt>
                <c:pt idx="162">
                  <c:v>0.11242341633625177</c:v>
                </c:pt>
                <c:pt idx="163">
                  <c:v>0.11257672133448891</c:v>
                </c:pt>
                <c:pt idx="164">
                  <c:v>0.11280500494811006</c:v>
                </c:pt>
                <c:pt idx="165">
                  <c:v>0.11320068154880515</c:v>
                </c:pt>
                <c:pt idx="166">
                  <c:v>0.11354815463496463</c:v>
                </c:pt>
                <c:pt idx="167">
                  <c:v>0.11363107268398864</c:v>
                </c:pt>
                <c:pt idx="168">
                  <c:v>0.11373895927367698</c:v>
                </c:pt>
                <c:pt idx="169">
                  <c:v>0.1139734597263098</c:v>
                </c:pt>
                <c:pt idx="170">
                  <c:v>0.1142634196082437</c:v>
                </c:pt>
                <c:pt idx="171">
                  <c:v>0.11453538208291118</c:v>
                </c:pt>
                <c:pt idx="172">
                  <c:v>0.11484316957447828</c:v>
                </c:pt>
                <c:pt idx="173">
                  <c:v>0.11496777782092854</c:v>
                </c:pt>
                <c:pt idx="174">
                  <c:v>0.11522752902556044</c:v>
                </c:pt>
                <c:pt idx="175">
                  <c:v>0.11540953494475009</c:v>
                </c:pt>
                <c:pt idx="176">
                  <c:v>0.11577513360970401</c:v>
                </c:pt>
                <c:pt idx="177">
                  <c:v>0.11595423079671807</c:v>
                </c:pt>
                <c:pt idx="178">
                  <c:v>0.11630745609733587</c:v>
                </c:pt>
                <c:pt idx="179">
                  <c:v>0.11667936047985249</c:v>
                </c:pt>
                <c:pt idx="180">
                  <c:v>0.11693472273539524</c:v>
                </c:pt>
                <c:pt idx="181">
                  <c:v>0.11719859466281601</c:v>
                </c:pt>
                <c:pt idx="182">
                  <c:v>0.11735009086157214</c:v>
                </c:pt>
                <c:pt idx="183">
                  <c:v>0.11756227189591091</c:v>
                </c:pt>
                <c:pt idx="184">
                  <c:v>0.11781931272389878</c:v>
                </c:pt>
                <c:pt idx="185">
                  <c:v>0.11809403447356401</c:v>
                </c:pt>
                <c:pt idx="186">
                  <c:v>0.11830932633172378</c:v>
                </c:pt>
                <c:pt idx="187">
                  <c:v>0.11859603164102461</c:v>
                </c:pt>
                <c:pt idx="188">
                  <c:v>0.1187712993102565</c:v>
                </c:pt>
                <c:pt idx="189">
                  <c:v>0.11907695823235746</c:v>
                </c:pt>
                <c:pt idx="190">
                  <c:v>0.11930652974946729</c:v>
                </c:pt>
                <c:pt idx="191">
                  <c:v>0.11950033509126881</c:v>
                </c:pt>
                <c:pt idx="192">
                  <c:v>0.11961351445467021</c:v>
                </c:pt>
                <c:pt idx="193">
                  <c:v>0.11987085547704618</c:v>
                </c:pt>
                <c:pt idx="194">
                  <c:v>0.12022411533446757</c:v>
                </c:pt>
                <c:pt idx="195">
                  <c:v>0.12029685149606793</c:v>
                </c:pt>
                <c:pt idx="196">
                  <c:v>0.12044038487566039</c:v>
                </c:pt>
                <c:pt idx="197">
                  <c:v>0.12074224104539159</c:v>
                </c:pt>
                <c:pt idx="198">
                  <c:v>0.12097599375899257</c:v>
                </c:pt>
                <c:pt idx="199">
                  <c:v>0.12115143942669385</c:v>
                </c:pt>
                <c:pt idx="200">
                  <c:v>0.12134271415964136</c:v>
                </c:pt>
                <c:pt idx="201">
                  <c:v>0.12142274360684943</c:v>
                </c:pt>
                <c:pt idx="202">
                  <c:v>0.12170582357752294</c:v>
                </c:pt>
                <c:pt idx="203">
                  <c:v>0.12189320281731558</c:v>
                </c:pt>
                <c:pt idx="204">
                  <c:v>0.12208576153442954</c:v>
                </c:pt>
                <c:pt idx="205">
                  <c:v>0.12237703131692365</c:v>
                </c:pt>
                <c:pt idx="206">
                  <c:v>0.12261931558755451</c:v>
                </c:pt>
                <c:pt idx="207">
                  <c:v>0.12283976252559126</c:v>
                </c:pt>
                <c:pt idx="208">
                  <c:v>0.12312311722900124</c:v>
                </c:pt>
                <c:pt idx="209">
                  <c:v>0.12336660272252534</c:v>
                </c:pt>
                <c:pt idx="210">
                  <c:v>0.12347842049339186</c:v>
                </c:pt>
                <c:pt idx="211">
                  <c:v>0.12367663054351273</c:v>
                </c:pt>
                <c:pt idx="212">
                  <c:v>0.12376182684023998</c:v>
                </c:pt>
                <c:pt idx="213">
                  <c:v>0.12401326734737925</c:v>
                </c:pt>
                <c:pt idx="214">
                  <c:v>0.12420678367390735</c:v>
                </c:pt>
                <c:pt idx="215">
                  <c:v>0.12446809480449764</c:v>
                </c:pt>
                <c:pt idx="216">
                  <c:v>0.12467869828257236</c:v>
                </c:pt>
                <c:pt idx="217">
                  <c:v>0.12485334920861528</c:v>
                </c:pt>
                <c:pt idx="218">
                  <c:v>0.1250223371827589</c:v>
                </c:pt>
                <c:pt idx="219">
                  <c:v>0.12526956109216678</c:v>
                </c:pt>
                <c:pt idx="220">
                  <c:v>0.12537937129669766</c:v>
                </c:pt>
                <c:pt idx="221">
                  <c:v>0.12554370376907772</c:v>
                </c:pt>
                <c:pt idx="222">
                  <c:v>0.12585446735351541</c:v>
                </c:pt>
                <c:pt idx="223">
                  <c:v>0.12607774429547594</c:v>
                </c:pt>
                <c:pt idx="224">
                  <c:v>0.12638703742090035</c:v>
                </c:pt>
                <c:pt idx="225">
                  <c:v>0.12654671725156452</c:v>
                </c:pt>
                <c:pt idx="226">
                  <c:v>0.12675436227805212</c:v>
                </c:pt>
                <c:pt idx="227">
                  <c:v>0.12707345504841935</c:v>
                </c:pt>
                <c:pt idx="228">
                  <c:v>0.12730586138781333</c:v>
                </c:pt>
                <c:pt idx="229">
                  <c:v>0.12757750165890527</c:v>
                </c:pt>
                <c:pt idx="230">
                  <c:v>0.12777640005746185</c:v>
                </c:pt>
                <c:pt idx="231">
                  <c:v>0.12810343526184653</c:v>
                </c:pt>
                <c:pt idx="232">
                  <c:v>0.12834989434398475</c:v>
                </c:pt>
                <c:pt idx="233">
                  <c:v>0.12857872785728588</c:v>
                </c:pt>
                <c:pt idx="234">
                  <c:v>0.12869095524467469</c:v>
                </c:pt>
                <c:pt idx="235">
                  <c:v>0.12887111085172898</c:v>
                </c:pt>
                <c:pt idx="236">
                  <c:v>0.12911915527280921</c:v>
                </c:pt>
                <c:pt idx="237">
                  <c:v>0.12951161454498913</c:v>
                </c:pt>
                <c:pt idx="238">
                  <c:v>0.12975622871916748</c:v>
                </c:pt>
                <c:pt idx="239">
                  <c:v>0.12999341030738285</c:v>
                </c:pt>
                <c:pt idx="240">
                  <c:v>0.13015285238635524</c:v>
                </c:pt>
                <c:pt idx="241">
                  <c:v>0.13040133230141043</c:v>
                </c:pt>
                <c:pt idx="242">
                  <c:v>0.13060352149760968</c:v>
                </c:pt>
                <c:pt idx="243">
                  <c:v>0.13075179851930926</c:v>
                </c:pt>
                <c:pt idx="244">
                  <c:v>0.13104847864658567</c:v>
                </c:pt>
                <c:pt idx="245">
                  <c:v>0.13133276446339934</c:v>
                </c:pt>
                <c:pt idx="246">
                  <c:v>0.13159877776589152</c:v>
                </c:pt>
                <c:pt idx="247">
                  <c:v>0.13191530024485509</c:v>
                </c:pt>
                <c:pt idx="248">
                  <c:v>0.13215748554159545</c:v>
                </c:pt>
                <c:pt idx="249">
                  <c:v>0.13240158507773778</c:v>
                </c:pt>
                <c:pt idx="250">
                  <c:v>0.13270853571719562</c:v>
                </c:pt>
                <c:pt idx="251">
                  <c:v>0.13286301216223112</c:v>
                </c:pt>
                <c:pt idx="252">
                  <c:v>0.13312590886158313</c:v>
                </c:pt>
                <c:pt idx="253">
                  <c:v>0.13347672057107199</c:v>
                </c:pt>
                <c:pt idx="254">
                  <c:v>0.13368656797524389</c:v>
                </c:pt>
                <c:pt idx="255">
                  <c:v>0.13395740137555628</c:v>
                </c:pt>
                <c:pt idx="256">
                  <c:v>0.13432275861080153</c:v>
                </c:pt>
                <c:pt idx="257">
                  <c:v>0.13451141350264642</c:v>
                </c:pt>
                <c:pt idx="258">
                  <c:v>0.13475513977219014</c:v>
                </c:pt>
                <c:pt idx="259">
                  <c:v>0.13497681299764405</c:v>
                </c:pt>
                <c:pt idx="260">
                  <c:v>0.13522744422587013</c:v>
                </c:pt>
                <c:pt idx="261">
                  <c:v>0.13546131381514426</c:v>
                </c:pt>
                <c:pt idx="262">
                  <c:v>0.13567145340595615</c:v>
                </c:pt>
                <c:pt idx="263">
                  <c:v>0.13594289008186988</c:v>
                </c:pt>
                <c:pt idx="264">
                  <c:v>0.13618991766273447</c:v>
                </c:pt>
                <c:pt idx="265">
                  <c:v>0.13642645832468656</c:v>
                </c:pt>
                <c:pt idx="266">
                  <c:v>0.13665195714753636</c:v>
                </c:pt>
                <c:pt idx="267">
                  <c:v>0.13682116416447673</c:v>
                </c:pt>
                <c:pt idx="268">
                  <c:v>0.13693465730753512</c:v>
                </c:pt>
                <c:pt idx="269">
                  <c:v>0.13707277052473549</c:v>
                </c:pt>
                <c:pt idx="270">
                  <c:v>0.1373694824480115</c:v>
                </c:pt>
                <c:pt idx="271">
                  <c:v>0.13752743677831875</c:v>
                </c:pt>
                <c:pt idx="272">
                  <c:v>0.13771449548351464</c:v>
                </c:pt>
                <c:pt idx="273">
                  <c:v>0.13794005126894365</c:v>
                </c:pt>
                <c:pt idx="274">
                  <c:v>0.13819366338509281</c:v>
                </c:pt>
                <c:pt idx="275">
                  <c:v>0.13837602939210231</c:v>
                </c:pt>
                <c:pt idx="276">
                  <c:v>0.13854851317972927</c:v>
                </c:pt>
                <c:pt idx="277">
                  <c:v>0.13878354719252173</c:v>
                </c:pt>
                <c:pt idx="278">
                  <c:v>0.13891085473060588</c:v>
                </c:pt>
                <c:pt idx="279">
                  <c:v>0.13904997642868086</c:v>
                </c:pt>
                <c:pt idx="280">
                  <c:v>0.13927800394070206</c:v>
                </c:pt>
                <c:pt idx="281">
                  <c:v>0.13954003487469255</c:v>
                </c:pt>
                <c:pt idx="282">
                  <c:v>0.13974254163176592</c:v>
                </c:pt>
                <c:pt idx="283">
                  <c:v>0.13984623286280984</c:v>
                </c:pt>
                <c:pt idx="284">
                  <c:v>0.14005135087693418</c:v>
                </c:pt>
                <c:pt idx="285">
                  <c:v>0.14031807861017184</c:v>
                </c:pt>
                <c:pt idx="286">
                  <c:v>0.14049481331604755</c:v>
                </c:pt>
                <c:pt idx="287">
                  <c:v>0.14070299183273674</c:v>
                </c:pt>
                <c:pt idx="288">
                  <c:v>0.14097887030228931</c:v>
                </c:pt>
                <c:pt idx="289">
                  <c:v>0.14119894103397029</c:v>
                </c:pt>
                <c:pt idx="290">
                  <c:v>0.14134675448574832</c:v>
                </c:pt>
                <c:pt idx="291">
                  <c:v>0.14156834063045448</c:v>
                </c:pt>
                <c:pt idx="292">
                  <c:v>0.1417677535524216</c:v>
                </c:pt>
                <c:pt idx="293">
                  <c:v>0.14200911225580407</c:v>
                </c:pt>
                <c:pt idx="294">
                  <c:v>0.14232881551526688</c:v>
                </c:pt>
                <c:pt idx="295">
                  <c:v>0.14254709817678288</c:v>
                </c:pt>
                <c:pt idx="296">
                  <c:v>0.14275289458460849</c:v>
                </c:pt>
                <c:pt idx="297">
                  <c:v>0.14297887072586501</c:v>
                </c:pt>
                <c:pt idx="298">
                  <c:v>0.14315520908244203</c:v>
                </c:pt>
                <c:pt idx="299">
                  <c:v>0.14330051383416725</c:v>
                </c:pt>
                <c:pt idx="300">
                  <c:v>0.14349889950518827</c:v>
                </c:pt>
                <c:pt idx="301">
                  <c:v>0.14365317519523821</c:v>
                </c:pt>
                <c:pt idx="302">
                  <c:v>0.14390312107376357</c:v>
                </c:pt>
                <c:pt idx="303">
                  <c:v>0.14412445257977519</c:v>
                </c:pt>
                <c:pt idx="304">
                  <c:v>0.1443027467678871</c:v>
                </c:pt>
                <c:pt idx="305">
                  <c:v>0.14448372371048146</c:v>
                </c:pt>
                <c:pt idx="306">
                  <c:v>0.14460382526370022</c:v>
                </c:pt>
                <c:pt idx="307">
                  <c:v>0.14486221925985543</c:v>
                </c:pt>
                <c:pt idx="308">
                  <c:v>0.14507371478705003</c:v>
                </c:pt>
                <c:pt idx="309">
                  <c:v>0.14528659435872202</c:v>
                </c:pt>
                <c:pt idx="310">
                  <c:v>0.14552103131782959</c:v>
                </c:pt>
                <c:pt idx="311">
                  <c:v>0.14566270660099662</c:v>
                </c:pt>
                <c:pt idx="312">
                  <c:v>0.14580242858113229</c:v>
                </c:pt>
                <c:pt idx="313">
                  <c:v>0.14594758160577187</c:v>
                </c:pt>
                <c:pt idx="314">
                  <c:v>0.1460908186196313</c:v>
                </c:pt>
                <c:pt idx="315">
                  <c:v>0.14623889871879631</c:v>
                </c:pt>
                <c:pt idx="316">
                  <c:v>0.14642532163886215</c:v>
                </c:pt>
                <c:pt idx="317">
                  <c:v>0.14658799198728406</c:v>
                </c:pt>
                <c:pt idx="318">
                  <c:v>0.14690069078509571</c:v>
                </c:pt>
                <c:pt idx="319">
                  <c:v>0.14722059753580599</c:v>
                </c:pt>
                <c:pt idx="320">
                  <c:v>0.1473827588767358</c:v>
                </c:pt>
                <c:pt idx="321">
                  <c:v>0.14764891313059209</c:v>
                </c:pt>
                <c:pt idx="322">
                  <c:v>0.1477664508989098</c:v>
                </c:pt>
                <c:pt idx="323">
                  <c:v>0.14806179808952297</c:v>
                </c:pt>
                <c:pt idx="324">
                  <c:v>0.14821692466746966</c:v>
                </c:pt>
                <c:pt idx="325">
                  <c:v>0.14840251350044281</c:v>
                </c:pt>
                <c:pt idx="326">
                  <c:v>0.14853709653800815</c:v>
                </c:pt>
                <c:pt idx="327">
                  <c:v>0.14884339221401274</c:v>
                </c:pt>
                <c:pt idx="328">
                  <c:v>0.14894508555643338</c:v>
                </c:pt>
                <c:pt idx="329">
                  <c:v>0.14917549486605516</c:v>
                </c:pt>
                <c:pt idx="330">
                  <c:v>0.14927492662052225</c:v>
                </c:pt>
                <c:pt idx="331">
                  <c:v>0.14944830728311059</c:v>
                </c:pt>
                <c:pt idx="332">
                  <c:v>0.14959660293795349</c:v>
                </c:pt>
                <c:pt idx="333">
                  <c:v>0.14966360345097249</c:v>
                </c:pt>
                <c:pt idx="334">
                  <c:v>0.14989622413284931</c:v>
                </c:pt>
                <c:pt idx="335">
                  <c:v>0.15003582940434146</c:v>
                </c:pt>
                <c:pt idx="336">
                  <c:v>0.15019581133018425</c:v>
                </c:pt>
                <c:pt idx="337">
                  <c:v>0.15032720468739968</c:v>
                </c:pt>
                <c:pt idx="338">
                  <c:v>0.15043195982941809</c:v>
                </c:pt>
                <c:pt idx="339">
                  <c:v>0.1508029347988761</c:v>
                </c:pt>
                <c:pt idx="340">
                  <c:v>0.15088546045771001</c:v>
                </c:pt>
                <c:pt idx="341">
                  <c:v>0.15108908933410489</c:v>
                </c:pt>
                <c:pt idx="342">
                  <c:v>0.15125827635335234</c:v>
                </c:pt>
                <c:pt idx="343">
                  <c:v>0.15147928227330049</c:v>
                </c:pt>
                <c:pt idx="344">
                  <c:v>0.15169935951458238</c:v>
                </c:pt>
                <c:pt idx="345">
                  <c:v>0.15187948403970186</c:v>
                </c:pt>
                <c:pt idx="346">
                  <c:v>0.15212314447528605</c:v>
                </c:pt>
                <c:pt idx="347">
                  <c:v>0.1523378895253619</c:v>
                </c:pt>
                <c:pt idx="348">
                  <c:v>0.15263394931403998</c:v>
                </c:pt>
                <c:pt idx="349">
                  <c:v>0.15274639259946943</c:v>
                </c:pt>
                <c:pt idx="350">
                  <c:v>0.15284751956308115</c:v>
                </c:pt>
                <c:pt idx="351">
                  <c:v>0.15311256316286787</c:v>
                </c:pt>
                <c:pt idx="352">
                  <c:v>0.15333769802498282</c:v>
                </c:pt>
                <c:pt idx="353">
                  <c:v>0.15342319720308153</c:v>
                </c:pt>
                <c:pt idx="354">
                  <c:v>0.15354603883470058</c:v>
                </c:pt>
                <c:pt idx="355">
                  <c:v>0.15372645723142481</c:v>
                </c:pt>
                <c:pt idx="356">
                  <c:v>0.15384215999890652</c:v>
                </c:pt>
                <c:pt idx="357">
                  <c:v>0.15401358023354911</c:v>
                </c:pt>
                <c:pt idx="358">
                  <c:v>0.15423254911162157</c:v>
                </c:pt>
                <c:pt idx="359">
                  <c:v>0.15442977165160893</c:v>
                </c:pt>
                <c:pt idx="360">
                  <c:v>0.15463118476082183</c:v>
                </c:pt>
                <c:pt idx="361">
                  <c:v>0.1547393376394483</c:v>
                </c:pt>
                <c:pt idx="362">
                  <c:v>0.15498551917308426</c:v>
                </c:pt>
                <c:pt idx="363">
                  <c:v>0.15514097856173226</c:v>
                </c:pt>
                <c:pt idx="364">
                  <c:v>0.1552407618374983</c:v>
                </c:pt>
                <c:pt idx="365">
                  <c:v>0.15542897561978153</c:v>
                </c:pt>
                <c:pt idx="366">
                  <c:v>0.15558750424465792</c:v>
                </c:pt>
                <c:pt idx="367">
                  <c:v>0.15572716750510954</c:v>
                </c:pt>
                <c:pt idx="368">
                  <c:v>0.15591142825419857</c:v>
                </c:pt>
                <c:pt idx="369">
                  <c:v>0.15601507052002864</c:v>
                </c:pt>
                <c:pt idx="370">
                  <c:v>0.15624279755393189</c:v>
                </c:pt>
                <c:pt idx="371">
                  <c:v>0.15645744911790291</c:v>
                </c:pt>
                <c:pt idx="372">
                  <c:v>0.1567063516482137</c:v>
                </c:pt>
                <c:pt idx="373">
                  <c:v>0.15692683614432998</c:v>
                </c:pt>
                <c:pt idx="374">
                  <c:v>0.15708243742601691</c:v>
                </c:pt>
                <c:pt idx="375">
                  <c:v>0.15723940951066465</c:v>
                </c:pt>
                <c:pt idx="376">
                  <c:v>0.15740747774347888</c:v>
                </c:pt>
                <c:pt idx="377">
                  <c:v>0.15761371121784096</c:v>
                </c:pt>
                <c:pt idx="378">
                  <c:v>0.1577913048334032</c:v>
                </c:pt>
                <c:pt idx="379">
                  <c:v>0.15800693132118687</c:v>
                </c:pt>
                <c:pt idx="380">
                  <c:v>0.15814903473444902</c:v>
                </c:pt>
                <c:pt idx="381">
                  <c:v>0.15834944644644702</c:v>
                </c:pt>
                <c:pt idx="382">
                  <c:v>0.15867314554643452</c:v>
                </c:pt>
                <c:pt idx="383">
                  <c:v>0.158804694451921</c:v>
                </c:pt>
                <c:pt idx="384">
                  <c:v>0.15896234794952183</c:v>
                </c:pt>
                <c:pt idx="385">
                  <c:v>0.15915634850453581</c:v>
                </c:pt>
                <c:pt idx="386">
                  <c:v>0.15936941946032557</c:v>
                </c:pt>
                <c:pt idx="387">
                  <c:v>0.15952122963443563</c:v>
                </c:pt>
                <c:pt idx="388">
                  <c:v>0.15956797513214357</c:v>
                </c:pt>
                <c:pt idx="389">
                  <c:v>0.15974449406444904</c:v>
                </c:pt>
                <c:pt idx="390">
                  <c:v>0.15991638445067241</c:v>
                </c:pt>
                <c:pt idx="391">
                  <c:v>0.16007978312870588</c:v>
                </c:pt>
                <c:pt idx="392">
                  <c:v>0.16023309975036124</c:v>
                </c:pt>
                <c:pt idx="393">
                  <c:v>0.16028886115476437</c:v>
                </c:pt>
                <c:pt idx="394">
                  <c:v>0.16045697836503847</c:v>
                </c:pt>
                <c:pt idx="395">
                  <c:v>0.16054843398922819</c:v>
                </c:pt>
                <c:pt idx="396">
                  <c:v>0.16067208682003659</c:v>
                </c:pt>
                <c:pt idx="397">
                  <c:v>0.16086599242996832</c:v>
                </c:pt>
                <c:pt idx="398">
                  <c:v>0.16096686057940654</c:v>
                </c:pt>
                <c:pt idx="399">
                  <c:v>0.16116174714312834</c:v>
                </c:pt>
                <c:pt idx="400">
                  <c:v>0.16128803979894454</c:v>
                </c:pt>
                <c:pt idx="401">
                  <c:v>0.16152313161310705</c:v>
                </c:pt>
                <c:pt idx="402">
                  <c:v>0.1617582455539727</c:v>
                </c:pt>
                <c:pt idx="403">
                  <c:v>0.16195539916470603</c:v>
                </c:pt>
                <c:pt idx="404">
                  <c:v>0.1621858819069173</c:v>
                </c:pt>
                <c:pt idx="405">
                  <c:v>0.16231318703939593</c:v>
                </c:pt>
                <c:pt idx="406">
                  <c:v>0.16248781874958493</c:v>
                </c:pt>
                <c:pt idx="407">
                  <c:v>0.1626093710707584</c:v>
                </c:pt>
                <c:pt idx="408">
                  <c:v>0.16283148160992336</c:v>
                </c:pt>
                <c:pt idx="409">
                  <c:v>0.1629785426517677</c:v>
                </c:pt>
                <c:pt idx="410">
                  <c:v>0.16312021966489082</c:v>
                </c:pt>
                <c:pt idx="411">
                  <c:v>0.16324072799881559</c:v>
                </c:pt>
                <c:pt idx="412">
                  <c:v>0.16343776969998927</c:v>
                </c:pt>
                <c:pt idx="413">
                  <c:v>0.16351855254460537</c:v>
                </c:pt>
                <c:pt idx="414">
                  <c:v>0.16375639991803817</c:v>
                </c:pt>
                <c:pt idx="415">
                  <c:v>0.16390039499935269</c:v>
                </c:pt>
                <c:pt idx="416">
                  <c:v>0.16409031465260165</c:v>
                </c:pt>
                <c:pt idx="417">
                  <c:v>0.16405957822677714</c:v>
                </c:pt>
                <c:pt idx="418">
                  <c:v>0.16424357957591745</c:v>
                </c:pt>
                <c:pt idx="419">
                  <c:v>0.16435378532679379</c:v>
                </c:pt>
                <c:pt idx="420">
                  <c:v>0.1645455567891031</c:v>
                </c:pt>
                <c:pt idx="421">
                  <c:v>0.16463382561825943</c:v>
                </c:pt>
                <c:pt idx="422">
                  <c:v>0.16481686316009969</c:v>
                </c:pt>
                <c:pt idx="423">
                  <c:v>0.1650034085781342</c:v>
                </c:pt>
                <c:pt idx="424">
                  <c:v>0.16509047875424765</c:v>
                </c:pt>
                <c:pt idx="425">
                  <c:v>0.16527685686794849</c:v>
                </c:pt>
                <c:pt idx="426">
                  <c:v>0.16550494773581817</c:v>
                </c:pt>
                <c:pt idx="427">
                  <c:v>0.16561120978436436</c:v>
                </c:pt>
                <c:pt idx="428">
                  <c:v>0.16578782761764008</c:v>
                </c:pt>
                <c:pt idx="429">
                  <c:v>0.16597099622097611</c:v>
                </c:pt>
                <c:pt idx="430">
                  <c:v>0.16608115565434614</c:v>
                </c:pt>
                <c:pt idx="431">
                  <c:v>0.16619966197664729</c:v>
                </c:pt>
                <c:pt idx="432">
                  <c:v>0.16633616042103858</c:v>
                </c:pt>
                <c:pt idx="433">
                  <c:v>0.16648860621787673</c:v>
                </c:pt>
                <c:pt idx="434">
                  <c:v>0.16664436988636205</c:v>
                </c:pt>
                <c:pt idx="435">
                  <c:v>0.16675410901058271</c:v>
                </c:pt>
                <c:pt idx="436">
                  <c:v>0.16687600815363304</c:v>
                </c:pt>
                <c:pt idx="437">
                  <c:v>0.16702089830125741</c:v>
                </c:pt>
                <c:pt idx="438">
                  <c:v>0.16718486350229284</c:v>
                </c:pt>
                <c:pt idx="439">
                  <c:v>0.16737503938459289</c:v>
                </c:pt>
                <c:pt idx="440">
                  <c:v>0.16755170399487168</c:v>
                </c:pt>
                <c:pt idx="441">
                  <c:v>0.16777220085828212</c:v>
                </c:pt>
                <c:pt idx="442">
                  <c:v>0.16793506701296979</c:v>
                </c:pt>
                <c:pt idx="443">
                  <c:v>0.16808970780499979</c:v>
                </c:pt>
                <c:pt idx="444">
                  <c:v>0.16821101188934265</c:v>
                </c:pt>
                <c:pt idx="445">
                  <c:v>0.16836505806386684</c:v>
                </c:pt>
                <c:pt idx="446">
                  <c:v>0.16852804272982194</c:v>
                </c:pt>
                <c:pt idx="447">
                  <c:v>0.16868049419037145</c:v>
                </c:pt>
                <c:pt idx="448">
                  <c:v>0.16884611527519391</c:v>
                </c:pt>
                <c:pt idx="449">
                  <c:v>0.16893814844139057</c:v>
                </c:pt>
                <c:pt idx="450">
                  <c:v>0.16908063841935109</c:v>
                </c:pt>
                <c:pt idx="451">
                  <c:v>0.16915236838378386</c:v>
                </c:pt>
                <c:pt idx="452">
                  <c:v>0.16927321823429511</c:v>
                </c:pt>
                <c:pt idx="453">
                  <c:v>0.16939212481997307</c:v>
                </c:pt>
                <c:pt idx="454">
                  <c:v>0.16953793710690465</c:v>
                </c:pt>
                <c:pt idx="455">
                  <c:v>0.16970217686567693</c:v>
                </c:pt>
                <c:pt idx="456">
                  <c:v>0.16988662953569947</c:v>
                </c:pt>
                <c:pt idx="457">
                  <c:v>0.17001767314206589</c:v>
                </c:pt>
                <c:pt idx="458">
                  <c:v>0.17018480336376748</c:v>
                </c:pt>
                <c:pt idx="459">
                  <c:v>0.1702295268485636</c:v>
                </c:pt>
                <c:pt idx="460">
                  <c:v>0.17036726554122675</c:v>
                </c:pt>
                <c:pt idx="461">
                  <c:v>0.17054399474343704</c:v>
                </c:pt>
                <c:pt idx="462">
                  <c:v>0.17077394942373922</c:v>
                </c:pt>
                <c:pt idx="463">
                  <c:v>0.17098954403288377</c:v>
                </c:pt>
                <c:pt idx="464">
                  <c:v>0.17118331442335841</c:v>
                </c:pt>
                <c:pt idx="465">
                  <c:v>0.17136469330535331</c:v>
                </c:pt>
                <c:pt idx="466">
                  <c:v>0.17160057724396877</c:v>
                </c:pt>
                <c:pt idx="467">
                  <c:v>0.17177508983918491</c:v>
                </c:pt>
                <c:pt idx="468">
                  <c:v>0.17198771553778258</c:v>
                </c:pt>
                <c:pt idx="469">
                  <c:v>0.17219344110913828</c:v>
                </c:pt>
                <c:pt idx="470">
                  <c:v>0.17232383119476943</c:v>
                </c:pt>
                <c:pt idx="471">
                  <c:v>0.1723493982976658</c:v>
                </c:pt>
                <c:pt idx="472">
                  <c:v>0.17249354510871256</c:v>
                </c:pt>
                <c:pt idx="473">
                  <c:v>0.17265508922409853</c:v>
                </c:pt>
                <c:pt idx="474">
                  <c:v>0.17280644215875096</c:v>
                </c:pt>
                <c:pt idx="475">
                  <c:v>0.17301781491712587</c:v>
                </c:pt>
                <c:pt idx="476">
                  <c:v>0.17314864124077636</c:v>
                </c:pt>
                <c:pt idx="477">
                  <c:v>0.1733190906673443</c:v>
                </c:pt>
                <c:pt idx="478">
                  <c:v>0.17349267479867964</c:v>
                </c:pt>
                <c:pt idx="479">
                  <c:v>0.17367915995034824</c:v>
                </c:pt>
                <c:pt idx="480">
                  <c:v>0.17390103666308704</c:v>
                </c:pt>
                <c:pt idx="481">
                  <c:v>0.17406133434310914</c:v>
                </c:pt>
                <c:pt idx="482">
                  <c:v>0.17420612007573366</c:v>
                </c:pt>
                <c:pt idx="483">
                  <c:v>0.17434159408218225</c:v>
                </c:pt>
                <c:pt idx="484">
                  <c:v>0.17437509240322305</c:v>
                </c:pt>
                <c:pt idx="485">
                  <c:v>0.17451275250873152</c:v>
                </c:pt>
                <c:pt idx="486">
                  <c:v>0.17461975087674914</c:v>
                </c:pt>
                <c:pt idx="487">
                  <c:v>0.17469248743669979</c:v>
                </c:pt>
                <c:pt idx="488">
                  <c:v>0.17486406041588815</c:v>
                </c:pt>
                <c:pt idx="489">
                  <c:v>0.17497446949838522</c:v>
                </c:pt>
                <c:pt idx="490">
                  <c:v>0.17512383343392968</c:v>
                </c:pt>
                <c:pt idx="491">
                  <c:v>0.17521831013506423</c:v>
                </c:pt>
                <c:pt idx="492">
                  <c:v>0.1753530499829653</c:v>
                </c:pt>
                <c:pt idx="493">
                  <c:v>0.1755276935947678</c:v>
                </c:pt>
                <c:pt idx="494">
                  <c:v>0.17565663757692648</c:v>
                </c:pt>
                <c:pt idx="495">
                  <c:v>0.17575177714569043</c:v>
                </c:pt>
                <c:pt idx="496">
                  <c:v>0.17589878486744662</c:v>
                </c:pt>
                <c:pt idx="497">
                  <c:v>0.17604240660340764</c:v>
                </c:pt>
                <c:pt idx="498">
                  <c:v>0.17616262044925884</c:v>
                </c:pt>
                <c:pt idx="499">
                  <c:v>0.17638233160638708</c:v>
                </c:pt>
                <c:pt idx="500">
                  <c:v>0.1765883368983118</c:v>
                </c:pt>
                <c:pt idx="501">
                  <c:v>0.17677458234465993</c:v>
                </c:pt>
                <c:pt idx="502">
                  <c:v>0.17685978408071767</c:v>
                </c:pt>
                <c:pt idx="503">
                  <c:v>0.17702582368670572</c:v>
                </c:pt>
                <c:pt idx="504">
                  <c:v>0.17713819647372836</c:v>
                </c:pt>
                <c:pt idx="505">
                  <c:v>0.17730298316121576</c:v>
                </c:pt>
                <c:pt idx="506">
                  <c:v>0.17744345341174986</c:v>
                </c:pt>
                <c:pt idx="507">
                  <c:v>0.17762201461261151</c:v>
                </c:pt>
                <c:pt idx="508">
                  <c:v>0.17781529800709589</c:v>
                </c:pt>
                <c:pt idx="509">
                  <c:v>0.17792879000099074</c:v>
                </c:pt>
                <c:pt idx="510">
                  <c:v>0.17805404509334818</c:v>
                </c:pt>
                <c:pt idx="511">
                  <c:v>0.17817384632350305</c:v>
                </c:pt>
                <c:pt idx="512">
                  <c:v>0.17837016356383892</c:v>
                </c:pt>
                <c:pt idx="513">
                  <c:v>0.1785442834482141</c:v>
                </c:pt>
                <c:pt idx="514">
                  <c:v>0.17874007917753093</c:v>
                </c:pt>
                <c:pt idx="515">
                  <c:v>0.17884006112610012</c:v>
                </c:pt>
                <c:pt idx="516">
                  <c:v>0.17906753120606364</c:v>
                </c:pt>
                <c:pt idx="517">
                  <c:v>0.17928252003020784</c:v>
                </c:pt>
                <c:pt idx="518">
                  <c:v>0.179441308300021</c:v>
                </c:pt>
                <c:pt idx="519">
                  <c:v>0.17958148728968251</c:v>
                </c:pt>
                <c:pt idx="520">
                  <c:v>0.17974702160985342</c:v>
                </c:pt>
                <c:pt idx="521">
                  <c:v>0.17993269488917121</c:v>
                </c:pt>
                <c:pt idx="522">
                  <c:v>0.18004873708083496</c:v>
                </c:pt>
                <c:pt idx="523">
                  <c:v>0.18019542409631015</c:v>
                </c:pt>
                <c:pt idx="524">
                  <c:v>0.18038327336273952</c:v>
                </c:pt>
                <c:pt idx="525">
                  <c:v>0.18050504857485397</c:v>
                </c:pt>
                <c:pt idx="526">
                  <c:v>0.18060678236168429</c:v>
                </c:pt>
                <c:pt idx="527">
                  <c:v>0.18077806439426508</c:v>
                </c:pt>
                <c:pt idx="528">
                  <c:v>0.18096243205775039</c:v>
                </c:pt>
                <c:pt idx="529">
                  <c:v>0.18106589853586982</c:v>
                </c:pt>
                <c:pt idx="530">
                  <c:v>0.18122942151988614</c:v>
                </c:pt>
                <c:pt idx="531">
                  <c:v>0.18134852643295551</c:v>
                </c:pt>
                <c:pt idx="532">
                  <c:v>0.18154896196056899</c:v>
                </c:pt>
                <c:pt idx="533">
                  <c:v>0.18163751703502076</c:v>
                </c:pt>
                <c:pt idx="534">
                  <c:v>0.18171046073449038</c:v>
                </c:pt>
                <c:pt idx="535">
                  <c:v>0.18186114608463264</c:v>
                </c:pt>
                <c:pt idx="536">
                  <c:v>0.1819958787156338</c:v>
                </c:pt>
                <c:pt idx="537">
                  <c:v>0.18221630566635047</c:v>
                </c:pt>
                <c:pt idx="538">
                  <c:v>0.18236630583172669</c:v>
                </c:pt>
                <c:pt idx="539">
                  <c:v>0.18255560281853483</c:v>
                </c:pt>
                <c:pt idx="540">
                  <c:v>0.18268612276810994</c:v>
                </c:pt>
                <c:pt idx="541">
                  <c:v>0.18280858797948824</c:v>
                </c:pt>
                <c:pt idx="542">
                  <c:v>0.18294822408103245</c:v>
                </c:pt>
                <c:pt idx="543">
                  <c:v>0.1831333831984592</c:v>
                </c:pt>
                <c:pt idx="544">
                  <c:v>0.18321514921513404</c:v>
                </c:pt>
                <c:pt idx="545">
                  <c:v>0.18335819795500796</c:v>
                </c:pt>
                <c:pt idx="546">
                  <c:v>0.18345172075650992</c:v>
                </c:pt>
                <c:pt idx="547">
                  <c:v>0.18359326920019861</c:v>
                </c:pt>
                <c:pt idx="548">
                  <c:v>0.18376292320381271</c:v>
                </c:pt>
                <c:pt idx="549">
                  <c:v>0.18398134661701532</c:v>
                </c:pt>
                <c:pt idx="550">
                  <c:v>0.18415497911165532</c:v>
                </c:pt>
                <c:pt idx="551">
                  <c:v>0.18430804824438884</c:v>
                </c:pt>
                <c:pt idx="552">
                  <c:v>0.18446091769537332</c:v>
                </c:pt>
                <c:pt idx="553">
                  <c:v>0.18461166219531533</c:v>
                </c:pt>
                <c:pt idx="554">
                  <c:v>0.18477774290775084</c:v>
                </c:pt>
                <c:pt idx="555">
                  <c:v>0.18495639100811059</c:v>
                </c:pt>
                <c:pt idx="556">
                  <c:v>0.18512187306804131</c:v>
                </c:pt>
                <c:pt idx="557">
                  <c:v>0.18524743899681451</c:v>
                </c:pt>
                <c:pt idx="558">
                  <c:v>0.18545473385699363</c:v>
                </c:pt>
                <c:pt idx="559">
                  <c:v>0.18554463121784931</c:v>
                </c:pt>
                <c:pt idx="560">
                  <c:v>0.18564736677828078</c:v>
                </c:pt>
                <c:pt idx="561">
                  <c:v>0.18576820642122746</c:v>
                </c:pt>
                <c:pt idx="562">
                  <c:v>0.18587399378033478</c:v>
                </c:pt>
                <c:pt idx="563">
                  <c:v>0.18598843798780046</c:v>
                </c:pt>
                <c:pt idx="564">
                  <c:v>0.18605605070755285</c:v>
                </c:pt>
                <c:pt idx="565">
                  <c:v>0.186117018792542</c:v>
                </c:pt>
                <c:pt idx="566">
                  <c:v>0.18627899747519483</c:v>
                </c:pt>
                <c:pt idx="567">
                  <c:v>0.18640295585036903</c:v>
                </c:pt>
                <c:pt idx="568">
                  <c:v>0.18645724461979571</c:v>
                </c:pt>
                <c:pt idx="569">
                  <c:v>0.18660175594386477</c:v>
                </c:pt>
                <c:pt idx="570">
                  <c:v>0.18673261836885563</c:v>
                </c:pt>
                <c:pt idx="571">
                  <c:v>0.1869190362524854</c:v>
                </c:pt>
                <c:pt idx="572">
                  <c:v>0.18705530062027628</c:v>
                </c:pt>
                <c:pt idx="573">
                  <c:v>0.18724787076297617</c:v>
                </c:pt>
                <c:pt idx="574">
                  <c:v>0.18742849170213111</c:v>
                </c:pt>
                <c:pt idx="575">
                  <c:v>0.18755585377364647</c:v>
                </c:pt>
                <c:pt idx="576">
                  <c:v>0.18775708113281034</c:v>
                </c:pt>
                <c:pt idx="577">
                  <c:v>0.18788274310354511</c:v>
                </c:pt>
                <c:pt idx="578">
                  <c:v>0.18798103113440201</c:v>
                </c:pt>
                <c:pt idx="579">
                  <c:v>0.18810330088642496</c:v>
                </c:pt>
                <c:pt idx="580">
                  <c:v>0.18821187090229732</c:v>
                </c:pt>
                <c:pt idx="581">
                  <c:v>0.18829068347442207</c:v>
                </c:pt>
                <c:pt idx="582">
                  <c:v>0.1884743882934187</c:v>
                </c:pt>
                <c:pt idx="583">
                  <c:v>0.18862221486825356</c:v>
                </c:pt>
                <c:pt idx="584">
                  <c:v>0.18867475801562159</c:v>
                </c:pt>
                <c:pt idx="585">
                  <c:v>0.18873677991547061</c:v>
                </c:pt>
                <c:pt idx="586">
                  <c:v>0.18886251459624132</c:v>
                </c:pt>
                <c:pt idx="587">
                  <c:v>0.1889169692411036</c:v>
                </c:pt>
                <c:pt idx="588">
                  <c:v>0.18896466587403785</c:v>
                </c:pt>
                <c:pt idx="589">
                  <c:v>0.18905032696582269</c:v>
                </c:pt>
                <c:pt idx="590">
                  <c:v>0.18922550385899062</c:v>
                </c:pt>
                <c:pt idx="591">
                  <c:v>0.18924813369825996</c:v>
                </c:pt>
                <c:pt idx="592">
                  <c:v>0.18936135794437631</c:v>
                </c:pt>
                <c:pt idx="593">
                  <c:v>0.18944379223118094</c:v>
                </c:pt>
                <c:pt idx="594">
                  <c:v>0.18953950908039369</c:v>
                </c:pt>
                <c:pt idx="595">
                  <c:v>0.18966350261678475</c:v>
                </c:pt>
                <c:pt idx="596">
                  <c:v>0.18975667782726771</c:v>
                </c:pt>
                <c:pt idx="597">
                  <c:v>0.1898836771106828</c:v>
                </c:pt>
                <c:pt idx="598">
                  <c:v>0.18993796137416086</c:v>
                </c:pt>
                <c:pt idx="599">
                  <c:v>0.19003412513545331</c:v>
                </c:pt>
                <c:pt idx="600">
                  <c:v>0.19014998388049703</c:v>
                </c:pt>
                <c:pt idx="601">
                  <c:v>0.19030076392969544</c:v>
                </c:pt>
                <c:pt idx="602">
                  <c:v>0.19046453984532979</c:v>
                </c:pt>
                <c:pt idx="603">
                  <c:v>0.19059726007808592</c:v>
                </c:pt>
                <c:pt idx="604">
                  <c:v>0.19069570394092861</c:v>
                </c:pt>
                <c:pt idx="605">
                  <c:v>0.19077276210772115</c:v>
                </c:pt>
                <c:pt idx="606">
                  <c:v>0.19087778159474411</c:v>
                </c:pt>
                <c:pt idx="607">
                  <c:v>0.19089734493026023</c:v>
                </c:pt>
                <c:pt idx="608">
                  <c:v>0.19104379524725137</c:v>
                </c:pt>
                <c:pt idx="609">
                  <c:v>0.19115087111916565</c:v>
                </c:pt>
                <c:pt idx="610">
                  <c:v>0.19122129067236457</c:v>
                </c:pt>
                <c:pt idx="611">
                  <c:v>0.19138021547692466</c:v>
                </c:pt>
                <c:pt idx="612">
                  <c:v>0.19154260252502511</c:v>
                </c:pt>
                <c:pt idx="613">
                  <c:v>0.19166898288862824</c:v>
                </c:pt>
                <c:pt idx="614">
                  <c:v>0.19182659825746168</c:v>
                </c:pt>
                <c:pt idx="615">
                  <c:v>0.19188413471028362</c:v>
                </c:pt>
                <c:pt idx="616">
                  <c:v>0.19193768210687678</c:v>
                </c:pt>
                <c:pt idx="617">
                  <c:v>0.19204963280125173</c:v>
                </c:pt>
                <c:pt idx="618">
                  <c:v>0.19211739826934318</c:v>
                </c:pt>
                <c:pt idx="619">
                  <c:v>0.19231199180046227</c:v>
                </c:pt>
                <c:pt idx="620">
                  <c:v>0.19234714792119018</c:v>
                </c:pt>
                <c:pt idx="621">
                  <c:v>0.19241257120797953</c:v>
                </c:pt>
                <c:pt idx="622">
                  <c:v>0.192556997976918</c:v>
                </c:pt>
                <c:pt idx="623">
                  <c:v>0.19266494805077464</c:v>
                </c:pt>
                <c:pt idx="624">
                  <c:v>0.1927866037255698</c:v>
                </c:pt>
                <c:pt idx="625">
                  <c:v>0.19289721675593263</c:v>
                </c:pt>
                <c:pt idx="626">
                  <c:v>0.19294758234196188</c:v>
                </c:pt>
                <c:pt idx="627">
                  <c:v>0.19300394082774064</c:v>
                </c:pt>
                <c:pt idx="628">
                  <c:v>0.19309033539818823</c:v>
                </c:pt>
                <c:pt idx="629">
                  <c:v>0.19317319194545299</c:v>
                </c:pt>
                <c:pt idx="630">
                  <c:v>0.19322333961555246</c:v>
                </c:pt>
                <c:pt idx="631">
                  <c:v>0.19339485927826633</c:v>
                </c:pt>
                <c:pt idx="632">
                  <c:v>0.19352128487731232</c:v>
                </c:pt>
                <c:pt idx="633">
                  <c:v>0.19373203349597393</c:v>
                </c:pt>
                <c:pt idx="634">
                  <c:v>0.19380452111257671</c:v>
                </c:pt>
                <c:pt idx="635">
                  <c:v>0.19384015901374715</c:v>
                </c:pt>
                <c:pt idx="636">
                  <c:v>0.19393025908172573</c:v>
                </c:pt>
                <c:pt idx="637">
                  <c:v>0.19410252930546998</c:v>
                </c:pt>
                <c:pt idx="638">
                  <c:v>0.19413958828078959</c:v>
                </c:pt>
                <c:pt idx="639">
                  <c:v>0.19425805330236115</c:v>
                </c:pt>
                <c:pt idx="640">
                  <c:v>0.19429119593806993</c:v>
                </c:pt>
                <c:pt idx="641">
                  <c:v>0.19439290854781022</c:v>
                </c:pt>
                <c:pt idx="642">
                  <c:v>0.19453345720625301</c:v>
                </c:pt>
                <c:pt idx="643">
                  <c:v>0.19463422690843291</c:v>
                </c:pt>
                <c:pt idx="644">
                  <c:v>0.19470542412157033</c:v>
                </c:pt>
                <c:pt idx="645">
                  <c:v>0.19478534687480548</c:v>
                </c:pt>
                <c:pt idx="646">
                  <c:v>0.19490043759286765</c:v>
                </c:pt>
                <c:pt idx="647">
                  <c:v>0.19507928043790337</c:v>
                </c:pt>
                <c:pt idx="648">
                  <c:v>0.19510849613199746</c:v>
                </c:pt>
                <c:pt idx="649">
                  <c:v>0.19519351240673391</c:v>
                </c:pt>
                <c:pt idx="650">
                  <c:v>0.19527670654281115</c:v>
                </c:pt>
                <c:pt idx="651">
                  <c:v>0.19537713851996083</c:v>
                </c:pt>
                <c:pt idx="652">
                  <c:v>0.19547711685731711</c:v>
                </c:pt>
                <c:pt idx="653">
                  <c:v>0.19560286994262385</c:v>
                </c:pt>
                <c:pt idx="654">
                  <c:v>0.19570458252086545</c:v>
                </c:pt>
                <c:pt idx="655">
                  <c:v>0.19576779761134674</c:v>
                </c:pt>
                <c:pt idx="656">
                  <c:v>0.19585115837934827</c:v>
                </c:pt>
                <c:pt idx="657">
                  <c:v>0.19597120825820435</c:v>
                </c:pt>
                <c:pt idx="658">
                  <c:v>0.19606776579341714</c:v>
                </c:pt>
                <c:pt idx="659">
                  <c:v>0.19619015149429342</c:v>
                </c:pt>
                <c:pt idx="660">
                  <c:v>0.19630048975922984</c:v>
                </c:pt>
                <c:pt idx="661">
                  <c:v>0.19646135799661857</c:v>
                </c:pt>
                <c:pt idx="662">
                  <c:v>0.19655920937663893</c:v>
                </c:pt>
                <c:pt idx="663">
                  <c:v>0.19672316336853898</c:v>
                </c:pt>
                <c:pt idx="664">
                  <c:v>0.1967861427640637</c:v>
                </c:pt>
                <c:pt idx="665">
                  <c:v>0.19689503337886111</c:v>
                </c:pt>
                <c:pt idx="666">
                  <c:v>0.19701644597282816</c:v>
                </c:pt>
                <c:pt idx="667">
                  <c:v>0.19708569187417641</c:v>
                </c:pt>
                <c:pt idx="668">
                  <c:v>0.19721632076391435</c:v>
                </c:pt>
                <c:pt idx="669">
                  <c:v>0.19732233219064488</c:v>
                </c:pt>
                <c:pt idx="670">
                  <c:v>0.19745234835745101</c:v>
                </c:pt>
                <c:pt idx="671">
                  <c:v>0.19753165303488063</c:v>
                </c:pt>
                <c:pt idx="672">
                  <c:v>0.19763580434398564</c:v>
                </c:pt>
                <c:pt idx="673">
                  <c:v>0.1977314498754007</c:v>
                </c:pt>
                <c:pt idx="674">
                  <c:v>0.19787085559907794</c:v>
                </c:pt>
                <c:pt idx="675">
                  <c:v>0.19793437602264419</c:v>
                </c:pt>
                <c:pt idx="676">
                  <c:v>0.198015344854991</c:v>
                </c:pt>
                <c:pt idx="677">
                  <c:v>0.19812089529259388</c:v>
                </c:pt>
                <c:pt idx="678">
                  <c:v>0.19812328277412034</c:v>
                </c:pt>
                <c:pt idx="679">
                  <c:v>0.19828051199217592</c:v>
                </c:pt>
                <c:pt idx="680">
                  <c:v>0.1984131510388287</c:v>
                </c:pt>
                <c:pt idx="681">
                  <c:v>0.1985660353603792</c:v>
                </c:pt>
                <c:pt idx="682">
                  <c:v>0.19866853017219135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250816"/>
        <c:axId val="415896320"/>
      </c:scatterChart>
      <c:valAx>
        <c:axId val="409250816"/>
        <c:scaling>
          <c:orientation val="minMax"/>
        </c:scaling>
        <c:delete val="0"/>
        <c:axPos val="b"/>
        <c:majorGridlines/>
        <c:numFmt formatCode="_-* #\,##0.00_-;\-* #\,##0.00_-;_-* &quot;-&quot;??_-;_-@_-" sourceLinked="1"/>
        <c:majorTickMark val="out"/>
        <c:minorTickMark val="none"/>
        <c:tickLblPos val="nextTo"/>
        <c:crossAx val="415896320"/>
        <c:crosses val="autoZero"/>
        <c:crossBetween val="midCat"/>
      </c:valAx>
      <c:valAx>
        <c:axId val="41589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92508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Output!$Y$12:$Y$131</c:f>
              <c:numCache>
                <c:formatCode>0.00000%</c:formatCode>
                <c:ptCount val="120"/>
                <c:pt idx="0">
                  <c:v>8.0694214889649632E-2</c:v>
                </c:pt>
                <c:pt idx="1">
                  <c:v>7.9849055207321398E-2</c:v>
                </c:pt>
                <c:pt idx="2">
                  <c:v>8.0094571224656436E-2</c:v>
                </c:pt>
                <c:pt idx="3">
                  <c:v>8.0569009506890318E-2</c:v>
                </c:pt>
                <c:pt idx="4">
                  <c:v>8.0208153201851318E-2</c:v>
                </c:pt>
                <c:pt idx="5">
                  <c:v>7.9824541206759331E-2</c:v>
                </c:pt>
                <c:pt idx="6">
                  <c:v>8.0121964670585008E-2</c:v>
                </c:pt>
                <c:pt idx="7">
                  <c:v>7.9610781251379159E-2</c:v>
                </c:pt>
                <c:pt idx="8">
                  <c:v>7.9198819971468715E-2</c:v>
                </c:pt>
                <c:pt idx="9">
                  <c:v>7.9457544625963661E-2</c:v>
                </c:pt>
                <c:pt idx="10">
                  <c:v>7.9199192447062763E-2</c:v>
                </c:pt>
                <c:pt idx="11">
                  <c:v>7.9046916219632779E-2</c:v>
                </c:pt>
                <c:pt idx="12">
                  <c:v>7.9502872926349E-2</c:v>
                </c:pt>
                <c:pt idx="13">
                  <c:v>7.9553590795052226E-2</c:v>
                </c:pt>
                <c:pt idx="14">
                  <c:v>7.9768068638009032E-2</c:v>
                </c:pt>
                <c:pt idx="15">
                  <c:v>7.9340687847739441E-2</c:v>
                </c:pt>
                <c:pt idx="16">
                  <c:v>7.9520873240763873E-2</c:v>
                </c:pt>
                <c:pt idx="17">
                  <c:v>7.9336927795443324E-2</c:v>
                </c:pt>
                <c:pt idx="18">
                  <c:v>7.9376280470098967E-2</c:v>
                </c:pt>
                <c:pt idx="19">
                  <c:v>7.9294149202520953E-2</c:v>
                </c:pt>
                <c:pt idx="20">
                  <c:v>7.9076556616309024E-2</c:v>
                </c:pt>
                <c:pt idx="21">
                  <c:v>7.9139195953843194E-2</c:v>
                </c:pt>
                <c:pt idx="22">
                  <c:v>7.8986605174718186E-2</c:v>
                </c:pt>
                <c:pt idx="23">
                  <c:v>7.9018842523890617E-2</c:v>
                </c:pt>
                <c:pt idx="24">
                  <c:v>7.9205910352196499E-2</c:v>
                </c:pt>
                <c:pt idx="25">
                  <c:v>7.8998822029176297E-2</c:v>
                </c:pt>
                <c:pt idx="26">
                  <c:v>7.8909441052732024E-2</c:v>
                </c:pt>
                <c:pt idx="27">
                  <c:v>7.8936972692776358E-2</c:v>
                </c:pt>
                <c:pt idx="28">
                  <c:v>7.882113318670822E-2</c:v>
                </c:pt>
                <c:pt idx="29">
                  <c:v>7.9012564603233207E-2</c:v>
                </c:pt>
                <c:pt idx="30">
                  <c:v>7.8936997473670445E-2</c:v>
                </c:pt>
                <c:pt idx="31">
                  <c:v>7.9039980653035247E-2</c:v>
                </c:pt>
                <c:pt idx="32">
                  <c:v>7.9585388868615381E-2</c:v>
                </c:pt>
                <c:pt idx="33">
                  <c:v>7.9259108427852956E-2</c:v>
                </c:pt>
                <c:pt idx="34">
                  <c:v>7.9338924615789938E-2</c:v>
                </c:pt>
                <c:pt idx="35">
                  <c:v>7.938327938113697E-2</c:v>
                </c:pt>
                <c:pt idx="36">
                  <c:v>7.9607215665359471E-2</c:v>
                </c:pt>
                <c:pt idx="37">
                  <c:v>7.9577237464163564E-2</c:v>
                </c:pt>
                <c:pt idx="38">
                  <c:v>7.9549588031691321E-2</c:v>
                </c:pt>
                <c:pt idx="39">
                  <c:v>7.9689561665964248E-2</c:v>
                </c:pt>
                <c:pt idx="40">
                  <c:v>7.987775434488073E-2</c:v>
                </c:pt>
                <c:pt idx="41">
                  <c:v>8.0049821084956216E-2</c:v>
                </c:pt>
                <c:pt idx="42">
                  <c:v>8.0485884555447862E-2</c:v>
                </c:pt>
                <c:pt idx="43">
                  <c:v>8.0375809126205525E-2</c:v>
                </c:pt>
                <c:pt idx="44">
                  <c:v>8.0370410490750943E-2</c:v>
                </c:pt>
                <c:pt idx="45">
                  <c:v>8.0405322799136369E-2</c:v>
                </c:pt>
                <c:pt idx="46">
                  <c:v>8.0407159165387709E-2</c:v>
                </c:pt>
                <c:pt idx="47">
                  <c:v>8.0735933299866572E-2</c:v>
                </c:pt>
                <c:pt idx="48">
                  <c:v>8.073986378842514E-2</c:v>
                </c:pt>
                <c:pt idx="49">
                  <c:v>8.0412873943880275E-2</c:v>
                </c:pt>
                <c:pt idx="50">
                  <c:v>8.056495781968287E-2</c:v>
                </c:pt>
                <c:pt idx="51">
                  <c:v>8.0689279367724978E-2</c:v>
                </c:pt>
                <c:pt idx="52">
                  <c:v>8.0415409901902268E-2</c:v>
                </c:pt>
                <c:pt idx="53">
                  <c:v>8.0367328341048816E-2</c:v>
                </c:pt>
                <c:pt idx="54">
                  <c:v>8.0366032052822778E-2</c:v>
                </c:pt>
                <c:pt idx="55">
                  <c:v>8.0395559900947544E-2</c:v>
                </c:pt>
                <c:pt idx="56">
                  <c:v>8.0500469189295931E-2</c:v>
                </c:pt>
                <c:pt idx="57">
                  <c:v>8.0479422907291071E-2</c:v>
                </c:pt>
                <c:pt idx="58">
                  <c:v>8.0525280073360475E-2</c:v>
                </c:pt>
                <c:pt idx="59">
                  <c:v>8.0491544999264114E-2</c:v>
                </c:pt>
                <c:pt idx="60">
                  <c:v>8.0384056973636278E-2</c:v>
                </c:pt>
                <c:pt idx="61">
                  <c:v>8.0466889952607284E-2</c:v>
                </c:pt>
                <c:pt idx="62">
                  <c:v>8.0651886048806187E-2</c:v>
                </c:pt>
                <c:pt idx="63">
                  <c:v>8.0714287023579911E-2</c:v>
                </c:pt>
                <c:pt idx="64">
                  <c:v>8.082727657446663E-2</c:v>
                </c:pt>
                <c:pt idx="65">
                  <c:v>8.0745733354802188E-2</c:v>
                </c:pt>
                <c:pt idx="66">
                  <c:v>8.0710975821054173E-2</c:v>
                </c:pt>
                <c:pt idx="67">
                  <c:v>8.093484038964463E-2</c:v>
                </c:pt>
                <c:pt idx="68">
                  <c:v>8.1057330313140746E-2</c:v>
                </c:pt>
                <c:pt idx="69">
                  <c:v>8.1000092334850324E-2</c:v>
                </c:pt>
                <c:pt idx="70">
                  <c:v>8.1051815975689515E-2</c:v>
                </c:pt>
                <c:pt idx="71">
                  <c:v>8.1282690071680361E-2</c:v>
                </c:pt>
                <c:pt idx="72">
                  <c:v>8.1286126584798432E-2</c:v>
                </c:pt>
                <c:pt idx="73">
                  <c:v>8.1329594195665156E-2</c:v>
                </c:pt>
                <c:pt idx="74">
                  <c:v>8.1120342725723465E-2</c:v>
                </c:pt>
                <c:pt idx="75">
                  <c:v>8.1080919417355152E-2</c:v>
                </c:pt>
                <c:pt idx="76">
                  <c:v>8.1016106341991162E-2</c:v>
                </c:pt>
                <c:pt idx="77">
                  <c:v>8.0976385310074159E-2</c:v>
                </c:pt>
                <c:pt idx="78">
                  <c:v>8.1036001526852142E-2</c:v>
                </c:pt>
                <c:pt idx="79">
                  <c:v>8.101820656045805E-2</c:v>
                </c:pt>
                <c:pt idx="80">
                  <c:v>8.0903387275204505E-2</c:v>
                </c:pt>
                <c:pt idx="81">
                  <c:v>8.0963218197192349E-2</c:v>
                </c:pt>
                <c:pt idx="82">
                  <c:v>8.0657354532179065E-2</c:v>
                </c:pt>
                <c:pt idx="83">
                  <c:v>8.0776164790065788E-2</c:v>
                </c:pt>
                <c:pt idx="84">
                  <c:v>8.0629570373067144E-2</c:v>
                </c:pt>
                <c:pt idx="85">
                  <c:v>8.0640635866176896E-2</c:v>
                </c:pt>
                <c:pt idx="86">
                  <c:v>8.0667583259722148E-2</c:v>
                </c:pt>
                <c:pt idx="87">
                  <c:v>8.0398122467020772E-2</c:v>
                </c:pt>
                <c:pt idx="88">
                  <c:v>8.0324803280320781E-2</c:v>
                </c:pt>
                <c:pt idx="89">
                  <c:v>8.0069338143597651E-2</c:v>
                </c:pt>
                <c:pt idx="90">
                  <c:v>8.0123452234549003E-2</c:v>
                </c:pt>
                <c:pt idx="91">
                  <c:v>8.0257311480824642E-2</c:v>
                </c:pt>
                <c:pt idx="92">
                  <c:v>8.0032233889574103E-2</c:v>
                </c:pt>
                <c:pt idx="93">
                  <c:v>8.0139051126119173E-2</c:v>
                </c:pt>
                <c:pt idx="94">
                  <c:v>8.0134597543046499E-2</c:v>
                </c:pt>
                <c:pt idx="95">
                  <c:v>8.0123493934217777E-2</c:v>
                </c:pt>
                <c:pt idx="96">
                  <c:v>8.0049355245483789E-2</c:v>
                </c:pt>
                <c:pt idx="97">
                  <c:v>7.9982372180322864E-2</c:v>
                </c:pt>
                <c:pt idx="98">
                  <c:v>8.0033379350213971E-2</c:v>
                </c:pt>
                <c:pt idx="99">
                  <c:v>8.0108926374753295E-2</c:v>
                </c:pt>
                <c:pt idx="100">
                  <c:v>8.0016592639117659E-2</c:v>
                </c:pt>
                <c:pt idx="101">
                  <c:v>7.996747967428651E-2</c:v>
                </c:pt>
                <c:pt idx="102">
                  <c:v>8.0124012875015652E-2</c:v>
                </c:pt>
                <c:pt idx="103">
                  <c:v>7.9969779523835979E-2</c:v>
                </c:pt>
                <c:pt idx="104">
                  <c:v>7.9931079847405523E-2</c:v>
                </c:pt>
                <c:pt idx="105">
                  <c:v>7.9916837520688871E-2</c:v>
                </c:pt>
                <c:pt idx="106">
                  <c:v>7.9748900443217335E-2</c:v>
                </c:pt>
                <c:pt idx="107">
                  <c:v>7.9760439598949032E-2</c:v>
                </c:pt>
                <c:pt idx="108">
                  <c:v>7.9804756716319425E-2</c:v>
                </c:pt>
                <c:pt idx="109">
                  <c:v>7.9620164674668523E-2</c:v>
                </c:pt>
                <c:pt idx="110">
                  <c:v>7.9700023429577382E-2</c:v>
                </c:pt>
                <c:pt idx="111">
                  <c:v>7.9617539826916495E-2</c:v>
                </c:pt>
                <c:pt idx="112">
                  <c:v>7.9527146408361268E-2</c:v>
                </c:pt>
                <c:pt idx="113">
                  <c:v>7.9431472966585218E-2</c:v>
                </c:pt>
                <c:pt idx="114">
                  <c:v>7.9453764569264451E-2</c:v>
                </c:pt>
                <c:pt idx="115">
                  <c:v>7.945274601542264E-2</c:v>
                </c:pt>
                <c:pt idx="116">
                  <c:v>7.9384547895585633E-2</c:v>
                </c:pt>
                <c:pt idx="117">
                  <c:v>7.9677758865856263E-2</c:v>
                </c:pt>
                <c:pt idx="118">
                  <c:v>7.9766657800237672E-2</c:v>
                </c:pt>
                <c:pt idx="119">
                  <c:v>7.9704275518914569E-2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253824"/>
        <c:axId val="445931520"/>
      </c:lineChart>
      <c:catAx>
        <c:axId val="44025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445931520"/>
        <c:crosses val="autoZero"/>
        <c:auto val="1"/>
        <c:lblAlgn val="ctr"/>
        <c:lblOffset val="100"/>
        <c:noMultiLvlLbl val="0"/>
      </c:catAx>
      <c:valAx>
        <c:axId val="44593152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40253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462640</xdr:colOff>
      <xdr:row>47</xdr:row>
      <xdr:rowOff>108858</xdr:rowOff>
    </xdr:from>
    <xdr:to>
      <xdr:col>11</xdr:col>
      <xdr:colOff>367391</xdr:colOff>
      <xdr:row>67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312962</xdr:colOff>
      <xdr:row>17</xdr:row>
      <xdr:rowOff>176894</xdr:rowOff>
    </xdr:from>
    <xdr:to>
      <xdr:col>12</xdr:col>
      <xdr:colOff>136070</xdr:colOff>
      <xdr:row>43</xdr:row>
      <xdr:rowOff>81643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693963</xdr:colOff>
      <xdr:row>25</xdr:row>
      <xdr:rowOff>176892</xdr:rowOff>
    </xdr:from>
    <xdr:to>
      <xdr:col>23</xdr:col>
      <xdr:colOff>775606</xdr:colOff>
      <xdr:row>47</xdr:row>
      <xdr:rowOff>1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666748</xdr:colOff>
      <xdr:row>51</xdr:row>
      <xdr:rowOff>108857</xdr:rowOff>
    </xdr:from>
    <xdr:to>
      <xdr:col>22</xdr:col>
      <xdr:colOff>17687</xdr:colOff>
      <xdr:row>70</xdr:row>
      <xdr:rowOff>163286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816428</xdr:colOff>
      <xdr:row>19</xdr:row>
      <xdr:rowOff>40822</xdr:rowOff>
    </xdr:from>
    <xdr:to>
      <xdr:col>35</xdr:col>
      <xdr:colOff>585107</xdr:colOff>
      <xdr:row>41</xdr:row>
      <xdr:rowOff>40822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108857</xdr:colOff>
      <xdr:row>1</xdr:row>
      <xdr:rowOff>149679</xdr:rowOff>
    </xdr:from>
    <xdr:to>
      <xdr:col>20</xdr:col>
      <xdr:colOff>748393</xdr:colOff>
      <xdr:row>31</xdr:row>
      <xdr:rowOff>58510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E5:F10"/>
  <sheetViews>
    <sheetView zoomScale="70" zoomScaleNormal="70" workbookViewId="0">
      <selection activeCell="H14" sqref="H14"/>
    </sheetView>
  </sheetViews>
  <sheetFormatPr defaultColWidth="11" defaultRowHeight="14.25" x14ac:dyDescent="0.2"/>
  <cols>
    <col min="1" max="11" width="11" style="1"/>
    <col min="12" max="12" width="12.25" style="1" bestFit="1" customWidth="1"/>
    <col min="13" max="16384" width="11" style="1"/>
  </cols>
  <sheetData>
    <row r="5" spans="5:6" x14ac:dyDescent="0.2">
      <c r="E5" s="1" t="s">
        <v>1</v>
      </c>
      <c r="F5" s="1" t="s">
        <v>7</v>
      </c>
    </row>
    <row r="6" spans="5:6" x14ac:dyDescent="0.2">
      <c r="E6" s="1" t="s">
        <v>0</v>
      </c>
      <c r="F6" s="1" t="s">
        <v>8</v>
      </c>
    </row>
    <row r="7" spans="5:6" x14ac:dyDescent="0.2">
      <c r="E7" s="1" t="s">
        <v>2</v>
      </c>
      <c r="F7" s="1">
        <v>12000</v>
      </c>
    </row>
    <row r="8" spans="5:6" x14ac:dyDescent="0.2">
      <c r="E8" s="1" t="s">
        <v>3</v>
      </c>
      <c r="F8" s="1">
        <v>0.04</v>
      </c>
    </row>
    <row r="9" spans="5:6" x14ac:dyDescent="0.2">
      <c r="E9" s="1" t="s">
        <v>4</v>
      </c>
      <c r="F9" s="1">
        <v>0.01</v>
      </c>
    </row>
    <row r="10" spans="5:6" x14ac:dyDescent="0.2">
      <c r="E10" s="1" t="s">
        <v>5</v>
      </c>
      <c r="F10" s="1">
        <v>0.25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6:AG1212"/>
  <sheetViews>
    <sheetView tabSelected="1" zoomScale="70" zoomScaleNormal="70" workbookViewId="0">
      <selection activeCell="N36" sqref="N36"/>
    </sheetView>
  </sheetViews>
  <sheetFormatPr defaultColWidth="11" defaultRowHeight="14.25" x14ac:dyDescent="0.2"/>
  <cols>
    <col min="1" max="19" width="11" style="1"/>
    <col min="20" max="20" width="12.5" style="1" customWidth="1"/>
    <col min="21" max="22" width="12.375" style="1" bestFit="1" customWidth="1"/>
    <col min="23" max="23" width="16.375" style="1" bestFit="1" customWidth="1"/>
    <col min="24" max="24" width="13.875" style="1" bestFit="1" customWidth="1"/>
    <col min="25" max="25" width="11.125" style="1" bestFit="1" customWidth="1"/>
    <col min="26" max="29" width="11" style="1"/>
    <col min="30" max="30" width="12.25" style="1" bestFit="1" customWidth="1"/>
    <col min="31" max="16384" width="11" style="1"/>
  </cols>
  <sheetData>
    <row r="6" spans="2:33" ht="15" x14ac:dyDescent="0.25">
      <c r="S6" s="1">
        <v>18</v>
      </c>
      <c r="T6" s="7">
        <f>8%*S6*8%</f>
        <v>0.1152</v>
      </c>
      <c r="U6" s="1">
        <f>sigma*sigma/alpha/alpha*(S6+2/alpha*EXP(-alpha*S6)-1/2/alpha*EXP(-2*alpha*S6)-3/2/alpha)</f>
        <v>0.11725098840450432</v>
      </c>
      <c r="V6" s="1">
        <f>2*sigma/alpha*corel*(S6-1/alpha*(1-EXP(-alpha*S6)))</f>
        <v>0.64610079987491176</v>
      </c>
      <c r="W6" s="5">
        <f>U6-T6</f>
        <v>2.0509884045043225E-3</v>
      </c>
      <c r="X6" s="1">
        <f>V6*V6-4*W6*S6</f>
        <v>0.26977507847468957</v>
      </c>
      <c r="Y6" s="3">
        <f>(-V6+SQRT(X6))/2/S6</f>
        <v>-3.5195009315473697E-3</v>
      </c>
    </row>
    <row r="11" spans="2:33" x14ac:dyDescent="0.2">
      <c r="C11" s="1">
        <v>0</v>
      </c>
      <c r="D11" s="1">
        <v>0</v>
      </c>
      <c r="E11" s="1">
        <v>1</v>
      </c>
      <c r="G11" s="1">
        <v>0</v>
      </c>
      <c r="H11" s="1">
        <v>0</v>
      </c>
      <c r="I11" s="1">
        <v>1</v>
      </c>
      <c r="K11" s="1">
        <v>0</v>
      </c>
      <c r="L11" s="1">
        <v>0</v>
      </c>
      <c r="M11" s="1">
        <v>1</v>
      </c>
      <c r="O11" s="1">
        <v>0</v>
      </c>
      <c r="P11" s="1">
        <v>0</v>
      </c>
      <c r="R11" s="1">
        <v>0</v>
      </c>
      <c r="V11" s="1">
        <v>2</v>
      </c>
      <c r="W11" s="1">
        <v>1</v>
      </c>
      <c r="X11" s="1" t="s">
        <v>6</v>
      </c>
    </row>
    <row r="12" spans="2:33" ht="15" x14ac:dyDescent="0.25">
      <c r="B12" s="1">
        <v>1</v>
      </c>
      <c r="C12" s="1">
        <v>0.9999997383545508</v>
      </c>
      <c r="D12" s="1">
        <v>1.0091769214894037</v>
      </c>
      <c r="E12" s="1">
        <v>0.99090009715243765</v>
      </c>
      <c r="G12" s="1">
        <v>0.99999646761142069</v>
      </c>
      <c r="H12" s="1">
        <v>1.0852424858265532</v>
      </c>
      <c r="I12" s="1">
        <v>0.92099983277758335</v>
      </c>
      <c r="K12" s="1">
        <v>1.0000043007374577</v>
      </c>
      <c r="L12" s="1">
        <v>1.1005599440055995</v>
      </c>
      <c r="M12" s="1">
        <v>0.90812999999999999</v>
      </c>
      <c r="O12" s="1">
        <v>4.8740855742122327E-4</v>
      </c>
      <c r="P12" s="1">
        <v>0.9999593834450895</v>
      </c>
      <c r="R12" s="1">
        <v>9.284625143434224E-3</v>
      </c>
      <c r="S12" s="2">
        <f>optim_vol_implied(P12,R12)</f>
        <v>2.3324843428269723E-2</v>
      </c>
      <c r="T12" s="4">
        <f>S12*S12</f>
        <v>5.4404832095329724E-4</v>
      </c>
      <c r="U12" s="1">
        <f t="shared" ref="U12:U56" si="0">sigma*sigma/alpha/alpha*(B12/12+2/alpha*EXP(-alpha*B12/12)-1/2/alpha*EXP(-2*alpha*B12/12)-3/2/alpha)</f>
        <v>1.9241972903927262E-8</v>
      </c>
      <c r="V12" s="6">
        <f>2*sigma/alpha*corel*(B12/12-1/alpha*(1-EXP(-alpha*Output!B12/12)))</f>
        <v>1.7341837051898859E-5</v>
      </c>
      <c r="W12" s="5">
        <f>U12-T12</f>
        <v>-5.4402907898039332E-4</v>
      </c>
      <c r="X12" s="1">
        <f>V12*V12-4*W12*B12/12</f>
        <v>1.813433270661101E-4</v>
      </c>
      <c r="Y12" s="3">
        <f>(-V12+SQRT(X12))/2/B12*12</f>
        <v>8.0694214889649632E-2</v>
      </c>
      <c r="Z12" s="1">
        <f>S12/SQRT(B12/12)</f>
        <v>8.0799627792704387E-2</v>
      </c>
      <c r="AA12" s="8">
        <v>0</v>
      </c>
      <c r="AB12" s="1">
        <v>8.3330000000000001E-2</v>
      </c>
      <c r="AC12" s="1">
        <v>5.0000000290000002E-4</v>
      </c>
      <c r="AD12" s="8">
        <f>(AC12-O12)*10000</f>
        <v>0.12591445478776753</v>
      </c>
      <c r="AE12" s="3">
        <f>AD12/AC12/10000</f>
        <v>2.5182890811492737E-2</v>
      </c>
      <c r="AF12" s="11">
        <f>AA12</f>
        <v>0</v>
      </c>
      <c r="AG12" s="1">
        <f>Z12</f>
        <v>8.0799627792704387E-2</v>
      </c>
    </row>
    <row r="13" spans="2:33" ht="15" x14ac:dyDescent="0.25">
      <c r="B13" s="1">
        <v>2</v>
      </c>
      <c r="C13" s="1">
        <v>0.99999948513628789</v>
      </c>
      <c r="D13" s="1">
        <v>1.0123396927755772</v>
      </c>
      <c r="E13" s="1">
        <v>0.98779794377489627</v>
      </c>
      <c r="G13" s="1">
        <v>0.99999204606546521</v>
      </c>
      <c r="H13" s="1">
        <v>1.116438090898356</v>
      </c>
      <c r="I13" s="1">
        <v>0.89482490464793729</v>
      </c>
      <c r="K13" s="1">
        <v>0.99999977012289099</v>
      </c>
      <c r="L13" s="1">
        <v>1.1328551935612878</v>
      </c>
      <c r="M13" s="1">
        <v>0.88182953586286905</v>
      </c>
      <c r="O13" s="1">
        <v>4.9648445639140421E-4</v>
      </c>
      <c r="P13" s="1">
        <v>0.99991725601407389</v>
      </c>
      <c r="R13" s="1">
        <v>1.2997184566055916E-2</v>
      </c>
      <c r="S13" s="2">
        <f>optim_vol_implied(P13,R13)</f>
        <v>3.268534216991377E-2</v>
      </c>
      <c r="T13" s="4">
        <f t="shared" ref="T13:T56" si="1">S13*S13</f>
        <v>1.0683315927643433E-3</v>
      </c>
      <c r="U13" s="1">
        <f t="shared" si="0"/>
        <v>1.5355177751530391E-7</v>
      </c>
      <c r="V13" s="6">
        <f>2*sigma/alpha*corel*(B13/12-1/alpha*(1-EXP(-alpha*Output!B13/12)))</f>
        <v>6.9290380315948502E-5</v>
      </c>
      <c r="W13" s="5">
        <f t="shared" ref="W13:W56" si="2">U13-T13</f>
        <v>-1.068178040986828E-3</v>
      </c>
      <c r="X13" s="1">
        <f t="shared" ref="X13:X56" si="3">V13*V13-4*W13*B13/12</f>
        <v>7.12123495148023E-4</v>
      </c>
      <c r="Y13" s="3">
        <f t="shared" ref="Y13:Y76" si="4">(-V13+SQRT(X13))/2/B13*12</f>
        <v>7.9849055207321398E-2</v>
      </c>
      <c r="Z13" s="1">
        <f t="shared" ref="Z13:Z76" si="5">S13/SQRT(B13/12)</f>
        <v>8.0062410384562244E-2</v>
      </c>
      <c r="AA13" s="8">
        <f>AA12+1/12</f>
        <v>8.3333333333333329E-2</v>
      </c>
      <c r="AB13" s="1">
        <v>0.16669999999999999</v>
      </c>
      <c r="AC13" s="1">
        <v>5.0000000000000001E-4</v>
      </c>
      <c r="AD13" s="8">
        <f t="shared" ref="AD13:AD76" si="6">(AC13-O13)*10000</f>
        <v>3.5155436085957961E-2</v>
      </c>
      <c r="AE13" s="3">
        <f t="shared" ref="AE13:AE76" si="7">AD13/AC13/10000</f>
        <v>7.0310872171915921E-3</v>
      </c>
      <c r="AF13" s="11">
        <f t="shared" ref="AF13:AF76" si="8">AA13</f>
        <v>8.3333333333333329E-2</v>
      </c>
      <c r="AG13" s="1">
        <f t="shared" ref="AG13:AG76" si="9">Z13</f>
        <v>8.0062410384562244E-2</v>
      </c>
    </row>
    <row r="14" spans="2:33" ht="15" x14ac:dyDescent="0.25">
      <c r="B14" s="1">
        <v>3</v>
      </c>
      <c r="C14" s="1">
        <v>0.99999912346041275</v>
      </c>
      <c r="D14" s="1">
        <v>1.0144181739652227</v>
      </c>
      <c r="E14" s="1">
        <v>0.98576770386726953</v>
      </c>
      <c r="G14" s="1">
        <v>0.99997615327833123</v>
      </c>
      <c r="H14" s="1">
        <v>1.1378727072718411</v>
      </c>
      <c r="I14" s="1">
        <v>0.87753698293102778</v>
      </c>
      <c r="K14" s="1">
        <v>0.99999625767464351</v>
      </c>
      <c r="L14" s="1">
        <v>1.1500457079236526</v>
      </c>
      <c r="M14" s="1">
        <v>0.86812746833568466</v>
      </c>
      <c r="O14" s="1">
        <v>4.9970414747146615E-4</v>
      </c>
      <c r="P14" s="1">
        <v>0.99987508176606454</v>
      </c>
      <c r="R14" s="1">
        <v>1.5976744746119671E-2</v>
      </c>
      <c r="S14" s="2">
        <f t="shared" ref="S14:S77" si="10">optim_vol_implied(P14,R14)</f>
        <v>4.0209143177588544E-2</v>
      </c>
      <c r="T14" s="4">
        <f t="shared" si="1"/>
        <v>1.6167751950758153E-3</v>
      </c>
      <c r="U14" s="1">
        <f t="shared" si="0"/>
        <v>5.1694524749734683E-7</v>
      </c>
      <c r="V14" s="6">
        <f>2*sigma/alpha*corel*(B14/12-1/alpha*(1-EXP(-alpha*Output!B14/12)))</f>
        <v>1.5573046615033337E-4</v>
      </c>
      <c r="W14" s="5">
        <f t="shared" si="2"/>
        <v>-1.6162582498283179E-3</v>
      </c>
      <c r="X14" s="1">
        <f t="shared" si="3"/>
        <v>1.6162825018064052E-3</v>
      </c>
      <c r="Y14" s="3">
        <f t="shared" si="4"/>
        <v>8.0094571224656436E-2</v>
      </c>
      <c r="Z14" s="1">
        <f t="shared" si="5"/>
        <v>8.0418286355177088E-2</v>
      </c>
      <c r="AA14" s="8">
        <f t="shared" ref="AA14:AA77" si="11">AA13+1/12</f>
        <v>0.16666666666666666</v>
      </c>
      <c r="AB14" s="1">
        <v>0.25</v>
      </c>
      <c r="AC14" s="1">
        <v>4.999999971E-4</v>
      </c>
      <c r="AD14" s="8">
        <f t="shared" si="6"/>
        <v>2.9584962853385164E-3</v>
      </c>
      <c r="AE14" s="3">
        <f t="shared" si="7"/>
        <v>5.9169926049955899E-4</v>
      </c>
      <c r="AF14" s="11">
        <f t="shared" si="8"/>
        <v>0.16666666666666666</v>
      </c>
      <c r="AG14" s="1">
        <f t="shared" si="9"/>
        <v>8.0418286355177088E-2</v>
      </c>
    </row>
    <row r="15" spans="2:33" ht="15" x14ac:dyDescent="0.25">
      <c r="B15" s="1">
        <v>4</v>
      </c>
      <c r="C15" s="1">
        <v>0.99999911064876246</v>
      </c>
      <c r="D15" s="1">
        <v>1.0168919375454519</v>
      </c>
      <c r="E15" s="1">
        <v>0.98336341610956912</v>
      </c>
      <c r="G15" s="1">
        <v>0.99998760599828473</v>
      </c>
      <c r="H15" s="1">
        <v>1.1636037836230084</v>
      </c>
      <c r="I15" s="1">
        <v>0.85770988613789667</v>
      </c>
      <c r="K15" s="1">
        <v>1.000003804662537</v>
      </c>
      <c r="L15" s="1">
        <v>1.1940756223814271</v>
      </c>
      <c r="M15" s="1">
        <v>0.83569901723467199</v>
      </c>
      <c r="O15" s="1">
        <v>4.9918535891021597E-4</v>
      </c>
      <c r="P15" s="1">
        <v>0.99983361872326337</v>
      </c>
      <c r="R15" s="1">
        <v>1.8571694962383502E-2</v>
      </c>
      <c r="S15" s="2">
        <f t="shared" si="10"/>
        <v>4.6768492308738321E-2</v>
      </c>
      <c r="T15" s="4">
        <f t="shared" si="1"/>
        <v>2.1872918728325155E-3</v>
      </c>
      <c r="U15" s="1">
        <f t="shared" si="0"/>
        <v>1.2222986756071919E-6</v>
      </c>
      <c r="V15" s="6">
        <f>2*sigma/alpha*corel*(B15/12-1/alpha*(1-EXP(-alpha*Output!B15/12)))</f>
        <v>2.765473141531985E-4</v>
      </c>
      <c r="W15" s="5">
        <f t="shared" si="2"/>
        <v>-2.1860695741569083E-3</v>
      </c>
      <c r="X15" s="1">
        <f t="shared" si="3"/>
        <v>2.9148359106261762E-3</v>
      </c>
      <c r="Y15" s="3">
        <f t="shared" si="4"/>
        <v>8.0569009506890318E-2</v>
      </c>
      <c r="Z15" s="1">
        <f t="shared" si="5"/>
        <v>8.1005404872129039E-2</v>
      </c>
      <c r="AA15" s="8">
        <f t="shared" si="11"/>
        <v>0.25</v>
      </c>
      <c r="AB15" s="1">
        <v>0.33329999999999999</v>
      </c>
      <c r="AC15" s="1">
        <v>5.0000000000000001E-4</v>
      </c>
      <c r="AD15" s="8">
        <f t="shared" si="6"/>
        <v>8.1464108978403834E-3</v>
      </c>
      <c r="AE15" s="3">
        <f t="shared" si="7"/>
        <v>1.6292821795680767E-3</v>
      </c>
      <c r="AF15" s="11">
        <f t="shared" si="8"/>
        <v>0.25</v>
      </c>
      <c r="AG15" s="1">
        <f t="shared" si="9"/>
        <v>8.1005404872129039E-2</v>
      </c>
    </row>
    <row r="16" spans="2:33" ht="15" x14ac:dyDescent="0.25">
      <c r="B16" s="1">
        <v>5</v>
      </c>
      <c r="C16" s="1">
        <v>0.99999863507941589</v>
      </c>
      <c r="D16" s="1">
        <v>1.0201052427015513</v>
      </c>
      <c r="E16" s="1">
        <v>0.98025967330961461</v>
      </c>
      <c r="G16" s="1">
        <v>0.99996079052579867</v>
      </c>
      <c r="H16" s="1">
        <v>1.1966048937314391</v>
      </c>
      <c r="I16" s="1">
        <v>0.83364514948820345</v>
      </c>
      <c r="K16" s="1">
        <v>0.99998808122648597</v>
      </c>
      <c r="L16" s="1">
        <v>1.1960205226885725</v>
      </c>
      <c r="M16" s="1">
        <v>0.83391634345680454</v>
      </c>
      <c r="O16" s="1">
        <v>4.9920805810363357E-4</v>
      </c>
      <c r="P16" s="1">
        <v>0.99979201827365538</v>
      </c>
      <c r="R16" s="1">
        <v>2.0688715956015694E-2</v>
      </c>
      <c r="S16" s="2">
        <f t="shared" si="10"/>
        <v>5.2130249607978171E-2</v>
      </c>
      <c r="T16" s="4">
        <f t="shared" si="1"/>
        <v>2.7175629241901083E-3</v>
      </c>
      <c r="U16" s="1">
        <f t="shared" si="0"/>
        <v>2.3813576541797943E-6</v>
      </c>
      <c r="V16" s="6">
        <f>2*sigma/alpha*corel*(B16/12-1/alpha*(1-EXP(-alpha*Output!B16/12)))</f>
        <v>4.3162652588799727E-4</v>
      </c>
      <c r="W16" s="5">
        <f t="shared" si="2"/>
        <v>-2.7151815665359285E-3</v>
      </c>
      <c r="X16" s="1">
        <f t="shared" si="3"/>
        <v>4.5254889123510639E-3</v>
      </c>
      <c r="Y16" s="3">
        <f>(-V16+SQRT(X16))/2/B16*12</f>
        <v>8.0208153201851318E-2</v>
      </c>
      <c r="Z16" s="1">
        <f t="shared" si="5"/>
        <v>8.0759835426134075E-2</v>
      </c>
      <c r="AA16" s="8">
        <f t="shared" si="11"/>
        <v>0.33333333333333331</v>
      </c>
      <c r="AB16" s="1">
        <v>0.41670000000000001</v>
      </c>
      <c r="AC16" s="1">
        <v>5.0000001080000001E-4</v>
      </c>
      <c r="AD16" s="8">
        <f t="shared" si="6"/>
        <v>7.9195269636644396E-3</v>
      </c>
      <c r="AE16" s="3">
        <f t="shared" si="7"/>
        <v>1.5839053585205321E-3</v>
      </c>
      <c r="AF16" s="11">
        <f t="shared" si="8"/>
        <v>0.33333333333333331</v>
      </c>
      <c r="AG16" s="1">
        <f t="shared" si="9"/>
        <v>8.0759835426134075E-2</v>
      </c>
    </row>
    <row r="17" spans="2:33" ht="15" x14ac:dyDescent="0.25">
      <c r="B17" s="1">
        <v>6</v>
      </c>
      <c r="C17" s="1">
        <v>0.99999795057555951</v>
      </c>
      <c r="D17" s="1">
        <v>1.0211745402781622</v>
      </c>
      <c r="E17" s="1">
        <v>0.97922709839294753</v>
      </c>
      <c r="G17" s="1">
        <v>0.9999122934904684</v>
      </c>
      <c r="H17" s="1">
        <v>1.205604522327234</v>
      </c>
      <c r="I17" s="1">
        <v>0.8270154553737602</v>
      </c>
      <c r="K17" s="1">
        <v>0.99997824691750281</v>
      </c>
      <c r="L17" s="1">
        <v>1.2194475561791389</v>
      </c>
      <c r="M17" s="1">
        <v>0.81738241081417273</v>
      </c>
      <c r="O17" s="1">
        <v>5.000450121799469E-4</v>
      </c>
      <c r="P17" s="1">
        <v>0.9997500087469321</v>
      </c>
      <c r="R17" s="1">
        <v>2.2576365109198568E-2</v>
      </c>
      <c r="S17" s="2">
        <f t="shared" si="10"/>
        <v>5.691786035747666E-2</v>
      </c>
      <c r="T17" s="4">
        <f t="shared" si="1"/>
        <v>3.239642827673213E-3</v>
      </c>
      <c r="U17" s="1">
        <f t="shared" si="0"/>
        <v>4.1047458578802321E-6</v>
      </c>
      <c r="V17" s="6">
        <f>2*sigma/alpha*corel*(B17/12-1/alpha*(1-EXP(-alpha*Output!B17/12)))</f>
        <v>6.2085408361016448E-4</v>
      </c>
      <c r="W17" s="5">
        <f t="shared" si="2"/>
        <v>-3.2355380818153328E-3</v>
      </c>
      <c r="X17" s="1">
        <f t="shared" si="3"/>
        <v>6.4714616234238017E-3</v>
      </c>
      <c r="Y17" s="3">
        <f t="shared" si="4"/>
        <v>7.9824541206759331E-2</v>
      </c>
      <c r="Z17" s="1">
        <f t="shared" si="5"/>
        <v>8.0494010058801427E-2</v>
      </c>
      <c r="AA17" s="8">
        <f t="shared" si="11"/>
        <v>0.41666666666666663</v>
      </c>
      <c r="AB17" s="1">
        <v>0.5</v>
      </c>
      <c r="AC17" s="1">
        <v>5.0000001639999997E-4</v>
      </c>
      <c r="AD17" s="8">
        <f t="shared" si="6"/>
        <v>-4.4995779946931623E-4</v>
      </c>
      <c r="AE17" s="3">
        <f t="shared" si="7"/>
        <v>-8.9991556942140179E-5</v>
      </c>
      <c r="AF17" s="11">
        <f t="shared" si="8"/>
        <v>0.41666666666666663</v>
      </c>
      <c r="AG17" s="1">
        <f t="shared" si="9"/>
        <v>8.0494010058801427E-2</v>
      </c>
    </row>
    <row r="18" spans="2:33" ht="15" x14ac:dyDescent="0.25">
      <c r="B18" s="1">
        <v>7</v>
      </c>
      <c r="C18" s="1">
        <v>0.99999799494513086</v>
      </c>
      <c r="D18" s="1">
        <v>1.0202628442228387</v>
      </c>
      <c r="E18" s="1">
        <v>0.98009604673158435</v>
      </c>
      <c r="G18" s="1">
        <v>0.99992271730508397</v>
      </c>
      <c r="H18" s="1">
        <v>1.1986334474161371</v>
      </c>
      <c r="I18" s="1">
        <v>0.83141647149723685</v>
      </c>
      <c r="K18" s="1">
        <v>0.99997975126349103</v>
      </c>
      <c r="L18" s="1">
        <v>1.2541548013170962</v>
      </c>
      <c r="M18" s="1">
        <v>0.79434624737609782</v>
      </c>
      <c r="O18" s="1">
        <v>4.9937906497711493E-4</v>
      </c>
      <c r="P18" s="1">
        <v>0.99970873797045301</v>
      </c>
      <c r="R18" s="1">
        <v>2.4500644507631373E-2</v>
      </c>
      <c r="S18" s="2">
        <f t="shared" si="10"/>
        <v>6.1796922366284771E-2</v>
      </c>
      <c r="T18" s="4">
        <f t="shared" si="1"/>
        <v>3.8188596139446269E-3</v>
      </c>
      <c r="U18" s="1">
        <f t="shared" si="0"/>
        <v>6.5019737585103599E-6</v>
      </c>
      <c r="V18" s="6">
        <f>2*sigma/alpha*corel*(B18/12-1/alpha*(1-EXP(-alpha*Output!B18/12)))</f>
        <v>8.4411634900290189E-4</v>
      </c>
      <c r="W18" s="5">
        <f t="shared" si="2"/>
        <v>-3.8123576401861165E-3</v>
      </c>
      <c r="X18" s="1">
        <f t="shared" si="3"/>
        <v>8.8962136928449256E-3</v>
      </c>
      <c r="Y18" s="3">
        <f t="shared" si="4"/>
        <v>8.0121964670585008E-2</v>
      </c>
      <c r="Z18" s="1">
        <f t="shared" si="5"/>
        <v>8.0911164131088426E-2</v>
      </c>
      <c r="AA18" s="8">
        <f t="shared" si="11"/>
        <v>0.49999999999999994</v>
      </c>
      <c r="AB18" s="1">
        <v>0.58330000000000004</v>
      </c>
      <c r="AC18" s="1">
        <v>5.0000000000000001E-4</v>
      </c>
      <c r="AD18" s="8">
        <f t="shared" si="6"/>
        <v>6.2093502288507706E-3</v>
      </c>
      <c r="AE18" s="3">
        <f t="shared" si="7"/>
        <v>1.2418700457701541E-3</v>
      </c>
      <c r="AF18" s="11">
        <f t="shared" si="8"/>
        <v>0.49999999999999994</v>
      </c>
      <c r="AG18" s="1">
        <f t="shared" si="9"/>
        <v>8.0911164131088426E-2</v>
      </c>
    </row>
    <row r="19" spans="2:33" ht="15" x14ac:dyDescent="0.25">
      <c r="B19" s="1">
        <v>8</v>
      </c>
      <c r="C19" s="1">
        <v>0.99999774094708882</v>
      </c>
      <c r="D19" s="1">
        <v>1.0226535980001561</v>
      </c>
      <c r="E19" s="1">
        <v>0.9777987639018153</v>
      </c>
      <c r="G19" s="1">
        <v>0.99990702717927327</v>
      </c>
      <c r="H19" s="1">
        <v>1.2188668604171071</v>
      </c>
      <c r="I19" s="1">
        <v>0.8172130609628987</v>
      </c>
      <c r="K19" s="1">
        <v>0.99996775475590616</v>
      </c>
      <c r="L19" s="1">
        <v>1.3064326666897306</v>
      </c>
      <c r="M19" s="1">
        <v>0.76215607869606739</v>
      </c>
      <c r="O19" s="1">
        <v>5.0012579771612647E-4</v>
      </c>
      <c r="P19" s="1">
        <v>0.99966663837885972</v>
      </c>
      <c r="R19" s="1">
        <v>2.605374977663898E-2</v>
      </c>
      <c r="S19" s="2">
        <f t="shared" si="10"/>
        <v>6.5746542113663126E-2</v>
      </c>
      <c r="T19" s="4">
        <f t="shared" si="1"/>
        <v>4.3226077999036789E-3</v>
      </c>
      <c r="U19" s="1">
        <f t="shared" si="0"/>
        <v>9.6814472794193307E-6</v>
      </c>
      <c r="V19" s="6">
        <f>2*sigma/alpha*corel*(B19/12-1/alpha*(1-EXP(-alpha*Output!B19/12)))</f>
        <v>1.1013000619114616E-3</v>
      </c>
      <c r="W19" s="5">
        <f t="shared" si="2"/>
        <v>-4.3129263526242596E-3</v>
      </c>
      <c r="X19" s="1">
        <f t="shared" si="3"/>
        <v>1.1502349802157724E-2</v>
      </c>
      <c r="Y19" s="3">
        <f t="shared" si="4"/>
        <v>7.9610781251379159E-2</v>
      </c>
      <c r="Z19" s="1">
        <f t="shared" si="5"/>
        <v>8.052274026544004E-2</v>
      </c>
      <c r="AA19" s="8">
        <f t="shared" si="11"/>
        <v>0.58333333333333326</v>
      </c>
      <c r="AB19" s="1">
        <v>0.66669999999999996</v>
      </c>
      <c r="AC19" s="1">
        <v>4.9999995770000003E-4</v>
      </c>
      <c r="AD19" s="8">
        <f t="shared" si="6"/>
        <v>-1.2584001612644426E-3</v>
      </c>
      <c r="AE19" s="3">
        <f t="shared" si="7"/>
        <v>-2.5168005354502101E-4</v>
      </c>
      <c r="AF19" s="11">
        <f t="shared" si="8"/>
        <v>0.58333333333333326</v>
      </c>
      <c r="AG19" s="1">
        <f t="shared" si="9"/>
        <v>8.052274026544004E-2</v>
      </c>
    </row>
    <row r="20" spans="2:33" ht="15" x14ac:dyDescent="0.25">
      <c r="B20" s="1">
        <v>9</v>
      </c>
      <c r="C20" s="1">
        <v>0.99999775672821267</v>
      </c>
      <c r="D20" s="1">
        <v>1.0249981833212614</v>
      </c>
      <c r="E20" s="1">
        <v>0.97555618263757371</v>
      </c>
      <c r="G20" s="1">
        <v>0.99991077358741642</v>
      </c>
      <c r="H20" s="1">
        <v>1.2500970376189631</v>
      </c>
      <c r="I20" s="1">
        <v>0.79640581782572262</v>
      </c>
      <c r="K20" s="1">
        <v>0.99992511858859867</v>
      </c>
      <c r="L20" s="1">
        <v>1.3303323723957385</v>
      </c>
      <c r="M20" s="1">
        <v>0.748059108492099</v>
      </c>
      <c r="O20" s="1">
        <v>4.9916945265753455E-4</v>
      </c>
      <c r="P20" s="1">
        <v>0.9996256929808649</v>
      </c>
      <c r="R20" s="1">
        <v>2.7523659761412914E-2</v>
      </c>
      <c r="S20" s="2">
        <f t="shared" si="10"/>
        <v>6.9486388597766957E-2</v>
      </c>
      <c r="T20" s="4">
        <f t="shared" si="1"/>
        <v>4.8283582003598776E-3</v>
      </c>
      <c r="U20" s="1">
        <f t="shared" si="0"/>
        <v>1.3750476393958877E-5</v>
      </c>
      <c r="V20" s="6">
        <f>2*sigma/alpha*corel*(B20/12-1/alpha*(1-EXP(-alpha*Output!B20/12)))</f>
        <v>1.3922923390879832E-3</v>
      </c>
      <c r="W20" s="5">
        <f t="shared" si="2"/>
        <v>-4.8146077239659187E-3</v>
      </c>
      <c r="X20" s="1">
        <f t="shared" si="3"/>
        <v>1.4445761649855239E-2</v>
      </c>
      <c r="Y20" s="3">
        <f t="shared" si="4"/>
        <v>7.9198819971468715E-2</v>
      </c>
      <c r="Z20" s="1">
        <f t="shared" si="5"/>
        <v>8.0235970323871392E-2</v>
      </c>
      <c r="AA20" s="8">
        <f t="shared" si="11"/>
        <v>0.66666666666666663</v>
      </c>
      <c r="AB20" s="1">
        <v>0.75</v>
      </c>
      <c r="AC20" s="1">
        <v>4.9999993739999996E-4</v>
      </c>
      <c r="AD20" s="8">
        <f t="shared" si="6"/>
        <v>8.3048474246540972E-3</v>
      </c>
      <c r="AE20" s="3">
        <f t="shared" si="7"/>
        <v>1.660969692884225E-3</v>
      </c>
      <c r="AF20" s="11">
        <f t="shared" si="8"/>
        <v>0.66666666666666663</v>
      </c>
      <c r="AG20" s="1">
        <f t="shared" si="9"/>
        <v>8.0235970323871392E-2</v>
      </c>
    </row>
    <row r="21" spans="2:33" ht="15" x14ac:dyDescent="0.25">
      <c r="B21" s="1">
        <v>10</v>
      </c>
      <c r="C21" s="1">
        <v>0.99999779705182068</v>
      </c>
      <c r="D21" s="1">
        <v>1.0266827199885311</v>
      </c>
      <c r="E21" s="1">
        <v>0.97394962659622553</v>
      </c>
      <c r="G21" s="1">
        <v>0.99991444030637888</v>
      </c>
      <c r="H21" s="1">
        <v>1.2651016533748338</v>
      </c>
      <c r="I21" s="1">
        <v>0.78657354872482188</v>
      </c>
      <c r="K21" s="1">
        <v>0.99993468497104365</v>
      </c>
      <c r="L21" s="1">
        <v>1.2975848993680161</v>
      </c>
      <c r="M21" s="1">
        <v>0.76657613726743434</v>
      </c>
      <c r="O21" s="1">
        <v>4.9964282368922665E-4</v>
      </c>
      <c r="P21" s="1">
        <v>0.99958371764981002</v>
      </c>
      <c r="R21" s="1">
        <v>2.9140600354890835E-2</v>
      </c>
      <c r="S21" s="2">
        <f t="shared" si="10"/>
        <v>7.3596830890202386E-2</v>
      </c>
      <c r="T21" s="4">
        <f t="shared" si="1"/>
        <v>5.4164935170810478E-3</v>
      </c>
      <c r="U21" s="1">
        <f t="shared" si="0"/>
        <v>1.8815283650219783E-5</v>
      </c>
      <c r="V21" s="6">
        <f>2*sigma/alpha*corel*(B21/12-1/alpha*(1-EXP(-alpha*Output!B21/12)))</f>
        <v>1.7169806729351172E-3</v>
      </c>
      <c r="W21" s="5">
        <f t="shared" si="2"/>
        <v>-5.397678233430828E-3</v>
      </c>
      <c r="X21" s="1">
        <f t="shared" si="3"/>
        <v>1.7995208800733992E-2</v>
      </c>
      <c r="Y21" s="3">
        <f t="shared" si="4"/>
        <v>7.9457544625963661E-2</v>
      </c>
      <c r="Z21" s="1">
        <f t="shared" si="5"/>
        <v>8.0621288878913719E-2</v>
      </c>
      <c r="AA21" s="8">
        <f t="shared" si="11"/>
        <v>0.75</v>
      </c>
      <c r="AB21" s="1">
        <v>0.83330000000000004</v>
      </c>
      <c r="AC21" s="1">
        <v>5.0000000000000001E-4</v>
      </c>
      <c r="AD21" s="8">
        <f t="shared" si="6"/>
        <v>3.5717631077336436E-3</v>
      </c>
      <c r="AE21" s="3">
        <f t="shared" si="7"/>
        <v>7.1435262154672871E-4</v>
      </c>
      <c r="AF21" s="11">
        <f t="shared" si="8"/>
        <v>0.75</v>
      </c>
      <c r="AG21" s="1">
        <f t="shared" si="9"/>
        <v>8.0621288878913719E-2</v>
      </c>
    </row>
    <row r="22" spans="2:33" ht="15" x14ac:dyDescent="0.25">
      <c r="B22" s="1">
        <v>11</v>
      </c>
      <c r="C22" s="1">
        <v>0.99999791257493653</v>
      </c>
      <c r="D22" s="1">
        <v>1.0286391295857518</v>
      </c>
      <c r="E22" s="1">
        <v>0.97209138292018016</v>
      </c>
      <c r="G22" s="1">
        <v>0.99992220014876276</v>
      </c>
      <c r="H22" s="1">
        <v>1.2878307371480742</v>
      </c>
      <c r="I22" s="1">
        <v>0.77231170084409351</v>
      </c>
      <c r="K22" s="1">
        <v>0.99992921010099867</v>
      </c>
      <c r="L22" s="1">
        <v>1.3515559417705945</v>
      </c>
      <c r="M22" s="1">
        <v>0.7355433488579769</v>
      </c>
      <c r="O22" s="1">
        <v>4.994771251633079E-4</v>
      </c>
      <c r="P22" s="1">
        <v>0.99954225076776249</v>
      </c>
      <c r="R22" s="1">
        <v>3.0501965840506816E-2</v>
      </c>
      <c r="S22" s="2">
        <f>optim_vol_implied(P22,R22)</f>
        <v>7.7065829735104729E-2</v>
      </c>
      <c r="T22" s="4">
        <f>S22*S22</f>
        <v>5.9391421127601525E-3</v>
      </c>
      <c r="U22" s="1">
        <f>sigma*sigma/alpha/alpha*(B22/12+2/alpha*EXP(-alpha*B22/12)-1/2/alpha*EXP(-2*alpha*B22/12)-3/2/alpha)</f>
        <v>2.4981012649138989E-5</v>
      </c>
      <c r="V22" s="6">
        <f>2*sigma/alpha*corel*(B22/12-1/alpha*(1-EXP(-alpha*Output!B22/12)))</f>
        <v>2.0752529302563716E-3</v>
      </c>
      <c r="W22" s="5">
        <f>U22-T22</f>
        <v>-5.9141611001110135E-3</v>
      </c>
      <c r="X22" s="1">
        <f>V22*V22-4*W22*B22/12</f>
        <v>2.1689564041798257E-2</v>
      </c>
      <c r="Y22" s="3">
        <f>(-V22+SQRT(X22))/2/B22*12</f>
        <v>7.9199192447062763E-2</v>
      </c>
      <c r="Z22" s="1">
        <f>S22/SQRT(B22/12)</f>
        <v>8.0492633967407703E-2</v>
      </c>
      <c r="AA22" s="8">
        <f t="shared" si="11"/>
        <v>0.83333333333333337</v>
      </c>
      <c r="AB22" s="1">
        <v>0.91669999999999996</v>
      </c>
      <c r="AC22" s="1">
        <v>5.0000015850000003E-4</v>
      </c>
      <c r="AD22" s="8">
        <f t="shared" si="6"/>
        <v>5.2303333669212557E-3</v>
      </c>
      <c r="AE22" s="3">
        <f t="shared" si="7"/>
        <v>1.0460663417812207E-3</v>
      </c>
      <c r="AF22" s="11">
        <f t="shared" si="8"/>
        <v>0.83333333333333337</v>
      </c>
      <c r="AG22" s="1">
        <f t="shared" si="9"/>
        <v>8.0492633967407703E-2</v>
      </c>
    </row>
    <row r="23" spans="2:33" ht="15" x14ac:dyDescent="0.25">
      <c r="B23" s="1">
        <v>12</v>
      </c>
      <c r="C23" s="1">
        <v>0.99999734695796028</v>
      </c>
      <c r="D23" s="1">
        <v>1.0316896949733607</v>
      </c>
      <c r="E23" s="1">
        <v>0.96921125256747764</v>
      </c>
      <c r="G23" s="1">
        <v>0.99987393204959751</v>
      </c>
      <c r="H23" s="1">
        <v>1.3219177529181327</v>
      </c>
      <c r="I23" s="1">
        <v>0.75202734945629757</v>
      </c>
      <c r="K23" s="1">
        <v>0.99991477141385243</v>
      </c>
      <c r="L23" s="1">
        <v>1.3435877874379829</v>
      </c>
      <c r="M23" s="1">
        <v>0.73950516277569966</v>
      </c>
      <c r="O23" s="1">
        <v>4.9959559243672818E-4</v>
      </c>
      <c r="P23" s="1">
        <v>0.99950052918466104</v>
      </c>
      <c r="R23" s="1">
        <v>3.1838095165503746E-2</v>
      </c>
      <c r="S23" s="2">
        <f t="shared" si="10"/>
        <v>8.0472201617724143E-2</v>
      </c>
      <c r="T23" s="4">
        <f t="shared" si="1"/>
        <v>6.4757752332036444E-3</v>
      </c>
      <c r="U23" s="1">
        <f t="shared" si="0"/>
        <v>3.2351736450664248E-5</v>
      </c>
      <c r="V23" s="6">
        <f>2*sigma/alpha*corel*(B23/12-1/alpha*(1-EXP(-alpha*Output!B23/12)))</f>
        <v>2.466997351009928E-3</v>
      </c>
      <c r="W23" s="5">
        <f t="shared" si="2"/>
        <v>-6.4434234967529801E-3</v>
      </c>
      <c r="X23" s="1">
        <f t="shared" si="3"/>
        <v>2.577978006294181E-2</v>
      </c>
      <c r="Y23" s="3">
        <f t="shared" si="4"/>
        <v>7.9046916219632779E-2</v>
      </c>
      <c r="Z23" s="1">
        <f t="shared" si="5"/>
        <v>8.0472201617724143E-2</v>
      </c>
      <c r="AA23" s="8">
        <f t="shared" si="11"/>
        <v>0.91666666666666674</v>
      </c>
      <c r="AB23" s="1">
        <v>1</v>
      </c>
      <c r="AC23" s="1">
        <v>5.0000023410000003E-4</v>
      </c>
      <c r="AD23" s="8">
        <f t="shared" si="6"/>
        <v>4.0464166327185136E-3</v>
      </c>
      <c r="AE23" s="3">
        <f t="shared" si="7"/>
        <v>8.0928294763742668E-4</v>
      </c>
      <c r="AF23" s="11">
        <f t="shared" si="8"/>
        <v>0.91666666666666674</v>
      </c>
      <c r="AG23" s="1">
        <f t="shared" si="9"/>
        <v>8.0472201617724143E-2</v>
      </c>
    </row>
    <row r="24" spans="2:33" ht="15" x14ac:dyDescent="0.25">
      <c r="B24" s="1">
        <v>13</v>
      </c>
      <c r="C24" s="1">
        <v>0.99999756081693447</v>
      </c>
      <c r="D24" s="1">
        <v>1.0326398970795081</v>
      </c>
      <c r="E24" s="1">
        <v>0.96831367498358523</v>
      </c>
      <c r="G24" s="1">
        <v>0.9998857385195834</v>
      </c>
      <c r="H24" s="1">
        <v>1.3355850578139921</v>
      </c>
      <c r="I24" s="1">
        <v>0.74396621928386253</v>
      </c>
      <c r="K24" s="1">
        <v>0.99993090369107129</v>
      </c>
      <c r="L24" s="1">
        <v>1.4082553464596201</v>
      </c>
      <c r="M24" s="1">
        <v>0.70518885238449758</v>
      </c>
      <c r="O24" s="1">
        <v>4.9943677636059324E-4</v>
      </c>
      <c r="P24" s="1">
        <v>0.99945908983695353</v>
      </c>
      <c r="R24" s="1">
        <v>3.3370270221741251E-2</v>
      </c>
      <c r="S24" s="2">
        <f t="shared" si="10"/>
        <v>8.4370571277678108E-2</v>
      </c>
      <c r="T24" s="4">
        <f t="shared" si="1"/>
        <v>7.1183932977217619E-3</v>
      </c>
      <c r="U24" s="1">
        <f t="shared" si="0"/>
        <v>4.1030465927072157E-5</v>
      </c>
      <c r="V24" s="6">
        <f>2*sigma/alpha*corel*(B24/12-1/alpha*(1-EXP(-alpha*Output!B24/12)))</f>
        <v>2.8921025470685646E-3</v>
      </c>
      <c r="W24" s="5">
        <f t="shared" si="2"/>
        <v>-7.0773628317946898E-3</v>
      </c>
      <c r="X24" s="1">
        <f t="shared" si="3"/>
        <v>3.0676936528253082E-2</v>
      </c>
      <c r="Y24" s="3">
        <f t="shared" si="4"/>
        <v>7.9502872926349E-2</v>
      </c>
      <c r="Z24" s="1">
        <f t="shared" si="5"/>
        <v>8.1060622885050643E-2</v>
      </c>
      <c r="AA24" s="8">
        <f t="shared" si="11"/>
        <v>1</v>
      </c>
      <c r="AB24" s="1">
        <v>1.083</v>
      </c>
      <c r="AC24" s="1">
        <v>5.0006249999999996E-4</v>
      </c>
      <c r="AD24" s="8">
        <f t="shared" si="6"/>
        <v>6.2572363940672625E-3</v>
      </c>
      <c r="AE24" s="3">
        <f t="shared" si="7"/>
        <v>1.2512908674550207E-3</v>
      </c>
      <c r="AF24" s="11">
        <f t="shared" si="8"/>
        <v>1</v>
      </c>
      <c r="AG24" s="1">
        <f t="shared" si="9"/>
        <v>8.1060622885050643E-2</v>
      </c>
    </row>
    <row r="25" spans="2:33" ht="15" x14ac:dyDescent="0.25">
      <c r="B25" s="1">
        <v>14</v>
      </c>
      <c r="C25" s="1">
        <v>0.99999753574547268</v>
      </c>
      <c r="D25" s="1">
        <v>1.0354006241331151</v>
      </c>
      <c r="E25" s="1">
        <v>0.9657261433696871</v>
      </c>
      <c r="G25" s="1">
        <v>0.99987582253165952</v>
      </c>
      <c r="H25" s="1">
        <v>1.3595375331891444</v>
      </c>
      <c r="I25" s="1">
        <v>0.73050012230693484</v>
      </c>
      <c r="K25" s="1">
        <v>0.99991997291124202</v>
      </c>
      <c r="L25" s="1">
        <v>1.4026065647444175</v>
      </c>
      <c r="M25" s="1">
        <v>0.70762163005000123</v>
      </c>
      <c r="O25" s="1">
        <v>4.9928222362148958E-4</v>
      </c>
      <c r="P25" s="1">
        <v>0.99941767369025891</v>
      </c>
      <c r="R25" s="1">
        <v>3.4698152807027982E-2</v>
      </c>
      <c r="S25" s="2">
        <f t="shared" si="10"/>
        <v>8.7756649469881237E-2</v>
      </c>
      <c r="T25" s="4">
        <f t="shared" si="1"/>
        <v>7.7012295261796072E-3</v>
      </c>
      <c r="U25" s="1">
        <f t="shared" si="0"/>
        <v>5.1119158052781444E-5</v>
      </c>
      <c r="V25" s="6">
        <f>2*sigma/alpha*corel*(B25/12-1/alpha*(1-EXP(-alpha*Output!B25/12)))</f>
        <v>3.3504575009790927E-3</v>
      </c>
      <c r="W25" s="5">
        <f t="shared" si="2"/>
        <v>-7.6501103681268258E-3</v>
      </c>
      <c r="X25" s="1">
        <f t="shared" si="3"/>
        <v>3.5711740616724386E-2</v>
      </c>
      <c r="Y25" s="3">
        <f t="shared" si="4"/>
        <v>7.9553590795052226E-2</v>
      </c>
      <c r="Z25" s="1">
        <f t="shared" si="5"/>
        <v>8.1246869967910265E-2</v>
      </c>
      <c r="AA25" s="8">
        <f t="shared" si="11"/>
        <v>1.0833333333333333</v>
      </c>
      <c r="AB25" s="1">
        <v>1.167</v>
      </c>
      <c r="AC25" s="1">
        <v>5.0011149119999997E-4</v>
      </c>
      <c r="AD25" s="8">
        <f t="shared" si="6"/>
        <v>8.2926757851038962E-3</v>
      </c>
      <c r="AE25" s="3">
        <f t="shared" si="7"/>
        <v>1.6581654153168749E-3</v>
      </c>
      <c r="AF25" s="11">
        <f t="shared" si="8"/>
        <v>1.0833333333333333</v>
      </c>
      <c r="AG25" s="1">
        <f t="shared" si="9"/>
        <v>8.1246869967910265E-2</v>
      </c>
    </row>
    <row r="26" spans="2:33" ht="15" x14ac:dyDescent="0.25">
      <c r="B26" s="1">
        <v>15</v>
      </c>
      <c r="C26" s="1">
        <v>0.99999763356893168</v>
      </c>
      <c r="D26" s="1">
        <v>1.0357883766582878</v>
      </c>
      <c r="E26" s="1">
        <v>0.96535898157371614</v>
      </c>
      <c r="G26" s="1">
        <v>0.99987571844871437</v>
      </c>
      <c r="H26" s="1">
        <v>1.3708872343411695</v>
      </c>
      <c r="I26" s="1">
        <v>0.72409661480268828</v>
      </c>
      <c r="K26" s="1">
        <v>0.99992712340707368</v>
      </c>
      <c r="L26" s="1">
        <v>1.3937795564904896</v>
      </c>
      <c r="M26" s="1">
        <v>0.71172053948309622</v>
      </c>
      <c r="O26" s="1">
        <v>4.9888156605030587E-4</v>
      </c>
      <c r="P26" s="1">
        <v>0.9993765924417265</v>
      </c>
      <c r="R26" s="1">
        <v>3.6060717052263241E-2</v>
      </c>
      <c r="S26" s="2">
        <f t="shared" si="10"/>
        <v>9.1229736095501279E-2</v>
      </c>
      <c r="T26" s="4">
        <f t="shared" si="1"/>
        <v>8.3228647480548083E-3</v>
      </c>
      <c r="U26" s="1">
        <f t="shared" si="0"/>
        <v>6.2718724137766912E-5</v>
      </c>
      <c r="V26" s="6">
        <f>2*sigma/alpha*corel*(B26/12-1/alpha*(1-EXP(-alpha*Output!B26/12)))</f>
        <v>3.8419515647312996E-3</v>
      </c>
      <c r="W26" s="5">
        <f t="shared" si="2"/>
        <v>-8.2601460239170414E-3</v>
      </c>
      <c r="X26" s="1">
        <f t="shared" si="3"/>
        <v>4.1315490711410947E-2</v>
      </c>
      <c r="Y26" s="3">
        <f t="shared" si="4"/>
        <v>7.9768068638009032E-2</v>
      </c>
      <c r="Z26" s="1">
        <f t="shared" si="5"/>
        <v>8.1598356591562837E-2</v>
      </c>
      <c r="AA26" s="8">
        <f t="shared" si="11"/>
        <v>1.1666666666666665</v>
      </c>
      <c r="AB26" s="1">
        <v>1.25</v>
      </c>
      <c r="AC26" s="1">
        <v>5.001291698E-4</v>
      </c>
      <c r="AD26" s="8">
        <f t="shared" si="6"/>
        <v>1.2476037496941296E-2</v>
      </c>
      <c r="AE26" s="3">
        <f t="shared" si="7"/>
        <v>2.4945630549664641E-3</v>
      </c>
      <c r="AF26" s="11">
        <f t="shared" si="8"/>
        <v>1.1666666666666665</v>
      </c>
      <c r="AG26" s="1">
        <f t="shared" si="9"/>
        <v>8.1598356591562837E-2</v>
      </c>
    </row>
    <row r="27" spans="2:33" ht="15" x14ac:dyDescent="0.25">
      <c r="B27" s="1">
        <v>16</v>
      </c>
      <c r="C27" s="1">
        <v>0.99999756266281858</v>
      </c>
      <c r="D27" s="1">
        <v>1.0391716629570831</v>
      </c>
      <c r="E27" s="1">
        <v>0.96221043410240104</v>
      </c>
      <c r="G27" s="1">
        <v>0.99985941806231626</v>
      </c>
      <c r="H27" s="1">
        <v>1.4123876249855241</v>
      </c>
      <c r="I27" s="1">
        <v>0.70247541325039653</v>
      </c>
      <c r="K27" s="1">
        <v>0.99986912389671234</v>
      </c>
      <c r="L27" s="1">
        <v>1.3897791773128985</v>
      </c>
      <c r="M27" s="1">
        <v>0.71345666872129276</v>
      </c>
      <c r="O27" s="1">
        <v>4.9886186610665186E-4</v>
      </c>
      <c r="P27" s="1">
        <v>0.9993350720078521</v>
      </c>
      <c r="R27" s="1">
        <v>3.7099722778035422E-2</v>
      </c>
      <c r="S27" s="2">
        <f t="shared" si="10"/>
        <v>9.3891574644440534E-2</v>
      </c>
      <c r="T27" s="4">
        <f t="shared" si="1"/>
        <v>8.815627789212549E-3</v>
      </c>
      <c r="U27" s="1">
        <f t="shared" si="0"/>
        <v>7.5929038000133176E-5</v>
      </c>
      <c r="V27" s="6">
        <f>2*sigma/alpha*corel*(B27/12-1/alpha*(1-EXP(-alpha*Output!B27/12)))</f>
        <v>4.3664744585277249E-3</v>
      </c>
      <c r="W27" s="5">
        <f t="shared" si="2"/>
        <v>-8.7396987512124158E-3</v>
      </c>
      <c r="X27" s="1">
        <f t="shared" si="3"/>
        <v>4.6630792772329857E-2</v>
      </c>
      <c r="Y27" s="3">
        <f t="shared" si="4"/>
        <v>7.9340687847739441E-2</v>
      </c>
      <c r="Z27" s="1">
        <f t="shared" si="5"/>
        <v>8.1312488843408373E-2</v>
      </c>
      <c r="AA27" s="8">
        <f t="shared" si="11"/>
        <v>1.2499999999999998</v>
      </c>
      <c r="AB27" s="1">
        <v>1.333</v>
      </c>
      <c r="AC27" s="1">
        <v>5.0012397669999995E-4</v>
      </c>
      <c r="AD27" s="8">
        <f t="shared" si="6"/>
        <v>1.2621105933480941E-2</v>
      </c>
      <c r="AE27" s="3">
        <f t="shared" si="7"/>
        <v>2.523595452623486E-3</v>
      </c>
      <c r="AF27" s="11">
        <f t="shared" si="8"/>
        <v>1.2499999999999998</v>
      </c>
      <c r="AG27" s="1">
        <f t="shared" si="9"/>
        <v>8.1312488843408373E-2</v>
      </c>
    </row>
    <row r="28" spans="2:33" ht="15" x14ac:dyDescent="0.25">
      <c r="B28" s="1">
        <v>17</v>
      </c>
      <c r="C28" s="1">
        <v>0.99999810807234257</v>
      </c>
      <c r="D28" s="1">
        <v>1.0396301953242659</v>
      </c>
      <c r="E28" s="1">
        <v>0.96178051565995437</v>
      </c>
      <c r="G28" s="1">
        <v>0.99989015938727011</v>
      </c>
      <c r="H28" s="1">
        <v>1.4101400205931118</v>
      </c>
      <c r="I28" s="1">
        <v>0.7032497798123496</v>
      </c>
      <c r="K28" s="1">
        <v>0.99988161181296287</v>
      </c>
      <c r="L28" s="1">
        <v>1.4261568849682094</v>
      </c>
      <c r="M28" s="1">
        <v>0.694868490901701</v>
      </c>
      <c r="O28" s="1">
        <v>4.9855874504129197E-4</v>
      </c>
      <c r="P28" s="1">
        <v>0.99929395780969388</v>
      </c>
      <c r="R28" s="1">
        <v>3.8381938836758479E-2</v>
      </c>
      <c r="S28" s="2">
        <f t="shared" si="10"/>
        <v>9.7163742621987848E-2</v>
      </c>
      <c r="T28" s="4">
        <f t="shared" si="1"/>
        <v>9.440792880311898E-3</v>
      </c>
      <c r="U28" s="1">
        <f t="shared" si="0"/>
        <v>9.0848944079624516E-5</v>
      </c>
      <c r="V28" s="6">
        <f>2*sigma/alpha*corel*(B28/12-1/alpha*(1-EXP(-alpha*Output!B28/12)))</f>
        <v>4.9239162695575989E-3</v>
      </c>
      <c r="W28" s="5">
        <f t="shared" si="2"/>
        <v>-9.3499439362322734E-3</v>
      </c>
      <c r="X28" s="1">
        <f t="shared" si="3"/>
        <v>5.3007260590079167E-2</v>
      </c>
      <c r="Y28" s="3">
        <f t="shared" si="4"/>
        <v>7.9520873240763873E-2</v>
      </c>
      <c r="Z28" s="1">
        <f t="shared" si="5"/>
        <v>8.1633872209915831E-2</v>
      </c>
      <c r="AA28" s="8">
        <f t="shared" si="11"/>
        <v>1.333333333333333</v>
      </c>
      <c r="AB28" s="1">
        <v>1.417</v>
      </c>
      <c r="AC28" s="1">
        <v>5.001043531E-4</v>
      </c>
      <c r="AD28" s="8">
        <f t="shared" si="6"/>
        <v>1.5456080587080258E-2</v>
      </c>
      <c r="AE28" s="3">
        <f t="shared" si="7"/>
        <v>3.0905710960667616E-3</v>
      </c>
      <c r="AF28" s="11">
        <f t="shared" si="8"/>
        <v>1.333333333333333</v>
      </c>
      <c r="AG28" s="1">
        <f t="shared" si="9"/>
        <v>8.1633872209915831E-2</v>
      </c>
    </row>
    <row r="29" spans="2:33" ht="15" x14ac:dyDescent="0.25">
      <c r="B29" s="1">
        <v>18</v>
      </c>
      <c r="C29" s="1">
        <v>0.99999848244771261</v>
      </c>
      <c r="D29" s="1">
        <v>1.0440374800921808</v>
      </c>
      <c r="E29" s="1">
        <v>0.95771500244550056</v>
      </c>
      <c r="G29" s="1">
        <v>0.99990784427310242</v>
      </c>
      <c r="H29" s="1">
        <v>1.4632950868540358</v>
      </c>
      <c r="I29" s="1">
        <v>0.67737126245396517</v>
      </c>
      <c r="K29" s="1">
        <v>0.99986448792033111</v>
      </c>
      <c r="L29" s="1">
        <v>1.4593510624834558</v>
      </c>
      <c r="M29" s="1">
        <v>0.67871537013114647</v>
      </c>
      <c r="O29" s="1">
        <v>4.9858357826624926E-4</v>
      </c>
      <c r="P29" s="1">
        <v>0.9992524042216796</v>
      </c>
      <c r="R29" s="1">
        <v>3.9463413406867098E-2</v>
      </c>
      <c r="S29" s="2">
        <f t="shared" si="10"/>
        <v>9.9932855149951705E-2</v>
      </c>
      <c r="T29" s="4">
        <f t="shared" si="1"/>
        <v>9.9865755384212287E-3</v>
      </c>
      <c r="U29" s="1">
        <f t="shared" si="0"/>
        <v>1.0757626549784405E-4</v>
      </c>
      <c r="V29" s="6">
        <f>2*sigma/alpha*corel*(B29/12-1/alpha*(1-EXP(-alpha*Output!B29/12)))</f>
        <v>5.5141674507772631E-3</v>
      </c>
      <c r="W29" s="5">
        <f t="shared" si="2"/>
        <v>-9.8789992729233847E-3</v>
      </c>
      <c r="X29" s="1">
        <f t="shared" si="3"/>
        <v>5.9304401680215516E-2</v>
      </c>
      <c r="Y29" s="3">
        <f t="shared" si="4"/>
        <v>7.9336927795443324E-2</v>
      </c>
      <c r="Z29" s="1">
        <f t="shared" si="5"/>
        <v>8.1594834552281267E-2</v>
      </c>
      <c r="AA29" s="8">
        <f t="shared" si="11"/>
        <v>1.4166666666666663</v>
      </c>
      <c r="AB29" s="1">
        <v>1.5</v>
      </c>
      <c r="AC29" s="1">
        <v>5.0007874000000002E-4</v>
      </c>
      <c r="AD29" s="8">
        <f t="shared" si="6"/>
        <v>1.4951617337507529E-2</v>
      </c>
      <c r="AE29" s="3">
        <f t="shared" si="7"/>
        <v>2.9898526255100403E-3</v>
      </c>
      <c r="AF29" s="11">
        <f t="shared" si="8"/>
        <v>1.4166666666666663</v>
      </c>
      <c r="AG29" s="1">
        <f t="shared" si="9"/>
        <v>8.1594834552281267E-2</v>
      </c>
    </row>
    <row r="30" spans="2:33" ht="15" x14ac:dyDescent="0.25">
      <c r="B30" s="1">
        <v>19</v>
      </c>
      <c r="C30" s="1">
        <v>0.99999757473397</v>
      </c>
      <c r="D30" s="1">
        <v>1.0423541806856063</v>
      </c>
      <c r="E30" s="1">
        <v>0.9592561821252924</v>
      </c>
      <c r="G30" s="1">
        <v>0.99981799265485627</v>
      </c>
      <c r="H30" s="1">
        <v>1.4431313013194762</v>
      </c>
      <c r="I30" s="1">
        <v>0.68649867224795191</v>
      </c>
      <c r="K30" s="1">
        <v>0.99985779526246799</v>
      </c>
      <c r="L30" s="1">
        <v>1.4913783998366097</v>
      </c>
      <c r="M30" s="1">
        <v>0.66376195008161354</v>
      </c>
      <c r="O30" s="1">
        <v>4.9862009105763189E-4</v>
      </c>
      <c r="P30" s="1">
        <v>0.99921082974792819</v>
      </c>
      <c r="R30" s="1">
        <v>4.0625324934649945E-2</v>
      </c>
      <c r="S30" s="2">
        <f t="shared" si="10"/>
        <v>0.10290427503480215</v>
      </c>
      <c r="T30" s="4">
        <f t="shared" si="1"/>
        <v>1.0589289820438205E-2</v>
      </c>
      <c r="U30" s="1">
        <f t="shared" si="0"/>
        <v>1.2620781205407994E-4</v>
      </c>
      <c r="V30" s="6">
        <f>2*sigma/alpha*corel*(B30/12-1/alpha*(1-EXP(-alpha*Output!B30/12)))</f>
        <v>6.1371188196906179E-3</v>
      </c>
      <c r="W30" s="5">
        <f t="shared" si="2"/>
        <v>-1.0463082008384125E-2</v>
      </c>
      <c r="X30" s="1">
        <f t="shared" si="3"/>
        <v>6.6303850280506463E-2</v>
      </c>
      <c r="Y30" s="3">
        <f t="shared" si="4"/>
        <v>7.9376280470098967E-2</v>
      </c>
      <c r="Z30" s="1">
        <f t="shared" si="5"/>
        <v>8.1780025178349619E-2</v>
      </c>
      <c r="AA30" s="8">
        <f t="shared" si="11"/>
        <v>1.4999999999999996</v>
      </c>
      <c r="AB30" s="1">
        <v>1.583</v>
      </c>
      <c r="AC30" s="1">
        <v>5.0005557849999997E-4</v>
      </c>
      <c r="AD30" s="8">
        <f t="shared" si="6"/>
        <v>1.4354874423680875E-2</v>
      </c>
      <c r="AE30" s="3">
        <f t="shared" si="7"/>
        <v>2.870655791250387E-3</v>
      </c>
      <c r="AF30" s="11">
        <f t="shared" si="8"/>
        <v>1.4999999999999996</v>
      </c>
      <c r="AG30" s="1">
        <f t="shared" si="9"/>
        <v>8.1780025178349619E-2</v>
      </c>
    </row>
    <row r="31" spans="2:33" ht="15" x14ac:dyDescent="0.25">
      <c r="B31" s="1">
        <v>20</v>
      </c>
      <c r="C31" s="1">
        <v>0.99999808374253174</v>
      </c>
      <c r="D31" s="1">
        <v>1.0383008341522399</v>
      </c>
      <c r="E31" s="1">
        <v>0.96299553644066715</v>
      </c>
      <c r="G31" s="1">
        <v>0.99984168710555876</v>
      </c>
      <c r="H31" s="1">
        <v>1.3921955141530273</v>
      </c>
      <c r="I31" s="1">
        <v>0.71126626656366376</v>
      </c>
      <c r="K31" s="1">
        <v>0.99986482106641184</v>
      </c>
      <c r="L31" s="1">
        <v>1.4490850714829033</v>
      </c>
      <c r="M31" s="1">
        <v>0.68275472459093867</v>
      </c>
      <c r="O31" s="1">
        <v>4.9802547228473717E-4</v>
      </c>
      <c r="P31" s="1">
        <v>0.99917030193613698</v>
      </c>
      <c r="R31" s="1">
        <v>4.1703053302938116E-2</v>
      </c>
      <c r="S31" s="2">
        <f t="shared" si="10"/>
        <v>0.10566327588184574</v>
      </c>
      <c r="T31" s="4">
        <f t="shared" si="1"/>
        <v>1.1164727870083043E-2</v>
      </c>
      <c r="U31" s="1">
        <f t="shared" si="0"/>
        <v>1.4683938816961728E-4</v>
      </c>
      <c r="V31" s="6">
        <f>2*sigma/alpha*corel*(B31/12-1/alpha*(1-EXP(-alpha*Output!B31/12)))</f>
        <v>6.792661557138896E-3</v>
      </c>
      <c r="W31" s="5">
        <f t="shared" si="2"/>
        <v>-1.1017888481913426E-2</v>
      </c>
      <c r="X31" s="1">
        <f t="shared" si="3"/>
        <v>7.3498730130452675E-2</v>
      </c>
      <c r="Y31" s="3">
        <f t="shared" si="4"/>
        <v>7.9294149202520953E-2</v>
      </c>
      <c r="Z31" s="1">
        <f t="shared" si="5"/>
        <v>8.1846421559221672E-2</v>
      </c>
      <c r="AA31" s="8">
        <f t="shared" si="11"/>
        <v>1.5833333333333328</v>
      </c>
      <c r="AB31" s="1">
        <v>1.667</v>
      </c>
      <c r="AC31" s="1">
        <v>5.0004155829999999E-4</v>
      </c>
      <c r="AD31" s="8">
        <f t="shared" si="6"/>
        <v>2.0160860152628128E-2</v>
      </c>
      <c r="AE31" s="3">
        <f t="shared" si="7"/>
        <v>4.0318369179492518E-3</v>
      </c>
      <c r="AF31" s="11">
        <f t="shared" si="8"/>
        <v>1.5833333333333328</v>
      </c>
      <c r="AG31" s="1">
        <f t="shared" si="9"/>
        <v>8.1846421559221672E-2</v>
      </c>
    </row>
    <row r="32" spans="2:33" ht="15" x14ac:dyDescent="0.25">
      <c r="B32" s="1">
        <v>21</v>
      </c>
      <c r="C32" s="1">
        <v>0.9999992322067468</v>
      </c>
      <c r="D32" s="1">
        <v>1.0407314920478232</v>
      </c>
      <c r="E32" s="1">
        <v>0.9607410698890535</v>
      </c>
      <c r="G32" s="1">
        <v>0.99991608223667061</v>
      </c>
      <c r="H32" s="1">
        <v>1.4243574867904181</v>
      </c>
      <c r="I32" s="1">
        <v>0.69486487615887993</v>
      </c>
      <c r="K32" s="1">
        <v>0.99985621697174321</v>
      </c>
      <c r="L32" s="1">
        <v>1.4631363502898047</v>
      </c>
      <c r="M32" s="1">
        <v>0.67584166311175609</v>
      </c>
      <c r="O32" s="1">
        <v>4.9823175999111672E-4</v>
      </c>
      <c r="P32" s="1">
        <v>0.99912847441923658</v>
      </c>
      <c r="R32" s="1">
        <v>4.2685593621267781E-2</v>
      </c>
      <c r="S32" s="2">
        <f t="shared" si="10"/>
        <v>0.10818521593620789</v>
      </c>
      <c r="T32" s="4">
        <f t="shared" si="1"/>
        <v>1.170404094716393E-2</v>
      </c>
      <c r="U32" s="1">
        <f t="shared" si="0"/>
        <v>1.6956580077120975E-4</v>
      </c>
      <c r="V32" s="6">
        <f>2*sigma/alpha*corel*(B32/12-1/alpha*(1-EXP(-alpha*Output!B32/12)))</f>
        <v>7.4806872060883545E-3</v>
      </c>
      <c r="W32" s="5">
        <f t="shared" si="2"/>
        <v>-1.153447514639272E-2</v>
      </c>
      <c r="X32" s="1">
        <f t="shared" si="3"/>
        <v>8.0797286705824367E-2</v>
      </c>
      <c r="Y32" s="3">
        <f t="shared" si="4"/>
        <v>7.9076556616309024E-2</v>
      </c>
      <c r="Z32" s="1">
        <f t="shared" si="5"/>
        <v>8.1780336257436526E-2</v>
      </c>
      <c r="AA32" s="8">
        <f t="shared" si="11"/>
        <v>1.6666666666666661</v>
      </c>
      <c r="AB32" s="1">
        <v>1.75</v>
      </c>
      <c r="AC32" s="1">
        <v>5.0003636380000003E-4</v>
      </c>
      <c r="AD32" s="8">
        <f t="shared" si="6"/>
        <v>1.8046038088833163E-2</v>
      </c>
      <c r="AE32" s="3">
        <f t="shared" si="7"/>
        <v>3.6089451478474978E-3</v>
      </c>
      <c r="AF32" s="11">
        <f t="shared" si="8"/>
        <v>1.6666666666666661</v>
      </c>
      <c r="AG32" s="1">
        <f t="shared" si="9"/>
        <v>8.1780336257436526E-2</v>
      </c>
    </row>
    <row r="33" spans="2:33" ht="15" x14ac:dyDescent="0.25">
      <c r="B33" s="1">
        <v>22</v>
      </c>
      <c r="C33" s="1">
        <v>0.99999992590246112</v>
      </c>
      <c r="D33" s="1">
        <v>1.043194975346696</v>
      </c>
      <c r="E33" s="1">
        <v>0.95846698995856161</v>
      </c>
      <c r="G33" s="1">
        <v>0.99995316559157121</v>
      </c>
      <c r="H33" s="1">
        <v>1.4504695087554533</v>
      </c>
      <c r="I33" s="1">
        <v>0.68202093611413428</v>
      </c>
      <c r="K33" s="1">
        <v>0.9998356643889007</v>
      </c>
      <c r="L33" s="1">
        <v>1.5279038530862425</v>
      </c>
      <c r="M33" s="1">
        <v>0.64685052363538453</v>
      </c>
      <c r="O33" s="1">
        <v>4.9788052836279809E-4</v>
      </c>
      <c r="P33" s="1">
        <v>0.99908763548916202</v>
      </c>
      <c r="R33" s="1">
        <v>4.3793553246772775E-2</v>
      </c>
      <c r="S33" s="2">
        <f t="shared" si="10"/>
        <v>0.11102115849863337</v>
      </c>
      <c r="T33" s="4">
        <f t="shared" si="1"/>
        <v>1.2325697634378671E-2</v>
      </c>
      <c r="U33" s="1">
        <f t="shared" si="0"/>
        <v>1.9448086712259283E-4</v>
      </c>
      <c r="V33" s="6">
        <f>2*sigma/alpha*corel*(B33/12-1/alpha*(1-EXP(-alpha*Output!B33/12)))</f>
        <v>8.2010876704277924E-3</v>
      </c>
      <c r="W33" s="5">
        <f t="shared" si="2"/>
        <v>-1.2131216767256078E-2</v>
      </c>
      <c r="X33" s="1">
        <f t="shared" si="3"/>
        <v>8.9029514132189277E-2</v>
      </c>
      <c r="Y33" s="3">
        <f t="shared" si="4"/>
        <v>7.9139195953843194E-2</v>
      </c>
      <c r="Z33" s="1">
        <f t="shared" si="5"/>
        <v>8.1994559579097598E-2</v>
      </c>
      <c r="AA33" s="8">
        <f t="shared" si="11"/>
        <v>1.7499999999999993</v>
      </c>
      <c r="AB33" s="1">
        <v>1.833</v>
      </c>
      <c r="AC33" s="1">
        <v>5.0003792790000005E-4</v>
      </c>
      <c r="AD33" s="8">
        <f t="shared" si="6"/>
        <v>2.1573995372019608E-2</v>
      </c>
      <c r="AE33" s="3">
        <f t="shared" si="7"/>
        <v>4.3144717966942057E-3</v>
      </c>
      <c r="AF33" s="11">
        <f t="shared" si="8"/>
        <v>1.7499999999999993</v>
      </c>
      <c r="AG33" s="1">
        <f t="shared" si="9"/>
        <v>8.1994559579097598E-2</v>
      </c>
    </row>
    <row r="34" spans="2:33" ht="15" x14ac:dyDescent="0.25">
      <c r="B34" s="1">
        <v>23</v>
      </c>
      <c r="C34" s="1">
        <v>1.0000000031023191</v>
      </c>
      <c r="D34" s="1">
        <v>1.0444121997802405</v>
      </c>
      <c r="E34" s="1">
        <v>0.9573446667492248</v>
      </c>
      <c r="G34" s="1">
        <v>0.99993764552915576</v>
      </c>
      <c r="H34" s="1">
        <v>1.4663677324661699</v>
      </c>
      <c r="I34" s="1">
        <v>0.67429569807238809</v>
      </c>
      <c r="K34" s="1">
        <v>0.99983684833776321</v>
      </c>
      <c r="L34" s="1">
        <v>1.5208331409244618</v>
      </c>
      <c r="M34" s="1">
        <v>0.64950369544628572</v>
      </c>
      <c r="O34" s="1">
        <v>4.9787562693572702E-4</v>
      </c>
      <c r="P34" s="1">
        <v>0.99904619354453161</v>
      </c>
      <c r="R34" s="1">
        <v>4.4766822637409748E-2</v>
      </c>
      <c r="S34" s="2">
        <f t="shared" si="10"/>
        <v>0.11351988707474636</v>
      </c>
      <c r="T34" s="4">
        <f t="shared" si="1"/>
        <v>1.2886764761463165E-2</v>
      </c>
      <c r="U34" s="1">
        <f t="shared" si="0"/>
        <v>2.2167742259426859E-4</v>
      </c>
      <c r="V34" s="6">
        <f>2*sigma/alpha*corel*(B34/12-1/alpha*(1-EXP(-alpha*Output!B34/12)))</f>
        <v>8.9537552137662901E-3</v>
      </c>
      <c r="W34" s="5">
        <f t="shared" si="2"/>
        <v>-1.2665087338868897E-2</v>
      </c>
      <c r="X34" s="1">
        <f t="shared" si="3"/>
        <v>9.7179172663756266E-2</v>
      </c>
      <c r="Y34" s="3">
        <f t="shared" si="4"/>
        <v>7.8986605174718186E-2</v>
      </c>
      <c r="Z34" s="1">
        <f t="shared" si="5"/>
        <v>8.1997130686161143E-2</v>
      </c>
      <c r="AA34" s="8">
        <f t="shared" si="11"/>
        <v>1.8333333333333326</v>
      </c>
      <c r="AB34" s="1">
        <v>1.917</v>
      </c>
      <c r="AC34" s="1">
        <v>5.0004418349999997E-4</v>
      </c>
      <c r="AD34" s="8">
        <f t="shared" si="6"/>
        <v>2.1685565642729505E-2</v>
      </c>
      <c r="AE34" s="3">
        <f t="shared" si="7"/>
        <v>4.3367299047344099E-3</v>
      </c>
      <c r="AF34" s="11">
        <f t="shared" si="8"/>
        <v>1.8333333333333326</v>
      </c>
      <c r="AG34" s="1">
        <f t="shared" si="9"/>
        <v>8.1997130686161143E-2</v>
      </c>
    </row>
    <row r="35" spans="2:33" ht="15" x14ac:dyDescent="0.25">
      <c r="B35" s="1">
        <v>24</v>
      </c>
      <c r="C35" s="1">
        <v>0.99999951669782272</v>
      </c>
      <c r="D35" s="1">
        <v>1.0478851047408249</v>
      </c>
      <c r="E35" s="1">
        <v>0.9541666239763682</v>
      </c>
      <c r="G35" s="1">
        <v>0.99987258320341421</v>
      </c>
      <c r="H35" s="1">
        <v>1.5202181104491117</v>
      </c>
      <c r="I35" s="1">
        <v>0.65009134406590163</v>
      </c>
      <c r="K35" s="1">
        <v>0.99982081812463741</v>
      </c>
      <c r="L35" s="1">
        <v>1.5114017231580126</v>
      </c>
      <c r="M35" s="1">
        <v>0.65322143526527332</v>
      </c>
      <c r="O35" s="1">
        <v>4.9770544571274783E-4</v>
      </c>
      <c r="P35" s="1">
        <v>0.99900508436565416</v>
      </c>
      <c r="R35" s="1">
        <v>4.5823134849102699E-2</v>
      </c>
      <c r="S35" s="2">
        <f t="shared" si="10"/>
        <v>0.11622707855611006</v>
      </c>
      <c r="T35" s="4">
        <f t="shared" si="1"/>
        <v>1.3508733789688178E-2</v>
      </c>
      <c r="U35" s="1">
        <f t="shared" si="0"/>
        <v>2.5124732838399666E-4</v>
      </c>
      <c r="V35" s="6">
        <f>2*sigma/alpha*corel*(B35/12-1/alpha*(1-EXP(-alpha*Output!B35/12)))</f>
        <v>9.738582458236722E-3</v>
      </c>
      <c r="W35" s="5">
        <f t="shared" si="2"/>
        <v>-1.3257486461304181E-2</v>
      </c>
      <c r="X35" s="1">
        <f t="shared" si="3"/>
        <v>0.10615473167872932</v>
      </c>
      <c r="Y35" s="3">
        <f t="shared" si="4"/>
        <v>7.9018842523890617E-2</v>
      </c>
      <c r="Z35" s="1">
        <f t="shared" si="5"/>
        <v>8.2184955404526985E-2</v>
      </c>
      <c r="AA35" s="8">
        <f t="shared" si="11"/>
        <v>1.9166666666666659</v>
      </c>
      <c r="AB35" s="1">
        <v>2</v>
      </c>
      <c r="AC35" s="1">
        <v>5.000530637E-4</v>
      </c>
      <c r="AD35" s="8">
        <f t="shared" si="6"/>
        <v>2.3476179872521749E-2</v>
      </c>
      <c r="AE35" s="3">
        <f t="shared" si="7"/>
        <v>4.6947377341949375E-3</v>
      </c>
      <c r="AF35" s="11">
        <f t="shared" si="8"/>
        <v>1.9166666666666659</v>
      </c>
      <c r="AG35" s="1">
        <f t="shared" si="9"/>
        <v>8.2184955404526985E-2</v>
      </c>
    </row>
    <row r="36" spans="2:33" ht="15" x14ac:dyDescent="0.25">
      <c r="B36" s="1">
        <v>25</v>
      </c>
      <c r="C36" s="1">
        <v>0.99999964001913699</v>
      </c>
      <c r="D36" s="1">
        <v>1.0496900330408265</v>
      </c>
      <c r="E36" s="1">
        <v>0.95252078613986224</v>
      </c>
      <c r="G36" s="1">
        <v>0.99985711975755354</v>
      </c>
      <c r="H36" s="1">
        <v>1.53274548043397</v>
      </c>
      <c r="I36" s="1">
        <v>0.6444619309835915</v>
      </c>
      <c r="K36" s="1">
        <v>0.99983827706157857</v>
      </c>
      <c r="L36" s="1">
        <v>1.5596947778873116</v>
      </c>
      <c r="M36" s="1">
        <v>0.63263953498572845</v>
      </c>
      <c r="O36" s="1">
        <v>4.97822836863743E-4</v>
      </c>
      <c r="P36" s="1">
        <v>0.99896340672424777</v>
      </c>
      <c r="R36" s="1">
        <v>4.6952466352771838E-2</v>
      </c>
      <c r="S36" s="2">
        <f t="shared" si="10"/>
        <v>0.11911879354423732</v>
      </c>
      <c r="T36" s="4">
        <f t="shared" si="1"/>
        <v>1.4189286975434635E-2</v>
      </c>
      <c r="U36" s="1">
        <f t="shared" si="0"/>
        <v>2.8328147917644486E-4</v>
      </c>
      <c r="V36" s="6">
        <f>2*sigma/alpha*corel*(B36/12-1/alpha*(1-EXP(-alpha*Output!B36/12)))</f>
        <v>1.0555462383301961E-2</v>
      </c>
      <c r="W36" s="5">
        <f t="shared" si="2"/>
        <v>-1.390600549625819E-2</v>
      </c>
      <c r="X36" s="1">
        <f t="shared" si="3"/>
        <v>0.11599479692161022</v>
      </c>
      <c r="Y36" s="3">
        <f t="shared" si="4"/>
        <v>7.9205910352196499E-2</v>
      </c>
      <c r="Z36" s="1">
        <f t="shared" si="5"/>
        <v>8.2527921021970638E-2</v>
      </c>
      <c r="AA36" s="8">
        <f t="shared" si="11"/>
        <v>1.9999999999999991</v>
      </c>
      <c r="AB36" s="1">
        <v>2.0830000000000002</v>
      </c>
      <c r="AC36" s="1">
        <v>5.000625013E-4</v>
      </c>
      <c r="AD36" s="8">
        <f t="shared" si="6"/>
        <v>2.2396644362570078E-2</v>
      </c>
      <c r="AE36" s="3">
        <f t="shared" si="7"/>
        <v>4.4787690147423728E-3</v>
      </c>
      <c r="AF36" s="11">
        <f t="shared" si="8"/>
        <v>1.9999999999999991</v>
      </c>
      <c r="AG36" s="1">
        <f t="shared" si="9"/>
        <v>8.2527921021970638E-2</v>
      </c>
    </row>
    <row r="37" spans="2:33" ht="15" x14ac:dyDescent="0.25">
      <c r="B37" s="1">
        <v>26</v>
      </c>
      <c r="C37" s="1">
        <v>1.0000004807181677</v>
      </c>
      <c r="D37" s="1">
        <v>1.047931225711243</v>
      </c>
      <c r="E37" s="1">
        <v>0.95411433074642527</v>
      </c>
      <c r="G37" s="1">
        <v>0.99989712683561627</v>
      </c>
      <c r="H37" s="1">
        <v>1.5098494871040717</v>
      </c>
      <c r="I37" s="1">
        <v>0.65391411282257317</v>
      </c>
      <c r="K37" s="1">
        <v>0.99981091370258957</v>
      </c>
      <c r="L37" s="1">
        <v>1.5656675043147341</v>
      </c>
      <c r="M37" s="1">
        <v>0.62988598113336658</v>
      </c>
      <c r="O37" s="1">
        <v>4.9764759825683658E-4</v>
      </c>
      <c r="P37" s="1">
        <v>0.99892234462517626</v>
      </c>
      <c r="R37" s="1">
        <v>4.7843264630761086E-2</v>
      </c>
      <c r="S37" s="2">
        <f t="shared" si="10"/>
        <v>0.12141070202196275</v>
      </c>
      <c r="T37" s="4">
        <f t="shared" si="1"/>
        <v>1.474055856546583E-2</v>
      </c>
      <c r="U37" s="1">
        <f t="shared" si="0"/>
        <v>3.1786981074954923E-4</v>
      </c>
      <c r="V37" s="6">
        <f>2*sigma/alpha*corel*(B37/12-1/alpha*(1-EXP(-alpha*Output!B37/12)))</f>
        <v>1.1404288324565526E-2</v>
      </c>
      <c r="W37" s="5">
        <f t="shared" si="2"/>
        <v>-1.442268875471628E-2</v>
      </c>
      <c r="X37" s="1">
        <f t="shared" si="3"/>
        <v>0.12512669366639759</v>
      </c>
      <c r="Y37" s="3">
        <f t="shared" si="4"/>
        <v>7.8998822029176297E-2</v>
      </c>
      <c r="Z37" s="1">
        <f t="shared" si="5"/>
        <v>8.2482329759304751E-2</v>
      </c>
      <c r="AA37" s="8">
        <f t="shared" si="11"/>
        <v>2.0833333333333326</v>
      </c>
      <c r="AB37" s="1">
        <v>2.1669999999999998</v>
      </c>
      <c r="AC37" s="1">
        <v>5.0007078979999995E-4</v>
      </c>
      <c r="AD37" s="8">
        <f t="shared" si="6"/>
        <v>2.4231915431633701E-2</v>
      </c>
      <c r="AE37" s="3">
        <f t="shared" si="7"/>
        <v>4.8456970344788776E-3</v>
      </c>
      <c r="AF37" s="11">
        <f t="shared" si="8"/>
        <v>2.0833333333333326</v>
      </c>
      <c r="AG37" s="1">
        <f t="shared" si="9"/>
        <v>8.2482329759304751E-2</v>
      </c>
    </row>
    <row r="38" spans="2:33" ht="15" x14ac:dyDescent="0.25">
      <c r="B38" s="1">
        <v>27</v>
      </c>
      <c r="C38" s="1">
        <v>1.0000010385620492</v>
      </c>
      <c r="D38" s="1">
        <v>1.0504272886979584</v>
      </c>
      <c r="E38" s="1">
        <v>0.95184204989755461</v>
      </c>
      <c r="G38" s="1">
        <v>0.99991035549142349</v>
      </c>
      <c r="H38" s="1">
        <v>1.5428657337832321</v>
      </c>
      <c r="I38" s="1">
        <v>0.63960715278929248</v>
      </c>
      <c r="K38" s="1">
        <v>0.99977036794584984</v>
      </c>
      <c r="L38" s="1">
        <v>1.6220896538458565</v>
      </c>
      <c r="M38" s="1">
        <v>0.60766811826960676</v>
      </c>
      <c r="O38" s="1">
        <v>4.9741797503726729E-4</v>
      </c>
      <c r="P38" s="1">
        <v>0.99888143561620901</v>
      </c>
      <c r="R38" s="1">
        <v>4.8785870880707773E-2</v>
      </c>
      <c r="S38" s="2">
        <f t="shared" si="10"/>
        <v>0.12383285067053215</v>
      </c>
      <c r="T38" s="4">
        <f t="shared" si="1"/>
        <v>1.5334574905190315E-2</v>
      </c>
      <c r="U38" s="1">
        <f t="shared" si="0"/>
        <v>3.5510130753202418E-4</v>
      </c>
      <c r="V38" s="6">
        <f>2*sigma/alpha*corel*(B38/12-1/alpha*(1-EXP(-alpha*Output!B38/12)))</f>
        <v>1.2284953972588109E-2</v>
      </c>
      <c r="W38" s="5">
        <f t="shared" si="2"/>
        <v>-1.4979473597658291E-2</v>
      </c>
      <c r="X38" s="1">
        <f t="shared" si="3"/>
        <v>0.13496618247303324</v>
      </c>
      <c r="Y38" s="3">
        <f t="shared" si="4"/>
        <v>7.8909441052732024E-2</v>
      </c>
      <c r="Z38" s="1">
        <f t="shared" si="5"/>
        <v>8.2555233780354773E-2</v>
      </c>
      <c r="AA38" s="8">
        <f t="shared" si="11"/>
        <v>2.1666666666666661</v>
      </c>
      <c r="AB38" s="1">
        <v>2.25</v>
      </c>
      <c r="AC38" s="1">
        <v>5.0007766430000002E-4</v>
      </c>
      <c r="AD38" s="8">
        <f t="shared" si="6"/>
        <v>2.6596892627327347E-2</v>
      </c>
      <c r="AE38" s="3">
        <f t="shared" si="7"/>
        <v>5.3185524021668136E-3</v>
      </c>
      <c r="AF38" s="11">
        <f t="shared" si="8"/>
        <v>2.1666666666666661</v>
      </c>
      <c r="AG38" s="1">
        <f t="shared" si="9"/>
        <v>8.2555233780354773E-2</v>
      </c>
    </row>
    <row r="39" spans="2:33" ht="15" x14ac:dyDescent="0.25">
      <c r="B39" s="1">
        <v>28</v>
      </c>
      <c r="C39" s="1">
        <v>1.0000013693362775</v>
      </c>
      <c r="D39" s="1">
        <v>1.0505645658635205</v>
      </c>
      <c r="E39" s="1">
        <v>0.9517126316706509</v>
      </c>
      <c r="G39" s="1">
        <v>0.99990754776412993</v>
      </c>
      <c r="H39" s="1">
        <v>1.5440766476538559</v>
      </c>
      <c r="I39" s="1">
        <v>0.63879233474510044</v>
      </c>
      <c r="K39" s="1">
        <v>0.99974901752677559</v>
      </c>
      <c r="L39" s="1">
        <v>1.5949187908981539</v>
      </c>
      <c r="M39" s="1">
        <v>0.61770653607263559</v>
      </c>
      <c r="O39" s="1">
        <v>4.9748105741813506E-4</v>
      </c>
      <c r="P39" s="1">
        <v>0.99883988432112614</v>
      </c>
      <c r="R39" s="1">
        <v>4.9784105488057E-2</v>
      </c>
      <c r="S39" s="2">
        <f t="shared" si="10"/>
        <v>0.12639592425356977</v>
      </c>
      <c r="T39" s="4">
        <f t="shared" si="1"/>
        <v>1.5975929667914147E-2</v>
      </c>
      <c r="U39" s="1">
        <f t="shared" si="0"/>
        <v>3.9506401009470338E-4</v>
      </c>
      <c r="V39" s="6">
        <f>2*sigma/alpha*corel*(B39/12-1/alpha*(1-EXP(-alpha*Output!B39/12)))</f>
        <v>1.3197353371704523E-2</v>
      </c>
      <c r="W39" s="5">
        <f t="shared" si="2"/>
        <v>-1.5580865657819444E-2</v>
      </c>
      <c r="X39" s="1">
        <f t="shared" si="3"/>
        <v>0.14559558294233246</v>
      </c>
      <c r="Y39" s="3">
        <f t="shared" si="4"/>
        <v>7.8936972692776358E-2</v>
      </c>
      <c r="Z39" s="1">
        <f t="shared" si="5"/>
        <v>8.2745555775126878E-2</v>
      </c>
      <c r="AA39" s="8">
        <f t="shared" si="11"/>
        <v>2.2499999999999996</v>
      </c>
      <c r="AB39" s="1">
        <v>2.3330000000000002</v>
      </c>
      <c r="AC39" s="1">
        <v>5.0008322030000005E-4</v>
      </c>
      <c r="AD39" s="8">
        <f t="shared" si="6"/>
        <v>2.6021628818649917E-2</v>
      </c>
      <c r="AE39" s="3">
        <f t="shared" si="7"/>
        <v>5.2034596967759751E-3</v>
      </c>
      <c r="AF39" s="11">
        <f t="shared" si="8"/>
        <v>2.2499999999999996</v>
      </c>
      <c r="AG39" s="1">
        <f t="shared" si="9"/>
        <v>8.2745555775126878E-2</v>
      </c>
    </row>
    <row r="40" spans="2:33" ht="15" x14ac:dyDescent="0.25">
      <c r="B40" s="1">
        <v>29</v>
      </c>
      <c r="C40" s="1">
        <v>1.0000011578752037</v>
      </c>
      <c r="D40" s="1">
        <v>1.04711566571255</v>
      </c>
      <c r="E40" s="1">
        <v>0.95484228067629828</v>
      </c>
      <c r="G40" s="1">
        <v>0.99985607958023648</v>
      </c>
      <c r="H40" s="1">
        <v>1.4980922475877396</v>
      </c>
      <c r="I40" s="1">
        <v>0.65807762539725023</v>
      </c>
      <c r="K40" s="1">
        <v>0.99969869949411561</v>
      </c>
      <c r="L40" s="1">
        <v>1.6195216201253535</v>
      </c>
      <c r="M40" s="1">
        <v>0.60798895708522582</v>
      </c>
      <c r="O40" s="1">
        <v>4.9721939883715473E-4</v>
      </c>
      <c r="P40" s="1">
        <v>0.99879910810129213</v>
      </c>
      <c r="R40" s="1">
        <v>5.0684199476793944E-2</v>
      </c>
      <c r="S40" s="2">
        <f t="shared" si="10"/>
        <v>0.12871162093535632</v>
      </c>
      <c r="T40" s="4">
        <f t="shared" si="1"/>
        <v>1.6566681363806856E-2</v>
      </c>
      <c r="U40" s="1">
        <f t="shared" si="0"/>
        <v>4.3784502260280078E-4</v>
      </c>
      <c r="V40" s="6">
        <f>2*sigma/alpha*corel*(B40/12-1/alpha*(1-EXP(-alpha*Output!B40/12)))</f>
        <v>1.414138091884759E-2</v>
      </c>
      <c r="W40" s="5">
        <f t="shared" si="2"/>
        <v>-1.6128836341204055E-2</v>
      </c>
      <c r="X40" s="1">
        <f t="shared" si="3"/>
        <v>0.15611206328593114</v>
      </c>
      <c r="Y40" s="3">
        <f t="shared" si="4"/>
        <v>7.882113318670822E-2</v>
      </c>
      <c r="Z40" s="1">
        <f t="shared" si="5"/>
        <v>8.2796005310451753E-2</v>
      </c>
      <c r="AA40" s="8">
        <f t="shared" si="11"/>
        <v>2.333333333333333</v>
      </c>
      <c r="AB40" s="1">
        <v>2.4169999999999998</v>
      </c>
      <c r="AC40" s="1">
        <v>5.0008755350000004E-4</v>
      </c>
      <c r="AD40" s="8">
        <f t="shared" si="6"/>
        <v>2.8681546628453024E-2</v>
      </c>
      <c r="AE40" s="3">
        <f t="shared" si="7"/>
        <v>5.7353050336320802E-3</v>
      </c>
      <c r="AF40" s="11">
        <f t="shared" si="8"/>
        <v>2.333333333333333</v>
      </c>
      <c r="AG40" s="1">
        <f t="shared" si="9"/>
        <v>8.2796005310451753E-2</v>
      </c>
    </row>
    <row r="41" spans="2:33" ht="15" x14ac:dyDescent="0.25">
      <c r="B41" s="1">
        <v>30</v>
      </c>
      <c r="C41" s="1">
        <v>1.0000007375120541</v>
      </c>
      <c r="D41" s="1">
        <v>1.0450236553746748</v>
      </c>
      <c r="E41" s="1">
        <v>0.95674876541775922</v>
      </c>
      <c r="G41" s="1">
        <v>0.99978743001552994</v>
      </c>
      <c r="H41" s="1">
        <v>1.4751537220234368</v>
      </c>
      <c r="I41" s="1">
        <v>0.66798322835325974</v>
      </c>
      <c r="K41" s="1">
        <v>0.99978602784253356</v>
      </c>
      <c r="L41" s="1">
        <v>1.614457512263209</v>
      </c>
      <c r="M41" s="1">
        <v>0.60954744256126137</v>
      </c>
      <c r="O41" s="1">
        <v>4.9705669526192535E-4</v>
      </c>
      <c r="P41" s="1">
        <v>0.99875813002138325</v>
      </c>
      <c r="R41" s="1">
        <v>5.1761794887377172E-2</v>
      </c>
      <c r="S41" s="2">
        <f t="shared" si="10"/>
        <v>0.13147403336409319</v>
      </c>
      <c r="T41" s="4">
        <f t="shared" si="1"/>
        <v>1.7285421449022689E-2</v>
      </c>
      <c r="U41" s="1">
        <f t="shared" si="0"/>
        <v>4.8353052020022602E-4</v>
      </c>
      <c r="V41" s="6">
        <f>2*sigma/alpha*corel*(B41/12-1/alpha*(1-EXP(-alpha*Output!B41/12)))</f>
        <v>1.5116931362373853E-2</v>
      </c>
      <c r="W41" s="5">
        <f t="shared" si="2"/>
        <v>-1.6801890928822463E-2</v>
      </c>
      <c r="X41" s="1">
        <f t="shared" si="3"/>
        <v>0.16824743090203936</v>
      </c>
      <c r="Y41" s="3">
        <f t="shared" si="4"/>
        <v>7.9012564603233207E-2</v>
      </c>
      <c r="Z41" s="1">
        <f t="shared" si="5"/>
        <v>8.3151479719900806E-2</v>
      </c>
      <c r="AA41" s="8">
        <f t="shared" si="11"/>
        <v>2.4166666666666665</v>
      </c>
      <c r="AB41" s="1">
        <v>2.5</v>
      </c>
      <c r="AC41" s="1">
        <v>5.0009075940000004E-4</v>
      </c>
      <c r="AD41" s="8">
        <f t="shared" si="6"/>
        <v>3.0340641380746918E-2</v>
      </c>
      <c r="AE41" s="3">
        <f t="shared" si="7"/>
        <v>6.0670269966893765E-3</v>
      </c>
      <c r="AF41" s="11">
        <f t="shared" si="8"/>
        <v>2.4166666666666665</v>
      </c>
      <c r="AG41" s="1">
        <f t="shared" si="9"/>
        <v>8.3151479719900806E-2</v>
      </c>
    </row>
    <row r="42" spans="2:33" ht="15" x14ac:dyDescent="0.25">
      <c r="B42" s="1">
        <v>31</v>
      </c>
      <c r="C42" s="1">
        <v>0.99999992045029085</v>
      </c>
      <c r="D42" s="1">
        <v>1.0488832736370177</v>
      </c>
      <c r="E42" s="1">
        <v>0.95322324070329501</v>
      </c>
      <c r="G42" s="1">
        <v>0.99968605251920217</v>
      </c>
      <c r="H42" s="1">
        <v>1.5196311213200218</v>
      </c>
      <c r="I42" s="1">
        <v>0.64811465292753512</v>
      </c>
      <c r="K42" s="1">
        <v>0.99975532322896621</v>
      </c>
      <c r="L42" s="1">
        <v>1.6382659854738939</v>
      </c>
      <c r="M42" s="1">
        <v>0.60040997452269118</v>
      </c>
      <c r="O42" s="1">
        <v>4.9717627682817822E-4</v>
      </c>
      <c r="P42" s="1">
        <v>0.99871645240430085</v>
      </c>
      <c r="R42" s="1">
        <v>5.2664405469372531E-2</v>
      </c>
      <c r="S42" s="2">
        <f t="shared" si="10"/>
        <v>0.13379781780898503</v>
      </c>
      <c r="T42" s="4">
        <f t="shared" si="1"/>
        <v>1.7901856050446353E-2</v>
      </c>
      <c r="U42" s="1">
        <f t="shared" si="0"/>
        <v>5.3220575635526401E-4</v>
      </c>
      <c r="V42" s="6">
        <f>2*sigma/alpha*corel*(B42/12-1/alpha*(1-EXP(-alpha*Output!B42/12)))</f>
        <v>1.612389980089457E-2</v>
      </c>
      <c r="W42" s="5">
        <f t="shared" si="2"/>
        <v>-1.7369650294091089E-2</v>
      </c>
      <c r="X42" s="1">
        <f t="shared" si="3"/>
        <v>0.17974636651706385</v>
      </c>
      <c r="Y42" s="3">
        <f t="shared" si="4"/>
        <v>7.8936997473670445E-2</v>
      </c>
      <c r="Z42" s="1">
        <f t="shared" si="5"/>
        <v>8.3245124356955816E-2</v>
      </c>
      <c r="AA42" s="8">
        <f t="shared" si="11"/>
        <v>2.5</v>
      </c>
      <c r="AB42" s="1">
        <v>2.5830000000000002</v>
      </c>
      <c r="AC42" s="1">
        <v>5.0009293350000001E-4</v>
      </c>
      <c r="AD42" s="8">
        <f t="shared" si="6"/>
        <v>2.9166566718217886E-2</v>
      </c>
      <c r="AE42" s="3">
        <f t="shared" si="7"/>
        <v>5.8322293246756878E-3</v>
      </c>
      <c r="AF42" s="11">
        <f t="shared" si="8"/>
        <v>2.5</v>
      </c>
      <c r="AG42" s="1">
        <f t="shared" si="9"/>
        <v>8.3245124356955816E-2</v>
      </c>
    </row>
    <row r="43" spans="2:33" ht="15" x14ac:dyDescent="0.25">
      <c r="B43" s="1">
        <v>32</v>
      </c>
      <c r="C43" s="1">
        <v>1.0000004938634108</v>
      </c>
      <c r="D43" s="1">
        <v>1.0511768760125642</v>
      </c>
      <c r="E43" s="1">
        <v>0.95113847595963052</v>
      </c>
      <c r="G43" s="1">
        <v>0.99969533339245287</v>
      </c>
      <c r="H43" s="1">
        <v>1.5503254161486941</v>
      </c>
      <c r="I43" s="1">
        <v>0.63497168409444105</v>
      </c>
      <c r="K43" s="1">
        <v>0.99974696355260084</v>
      </c>
      <c r="L43" s="1">
        <v>1.648434474343893</v>
      </c>
      <c r="M43" s="1">
        <v>0.59634382059738411</v>
      </c>
      <c r="O43" s="1">
        <v>4.9700652097321718E-4</v>
      </c>
      <c r="P43" s="1">
        <v>0.99867552716679375</v>
      </c>
      <c r="R43" s="1">
        <v>5.3670752699378939E-2</v>
      </c>
      <c r="S43" s="2">
        <f t="shared" si="10"/>
        <v>0.1363817058453054</v>
      </c>
      <c r="T43" s="4">
        <f t="shared" si="1"/>
        <v>1.8599969689275409E-2</v>
      </c>
      <c r="U43" s="1">
        <f t="shared" si="0"/>
        <v>5.8395507013830894E-4</v>
      </c>
      <c r="V43" s="6">
        <f>2*sigma/alpha*corel*(B43/12-1/alpha*(1-EXP(-alpha*Output!B43/12)))</f>
        <v>1.7162181682111033E-2</v>
      </c>
      <c r="W43" s="5">
        <f t="shared" si="2"/>
        <v>-1.80160146191371E-2</v>
      </c>
      <c r="X43" s="1">
        <f t="shared" si="3"/>
        <v>0.19246536308421885</v>
      </c>
      <c r="Y43" s="3">
        <f t="shared" si="4"/>
        <v>7.9039980653035247E-2</v>
      </c>
      <c r="Z43" s="1">
        <f t="shared" si="5"/>
        <v>8.3516397392837047E-2</v>
      </c>
      <c r="AA43" s="8">
        <f t="shared" si="11"/>
        <v>2.5833333333333335</v>
      </c>
      <c r="AB43" s="1">
        <v>2.6669999999999998</v>
      </c>
      <c r="AC43" s="1">
        <v>5.0009404559999999E-4</v>
      </c>
      <c r="AD43" s="8">
        <f t="shared" si="6"/>
        <v>3.0875246267828046E-2</v>
      </c>
      <c r="AE43" s="3">
        <f t="shared" si="7"/>
        <v>6.1738879995631062E-3</v>
      </c>
      <c r="AF43" s="11">
        <f t="shared" si="8"/>
        <v>2.5833333333333335</v>
      </c>
      <c r="AG43" s="1">
        <f t="shared" si="9"/>
        <v>8.3516397392837047E-2</v>
      </c>
    </row>
    <row r="44" spans="2:33" ht="15" x14ac:dyDescent="0.25">
      <c r="B44" s="1">
        <v>33</v>
      </c>
      <c r="C44" s="1">
        <v>1.0000017818745786</v>
      </c>
      <c r="D44" s="1">
        <v>1.0538032152832331</v>
      </c>
      <c r="E44" s="1">
        <v>0.94876316019072138</v>
      </c>
      <c r="G44" s="1">
        <v>0.99975772713675137</v>
      </c>
      <c r="H44" s="1">
        <v>1.5842842937846349</v>
      </c>
      <c r="I44" s="1">
        <v>0.62105682723170363</v>
      </c>
      <c r="K44" s="1">
        <v>0.99976071617363116</v>
      </c>
      <c r="L44" s="1">
        <v>1.7212752952114589</v>
      </c>
      <c r="M44" s="1">
        <v>0.57084588645709922</v>
      </c>
      <c r="O44" s="1">
        <v>4.9693840814260678E-4</v>
      </c>
      <c r="P44" s="1">
        <v>0.99863435272369394</v>
      </c>
      <c r="R44" s="1">
        <v>5.4957213100767954E-2</v>
      </c>
      <c r="S44" s="2">
        <f t="shared" si="10"/>
        <v>0.13967061429260202</v>
      </c>
      <c r="T44" s="4">
        <f t="shared" si="1"/>
        <v>1.9507880496872805E-2</v>
      </c>
      <c r="U44" s="1">
        <f t="shared" si="0"/>
        <v>6.3886189346407107E-4</v>
      </c>
      <c r="V44" s="6">
        <f>2*sigma/alpha*corel*(B44/12-1/alpha*(1-EXP(-alpha*Output!B44/12)))</f>
        <v>1.8231672801650722E-2</v>
      </c>
      <c r="W44" s="5">
        <f t="shared" si="2"/>
        <v>-1.8869018603408734E-2</v>
      </c>
      <c r="X44" s="1">
        <f t="shared" si="3"/>
        <v>0.20789159853064254</v>
      </c>
      <c r="Y44" s="3">
        <f t="shared" si="4"/>
        <v>7.9585388868615381E-2</v>
      </c>
      <c r="Z44" s="1">
        <f t="shared" si="5"/>
        <v>8.4224549426729287E-2</v>
      </c>
      <c r="AA44" s="8">
        <f t="shared" si="11"/>
        <v>2.666666666666667</v>
      </c>
      <c r="AB44" s="1">
        <v>2.75</v>
      </c>
      <c r="AC44" s="1">
        <v>5.0009356240000001E-4</v>
      </c>
      <c r="AD44" s="8">
        <f t="shared" si="6"/>
        <v>3.1551542573932286E-2</v>
      </c>
      <c r="AE44" s="3">
        <f t="shared" si="7"/>
        <v>6.3091279204861616E-3</v>
      </c>
      <c r="AF44" s="11">
        <f t="shared" si="8"/>
        <v>2.666666666666667</v>
      </c>
      <c r="AG44" s="1">
        <f t="shared" si="9"/>
        <v>8.4224549426729287E-2</v>
      </c>
    </row>
    <row r="45" spans="2:33" ht="15" x14ac:dyDescent="0.25">
      <c r="B45" s="1">
        <v>34</v>
      </c>
      <c r="C45" s="1">
        <v>1.0000026185515496</v>
      </c>
      <c r="D45" s="1">
        <v>1.0529534562279317</v>
      </c>
      <c r="E45" s="1">
        <v>0.94952402542392267</v>
      </c>
      <c r="G45" s="1">
        <v>0.99978729811695211</v>
      </c>
      <c r="H45" s="1">
        <v>1.5718907950718215</v>
      </c>
      <c r="I45" s="1">
        <v>0.62564696573958523</v>
      </c>
      <c r="K45" s="1">
        <v>0.99972209972109083</v>
      </c>
      <c r="L45" s="1">
        <v>1.8043159622767531</v>
      </c>
      <c r="M45" s="1">
        <v>0.54429545238661559</v>
      </c>
      <c r="O45" s="1">
        <v>4.9687264244049228E-4</v>
      </c>
      <c r="P45" s="1">
        <v>0.99859318467350355</v>
      </c>
      <c r="R45" s="1">
        <v>5.5671594378992002E-2</v>
      </c>
      <c r="S45" s="2">
        <f t="shared" si="10"/>
        <v>0.14152132329992362</v>
      </c>
      <c r="T45" s="4">
        <f t="shared" si="1"/>
        <v>2.0028284948561504E-2</v>
      </c>
      <c r="U45" s="1">
        <f t="shared" si="0"/>
        <v>6.9700875826672615E-4</v>
      </c>
      <c r="V45" s="6">
        <f>2*sigma/alpha*corel*(B45/12-1/alpha*(1-EXP(-alpha*Output!B45/12)))</f>
        <v>1.9332269301911842E-2</v>
      </c>
      <c r="W45" s="5">
        <f t="shared" si="2"/>
        <v>-1.9331276190294778E-2</v>
      </c>
      <c r="X45" s="1">
        <f t="shared" si="3"/>
        <v>0.21946153345970246</v>
      </c>
      <c r="Y45" s="3">
        <f t="shared" si="4"/>
        <v>7.9259108427852956E-2</v>
      </c>
      <c r="Z45" s="1">
        <f t="shared" si="5"/>
        <v>8.4076194326536152E-2</v>
      </c>
      <c r="AA45" s="8">
        <f t="shared" si="11"/>
        <v>2.7500000000000004</v>
      </c>
      <c r="AB45" s="1">
        <v>2.8330000000000002</v>
      </c>
      <c r="AC45" s="1">
        <v>5.0009082480000002E-4</v>
      </c>
      <c r="AD45" s="8">
        <f t="shared" si="6"/>
        <v>3.2181823595077388E-2</v>
      </c>
      <c r="AE45" s="3">
        <f t="shared" si="7"/>
        <v>6.4351957682782486E-3</v>
      </c>
      <c r="AF45" s="11">
        <f t="shared" si="8"/>
        <v>2.7500000000000004</v>
      </c>
      <c r="AG45" s="1">
        <f t="shared" si="9"/>
        <v>8.4076194326536152E-2</v>
      </c>
    </row>
    <row r="46" spans="2:33" ht="15" x14ac:dyDescent="0.25">
      <c r="B46" s="1">
        <v>35</v>
      </c>
      <c r="C46" s="1">
        <v>1.0000031876638218</v>
      </c>
      <c r="D46" s="1">
        <v>1.0503007885164819</v>
      </c>
      <c r="E46" s="1">
        <v>0.95191738094293488</v>
      </c>
      <c r="G46" s="1">
        <v>0.9997936790178692</v>
      </c>
      <c r="H46" s="1">
        <v>1.5353332889893454</v>
      </c>
      <c r="I46" s="1">
        <v>0.64023045213957208</v>
      </c>
      <c r="K46" s="1">
        <v>0.99977860526775852</v>
      </c>
      <c r="L46" s="1">
        <v>1.8208490033459801</v>
      </c>
      <c r="M46" s="1">
        <v>0.5390619851453583</v>
      </c>
      <c r="O46" s="1">
        <v>4.9669462646029445E-4</v>
      </c>
      <c r="P46" s="1">
        <v>0.99855235618815552</v>
      </c>
      <c r="R46" s="1">
        <v>5.664334999888955E-2</v>
      </c>
      <c r="S46" s="2">
        <f t="shared" si="10"/>
        <v>0.14401908909038419</v>
      </c>
      <c r="T46" s="4">
        <f t="shared" si="1"/>
        <v>2.0741498022424018E-2</v>
      </c>
      <c r="U46" s="1">
        <f t="shared" si="0"/>
        <v>7.5847730363021171E-4</v>
      </c>
      <c r="V46" s="6">
        <f>2*sigma/alpha*corel*(B46/12-1/alpha*(1-EXP(-alpha*Output!B46/12)))</f>
        <v>2.0463867670907632E-2</v>
      </c>
      <c r="W46" s="5">
        <f t="shared" si="2"/>
        <v>-1.9983020718793806E-2</v>
      </c>
      <c r="X46" s="1">
        <f t="shared" si="3"/>
        <v>0.23355401159931347</v>
      </c>
      <c r="Y46" s="3">
        <f t="shared" si="4"/>
        <v>7.9338924615789938E-2</v>
      </c>
      <c r="Z46" s="1">
        <f t="shared" si="5"/>
        <v>8.4328943729572337E-2</v>
      </c>
      <c r="AA46" s="8">
        <f t="shared" si="11"/>
        <v>2.8333333333333339</v>
      </c>
      <c r="AB46" s="1">
        <v>2.9169999999999998</v>
      </c>
      <c r="AC46" s="1">
        <v>5.0008517369999996E-4</v>
      </c>
      <c r="AD46" s="8">
        <f t="shared" si="6"/>
        <v>3.3905472397055159E-2</v>
      </c>
      <c r="AE46" s="3">
        <f t="shared" si="7"/>
        <v>6.7799395343392009E-3</v>
      </c>
      <c r="AF46" s="11">
        <f t="shared" si="8"/>
        <v>2.8333333333333339</v>
      </c>
      <c r="AG46" s="1">
        <f t="shared" si="9"/>
        <v>8.4328943729572337E-2</v>
      </c>
    </row>
    <row r="47" spans="2:33" ht="15" x14ac:dyDescent="0.25">
      <c r="B47" s="1">
        <v>36</v>
      </c>
      <c r="C47" s="1">
        <v>1.0000027242485725</v>
      </c>
      <c r="D47" s="1">
        <v>1.0497771042907167</v>
      </c>
      <c r="E47" s="1">
        <v>0.95238749416580515</v>
      </c>
      <c r="G47" s="1">
        <v>0.99971531943278225</v>
      </c>
      <c r="H47" s="1">
        <v>1.5454907175135619</v>
      </c>
      <c r="I47" s="1">
        <v>0.63571125097939984</v>
      </c>
      <c r="K47" s="1">
        <v>0.99980765336609345</v>
      </c>
      <c r="L47" s="1">
        <v>1.8763441850578171</v>
      </c>
      <c r="M47" s="1">
        <v>0.52283230030051753</v>
      </c>
      <c r="O47" s="1">
        <v>4.9683885268416686E-4</v>
      </c>
      <c r="P47" s="1">
        <v>0.99851059371005957</v>
      </c>
      <c r="R47" s="1">
        <v>5.7584693945084788E-2</v>
      </c>
      <c r="S47" s="2">
        <f t="shared" si="10"/>
        <v>0.14644191740422463</v>
      </c>
      <c r="T47" s="4">
        <f t="shared" si="1"/>
        <v>2.144523517302575E-2</v>
      </c>
      <c r="U47" s="1">
        <f t="shared" si="0"/>
        <v>8.2334828287233819E-4</v>
      </c>
      <c r="V47" s="6">
        <f>2*sigma/alpha*corel*(B47/12-1/alpha*(1-EXP(-alpha*Output!B47/12)))</f>
        <v>2.1626364741117121E-2</v>
      </c>
      <c r="W47" s="5">
        <f t="shared" si="2"/>
        <v>-2.0621886890153412E-2</v>
      </c>
      <c r="X47" s="1">
        <f t="shared" si="3"/>
        <v>0.24793034233375677</v>
      </c>
      <c r="Y47" s="3">
        <f t="shared" si="4"/>
        <v>7.938327938113697E-2</v>
      </c>
      <c r="Z47" s="1">
        <f t="shared" si="5"/>
        <v>8.4548280433974041E-2</v>
      </c>
      <c r="AA47" s="8">
        <f t="shared" si="11"/>
        <v>2.9166666666666674</v>
      </c>
      <c r="AB47" s="1">
        <v>3</v>
      </c>
      <c r="AC47" s="1">
        <v>5.0007595E-4</v>
      </c>
      <c r="AD47" s="8">
        <f t="shared" si="6"/>
        <v>3.2370973158331359E-2</v>
      </c>
      <c r="AE47" s="3">
        <f t="shared" si="7"/>
        <v>6.4732113508620759E-3</v>
      </c>
      <c r="AF47" s="11">
        <f t="shared" si="8"/>
        <v>2.9166666666666674</v>
      </c>
      <c r="AG47" s="1">
        <f t="shared" si="9"/>
        <v>8.4548280433974041E-2</v>
      </c>
    </row>
    <row r="48" spans="2:33" ht="15" x14ac:dyDescent="0.25">
      <c r="B48" s="1">
        <v>37</v>
      </c>
      <c r="C48" s="1">
        <v>1.0000030593969003</v>
      </c>
      <c r="D48" s="1">
        <v>1.0496640612321031</v>
      </c>
      <c r="E48" s="1">
        <v>0.95248534176823918</v>
      </c>
      <c r="G48" s="1">
        <v>0.99970006483490359</v>
      </c>
      <c r="H48" s="1">
        <v>1.5353211993043518</v>
      </c>
      <c r="I48" s="1">
        <v>0.63960872763324284</v>
      </c>
      <c r="K48" s="1">
        <v>0.99990321776901236</v>
      </c>
      <c r="L48" s="1">
        <v>1.8383998891377658</v>
      </c>
      <c r="M48" s="1">
        <v>0.53331651622413834</v>
      </c>
      <c r="O48" s="1">
        <v>4.9660514786627891E-4</v>
      </c>
      <c r="P48" s="1">
        <v>0.99846997248147784</v>
      </c>
      <c r="R48" s="1">
        <v>5.8643400890764835E-2</v>
      </c>
      <c r="S48" s="2">
        <f t="shared" si="10"/>
        <v>0.14915879593589121</v>
      </c>
      <c r="T48" s="4">
        <f t="shared" si="1"/>
        <v>2.2248346405044837E-2</v>
      </c>
      <c r="U48" s="1">
        <f t="shared" si="0"/>
        <v>8.9170157056717159E-4</v>
      </c>
      <c r="V48" s="6">
        <f>2*sigma/alpha*corel*(B48/12-1/alpha*(1-EXP(-alpha*Output!B48/12)))</f>
        <v>2.2819657688338602E-2</v>
      </c>
      <c r="W48" s="5">
        <f t="shared" si="2"/>
        <v>-2.1356644834477665E-2</v>
      </c>
      <c r="X48" s="1">
        <f t="shared" si="3"/>
        <v>0.26391935640223751</v>
      </c>
      <c r="Y48" s="3">
        <f t="shared" si="4"/>
        <v>7.9607215665359471E-2</v>
      </c>
      <c r="Z48" s="1">
        <f t="shared" si="5"/>
        <v>8.494515827961989E-2</v>
      </c>
      <c r="AA48" s="8">
        <f t="shared" si="11"/>
        <v>3.0000000000000009</v>
      </c>
      <c r="AB48" s="1">
        <v>3.0830000000000002</v>
      </c>
      <c r="AC48" s="1">
        <v>5.0006249449999999E-4</v>
      </c>
      <c r="AD48" s="8">
        <f t="shared" si="6"/>
        <v>3.4573466337210798E-2</v>
      </c>
      <c r="AE48" s="3">
        <f t="shared" si="7"/>
        <v>6.9138291148549231E-3</v>
      </c>
      <c r="AF48" s="11">
        <f t="shared" si="8"/>
        <v>3.0000000000000009</v>
      </c>
      <c r="AG48" s="1">
        <f t="shared" si="9"/>
        <v>8.494515827961989E-2</v>
      </c>
    </row>
    <row r="49" spans="2:33" ht="15" x14ac:dyDescent="0.25">
      <c r="B49" s="1">
        <v>38</v>
      </c>
      <c r="C49" s="1">
        <v>1.0000036265675842</v>
      </c>
      <c r="D49" s="1">
        <v>1.0500950985681388</v>
      </c>
      <c r="E49" s="1">
        <v>0.95208968771672209</v>
      </c>
      <c r="G49" s="1">
        <v>0.99969620313451846</v>
      </c>
      <c r="H49" s="1">
        <v>1.5372245619870539</v>
      </c>
      <c r="I49" s="1">
        <v>0.63850406341486987</v>
      </c>
      <c r="K49" s="1">
        <v>0.99989564909576101</v>
      </c>
      <c r="L49" s="1">
        <v>1.8539393936620912</v>
      </c>
      <c r="M49" s="1">
        <v>0.52855545197778475</v>
      </c>
      <c r="O49" s="1">
        <v>4.9647548540572648E-4</v>
      </c>
      <c r="P49" s="1">
        <v>0.99842906284512101</v>
      </c>
      <c r="R49" s="1">
        <v>5.9523261081633604E-2</v>
      </c>
      <c r="S49" s="2">
        <f t="shared" si="10"/>
        <v>0.15142647025669403</v>
      </c>
      <c r="T49" s="4">
        <f t="shared" si="1"/>
        <v>2.2929975894401444E-2</v>
      </c>
      <c r="U49" s="1">
        <f t="shared" si="0"/>
        <v>9.6361616952389539E-4</v>
      </c>
      <c r="V49" s="6">
        <f>2*sigma/alpha*corel*(B49/12-1/alpha*(1-EXP(-alpha*Output!B49/12)))</f>
        <v>2.4043644030546429E-2</v>
      </c>
      <c r="W49" s="5">
        <f t="shared" si="2"/>
        <v>-2.1966359724877548E-2</v>
      </c>
      <c r="X49" s="1">
        <f t="shared" si="3"/>
        <v>0.27881865333338329</v>
      </c>
      <c r="Y49" s="3">
        <f t="shared" si="4"/>
        <v>7.9577237464163564E-2</v>
      </c>
      <c r="Z49" s="1">
        <f t="shared" si="5"/>
        <v>8.5094330124190209E-2</v>
      </c>
      <c r="AA49" s="8">
        <f t="shared" si="11"/>
        <v>3.0833333333333344</v>
      </c>
      <c r="AB49" s="1">
        <v>3.1669999999999998</v>
      </c>
      <c r="AC49" s="1">
        <v>5.0004457260000002E-4</v>
      </c>
      <c r="AD49" s="8">
        <f t="shared" si="6"/>
        <v>3.5690871942735361E-2</v>
      </c>
      <c r="AE49" s="3">
        <f t="shared" si="7"/>
        <v>7.137538111284634E-3</v>
      </c>
      <c r="AF49" s="11">
        <f t="shared" si="8"/>
        <v>3.0833333333333344</v>
      </c>
      <c r="AG49" s="1">
        <f t="shared" si="9"/>
        <v>8.5094330124190209E-2</v>
      </c>
    </row>
    <row r="50" spans="2:33" ht="15" x14ac:dyDescent="0.25">
      <c r="B50" s="1">
        <v>39</v>
      </c>
      <c r="C50" s="1">
        <v>1.0000039796019822</v>
      </c>
      <c r="D50" s="1">
        <v>1.0527355600339587</v>
      </c>
      <c r="E50" s="1">
        <v>0.94969702900822672</v>
      </c>
      <c r="G50" s="1">
        <v>0.99967547143884095</v>
      </c>
      <c r="H50" s="1">
        <v>1.5720551550440915</v>
      </c>
      <c r="I50" s="1">
        <v>0.62405171109547675</v>
      </c>
      <c r="K50" s="1">
        <v>0.99990680953200328</v>
      </c>
      <c r="L50" s="1">
        <v>1.9025465970105382</v>
      </c>
      <c r="M50" s="1">
        <v>0.51479759667095359</v>
      </c>
      <c r="O50" s="1">
        <v>4.9642705774712167E-4</v>
      </c>
      <c r="P50" s="1">
        <v>0.99838791287297579</v>
      </c>
      <c r="R50" s="1">
        <v>6.0397952905502428E-2</v>
      </c>
      <c r="S50" s="2">
        <f t="shared" si="10"/>
        <v>0.153681743981186</v>
      </c>
      <c r="T50" s="4">
        <f t="shared" si="1"/>
        <v>2.3618078433098801E-2</v>
      </c>
      <c r="U50" s="1">
        <f t="shared" si="0"/>
        <v>1.0391702177177109E-3</v>
      </c>
      <c r="V50" s="6">
        <f>2*sigma/alpha*corel*(B50/12-1/alpha*(1-EXP(-alpha*Output!B50/12)))</f>
        <v>2.5298221626754103E-2</v>
      </c>
      <c r="W50" s="5">
        <f t="shared" si="2"/>
        <v>-2.257890821538109E-2</v>
      </c>
      <c r="X50" s="1">
        <f t="shared" si="3"/>
        <v>0.29416580681743054</v>
      </c>
      <c r="Y50" s="3">
        <f t="shared" si="4"/>
        <v>7.9549588031691321E-2</v>
      </c>
      <c r="Z50" s="1">
        <f t="shared" si="5"/>
        <v>8.5247293542599301E-2</v>
      </c>
      <c r="AA50" s="8">
        <f t="shared" si="11"/>
        <v>3.1666666666666679</v>
      </c>
      <c r="AB50" s="1">
        <v>3.25</v>
      </c>
      <c r="AC50" s="1">
        <v>5.000236473E-4</v>
      </c>
      <c r="AD50" s="8">
        <f t="shared" si="6"/>
        <v>3.5965895528783293E-2</v>
      </c>
      <c r="AE50" s="3">
        <f t="shared" si="7"/>
        <v>7.192838923316916E-3</v>
      </c>
      <c r="AF50" s="11">
        <f t="shared" si="8"/>
        <v>3.1666666666666679</v>
      </c>
      <c r="AG50" s="1">
        <f t="shared" si="9"/>
        <v>8.5247293542599301E-2</v>
      </c>
    </row>
    <row r="51" spans="2:33" ht="15" x14ac:dyDescent="0.25">
      <c r="B51" s="1">
        <v>40</v>
      </c>
      <c r="C51" s="1">
        <v>1.0000043109604706</v>
      </c>
      <c r="D51" s="1">
        <v>1.0535131434246117</v>
      </c>
      <c r="E51" s="1">
        <v>0.94899147104628223</v>
      </c>
      <c r="G51" s="1">
        <v>0.99965124715597597</v>
      </c>
      <c r="H51" s="1">
        <v>1.5821578954750855</v>
      </c>
      <c r="I51" s="1">
        <v>0.61976341291355974</v>
      </c>
      <c r="K51" s="1">
        <v>0.99996410188783846</v>
      </c>
      <c r="L51" s="1">
        <v>1.9544617406493947</v>
      </c>
      <c r="M51" s="1">
        <v>0.50083215826096772</v>
      </c>
      <c r="O51" s="1">
        <v>4.9648947457409044E-4</v>
      </c>
      <c r="P51" s="1">
        <v>0.9983464037840345</v>
      </c>
      <c r="R51" s="1">
        <v>6.1385111370258309E-2</v>
      </c>
      <c r="S51" s="2">
        <f t="shared" si="10"/>
        <v>0.15622080232508972</v>
      </c>
      <c r="T51" s="4">
        <f t="shared" si="1"/>
        <v>2.4404939079094759E-2</v>
      </c>
      <c r="U51" s="1">
        <f t="shared" si="0"/>
        <v>1.1184409951625618E-3</v>
      </c>
      <c r="V51" s="6">
        <f>2*sigma/alpha*corel*(B51/12-1/alpha*(1-EXP(-alpha*Output!B51/12)))</f>
        <v>2.6583288675877559E-2</v>
      </c>
      <c r="W51" s="5">
        <f t="shared" si="2"/>
        <v>-2.3286498083932197E-2</v>
      </c>
      <c r="X51" s="1">
        <f t="shared" si="3"/>
        <v>0.31119331235592101</v>
      </c>
      <c r="Y51" s="3">
        <f t="shared" si="4"/>
        <v>7.9689561665964248E-2</v>
      </c>
      <c r="Z51" s="1">
        <f t="shared" si="5"/>
        <v>8.5565657385007141E-2</v>
      </c>
      <c r="AA51" s="8">
        <f t="shared" si="11"/>
        <v>3.2500000000000013</v>
      </c>
      <c r="AB51" s="1">
        <v>3.3330000000000002</v>
      </c>
      <c r="AC51" s="1">
        <v>5.0000160599999999E-4</v>
      </c>
      <c r="AD51" s="8">
        <f t="shared" si="6"/>
        <v>3.5121314259095461E-2</v>
      </c>
      <c r="AE51" s="3">
        <f t="shared" si="7"/>
        <v>7.0242402899592807E-3</v>
      </c>
      <c r="AF51" s="11">
        <f t="shared" si="8"/>
        <v>3.2500000000000013</v>
      </c>
      <c r="AG51" s="1">
        <f t="shared" si="9"/>
        <v>8.5565657385007141E-2</v>
      </c>
    </row>
    <row r="52" spans="2:33" ht="15" x14ac:dyDescent="0.25">
      <c r="B52" s="1">
        <v>41</v>
      </c>
      <c r="C52" s="1">
        <v>1.0000062285385489</v>
      </c>
      <c r="D52" s="1">
        <v>1.0534622187864036</v>
      </c>
      <c r="E52" s="1">
        <v>0.949032779598451</v>
      </c>
      <c r="G52" s="1">
        <v>0.99975428810365885</v>
      </c>
      <c r="H52" s="1">
        <v>1.5808012430477065</v>
      </c>
      <c r="I52" s="1">
        <v>0.61999175239544335</v>
      </c>
      <c r="K52" s="1">
        <v>0.99996863096731547</v>
      </c>
      <c r="L52" s="1">
        <v>1.9241660711255109</v>
      </c>
      <c r="M52" s="1">
        <v>0.5084538116670908</v>
      </c>
      <c r="O52" s="1">
        <v>4.9622901411860531E-4</v>
      </c>
      <c r="P52" s="1">
        <v>0.99830598733037623</v>
      </c>
      <c r="R52" s="1">
        <v>6.2404218920490168E-2</v>
      </c>
      <c r="S52" s="2">
        <f t="shared" si="10"/>
        <v>0.15883917661685731</v>
      </c>
      <c r="T52" s="4">
        <f t="shared" si="1"/>
        <v>2.522988402832119E-2</v>
      </c>
      <c r="U52" s="1">
        <f t="shared" si="0"/>
        <v>1.201504930739894E-3</v>
      </c>
      <c r="V52" s="6">
        <f>2*sigma/alpha*corel*(B52/12-1/alpha*(1-EXP(-alpha*Output!B52/12)))</f>
        <v>2.7898743715604357E-2</v>
      </c>
      <c r="W52" s="5">
        <f t="shared" si="2"/>
        <v>-2.4028379097581296E-2</v>
      </c>
      <c r="X52" s="1">
        <f t="shared" si="3"/>
        <v>0.32916618756785337</v>
      </c>
      <c r="Y52" s="3">
        <f t="shared" si="4"/>
        <v>7.987775434488073E-2</v>
      </c>
      <c r="Z52" s="1">
        <f t="shared" si="5"/>
        <v>8.5932277410598501E-2</v>
      </c>
      <c r="AA52" s="8">
        <f t="shared" si="11"/>
        <v>3.3333333333333348</v>
      </c>
      <c r="AB52" s="1">
        <v>3.4169999999999998</v>
      </c>
      <c r="AC52" s="1">
        <v>4.9998033609999996E-4</v>
      </c>
      <c r="AD52" s="8">
        <f t="shared" si="6"/>
        <v>3.7513219813946425E-2</v>
      </c>
      <c r="AE52" s="3">
        <f t="shared" si="7"/>
        <v>7.5029390368751394E-3</v>
      </c>
      <c r="AF52" s="11">
        <f t="shared" si="8"/>
        <v>3.3333333333333348</v>
      </c>
      <c r="AG52" s="1">
        <f t="shared" si="9"/>
        <v>8.5932277410598501E-2</v>
      </c>
    </row>
    <row r="53" spans="2:33" ht="15" x14ac:dyDescent="0.25">
      <c r="B53" s="1">
        <v>42</v>
      </c>
      <c r="C53" s="1">
        <v>1.0000071400199921</v>
      </c>
      <c r="D53" s="1">
        <v>1.0554107017314835</v>
      </c>
      <c r="E53" s="1">
        <v>0.94727616691106453</v>
      </c>
      <c r="G53" s="1">
        <v>0.99977524386398653</v>
      </c>
      <c r="H53" s="1">
        <v>1.6051453866909837</v>
      </c>
      <c r="I53" s="1">
        <v>0.61028999937592421</v>
      </c>
      <c r="K53" s="1">
        <v>0.9999902478654602</v>
      </c>
      <c r="L53" s="1">
        <v>1.8952132136935047</v>
      </c>
      <c r="M53" s="1">
        <v>0.51594625245829562</v>
      </c>
      <c r="O53" s="1">
        <v>4.9601649644836565E-4</v>
      </c>
      <c r="P53" s="1">
        <v>0.99826544833899344</v>
      </c>
      <c r="R53" s="1">
        <v>6.3409357284983328E-2</v>
      </c>
      <c r="S53" s="2">
        <f t="shared" si="10"/>
        <v>0.16142292881048192</v>
      </c>
      <c r="T53" s="4">
        <f t="shared" si="1"/>
        <v>2.6057361945753914E-2</v>
      </c>
      <c r="U53" s="1">
        <f t="shared" si="0"/>
        <v>1.2884376089825622E-3</v>
      </c>
      <c r="V53" s="6">
        <f>2*sigma/alpha*corel*(B53/12-1/alpha*(1-EXP(-alpha*Output!B53/12)))</f>
        <v>2.9244485621268301E-2</v>
      </c>
      <c r="W53" s="5">
        <f t="shared" si="2"/>
        <v>-2.4768924336771352E-2</v>
      </c>
      <c r="X53" s="1">
        <f t="shared" si="3"/>
        <v>0.34762018065405154</v>
      </c>
      <c r="Y53" s="3">
        <f t="shared" si="4"/>
        <v>8.0049821084956216E-2</v>
      </c>
      <c r="Z53" s="1">
        <f t="shared" si="5"/>
        <v>8.6284184854060544E-2</v>
      </c>
      <c r="AA53" s="8">
        <f t="shared" si="11"/>
        <v>3.4166666666666683</v>
      </c>
      <c r="AB53" s="1">
        <v>3.5</v>
      </c>
      <c r="AC53" s="1">
        <v>4.9996172499999997E-4</v>
      </c>
      <c r="AD53" s="8">
        <f t="shared" si="6"/>
        <v>3.9452285516343139E-2</v>
      </c>
      <c r="AE53" s="3">
        <f t="shared" si="7"/>
        <v>7.891061164000731E-3</v>
      </c>
      <c r="AF53" s="11">
        <f t="shared" si="8"/>
        <v>3.4166666666666683</v>
      </c>
      <c r="AG53" s="1">
        <f t="shared" si="9"/>
        <v>8.6284184854060544E-2</v>
      </c>
    </row>
    <row r="54" spans="2:33" ht="15" x14ac:dyDescent="0.25">
      <c r="B54" s="1">
        <v>43</v>
      </c>
      <c r="C54" s="1">
        <v>1.0000093236128149</v>
      </c>
      <c r="D54" s="1">
        <v>1.057347327238221</v>
      </c>
      <c r="E54" s="1">
        <v>0.94553666386213808</v>
      </c>
      <c r="G54" s="1">
        <v>0.99989707910752901</v>
      </c>
      <c r="H54" s="1">
        <v>1.6306880544750602</v>
      </c>
      <c r="I54" s="1">
        <v>0.60043667100666431</v>
      </c>
      <c r="K54" s="1">
        <v>1.0000833755400385</v>
      </c>
      <c r="L54" s="1">
        <v>1.8992046985733571</v>
      </c>
      <c r="M54" s="1">
        <v>0.51457773374149307</v>
      </c>
      <c r="O54" s="1">
        <v>4.9572958124601289E-4</v>
      </c>
      <c r="P54" s="1">
        <v>0.99822521246852713</v>
      </c>
      <c r="R54" s="1">
        <v>6.4606031324346877E-2</v>
      </c>
      <c r="S54" s="2">
        <f t="shared" si="10"/>
        <v>0.16448883841557593</v>
      </c>
      <c r="T54" s="4">
        <f t="shared" si="1"/>
        <v>2.7056577963305448E-2</v>
      </c>
      <c r="U54" s="1">
        <f t="shared" si="0"/>
        <v>1.3793137767978969E-3</v>
      </c>
      <c r="V54" s="6">
        <f>2*sigma/alpha*corel*(B54/12-1/alpha*(1-EXP(-alpha*Output!B54/12)))</f>
        <v>3.0620413604722063E-2</v>
      </c>
      <c r="W54" s="5">
        <f t="shared" si="2"/>
        <v>-2.5677264186507551E-2</v>
      </c>
      <c r="X54" s="1">
        <f t="shared" si="3"/>
        <v>0.36897839640259916</v>
      </c>
      <c r="Y54" s="3">
        <f t="shared" si="4"/>
        <v>8.0485884555447862E-2</v>
      </c>
      <c r="Z54" s="1">
        <f t="shared" si="5"/>
        <v>8.689460811806575E-2</v>
      </c>
      <c r="AA54" s="8">
        <f t="shared" si="11"/>
        <v>3.5000000000000018</v>
      </c>
      <c r="AB54" s="1">
        <v>3.5830000000000002</v>
      </c>
      <c r="AC54" s="1">
        <v>4.9994766009999999E-4</v>
      </c>
      <c r="AD54" s="8">
        <f t="shared" si="6"/>
        <v>4.2180788539870936E-2</v>
      </c>
      <c r="AE54" s="3">
        <f t="shared" si="7"/>
        <v>8.4370408957277453E-3</v>
      </c>
      <c r="AF54" s="11">
        <f t="shared" si="8"/>
        <v>3.5000000000000018</v>
      </c>
      <c r="AG54" s="1">
        <f t="shared" si="9"/>
        <v>8.689460811806575E-2</v>
      </c>
    </row>
    <row r="55" spans="2:33" ht="15" x14ac:dyDescent="0.25">
      <c r="B55" s="1">
        <v>44</v>
      </c>
      <c r="C55" s="1">
        <v>1.0000100289347293</v>
      </c>
      <c r="D55" s="1">
        <v>1.0548802714613776</v>
      </c>
      <c r="E55" s="1">
        <v>0.94774353625451246</v>
      </c>
      <c r="G55" s="1">
        <v>0.99989728298522873</v>
      </c>
      <c r="H55" s="1">
        <v>1.608874144834106</v>
      </c>
      <c r="I55" s="1">
        <v>0.60827997360326502</v>
      </c>
      <c r="K55" s="1">
        <v>1.0000541869639794</v>
      </c>
      <c r="L55" s="1">
        <v>1.9025387921737809</v>
      </c>
      <c r="M55" s="1">
        <v>0.51343816717755619</v>
      </c>
      <c r="O55" s="1">
        <v>4.9563849478967371E-4</v>
      </c>
      <c r="P55" s="1">
        <v>0.99818430921695134</v>
      </c>
      <c r="R55" s="1">
        <v>6.5399654593902637E-2</v>
      </c>
      <c r="S55" s="2">
        <f t="shared" si="10"/>
        <v>0.16654133588204667</v>
      </c>
      <c r="T55" s="4">
        <f t="shared" si="1"/>
        <v>2.7736016557376685E-2</v>
      </c>
      <c r="U55" s="1">
        <f t="shared" si="0"/>
        <v>1.4742073501543551E-3</v>
      </c>
      <c r="V55" s="6">
        <f>2*sigma/alpha*corel*(B55/12-1/alpha*(1-EXP(-alpha*Output!B55/12)))</f>
        <v>3.2026427213221131E-2</v>
      </c>
      <c r="W55" s="5">
        <f t="shared" si="2"/>
        <v>-2.626180920722233E-2</v>
      </c>
      <c r="X55" s="1">
        <f t="shared" si="3"/>
        <v>0.38619889374597127</v>
      </c>
      <c r="Y55" s="3">
        <f t="shared" si="4"/>
        <v>8.0375809126205525E-2</v>
      </c>
      <c r="Z55" s="1">
        <f t="shared" si="5"/>
        <v>8.6973376110231704E-2</v>
      </c>
      <c r="AA55" s="8">
        <f t="shared" si="11"/>
        <v>3.5833333333333353</v>
      </c>
      <c r="AB55" s="1">
        <v>3.6669999999999998</v>
      </c>
      <c r="AC55" s="1">
        <v>4.9994001999999996E-4</v>
      </c>
      <c r="AD55" s="8">
        <f t="shared" si="6"/>
        <v>4.3015252103262507E-2</v>
      </c>
      <c r="AE55" s="3">
        <f t="shared" si="7"/>
        <v>8.6040825663971678E-3</v>
      </c>
      <c r="AF55" s="11">
        <f t="shared" si="8"/>
        <v>3.5833333333333353</v>
      </c>
      <c r="AG55" s="1">
        <f t="shared" si="9"/>
        <v>8.6973376110231704E-2</v>
      </c>
    </row>
    <row r="56" spans="2:33" ht="15" x14ac:dyDescent="0.25">
      <c r="B56" s="1">
        <v>45</v>
      </c>
      <c r="C56" s="1">
        <v>1.0000102304522811</v>
      </c>
      <c r="D56" s="1">
        <v>1.0547126695718814</v>
      </c>
      <c r="E56" s="1">
        <v>0.94788971211932338</v>
      </c>
      <c r="G56" s="1">
        <v>0.99985496604424284</v>
      </c>
      <c r="H56" s="1">
        <v>1.602856722005608</v>
      </c>
      <c r="I56" s="1">
        <v>0.61026491697811447</v>
      </c>
      <c r="K56" s="1">
        <v>1.0000592342972672</v>
      </c>
      <c r="L56" s="1">
        <v>1.9456838084606636</v>
      </c>
      <c r="M56" s="1">
        <v>0.50176108201381941</v>
      </c>
      <c r="O56" s="1">
        <v>4.9542701343250662E-4</v>
      </c>
      <c r="P56" s="1">
        <v>0.99814387343708799</v>
      </c>
      <c r="R56" s="1">
        <v>6.6265770758005008E-2</v>
      </c>
      <c r="S56" s="2">
        <f t="shared" si="10"/>
        <v>0.1687760088695377</v>
      </c>
      <c r="T56" s="4">
        <f t="shared" si="1"/>
        <v>2.8485341169930269E-2</v>
      </c>
      <c r="U56" s="1">
        <f t="shared" si="0"/>
        <v>1.5731914207135489E-3</v>
      </c>
      <c r="V56" s="6">
        <f>2*sigma/alpha*corel*(B56/12-1/alpha*(1-EXP(-alpha*Output!B56/12)))</f>
        <v>3.346242632830565E-2</v>
      </c>
      <c r="W56" s="5">
        <f t="shared" si="2"/>
        <v>-2.691214974921672E-2</v>
      </c>
      <c r="X56" s="1">
        <f t="shared" si="3"/>
        <v>0.40480198021402808</v>
      </c>
      <c r="Y56" s="3">
        <f t="shared" si="4"/>
        <v>8.0370410490750943E-2</v>
      </c>
      <c r="Z56" s="1">
        <f t="shared" si="5"/>
        <v>8.7155556212143298E-2</v>
      </c>
      <c r="AA56" s="8">
        <f t="shared" si="11"/>
        <v>3.6666666666666687</v>
      </c>
      <c r="AB56" s="1">
        <v>3.75</v>
      </c>
      <c r="AC56" s="1">
        <v>4.9994064779999999E-4</v>
      </c>
      <c r="AD56" s="8">
        <f t="shared" si="6"/>
        <v>4.5136343674933653E-2</v>
      </c>
      <c r="AE56" s="3">
        <f t="shared" si="7"/>
        <v>9.0283404387215046E-3</v>
      </c>
      <c r="AF56" s="11">
        <f t="shared" si="8"/>
        <v>3.6666666666666687</v>
      </c>
      <c r="AG56" s="1">
        <f t="shared" si="9"/>
        <v>8.7155556212143298E-2</v>
      </c>
    </row>
    <row r="57" spans="2:33" ht="15" x14ac:dyDescent="0.25">
      <c r="B57" s="1">
        <v>46</v>
      </c>
      <c r="C57" s="1">
        <v>1.0000116014975595</v>
      </c>
      <c r="D57" s="1">
        <v>1.055964073889474</v>
      </c>
      <c r="E57" s="1">
        <v>0.94676199396451988</v>
      </c>
      <c r="G57" s="1">
        <v>0.99990741812186279</v>
      </c>
      <c r="H57" s="1">
        <v>1.6176978110960134</v>
      </c>
      <c r="I57" s="1">
        <v>0.60437048508288849</v>
      </c>
      <c r="K57" s="1">
        <v>1.0000816571040869</v>
      </c>
      <c r="L57" s="1">
        <v>1.9142281301572612</v>
      </c>
      <c r="M57" s="1">
        <v>0.50972481873259456</v>
      </c>
      <c r="O57" s="1">
        <v>4.9527496655157118E-4</v>
      </c>
      <c r="P57" s="1">
        <v>0.99810324707525322</v>
      </c>
      <c r="R57" s="1">
        <v>6.7157979369629986E-2</v>
      </c>
      <c r="S57" s="2">
        <f t="shared" si="10"/>
        <v>0.17107694607525553</v>
      </c>
      <c r="T57" s="4">
        <f t="shared" ref="T57:T86" si="12">S57*S57</f>
        <v>2.9267321478435891E-2</v>
      </c>
      <c r="U57" s="1">
        <f t="shared" ref="U57:U120" si="13">sigma*sigma/alpha/alpha*(B57/12+2/alpha*EXP(-alpha*B57/12)-1/2/alpha*EXP(-2*alpha*B57/12)-3/2/alpha)</f>
        <v>1.6763382624160883E-3</v>
      </c>
      <c r="V57" s="6">
        <f>2*sigma/alpha*corel*(B57/12-1/alpha*(1-EXP(-alpha*Output!B57/12)))</f>
        <v>3.4928311164687864E-2</v>
      </c>
      <c r="W57" s="5">
        <f t="shared" ref="W57:W86" si="14">U57-T57</f>
        <v>-2.7590983216019802E-2</v>
      </c>
      <c r="X57" s="1">
        <f t="shared" ref="X57:X86" si="15">V57*V57-4*W57*B57/12</f>
        <v>0.42428172956645421</v>
      </c>
      <c r="Y57" s="3">
        <f t="shared" si="4"/>
        <v>8.0405322799136369E-2</v>
      </c>
      <c r="Z57" s="1">
        <f t="shared" si="5"/>
        <v>8.7378220565294124E-2</v>
      </c>
      <c r="AA57" s="8">
        <f t="shared" si="11"/>
        <v>3.7500000000000022</v>
      </c>
      <c r="AB57" s="1">
        <v>3.8330000000000002</v>
      </c>
      <c r="AC57" s="1">
        <v>4.9995137759999999E-4</v>
      </c>
      <c r="AD57" s="8">
        <f t="shared" si="6"/>
        <v>4.6764110484288086E-2</v>
      </c>
      <c r="AE57" s="3">
        <f t="shared" si="7"/>
        <v>9.3537316986259042E-3</v>
      </c>
      <c r="AF57" s="11">
        <f t="shared" si="8"/>
        <v>3.7500000000000022</v>
      </c>
      <c r="AG57" s="1">
        <f t="shared" si="9"/>
        <v>8.7378220565294124E-2</v>
      </c>
    </row>
    <row r="58" spans="2:33" ht="15" x14ac:dyDescent="0.25">
      <c r="B58" s="1">
        <v>47</v>
      </c>
      <c r="C58" s="1">
        <v>1.0000122703319225</v>
      </c>
      <c r="D58" s="1">
        <v>1.0602702966186006</v>
      </c>
      <c r="E58" s="1">
        <v>0.94291243675786107</v>
      </c>
      <c r="G58" s="1">
        <v>0.99990466046647419</v>
      </c>
      <c r="H58" s="1">
        <v>1.6819967569186887</v>
      </c>
      <c r="I58" s="1">
        <v>0.580982500302483</v>
      </c>
      <c r="K58" s="1">
        <v>1.0000872639672209</v>
      </c>
      <c r="L58" s="1">
        <v>1.9120162445849711</v>
      </c>
      <c r="M58" s="1">
        <v>0.51004247686171633</v>
      </c>
      <c r="O58" s="1">
        <v>4.9515459984718682E-4</v>
      </c>
      <c r="P58" s="1">
        <v>0.99806252381874494</v>
      </c>
      <c r="R58" s="1">
        <v>6.8021432724667916E-2</v>
      </c>
      <c r="S58" s="2">
        <f t="shared" si="10"/>
        <v>0.17330590676856794</v>
      </c>
      <c r="T58" s="4">
        <f t="shared" si="12"/>
        <v>3.0034937320875563E-2</v>
      </c>
      <c r="U58" s="1">
        <f t="shared" si="13"/>
        <v>1.7837193380185745E-3</v>
      </c>
      <c r="V58" s="6">
        <f>2*sigma/alpha*corel*(B58/12-1/alpha*(1-EXP(-alpha*Output!B58/12)))</f>
        <v>3.6423982269144284E-2</v>
      </c>
      <c r="W58" s="5">
        <f t="shared" si="14"/>
        <v>-2.8251217982856989E-2</v>
      </c>
      <c r="X58" s="1">
        <f t="shared" si="15"/>
        <v>0.44392912154910236</v>
      </c>
      <c r="Y58" s="3">
        <f t="shared" si="4"/>
        <v>8.0407159165387709E-2</v>
      </c>
      <c r="Z58" s="1">
        <f t="shared" si="5"/>
        <v>8.7569941390394715E-2</v>
      </c>
      <c r="AA58" s="8">
        <f t="shared" si="11"/>
        <v>3.8333333333333357</v>
      </c>
      <c r="AB58" s="1">
        <v>3.9169999999999998</v>
      </c>
      <c r="AC58" s="1">
        <v>4.9997404359999995E-4</v>
      </c>
      <c r="AD58" s="8">
        <f t="shared" si="6"/>
        <v>4.8194437528131233E-2</v>
      </c>
      <c r="AE58" s="3">
        <f t="shared" si="7"/>
        <v>9.6393879132431089E-3</v>
      </c>
      <c r="AF58" s="11">
        <f t="shared" si="8"/>
        <v>3.8333333333333357</v>
      </c>
      <c r="AG58" s="1">
        <f t="shared" si="9"/>
        <v>8.7569941390394715E-2</v>
      </c>
    </row>
    <row r="59" spans="2:33" ht="15" x14ac:dyDescent="0.25">
      <c r="B59" s="1">
        <v>48</v>
      </c>
      <c r="C59" s="1">
        <v>1.0000121013276768</v>
      </c>
      <c r="D59" s="1">
        <v>1.0597280453760134</v>
      </c>
      <c r="E59" s="1">
        <v>0.94339060288374266</v>
      </c>
      <c r="G59" s="1">
        <v>0.99982920402127529</v>
      </c>
      <c r="H59" s="1">
        <v>1.6743313379343461</v>
      </c>
      <c r="I59" s="1">
        <v>0.58335695793959141</v>
      </c>
      <c r="K59" s="1">
        <v>1.0001274952533843</v>
      </c>
      <c r="L59" s="1">
        <v>1.8903734799611984</v>
      </c>
      <c r="M59" s="1">
        <v>0.51564533989377448</v>
      </c>
      <c r="O59" s="1">
        <v>4.9502341117598631E-4</v>
      </c>
      <c r="P59" s="1">
        <v>0.99802186544744165</v>
      </c>
      <c r="R59" s="1">
        <v>6.9133078694257499E-2</v>
      </c>
      <c r="S59" s="2">
        <f t="shared" si="10"/>
        <v>0.17616028052242749</v>
      </c>
      <c r="T59" s="4">
        <f t="shared" si="12"/>
        <v>3.1032444433740348E-2</v>
      </c>
      <c r="U59" s="1">
        <f t="shared" si="13"/>
        <v>1.8954053055892928E-3</v>
      </c>
      <c r="V59" s="6">
        <f>2*sigma/alpha*corel*(B59/12-1/alpha*(1-EXP(-alpha*Output!B59/12)))</f>
        <v>3.7949340519410457E-2</v>
      </c>
      <c r="W59" s="5">
        <f t="shared" si="14"/>
        <v>-2.9137039128151056E-2</v>
      </c>
      <c r="X59" s="1">
        <f t="shared" si="15"/>
        <v>0.4676327784962751</v>
      </c>
      <c r="Y59" s="3">
        <f t="shared" si="4"/>
        <v>8.0735933299866572E-2</v>
      </c>
      <c r="Z59" s="1">
        <f t="shared" si="5"/>
        <v>8.8080140261213746E-2</v>
      </c>
      <c r="AA59" s="8">
        <f t="shared" si="11"/>
        <v>3.9166666666666692</v>
      </c>
      <c r="AB59" s="1">
        <v>4</v>
      </c>
      <c r="AC59" s="1">
        <v>5.0001047999999998E-4</v>
      </c>
      <c r="AD59" s="8">
        <f t="shared" si="6"/>
        <v>4.9870688240136796E-2</v>
      </c>
      <c r="AE59" s="3">
        <f t="shared" si="7"/>
        <v>9.9739285944840193E-3</v>
      </c>
      <c r="AF59" s="11">
        <f t="shared" si="8"/>
        <v>3.9166666666666692</v>
      </c>
      <c r="AG59" s="1">
        <f t="shared" si="9"/>
        <v>8.8080140261213746E-2</v>
      </c>
    </row>
    <row r="60" spans="2:33" ht="15" x14ac:dyDescent="0.25">
      <c r="B60" s="1">
        <v>49</v>
      </c>
      <c r="C60" s="1">
        <v>1.0000139652143776</v>
      </c>
      <c r="D60" s="1">
        <v>1.0585799781308571</v>
      </c>
      <c r="E60" s="1">
        <v>0.94440945829173206</v>
      </c>
      <c r="G60" s="1">
        <v>0.99991529255886036</v>
      </c>
      <c r="H60" s="1">
        <v>1.6583792278066902</v>
      </c>
      <c r="I60" s="1">
        <v>0.58868035583663458</v>
      </c>
      <c r="K60" s="1">
        <v>1.0001311285614218</v>
      </c>
      <c r="L60" s="1">
        <v>1.9246443115339802</v>
      </c>
      <c r="M60" s="1">
        <v>0.50618382071496559</v>
      </c>
      <c r="O60" s="1">
        <v>4.9491646810512387E-4</v>
      </c>
      <c r="P60" s="1">
        <v>0.99798113175008973</v>
      </c>
      <c r="R60" s="1">
        <v>6.9993206923200088E-2</v>
      </c>
      <c r="S60" s="2">
        <f t="shared" si="10"/>
        <v>0.17838156576563241</v>
      </c>
      <c r="T60" s="4">
        <f t="shared" si="12"/>
        <v>3.1819983004998643E-2</v>
      </c>
      <c r="U60" s="1">
        <f t="shared" si="13"/>
        <v>2.0114660249475058E-3</v>
      </c>
      <c r="V60" s="6">
        <f>2*sigma/alpha*corel*(B60/12-1/alpha*(1-EXP(-alpha*Output!B60/12)))</f>
        <v>3.9504287123079018E-2</v>
      </c>
      <c r="W60" s="5">
        <f t="shared" si="14"/>
        <v>-2.9808516980051138E-2</v>
      </c>
      <c r="X60" s="1">
        <f t="shared" si="15"/>
        <v>0.48843303270860455</v>
      </c>
      <c r="Y60" s="3">
        <f t="shared" si="4"/>
        <v>8.073986378842514E-2</v>
      </c>
      <c r="Z60" s="1">
        <f t="shared" si="5"/>
        <v>8.8275981439932691E-2</v>
      </c>
      <c r="AA60" s="8">
        <f t="shared" si="11"/>
        <v>4.0000000000000027</v>
      </c>
      <c r="AB60" s="1">
        <v>4.0830000000000002</v>
      </c>
      <c r="AC60" s="1">
        <v>5.0006252099999999E-4</v>
      </c>
      <c r="AD60" s="8">
        <f t="shared" si="6"/>
        <v>5.1460528948761228E-2</v>
      </c>
      <c r="AE60" s="3">
        <f t="shared" si="7"/>
        <v>1.0290819005162204E-2</v>
      </c>
      <c r="AF60" s="11">
        <f t="shared" si="8"/>
        <v>4.0000000000000027</v>
      </c>
      <c r="AG60" s="1">
        <f t="shared" si="9"/>
        <v>8.8275981439932691E-2</v>
      </c>
    </row>
    <row r="61" spans="2:33" ht="15" x14ac:dyDescent="0.25">
      <c r="B61" s="1">
        <v>50</v>
      </c>
      <c r="C61" s="1">
        <v>1.0000157746981237</v>
      </c>
      <c r="D61" s="1">
        <v>1.0596974423446339</v>
      </c>
      <c r="E61" s="1">
        <v>0.94340931701693242</v>
      </c>
      <c r="G61" s="1">
        <v>0.99999970755922407</v>
      </c>
      <c r="H61" s="1">
        <v>1.6725468717746175</v>
      </c>
      <c r="I61" s="1">
        <v>0.58340845975197508</v>
      </c>
      <c r="K61" s="1">
        <v>1.0000606221402255</v>
      </c>
      <c r="L61" s="1">
        <v>1.9204880792191614</v>
      </c>
      <c r="M61" s="1">
        <v>0.50701470576090846</v>
      </c>
      <c r="O61" s="1">
        <v>4.9478045581434547E-4</v>
      </c>
      <c r="P61" s="1">
        <v>0.99794053837469265</v>
      </c>
      <c r="R61" s="1">
        <v>7.0590490312014573E-2</v>
      </c>
      <c r="S61" s="2">
        <f t="shared" si="10"/>
        <v>0.17994071009565377</v>
      </c>
      <c r="T61" s="4">
        <f t="shared" si="12"/>
        <v>3.2378659149728116E-2</v>
      </c>
      <c r="U61" s="1">
        <f t="shared" si="13"/>
        <v>2.1319705640627795E-3</v>
      </c>
      <c r="V61" s="6">
        <f>2*sigma/alpha*corel*(B61/12-1/alpha*(1-EXP(-alpha*Output!B61/12)))</f>
        <v>4.1088723616502509E-2</v>
      </c>
      <c r="W61" s="5">
        <f t="shared" si="14"/>
        <v>-3.0246688585665336E-2</v>
      </c>
      <c r="X61" s="1">
        <f t="shared" si="15"/>
        <v>0.50579975963618884</v>
      </c>
      <c r="Y61" s="3">
        <f t="shared" si="4"/>
        <v>8.0412873943880275E-2</v>
      </c>
      <c r="Z61" s="1">
        <f t="shared" si="5"/>
        <v>8.8152584737685072E-2</v>
      </c>
      <c r="AA61" s="8">
        <f t="shared" si="11"/>
        <v>4.0833333333333357</v>
      </c>
      <c r="AB61" s="1">
        <v>4.1669999999999998</v>
      </c>
      <c r="AC61" s="1">
        <v>5.0013054870000004E-4</v>
      </c>
      <c r="AD61" s="8">
        <f t="shared" si="6"/>
        <v>5.3500928856545657E-2</v>
      </c>
      <c r="AE61" s="3">
        <f t="shared" si="7"/>
        <v>1.0697392709885799E-2</v>
      </c>
      <c r="AF61" s="11">
        <f t="shared" si="8"/>
        <v>4.0833333333333357</v>
      </c>
      <c r="AG61" s="1">
        <f t="shared" si="9"/>
        <v>8.8152584737685072E-2</v>
      </c>
    </row>
    <row r="62" spans="2:33" ht="15" x14ac:dyDescent="0.25">
      <c r="B62" s="1">
        <v>51</v>
      </c>
      <c r="C62" s="1">
        <v>1.0000168456467848</v>
      </c>
      <c r="D62" s="1">
        <v>1.0620431880857435</v>
      </c>
      <c r="E62" s="1">
        <v>0.94132138987029634</v>
      </c>
      <c r="G62" s="1">
        <v>1.0000249952146494</v>
      </c>
      <c r="H62" s="1">
        <v>1.7047657331829462</v>
      </c>
      <c r="I62" s="1">
        <v>0.57210265210984668</v>
      </c>
      <c r="K62" s="1">
        <v>1.0001054443609025</v>
      </c>
      <c r="L62" s="1">
        <v>1.9596189882432236</v>
      </c>
      <c r="M62" s="1">
        <v>0.49660058712794541</v>
      </c>
      <c r="O62" s="1">
        <v>4.9468627503066983E-4</v>
      </c>
      <c r="P62" s="1">
        <v>0.99789979186102329</v>
      </c>
      <c r="R62" s="1">
        <v>7.1559080175179313E-2</v>
      </c>
      <c r="S62" s="2">
        <f t="shared" si="10"/>
        <v>0.18243586356901709</v>
      </c>
      <c r="T62" s="4">
        <f t="shared" si="12"/>
        <v>3.3282844316173017E-2</v>
      </c>
      <c r="U62" s="1">
        <f t="shared" si="13"/>
        <v>2.2569872054103435E-3</v>
      </c>
      <c r="V62" s="6">
        <f>2*sigma/alpha*corel*(B62/12-1/alpha*(1-EXP(-alpha*Output!B62/12)))</f>
        <v>4.270255186369909E-2</v>
      </c>
      <c r="W62" s="5">
        <f t="shared" si="14"/>
        <v>-3.1025857110762674E-2</v>
      </c>
      <c r="X62" s="1">
        <f t="shared" si="15"/>
        <v>0.52926307881863732</v>
      </c>
      <c r="Y62" s="3">
        <f t="shared" si="4"/>
        <v>8.056495781968287E-2</v>
      </c>
      <c r="Z62" s="1">
        <f t="shared" si="5"/>
        <v>8.8494392399509458E-2</v>
      </c>
      <c r="AA62" s="8">
        <f t="shared" si="11"/>
        <v>4.1666666666666687</v>
      </c>
      <c r="AB62" s="1">
        <v>4.25</v>
      </c>
      <c r="AC62" s="1">
        <v>5.0020913689999996E-4</v>
      </c>
      <c r="AD62" s="8">
        <f t="shared" si="6"/>
        <v>5.5228618693301285E-2</v>
      </c>
      <c r="AE62" s="3">
        <f t="shared" si="7"/>
        <v>1.1041105533492563E-2</v>
      </c>
      <c r="AF62" s="11">
        <f t="shared" si="8"/>
        <v>4.1666666666666687</v>
      </c>
      <c r="AG62" s="1">
        <f t="shared" si="9"/>
        <v>8.8494392399509458E-2</v>
      </c>
    </row>
    <row r="63" spans="2:33" ht="15" x14ac:dyDescent="0.25">
      <c r="B63" s="1">
        <v>52</v>
      </c>
      <c r="C63" s="1">
        <v>1.0000174878761605</v>
      </c>
      <c r="D63" s="1">
        <v>1.0623799378003183</v>
      </c>
      <c r="E63" s="1">
        <v>0.94101883555503985</v>
      </c>
      <c r="G63" s="1">
        <v>1.0000126728015886</v>
      </c>
      <c r="H63" s="1">
        <v>1.7091663025240942</v>
      </c>
      <c r="I63" s="1">
        <v>0.57035074955446008</v>
      </c>
      <c r="K63" s="1">
        <v>1.0001723905530551</v>
      </c>
      <c r="L63" s="1">
        <v>1.9837366404191856</v>
      </c>
      <c r="M63" s="1">
        <v>0.49033389857036153</v>
      </c>
      <c r="O63" s="1">
        <v>4.9456841348031436E-4</v>
      </c>
      <c r="P63" s="1">
        <v>0.99785916507121497</v>
      </c>
      <c r="R63" s="1">
        <v>7.2504635862143035E-2</v>
      </c>
      <c r="S63" s="2">
        <f t="shared" si="10"/>
        <v>0.184873190113366</v>
      </c>
      <c r="T63" s="4">
        <f t="shared" si="12"/>
        <v>3.4178096422692768E-2</v>
      </c>
      <c r="U63" s="1">
        <f t="shared" si="13"/>
        <v>2.3865834522722729E-3</v>
      </c>
      <c r="V63" s="6">
        <f>2*sigma/alpha*corel*(B63/12-1/alpha*(1-EXP(-alpha*Output!B63/12)))</f>
        <v>4.434567405526274E-2</v>
      </c>
      <c r="W63" s="5">
        <f t="shared" si="14"/>
        <v>-3.1791512970420495E-2</v>
      </c>
      <c r="X63" s="1">
        <f t="shared" si="15"/>
        <v>0.55301943029470424</v>
      </c>
      <c r="Y63" s="3">
        <f t="shared" si="4"/>
        <v>8.0689279367724978E-2</v>
      </c>
      <c r="Z63" s="1">
        <f t="shared" si="5"/>
        <v>8.8810207862730556E-2</v>
      </c>
      <c r="AA63" s="8">
        <f t="shared" si="11"/>
        <v>4.2500000000000018</v>
      </c>
      <c r="AB63" s="1">
        <v>4.3330000000000002</v>
      </c>
      <c r="AC63" s="1">
        <v>5.0029140719999999E-4</v>
      </c>
      <c r="AD63" s="8">
        <f t="shared" si="6"/>
        <v>5.7229937196856366E-2</v>
      </c>
      <c r="AE63" s="3">
        <f t="shared" si="7"/>
        <v>1.1439320438693388E-2</v>
      </c>
      <c r="AF63" s="11">
        <f t="shared" si="8"/>
        <v>4.2500000000000018</v>
      </c>
      <c r="AG63" s="1">
        <f t="shared" si="9"/>
        <v>8.8810207862730556E-2</v>
      </c>
    </row>
    <row r="64" spans="2:33" ht="15" x14ac:dyDescent="0.25">
      <c r="B64" s="1">
        <v>53</v>
      </c>
      <c r="C64" s="1">
        <v>1.0000191898652255</v>
      </c>
      <c r="D64" s="1">
        <v>1.0631056696928394</v>
      </c>
      <c r="E64" s="1">
        <v>0.94037230185650889</v>
      </c>
      <c r="G64" s="1">
        <v>1.0000791693971016</v>
      </c>
      <c r="H64" s="1">
        <v>1.7196910177324414</v>
      </c>
      <c r="I64" s="1">
        <v>0.56658308785421652</v>
      </c>
      <c r="K64" s="1">
        <v>1.0001574234524566</v>
      </c>
      <c r="L64" s="1">
        <v>1.9447755707275274</v>
      </c>
      <c r="M64" s="1">
        <v>0.4998826533863861</v>
      </c>
      <c r="O64" s="1">
        <v>4.9462365897705936E-4</v>
      </c>
      <c r="P64" s="1">
        <v>0.99781779664815728</v>
      </c>
      <c r="R64" s="1">
        <v>7.3128206211420868E-2</v>
      </c>
      <c r="S64" s="2">
        <f t="shared" si="10"/>
        <v>0.18650031351864643</v>
      </c>
      <c r="T64" s="4">
        <f t="shared" si="12"/>
        <v>3.4782366942553412E-2</v>
      </c>
      <c r="U64" s="1">
        <f t="shared" si="13"/>
        <v>2.5208260350000344E-3</v>
      </c>
      <c r="V64" s="6">
        <f>2*sigma/alpha*corel*(B64/12-1/alpha*(1-EXP(-alpha*Output!B64/12)))</f>
        <v>4.6017992707275468E-2</v>
      </c>
      <c r="W64" s="5">
        <f t="shared" si="14"/>
        <v>-3.2261540907553378E-2</v>
      </c>
      <c r="X64" s="1">
        <f t="shared" si="15"/>
        <v>0.57207154501958324</v>
      </c>
      <c r="Y64" s="3">
        <f t="shared" si="4"/>
        <v>8.0415409901902268E-2</v>
      </c>
      <c r="Z64" s="1">
        <f t="shared" si="5"/>
        <v>8.874262162373614E-2</v>
      </c>
      <c r="AA64" s="8">
        <f t="shared" si="11"/>
        <v>4.3333333333333348</v>
      </c>
      <c r="AB64" s="1">
        <v>4.4169999999999998</v>
      </c>
      <c r="AC64" s="1">
        <v>5.0037048119999997E-4</v>
      </c>
      <c r="AD64" s="8">
        <f t="shared" si="6"/>
        <v>5.7468222229406077E-2</v>
      </c>
      <c r="AE64" s="3">
        <f t="shared" si="7"/>
        <v>1.1485134393136955E-2</v>
      </c>
      <c r="AF64" s="11">
        <f t="shared" si="8"/>
        <v>4.3333333333333348</v>
      </c>
      <c r="AG64" s="1">
        <f t="shared" si="9"/>
        <v>8.874262162373614E-2</v>
      </c>
    </row>
    <row r="65" spans="2:33" ht="15" x14ac:dyDescent="0.25">
      <c r="B65" s="1">
        <v>54</v>
      </c>
      <c r="C65" s="1">
        <v>1.0000206420057496</v>
      </c>
      <c r="D65" s="1">
        <v>1.062040446785997</v>
      </c>
      <c r="E65" s="1">
        <v>0.94131137246003926</v>
      </c>
      <c r="G65" s="1">
        <v>1.000126080754081</v>
      </c>
      <c r="H65" s="1">
        <v>1.7045136127575309</v>
      </c>
      <c r="I65" s="1">
        <v>0.57134873237097916</v>
      </c>
      <c r="K65" s="1">
        <v>1.0001427269923051</v>
      </c>
      <c r="L65" s="1">
        <v>1.9699730128246893</v>
      </c>
      <c r="M65" s="1">
        <v>0.49321691766966996</v>
      </c>
      <c r="O65" s="1">
        <v>4.9448223165153256E-4</v>
      </c>
      <c r="P65" s="1">
        <v>0.99777730381317031</v>
      </c>
      <c r="R65" s="1">
        <v>7.3929104997339096E-2</v>
      </c>
      <c r="S65" s="2">
        <f t="shared" si="10"/>
        <v>0.18857345002161402</v>
      </c>
      <c r="T65" s="4">
        <f t="shared" si="12"/>
        <v>3.555994605305416E-2</v>
      </c>
      <c r="U65" s="1">
        <f t="shared" si="13"/>
        <v>2.6597809172317355E-3</v>
      </c>
      <c r="V65" s="6">
        <f>2*sigma/alpha*corel*(B65/12-1/alpha*(1-EXP(-alpha*Output!B65/12)))</f>
        <v>4.7719410660225003E-2</v>
      </c>
      <c r="W65" s="5">
        <f t="shared" si="14"/>
        <v>-3.2900165135822425E-2</v>
      </c>
      <c r="X65" s="1">
        <f t="shared" si="15"/>
        <v>0.59448011459856276</v>
      </c>
      <c r="Y65" s="3">
        <f t="shared" si="4"/>
        <v>8.0367328341048816E-2</v>
      </c>
      <c r="Z65" s="1">
        <f t="shared" si="5"/>
        <v>8.8894376841350528E-2</v>
      </c>
      <c r="AA65" s="8">
        <f t="shared" si="11"/>
        <v>4.4166666666666679</v>
      </c>
      <c r="AB65" s="1">
        <v>4.5</v>
      </c>
      <c r="AC65" s="1">
        <v>5.0043948069999997E-4</v>
      </c>
      <c r="AD65" s="8">
        <f t="shared" si="6"/>
        <v>5.957249048467407E-2</v>
      </c>
      <c r="AE65" s="3">
        <f t="shared" si="7"/>
        <v>1.1904034909744897E-2</v>
      </c>
      <c r="AF65" s="11">
        <f t="shared" si="8"/>
        <v>4.4166666666666679</v>
      </c>
      <c r="AG65" s="1">
        <f t="shared" si="9"/>
        <v>8.8894376841350528E-2</v>
      </c>
    </row>
    <row r="66" spans="2:33" ht="15" x14ac:dyDescent="0.25">
      <c r="B66" s="1">
        <v>55</v>
      </c>
      <c r="C66" s="1">
        <v>1.0000221328983308</v>
      </c>
      <c r="D66" s="1">
        <v>1.0639402939905718</v>
      </c>
      <c r="E66" s="1">
        <v>0.93962641845959038</v>
      </c>
      <c r="G66" s="1">
        <v>1.0001759710863614</v>
      </c>
      <c r="H66" s="1">
        <v>1.7308187813893388</v>
      </c>
      <c r="I66" s="1">
        <v>0.5623903717524269</v>
      </c>
      <c r="K66" s="1">
        <v>1.0001467372893822</v>
      </c>
      <c r="L66" s="1">
        <v>2.0146404037344472</v>
      </c>
      <c r="M66" s="1">
        <v>0.48200399033156183</v>
      </c>
      <c r="O66" s="1">
        <v>4.9440097315032821E-4</v>
      </c>
      <c r="P66" s="1">
        <v>0.9977365609896951</v>
      </c>
      <c r="R66" s="1">
        <v>7.4764962774629892E-2</v>
      </c>
      <c r="S66" s="2">
        <f t="shared" si="10"/>
        <v>0.1907353426157643</v>
      </c>
      <c r="T66" s="4">
        <f t="shared" si="12"/>
        <v>3.6379970922752997E-2</v>
      </c>
      <c r="U66" s="1">
        <f t="shared" si="13"/>
        <v>2.8035133020591907E-3</v>
      </c>
      <c r="V66" s="6">
        <f>2*sigma/alpha*corel*(B66/12-1/alpha*(1-EXP(-alpha*Output!B66/12)))</f>
        <v>4.9449831077924777E-2</v>
      </c>
      <c r="W66" s="5">
        <f t="shared" si="14"/>
        <v>-3.3576457620693806E-2</v>
      </c>
      <c r="X66" s="1">
        <f t="shared" si="15"/>
        <v>0.61801367550635511</v>
      </c>
      <c r="Y66" s="3">
        <f t="shared" si="4"/>
        <v>8.0366032052822778E-2</v>
      </c>
      <c r="Z66" s="1">
        <f t="shared" si="5"/>
        <v>8.9092357704395317E-2</v>
      </c>
      <c r="AA66" s="8">
        <f t="shared" si="11"/>
        <v>4.5000000000000009</v>
      </c>
      <c r="AB66" s="1">
        <v>4.5830000000000002</v>
      </c>
      <c r="AC66" s="1">
        <v>5.0049152719999995E-4</v>
      </c>
      <c r="AD66" s="8">
        <f t="shared" si="6"/>
        <v>6.0905540496717467E-2</v>
      </c>
      <c r="AE66" s="3">
        <f t="shared" si="7"/>
        <v>1.2169145167642205E-2</v>
      </c>
      <c r="AF66" s="11">
        <f t="shared" si="8"/>
        <v>4.5000000000000009</v>
      </c>
      <c r="AG66" s="1">
        <f t="shared" si="9"/>
        <v>8.9092357704395317E-2</v>
      </c>
    </row>
    <row r="67" spans="2:33" ht="15" x14ac:dyDescent="0.25">
      <c r="B67" s="1">
        <v>56</v>
      </c>
      <c r="C67" s="1">
        <v>1.000023333113115</v>
      </c>
      <c r="D67" s="1">
        <v>1.0665847982748748</v>
      </c>
      <c r="E67" s="1">
        <v>0.9372926540406944</v>
      </c>
      <c r="G67" s="1">
        <v>1.0002048373614933</v>
      </c>
      <c r="H67" s="1">
        <v>1.7556190257685078</v>
      </c>
      <c r="I67" s="1">
        <v>0.55417502822676878</v>
      </c>
      <c r="K67" s="1">
        <v>1.0001500229193701</v>
      </c>
      <c r="L67" s="1">
        <v>1.9924462576990964</v>
      </c>
      <c r="M67" s="1">
        <v>0.48715252578691326</v>
      </c>
      <c r="O67" s="1">
        <v>4.9434141520499509E-4</v>
      </c>
      <c r="P67" s="1">
        <v>0.99769573230585895</v>
      </c>
      <c r="R67" s="1">
        <v>7.5623759581000927E-2</v>
      </c>
      <c r="S67" s="2">
        <f t="shared" si="10"/>
        <v>0.19295549944168267</v>
      </c>
      <c r="T67" s="4">
        <f t="shared" si="12"/>
        <v>3.7231824764789201E-2</v>
      </c>
      <c r="U67" s="1">
        <f t="shared" si="13"/>
        <v>2.952087638155021E-3</v>
      </c>
      <c r="V67" s="6">
        <f>2*sigma/alpha*corel*(B67/12-1/alpha*(1-EXP(-alpha*Output!B67/12)))</f>
        <v>5.1209157446438947E-2</v>
      </c>
      <c r="W67" s="5">
        <f t="shared" si="14"/>
        <v>-3.427973712663418E-2</v>
      </c>
      <c r="X67" s="1">
        <f t="shared" si="15"/>
        <v>0.64251080417021222</v>
      </c>
      <c r="Y67" s="3">
        <f t="shared" si="4"/>
        <v>8.0395559900947544E-2</v>
      </c>
      <c r="Z67" s="1">
        <f t="shared" si="5"/>
        <v>8.9321039872380562E-2</v>
      </c>
      <c r="AA67" s="8">
        <f t="shared" si="11"/>
        <v>4.5833333333333339</v>
      </c>
      <c r="AB67" s="1">
        <v>4.6669999999999998</v>
      </c>
      <c r="AC67" s="1">
        <v>5.0051974159999999E-4</v>
      </c>
      <c r="AD67" s="8">
        <f t="shared" si="6"/>
        <v>6.178326395004903E-2</v>
      </c>
      <c r="AE67" s="3">
        <f t="shared" si="7"/>
        <v>1.2343821594838175E-2</v>
      </c>
      <c r="AF67" s="11">
        <f t="shared" si="8"/>
        <v>4.5833333333333339</v>
      </c>
      <c r="AG67" s="1">
        <f t="shared" si="9"/>
        <v>8.9321039872380562E-2</v>
      </c>
    </row>
    <row r="68" spans="2:33" ht="15" x14ac:dyDescent="0.25">
      <c r="B68" s="1">
        <v>57</v>
      </c>
      <c r="C68" s="1">
        <v>1.0000248204623294</v>
      </c>
      <c r="D68" s="1">
        <v>1.0645894013742585</v>
      </c>
      <c r="E68" s="1">
        <v>0.93904543249803918</v>
      </c>
      <c r="G68" s="1">
        <v>1.0002517924374814</v>
      </c>
      <c r="H68" s="1">
        <v>1.7362726674562619</v>
      </c>
      <c r="I68" s="1">
        <v>0.56007614736527755</v>
      </c>
      <c r="K68" s="1">
        <v>1.0001642254102689</v>
      </c>
      <c r="L68" s="1">
        <v>1.9578427003924685</v>
      </c>
      <c r="M68" s="1">
        <v>0.49547217759041362</v>
      </c>
      <c r="O68" s="1">
        <v>4.9423393807769946E-4</v>
      </c>
      <c r="P68" s="1">
        <v>0.99765514227819307</v>
      </c>
      <c r="R68" s="1">
        <v>7.6543365211949141E-2</v>
      </c>
      <c r="S68" s="2">
        <f t="shared" si="10"/>
        <v>0.19532900690323524</v>
      </c>
      <c r="T68" s="4">
        <f t="shared" si="12"/>
        <v>3.8153420937804119E-2</v>
      </c>
      <c r="U68" s="1">
        <f t="shared" si="13"/>
        <v>3.1055676258544551E-3</v>
      </c>
      <c r="V68" s="6">
        <f>2*sigma/alpha*corel*(B68/12-1/alpha*(1-EXP(-alpha*Output!B68/12)))</f>
        <v>5.2997293573007198E-2</v>
      </c>
      <c r="W68" s="5">
        <f t="shared" si="14"/>
        <v>-3.5047853311949664E-2</v>
      </c>
      <c r="X68" s="1">
        <f t="shared" si="15"/>
        <v>0.66871792605310709</v>
      </c>
      <c r="Y68" s="3">
        <f t="shared" si="4"/>
        <v>8.0500469189295931E-2</v>
      </c>
      <c r="Z68" s="1">
        <f t="shared" si="5"/>
        <v>8.9623094929827465E-2</v>
      </c>
      <c r="AA68" s="8">
        <f t="shared" si="11"/>
        <v>4.666666666666667</v>
      </c>
      <c r="AB68" s="1">
        <v>4.75</v>
      </c>
      <c r="AC68" s="1">
        <v>5.0051724119999999E-4</v>
      </c>
      <c r="AD68" s="8">
        <f t="shared" si="6"/>
        <v>6.2833031223005292E-2</v>
      </c>
      <c r="AE68" s="3">
        <f t="shared" si="7"/>
        <v>1.2553619745917614E-2</v>
      </c>
      <c r="AF68" s="11">
        <f t="shared" si="8"/>
        <v>4.666666666666667</v>
      </c>
      <c r="AG68" s="1">
        <f t="shared" si="9"/>
        <v>8.9623094929827465E-2</v>
      </c>
    </row>
    <row r="69" spans="2:33" ht="15" x14ac:dyDescent="0.25">
      <c r="B69" s="1">
        <v>58</v>
      </c>
      <c r="C69" s="1">
        <v>1.0000255205342736</v>
      </c>
      <c r="D69" s="1">
        <v>1.0646030605476011</v>
      </c>
      <c r="E69" s="1">
        <v>0.93902939208886349</v>
      </c>
      <c r="G69" s="1">
        <v>1.0002364833647801</v>
      </c>
      <c r="H69" s="1">
        <v>1.7268252194653997</v>
      </c>
      <c r="I69" s="1">
        <v>0.56286522673241501</v>
      </c>
      <c r="K69" s="1">
        <v>1.0002272511846793</v>
      </c>
      <c r="L69" s="1">
        <v>1.9422840660489289</v>
      </c>
      <c r="M69" s="1">
        <v>0.49917352381949304</v>
      </c>
      <c r="O69" s="1">
        <v>4.9404068857879756E-4</v>
      </c>
      <c r="P69" s="1">
        <v>0.99761498534963722</v>
      </c>
      <c r="R69" s="1">
        <v>7.7357032331065265E-2</v>
      </c>
      <c r="S69" s="2">
        <f t="shared" si="10"/>
        <v>0.19743511551462761</v>
      </c>
      <c r="T69" s="4">
        <f t="shared" si="12"/>
        <v>3.8980624838274351E-2</v>
      </c>
      <c r="U69" s="1">
        <f t="shared" si="13"/>
        <v>3.2640162231931669E-3</v>
      </c>
      <c r="V69" s="6">
        <f>2*sigma/alpha*corel*(B69/12-1/alpha*(1-EXP(-alpha*Output!B69/12)))</f>
        <v>5.4814143584980157E-2</v>
      </c>
      <c r="W69" s="5">
        <f t="shared" si="14"/>
        <v>-3.5716608615081184E-2</v>
      </c>
      <c r="X69" s="1">
        <f t="shared" si="15"/>
        <v>0.69352569022852439</v>
      </c>
      <c r="Y69" s="3">
        <f t="shared" si="4"/>
        <v>8.0479422907291071E-2</v>
      </c>
      <c r="Z69" s="1">
        <f t="shared" si="5"/>
        <v>8.9805104883248402E-2</v>
      </c>
      <c r="AA69" s="8">
        <f t="shared" si="11"/>
        <v>4.75</v>
      </c>
      <c r="AB69" s="1">
        <v>4.8330000000000002</v>
      </c>
      <c r="AC69" s="1">
        <v>5.0047714240000003E-4</v>
      </c>
      <c r="AD69" s="8">
        <f t="shared" si="6"/>
        <v>6.4364538212024772E-2</v>
      </c>
      <c r="AE69" s="3">
        <f t="shared" si="7"/>
        <v>1.2860634933969118E-2</v>
      </c>
      <c r="AF69" s="11">
        <f t="shared" si="8"/>
        <v>4.75</v>
      </c>
      <c r="AG69" s="1">
        <f t="shared" si="9"/>
        <v>8.9805104883248402E-2</v>
      </c>
    </row>
    <row r="70" spans="2:33" ht="15" x14ac:dyDescent="0.25">
      <c r="B70" s="1">
        <v>59</v>
      </c>
      <c r="C70" s="1">
        <v>1.0000265233387504</v>
      </c>
      <c r="D70" s="1">
        <v>1.065937538721321</v>
      </c>
      <c r="E70" s="1">
        <v>0.93784983524425258</v>
      </c>
      <c r="G70" s="1">
        <v>1.0002437945281857</v>
      </c>
      <c r="H70" s="1">
        <v>1.7463122443983543</v>
      </c>
      <c r="I70" s="1">
        <v>0.55631237303543002</v>
      </c>
      <c r="K70" s="1">
        <v>1.000212049881839</v>
      </c>
      <c r="L70" s="1">
        <v>1.9770195999394657</v>
      </c>
      <c r="M70" s="1">
        <v>0.49015175024733371</v>
      </c>
      <c r="O70" s="1">
        <v>4.9381933109193072E-4</v>
      </c>
      <c r="P70" s="1">
        <v>0.99757500003005906</v>
      </c>
      <c r="R70" s="1">
        <v>7.8224862787774616E-2</v>
      </c>
      <c r="S70" s="2">
        <f t="shared" si="10"/>
        <v>0.19967791656782768</v>
      </c>
      <c r="T70" s="4">
        <f t="shared" si="12"/>
        <v>3.9871270364868351E-2</v>
      </c>
      <c r="U70" s="1">
        <f t="shared" si="13"/>
        <v>3.4274956518998145E-3</v>
      </c>
      <c r="V70" s="6">
        <f>2*sigma/alpha*corel*(B70/12-1/alpha*(1-EXP(-alpha*Output!B70/12)))</f>
        <v>5.6659611928750686E-2</v>
      </c>
      <c r="W70" s="5">
        <f t="shared" si="14"/>
        <v>-3.6443774712968537E-2</v>
      </c>
      <c r="X70" s="1">
        <f t="shared" si="15"/>
        <v>0.71993788097896438</v>
      </c>
      <c r="Y70" s="3">
        <f t="shared" si="4"/>
        <v>8.0525280073360475E-2</v>
      </c>
      <c r="Z70" s="1">
        <f t="shared" si="5"/>
        <v>9.0052267720852758E-2</v>
      </c>
      <c r="AA70" s="8">
        <f t="shared" si="11"/>
        <v>4.833333333333333</v>
      </c>
      <c r="AB70" s="1">
        <v>4.9169999999999998</v>
      </c>
      <c r="AC70" s="1">
        <v>5.0039256169999999E-4</v>
      </c>
      <c r="AD70" s="8">
        <f t="shared" si="6"/>
        <v>6.5732306080692679E-2</v>
      </c>
      <c r="AE70" s="3">
        <f t="shared" si="7"/>
        <v>1.3136147719178353E-2</v>
      </c>
      <c r="AF70" s="11">
        <f t="shared" si="8"/>
        <v>4.833333333333333</v>
      </c>
      <c r="AG70" s="1">
        <f t="shared" si="9"/>
        <v>9.0052267720852758E-2</v>
      </c>
    </row>
    <row r="71" spans="2:33" ht="15" x14ac:dyDescent="0.25">
      <c r="B71" s="1">
        <v>60</v>
      </c>
      <c r="C71" s="1">
        <v>1.00002816109209</v>
      </c>
      <c r="D71" s="1">
        <v>1.0688253353580184</v>
      </c>
      <c r="E71" s="1">
        <v>0.93531199322283309</v>
      </c>
      <c r="G71" s="1">
        <v>1.0003022274594853</v>
      </c>
      <c r="H71" s="1">
        <v>1.7895373601476829</v>
      </c>
      <c r="I71" s="1">
        <v>0.54260986499472941</v>
      </c>
      <c r="K71" s="1">
        <v>1.0001860525339745</v>
      </c>
      <c r="L71" s="1">
        <v>1.953499840451367</v>
      </c>
      <c r="M71" s="1">
        <v>0.4957836036637171</v>
      </c>
      <c r="O71" s="1">
        <v>4.9344596409322053E-4</v>
      </c>
      <c r="P71" s="1">
        <v>0.99753581128947422</v>
      </c>
      <c r="R71" s="1">
        <v>7.9024241301153472E-2</v>
      </c>
      <c r="S71" s="2">
        <f t="shared" si="10"/>
        <v>0.20174729652392726</v>
      </c>
      <c r="T71" s="4">
        <f t="shared" si="12"/>
        <v>4.0701971654713433E-2</v>
      </c>
      <c r="U71" s="1">
        <f t="shared" si="13"/>
        <v>3.5960674033503892E-3</v>
      </c>
      <c r="V71" s="6">
        <f>2*sigma/alpha*corel*(B71/12-1/alpha*(1-EXP(-alpha*Output!B71/12)))</f>
        <v>5.8533603368693177E-2</v>
      </c>
      <c r="W71" s="5">
        <f t="shared" si="14"/>
        <v>-3.7105904251363044E-2</v>
      </c>
      <c r="X71" s="1">
        <f t="shared" si="15"/>
        <v>0.74554426775058436</v>
      </c>
      <c r="Y71" s="3">
        <f t="shared" si="4"/>
        <v>8.0491544999264114E-2</v>
      </c>
      <c r="Z71" s="1">
        <f t="shared" si="5"/>
        <v>9.0224133860861672E-2</v>
      </c>
      <c r="AA71" s="8">
        <f t="shared" si="11"/>
        <v>4.9166666666666661</v>
      </c>
      <c r="AB71" s="1">
        <v>5</v>
      </c>
      <c r="AC71" s="1">
        <v>5.0025661549999996E-4</v>
      </c>
      <c r="AD71" s="8">
        <f t="shared" si="6"/>
        <v>6.8106514067794263E-2</v>
      </c>
      <c r="AE71" s="3">
        <f t="shared" si="7"/>
        <v>1.361431552478775E-2</v>
      </c>
      <c r="AF71" s="11">
        <f t="shared" si="8"/>
        <v>4.9166666666666661</v>
      </c>
      <c r="AG71" s="1">
        <f t="shared" si="9"/>
        <v>9.0224133860861672E-2</v>
      </c>
    </row>
    <row r="72" spans="2:33" ht="15" x14ac:dyDescent="0.25">
      <c r="B72" s="1">
        <v>61</v>
      </c>
      <c r="C72" s="1">
        <v>1.0000287755171713</v>
      </c>
      <c r="D72" s="1">
        <v>1.0714104467022334</v>
      </c>
      <c r="E72" s="1">
        <v>0.93305137972447527</v>
      </c>
      <c r="G72" s="1">
        <v>1.0002711529047066</v>
      </c>
      <c r="H72" s="1">
        <v>1.827163288641974</v>
      </c>
      <c r="I72" s="1">
        <v>0.53117662000735755</v>
      </c>
      <c r="K72" s="1">
        <v>1.0001175103859516</v>
      </c>
      <c r="L72" s="1">
        <v>1.9456788042429454</v>
      </c>
      <c r="M72" s="1">
        <v>0.49748239928114757</v>
      </c>
      <c r="O72" s="1">
        <v>4.931221136610178E-4</v>
      </c>
      <c r="P72" s="1">
        <v>0.9974964350813611</v>
      </c>
      <c r="R72" s="1">
        <v>7.9758324388012322E-2</v>
      </c>
      <c r="S72" s="2">
        <f t="shared" si="10"/>
        <v>0.20365248444783696</v>
      </c>
      <c r="T72" s="4">
        <f t="shared" si="12"/>
        <v>4.1474334421776476E-2</v>
      </c>
      <c r="U72" s="1">
        <f t="shared" si="13"/>
        <v>3.7697922444688281E-3</v>
      </c>
      <c r="V72" s="6">
        <f>2*sigma/alpha*corel*(B72/12-1/alpha*(1-EXP(-alpha*Output!B72/12)))</f>
        <v>6.0436022986107174E-2</v>
      </c>
      <c r="W72" s="5">
        <f t="shared" si="14"/>
        <v>-3.7704542177307648E-2</v>
      </c>
      <c r="X72" s="1">
        <f t="shared" si="15"/>
        <v>0.77031153714629941</v>
      </c>
      <c r="Y72" s="3">
        <f t="shared" si="4"/>
        <v>8.0384056973636278E-2</v>
      </c>
      <c r="Z72" s="1">
        <f t="shared" si="5"/>
        <v>9.032654903195185E-2</v>
      </c>
      <c r="AA72" s="8">
        <f t="shared" si="11"/>
        <v>4.9999999999999991</v>
      </c>
      <c r="AB72" s="1">
        <v>5.0830000000000002</v>
      </c>
      <c r="AC72" s="1">
        <v>5.000624203E-4</v>
      </c>
      <c r="AD72" s="8">
        <f t="shared" si="6"/>
        <v>6.9403066389822021E-2</v>
      </c>
      <c r="AE72" s="3">
        <f t="shared" si="7"/>
        <v>1.3878880630179205E-2</v>
      </c>
      <c r="AF72" s="11">
        <f t="shared" si="8"/>
        <v>4.9999999999999991</v>
      </c>
      <c r="AG72" s="1">
        <f t="shared" si="9"/>
        <v>9.032654903195185E-2</v>
      </c>
    </row>
    <row r="73" spans="2:33" ht="15" x14ac:dyDescent="0.25">
      <c r="B73" s="1">
        <v>62</v>
      </c>
      <c r="C73" s="1">
        <v>1.0000281108751734</v>
      </c>
      <c r="D73" s="1">
        <v>1.0708322856242909</v>
      </c>
      <c r="E73" s="1">
        <v>0.93355129319943475</v>
      </c>
      <c r="G73" s="1">
        <v>1.0001367466270499</v>
      </c>
      <c r="H73" s="1">
        <v>1.8185234582261258</v>
      </c>
      <c r="I73" s="1">
        <v>0.53343963497258395</v>
      </c>
      <c r="K73" s="1">
        <v>1.0001550691670211</v>
      </c>
      <c r="L73" s="1">
        <v>2.0305968265771352</v>
      </c>
      <c r="M73" s="1">
        <v>0.47642788669497715</v>
      </c>
      <c r="O73" s="1">
        <v>4.9273189689122052E-4</v>
      </c>
      <c r="P73" s="1">
        <v>0.99745745628624782</v>
      </c>
      <c r="R73" s="1">
        <v>8.065333110397363E-2</v>
      </c>
      <c r="S73" s="2">
        <f t="shared" si="10"/>
        <v>0.20596345799362331</v>
      </c>
      <c r="T73" s="4">
        <f t="shared" si="12"/>
        <v>4.2420946028691037E-2</v>
      </c>
      <c r="U73" s="1">
        <f t="shared" si="13"/>
        <v>3.9487302235983179E-3</v>
      </c>
      <c r="V73" s="6">
        <f>2*sigma/alpha*corel*(B73/12-1/alpha*(1-EXP(-alpha*Output!B73/12)))</f>
        <v>6.2366776178159111E-2</v>
      </c>
      <c r="W73" s="5">
        <f t="shared" si="14"/>
        <v>-3.8472215805092719E-2</v>
      </c>
      <c r="X73" s="1">
        <f t="shared" si="15"/>
        <v>0.79898207474277272</v>
      </c>
      <c r="Y73" s="3">
        <f t="shared" si="4"/>
        <v>8.0466889952607284E-2</v>
      </c>
      <c r="Z73" s="1">
        <f t="shared" si="5"/>
        <v>9.0611840743759636E-2</v>
      </c>
      <c r="AA73" s="8">
        <f t="shared" si="11"/>
        <v>5.0833333333333321</v>
      </c>
      <c r="AB73" s="1">
        <v>5.1669999999999998</v>
      </c>
      <c r="AC73" s="1">
        <v>4.9980851990000003E-4</v>
      </c>
      <c r="AD73" s="8">
        <f t="shared" si="6"/>
        <v>7.0766230087795062E-2</v>
      </c>
      <c r="AE73" s="3">
        <f t="shared" si="7"/>
        <v>1.4158668223973799E-2</v>
      </c>
      <c r="AF73" s="11">
        <f t="shared" si="8"/>
        <v>5.0833333333333321</v>
      </c>
      <c r="AG73" s="1">
        <f t="shared" si="9"/>
        <v>9.0611840743759636E-2</v>
      </c>
    </row>
    <row r="74" spans="2:33" ht="15" x14ac:dyDescent="0.25">
      <c r="B74" s="1">
        <v>63</v>
      </c>
      <c r="C74" s="1">
        <v>1.0000298608714679</v>
      </c>
      <c r="D74" s="1">
        <v>1.0730668442546654</v>
      </c>
      <c r="E74" s="1">
        <v>0.93160344014231211</v>
      </c>
      <c r="G74" s="1">
        <v>1.0002011660140371</v>
      </c>
      <c r="H74" s="1">
        <v>1.853013623299866</v>
      </c>
      <c r="I74" s="1">
        <v>0.52325510340057535</v>
      </c>
      <c r="K74" s="1">
        <v>1.0002317707073414</v>
      </c>
      <c r="L74" s="1">
        <v>2.0384214086132664</v>
      </c>
      <c r="M74" s="1">
        <v>0.47434826787484557</v>
      </c>
      <c r="O74" s="1">
        <v>4.9227913572773253E-4</v>
      </c>
      <c r="P74" s="1">
        <v>0.99741887139301133</v>
      </c>
      <c r="R74" s="1">
        <v>8.1636358820398644E-2</v>
      </c>
      <c r="S74" s="2">
        <f t="shared" si="10"/>
        <v>0.20849640413443671</v>
      </c>
      <c r="T74" s="4">
        <f t="shared" si="12"/>
        <v>4.3470750536990357E-2</v>
      </c>
      <c r="U74" s="1">
        <f t="shared" si="13"/>
        <v>4.1329406763219723E-3</v>
      </c>
      <c r="V74" s="6">
        <f>2*sigma/alpha*corel*(B74/12-1/alpha*(1-EXP(-alpha*Output!B74/12)))</f>
        <v>6.4325768656834592E-2</v>
      </c>
      <c r="W74" s="5">
        <f t="shared" si="14"/>
        <v>-3.9337809860668385E-2</v>
      </c>
      <c r="X74" s="1">
        <f t="shared" si="15"/>
        <v>0.83023181158732862</v>
      </c>
      <c r="Y74" s="3">
        <f t="shared" si="4"/>
        <v>8.0651886048806187E-2</v>
      </c>
      <c r="Z74" s="1">
        <f t="shared" si="5"/>
        <v>9.0995290864015241E-2</v>
      </c>
      <c r="AA74" s="8">
        <f t="shared" si="11"/>
        <v>5.1666666666666652</v>
      </c>
      <c r="AB74" s="1">
        <v>5.25</v>
      </c>
      <c r="AC74" s="1">
        <v>4.9951516800000005E-4</v>
      </c>
      <c r="AD74" s="8">
        <f t="shared" si="6"/>
        <v>7.236032272267523E-2</v>
      </c>
      <c r="AE74" s="3">
        <f t="shared" si="7"/>
        <v>1.4486111205070597E-2</v>
      </c>
      <c r="AF74" s="11">
        <f t="shared" si="8"/>
        <v>5.1666666666666652</v>
      </c>
      <c r="AG74" s="1">
        <f t="shared" si="9"/>
        <v>9.0995290864015241E-2</v>
      </c>
    </row>
    <row r="75" spans="2:33" ht="15" x14ac:dyDescent="0.25">
      <c r="B75" s="1">
        <v>64</v>
      </c>
      <c r="C75" s="1">
        <v>1.0000294930723037</v>
      </c>
      <c r="D75" s="1">
        <v>1.0728234578902212</v>
      </c>
      <c r="E75" s="1">
        <v>0.9318109930027636</v>
      </c>
      <c r="G75" s="1">
        <v>1.0000879977171901</v>
      </c>
      <c r="H75" s="1">
        <v>1.8484491397450846</v>
      </c>
      <c r="I75" s="1">
        <v>0.52429111251860261</v>
      </c>
      <c r="K75" s="1">
        <v>1.0001786741262519</v>
      </c>
      <c r="L75" s="1">
        <v>2.0525586287146598</v>
      </c>
      <c r="M75" s="1">
        <v>0.47085513929359896</v>
      </c>
      <c r="O75" s="1">
        <v>4.9185456020006549E-4</v>
      </c>
      <c r="P75" s="1">
        <v>0.99738021332528948</v>
      </c>
      <c r="R75" s="1">
        <v>8.2513106892666291E-2</v>
      </c>
      <c r="S75" s="2">
        <f t="shared" si="10"/>
        <v>0.21076162021149464</v>
      </c>
      <c r="T75" s="4">
        <f t="shared" si="12"/>
        <v>4.4420460554174306E-2</v>
      </c>
      <c r="U75" s="1">
        <f t="shared" si="13"/>
        <v>4.3224822312390998E-3</v>
      </c>
      <c r="V75" s="6">
        <f>2*sigma/alpha*corel*(B75/12-1/alpha*(1-EXP(-alpha*Output!B75/12)))</f>
        <v>6.6312906447889119E-2</v>
      </c>
      <c r="W75" s="5">
        <f t="shared" si="14"/>
        <v>-4.0097978322935206E-2</v>
      </c>
      <c r="X75" s="1">
        <f t="shared" si="15"/>
        <v>0.85982093911751756</v>
      </c>
      <c r="Y75" s="3">
        <f t="shared" si="4"/>
        <v>8.0714287023579911E-2</v>
      </c>
      <c r="Z75" s="1">
        <f t="shared" si="5"/>
        <v>9.1262458622961076E-2</v>
      </c>
      <c r="AA75" s="8">
        <f t="shared" si="11"/>
        <v>5.2499999999999982</v>
      </c>
      <c r="AB75" s="1">
        <v>5.3330000000000002</v>
      </c>
      <c r="AC75" s="1">
        <v>4.9920804560000002E-4</v>
      </c>
      <c r="AD75" s="8">
        <f t="shared" si="6"/>
        <v>7.3534853999345298E-2</v>
      </c>
      <c r="AE75" s="3">
        <f t="shared" si="7"/>
        <v>1.4730302255237792E-2</v>
      </c>
      <c r="AF75" s="11">
        <f t="shared" si="8"/>
        <v>5.2499999999999982</v>
      </c>
      <c r="AG75" s="1">
        <f t="shared" si="9"/>
        <v>9.1262458622961076E-2</v>
      </c>
    </row>
    <row r="76" spans="2:33" ht="15" x14ac:dyDescent="0.25">
      <c r="B76" s="1">
        <v>65</v>
      </c>
      <c r="C76" s="1">
        <v>1.0000309594153394</v>
      </c>
      <c r="D76" s="1">
        <v>1.0722019760551333</v>
      </c>
      <c r="E76" s="1">
        <v>0.93234732856445723</v>
      </c>
      <c r="G76" s="1">
        <v>1.000125948608487</v>
      </c>
      <c r="H76" s="1">
        <v>1.8382051579325509</v>
      </c>
      <c r="I76" s="1">
        <v>0.52695551793263695</v>
      </c>
      <c r="K76" s="1">
        <v>1.0002616720846815</v>
      </c>
      <c r="L76" s="1">
        <v>2.0771007716272525</v>
      </c>
      <c r="M76" s="1">
        <v>0.46502502227215164</v>
      </c>
      <c r="O76" s="1">
        <v>4.9142702793786774E-4</v>
      </c>
      <c r="P76" s="1">
        <v>0.99734164330342323</v>
      </c>
      <c r="R76" s="1">
        <v>8.3433541148971543E-2</v>
      </c>
      <c r="S76" s="2">
        <f t="shared" si="10"/>
        <v>0.21313735831988245</v>
      </c>
      <c r="T76" s="4">
        <f t="shared" si="12"/>
        <v>4.5427533511577967E-2</v>
      </c>
      <c r="U76" s="1">
        <f t="shared" si="13"/>
        <v>4.5174128157072779E-3</v>
      </c>
      <c r="V76" s="6">
        <f>2*sigma/alpha*corel*(B76/12-1/alpha*(1-EXP(-alpha*Output!B76/12)))</f>
        <v>6.832809588980393E-2</v>
      </c>
      <c r="W76" s="5">
        <f t="shared" si="14"/>
        <v>-4.0910120695870689E-2</v>
      </c>
      <c r="X76" s="1">
        <f t="shared" si="15"/>
        <v>0.89105467709845787</v>
      </c>
      <c r="Y76" s="3">
        <f t="shared" si="4"/>
        <v>8.082727657446663E-2</v>
      </c>
      <c r="Z76" s="1">
        <f t="shared" si="5"/>
        <v>9.1578499503804048E-2</v>
      </c>
      <c r="AA76" s="8">
        <f t="shared" si="11"/>
        <v>5.3333333333333313</v>
      </c>
      <c r="AB76" s="1">
        <v>5.4169999999999998</v>
      </c>
      <c r="AC76" s="1">
        <v>4.989128337E-4</v>
      </c>
      <c r="AD76" s="8">
        <f t="shared" si="6"/>
        <v>7.4858057621322555E-2</v>
      </c>
      <c r="AE76" s="3">
        <f t="shared" si="7"/>
        <v>1.5004235723135409E-2</v>
      </c>
      <c r="AF76" s="11">
        <f t="shared" si="8"/>
        <v>5.3333333333333313</v>
      </c>
      <c r="AG76" s="1">
        <f t="shared" si="9"/>
        <v>9.1578499503804048E-2</v>
      </c>
    </row>
    <row r="77" spans="2:33" ht="15" x14ac:dyDescent="0.25">
      <c r="B77" s="1">
        <v>66</v>
      </c>
      <c r="C77" s="1">
        <v>1.0000310218774768</v>
      </c>
      <c r="D77" s="1">
        <v>1.0750973894679621</v>
      </c>
      <c r="E77" s="1">
        <v>0.92983263076645206</v>
      </c>
      <c r="G77" s="1">
        <v>1.0000502504887288</v>
      </c>
      <c r="H77" s="1">
        <v>1.8813085849667845</v>
      </c>
      <c r="I77" s="1">
        <v>0.51463089521579097</v>
      </c>
      <c r="K77" s="1">
        <v>1.0002362115338328</v>
      </c>
      <c r="L77" s="1">
        <v>2.1031817274379856</v>
      </c>
      <c r="M77" s="1">
        <v>0.45904384448538593</v>
      </c>
      <c r="O77" s="1">
        <v>4.9112374760788499E-4</v>
      </c>
      <c r="P77" s="1">
        <v>0.99730246429391733</v>
      </c>
      <c r="R77" s="1">
        <v>8.4181831413419658E-2</v>
      </c>
      <c r="S77" s="2">
        <f t="shared" si="10"/>
        <v>0.21507968601958405</v>
      </c>
      <c r="T77" s="4">
        <f t="shared" si="12"/>
        <v>4.6259271338282858E-2</v>
      </c>
      <c r="U77" s="1">
        <f t="shared" si="13"/>
        <v>4.7177896615409054E-3</v>
      </c>
      <c r="V77" s="6">
        <f>2*sigma/alpha*corel*(B77/12-1/alpha*(1-EXP(-alpha*Output!B77/12)))</f>
        <v>7.0371243632745273E-2</v>
      </c>
      <c r="W77" s="5">
        <f t="shared" si="14"/>
        <v>-4.1541481676741952E-2</v>
      </c>
      <c r="X77" s="1">
        <f t="shared" si="15"/>
        <v>0.91886470881874216</v>
      </c>
      <c r="Y77" s="3">
        <f t="shared" ref="Y77:Y140" si="16">(-V77+SQRT(X77))/2/B77*12</f>
        <v>8.0745733354802188E-2</v>
      </c>
      <c r="Z77" s="1">
        <f t="shared" ref="Z77:Z140" si="17">S77/SQRT(B77/12)</f>
        <v>9.1710286265830179E-2</v>
      </c>
      <c r="AA77" s="8">
        <f t="shared" si="11"/>
        <v>5.4166666666666643</v>
      </c>
      <c r="AB77" s="1">
        <v>5.5</v>
      </c>
      <c r="AC77" s="1">
        <v>4.9865521349999999E-4</v>
      </c>
      <c r="AD77" s="8">
        <f t="shared" ref="AD77:AD140" si="18">(AC77-O77)*10000</f>
        <v>7.5314658921149996E-2</v>
      </c>
      <c r="AE77" s="3">
        <f t="shared" ref="AE77:AE140" si="19">AD77/AC77/10000</f>
        <v>1.5103553894990008E-2</v>
      </c>
      <c r="AF77" s="11">
        <f t="shared" ref="AF77:AF140" si="20">AA77</f>
        <v>5.4166666666666643</v>
      </c>
      <c r="AG77" s="1">
        <f t="shared" ref="AG77:AG140" si="21">Z77</f>
        <v>9.1710286265830179E-2</v>
      </c>
    </row>
    <row r="78" spans="2:33" ht="15" x14ac:dyDescent="0.25">
      <c r="B78" s="1">
        <v>67</v>
      </c>
      <c r="C78" s="1">
        <v>1.0000327263289039</v>
      </c>
      <c r="D78" s="1">
        <v>1.0719956930163146</v>
      </c>
      <c r="E78" s="1">
        <v>0.93251927520472055</v>
      </c>
      <c r="G78" s="1">
        <v>1.0001034250085354</v>
      </c>
      <c r="H78" s="1">
        <v>1.8312298597705239</v>
      </c>
      <c r="I78" s="1">
        <v>0.52844647462450667</v>
      </c>
      <c r="K78" s="1">
        <v>1.000219320293253</v>
      </c>
      <c r="L78" s="1">
        <v>2.0428518302494898</v>
      </c>
      <c r="M78" s="1">
        <v>0.47232606705690577</v>
      </c>
      <c r="O78" s="1">
        <v>4.9090484896776242E-4</v>
      </c>
      <c r="P78" s="1">
        <v>0.99726286739022463</v>
      </c>
      <c r="R78" s="1">
        <v>8.4969279309591986E-2</v>
      </c>
      <c r="S78" s="2">
        <f t="shared" ref="S78:S85" si="22">optim_vol_implied(P78,R78)</f>
        <v>0.21712173674764518</v>
      </c>
      <c r="T78" s="4">
        <f t="shared" si="12"/>
        <v>4.7141848568313736E-2</v>
      </c>
      <c r="U78" s="1">
        <f t="shared" si="13"/>
        <v>4.9236693106600171E-3</v>
      </c>
      <c r="V78" s="6">
        <f>2*sigma/alpha*corel*(B78/12-1/alpha*(1-EXP(-alpha*Output!B78/12)))</f>
        <v>7.2442256637528013E-2</v>
      </c>
      <c r="W78" s="5">
        <f t="shared" si="14"/>
        <v>-4.2218179257653719E-2</v>
      </c>
      <c r="X78" s="1">
        <f t="shared" si="15"/>
        <v>0.94812055063433709</v>
      </c>
      <c r="Y78" s="3">
        <f t="shared" si="16"/>
        <v>8.0710975821054173E-2</v>
      </c>
      <c r="Z78" s="1">
        <f t="shared" si="17"/>
        <v>9.1887519073533749E-2</v>
      </c>
      <c r="AA78" s="8">
        <f t="shared" ref="AA78:AA141" si="23">AA77+1/12</f>
        <v>5.4999999999999973</v>
      </c>
      <c r="AB78" s="1">
        <v>5.5830000000000002</v>
      </c>
      <c r="AC78" s="1">
        <v>4.9846086579999999E-4</v>
      </c>
      <c r="AD78" s="8">
        <f t="shared" si="18"/>
        <v>7.5560168322375693E-2</v>
      </c>
      <c r="AE78" s="3">
        <f t="shared" si="19"/>
        <v>1.5158696199972715E-2</v>
      </c>
      <c r="AF78" s="11">
        <f t="shared" si="20"/>
        <v>5.4999999999999973</v>
      </c>
      <c r="AG78" s="1">
        <f t="shared" si="21"/>
        <v>9.1887519073533749E-2</v>
      </c>
    </row>
    <row r="79" spans="2:33" ht="15" x14ac:dyDescent="0.25">
      <c r="B79" s="1">
        <v>68</v>
      </c>
      <c r="C79" s="1">
        <v>1.0000346295923834</v>
      </c>
      <c r="D79" s="1">
        <v>1.0732503917934955</v>
      </c>
      <c r="E79" s="1">
        <v>0.9314254120783747</v>
      </c>
      <c r="G79" s="1">
        <v>1.0001691136664368</v>
      </c>
      <c r="H79" s="1">
        <v>1.8503801516549909</v>
      </c>
      <c r="I79" s="1">
        <v>0.52272214402221095</v>
      </c>
      <c r="K79" s="1">
        <v>1.0002677225054464</v>
      </c>
      <c r="L79" s="1">
        <v>2.0730337288053895</v>
      </c>
      <c r="M79" s="1">
        <v>0.46519891086915277</v>
      </c>
      <c r="O79" s="1">
        <v>4.9077037299720882E-4</v>
      </c>
      <c r="P79" s="1">
        <v>0.99722283137383361</v>
      </c>
      <c r="R79" s="1">
        <v>8.598598391657733E-2</v>
      </c>
      <c r="S79" s="2">
        <f t="shared" si="22"/>
        <v>0.2197436745589556</v>
      </c>
      <c r="T79" s="4">
        <f t="shared" si="12"/>
        <v>4.8287282508672195E-2</v>
      </c>
      <c r="U79" s="1">
        <f t="shared" si="13"/>
        <v>5.1351076207102331E-3</v>
      </c>
      <c r="V79" s="6">
        <f>2*sigma/alpha*corel*(B79/12-1/alpha*(1-EXP(-alpha*Output!B79/12)))</f>
        <v>7.4541042174581684E-2</v>
      </c>
      <c r="W79" s="5">
        <f t="shared" si="14"/>
        <v>-4.3152174887961962E-2</v>
      </c>
      <c r="X79" s="1">
        <f t="shared" si="15"/>
        <v>0.98367233109561059</v>
      </c>
      <c r="Y79" s="3">
        <f t="shared" si="16"/>
        <v>8.093484038964463E-2</v>
      </c>
      <c r="Z79" s="1">
        <f t="shared" si="17"/>
        <v>9.2310807322811397E-2</v>
      </c>
      <c r="AA79" s="8">
        <f t="shared" si="23"/>
        <v>5.5833333333333304</v>
      </c>
      <c r="AB79" s="1">
        <v>5.6669999999999998</v>
      </c>
      <c r="AC79" s="1">
        <v>4.983554773E-4</v>
      </c>
      <c r="AD79" s="8">
        <f t="shared" si="18"/>
        <v>7.5851043027911791E-2</v>
      </c>
      <c r="AE79" s="3">
        <f t="shared" si="19"/>
        <v>1.5220268760535961E-2</v>
      </c>
      <c r="AF79" s="11">
        <f t="shared" si="20"/>
        <v>5.5833333333333304</v>
      </c>
      <c r="AG79" s="1">
        <f t="shared" si="21"/>
        <v>9.2310807322811397E-2</v>
      </c>
    </row>
    <row r="80" spans="2:33" ht="15" x14ac:dyDescent="0.25">
      <c r="B80" s="1">
        <v>69</v>
      </c>
      <c r="C80" s="1">
        <v>1.0000359181175638</v>
      </c>
      <c r="D80" s="1">
        <v>1.0748669607706578</v>
      </c>
      <c r="E80" s="1">
        <v>0.93002091837044842</v>
      </c>
      <c r="G80" s="1">
        <v>1.0001817955098176</v>
      </c>
      <c r="H80" s="1">
        <v>1.8767311360933088</v>
      </c>
      <c r="I80" s="1">
        <v>0.51513115047393343</v>
      </c>
      <c r="K80" s="1">
        <v>1.0002599138591406</v>
      </c>
      <c r="L80" s="1">
        <v>2.01508891284386</v>
      </c>
      <c r="M80" s="1">
        <v>0.47834074535749049</v>
      </c>
      <c r="O80" s="1">
        <v>4.907660733464343E-4</v>
      </c>
      <c r="P80" s="1">
        <v>0.99718207290938488</v>
      </c>
      <c r="R80" s="1">
        <v>8.6912446601039375E-2</v>
      </c>
      <c r="S80" s="2">
        <f t="shared" si="22"/>
        <v>0.22213913514306488</v>
      </c>
      <c r="T80" s="4">
        <f t="shared" si="12"/>
        <v>4.9345795362108841E-2</v>
      </c>
      <c r="U80" s="1">
        <f t="shared" si="13"/>
        <v>5.3521597706329693E-3</v>
      </c>
      <c r="V80" s="6">
        <f>2*sigma/alpha*corel*(B80/12-1/alpha*(1-EXP(-alpha*Output!B80/12)))</f>
        <v>7.6667507822918868E-2</v>
      </c>
      <c r="W80" s="5">
        <f t="shared" si="14"/>
        <v>-4.3993635591475871E-2</v>
      </c>
      <c r="X80" s="1">
        <f t="shared" si="15"/>
        <v>1.0177315253597223</v>
      </c>
      <c r="Y80" s="3">
        <f t="shared" si="16"/>
        <v>8.1057330313140746E-2</v>
      </c>
      <c r="Z80" s="1">
        <f t="shared" si="17"/>
        <v>9.2638423207003051E-2</v>
      </c>
      <c r="AA80" s="8">
        <f t="shared" si="23"/>
        <v>5.6666666666666634</v>
      </c>
      <c r="AB80" s="1">
        <v>5.75</v>
      </c>
      <c r="AC80" s="1">
        <v>4.9836475560000005E-4</v>
      </c>
      <c r="AD80" s="8">
        <f t="shared" si="18"/>
        <v>7.5986822535657528E-2</v>
      </c>
      <c r="AE80" s="3">
        <f t="shared" si="19"/>
        <v>1.5247230403396832E-2</v>
      </c>
      <c r="AF80" s="11">
        <f t="shared" si="20"/>
        <v>5.6666666666666634</v>
      </c>
      <c r="AG80" s="1">
        <f t="shared" si="21"/>
        <v>9.2638423207003051E-2</v>
      </c>
    </row>
    <row r="81" spans="2:33" ht="15" x14ac:dyDescent="0.25">
      <c r="B81" s="1">
        <v>70</v>
      </c>
      <c r="C81" s="1">
        <v>1.0000354003542713</v>
      </c>
      <c r="D81" s="1">
        <v>1.0731587740856738</v>
      </c>
      <c r="E81" s="1">
        <v>0.93149763000784291</v>
      </c>
      <c r="G81" s="1">
        <v>1.0000499773207896</v>
      </c>
      <c r="H81" s="1">
        <v>1.8561073277146656</v>
      </c>
      <c r="I81" s="1">
        <v>0.52060078410948551</v>
      </c>
      <c r="K81" s="1">
        <v>1.0002548097551172</v>
      </c>
      <c r="L81" s="1">
        <v>2.0379638064639831</v>
      </c>
      <c r="M81" s="1">
        <v>0.47270706066027229</v>
      </c>
      <c r="O81" s="1">
        <v>4.9089614347207189E-4</v>
      </c>
      <c r="P81" s="1">
        <v>0.99714053524268909</v>
      </c>
      <c r="R81" s="1">
        <v>8.7676194475595007E-2</v>
      </c>
      <c r="S81" s="2">
        <f t="shared" si="22"/>
        <v>0.22412501261496726</v>
      </c>
      <c r="T81" s="4">
        <f t="shared" si="12"/>
        <v>5.0232021279659235E-2</v>
      </c>
      <c r="U81" s="1">
        <f t="shared" si="13"/>
        <v>5.57488026620101E-3</v>
      </c>
      <c r="V81" s="6">
        <f>2*sigma/alpha*corel*(B81/12-1/alpha*(1-EXP(-alpha*Output!B81/12)))</f>
        <v>7.8821561469109236E-2</v>
      </c>
      <c r="W81" s="5">
        <f t="shared" si="14"/>
        <v>-4.4657141013458225E-2</v>
      </c>
      <c r="X81" s="1">
        <f t="shared" si="15"/>
        <v>1.0482127955331204</v>
      </c>
      <c r="Y81" s="3">
        <f t="shared" si="16"/>
        <v>8.1000092334850324E-2</v>
      </c>
      <c r="Z81" s="1">
        <f t="shared" si="17"/>
        <v>9.2796571315655746E-2</v>
      </c>
      <c r="AA81" s="8">
        <f t="shared" si="23"/>
        <v>5.7499999999999964</v>
      </c>
      <c r="AB81" s="1">
        <v>5.8330000000000002</v>
      </c>
      <c r="AC81" s="1">
        <v>4.9851441390000003E-4</v>
      </c>
      <c r="AD81" s="8">
        <f t="shared" si="18"/>
        <v>7.6182704279281324E-2</v>
      </c>
      <c r="AE81" s="3">
        <f t="shared" si="19"/>
        <v>1.5281946149417311E-2</v>
      </c>
      <c r="AF81" s="11">
        <f t="shared" si="20"/>
        <v>5.7499999999999964</v>
      </c>
      <c r="AG81" s="1">
        <f t="shared" si="21"/>
        <v>9.2796571315655746E-2</v>
      </c>
    </row>
    <row r="82" spans="2:33" ht="15" x14ac:dyDescent="0.25">
      <c r="B82" s="1">
        <v>71</v>
      </c>
      <c r="C82" s="1">
        <v>1.0000361117058789</v>
      </c>
      <c r="D82" s="1">
        <v>1.0722110018118842</v>
      </c>
      <c r="E82" s="1">
        <v>0.93231740483341807</v>
      </c>
      <c r="G82" s="1">
        <v>1.0000151922823775</v>
      </c>
      <c r="H82" s="1">
        <v>1.8415268341257405</v>
      </c>
      <c r="I82" s="1">
        <v>0.52446667885894893</v>
      </c>
      <c r="K82" s="1">
        <v>1.0002883345582412</v>
      </c>
      <c r="L82" s="1">
        <v>2.0627479478197026</v>
      </c>
      <c r="M82" s="1">
        <v>0.46677320573139236</v>
      </c>
      <c r="O82" s="1">
        <v>4.9131406107583923E-4</v>
      </c>
      <c r="P82" s="1">
        <v>0.99709727953537286</v>
      </c>
      <c r="R82" s="1">
        <v>8.8536488170143118E-2</v>
      </c>
      <c r="S82" s="2">
        <f t="shared" si="22"/>
        <v>0.2263574688736652</v>
      </c>
      <c r="T82" s="4">
        <f t="shared" si="12"/>
        <v>5.1237703714892308E-2</v>
      </c>
      <c r="U82" s="1">
        <f t="shared" si="13"/>
        <v>5.8033229455101143E-3</v>
      </c>
      <c r="V82" s="6">
        <f>2*sigma/alpha*corel*(B82/12-1/alpha*(1-EXP(-alpha*Output!B82/12)))</f>
        <v>8.1003111306257147E-2</v>
      </c>
      <c r="W82" s="5">
        <f t="shared" si="14"/>
        <v>-4.5434380769382193E-2</v>
      </c>
      <c r="X82" s="1">
        <f t="shared" si="15"/>
        <v>1.0818418489166723</v>
      </c>
      <c r="Y82" s="3">
        <f t="shared" si="16"/>
        <v>8.1051815975689515E-2</v>
      </c>
      <c r="Z82" s="1">
        <f t="shared" si="17"/>
        <v>9.3058549234423388E-2</v>
      </c>
      <c r="AA82" s="8">
        <f t="shared" si="23"/>
        <v>5.8333333333333295</v>
      </c>
      <c r="AB82" s="1">
        <v>5.9169999999999998</v>
      </c>
      <c r="AC82" s="1">
        <v>4.9883016540000003E-4</v>
      </c>
      <c r="AD82" s="8">
        <f t="shared" si="18"/>
        <v>7.5161043241608022E-2</v>
      </c>
      <c r="AE82" s="3">
        <f t="shared" si="19"/>
        <v>1.5067461523971426E-2</v>
      </c>
      <c r="AF82" s="11">
        <f t="shared" si="20"/>
        <v>5.8333333333333295</v>
      </c>
      <c r="AG82" s="1">
        <f t="shared" si="21"/>
        <v>9.3058549234423388E-2</v>
      </c>
    </row>
    <row r="83" spans="2:33" ht="15" x14ac:dyDescent="0.25">
      <c r="B83" s="1">
        <v>72</v>
      </c>
      <c r="C83" s="1">
        <v>1.0000367708425859</v>
      </c>
      <c r="D83" s="1">
        <v>1.0789285981547918</v>
      </c>
      <c r="E83" s="1">
        <v>0.92650906743404915</v>
      </c>
      <c r="G83" s="1">
        <v>0.99997439401145183</v>
      </c>
      <c r="H83" s="1">
        <v>1.9467604721321823</v>
      </c>
      <c r="I83" s="1">
        <v>0.49587418683237572</v>
      </c>
      <c r="K83" s="1">
        <v>1.000394188793972</v>
      </c>
      <c r="L83" s="1">
        <v>2.0680537856695218</v>
      </c>
      <c r="M83" s="1">
        <v>0.46532726605568542</v>
      </c>
      <c r="O83" s="1">
        <v>4.9197575624927833E-4</v>
      </c>
      <c r="P83" s="1">
        <v>0.99705249790146744</v>
      </c>
      <c r="R83" s="1">
        <v>8.9559375770001795E-2</v>
      </c>
      <c r="S83" s="2">
        <f t="shared" si="22"/>
        <v>0.22900326585769776</v>
      </c>
      <c r="T83" s="4">
        <f t="shared" si="12"/>
        <v>5.2442495773491402E-2</v>
      </c>
      <c r="U83" s="1">
        <f t="shared" si="13"/>
        <v>6.0375409844319883E-3</v>
      </c>
      <c r="V83" s="6">
        <f>2*sigma/alpha*corel*(B83/12-1/alpha*(1-EXP(-alpha*Output!B83/12)))</f>
        <v>8.3212065832979576E-2</v>
      </c>
      <c r="W83" s="5">
        <f t="shared" si="14"/>
        <v>-4.6404954789059413E-2</v>
      </c>
      <c r="X83" s="1">
        <f t="shared" si="15"/>
        <v>1.1206431628376181</v>
      </c>
      <c r="Y83" s="3">
        <f t="shared" si="16"/>
        <v>8.1282690071680361E-2</v>
      </c>
      <c r="Z83" s="1">
        <f t="shared" si="17"/>
        <v>9.3490191797046651E-2</v>
      </c>
      <c r="AA83" s="8">
        <f t="shared" si="23"/>
        <v>5.9166666666666625</v>
      </c>
      <c r="AB83" s="1">
        <v>6</v>
      </c>
      <c r="AC83" s="1">
        <v>4.9933772319999997E-4</v>
      </c>
      <c r="AD83" s="8">
        <f t="shared" si="18"/>
        <v>7.3619669507216406E-2</v>
      </c>
      <c r="AE83" s="3">
        <f t="shared" si="19"/>
        <v>1.4743462407651802E-2</v>
      </c>
      <c r="AF83" s="11">
        <f t="shared" si="20"/>
        <v>5.9166666666666625</v>
      </c>
      <c r="AG83" s="1">
        <f t="shared" si="21"/>
        <v>9.3490191797046651E-2</v>
      </c>
    </row>
    <row r="84" spans="2:33" ht="15" x14ac:dyDescent="0.25">
      <c r="B84" s="1">
        <v>73</v>
      </c>
      <c r="C84" s="1">
        <v>1.0000371168394968</v>
      </c>
      <c r="D84" s="1">
        <v>1.0801242311059165</v>
      </c>
      <c r="E84" s="1">
        <v>0.92547993879481827</v>
      </c>
      <c r="G84" s="1">
        <v>0.99990940291093267</v>
      </c>
      <c r="H84" s="1">
        <v>1.9641889186927113</v>
      </c>
      <c r="I84" s="1">
        <v>0.49123448942119552</v>
      </c>
      <c r="K84" s="1">
        <v>1.0003596378427826</v>
      </c>
      <c r="L84" s="1">
        <v>2.0060805736788545</v>
      </c>
      <c r="M84" s="1">
        <v>0.47944514817659706</v>
      </c>
      <c r="O84" s="1">
        <v>4.9292197365866466E-4</v>
      </c>
      <c r="P84" s="1">
        <v>0.99700588266352175</v>
      </c>
      <c r="R84" s="1">
        <v>9.0373556979884376E-2</v>
      </c>
      <c r="S84" s="2">
        <f t="shared" si="22"/>
        <v>0.23112459143552139</v>
      </c>
      <c r="T84" s="4">
        <f t="shared" si="12"/>
        <v>5.3418576766236688E-2</v>
      </c>
      <c r="U84" s="1">
        <f t="shared" si="13"/>
        <v>6.2775869020286201E-3</v>
      </c>
      <c r="V84" s="6">
        <f>2*sigma/alpha*corel*(B84/12-1/alpha*(1-EXP(-alpha*Output!B84/12)))</f>
        <v>8.5448333852390035E-2</v>
      </c>
      <c r="W84" s="5">
        <f t="shared" si="14"/>
        <v>-4.7140989864208067E-2</v>
      </c>
      <c r="X84" s="1">
        <f t="shared" si="15"/>
        <v>1.1543988377872123</v>
      </c>
      <c r="Y84" s="3">
        <f t="shared" si="16"/>
        <v>8.1286126584798432E-2</v>
      </c>
      <c r="Z84" s="1">
        <f t="shared" si="17"/>
        <v>9.370771530017491E-2</v>
      </c>
      <c r="AA84" s="8">
        <f t="shared" si="23"/>
        <v>5.9999999999999956</v>
      </c>
      <c r="AB84" s="1">
        <v>6.0830000000000002</v>
      </c>
      <c r="AC84" s="1">
        <v>5.0006280060000004E-4</v>
      </c>
      <c r="AD84" s="8">
        <f t="shared" si="18"/>
        <v>7.1408269413353848E-2</v>
      </c>
      <c r="AE84" s="3">
        <f t="shared" si="19"/>
        <v>1.427986031507936E-2</v>
      </c>
      <c r="AF84" s="11">
        <f t="shared" si="20"/>
        <v>5.9999999999999956</v>
      </c>
      <c r="AG84" s="1">
        <f t="shared" si="21"/>
        <v>9.370771530017491E-2</v>
      </c>
    </row>
    <row r="85" spans="2:33" ht="15" x14ac:dyDescent="0.25">
      <c r="B85" s="1">
        <v>74</v>
      </c>
      <c r="C85" s="1">
        <v>1.0000378298134014</v>
      </c>
      <c r="D85" s="1">
        <v>1.076862539341735</v>
      </c>
      <c r="E85" s="1">
        <v>0.92827958522706178</v>
      </c>
      <c r="G85" s="1">
        <v>0.99987041314856984</v>
      </c>
      <c r="H85" s="1">
        <v>1.9112466603745761</v>
      </c>
      <c r="I85" s="1">
        <v>0.50459561543985698</v>
      </c>
      <c r="K85" s="1">
        <v>1.0003965742181138</v>
      </c>
      <c r="L85" s="1">
        <v>1.9793345511789109</v>
      </c>
      <c r="M85" s="1">
        <v>0.48565481988969988</v>
      </c>
      <c r="O85" s="1">
        <v>4.939471333451767E-4</v>
      </c>
      <c r="P85" s="1">
        <v>0.99695862705136895</v>
      </c>
      <c r="R85" s="1">
        <v>9.1223586490623426E-2</v>
      </c>
      <c r="S85" s="2">
        <f t="shared" si="22"/>
        <v>0.23333776838990439</v>
      </c>
      <c r="T85" s="4">
        <f t="shared" si="12"/>
        <v>5.4446514157180666E-2</v>
      </c>
      <c r="U85" s="1">
        <f t="shared" si="13"/>
        <v>6.5235125659244275E-3</v>
      </c>
      <c r="V85" s="6">
        <f>2*sigma/alpha*corel*(B85/12-1/alpha*(1-EXP(-alpha*Output!B85/12)))</f>
        <v>8.7711824471086497E-2</v>
      </c>
      <c r="W85" s="5">
        <f t="shared" si="14"/>
        <v>-4.7923001591256238E-2</v>
      </c>
      <c r="X85" s="1">
        <f t="shared" si="15"/>
        <v>1.1897940700697005</v>
      </c>
      <c r="Y85" s="3">
        <f t="shared" si="16"/>
        <v>8.1329594195665156E-2</v>
      </c>
      <c r="Z85" s="1">
        <f t="shared" si="17"/>
        <v>9.3963633699007135E-2</v>
      </c>
      <c r="AA85" s="8">
        <f t="shared" si="23"/>
        <v>6.0833333333333286</v>
      </c>
      <c r="AB85" s="1">
        <v>6.1669999999999998</v>
      </c>
      <c r="AC85" s="1">
        <v>5.0101083490000002E-4</v>
      </c>
      <c r="AD85" s="8">
        <f t="shared" si="18"/>
        <v>7.0637015548233192E-2</v>
      </c>
      <c r="AE85" s="3">
        <f t="shared" si="19"/>
        <v>1.4098899789728517E-2</v>
      </c>
      <c r="AF85" s="11">
        <f t="shared" si="20"/>
        <v>6.0833333333333286</v>
      </c>
      <c r="AG85" s="1">
        <f t="shared" si="21"/>
        <v>9.3963633699007135E-2</v>
      </c>
    </row>
    <row r="86" spans="2:33" ht="15" x14ac:dyDescent="0.25">
      <c r="B86" s="1">
        <v>75</v>
      </c>
      <c r="C86" s="1">
        <v>1.0000379764287319</v>
      </c>
      <c r="D86" s="1">
        <v>1.0759135573056853</v>
      </c>
      <c r="E86" s="1">
        <v>0.92909484715651269</v>
      </c>
      <c r="G86" s="1">
        <v>0.99979117289945929</v>
      </c>
      <c r="H86" s="1">
        <v>1.8956398582019027</v>
      </c>
      <c r="I86" s="1">
        <v>0.5085018102007981</v>
      </c>
      <c r="K86" s="1">
        <v>1.0004358119129415</v>
      </c>
      <c r="L86" s="1">
        <v>2.0440501380014235</v>
      </c>
      <c r="M86" s="1">
        <v>0.47004639472100918</v>
      </c>
      <c r="O86" s="1">
        <v>4.9508945675205706E-4</v>
      </c>
      <c r="P86" s="1">
        <v>0.99691047333566274</v>
      </c>
      <c r="R86" s="1">
        <v>9.1837870557562915E-2</v>
      </c>
      <c r="S86" s="2">
        <f>optim_vol_implied(P86,R86)</f>
        <v>0.23495656210673965</v>
      </c>
      <c r="T86" s="4">
        <f t="shared" si="12"/>
        <v>5.5204586077018204E-2</v>
      </c>
      <c r="U86" s="1">
        <f t="shared" si="13"/>
        <v>6.7753691976455421E-3</v>
      </c>
      <c r="V86" s="6">
        <f>2*sigma/alpha*corel*(B86/12-1/alpha*(1-EXP(-alpha*Output!B86/12)))</f>
        <v>9.0002447098140204E-2</v>
      </c>
      <c r="W86" s="5">
        <f t="shared" si="14"/>
        <v>-4.8429216879372662E-2</v>
      </c>
      <c r="X86" s="1">
        <f t="shared" si="15"/>
        <v>1.21883086246797</v>
      </c>
      <c r="Y86" s="3">
        <f t="shared" si="16"/>
        <v>8.1120342725723465E-2</v>
      </c>
      <c r="Z86" s="1">
        <f t="shared" si="17"/>
        <v>9.3982624842695858E-2</v>
      </c>
      <c r="AA86" s="8">
        <f t="shared" si="23"/>
        <v>6.1666666666666616</v>
      </c>
      <c r="AB86" s="1">
        <v>6.25</v>
      </c>
      <c r="AC86" s="1">
        <v>5.0210616069999996E-4</v>
      </c>
      <c r="AD86" s="8">
        <f t="shared" si="18"/>
        <v>7.0167039479428941E-2</v>
      </c>
      <c r="AE86" s="3">
        <f t="shared" si="19"/>
        <v>1.397454263090641E-2</v>
      </c>
      <c r="AF86" s="11">
        <f t="shared" si="20"/>
        <v>6.1666666666666616</v>
      </c>
      <c r="AG86" s="1">
        <f t="shared" si="21"/>
        <v>9.3982624842695858E-2</v>
      </c>
    </row>
    <row r="87" spans="2:33" ht="15" x14ac:dyDescent="0.25">
      <c r="B87" s="1">
        <v>76</v>
      </c>
      <c r="C87" s="1">
        <v>1.000038027695304</v>
      </c>
      <c r="D87" s="1">
        <v>1.0781119579689653</v>
      </c>
      <c r="E87" s="1">
        <v>0.92719683785311524</v>
      </c>
      <c r="G87" s="1">
        <v>0.99970188157133544</v>
      </c>
      <c r="H87" s="1">
        <v>1.9315465029406995</v>
      </c>
      <c r="I87" s="1">
        <v>0.49880558431145916</v>
      </c>
      <c r="K87" s="1">
        <v>1.0004213614032595</v>
      </c>
      <c r="L87" s="1">
        <v>2.0208945142423409</v>
      </c>
      <c r="M87" s="1">
        <v>0.4751646475704624</v>
      </c>
      <c r="O87" s="1">
        <v>4.9610134951225148E-4</v>
      </c>
      <c r="P87" s="1">
        <v>0.99686295562500105</v>
      </c>
      <c r="R87" s="1">
        <v>9.2608398854544152E-2</v>
      </c>
      <c r="S87" s="2">
        <f t="shared" ref="S87:S150" si="24">optim_vol_implied(P87,R87)</f>
        <v>0.23696976956371235</v>
      </c>
      <c r="T87" s="4">
        <f t="shared" ref="T87:T150" si="25">S87*S87</f>
        <v>5.6154671687078932E-2</v>
      </c>
      <c r="U87" s="1">
        <f t="shared" si="13"/>
        <v>7.0332073779098003E-3</v>
      </c>
      <c r="V87" s="6">
        <f>2*sigma/alpha*corel*(B87/12-1/alpha*(1-EXP(-alpha*Output!B87/12)))</f>
        <v>9.2320111444089026E-2</v>
      </c>
      <c r="W87" s="5">
        <f t="shared" ref="W87:W150" si="26">U87-T87</f>
        <v>-4.9121464309169131E-2</v>
      </c>
      <c r="X87" s="1">
        <f t="shared" ref="X87:X150" si="27">V87*V87-4*W87*B87/12</f>
        <v>1.2529334321426671</v>
      </c>
      <c r="Y87" s="3">
        <f t="shared" si="16"/>
        <v>8.1080919417355152E-2</v>
      </c>
      <c r="Z87" s="1">
        <f t="shared" si="17"/>
        <v>9.4162238230015266E-2</v>
      </c>
      <c r="AA87" s="8">
        <f t="shared" si="23"/>
        <v>6.2499999999999947</v>
      </c>
      <c r="AB87" s="1">
        <v>6.3330000000000002</v>
      </c>
      <c r="AC87" s="1">
        <v>5.0325283660000004E-4</v>
      </c>
      <c r="AD87" s="8">
        <f t="shared" si="18"/>
        <v>7.1514870877485537E-2</v>
      </c>
      <c r="AE87" s="3">
        <f t="shared" si="19"/>
        <v>1.4210525142916904E-2</v>
      </c>
      <c r="AF87" s="11">
        <f t="shared" si="20"/>
        <v>6.2499999999999947</v>
      </c>
      <c r="AG87" s="1">
        <f t="shared" si="21"/>
        <v>9.4162238230015266E-2</v>
      </c>
    </row>
    <row r="88" spans="2:33" ht="15" x14ac:dyDescent="0.25">
      <c r="B88" s="1">
        <v>77</v>
      </c>
      <c r="C88" s="1">
        <v>1.0000406157574568</v>
      </c>
      <c r="D88" s="1">
        <v>1.0788602392883215</v>
      </c>
      <c r="E88" s="1">
        <v>0.92655030208620071</v>
      </c>
      <c r="G88" s="1">
        <v>0.99981351350089354</v>
      </c>
      <c r="H88" s="1">
        <v>1.9414531907461492</v>
      </c>
      <c r="I88" s="1">
        <v>0.49601831172199823</v>
      </c>
      <c r="K88" s="1">
        <v>1.0005094160206263</v>
      </c>
      <c r="L88" s="1">
        <v>2.0136763483752969</v>
      </c>
      <c r="M88" s="1">
        <v>0.47663881466981051</v>
      </c>
      <c r="O88" s="1">
        <v>4.9698479513198327E-4</v>
      </c>
      <c r="P88" s="1">
        <v>0.99681609364552526</v>
      </c>
      <c r="R88" s="1">
        <v>9.3354389775713226E-2</v>
      </c>
      <c r="S88" s="2">
        <f t="shared" si="24"/>
        <v>0.2389203609794589</v>
      </c>
      <c r="T88" s="4">
        <f t="shared" si="25"/>
        <v>5.7082938890554949E-2</v>
      </c>
      <c r="U88" s="1">
        <f t="shared" si="13"/>
        <v>7.2970770518896444E-3</v>
      </c>
      <c r="V88" s="6">
        <f>2*sigma/alpha*corel*(B88/12-1/alpha*(1-EXP(-alpha*Output!B88/12)))</f>
        <v>9.4664727519935377E-2</v>
      </c>
      <c r="W88" s="5">
        <f t="shared" si="26"/>
        <v>-4.9785861838665305E-2</v>
      </c>
      <c r="X88" s="1">
        <f t="shared" si="27"/>
        <v>1.2867985311621664</v>
      </c>
      <c r="Y88" s="3">
        <f t="shared" si="16"/>
        <v>8.1016106341991162E-2</v>
      </c>
      <c r="Z88" s="1">
        <f t="shared" si="17"/>
        <v>9.43188338801009E-2</v>
      </c>
      <c r="AA88" s="8">
        <f t="shared" si="23"/>
        <v>6.3333333333333277</v>
      </c>
      <c r="AB88" s="1">
        <v>6.4169999999999998</v>
      </c>
      <c r="AC88" s="1">
        <v>5.0435492129999998E-4</v>
      </c>
      <c r="AD88" s="8">
        <f t="shared" si="18"/>
        <v>7.3701261680167135E-2</v>
      </c>
      <c r="AE88" s="3">
        <f t="shared" si="19"/>
        <v>1.461297561847884E-2</v>
      </c>
      <c r="AF88" s="11">
        <f t="shared" si="20"/>
        <v>6.3333333333333277</v>
      </c>
      <c r="AG88" s="1">
        <f t="shared" si="21"/>
        <v>9.43188338801009E-2</v>
      </c>
    </row>
    <row r="89" spans="2:33" ht="15" x14ac:dyDescent="0.25">
      <c r="B89" s="1">
        <v>78</v>
      </c>
      <c r="C89" s="1">
        <v>1.0000401074240468</v>
      </c>
      <c r="D89" s="1">
        <v>1.0776597040997358</v>
      </c>
      <c r="E89" s="1">
        <v>0.92757907250891558</v>
      </c>
      <c r="G89" s="1">
        <v>0.99967534776027911</v>
      </c>
      <c r="H89" s="1">
        <v>1.9233491111681271</v>
      </c>
      <c r="I89" s="1">
        <v>0.50044308067453813</v>
      </c>
      <c r="K89" s="1">
        <v>1.000443397574537</v>
      </c>
      <c r="L89" s="1">
        <v>2.058996023549907</v>
      </c>
      <c r="M89" s="1">
        <v>0.46588998789811942</v>
      </c>
      <c r="O89" s="1">
        <v>4.9763895847381649E-4</v>
      </c>
      <c r="P89" s="1">
        <v>0.99677057262455193</v>
      </c>
      <c r="R89" s="1">
        <v>9.4123542522076262E-2</v>
      </c>
      <c r="S89" s="2">
        <f t="shared" si="24"/>
        <v>0.24092801013436893</v>
      </c>
      <c r="T89" s="4">
        <f t="shared" si="25"/>
        <v>5.8046306067306576E-2</v>
      </c>
      <c r="U89" s="1">
        <f t="shared" si="13"/>
        <v>7.5670275344301707E-3</v>
      </c>
      <c r="V89" s="6">
        <f>2*sigma/alpha*corel*(B89/12-1/alpha*(1-EXP(-alpha*Output!B89/12)))</f>
        <v>9.7036205636144568E-2</v>
      </c>
      <c r="W89" s="5">
        <f t="shared" si="26"/>
        <v>-5.0479278532876405E-2</v>
      </c>
      <c r="X89" s="1">
        <f t="shared" si="27"/>
        <v>1.3218772670590466</v>
      </c>
      <c r="Y89" s="3">
        <f t="shared" si="16"/>
        <v>8.0976385310074159E-2</v>
      </c>
      <c r="Z89" s="1">
        <f t="shared" si="17"/>
        <v>9.4499740388171341E-2</v>
      </c>
      <c r="AA89" s="8">
        <f t="shared" si="23"/>
        <v>6.4166666666666607</v>
      </c>
      <c r="AB89" s="1">
        <v>6.5</v>
      </c>
      <c r="AC89" s="1">
        <v>5.0531647370000003E-4</v>
      </c>
      <c r="AD89" s="8">
        <f t="shared" si="18"/>
        <v>7.6775152261835372E-2</v>
      </c>
      <c r="AE89" s="3">
        <f t="shared" si="19"/>
        <v>1.5193478989449255E-2</v>
      </c>
      <c r="AF89" s="11">
        <f t="shared" si="20"/>
        <v>6.4166666666666607</v>
      </c>
      <c r="AG89" s="1">
        <f t="shared" si="21"/>
        <v>9.4499740388171341E-2</v>
      </c>
    </row>
    <row r="90" spans="2:33" ht="15" x14ac:dyDescent="0.25">
      <c r="B90" s="1">
        <v>79</v>
      </c>
      <c r="C90" s="1">
        <v>1.0000408661544804</v>
      </c>
      <c r="D90" s="1">
        <v>1.0785416698663868</v>
      </c>
      <c r="E90" s="1">
        <v>0.92681715467290393</v>
      </c>
      <c r="G90" s="1">
        <v>0.99963960333658164</v>
      </c>
      <c r="H90" s="1">
        <v>1.9472330940340674</v>
      </c>
      <c r="I90" s="1">
        <v>0.49406383083405392</v>
      </c>
      <c r="K90" s="1">
        <v>1.000447303973633</v>
      </c>
      <c r="L90" s="1">
        <v>2.1078849813995579</v>
      </c>
      <c r="M90" s="1">
        <v>0.45485507057116997</v>
      </c>
      <c r="O90" s="1">
        <v>4.9804905757239236E-4</v>
      </c>
      <c r="P90" s="1">
        <v>0.99672654650754078</v>
      </c>
      <c r="R90" s="1">
        <v>9.4986733475417279E-2</v>
      </c>
      <c r="S90" s="2">
        <f t="shared" si="24"/>
        <v>0.24317181669989307</v>
      </c>
      <c r="T90" s="4">
        <f t="shared" si="25"/>
        <v>5.9132532437126392E-2</v>
      </c>
      <c r="U90" s="1">
        <f t="shared" si="13"/>
        <v>7.8431075152289864E-3</v>
      </c>
      <c r="V90" s="6">
        <f>2*sigma/alpha*corel*(B90/12-1/alpha*(1-EXP(-alpha*Output!B90/12)))</f>
        <v>9.9434456401650495E-2</v>
      </c>
      <c r="W90" s="5">
        <f t="shared" si="26"/>
        <v>-5.1289424921897406E-2</v>
      </c>
      <c r="X90" s="1">
        <f t="shared" si="27"/>
        <v>1.3605087340631903</v>
      </c>
      <c r="Y90" s="3">
        <f t="shared" si="16"/>
        <v>8.1036001526852142E-2</v>
      </c>
      <c r="Z90" s="1">
        <f t="shared" si="17"/>
        <v>9.4774241362791278E-2</v>
      </c>
      <c r="AA90" s="8">
        <f t="shared" si="23"/>
        <v>6.4999999999999938</v>
      </c>
      <c r="AB90" s="1">
        <v>6.5830000000000002</v>
      </c>
      <c r="AC90" s="1">
        <v>5.0604155240000003E-4</v>
      </c>
      <c r="AD90" s="8">
        <f t="shared" si="18"/>
        <v>7.9924948276076685E-2</v>
      </c>
      <c r="AE90" s="3">
        <f t="shared" si="19"/>
        <v>1.5794147317945956E-2</v>
      </c>
      <c r="AF90" s="11">
        <f t="shared" si="20"/>
        <v>6.4999999999999938</v>
      </c>
      <c r="AG90" s="1">
        <f t="shared" si="21"/>
        <v>9.4774241362791278E-2</v>
      </c>
    </row>
    <row r="91" spans="2:33" ht="15" x14ac:dyDescent="0.25">
      <c r="B91" s="1">
        <v>80</v>
      </c>
      <c r="C91" s="1">
        <v>1.0000438315815583</v>
      </c>
      <c r="D91" s="1">
        <v>1.0783718847622819</v>
      </c>
      <c r="E91" s="1">
        <v>0.92695970109401882</v>
      </c>
      <c r="G91" s="1">
        <v>0.99978160902090618</v>
      </c>
      <c r="H91" s="1">
        <v>1.9228599939826916</v>
      </c>
      <c r="I91" s="1">
        <v>0.50008237733578476</v>
      </c>
      <c r="K91" s="1">
        <v>1.0005033844061197</v>
      </c>
      <c r="L91" s="1">
        <v>2.0700137980367175</v>
      </c>
      <c r="M91" s="1">
        <v>0.46290812900682438</v>
      </c>
      <c r="O91" s="1">
        <v>4.9797577374964953E-4</v>
      </c>
      <c r="P91" s="1">
        <v>0.99668566607902764</v>
      </c>
      <c r="R91" s="1">
        <v>9.5777897504441128E-2</v>
      </c>
      <c r="S91" s="2">
        <f t="shared" si="24"/>
        <v>0.24522947522033678</v>
      </c>
      <c r="T91" s="4">
        <f t="shared" si="25"/>
        <v>6.013749551684177E-2</v>
      </c>
      <c r="U91" s="1">
        <f t="shared" si="13"/>
        <v>8.1253650639809827E-3</v>
      </c>
      <c r="V91" s="6">
        <f>2*sigma/alpha*corel*(B91/12-1/alpha*(1-EXP(-alpha*Output!B91/12)))</f>
        <v>0.10185939072286054</v>
      </c>
      <c r="W91" s="5">
        <f t="shared" si="26"/>
        <v>-5.2012130452860787E-2</v>
      </c>
      <c r="X91" s="1">
        <f t="shared" si="27"/>
        <v>1.3973654808880533</v>
      </c>
      <c r="Y91" s="3">
        <f t="shared" si="16"/>
        <v>8.101820656045805E-2</v>
      </c>
      <c r="Z91" s="1">
        <f t="shared" si="17"/>
        <v>9.4976967352754876E-2</v>
      </c>
      <c r="AA91" s="8">
        <f t="shared" si="23"/>
        <v>6.5833333333333268</v>
      </c>
      <c r="AB91" s="1">
        <v>6.6669999999999998</v>
      </c>
      <c r="AC91" s="1">
        <v>5.0643425329999995E-4</v>
      </c>
      <c r="AD91" s="8">
        <f t="shared" si="18"/>
        <v>8.4584795503504173E-2</v>
      </c>
      <c r="AE91" s="3">
        <f t="shared" si="19"/>
        <v>1.6702028931166724E-2</v>
      </c>
      <c r="AF91" s="11">
        <f t="shared" si="20"/>
        <v>6.5833333333333268</v>
      </c>
      <c r="AG91" s="1">
        <f t="shared" si="21"/>
        <v>9.4976967352754876E-2</v>
      </c>
    </row>
    <row r="92" spans="2:33" ht="15" x14ac:dyDescent="0.25">
      <c r="B92" s="1">
        <v>81</v>
      </c>
      <c r="C92" s="1">
        <v>1.0000438687013766</v>
      </c>
      <c r="D92" s="1">
        <v>1.0789997991096025</v>
      </c>
      <c r="E92" s="1">
        <v>0.9264169123763667</v>
      </c>
      <c r="G92" s="1">
        <v>0.99968269572305868</v>
      </c>
      <c r="H92" s="1">
        <v>1.9429220813865788</v>
      </c>
      <c r="I92" s="1">
        <v>0.49467738700665032</v>
      </c>
      <c r="K92" s="1">
        <v>1.0004456480232433</v>
      </c>
      <c r="L92" s="1">
        <v>2.0461279798070398</v>
      </c>
      <c r="M92" s="1">
        <v>0.46804967721355012</v>
      </c>
      <c r="O92" s="1">
        <v>4.9747414527387401E-4</v>
      </c>
      <c r="P92" s="1">
        <v>0.99664768112979663</v>
      </c>
      <c r="R92" s="1">
        <v>9.6477118829405836E-2</v>
      </c>
      <c r="S92" s="2">
        <f t="shared" si="24"/>
        <v>0.24705084773660707</v>
      </c>
      <c r="T92" s="4">
        <f t="shared" si="25"/>
        <v>6.103412136737621E-2</v>
      </c>
      <c r="U92" s="1">
        <f t="shared" si="13"/>
        <v>8.4138476354866931E-3</v>
      </c>
      <c r="V92" s="6">
        <f>2*sigma/alpha*corel*(B92/12-1/alpha*(1-EXP(-alpha*Output!B92/12)))</f>
        <v>0.10431091980266605</v>
      </c>
      <c r="W92" s="5">
        <f t="shared" si="26"/>
        <v>-5.2620273731889516E-2</v>
      </c>
      <c r="X92" s="1">
        <f t="shared" si="27"/>
        <v>1.4316281587510951</v>
      </c>
      <c r="Y92" s="3">
        <f t="shared" si="16"/>
        <v>8.0903387275204505E-2</v>
      </c>
      <c r="Z92" s="1">
        <f t="shared" si="17"/>
        <v>9.5089915629503557E-2</v>
      </c>
      <c r="AA92" s="8">
        <f t="shared" si="23"/>
        <v>6.6666666666666599</v>
      </c>
      <c r="AB92" s="1">
        <v>6.75</v>
      </c>
      <c r="AC92" s="1">
        <v>5.0639882019999996E-4</v>
      </c>
      <c r="AD92" s="8">
        <f t="shared" si="18"/>
        <v>8.9246749261259445E-2</v>
      </c>
      <c r="AE92" s="3">
        <f t="shared" si="19"/>
        <v>1.7623806711479274E-2</v>
      </c>
      <c r="AF92" s="11">
        <f t="shared" si="20"/>
        <v>6.6666666666666599</v>
      </c>
      <c r="AG92" s="1">
        <f t="shared" si="21"/>
        <v>9.5089915629503557E-2</v>
      </c>
    </row>
    <row r="93" spans="2:33" ht="15" x14ac:dyDescent="0.25">
      <c r="B93" s="1">
        <v>82</v>
      </c>
      <c r="C93" s="1">
        <v>1.0000442395927267</v>
      </c>
      <c r="D93" s="1">
        <v>1.0766532191475917</v>
      </c>
      <c r="E93" s="1">
        <v>0.92843271383555426</v>
      </c>
      <c r="G93" s="1">
        <v>0.99961433439812442</v>
      </c>
      <c r="H93" s="1">
        <v>1.903293897829387</v>
      </c>
      <c r="I93" s="1">
        <v>0.50473082885659604</v>
      </c>
      <c r="K93" s="1">
        <v>1.0004880388131652</v>
      </c>
      <c r="L93" s="1">
        <v>2.0331527302075401</v>
      </c>
      <c r="M93" s="1">
        <v>0.4708172120741797</v>
      </c>
      <c r="O93" s="1">
        <v>4.9634283225298483E-4</v>
      </c>
      <c r="P93" s="1">
        <v>0.99661406921555651</v>
      </c>
      <c r="R93" s="1">
        <v>9.7345177902167526E-2</v>
      </c>
      <c r="S93" s="2">
        <f t="shared" si="24"/>
        <v>0.24929374508767421</v>
      </c>
      <c r="T93" s="4">
        <f t="shared" si="25"/>
        <v>6.2147371339838289E-2</v>
      </c>
      <c r="U93" s="1">
        <f t="shared" si="13"/>
        <v>8.708602074716687E-3</v>
      </c>
      <c r="V93" s="6">
        <f>2*sigma/alpha*corel*(B93/12-1/alpha*(1-EXP(-alpha*Output!B93/12)))</f>
        <v>0.10678895513945685</v>
      </c>
      <c r="W93" s="5">
        <f t="shared" si="26"/>
        <v>-5.3438769265121602E-2</v>
      </c>
      <c r="X93" s="1">
        <f t="shared" si="27"/>
        <v>1.4720635741864341</v>
      </c>
      <c r="Y93" s="3">
        <f t="shared" si="16"/>
        <v>8.0963218197192349E-2</v>
      </c>
      <c r="Z93" s="1">
        <f t="shared" si="17"/>
        <v>9.5366331948149433E-2</v>
      </c>
      <c r="AA93" s="8">
        <f t="shared" si="23"/>
        <v>6.7499999999999929</v>
      </c>
      <c r="AB93" s="1">
        <v>6.8330000000000002</v>
      </c>
      <c r="AC93" s="1">
        <v>5.0583953429999997E-4</v>
      </c>
      <c r="AD93" s="8">
        <f t="shared" si="18"/>
        <v>9.4967020470151459E-2</v>
      </c>
      <c r="AE93" s="3">
        <f t="shared" si="19"/>
        <v>1.8774139629392637E-2</v>
      </c>
      <c r="AF93" s="11">
        <f t="shared" si="20"/>
        <v>6.7499999999999929</v>
      </c>
      <c r="AG93" s="1">
        <f t="shared" si="21"/>
        <v>9.5366331948149433E-2</v>
      </c>
    </row>
    <row r="94" spans="2:33" ht="15" x14ac:dyDescent="0.25">
      <c r="B94" s="1">
        <v>83</v>
      </c>
      <c r="C94" s="1">
        <v>1.0000443384210445</v>
      </c>
      <c r="D94" s="1">
        <v>1.0755645441294042</v>
      </c>
      <c r="E94" s="1">
        <v>0.92936914581552388</v>
      </c>
      <c r="G94" s="1">
        <v>0.99951714989183926</v>
      </c>
      <c r="H94" s="1">
        <v>1.8868356859695297</v>
      </c>
      <c r="I94" s="1">
        <v>0.50888525556559683</v>
      </c>
      <c r="K94" s="1">
        <v>1.0003688640328976</v>
      </c>
      <c r="L94" s="1">
        <v>2.0790705672062382</v>
      </c>
      <c r="M94" s="1">
        <v>0.46015918400277733</v>
      </c>
      <c r="O94" s="1">
        <v>4.9439183135192508E-4</v>
      </c>
      <c r="P94" s="1">
        <v>0.99658629648010533</v>
      </c>
      <c r="R94" s="1">
        <v>9.7863350524038634E-2</v>
      </c>
      <c r="S94" s="2">
        <f t="shared" si="24"/>
        <v>0.2506434113083098</v>
      </c>
      <c r="T94" s="4">
        <f t="shared" si="25"/>
        <v>6.2822119632266568E-2</v>
      </c>
      <c r="U94" s="1">
        <f t="shared" si="13"/>
        <v>9.0096746218470969E-3</v>
      </c>
      <c r="V94" s="6">
        <f>2*sigma/alpha*corel*(B94/12-1/alpha*(1-EXP(-alpha*Output!B94/12)))</f>
        <v>0.10929340852613623</v>
      </c>
      <c r="W94" s="5">
        <f t="shared" si="26"/>
        <v>-5.3812445010419471E-2</v>
      </c>
      <c r="X94" s="1">
        <f t="shared" si="27"/>
        <v>1.5007560277688661</v>
      </c>
      <c r="Y94" s="3">
        <f t="shared" si="16"/>
        <v>8.0657354532179065E-2</v>
      </c>
      <c r="Z94" s="1">
        <f t="shared" si="17"/>
        <v>9.5303284788154238E-2</v>
      </c>
      <c r="AA94" s="8">
        <f t="shared" si="23"/>
        <v>6.8333333333333259</v>
      </c>
      <c r="AB94" s="1">
        <v>6.9169999999999998</v>
      </c>
      <c r="AC94" s="1">
        <v>5.0466067649999999E-4</v>
      </c>
      <c r="AD94" s="8">
        <f t="shared" si="18"/>
        <v>0.10268845148074913</v>
      </c>
      <c r="AE94" s="3">
        <f t="shared" si="19"/>
        <v>2.0348019226092633E-2</v>
      </c>
      <c r="AF94" s="11">
        <f t="shared" si="20"/>
        <v>6.8333333333333259</v>
      </c>
      <c r="AG94" s="1">
        <f t="shared" si="21"/>
        <v>9.5303284788154238E-2</v>
      </c>
    </row>
    <row r="95" spans="2:33" ht="15" x14ac:dyDescent="0.25">
      <c r="B95" s="1">
        <v>84</v>
      </c>
      <c r="C95" s="1">
        <v>1.0000451601029949</v>
      </c>
      <c r="D95" s="1">
        <v>1.0764660042484167</v>
      </c>
      <c r="E95" s="1">
        <v>0.92858757641027856</v>
      </c>
      <c r="G95" s="1">
        <v>0.99948259660745631</v>
      </c>
      <c r="H95" s="1">
        <v>1.899991110998974</v>
      </c>
      <c r="I95" s="1">
        <v>0.50511545782142975</v>
      </c>
      <c r="K95" s="1">
        <v>1.0004185168569368</v>
      </c>
      <c r="L95" s="1">
        <v>2.0548302085734358</v>
      </c>
      <c r="M95" s="1">
        <v>0.46534879741354057</v>
      </c>
      <c r="O95" s="1">
        <v>4.917119061483182E-4</v>
      </c>
      <c r="P95" s="1">
        <v>0.9965639334911337</v>
      </c>
      <c r="R95" s="1">
        <v>9.8793414452487738E-2</v>
      </c>
      <c r="S95" s="2">
        <f t="shared" si="24"/>
        <v>0.25302838154854512</v>
      </c>
      <c r="T95" s="4">
        <f t="shared" si="25"/>
        <v>6.4023361869076131E-2</v>
      </c>
      <c r="U95" s="1">
        <f t="shared" si="13"/>
        <v>9.3171109172556221E-3</v>
      </c>
      <c r="V95" s="6">
        <f>2*sigma/alpha*corel*(B95/12-1/alpha*(1-EXP(-alpha*Output!B95/12)))</f>
        <v>0.11182419204914207</v>
      </c>
      <c r="W95" s="5">
        <f t="shared" si="26"/>
        <v>-5.4706250951820509E-2</v>
      </c>
      <c r="X95" s="1">
        <f t="shared" si="27"/>
        <v>1.5442796765784177</v>
      </c>
      <c r="Y95" s="3">
        <f t="shared" si="16"/>
        <v>8.0776164790065788E-2</v>
      </c>
      <c r="Z95" s="1">
        <f t="shared" si="17"/>
        <v>9.5635738888373525E-2</v>
      </c>
      <c r="AA95" s="8">
        <f t="shared" si="23"/>
        <v>6.916666666666659</v>
      </c>
      <c r="AB95" s="1">
        <v>7</v>
      </c>
      <c r="AC95" s="1">
        <v>5.0276652800000004E-4</v>
      </c>
      <c r="AD95" s="8">
        <f t="shared" si="18"/>
        <v>0.11054621851681835</v>
      </c>
      <c r="AE95" s="3">
        <f t="shared" si="19"/>
        <v>2.1987585163350084E-2</v>
      </c>
      <c r="AF95" s="11">
        <f t="shared" si="20"/>
        <v>6.916666666666659</v>
      </c>
      <c r="AG95" s="1">
        <f t="shared" si="21"/>
        <v>9.5635738888373525E-2</v>
      </c>
    </row>
    <row r="96" spans="2:33" ht="15" x14ac:dyDescent="0.25">
      <c r="B96" s="1">
        <v>85</v>
      </c>
      <c r="C96" s="1">
        <v>1.0000459314769594</v>
      </c>
      <c r="D96" s="1">
        <v>1.0804050367144549</v>
      </c>
      <c r="E96" s="1">
        <v>0.9251987949278494</v>
      </c>
      <c r="G96" s="1">
        <v>0.99944205493098048</v>
      </c>
      <c r="H96" s="1">
        <v>1.9638282583135749</v>
      </c>
      <c r="I96" s="1">
        <v>0.48845776618786096</v>
      </c>
      <c r="K96" s="1">
        <v>1.0003554194333186</v>
      </c>
      <c r="L96" s="1">
        <v>2.0364564755362284</v>
      </c>
      <c r="M96" s="1">
        <v>0.46927029946022103</v>
      </c>
      <c r="O96" s="1">
        <v>4.8828922829984218E-4</v>
      </c>
      <c r="P96" s="1">
        <v>0.99654725909889419</v>
      </c>
      <c r="R96" s="1">
        <v>9.9468708045763063E-2</v>
      </c>
      <c r="S96" s="2">
        <f t="shared" si="24"/>
        <v>0.25476090446595978</v>
      </c>
      <c r="T96" s="4">
        <f t="shared" si="25"/>
        <v>6.4903118444313887E-2</v>
      </c>
      <c r="U96" s="1">
        <f t="shared" si="13"/>
        <v>9.6309560064766764E-3</v>
      </c>
      <c r="V96" s="6">
        <f>2*sigma/alpha*corel*(B96/12-1/alpha*(1-EXP(-alpha*Output!B96/12)))</f>
        <v>0.11438121808746915</v>
      </c>
      <c r="W96" s="5">
        <f t="shared" si="26"/>
        <v>-5.5272162437837211E-2</v>
      </c>
      <c r="X96" s="1">
        <f t="shared" si="27"/>
        <v>1.5791276654565607</v>
      </c>
      <c r="Y96" s="3">
        <f t="shared" si="16"/>
        <v>8.0629570373067144E-2</v>
      </c>
      <c r="Z96" s="1">
        <f t="shared" si="17"/>
        <v>9.5722480077244307E-2</v>
      </c>
      <c r="AA96" s="8">
        <f t="shared" si="23"/>
        <v>6.999999999999992</v>
      </c>
      <c r="AB96" s="1">
        <v>7.0830000000000002</v>
      </c>
      <c r="AC96" s="1">
        <v>5.0006136979999997E-4</v>
      </c>
      <c r="AD96" s="8">
        <f t="shared" si="18"/>
        <v>0.11772141500157791</v>
      </c>
      <c r="AE96" s="3">
        <f t="shared" si="19"/>
        <v>2.3541393539089153E-2</v>
      </c>
      <c r="AF96" s="11">
        <f t="shared" si="20"/>
        <v>6.999999999999992</v>
      </c>
      <c r="AG96" s="1">
        <f t="shared" si="21"/>
        <v>9.5722480077244307E-2</v>
      </c>
    </row>
    <row r="97" spans="2:33" ht="15" x14ac:dyDescent="0.25">
      <c r="B97" s="1">
        <v>86</v>
      </c>
      <c r="C97" s="1">
        <v>1.0000458879081009</v>
      </c>
      <c r="D97" s="1">
        <v>1.0836516689427196</v>
      </c>
      <c r="E97" s="1">
        <v>0.92242366215193117</v>
      </c>
      <c r="G97" s="1">
        <v>0.99933156339141005</v>
      </c>
      <c r="H97" s="1">
        <v>2.0187855580488243</v>
      </c>
      <c r="I97" s="1">
        <v>0.47492895345627828</v>
      </c>
      <c r="K97" s="1">
        <v>1.0002992109145945</v>
      </c>
      <c r="L97" s="1">
        <v>2.0561636726299355</v>
      </c>
      <c r="M97" s="1">
        <v>0.46455465447139782</v>
      </c>
      <c r="O97" s="1">
        <v>4.8483989236844849E-4</v>
      </c>
      <c r="P97" s="1">
        <v>0.99653134383989461</v>
      </c>
      <c r="R97" s="1">
        <v>0.10029716369591944</v>
      </c>
      <c r="S97" s="2">
        <f t="shared" si="24"/>
        <v>0.25688040338217377</v>
      </c>
      <c r="T97" s="4">
        <f t="shared" si="25"/>
        <v>6.5987541641788314E-2</v>
      </c>
      <c r="U97" s="1">
        <f t="shared" si="13"/>
        <v>9.9512543451281132E-3</v>
      </c>
      <c r="V97" s="6">
        <f>2*sigma/alpha*corel*(B97/12-1/alpha*(1-EXP(-alpha*Output!B97/12)))</f>
        <v>0.11696439931169667</v>
      </c>
      <c r="W97" s="5">
        <f t="shared" si="26"/>
        <v>-5.60362872966602E-2</v>
      </c>
      <c r="X97" s="1">
        <f t="shared" si="27"/>
        <v>1.6200542398772717</v>
      </c>
      <c r="Y97" s="3">
        <f t="shared" si="16"/>
        <v>8.0640635866176896E-2</v>
      </c>
      <c r="Z97" s="1">
        <f t="shared" si="17"/>
        <v>9.595605218024017E-2</v>
      </c>
      <c r="AA97" s="8">
        <f t="shared" si="23"/>
        <v>7.083333333333325</v>
      </c>
      <c r="AB97" s="1">
        <v>7.1669999999999998</v>
      </c>
      <c r="AC97" s="1">
        <v>4.9661774360000002E-4</v>
      </c>
      <c r="AD97" s="8">
        <f t="shared" si="18"/>
        <v>0.11777851231551534</v>
      </c>
      <c r="AE97" s="3">
        <f t="shared" si="19"/>
        <v>2.3716130531650888E-2</v>
      </c>
      <c r="AF97" s="11">
        <f t="shared" si="20"/>
        <v>7.083333333333325</v>
      </c>
      <c r="AG97" s="1">
        <f t="shared" si="21"/>
        <v>9.595605218024017E-2</v>
      </c>
    </row>
    <row r="98" spans="2:33" ht="15" x14ac:dyDescent="0.25">
      <c r="B98" s="1">
        <v>87</v>
      </c>
      <c r="C98" s="1">
        <v>1.0000466036399238</v>
      </c>
      <c r="D98" s="1">
        <v>1.0860058507409545</v>
      </c>
      <c r="E98" s="1">
        <v>0.92042088647413756</v>
      </c>
      <c r="G98" s="1">
        <v>0.99928364390826863</v>
      </c>
      <c r="H98" s="1">
        <v>2.0566714211657251</v>
      </c>
      <c r="I98" s="1">
        <v>0.46595314888816841</v>
      </c>
      <c r="K98" s="1">
        <v>1.0002606190191914</v>
      </c>
      <c r="L98" s="1">
        <v>2.0670346833081239</v>
      </c>
      <c r="M98" s="1">
        <v>0.46184097651734479</v>
      </c>
      <c r="O98" s="1">
        <v>4.8234296978528178E-4</v>
      </c>
      <c r="P98" s="1">
        <v>0.99650912080529053</v>
      </c>
      <c r="R98" s="1">
        <v>0.10113763185476389</v>
      </c>
      <c r="S98" s="2">
        <f t="shared" si="24"/>
        <v>0.2590393690823708</v>
      </c>
      <c r="T98" s="4">
        <f t="shared" si="25"/>
        <v>6.7101394734592715E-2</v>
      </c>
      <c r="U98" s="1">
        <f t="shared" si="13"/>
        <v>1.0278049803796208E-2</v>
      </c>
      <c r="V98" s="6">
        <f>2*sigma/alpha*corel*(B98/12-1/alpha*(1-EXP(-alpha*Output!B98/12)))</f>
        <v>0.11957364868301645</v>
      </c>
      <c r="W98" s="5">
        <f t="shared" si="26"/>
        <v>-5.6823344930796507E-2</v>
      </c>
      <c r="X98" s="1">
        <f t="shared" si="27"/>
        <v>1.6621748604524682</v>
      </c>
      <c r="Y98" s="3">
        <f t="shared" si="16"/>
        <v>8.0667583259722148E-2</v>
      </c>
      <c r="Z98" s="1">
        <f t="shared" si="17"/>
        <v>9.6204806485841995E-2</v>
      </c>
      <c r="AA98" s="8">
        <f t="shared" si="23"/>
        <v>7.1666666666666581</v>
      </c>
      <c r="AB98" s="1">
        <v>7.25</v>
      </c>
      <c r="AC98" s="1">
        <v>4.9318123440000004E-4</v>
      </c>
      <c r="AD98" s="8">
        <f t="shared" si="18"/>
        <v>0.1083826461471826</v>
      </c>
      <c r="AE98" s="3">
        <f t="shared" si="19"/>
        <v>2.1976230762113236E-2</v>
      </c>
      <c r="AF98" s="11">
        <f t="shared" si="20"/>
        <v>7.1666666666666581</v>
      </c>
      <c r="AG98" s="1">
        <f t="shared" si="21"/>
        <v>9.6204806485841995E-2</v>
      </c>
    </row>
    <row r="99" spans="2:33" ht="15" x14ac:dyDescent="0.25">
      <c r="B99" s="1">
        <v>88</v>
      </c>
      <c r="C99" s="1">
        <v>1.0000462803894805</v>
      </c>
      <c r="D99" s="1">
        <v>1.0827474767510255</v>
      </c>
      <c r="E99" s="1">
        <v>0.92318757597053203</v>
      </c>
      <c r="G99" s="1">
        <v>0.9991447743280687</v>
      </c>
      <c r="H99" s="1">
        <v>2.0005554626242747</v>
      </c>
      <c r="I99" s="1">
        <v>0.47878982583290747</v>
      </c>
      <c r="K99" s="1">
        <v>1.0001331321479197</v>
      </c>
      <c r="L99" s="1">
        <v>2.0591534574626378</v>
      </c>
      <c r="M99" s="1">
        <v>0.4633923097918356</v>
      </c>
      <c r="O99" s="1">
        <v>4.8183250046897319E-4</v>
      </c>
      <c r="P99" s="1">
        <v>0.99647279691035173</v>
      </c>
      <c r="R99" s="1">
        <v>0.10167795354673417</v>
      </c>
      <c r="S99" s="2">
        <f t="shared" si="24"/>
        <v>0.26045801229489596</v>
      </c>
      <c r="T99" s="4">
        <f t="shared" si="25"/>
        <v>6.7838376168608175E-2</v>
      </c>
      <c r="U99" s="1">
        <f t="shared" si="13"/>
        <v>1.0611385672885554E-2</v>
      </c>
      <c r="V99" s="6">
        <f>2*sigma/alpha*corel*(B99/12-1/alpha*(1-EXP(-alpha*Output!B99/12)))</f>
        <v>0.12220887945226722</v>
      </c>
      <c r="W99" s="5">
        <f t="shared" si="26"/>
        <v>-5.7226990495722621E-2</v>
      </c>
      <c r="X99" s="1">
        <f t="shared" si="27"/>
        <v>1.693593398091509</v>
      </c>
      <c r="Y99" s="3">
        <f t="shared" si="16"/>
        <v>8.0398122467020772E-2</v>
      </c>
      <c r="Z99" s="1">
        <f t="shared" si="17"/>
        <v>9.6180495212676367E-2</v>
      </c>
      <c r="AA99" s="8">
        <f t="shared" si="23"/>
        <v>7.2499999999999911</v>
      </c>
      <c r="AB99" s="1">
        <v>7.3330000000000002</v>
      </c>
      <c r="AC99" s="1">
        <v>4.9066568800000001E-4</v>
      </c>
      <c r="AD99" s="8">
        <f t="shared" si="18"/>
        <v>8.8331875310268149E-2</v>
      </c>
      <c r="AE99" s="3">
        <f t="shared" si="19"/>
        <v>1.8002456146937292E-2</v>
      </c>
      <c r="AF99" s="11">
        <f t="shared" si="20"/>
        <v>7.2499999999999911</v>
      </c>
      <c r="AG99" s="1">
        <f t="shared" si="21"/>
        <v>9.6180495212676367E-2</v>
      </c>
    </row>
    <row r="100" spans="2:33" ht="15" x14ac:dyDescent="0.25">
      <c r="B100" s="1">
        <v>89</v>
      </c>
      <c r="C100" s="1">
        <v>1.0000484301261825</v>
      </c>
      <c r="D100" s="1">
        <v>1.0812734625371634</v>
      </c>
      <c r="E100" s="1">
        <v>0.92444291483424834</v>
      </c>
      <c r="G100" s="1">
        <v>0.99920967198009936</v>
      </c>
      <c r="H100" s="1">
        <v>1.974991833429427</v>
      </c>
      <c r="I100" s="1">
        <v>0.48475083514088352</v>
      </c>
      <c r="K100" s="1">
        <v>1.0001725806773789</v>
      </c>
      <c r="L100" s="1">
        <v>2.0113672525817261</v>
      </c>
      <c r="M100" s="1">
        <v>0.4741237683298582</v>
      </c>
      <c r="O100" s="1">
        <v>4.8397187902205906E-4</v>
      </c>
      <c r="P100" s="1">
        <v>0.99641697630101222</v>
      </c>
      <c r="R100" s="1">
        <v>0.10239954734033811</v>
      </c>
      <c r="S100" s="2">
        <f t="shared" si="24"/>
        <v>0.26236300348456632</v>
      </c>
      <c r="T100" s="4">
        <f t="shared" si="25"/>
        <v>6.8834345597442559E-2</v>
      </c>
      <c r="U100" s="1">
        <f t="shared" si="13"/>
        <v>1.0951304667437434E-2</v>
      </c>
      <c r="V100" s="6">
        <f>2*sigma/alpha*corel*(B100/12-1/alpha*(1-EXP(-alpha*Output!B100/12)))</f>
        <v>0.12487000515897007</v>
      </c>
      <c r="W100" s="5">
        <f t="shared" si="26"/>
        <v>-5.7883040930005125E-2</v>
      </c>
      <c r="X100" s="1">
        <f t="shared" si="27"/>
        <v>1.7327893991118866</v>
      </c>
      <c r="Y100" s="3">
        <f t="shared" si="16"/>
        <v>8.0324803280320781E-2</v>
      </c>
      <c r="Z100" s="1">
        <f t="shared" si="17"/>
        <v>9.6338130360999474E-2</v>
      </c>
      <c r="AA100" s="8">
        <f t="shared" si="23"/>
        <v>7.3333333333333242</v>
      </c>
      <c r="AB100" s="1">
        <v>7.4169999999999998</v>
      </c>
      <c r="AC100" s="1">
        <v>4.8998494999999995E-4</v>
      </c>
      <c r="AD100" s="8">
        <f t="shared" si="18"/>
        <v>6.0130709779408896E-2</v>
      </c>
      <c r="AE100" s="3">
        <f t="shared" si="19"/>
        <v>1.2271950348558441E-2</v>
      </c>
      <c r="AF100" s="11">
        <f t="shared" si="20"/>
        <v>7.3333333333333242</v>
      </c>
      <c r="AG100" s="1">
        <f t="shared" si="21"/>
        <v>9.6338130360999474E-2</v>
      </c>
    </row>
    <row r="101" spans="2:33" ht="15" x14ac:dyDescent="0.25">
      <c r="B101" s="1">
        <v>90</v>
      </c>
      <c r="C101" s="1">
        <v>1.0000498395183794</v>
      </c>
      <c r="D101" s="1">
        <v>1.0822299465081837</v>
      </c>
      <c r="E101" s="1">
        <v>0.92362273888110014</v>
      </c>
      <c r="G101" s="1">
        <v>0.99921459841168414</v>
      </c>
      <c r="H101" s="1">
        <v>2.0015307582909032</v>
      </c>
      <c r="I101" s="1">
        <v>0.47809035082164159</v>
      </c>
      <c r="K101" s="1">
        <v>1.0001509240610711</v>
      </c>
      <c r="L101" s="1">
        <v>2.0265137514745022</v>
      </c>
      <c r="M101" s="1">
        <v>0.47034894900668839</v>
      </c>
      <c r="O101" s="1">
        <v>4.8976288803913044E-4</v>
      </c>
      <c r="P101" s="1">
        <v>0.99633351636577683</v>
      </c>
      <c r="R101" s="1">
        <v>0.10292419068230245</v>
      </c>
      <c r="S101" s="2">
        <f t="shared" si="24"/>
        <v>0.26380767709524722</v>
      </c>
      <c r="T101" s="4">
        <f t="shared" si="25"/>
        <v>6.9594490494390218E-2</v>
      </c>
      <c r="U101" s="1">
        <f t="shared" si="13"/>
        <v>1.1297848931910437E-2</v>
      </c>
      <c r="V101" s="6">
        <f>2*sigma/alpha*corel*(B101/12-1/alpha*(1-EXP(-alpha*Output!B101/12)))</f>
        <v>0.1275569396303684</v>
      </c>
      <c r="W101" s="5">
        <f t="shared" si="26"/>
        <v>-5.8296641562479781E-2</v>
      </c>
      <c r="X101" s="1">
        <f t="shared" si="27"/>
        <v>1.7651700197222591</v>
      </c>
      <c r="Y101" s="3">
        <f t="shared" si="16"/>
        <v>8.0069338143597651E-2</v>
      </c>
      <c r="Z101" s="1">
        <f t="shared" si="17"/>
        <v>9.632894372540389E-2</v>
      </c>
      <c r="AA101" s="8">
        <f t="shared" si="23"/>
        <v>7.4166666666666572</v>
      </c>
      <c r="AB101" s="1">
        <v>7.5</v>
      </c>
      <c r="AC101" s="1">
        <v>4.9205286609999997E-4</v>
      </c>
      <c r="AD101" s="8">
        <f t="shared" si="18"/>
        <v>2.289978060869536E-2</v>
      </c>
      <c r="AE101" s="3">
        <f t="shared" si="19"/>
        <v>4.6539268819219583E-3</v>
      </c>
      <c r="AF101" s="11">
        <f t="shared" si="20"/>
        <v>7.4166666666666572</v>
      </c>
      <c r="AG101" s="1">
        <f t="shared" si="21"/>
        <v>9.632894372540389E-2</v>
      </c>
    </row>
    <row r="102" spans="2:33" ht="15" x14ac:dyDescent="0.25">
      <c r="B102" s="1">
        <v>91</v>
      </c>
      <c r="C102" s="1">
        <v>1.000050597402069</v>
      </c>
      <c r="D102" s="1">
        <v>1.0851601777414726</v>
      </c>
      <c r="E102" s="1">
        <v>0.92112558674754708</v>
      </c>
      <c r="G102" s="1">
        <v>0.99916429766958026</v>
      </c>
      <c r="H102" s="1">
        <v>2.0507090049280823</v>
      </c>
      <c r="I102" s="1">
        <v>0.46639791608130149</v>
      </c>
      <c r="K102" s="1">
        <v>1.0002002502361254</v>
      </c>
      <c r="L102" s="1">
        <v>2.1363244808348014</v>
      </c>
      <c r="M102" s="1">
        <v>0.44590197634105366</v>
      </c>
      <c r="O102" s="1">
        <v>5.0018316558235834E-4</v>
      </c>
      <c r="P102" s="1">
        <v>0.99621412887666516</v>
      </c>
      <c r="R102" s="1">
        <v>0.103735969401543</v>
      </c>
      <c r="S102" s="2">
        <f t="shared" si="24"/>
        <v>0.26602997480402346</v>
      </c>
      <c r="T102" s="4">
        <f t="shared" si="25"/>
        <v>7.0771947494229354E-2</v>
      </c>
      <c r="U102" s="1">
        <f t="shared" si="13"/>
        <v>1.1651060044920225E-2</v>
      </c>
      <c r="V102" s="6">
        <f>2*sigma/alpha*corel*(B102/12-1/alpha*(1-EXP(-alpha*Output!B102/12)))</f>
        <v>0.13026959698046869</v>
      </c>
      <c r="W102" s="5">
        <f t="shared" si="26"/>
        <v>-5.9120887449309129E-2</v>
      </c>
      <c r="X102" s="1">
        <f t="shared" si="27"/>
        <v>1.8103037538598306</v>
      </c>
      <c r="Y102" s="3">
        <f t="shared" si="16"/>
        <v>8.0123452234549003E-2</v>
      </c>
      <c r="Z102" s="1">
        <f t="shared" si="17"/>
        <v>9.6605199159949681E-2</v>
      </c>
      <c r="AA102" s="8">
        <f t="shared" si="23"/>
        <v>7.4999999999999902</v>
      </c>
      <c r="AB102" s="1">
        <v>7.5830000000000002</v>
      </c>
      <c r="AC102" s="1">
        <v>4.9778328220000004E-4</v>
      </c>
      <c r="AD102" s="8">
        <f t="shared" si="18"/>
        <v>-2.3998833823582998E-2</v>
      </c>
      <c r="AE102" s="3">
        <f t="shared" si="19"/>
        <v>-4.821140982782285E-3</v>
      </c>
      <c r="AF102" s="11">
        <f t="shared" si="20"/>
        <v>7.4999999999999902</v>
      </c>
      <c r="AG102" s="1">
        <f t="shared" si="21"/>
        <v>9.6605199159949681E-2</v>
      </c>
    </row>
    <row r="103" spans="2:33" ht="15" x14ac:dyDescent="0.25">
      <c r="B103" s="1">
        <v>92</v>
      </c>
      <c r="C103" s="1">
        <v>1.0000526594487971</v>
      </c>
      <c r="D103" s="1">
        <v>1.0882494738980404</v>
      </c>
      <c r="E103" s="1">
        <v>0.91850763109293065</v>
      </c>
      <c r="G103" s="1">
        <v>0.99921691316813033</v>
      </c>
      <c r="H103" s="1">
        <v>2.1042037696170457</v>
      </c>
      <c r="I103" s="1">
        <v>0.4543193706674426</v>
      </c>
      <c r="K103" s="1">
        <v>1.0002400821480228</v>
      </c>
      <c r="L103" s="1">
        <v>2.0765564831999912</v>
      </c>
      <c r="M103" s="1">
        <v>0.45852683690726159</v>
      </c>
      <c r="O103" s="1">
        <v>5.1609607636021976E-4</v>
      </c>
      <c r="P103" s="1">
        <v>0.99605108098269013</v>
      </c>
      <c r="R103" s="1">
        <v>0.10460401310740675</v>
      </c>
      <c r="S103" s="2">
        <f t="shared" si="24"/>
        <v>0.2684560382953497</v>
      </c>
      <c r="T103" s="4">
        <f t="shared" si="25"/>
        <v>7.2068644497234269E-2</v>
      </c>
      <c r="U103" s="1">
        <f t="shared" si="13"/>
        <v>1.2010979023958424E-2</v>
      </c>
      <c r="V103" s="6">
        <f>2*sigma/alpha*corel*(B103/12-1/alpha*(1-EXP(-alpha*Output!B103/12)))</f>
        <v>0.13300789160908832</v>
      </c>
      <c r="W103" s="5">
        <f t="shared" si="26"/>
        <v>-6.0057665473275845E-2</v>
      </c>
      <c r="X103" s="1">
        <f t="shared" si="27"/>
        <v>1.8594595070774209</v>
      </c>
      <c r="Y103" s="3">
        <f t="shared" si="16"/>
        <v>8.0257311480824642E-2</v>
      </c>
      <c r="Z103" s="1">
        <f t="shared" si="17"/>
        <v>9.6954927558634788E-2</v>
      </c>
      <c r="AA103" s="8">
        <f t="shared" si="23"/>
        <v>7.5833333333333233</v>
      </c>
      <c r="AB103" s="1">
        <v>7.6669999999999998</v>
      </c>
      <c r="AC103" s="1">
        <v>5.0809120860000002E-4</v>
      </c>
      <c r="AD103" s="8">
        <f t="shared" si="18"/>
        <v>-8.0048677602197318E-2</v>
      </c>
      <c r="AE103" s="3">
        <f t="shared" si="19"/>
        <v>-1.5754785016407646E-2</v>
      </c>
      <c r="AF103" s="11">
        <f t="shared" si="20"/>
        <v>7.5833333333333233</v>
      </c>
      <c r="AG103" s="1">
        <f t="shared" si="21"/>
        <v>9.6954927558634788E-2</v>
      </c>
    </row>
    <row r="104" spans="2:33" ht="15" x14ac:dyDescent="0.25">
      <c r="B104" s="1">
        <v>93</v>
      </c>
      <c r="C104" s="1">
        <v>1.0000514223740622</v>
      </c>
      <c r="D104" s="1">
        <v>1.0878006332621275</v>
      </c>
      <c r="E104" s="1">
        <v>0.91888355126674015</v>
      </c>
      <c r="G104" s="1">
        <v>0.9990082608420231</v>
      </c>
      <c r="H104" s="1">
        <v>2.0961707840995443</v>
      </c>
      <c r="I104" s="1">
        <v>0.45583829647920532</v>
      </c>
      <c r="K104" s="1">
        <v>1.0001287868625719</v>
      </c>
      <c r="L104" s="1">
        <v>2.0629848622883751</v>
      </c>
      <c r="M104" s="1">
        <v>0.46127717754304848</v>
      </c>
      <c r="O104" s="1">
        <v>5.3848076080802577E-4</v>
      </c>
      <c r="P104" s="1">
        <v>0.99583546991020122</v>
      </c>
      <c r="R104" s="1">
        <v>0.10508315940836223</v>
      </c>
      <c r="S104" s="2">
        <f t="shared" si="24"/>
        <v>0.26996988704827485</v>
      </c>
      <c r="T104" s="4">
        <f t="shared" si="25"/>
        <v>7.2883739912858278E-2</v>
      </c>
      <c r="U104" s="1">
        <f t="shared" si="13"/>
        <v>1.237764633006444E-2</v>
      </c>
      <c r="V104" s="6">
        <f>2*sigma/alpha*corel*(B104/12-1/alpha*(1-EXP(-alpha*Output!B104/12)))</f>
        <v>0.13577173820090382</v>
      </c>
      <c r="W104" s="5">
        <f t="shared" si="26"/>
        <v>-6.0506093582793838E-2</v>
      </c>
      <c r="X104" s="1">
        <f t="shared" si="27"/>
        <v>1.8941228659607037</v>
      </c>
      <c r="Y104" s="3">
        <f t="shared" si="16"/>
        <v>8.0032233889574103E-2</v>
      </c>
      <c r="Z104" s="1">
        <f t="shared" si="17"/>
        <v>9.6976046202879432E-2</v>
      </c>
      <c r="AA104" s="8">
        <f t="shared" si="23"/>
        <v>7.6666666666666563</v>
      </c>
      <c r="AB104" s="1">
        <v>7.75</v>
      </c>
      <c r="AC104" s="1">
        <v>5.2389631480000002E-4</v>
      </c>
      <c r="AD104" s="8">
        <f t="shared" si="18"/>
        <v>-0.14584446008025753</v>
      </c>
      <c r="AE104" s="3">
        <f t="shared" si="19"/>
        <v>-2.7838420687485529E-2</v>
      </c>
      <c r="AF104" s="11">
        <f t="shared" si="20"/>
        <v>7.6666666666666563</v>
      </c>
      <c r="AG104" s="1">
        <f t="shared" si="21"/>
        <v>9.6976046202879432E-2</v>
      </c>
    </row>
    <row r="105" spans="2:33" ht="15" x14ac:dyDescent="0.25">
      <c r="B105" s="1">
        <v>94</v>
      </c>
      <c r="C105" s="1">
        <v>1.0000527269411332</v>
      </c>
      <c r="D105" s="1">
        <v>1.0856121989668677</v>
      </c>
      <c r="E105" s="1">
        <v>0.92073283139374917</v>
      </c>
      <c r="G105" s="1">
        <v>0.99900683369955401</v>
      </c>
      <c r="H105" s="1">
        <v>2.0577772742256815</v>
      </c>
      <c r="I105" s="1">
        <v>0.46411707399687835</v>
      </c>
      <c r="K105" s="1">
        <v>1.0002220185992035</v>
      </c>
      <c r="L105" s="1">
        <v>2.020020168683148</v>
      </c>
      <c r="M105" s="1">
        <v>0.47082287053156291</v>
      </c>
      <c r="O105" s="1">
        <v>5.681766546595451E-4</v>
      </c>
      <c r="P105" s="1">
        <v>0.99555917263569038</v>
      </c>
      <c r="R105" s="1">
        <v>0.10586221310828707</v>
      </c>
      <c r="S105" s="2">
        <f t="shared" si="24"/>
        <v>0.27232887339507672</v>
      </c>
      <c r="T105" s="4">
        <f t="shared" si="25"/>
        <v>7.416301528463172E-2</v>
      </c>
      <c r="U105" s="1">
        <f t="shared" si="13"/>
        <v>1.275110187246753E-2</v>
      </c>
      <c r="V105" s="6">
        <f>2*sigma/alpha*corel*(B105/12-1/alpha*(1-EXP(-alpha*Output!B105/12)))</f>
        <v>0.13856105172450195</v>
      </c>
      <c r="W105" s="5">
        <f t="shared" si="26"/>
        <v>-6.141191341216419E-2</v>
      </c>
      <c r="X105" s="1">
        <f t="shared" si="27"/>
        <v>1.9434391186361448</v>
      </c>
      <c r="Y105" s="3">
        <f t="shared" si="16"/>
        <v>8.0139051126119173E-2</v>
      </c>
      <c r="Z105" s="1">
        <f t="shared" si="17"/>
        <v>9.7301690491512938E-2</v>
      </c>
      <c r="AA105" s="8">
        <f t="shared" si="23"/>
        <v>7.7499999999999893</v>
      </c>
      <c r="AB105" s="1">
        <v>7.8330000000000002</v>
      </c>
      <c r="AC105" s="1">
        <v>5.4611943489999999E-4</v>
      </c>
      <c r="AD105" s="8">
        <f t="shared" si="18"/>
        <v>-0.2205721975954511</v>
      </c>
      <c r="AE105" s="3">
        <f t="shared" si="19"/>
        <v>-4.0389003485261449E-2</v>
      </c>
      <c r="AF105" s="11">
        <f t="shared" si="20"/>
        <v>7.7499999999999893</v>
      </c>
      <c r="AG105" s="1">
        <f t="shared" si="21"/>
        <v>9.7301690491512938E-2</v>
      </c>
    </row>
    <row r="106" spans="2:33" ht="15" x14ac:dyDescent="0.25">
      <c r="B106" s="1">
        <v>95</v>
      </c>
      <c r="C106" s="1">
        <v>1.0000556192229701</v>
      </c>
      <c r="D106" s="1">
        <v>1.0933353623609658</v>
      </c>
      <c r="E106" s="1">
        <v>0.91422589492522799</v>
      </c>
      <c r="G106" s="1">
        <v>0.99912443432628717</v>
      </c>
      <c r="H106" s="1">
        <v>2.1938223212266195</v>
      </c>
      <c r="I106" s="1">
        <v>0.43512387792862606</v>
      </c>
      <c r="K106" s="1">
        <v>1.0003499061565513</v>
      </c>
      <c r="L106" s="1">
        <v>2.028194444387827</v>
      </c>
      <c r="M106" s="1">
        <v>0.46868683930534966</v>
      </c>
      <c r="O106" s="1">
        <v>6.0617112004196147E-4</v>
      </c>
      <c r="P106" s="1">
        <v>0.99521264140615207</v>
      </c>
      <c r="R106" s="1">
        <v>0.10649073221405897</v>
      </c>
      <c r="S106" s="2">
        <f t="shared" si="24"/>
        <v>0.27440439855458032</v>
      </c>
      <c r="T106" s="4">
        <f t="shared" si="25"/>
        <v>7.529777394610096E-2</v>
      </c>
      <c r="U106" s="1">
        <f t="shared" si="13"/>
        <v>1.3131385013195995E-2</v>
      </c>
      <c r="V106" s="6">
        <f>2*sigma/alpha*corel*(B106/12-1/alpha*(1-EXP(-alpha*Output!B106/12)))</f>
        <v>0.14137574743143611</v>
      </c>
      <c r="W106" s="5">
        <f t="shared" si="26"/>
        <v>-6.2166388932904965E-2</v>
      </c>
      <c r="X106" s="1">
        <f t="shared" si="27"/>
        <v>1.9885894181704544</v>
      </c>
      <c r="Y106" s="3">
        <f t="shared" si="16"/>
        <v>8.0134597543046499E-2</v>
      </c>
      <c r="Z106" s="1">
        <f t="shared" si="17"/>
        <v>9.7525882521578622E-2</v>
      </c>
      <c r="AA106" s="8">
        <f t="shared" si="23"/>
        <v>7.8333333333333224</v>
      </c>
      <c r="AB106" s="1">
        <v>7.9169999999999998</v>
      </c>
      <c r="AC106" s="1">
        <v>5.7568140309999997E-4</v>
      </c>
      <c r="AD106" s="8">
        <f t="shared" si="18"/>
        <v>-0.30489716941961498</v>
      </c>
      <c r="AE106" s="3">
        <f t="shared" si="19"/>
        <v>-5.2962831138502517E-2</v>
      </c>
      <c r="AF106" s="11">
        <f t="shared" si="20"/>
        <v>7.8333333333333224</v>
      </c>
      <c r="AG106" s="1">
        <f t="shared" si="21"/>
        <v>9.7525882521578622E-2</v>
      </c>
    </row>
    <row r="107" spans="2:33" ht="15" x14ac:dyDescent="0.25">
      <c r="B107" s="1">
        <v>96</v>
      </c>
      <c r="C107" s="1">
        <v>1.000058144377505</v>
      </c>
      <c r="D107" s="1">
        <v>1.0931717942671595</v>
      </c>
      <c r="E107" s="1">
        <v>0.91435969474191481</v>
      </c>
      <c r="G107" s="1">
        <v>0.99921340659596958</v>
      </c>
      <c r="H107" s="1">
        <v>2.1892140365849007</v>
      </c>
      <c r="I107" s="1">
        <v>0.43582748354893708</v>
      </c>
      <c r="K107" s="1">
        <v>1.0004083930056222</v>
      </c>
      <c r="L107" s="1">
        <v>2.1192683341224337</v>
      </c>
      <c r="M107" s="1">
        <v>0.44829626960973057</v>
      </c>
      <c r="O107" s="1">
        <v>6.5332430041982448E-4</v>
      </c>
      <c r="P107" s="1">
        <v>0.99478704047616562</v>
      </c>
      <c r="R107" s="1">
        <v>0.10706903148128788</v>
      </c>
      <c r="S107" s="2">
        <f t="shared" si="24"/>
        <v>0.27646301353183356</v>
      </c>
      <c r="T107" s="4">
        <f t="shared" si="25"/>
        <v>7.6431797851102781E-2</v>
      </c>
      <c r="U107" s="1">
        <f t="shared" si="13"/>
        <v>1.3518534571652641E-2</v>
      </c>
      <c r="V107" s="6">
        <f>2*sigma/alpha*corel*(B107/12-1/alpha*(1-EXP(-alpha*Output!B107/12)))</f>
        <v>0.14421574085528421</v>
      </c>
      <c r="W107" s="5">
        <f t="shared" si="26"/>
        <v>-6.2913263279450141E-2</v>
      </c>
      <c r="X107" s="1">
        <f t="shared" si="27"/>
        <v>2.0340226048528431</v>
      </c>
      <c r="Y107" s="3">
        <f t="shared" si="16"/>
        <v>8.0123493934217777E-2</v>
      </c>
      <c r="Z107" s="1">
        <f t="shared" si="17"/>
        <v>9.7744435807813876E-2</v>
      </c>
      <c r="AA107" s="8">
        <f t="shared" si="23"/>
        <v>7.9166666666666554</v>
      </c>
      <c r="AB107" s="1">
        <v>8</v>
      </c>
      <c r="AC107" s="1">
        <v>6.1350305360000003E-4</v>
      </c>
      <c r="AD107" s="8">
        <f t="shared" si="18"/>
        <v>-0.39821246819824452</v>
      </c>
      <c r="AE107" s="3">
        <f t="shared" si="19"/>
        <v>-6.4907984705464314E-2</v>
      </c>
      <c r="AF107" s="11">
        <f t="shared" si="20"/>
        <v>7.9166666666666554</v>
      </c>
      <c r="AG107" s="1">
        <f t="shared" si="21"/>
        <v>9.7744435807813876E-2</v>
      </c>
    </row>
    <row r="108" spans="2:33" ht="15" x14ac:dyDescent="0.25">
      <c r="B108" s="1">
        <v>97</v>
      </c>
      <c r="C108" s="1">
        <v>1.000059563194944</v>
      </c>
      <c r="D108" s="1">
        <v>1.091336790180875</v>
      </c>
      <c r="E108" s="1">
        <v>0.91589414597095142</v>
      </c>
      <c r="G108" s="1">
        <v>0.99921336010912343</v>
      </c>
      <c r="H108" s="1">
        <v>2.1530879323487544</v>
      </c>
      <c r="I108" s="1">
        <v>0.44292434992175406</v>
      </c>
      <c r="K108" s="1">
        <v>1.0003594267804341</v>
      </c>
      <c r="L108" s="1">
        <v>2.1700486243131816</v>
      </c>
      <c r="M108" s="1">
        <v>0.4375714384665273</v>
      </c>
      <c r="O108" s="1">
        <v>7.101903566598157E-4</v>
      </c>
      <c r="P108" s="1">
        <v>0.99427574097985594</v>
      </c>
      <c r="R108" s="1">
        <v>0.10753596864733951</v>
      </c>
      <c r="S108" s="2">
        <f t="shared" si="24"/>
        <v>0.2783585990737566</v>
      </c>
      <c r="T108" s="4">
        <f t="shared" si="25"/>
        <v>7.7483509678304363E-2</v>
      </c>
      <c r="U108" s="1">
        <f t="shared" si="13"/>
        <v>1.3912588829152917E-2</v>
      </c>
      <c r="V108" s="6">
        <f>2*sigma/alpha*corel*(B108/12-1/alpha*(1-EXP(-alpha*Output!B108/12)))</f>
        <v>0.14708094781070991</v>
      </c>
      <c r="W108" s="5">
        <f t="shared" si="26"/>
        <v>-6.3570920849151447E-2</v>
      </c>
      <c r="X108" s="1">
        <f t="shared" si="27"/>
        <v>2.0770925793314601</v>
      </c>
      <c r="Y108" s="3">
        <f t="shared" si="16"/>
        <v>8.0049355245483789E-2</v>
      </c>
      <c r="Z108" s="1">
        <f t="shared" si="17"/>
        <v>9.7906020377615102E-2</v>
      </c>
      <c r="AA108" s="8">
        <f t="shared" si="23"/>
        <v>7.9999999999999885</v>
      </c>
      <c r="AB108" s="1">
        <v>8.0830000000000002</v>
      </c>
      <c r="AC108" s="1">
        <v>6.6050522040000004E-4</v>
      </c>
      <c r="AD108" s="8">
        <f t="shared" si="18"/>
        <v>-0.49685136259815654</v>
      </c>
      <c r="AE108" s="3">
        <f t="shared" si="19"/>
        <v>-7.522292742777488E-2</v>
      </c>
      <c r="AF108" s="11">
        <f t="shared" si="20"/>
        <v>7.9999999999999885</v>
      </c>
      <c r="AG108" s="1">
        <f t="shared" si="21"/>
        <v>9.7906020377615102E-2</v>
      </c>
    </row>
    <row r="109" spans="2:33" ht="15" x14ac:dyDescent="0.25">
      <c r="B109" s="1">
        <v>98</v>
      </c>
      <c r="C109" s="1">
        <v>1.0000598936554925</v>
      </c>
      <c r="D109" s="1">
        <v>1.0929885780711002</v>
      </c>
      <c r="E109" s="1">
        <v>0.91450703799488064</v>
      </c>
      <c r="G109" s="1">
        <v>0.9991247829828972</v>
      </c>
      <c r="H109" s="1">
        <v>2.1818966471342365</v>
      </c>
      <c r="I109" s="1">
        <v>0.43686338708350936</v>
      </c>
      <c r="K109" s="1">
        <v>1.0002715049001301</v>
      </c>
      <c r="L109" s="1">
        <v>2.1993795325238685</v>
      </c>
      <c r="M109" s="1">
        <v>0.43152353324084497</v>
      </c>
      <c r="O109" s="1">
        <v>7.7602540462880514E-4</v>
      </c>
      <c r="P109" s="1">
        <v>0.99368249905044093</v>
      </c>
      <c r="R109" s="1">
        <v>0.10796486793123494</v>
      </c>
      <c r="S109" s="2">
        <f t="shared" si="24"/>
        <v>0.28027179690092929</v>
      </c>
      <c r="T109" s="4">
        <f t="shared" si="25"/>
        <v>7.8552280138075761E-2</v>
      </c>
      <c r="U109" s="1">
        <f t="shared" si="13"/>
        <v>1.4313585533432871E-2</v>
      </c>
      <c r="V109" s="6">
        <f>2*sigma/alpha*corel*(B109/12-1/alpha*(1-EXP(-alpha*Output!B109/12)))</f>
        <v>0.14997128439252694</v>
      </c>
      <c r="W109" s="5">
        <f t="shared" si="26"/>
        <v>-6.423869460464289E-2</v>
      </c>
      <c r="X109" s="1">
        <f t="shared" si="27"/>
        <v>2.120955409894012</v>
      </c>
      <c r="Y109" s="3">
        <f t="shared" si="16"/>
        <v>7.9982372180322864E-2</v>
      </c>
      <c r="Z109" s="1">
        <f t="shared" si="17"/>
        <v>9.8074698814319489E-2</v>
      </c>
      <c r="AA109" s="8">
        <f t="shared" si="23"/>
        <v>8.0833333333333215</v>
      </c>
      <c r="AB109" s="1">
        <v>8.1669999999999998</v>
      </c>
      <c r="AC109" s="1">
        <v>7.1726938839999997E-4</v>
      </c>
      <c r="AD109" s="8">
        <f t="shared" si="18"/>
        <v>-0.58756016228805175</v>
      </c>
      <c r="AE109" s="3">
        <f t="shared" si="19"/>
        <v>-8.1916246781242361E-2</v>
      </c>
      <c r="AF109" s="11">
        <f t="shared" si="20"/>
        <v>8.0833333333333215</v>
      </c>
      <c r="AG109" s="1">
        <f t="shared" si="21"/>
        <v>9.8074698814319489E-2</v>
      </c>
    </row>
    <row r="110" spans="2:33" ht="15" x14ac:dyDescent="0.25">
      <c r="B110" s="1">
        <v>99</v>
      </c>
      <c r="C110" s="1">
        <v>1.0000631869726471</v>
      </c>
      <c r="D110" s="1">
        <v>1.0934172798830881</v>
      </c>
      <c r="E110" s="1">
        <v>0.91414554743132082</v>
      </c>
      <c r="G110" s="1">
        <v>0.99927660270480845</v>
      </c>
      <c r="H110" s="1">
        <v>2.1908517029360075</v>
      </c>
      <c r="I110" s="1">
        <v>0.43486590352916332</v>
      </c>
      <c r="K110" s="1">
        <v>1.0002693689932529</v>
      </c>
      <c r="L110" s="1">
        <v>2.177878041045521</v>
      </c>
      <c r="M110" s="1">
        <v>0.4355638374567819</v>
      </c>
      <c r="O110" s="1">
        <v>8.4966278658944001E-4</v>
      </c>
      <c r="P110" s="1">
        <v>0.99301479277915172</v>
      </c>
      <c r="R110" s="1">
        <v>0.10847372385648553</v>
      </c>
      <c r="S110" s="2">
        <f t="shared" si="24"/>
        <v>0.28249189095084926</v>
      </c>
      <c r="T110" s="4">
        <f t="shared" si="25"/>
        <v>7.9801668452986502E-2</v>
      </c>
      <c r="U110" s="1">
        <f t="shared" si="13"/>
        <v>1.4721561903129121E-2</v>
      </c>
      <c r="V110" s="6">
        <f>2*sigma/alpha*corel*(B110/12-1/alpha*(1-EXP(-alpha*Output!B110/12)))</f>
        <v>0.15288666697476927</v>
      </c>
      <c r="W110" s="5">
        <f t="shared" si="26"/>
        <v>-6.5080106549857381E-2</v>
      </c>
      <c r="X110" s="1">
        <f t="shared" si="27"/>
        <v>2.1710178490839476</v>
      </c>
      <c r="Y110" s="3">
        <f t="shared" si="16"/>
        <v>8.0033379350213971E-2</v>
      </c>
      <c r="Z110" s="1">
        <f t="shared" si="17"/>
        <v>9.8351052406432896E-2</v>
      </c>
      <c r="AA110" s="8">
        <f t="shared" si="23"/>
        <v>8.1666666666666554</v>
      </c>
      <c r="AB110" s="1">
        <v>8.25</v>
      </c>
      <c r="AC110" s="1">
        <v>7.8301964399999995E-4</v>
      </c>
      <c r="AD110" s="8">
        <f t="shared" si="18"/>
        <v>-0.66643142589440052</v>
      </c>
      <c r="AE110" s="3">
        <f t="shared" si="19"/>
        <v>-8.5110435095853171E-2</v>
      </c>
      <c r="AF110" s="11">
        <f t="shared" si="20"/>
        <v>8.1666666666666554</v>
      </c>
      <c r="AG110" s="1">
        <f t="shared" si="21"/>
        <v>9.8351052406432896E-2</v>
      </c>
    </row>
    <row r="111" spans="2:33" ht="15" x14ac:dyDescent="0.25">
      <c r="B111" s="1">
        <v>100</v>
      </c>
      <c r="C111" s="1">
        <v>1.000066032250996</v>
      </c>
      <c r="D111" s="1">
        <v>1.0951820576042623</v>
      </c>
      <c r="E111" s="1">
        <v>0.91266958091187689</v>
      </c>
      <c r="G111" s="1">
        <v>0.99938651714667881</v>
      </c>
      <c r="H111" s="1">
        <v>2.2220737050454544</v>
      </c>
      <c r="I111" s="1">
        <v>0.42854695026844569</v>
      </c>
      <c r="K111" s="1">
        <v>1.0002955729023288</v>
      </c>
      <c r="L111" s="1">
        <v>2.1318083750672949</v>
      </c>
      <c r="M111" s="1">
        <v>0.44473935161776174</v>
      </c>
      <c r="O111" s="1">
        <v>9.3005492331445705E-4</v>
      </c>
      <c r="P111" s="1">
        <v>0.99227949965858864</v>
      </c>
      <c r="R111" s="1">
        <v>0.10897134679538749</v>
      </c>
      <c r="S111" s="2">
        <f t="shared" si="24"/>
        <v>0.28477773202063916</v>
      </c>
      <c r="T111" s="4">
        <f t="shared" si="25"/>
        <v>8.1098356654818973E-2</v>
      </c>
      <c r="U111" s="1">
        <f t="shared" si="13"/>
        <v>1.513655463221264E-2</v>
      </c>
      <c r="V111" s="6">
        <f>2*sigma/alpha*corel*(B111/12-1/alpha*(1-EXP(-alpha*Output!B111/12)))</f>
        <v>0.15582701220975825</v>
      </c>
      <c r="W111" s="5">
        <f t="shared" si="26"/>
        <v>-6.5961802022606333E-2</v>
      </c>
      <c r="X111" s="1">
        <f t="shared" si="27"/>
        <v>2.2230087918210977</v>
      </c>
      <c r="Y111" s="3">
        <f t="shared" si="16"/>
        <v>8.0108926374753295E-2</v>
      </c>
      <c r="Z111" s="1">
        <f t="shared" si="17"/>
        <v>9.8649900144796271E-2</v>
      </c>
      <c r="AA111" s="8">
        <f t="shared" si="23"/>
        <v>8.2499999999999893</v>
      </c>
      <c r="AB111" s="1">
        <v>8.3330000000000002</v>
      </c>
      <c r="AC111" s="1">
        <v>8.5664072450000002E-4</v>
      </c>
      <c r="AD111" s="8">
        <f t="shared" si="18"/>
        <v>-0.73414198814457032</v>
      </c>
      <c r="AE111" s="3">
        <f t="shared" si="19"/>
        <v>-8.5700103572950131E-2</v>
      </c>
      <c r="AF111" s="11">
        <f t="shared" si="20"/>
        <v>8.2499999999999893</v>
      </c>
      <c r="AG111" s="1">
        <f t="shared" si="21"/>
        <v>9.8649900144796271E-2</v>
      </c>
    </row>
    <row r="112" spans="2:33" ht="15" x14ac:dyDescent="0.25">
      <c r="B112" s="1">
        <v>101</v>
      </c>
      <c r="C112" s="1">
        <v>1.0000659172127453</v>
      </c>
      <c r="D112" s="1">
        <v>1.0975570541593407</v>
      </c>
      <c r="E112" s="1">
        <v>0.9106917746584291</v>
      </c>
      <c r="G112" s="1">
        <v>0.99925724776682268</v>
      </c>
      <c r="H112" s="1">
        <v>2.2649877676556396</v>
      </c>
      <c r="I112" s="1">
        <v>0.42022274255300551</v>
      </c>
      <c r="K112" s="1">
        <v>1.0001941987945733</v>
      </c>
      <c r="L112" s="1">
        <v>2.1871608825807618</v>
      </c>
      <c r="M112" s="1">
        <v>0.43322236633374944</v>
      </c>
      <c r="O112" s="1">
        <v>1.0160989246759929E-3</v>
      </c>
      <c r="P112" s="1">
        <v>0.99148429979411634</v>
      </c>
      <c r="R112" s="1">
        <v>0.10926358568756434</v>
      </c>
      <c r="S112" s="2">
        <f t="shared" si="24"/>
        <v>0.28662454077900834</v>
      </c>
      <c r="T112" s="4">
        <f t="shared" si="25"/>
        <v>8.2153627376777422E-2</v>
      </c>
      <c r="U112" s="1">
        <f t="shared" si="13"/>
        <v>1.5558599894400782E-2</v>
      </c>
      <c r="V112" s="6">
        <f>2*sigma/alpha*corel*(B112/12-1/alpha*(1-EXP(-alpha*Output!B112/12)))</f>
        <v>0.15879223702717837</v>
      </c>
      <c r="W112" s="5">
        <f t="shared" si="26"/>
        <v>-6.659502748237664E-2</v>
      </c>
      <c r="X112" s="1">
        <f t="shared" si="27"/>
        <v>2.2672475664467759</v>
      </c>
      <c r="Y112" s="3">
        <f t="shared" si="16"/>
        <v>8.0016592639117659E-2</v>
      </c>
      <c r="Z112" s="1">
        <f t="shared" si="17"/>
        <v>9.8796897800804778E-2</v>
      </c>
      <c r="AA112" s="8">
        <f t="shared" si="23"/>
        <v>8.3333333333333233</v>
      </c>
      <c r="AB112" s="1">
        <v>8.4169999999999998</v>
      </c>
      <c r="AC112" s="1">
        <v>9.3701736680000005E-4</v>
      </c>
      <c r="AD112" s="8">
        <f t="shared" si="18"/>
        <v>-0.79081557875992847</v>
      </c>
      <c r="AE112" s="3">
        <f t="shared" si="19"/>
        <v>-8.4397110104867737E-2</v>
      </c>
      <c r="AF112" s="11">
        <f t="shared" si="20"/>
        <v>8.3333333333333233</v>
      </c>
      <c r="AG112" s="1">
        <f t="shared" si="21"/>
        <v>9.8796897800804778E-2</v>
      </c>
    </row>
    <row r="113" spans="2:33" ht="15" x14ac:dyDescent="0.25">
      <c r="B113" s="1">
        <v>102</v>
      </c>
      <c r="C113" s="1">
        <v>1.0000686015125109</v>
      </c>
      <c r="D113" s="1">
        <v>1.0975011312494072</v>
      </c>
      <c r="E113" s="1">
        <v>0.91073531068363633</v>
      </c>
      <c r="G113" s="1">
        <v>0.99936509737714208</v>
      </c>
      <c r="H113" s="1">
        <v>2.2630419914734605</v>
      </c>
      <c r="I113" s="1">
        <v>0.42037933666054939</v>
      </c>
      <c r="K113" s="1">
        <v>1.0002548232283044</v>
      </c>
      <c r="L113" s="1">
        <v>2.186231153456125</v>
      </c>
      <c r="M113" s="1">
        <v>0.43320673939771137</v>
      </c>
      <c r="O113" s="1">
        <v>1.1066448000584535E-3</v>
      </c>
      <c r="P113" s="1">
        <v>0.99063762174843972</v>
      </c>
      <c r="R113" s="1">
        <v>0.10957220049533165</v>
      </c>
      <c r="S113" s="2">
        <f t="shared" si="24"/>
        <v>0.28858418905552219</v>
      </c>
      <c r="T113" s="4">
        <f t="shared" si="25"/>
        <v>8.3280834172833371E-2</v>
      </c>
      <c r="U113" s="1">
        <f t="shared" si="13"/>
        <v>1.5987733347538224E-2</v>
      </c>
      <c r="V113" s="6">
        <f>2*sigma/alpha*corel*(B113/12-1/alpha*(1-EXP(-alpha*Output!B113/12)))</f>
        <v>0.16178225863315521</v>
      </c>
      <c r="W113" s="5">
        <f t="shared" si="26"/>
        <v>-6.7293100825295146E-2</v>
      </c>
      <c r="X113" s="1">
        <f t="shared" si="27"/>
        <v>2.31413892726848</v>
      </c>
      <c r="Y113" s="3">
        <f t="shared" si="16"/>
        <v>7.996747967428651E-2</v>
      </c>
      <c r="Z113" s="1">
        <f t="shared" si="17"/>
        <v>9.898356023504068E-2</v>
      </c>
      <c r="AA113" s="8">
        <f t="shared" si="23"/>
        <v>8.4166666666666572</v>
      </c>
      <c r="AB113" s="1">
        <v>8.5</v>
      </c>
      <c r="AC113" s="1">
        <v>1.023034308E-3</v>
      </c>
      <c r="AD113" s="8">
        <f t="shared" si="18"/>
        <v>-0.83610492058453467</v>
      </c>
      <c r="AE113" s="3">
        <f t="shared" si="19"/>
        <v>-8.1727945392085E-2</v>
      </c>
      <c r="AF113" s="11">
        <f t="shared" si="20"/>
        <v>8.4166666666666572</v>
      </c>
      <c r="AG113" s="1">
        <f t="shared" si="21"/>
        <v>9.898356023504068E-2</v>
      </c>
    </row>
    <row r="114" spans="2:33" ht="15" x14ac:dyDescent="0.25">
      <c r="B114" s="1">
        <v>103</v>
      </c>
      <c r="C114" s="1">
        <v>1.0000688940683395</v>
      </c>
      <c r="D114" s="1">
        <v>1.0962640168772539</v>
      </c>
      <c r="E114" s="1">
        <v>0.91176020620827247</v>
      </c>
      <c r="G114" s="1">
        <v>0.99927010409419403</v>
      </c>
      <c r="H114" s="1">
        <v>2.2398490528834931</v>
      </c>
      <c r="I114" s="1">
        <v>0.42452551286464357</v>
      </c>
      <c r="K114" s="1">
        <v>1.0003048261546359</v>
      </c>
      <c r="L114" s="1">
        <v>2.1870454649360034</v>
      </c>
      <c r="M114" s="1">
        <v>0.43278849415426141</v>
      </c>
      <c r="O114" s="1">
        <v>1.2006747802937863E-3</v>
      </c>
      <c r="P114" s="1">
        <v>0.98974713084926735</v>
      </c>
      <c r="R114" s="1">
        <v>0.11007046894302593</v>
      </c>
      <c r="S114" s="2">
        <f t="shared" si="24"/>
        <v>0.29108755212283077</v>
      </c>
      <c r="T114" s="4">
        <f t="shared" si="25"/>
        <v>8.4731963000861721E-2</v>
      </c>
      <c r="U114" s="1">
        <f t="shared" si="13"/>
        <v>1.6423990137935718E-2</v>
      </c>
      <c r="V114" s="6">
        <f>2*sigma/alpha*corel*(B114/12-1/alpha*(1-EXP(-alpha*Output!B114/12)))</f>
        <v>0.16479699450933427</v>
      </c>
      <c r="W114" s="5">
        <f t="shared" si="26"/>
        <v>-6.8307972862926003E-2</v>
      </c>
      <c r="X114" s="1">
        <f t="shared" si="27"/>
        <v>2.3723984510264358</v>
      </c>
      <c r="Y114" s="3">
        <f t="shared" si="16"/>
        <v>8.0124012875015652E-2</v>
      </c>
      <c r="Z114" s="1">
        <f t="shared" si="17"/>
        <v>9.9356353645899925E-2</v>
      </c>
      <c r="AA114" s="8">
        <f t="shared" si="23"/>
        <v>8.4999999999999911</v>
      </c>
      <c r="AB114" s="1">
        <v>8.5830000000000002</v>
      </c>
      <c r="AC114" s="1">
        <v>1.113576286E-3</v>
      </c>
      <c r="AD114" s="8">
        <f t="shared" si="18"/>
        <v>-0.87098494293786322</v>
      </c>
      <c r="AE114" s="3">
        <f t="shared" si="19"/>
        <v>-7.8215112326652333E-2</v>
      </c>
      <c r="AF114" s="11">
        <f t="shared" si="20"/>
        <v>8.4999999999999911</v>
      </c>
      <c r="AG114" s="1">
        <f t="shared" si="21"/>
        <v>9.9356353645899925E-2</v>
      </c>
    </row>
    <row r="115" spans="2:33" ht="15" x14ac:dyDescent="0.25">
      <c r="B115" s="1">
        <v>104</v>
      </c>
      <c r="C115" s="1">
        <v>1.0000697570071453</v>
      </c>
      <c r="D115" s="1">
        <v>1.0957391500604929</v>
      </c>
      <c r="E115" s="1">
        <v>0.91219410917608956</v>
      </c>
      <c r="G115" s="1">
        <v>0.99921125777760766</v>
      </c>
      <c r="H115" s="1">
        <v>2.2289075390086164</v>
      </c>
      <c r="I115" s="1">
        <v>0.42640185125137792</v>
      </c>
      <c r="K115" s="1">
        <v>1.0003634582996068</v>
      </c>
      <c r="L115" s="1">
        <v>2.1736491433462817</v>
      </c>
      <c r="M115" s="1">
        <v>0.43523896200370099</v>
      </c>
      <c r="O115" s="1">
        <v>1.2969366460558014E-3</v>
      </c>
      <c r="P115" s="1">
        <v>0.98882281650639015</v>
      </c>
      <c r="R115" s="1">
        <v>0.11022806723998455</v>
      </c>
      <c r="S115" s="2">
        <f t="shared" si="24"/>
        <v>0.29276955213553169</v>
      </c>
      <c r="T115" s="4">
        <f t="shared" si="25"/>
        <v>8.5714010657639811E-2</v>
      </c>
      <c r="U115" s="1">
        <f t="shared" si="13"/>
        <v>1.6867404904684413E-2</v>
      </c>
      <c r="V115" s="6">
        <f>2*sigma/alpha*corel*(B115/12-1/alpha*(1-EXP(-alpha*Output!B115/12)))</f>
        <v>0.16783636241196254</v>
      </c>
      <c r="W115" s="5">
        <f t="shared" si="26"/>
        <v>-6.8846605752955398E-2</v>
      </c>
      <c r="X115" s="1">
        <f t="shared" si="27"/>
        <v>2.4148513773168001</v>
      </c>
      <c r="Y115" s="3">
        <f t="shared" si="16"/>
        <v>7.9969779523835979E-2</v>
      </c>
      <c r="Z115" s="1">
        <f t="shared" si="17"/>
        <v>9.9448872053958429E-2</v>
      </c>
      <c r="AA115" s="8">
        <f t="shared" si="23"/>
        <v>8.583333333333325</v>
      </c>
      <c r="AB115" s="1">
        <v>8.6669999999999998</v>
      </c>
      <c r="AC115" s="1">
        <v>1.207524311E-3</v>
      </c>
      <c r="AD115" s="8">
        <f t="shared" si="18"/>
        <v>-0.89412335055801329</v>
      </c>
      <c r="AE115" s="3">
        <f t="shared" si="19"/>
        <v>-7.4045991655236607E-2</v>
      </c>
      <c r="AF115" s="11">
        <f t="shared" si="20"/>
        <v>8.583333333333325</v>
      </c>
      <c r="AG115" s="1">
        <f t="shared" si="21"/>
        <v>9.9448872053958429E-2</v>
      </c>
    </row>
    <row r="116" spans="2:33" ht="15" x14ac:dyDescent="0.25">
      <c r="B116" s="1">
        <v>105</v>
      </c>
      <c r="C116" s="1">
        <v>1.0000727913142993</v>
      </c>
      <c r="D116" s="1">
        <v>1.0947266594344551</v>
      </c>
      <c r="E116" s="1">
        <v>0.91303495776401578</v>
      </c>
      <c r="G116" s="1">
        <v>0.99932858786084822</v>
      </c>
      <c r="H116" s="1">
        <v>2.2096348777040995</v>
      </c>
      <c r="I116" s="1">
        <v>0.42991165629850397</v>
      </c>
      <c r="K116" s="1">
        <v>1.0003529414195049</v>
      </c>
      <c r="L116" s="1">
        <v>2.1667180470987182</v>
      </c>
      <c r="M116" s="1">
        <v>0.43640852520468632</v>
      </c>
      <c r="O116" s="1">
        <v>1.3944375991701611E-3</v>
      </c>
      <c r="P116" s="1">
        <v>0.9878728054028173</v>
      </c>
      <c r="R116" s="1">
        <v>0.11049183572370583</v>
      </c>
      <c r="S116" s="2">
        <f t="shared" si="24"/>
        <v>0.29475720362524716</v>
      </c>
      <c r="T116" s="4">
        <f t="shared" si="25"/>
        <v>8.6881809088975415E-2</v>
      </c>
      <c r="U116" s="1">
        <f t="shared" si="13"/>
        <v>1.7318011783940879E-2</v>
      </c>
      <c r="V116" s="6">
        <f>2*sigma/alpha*corel*(B116/12-1/alpha*(1-EXP(-alpha*Output!B116/12)))</f>
        <v>0.17090028037097948</v>
      </c>
      <c r="W116" s="5">
        <f t="shared" si="26"/>
        <v>-6.9563797305034536E-2</v>
      </c>
      <c r="X116" s="1">
        <f t="shared" si="27"/>
        <v>2.4639398115070881</v>
      </c>
      <c r="Y116" s="3">
        <f t="shared" si="16"/>
        <v>7.9931079847405523E-2</v>
      </c>
      <c r="Z116" s="1">
        <f t="shared" si="17"/>
        <v>9.9646121902302945E-2</v>
      </c>
      <c r="AA116" s="8">
        <f t="shared" si="23"/>
        <v>8.666666666666659</v>
      </c>
      <c r="AB116" s="1">
        <v>8.75</v>
      </c>
      <c r="AC116" s="1">
        <v>1.3037444950000001E-3</v>
      </c>
      <c r="AD116" s="8">
        <f t="shared" si="18"/>
        <v>-0.90693104170160976</v>
      </c>
      <c r="AE116" s="3">
        <f t="shared" si="19"/>
        <v>-6.9563556753626771E-2</v>
      </c>
      <c r="AF116" s="11">
        <f t="shared" si="20"/>
        <v>8.666666666666659</v>
      </c>
      <c r="AG116" s="1">
        <f t="shared" si="21"/>
        <v>9.9646121902302945E-2</v>
      </c>
    </row>
    <row r="117" spans="2:33" ht="15" x14ac:dyDescent="0.25">
      <c r="B117" s="1">
        <v>106</v>
      </c>
      <c r="C117" s="1">
        <v>1.00007430312262</v>
      </c>
      <c r="D117" s="1">
        <v>1.0955788641968811</v>
      </c>
      <c r="E117" s="1">
        <v>0.91232194474604489</v>
      </c>
      <c r="G117" s="1">
        <v>0.99932566932393807</v>
      </c>
      <c r="H117" s="1">
        <v>2.2062568983924371</v>
      </c>
      <c r="I117" s="1">
        <v>0.43036036994816035</v>
      </c>
      <c r="K117" s="1">
        <v>1.0004010961681751</v>
      </c>
      <c r="L117" s="1">
        <v>2.1714872538239431</v>
      </c>
      <c r="M117" s="1">
        <v>0.43518690205755972</v>
      </c>
      <c r="O117" s="1">
        <v>1.4918942900157064E-3</v>
      </c>
      <c r="P117" s="1">
        <v>0.98690805534986992</v>
      </c>
      <c r="R117" s="1">
        <v>0.11077339916323672</v>
      </c>
      <c r="S117" s="2">
        <f t="shared" si="24"/>
        <v>0.29681025342794143</v>
      </c>
      <c r="T117" s="4">
        <f t="shared" si="25"/>
        <v>8.8096326539958816E-2</v>
      </c>
      <c r="U117" s="1">
        <f t="shared" si="13"/>
        <v>1.777584441316904E-2</v>
      </c>
      <c r="V117" s="6">
        <f>2*sigma/alpha*corel*(B117/12-1/alpha*(1-EXP(-alpha*Output!B117/12)))</f>
        <v>0.17398866668910062</v>
      </c>
      <c r="W117" s="5">
        <f t="shared" si="26"/>
        <v>-7.0320482126789777E-2</v>
      </c>
      <c r="X117" s="1">
        <f t="shared" si="27"/>
        <v>2.514929091282823</v>
      </c>
      <c r="Y117" s="3">
        <f t="shared" si="16"/>
        <v>7.9916837520688871E-2</v>
      </c>
      <c r="Z117" s="1">
        <f t="shared" si="17"/>
        <v>9.9865755102835366E-2</v>
      </c>
      <c r="AA117" s="8">
        <f t="shared" si="23"/>
        <v>8.7499999999999929</v>
      </c>
      <c r="AB117" s="1">
        <v>8.8330000000000002</v>
      </c>
      <c r="AC117" s="1">
        <v>1.401099223E-3</v>
      </c>
      <c r="AD117" s="8">
        <f t="shared" si="18"/>
        <v>-0.90795067015706421</v>
      </c>
      <c r="AE117" s="3">
        <f t="shared" si="19"/>
        <v>-6.4802738824805153E-2</v>
      </c>
      <c r="AF117" s="11">
        <f t="shared" si="20"/>
        <v>8.7499999999999929</v>
      </c>
      <c r="AG117" s="1">
        <f t="shared" si="21"/>
        <v>9.9865755102835366E-2</v>
      </c>
    </row>
    <row r="118" spans="2:33" ht="15" x14ac:dyDescent="0.25">
      <c r="B118" s="1">
        <v>107</v>
      </c>
      <c r="C118" s="1">
        <v>1.0000766587809857</v>
      </c>
      <c r="D118" s="1">
        <v>1.0947618873468234</v>
      </c>
      <c r="E118" s="1">
        <v>0.91299998836310725</v>
      </c>
      <c r="G118" s="1">
        <v>0.99939309206993932</v>
      </c>
      <c r="H118" s="1">
        <v>2.205098658612902</v>
      </c>
      <c r="I118" s="1">
        <v>0.4303769049235367</v>
      </c>
      <c r="K118" s="1">
        <v>1.0003243303321268</v>
      </c>
      <c r="L118" s="1">
        <v>2.1775909804483362</v>
      </c>
      <c r="M118" s="1">
        <v>0.43373911387477454</v>
      </c>
      <c r="O118" s="1">
        <v>1.5881864547314566E-3</v>
      </c>
      <c r="P118" s="1">
        <v>0.98593847074581376</v>
      </c>
      <c r="R118" s="1">
        <v>0.11089152213032406</v>
      </c>
      <c r="S118" s="2">
        <f t="shared" si="24"/>
        <v>0.29845196354051928</v>
      </c>
      <c r="T118" s="4">
        <f t="shared" si="25"/>
        <v>8.9073574541191455E-2</v>
      </c>
      <c r="U118" s="1">
        <f t="shared" si="13"/>
        <v>1.8240935935365243E-2</v>
      </c>
      <c r="V118" s="6">
        <f>2*sigma/alpha*corel*(B118/12-1/alpha*(1-EXP(-alpha*Output!B118/12)))</f>
        <v>0.17710143994091343</v>
      </c>
      <c r="W118" s="5">
        <f t="shared" si="26"/>
        <v>-7.0832638605826212E-2</v>
      </c>
      <c r="X118" s="1">
        <f t="shared" si="27"/>
        <v>2.5577290303036131</v>
      </c>
      <c r="Y118" s="3">
        <f t="shared" si="16"/>
        <v>7.9748900443217335E-2</v>
      </c>
      <c r="Z118" s="1">
        <f t="shared" si="17"/>
        <v>9.9947785176205631E-2</v>
      </c>
      <c r="AA118" s="8">
        <f t="shared" si="23"/>
        <v>8.8333333333333268</v>
      </c>
      <c r="AB118" s="1">
        <v>8.9169999999999998</v>
      </c>
      <c r="AC118" s="1">
        <v>1.4984508810000001E-3</v>
      </c>
      <c r="AD118" s="8">
        <f t="shared" si="18"/>
        <v>-0.89735573731456519</v>
      </c>
      <c r="AE118" s="3">
        <f t="shared" si="19"/>
        <v>-5.9885562395993228E-2</v>
      </c>
      <c r="AF118" s="11">
        <f t="shared" si="20"/>
        <v>8.8333333333333268</v>
      </c>
      <c r="AG118" s="1">
        <f t="shared" si="21"/>
        <v>9.9947785176205631E-2</v>
      </c>
    </row>
    <row r="119" spans="2:33" ht="15" x14ac:dyDescent="0.25">
      <c r="B119" s="1">
        <v>108</v>
      </c>
      <c r="C119" s="1">
        <v>1.000079571161808</v>
      </c>
      <c r="D119" s="1">
        <v>1.0940573009182777</v>
      </c>
      <c r="E119" s="1">
        <v>0.91358520146874311</v>
      </c>
      <c r="G119" s="1">
        <v>0.99950520453845471</v>
      </c>
      <c r="H119" s="1">
        <v>2.1972844344042359</v>
      </c>
      <c r="I119" s="1">
        <v>0.43169731536481065</v>
      </c>
      <c r="K119" s="1">
        <v>1.0001927074853998</v>
      </c>
      <c r="L119" s="1">
        <v>2.1324365802478802</v>
      </c>
      <c r="M119" s="1">
        <v>0.44270573099202887</v>
      </c>
      <c r="O119" s="1">
        <v>1.6821571163003171E-3</v>
      </c>
      <c r="P119" s="1">
        <v>0.98497461073411641</v>
      </c>
      <c r="R119" s="1">
        <v>0.1112009329495751</v>
      </c>
      <c r="S119" s="2">
        <f t="shared" si="24"/>
        <v>0.30057407079498821</v>
      </c>
      <c r="T119" s="4">
        <f t="shared" si="25"/>
        <v>9.034477203427059E-2</v>
      </c>
      <c r="U119" s="1">
        <f t="shared" si="13"/>
        <v>1.8713319003244244E-2</v>
      </c>
      <c r="V119" s="6">
        <f>2*sigma/alpha*corel*(B119/12-1/alpha*(1-EXP(-alpha*Output!B119/12)))</f>
        <v>0.18023851897197196</v>
      </c>
      <c r="W119" s="5">
        <f t="shared" si="26"/>
        <v>-7.1631453031026346E-2</v>
      </c>
      <c r="X119" s="1">
        <f t="shared" si="27"/>
        <v>2.6112182328381586</v>
      </c>
      <c r="Y119" s="3">
        <f t="shared" si="16"/>
        <v>7.9760439598949032E-2</v>
      </c>
      <c r="Z119" s="1">
        <f t="shared" si="17"/>
        <v>0.10019135693166274</v>
      </c>
      <c r="AA119" s="8">
        <f t="shared" si="23"/>
        <v>8.9166666666666607</v>
      </c>
      <c r="AB119" s="1">
        <v>9</v>
      </c>
      <c r="AC119" s="1">
        <v>1.5946618530000001E-3</v>
      </c>
      <c r="AD119" s="8">
        <f t="shared" si="18"/>
        <v>-0.87495263300317028</v>
      </c>
      <c r="AE119" s="3">
        <f t="shared" si="19"/>
        <v>-5.4867596622891701E-2</v>
      </c>
      <c r="AF119" s="11">
        <f t="shared" si="20"/>
        <v>8.9166666666666607</v>
      </c>
      <c r="AG119" s="1">
        <f t="shared" si="21"/>
        <v>0.10019135693166274</v>
      </c>
    </row>
    <row r="120" spans="2:33" ht="15" x14ac:dyDescent="0.25">
      <c r="B120" s="1">
        <v>109</v>
      </c>
      <c r="C120" s="1">
        <v>1.0000808845023106</v>
      </c>
      <c r="D120" s="1">
        <v>1.0946185187324342</v>
      </c>
      <c r="E120" s="1">
        <v>0.91311404840518706</v>
      </c>
      <c r="G120" s="1">
        <v>0.99947735102545465</v>
      </c>
      <c r="H120" s="1">
        <v>2.1882416110589036</v>
      </c>
      <c r="I120" s="1">
        <v>0.43327039215797014</v>
      </c>
      <c r="K120" s="1">
        <v>1.0002089419822906</v>
      </c>
      <c r="L120" s="1">
        <v>2.1294728656805546</v>
      </c>
      <c r="M120" s="1">
        <v>0.44307469185261211</v>
      </c>
      <c r="O120" s="1">
        <v>1.7729522637292062E-3</v>
      </c>
      <c r="P120" s="1">
        <v>0.98402466479491069</v>
      </c>
      <c r="R120" s="1">
        <v>0.11155283106025352</v>
      </c>
      <c r="S120" s="2">
        <f t="shared" si="24"/>
        <v>0.30278561730825915</v>
      </c>
      <c r="T120" s="4">
        <f t="shared" si="25"/>
        <v>9.1679130048743562E-2</v>
      </c>
      <c r="U120" s="1">
        <f t="shared" si="13"/>
        <v>1.9193025783390105E-2</v>
      </c>
      <c r="V120" s="6">
        <f>2*sigma/alpha*corel*(B120/12-1/alpha*(1-EXP(-alpha*Output!B120/12)))</f>
        <v>0.18339982289789392</v>
      </c>
      <c r="W120" s="5">
        <f t="shared" si="26"/>
        <v>-7.2486104265353457E-2</v>
      </c>
      <c r="X120" s="1">
        <f t="shared" si="27"/>
        <v>2.6672972833468211</v>
      </c>
      <c r="Y120" s="3">
        <f t="shared" si="16"/>
        <v>7.9804756716319425E-2</v>
      </c>
      <c r="Z120" s="1">
        <f t="shared" si="17"/>
        <v>0.10046449738451918</v>
      </c>
      <c r="AA120" s="8">
        <f t="shared" si="23"/>
        <v>8.9999999999999947</v>
      </c>
      <c r="AB120" s="1">
        <v>9.0830000000000002</v>
      </c>
      <c r="AC120" s="1">
        <v>1.6885945259999999E-3</v>
      </c>
      <c r="AD120" s="8">
        <f t="shared" si="18"/>
        <v>-0.8435773772920625</v>
      </c>
      <c r="AE120" s="3">
        <f t="shared" si="19"/>
        <v>-4.9957367757809644E-2</v>
      </c>
      <c r="AF120" s="11">
        <f t="shared" si="20"/>
        <v>8.9999999999999947</v>
      </c>
      <c r="AG120" s="1">
        <f t="shared" si="21"/>
        <v>0.10046449738451918</v>
      </c>
    </row>
    <row r="121" spans="2:33" ht="15" x14ac:dyDescent="0.25">
      <c r="B121" s="1">
        <v>110</v>
      </c>
      <c r="C121" s="1">
        <v>1.0000812030885378</v>
      </c>
      <c r="D121" s="1">
        <v>1.094417805352933</v>
      </c>
      <c r="E121" s="1">
        <v>0.91327877617887776</v>
      </c>
      <c r="G121" s="1">
        <v>0.99937037797626127</v>
      </c>
      <c r="H121" s="1">
        <v>2.1837431951848405</v>
      </c>
      <c r="I121" s="1">
        <v>0.43395169702930303</v>
      </c>
      <c r="K121" s="1">
        <v>1.0000636663469553</v>
      </c>
      <c r="L121" s="1">
        <v>2.1177090454398337</v>
      </c>
      <c r="M121" s="1">
        <v>0.44530678313577671</v>
      </c>
      <c r="O121" s="1">
        <v>1.8604273343239344E-3</v>
      </c>
      <c r="P121" s="1">
        <v>0.98309067767846836</v>
      </c>
      <c r="R121" s="1">
        <v>0.11167218367865345</v>
      </c>
      <c r="S121" s="2">
        <f t="shared" si="24"/>
        <v>0.30437959088509581</v>
      </c>
      <c r="T121" s="4">
        <f t="shared" si="25"/>
        <v>9.2646935347378293E-2</v>
      </c>
      <c r="U121" s="1">
        <f t="shared" ref="U121:U184" si="28">sigma*sigma/alpha/alpha*(B121/12+2/alpha*EXP(-alpha*B121/12)-1/2/alpha*EXP(-2*alpha*B121/12)-3/2/alpha)</f>
        <v>1.9680087960390669E-2</v>
      </c>
      <c r="V121" s="6">
        <f>2*sigma/alpha*corel*(B121/12-1/alpha*(1-EXP(-alpha*Output!B121/12)))</f>
        <v>0.18658527110346301</v>
      </c>
      <c r="W121" s="5">
        <f t="shared" si="26"/>
        <v>-7.2966847386987624E-2</v>
      </c>
      <c r="X121" s="1">
        <f t="shared" si="27"/>
        <v>2.7102651342489654</v>
      </c>
      <c r="Y121" s="3">
        <f t="shared" si="16"/>
        <v>7.9620164674668523E-2</v>
      </c>
      <c r="Z121" s="1">
        <f t="shared" si="17"/>
        <v>0.1005332701225429</v>
      </c>
      <c r="AA121" s="8">
        <f t="shared" si="23"/>
        <v>9.0833333333333286</v>
      </c>
      <c r="AB121" s="1">
        <v>9.1669999999999998</v>
      </c>
      <c r="AC121" s="1">
        <v>1.779327669E-3</v>
      </c>
      <c r="AD121" s="8">
        <f t="shared" si="18"/>
        <v>-0.81099665323934456</v>
      </c>
      <c r="AE121" s="3">
        <f t="shared" si="19"/>
        <v>-4.5578825495088987E-2</v>
      </c>
      <c r="AF121" s="11">
        <f t="shared" si="20"/>
        <v>9.0833333333333286</v>
      </c>
      <c r="AG121" s="1">
        <f t="shared" si="21"/>
        <v>0.1005332701225429</v>
      </c>
    </row>
    <row r="122" spans="2:33" ht="15" x14ac:dyDescent="0.25">
      <c r="B122" s="1">
        <v>111</v>
      </c>
      <c r="C122" s="1">
        <v>1.0000841117550257</v>
      </c>
      <c r="D122" s="1">
        <v>1.0904337809321216</v>
      </c>
      <c r="E122" s="1">
        <v>0.91661281608338774</v>
      </c>
      <c r="G122" s="1">
        <v>0.99948400551335703</v>
      </c>
      <c r="H122" s="1">
        <v>2.1144161542972606</v>
      </c>
      <c r="I122" s="1">
        <v>0.44796199713785267</v>
      </c>
      <c r="K122" s="1">
        <v>1.0001238103843721</v>
      </c>
      <c r="L122" s="1">
        <v>2.1606811385760074</v>
      </c>
      <c r="M122" s="1">
        <v>0.43622266021567041</v>
      </c>
      <c r="O122" s="1">
        <v>1.9447174098650413E-3</v>
      </c>
      <c r="P122" s="1">
        <v>0.98217219365917485</v>
      </c>
      <c r="R122" s="1">
        <v>0.11207917692753155</v>
      </c>
      <c r="S122" s="2">
        <f t="shared" si="24"/>
        <v>0.30668885284249991</v>
      </c>
      <c r="T122" s="4">
        <f t="shared" si="25"/>
        <v>9.4058052457848568E-2</v>
      </c>
      <c r="U122" s="1">
        <f t="shared" si="28"/>
        <v>2.0174536740925397E-2</v>
      </c>
      <c r="V122" s="6">
        <f>2*sigma/alpha*corel*(B122/12-1/alpha*(1-EXP(-alpha*Output!B122/12)))</f>
        <v>0.18979478324173338</v>
      </c>
      <c r="W122" s="5">
        <f t="shared" si="26"/>
        <v>-7.388351571692317E-2</v>
      </c>
      <c r="X122" s="1">
        <f t="shared" si="27"/>
        <v>2.7697121412719343</v>
      </c>
      <c r="Y122" s="3">
        <f t="shared" si="16"/>
        <v>7.9700023429577382E-2</v>
      </c>
      <c r="Z122" s="1">
        <f t="shared" si="17"/>
        <v>0.10083867365029747</v>
      </c>
      <c r="AA122" s="8">
        <f t="shared" si="23"/>
        <v>9.1666666666666625</v>
      </c>
      <c r="AB122" s="1">
        <v>9.25</v>
      </c>
      <c r="AC122" s="1">
        <v>1.8668055890000001E-3</v>
      </c>
      <c r="AD122" s="8">
        <f t="shared" si="18"/>
        <v>-0.77911820865041259</v>
      </c>
      <c r="AE122" s="3">
        <f t="shared" si="19"/>
        <v>-4.173536940543264E-2</v>
      </c>
      <c r="AF122" s="11">
        <f t="shared" si="20"/>
        <v>9.1666666666666625</v>
      </c>
      <c r="AG122" s="1">
        <f t="shared" si="21"/>
        <v>0.10083867365029747</v>
      </c>
    </row>
    <row r="123" spans="2:33" ht="15" x14ac:dyDescent="0.25">
      <c r="B123" s="1">
        <v>112</v>
      </c>
      <c r="C123" s="1">
        <v>1.000085497341263</v>
      </c>
      <c r="D123" s="1">
        <v>1.0924671889524693</v>
      </c>
      <c r="E123" s="1">
        <v>0.91490401936027077</v>
      </c>
      <c r="G123" s="1">
        <v>0.99946528169891968</v>
      </c>
      <c r="H123" s="1">
        <v>2.1485710155578071</v>
      </c>
      <c r="I123" s="1">
        <v>0.44062651319024898</v>
      </c>
      <c r="K123" s="1">
        <v>1.0001138193661903</v>
      </c>
      <c r="L123" s="1">
        <v>2.2234188093709366</v>
      </c>
      <c r="M123" s="1">
        <v>0.42366909746538967</v>
      </c>
      <c r="O123" s="1">
        <v>2.0261533782345211E-3</v>
      </c>
      <c r="P123" s="1">
        <v>0.98126692182374242</v>
      </c>
      <c r="R123" s="1">
        <v>0.11232175993187152</v>
      </c>
      <c r="S123" s="2">
        <f t="shared" si="24"/>
        <v>0.30855858052604246</v>
      </c>
      <c r="T123" s="4">
        <f t="shared" si="25"/>
        <v>9.5208397616246235E-2</v>
      </c>
      <c r="U123" s="1">
        <f t="shared" si="28"/>
        <v>2.0676402857835008E-2</v>
      </c>
      <c r="V123" s="6">
        <f>2*sigma/alpha*corel*(B123/12-1/alpha*(1-EXP(-alpha*Output!B123/12)))</f>
        <v>0.1930282792331357</v>
      </c>
      <c r="W123" s="5">
        <f t="shared" si="26"/>
        <v>-7.4531994758411227E-2</v>
      </c>
      <c r="X123" s="1">
        <f t="shared" si="27"/>
        <v>2.8197877208977249</v>
      </c>
      <c r="Y123" s="3">
        <f t="shared" si="16"/>
        <v>7.9617539826916495E-2</v>
      </c>
      <c r="Z123" s="1">
        <f t="shared" si="17"/>
        <v>0.10099950368490831</v>
      </c>
      <c r="AA123" s="8">
        <f t="shared" si="23"/>
        <v>9.2499999999999964</v>
      </c>
      <c r="AB123" s="1">
        <v>9.3330000000000002</v>
      </c>
      <c r="AC123" s="1">
        <v>1.951188975E-3</v>
      </c>
      <c r="AD123" s="8">
        <f t="shared" si="18"/>
        <v>-0.74964403234521138</v>
      </c>
      <c r="AE123" s="3">
        <f t="shared" si="19"/>
        <v>-3.8419857940475061E-2</v>
      </c>
      <c r="AF123" s="11">
        <f t="shared" si="20"/>
        <v>9.2499999999999964</v>
      </c>
      <c r="AG123" s="1">
        <f t="shared" si="21"/>
        <v>0.10099950368490831</v>
      </c>
    </row>
    <row r="124" spans="2:33" ht="15" x14ac:dyDescent="0.25">
      <c r="B124" s="1">
        <v>113</v>
      </c>
      <c r="C124" s="1">
        <v>1.0000870941762461</v>
      </c>
      <c r="D124" s="1">
        <v>1.091954501718414</v>
      </c>
      <c r="E124" s="1">
        <v>0.91533088737981638</v>
      </c>
      <c r="G124" s="1">
        <v>0.99946648399341464</v>
      </c>
      <c r="H124" s="1">
        <v>2.1384494683030502</v>
      </c>
      <c r="I124" s="1">
        <v>0.44249672154803293</v>
      </c>
      <c r="K124" s="1">
        <v>1.0001349997489135</v>
      </c>
      <c r="L124" s="1">
        <v>2.2120801388349136</v>
      </c>
      <c r="M124" s="1">
        <v>0.42562051422791092</v>
      </c>
      <c r="O124" s="1">
        <v>2.1047765556998759E-3</v>
      </c>
      <c r="P124" s="1">
        <v>0.98037514530772862</v>
      </c>
      <c r="R124" s="1">
        <v>0.11256307271115408</v>
      </c>
      <c r="S124" s="2">
        <f t="shared" si="24"/>
        <v>0.3104063400225795</v>
      </c>
      <c r="T124" s="4">
        <f t="shared" si="25"/>
        <v>9.6352095926213244E-2</v>
      </c>
      <c r="U124" s="1">
        <f t="shared" si="28"/>
        <v>2.1185716574154245E-2</v>
      </c>
      <c r="V124" s="6">
        <f>2*sigma/alpha*corel*(B124/12-1/alpha*(1-EXP(-alpha*Output!B124/12)))</f>
        <v>0.19628567926458873</v>
      </c>
      <c r="W124" s="5">
        <f t="shared" si="26"/>
        <v>-7.5166379352058998E-2</v>
      </c>
      <c r="X124" s="1">
        <f t="shared" si="27"/>
        <v>2.8697950234785834</v>
      </c>
      <c r="Y124" s="3">
        <f t="shared" si="16"/>
        <v>7.9527146408361268E-2</v>
      </c>
      <c r="Z124" s="1">
        <f t="shared" si="17"/>
        <v>0.10115374923014313</v>
      </c>
      <c r="AA124" s="8">
        <f t="shared" si="23"/>
        <v>9.3333333333333304</v>
      </c>
      <c r="AB124" s="1">
        <v>9.4169999999999998</v>
      </c>
      <c r="AC124" s="1">
        <v>2.0326385199999999E-3</v>
      </c>
      <c r="AD124" s="8">
        <f t="shared" si="18"/>
        <v>-0.72138035699876013</v>
      </c>
      <c r="AE124" s="3">
        <f t="shared" si="19"/>
        <v>-3.5489849764273884E-2</v>
      </c>
      <c r="AF124" s="11">
        <f t="shared" si="20"/>
        <v>9.3333333333333304</v>
      </c>
      <c r="AG124" s="1">
        <f t="shared" si="21"/>
        <v>0.10115374923014313</v>
      </c>
    </row>
    <row r="125" spans="2:33" ht="15" x14ac:dyDescent="0.25">
      <c r="B125" s="1">
        <v>114</v>
      </c>
      <c r="C125" s="1">
        <v>1.0000900151180312</v>
      </c>
      <c r="D125" s="1">
        <v>1.0918659776329582</v>
      </c>
      <c r="E125" s="1">
        <v>0.91540242378607595</v>
      </c>
      <c r="G125" s="1">
        <v>0.99957466185188659</v>
      </c>
      <c r="H125" s="1">
        <v>2.1359767036290229</v>
      </c>
      <c r="I125" s="1">
        <v>0.44279352602488342</v>
      </c>
      <c r="K125" s="1">
        <v>1.000253378606146</v>
      </c>
      <c r="L125" s="1">
        <v>2.2141621193240919</v>
      </c>
      <c r="M125" s="1">
        <v>0.42499552801475021</v>
      </c>
      <c r="O125" s="1">
        <v>2.1808823662008863E-3</v>
      </c>
      <c r="P125" s="1">
        <v>0.97949476862067131</v>
      </c>
      <c r="R125" s="1">
        <v>0.11280471813550015</v>
      </c>
      <c r="S125" s="2">
        <f t="shared" si="24"/>
        <v>0.31223918770395143</v>
      </c>
      <c r="T125" s="4">
        <f t="shared" si="25"/>
        <v>9.7493310338023415E-2</v>
      </c>
      <c r="U125" s="1">
        <f t="shared" si="28"/>
        <v>2.1702507687120232E-2</v>
      </c>
      <c r="V125" s="6">
        <f>2*sigma/alpha*corel*(B125/12-1/alpha*(1-EXP(-alpha*Output!B125/12)))</f>
        <v>0.19956690378861197</v>
      </c>
      <c r="W125" s="5">
        <f t="shared" si="26"/>
        <v>-7.5790802650903183E-2</v>
      </c>
      <c r="X125" s="1">
        <f t="shared" si="27"/>
        <v>2.9198774498220939</v>
      </c>
      <c r="Y125" s="3">
        <f t="shared" si="16"/>
        <v>7.9431472966585218E-2</v>
      </c>
      <c r="Z125" s="1">
        <f t="shared" si="17"/>
        <v>0.10130376952409983</v>
      </c>
      <c r="AA125" s="8">
        <f t="shared" si="23"/>
        <v>9.4166666666666643</v>
      </c>
      <c r="AB125" s="1">
        <v>9.5</v>
      </c>
      <c r="AC125" s="1">
        <v>2.1113149129999998E-3</v>
      </c>
      <c r="AD125" s="8">
        <f t="shared" si="18"/>
        <v>-0.6956745320088652</v>
      </c>
      <c r="AE125" s="3">
        <f t="shared" si="19"/>
        <v>-3.2949823246422795E-2</v>
      </c>
      <c r="AF125" s="11">
        <f t="shared" si="20"/>
        <v>9.4166666666666643</v>
      </c>
      <c r="AG125" s="1">
        <f t="shared" si="21"/>
        <v>0.10130376952409983</v>
      </c>
    </row>
    <row r="126" spans="2:33" ht="15" x14ac:dyDescent="0.25">
      <c r="B126" s="1">
        <v>115</v>
      </c>
      <c r="C126" s="1">
        <v>1.0000926372320089</v>
      </c>
      <c r="D126" s="1">
        <v>1.0932245985769939</v>
      </c>
      <c r="E126" s="1">
        <v>0.91426213812726065</v>
      </c>
      <c r="G126" s="1">
        <v>0.99965589780586184</v>
      </c>
      <c r="H126" s="1">
        <v>2.1579105792962898</v>
      </c>
      <c r="I126" s="1">
        <v>0.43807963784940168</v>
      </c>
      <c r="K126" s="1">
        <v>1.0002493123959035</v>
      </c>
      <c r="L126" s="1">
        <v>2.260992282344557</v>
      </c>
      <c r="M126" s="1">
        <v>0.41595487354709915</v>
      </c>
      <c r="O126" s="1">
        <v>2.2544216746834345E-3</v>
      </c>
      <c r="P126" s="1">
        <v>0.97862683920183458</v>
      </c>
      <c r="R126" s="1">
        <v>0.11317872954089488</v>
      </c>
      <c r="S126" s="2">
        <f t="shared" si="24"/>
        <v>0.31439524703400978</v>
      </c>
      <c r="T126" s="4">
        <f t="shared" si="25"/>
        <v>9.8844371357576039E-2</v>
      </c>
      <c r="U126" s="1">
        <f t="shared" si="28"/>
        <v>2.2226805532145733E-2</v>
      </c>
      <c r="V126" s="6">
        <f>2*sigma/alpha*corel*(B126/12-1/alpha*(1-EXP(-alpha*Output!B126/12)))</f>
        <v>0.20287187352244129</v>
      </c>
      <c r="W126" s="5">
        <f t="shared" si="26"/>
        <v>-7.6617565825430306E-2</v>
      </c>
      <c r="X126" s="1">
        <f t="shared" si="27"/>
        <v>2.9781636870413335</v>
      </c>
      <c r="Y126" s="3">
        <f t="shared" si="16"/>
        <v>7.9453764569264451E-2</v>
      </c>
      <c r="Z126" s="1">
        <f t="shared" si="17"/>
        <v>0.10155882665773019</v>
      </c>
      <c r="AA126" s="8">
        <f t="shared" si="23"/>
        <v>9.4999999999999982</v>
      </c>
      <c r="AB126" s="1">
        <v>9.5830000000000002</v>
      </c>
      <c r="AC126" s="1">
        <v>2.1873788459999999E-3</v>
      </c>
      <c r="AD126" s="8">
        <f t="shared" si="18"/>
        <v>-0.67042828683434608</v>
      </c>
      <c r="AE126" s="3">
        <f t="shared" si="19"/>
        <v>-3.0649847787471294E-2</v>
      </c>
      <c r="AF126" s="11">
        <f t="shared" si="20"/>
        <v>9.4999999999999982</v>
      </c>
      <c r="AG126" s="1">
        <f t="shared" si="21"/>
        <v>0.10155882665773019</v>
      </c>
    </row>
    <row r="127" spans="2:33" ht="15" x14ac:dyDescent="0.25">
      <c r="B127" s="1">
        <v>116</v>
      </c>
      <c r="C127" s="1">
        <v>1.0000965695851864</v>
      </c>
      <c r="D127" s="1">
        <v>1.0899197551098783</v>
      </c>
      <c r="E127" s="1">
        <v>0.91703170640681064</v>
      </c>
      <c r="G127" s="1">
        <v>0.99984216689336369</v>
      </c>
      <c r="H127" s="1">
        <v>2.0977123641366342</v>
      </c>
      <c r="I127" s="1">
        <v>0.45043209064561879</v>
      </c>
      <c r="K127" s="1">
        <v>1.0001730373403377</v>
      </c>
      <c r="L127" s="1">
        <v>2.252490842815821</v>
      </c>
      <c r="M127" s="1">
        <v>0.41734731176138085</v>
      </c>
      <c r="O127" s="1">
        <v>2.3258498973032587E-3</v>
      </c>
      <c r="P127" s="1">
        <v>0.97776764822663897</v>
      </c>
      <c r="R127" s="1">
        <v>0.11353280174746384</v>
      </c>
      <c r="S127" s="2">
        <f t="shared" si="24"/>
        <v>0.3164885114864423</v>
      </c>
      <c r="T127" s="4">
        <f t="shared" si="25"/>
        <v>0.10016497790290392</v>
      </c>
      <c r="U127" s="1">
        <f t="shared" si="28"/>
        <v>2.2758638986766666E-2</v>
      </c>
      <c r="V127" s="6">
        <f>2*sigma/alpha*corel*(B127/12-1/alpha*(1-EXP(-alpha*Output!B127/12)))</f>
        <v>0.20620050944714907</v>
      </c>
      <c r="W127" s="5">
        <f t="shared" si="26"/>
        <v>-7.7406338916137254E-2</v>
      </c>
      <c r="X127" s="1">
        <f t="shared" si="27"/>
        <v>3.035563754853571</v>
      </c>
      <c r="Y127" s="3">
        <f t="shared" si="16"/>
        <v>7.945274601542264E-2</v>
      </c>
      <c r="Z127" s="1">
        <f t="shared" si="17"/>
        <v>0.10179339008903107</v>
      </c>
      <c r="AA127" s="8">
        <f t="shared" si="23"/>
        <v>9.5833333333333321</v>
      </c>
      <c r="AB127" s="1">
        <v>9.6669999999999998</v>
      </c>
      <c r="AC127" s="1">
        <v>2.2609919879999999E-3</v>
      </c>
      <c r="AD127" s="8">
        <f t="shared" si="18"/>
        <v>-0.64857909303258754</v>
      </c>
      <c r="AE127" s="3">
        <f t="shared" si="19"/>
        <v>-2.8685598908570194E-2</v>
      </c>
      <c r="AF127" s="11">
        <f t="shared" si="20"/>
        <v>9.5833333333333321</v>
      </c>
      <c r="AG127" s="1">
        <f t="shared" si="21"/>
        <v>0.10179339008903107</v>
      </c>
    </row>
    <row r="128" spans="2:33" ht="15" x14ac:dyDescent="0.25">
      <c r="B128" s="1">
        <v>117</v>
      </c>
      <c r="C128" s="1">
        <v>1.0000960636726002</v>
      </c>
      <c r="D128" s="1">
        <v>1.092630326535551</v>
      </c>
      <c r="E128" s="1">
        <v>0.91475413084121104</v>
      </c>
      <c r="G128" s="1">
        <v>0.99966728439218655</v>
      </c>
      <c r="H128" s="1">
        <v>2.1460972697209</v>
      </c>
      <c r="I128" s="1">
        <v>0.44006276496564739</v>
      </c>
      <c r="K128" s="1">
        <v>1.0001536132387523</v>
      </c>
      <c r="L128" s="1">
        <v>2.2898149877366847</v>
      </c>
      <c r="M128" s="1">
        <v>0.41031650777030027</v>
      </c>
      <c r="O128" s="1">
        <v>2.3951407615044585E-3</v>
      </c>
      <c r="P128" s="1">
        <v>0.97691793985723707</v>
      </c>
      <c r="R128" s="1">
        <v>0.11382013337500259</v>
      </c>
      <c r="S128" s="2">
        <f t="shared" si="24"/>
        <v>0.31839735121923851</v>
      </c>
      <c r="T128" s="4">
        <f t="shared" si="25"/>
        <v>0.10137687326342712</v>
      </c>
      <c r="U128" s="1">
        <f t="shared" si="28"/>
        <v>2.329803647455897E-2</v>
      </c>
      <c r="V128" s="6">
        <f>2*sigma/alpha*corel*(B128/12-1/alpha*(1-EXP(-alpha*Output!B128/12)))</f>
        <v>0.20955273280676479</v>
      </c>
      <c r="W128" s="5">
        <f t="shared" si="26"/>
        <v>-7.807883678886815E-2</v>
      </c>
      <c r="X128" s="1">
        <f t="shared" si="27"/>
        <v>3.0889869825926413</v>
      </c>
      <c r="Y128" s="3">
        <f t="shared" si="16"/>
        <v>7.9384547895585633E-2</v>
      </c>
      <c r="Z128" s="1">
        <f t="shared" si="17"/>
        <v>0.10196876005433314</v>
      </c>
      <c r="AA128" s="8">
        <f t="shared" si="23"/>
        <v>9.6666666666666661</v>
      </c>
      <c r="AB128" s="1">
        <v>9.75</v>
      </c>
      <c r="AC128" s="1">
        <v>2.332319927E-3</v>
      </c>
      <c r="AD128" s="8">
        <f t="shared" si="18"/>
        <v>-0.62820834504458478</v>
      </c>
      <c r="AE128" s="3">
        <f t="shared" si="19"/>
        <v>-2.6934913078268476E-2</v>
      </c>
      <c r="AF128" s="11">
        <f t="shared" si="20"/>
        <v>9.6666666666666661</v>
      </c>
      <c r="AG128" s="1">
        <f t="shared" si="21"/>
        <v>0.10196876005433314</v>
      </c>
    </row>
    <row r="129" spans="2:33" ht="15" x14ac:dyDescent="0.25">
      <c r="B129" s="1">
        <v>118</v>
      </c>
      <c r="C129" s="1">
        <v>1.0000971544671204</v>
      </c>
      <c r="D129" s="1">
        <v>1.0917155821488871</v>
      </c>
      <c r="E129" s="1">
        <v>0.91551798781065974</v>
      </c>
      <c r="G129" s="1">
        <v>0.99962404180280173</v>
      </c>
      <c r="H129" s="1">
        <v>2.1293943409981209</v>
      </c>
      <c r="I129" s="1">
        <v>0.44329895284135257</v>
      </c>
      <c r="K129" s="1">
        <v>1.000258478336888</v>
      </c>
      <c r="L129" s="1">
        <v>2.3230979537899068</v>
      </c>
      <c r="M129" s="1">
        <v>0.40422736761664541</v>
      </c>
      <c r="O129" s="1">
        <v>2.4624294082918907E-3</v>
      </c>
      <c r="P129" s="1">
        <v>0.97607691513675432</v>
      </c>
      <c r="R129" s="1">
        <v>0.11450021863524766</v>
      </c>
      <c r="S129" s="2">
        <f t="shared" si="24"/>
        <v>0.32130678575167604</v>
      </c>
      <c r="T129" s="4">
        <f t="shared" si="25"/>
        <v>0.10323805057007344</v>
      </c>
      <c r="U129" s="1">
        <f t="shared" si="28"/>
        <v>2.3845025969027933E-2</v>
      </c>
      <c r="V129" s="6">
        <f>2*sigma/alpha*corel*(B129/12-1/alpha*(1-EXP(-alpha*Output!B129/12)))</f>
        <v>0.21292846510740149</v>
      </c>
      <c r="W129" s="5">
        <f t="shared" si="26"/>
        <v>-7.9393024601045512E-2</v>
      </c>
      <c r="X129" s="1">
        <f t="shared" si="27"/>
        <v>3.1681308322274506</v>
      </c>
      <c r="Y129" s="3">
        <f t="shared" si="16"/>
        <v>7.9677758865856263E-2</v>
      </c>
      <c r="Z129" s="1">
        <f t="shared" si="17"/>
        <v>0.10246357793741287</v>
      </c>
      <c r="AA129" s="8">
        <f t="shared" si="23"/>
        <v>9.75</v>
      </c>
      <c r="AB129" s="1">
        <v>9.8330000000000002</v>
      </c>
      <c r="AC129" s="1">
        <v>2.4015292279999999E-3</v>
      </c>
      <c r="AD129" s="8">
        <f t="shared" si="18"/>
        <v>-0.60900180291890804</v>
      </c>
      <c r="AE129" s="3">
        <f t="shared" si="19"/>
        <v>-2.5358916969171613E-2</v>
      </c>
      <c r="AF129" s="11">
        <f t="shared" si="20"/>
        <v>9.75</v>
      </c>
      <c r="AG129" s="1">
        <f t="shared" si="21"/>
        <v>0.10246357793741287</v>
      </c>
    </row>
    <row r="130" spans="2:33" ht="15" x14ac:dyDescent="0.25">
      <c r="B130" s="1">
        <v>119</v>
      </c>
      <c r="C130" s="1">
        <v>1.0000999462460647</v>
      </c>
      <c r="D130" s="1">
        <v>1.093674137193982</v>
      </c>
      <c r="E130" s="1">
        <v>0.91387588388998375</v>
      </c>
      <c r="G130" s="1">
        <v>0.99971669946612696</v>
      </c>
      <c r="H130" s="1">
        <v>2.1618123213913574</v>
      </c>
      <c r="I130" s="1">
        <v>0.43643905000742655</v>
      </c>
      <c r="K130" s="1">
        <v>1.0002902207327207</v>
      </c>
      <c r="L130" s="1">
        <v>2.2507433888034338</v>
      </c>
      <c r="M130" s="1">
        <v>0.41697109609704414</v>
      </c>
      <c r="O130" s="1">
        <v>2.5278923905751758E-3</v>
      </c>
      <c r="P130" s="1">
        <v>0.97524333359299487</v>
      </c>
      <c r="R130" s="1">
        <v>0.11496583429912166</v>
      </c>
      <c r="S130" s="2">
        <f t="shared" si="24"/>
        <v>0.32365465732317444</v>
      </c>
      <c r="T130" s="4">
        <f t="shared" si="25"/>
        <v>0.10475233720698147</v>
      </c>
      <c r="U130" s="1">
        <f t="shared" si="28"/>
        <v>2.4399634997467778E-2</v>
      </c>
      <c r="V130" s="6">
        <f>2*sigma/alpha*corel*(B130/12-1/alpha*(1-EXP(-alpha*Output!B130/12)))</f>
        <v>0.2163276281163824</v>
      </c>
      <c r="W130" s="5">
        <f t="shared" si="26"/>
        <v>-8.0352702209513696E-2</v>
      </c>
      <c r="X130" s="1">
        <f t="shared" si="27"/>
        <v>3.2341214969971697</v>
      </c>
      <c r="Y130" s="3">
        <f t="shared" si="16"/>
        <v>7.9766657800237672E-2</v>
      </c>
      <c r="Z130" s="1">
        <f t="shared" si="17"/>
        <v>0.10277772567449459</v>
      </c>
      <c r="AA130" s="8">
        <f t="shared" si="23"/>
        <v>9.8333333333333339</v>
      </c>
      <c r="AB130" s="1">
        <v>9.9169999999999998</v>
      </c>
      <c r="AC130" s="1">
        <v>2.4687864590000001E-3</v>
      </c>
      <c r="AD130" s="8">
        <f t="shared" si="18"/>
        <v>-0.59105931575175774</v>
      </c>
      <c r="AE130" s="3">
        <f t="shared" si="19"/>
        <v>-2.394128959987777E-2</v>
      </c>
      <c r="AF130" s="11">
        <f t="shared" si="20"/>
        <v>9.8333333333333339</v>
      </c>
      <c r="AG130" s="1">
        <f t="shared" si="21"/>
        <v>0.10277772567449459</v>
      </c>
    </row>
    <row r="131" spans="2:33" ht="15" x14ac:dyDescent="0.25">
      <c r="B131" s="1">
        <v>120</v>
      </c>
      <c r="C131" s="1">
        <v>1.0001025125289704</v>
      </c>
      <c r="D131" s="1">
        <v>1.094003726435788</v>
      </c>
      <c r="E131" s="1">
        <v>0.91359798535752224</v>
      </c>
      <c r="G131" s="1">
        <v>0.9997957011398878</v>
      </c>
      <c r="H131" s="1">
        <v>2.1667225319847598</v>
      </c>
      <c r="I131" s="1">
        <v>0.43523828530549918</v>
      </c>
      <c r="K131" s="1">
        <v>1.0003320418543582</v>
      </c>
      <c r="L131" s="1">
        <v>2.2940811023237684</v>
      </c>
      <c r="M131" s="1">
        <v>0.4088964972557409</v>
      </c>
      <c r="O131" s="1">
        <v>2.5916952017028946E-3</v>
      </c>
      <c r="P131" s="1">
        <v>0.97441600953275098</v>
      </c>
      <c r="R131" s="1">
        <v>0.11527206169036323</v>
      </c>
      <c r="S131" s="2">
        <f t="shared" si="24"/>
        <v>0.32558352540691016</v>
      </c>
      <c r="T131" s="4">
        <f t="shared" si="25"/>
        <v>0.10600463201639211</v>
      </c>
      <c r="U131" s="1">
        <f t="shared" si="28"/>
        <v>2.4961890644793705E-2</v>
      </c>
      <c r="V131" s="6">
        <f>2*sigma/alpha*corel*(B131/12-1/alpha*(1-EXP(-alpha*Output!B131/12)))</f>
        <v>0.21975014386137293</v>
      </c>
      <c r="W131" s="5">
        <f t="shared" si="26"/>
        <v>-8.1042741371598406E-2</v>
      </c>
      <c r="X131" s="1">
        <f t="shared" si="27"/>
        <v>3.2899997805910304</v>
      </c>
      <c r="Y131" s="3">
        <f t="shared" si="16"/>
        <v>7.9704275518914569E-2</v>
      </c>
      <c r="Z131" s="1">
        <f t="shared" si="17"/>
        <v>0.10295855089131359</v>
      </c>
      <c r="AA131" s="8">
        <f t="shared" si="23"/>
        <v>9.9166666666666679</v>
      </c>
      <c r="AB131" s="1">
        <v>10</v>
      </c>
      <c r="AC131" s="1">
        <v>2.5342581859999999E-3</v>
      </c>
      <c r="AD131" s="8">
        <f t="shared" si="18"/>
        <v>-0.57437015702894745</v>
      </c>
      <c r="AE131" s="3">
        <f t="shared" si="19"/>
        <v>-2.2664232089766544E-2</v>
      </c>
      <c r="AF131" s="11">
        <f t="shared" si="20"/>
        <v>9.9166666666666679</v>
      </c>
      <c r="AG131" s="1">
        <f t="shared" si="21"/>
        <v>0.10295855089131359</v>
      </c>
    </row>
    <row r="132" spans="2:33" ht="15" x14ac:dyDescent="0.25">
      <c r="B132" s="1">
        <v>121</v>
      </c>
      <c r="C132" s="1">
        <v>1.0001022809103379</v>
      </c>
      <c r="D132" s="1">
        <v>1.0956948780026454</v>
      </c>
      <c r="E132" s="1">
        <v>0.91218533504030896</v>
      </c>
      <c r="G132" s="1">
        <v>0.99964685210274151</v>
      </c>
      <c r="H132" s="1">
        <v>2.1975388987843956</v>
      </c>
      <c r="I132" s="1">
        <v>0.42892625672937656</v>
      </c>
      <c r="K132" s="1">
        <v>1.0002484528208198</v>
      </c>
      <c r="L132" s="1">
        <v>2.2714161504229695</v>
      </c>
      <c r="M132" s="1">
        <v>0.41274218547160285</v>
      </c>
      <c r="O132" s="1">
        <v>2.6541409740121398E-3</v>
      </c>
      <c r="P132" s="1">
        <v>0.97359235644653064</v>
      </c>
      <c r="R132" s="1">
        <v>0.11568039167959772</v>
      </c>
      <c r="S132" s="2">
        <f t="shared" si="24"/>
        <v>0.32777156050955814</v>
      </c>
      <c r="T132" s="4">
        <f t="shared" si="25"/>
        <v>0.10743419587887093</v>
      </c>
      <c r="U132" s="1">
        <f t="shared" si="28"/>
        <v>2.5531819557341073E-2</v>
      </c>
      <c r="V132" s="6">
        <f>2*sigma/alpha*corel*(B132/12-1/alpha*(1-EXP(-alpha*Output!B132/12)))</f>
        <v>0.2231959346295127</v>
      </c>
      <c r="W132" s="5">
        <f t="shared" si="26"/>
        <v>-8.1902376321529857E-2</v>
      </c>
      <c r="X132" s="1">
        <f t="shared" si="27"/>
        <v>3.3532122702035125</v>
      </c>
      <c r="Y132" s="3">
        <f t="shared" si="16"/>
        <v>7.9734639779973304E-2</v>
      </c>
      <c r="Z132" s="1">
        <f t="shared" si="17"/>
        <v>0.1032212720143075</v>
      </c>
      <c r="AA132" s="8">
        <f t="shared" si="23"/>
        <v>10.000000000000002</v>
      </c>
      <c r="AB132" s="1">
        <v>10.08</v>
      </c>
      <c r="AC132" s="1">
        <v>2.5981109739999998E-3</v>
      </c>
      <c r="AD132" s="8">
        <f t="shared" si="18"/>
        <v>-0.56030000012139913</v>
      </c>
      <c r="AE132" s="3">
        <f t="shared" si="19"/>
        <v>-2.1565668507945696E-2</v>
      </c>
      <c r="AF132" s="11">
        <f t="shared" si="20"/>
        <v>10.000000000000002</v>
      </c>
      <c r="AG132" s="1">
        <f t="shared" si="21"/>
        <v>0.1032212720143075</v>
      </c>
    </row>
    <row r="133" spans="2:33" ht="15" x14ac:dyDescent="0.25">
      <c r="B133" s="1">
        <v>122</v>
      </c>
      <c r="C133" s="1">
        <v>1.0001035810087364</v>
      </c>
      <c r="D133" s="1">
        <v>1.0997204966697234</v>
      </c>
      <c r="E133" s="1">
        <v>0.90884367230976948</v>
      </c>
      <c r="G133" s="1">
        <v>0.9996160221105731</v>
      </c>
      <c r="H133" s="1">
        <v>2.2725356504185892</v>
      </c>
      <c r="I133" s="1">
        <v>0.41456947772623337</v>
      </c>
      <c r="K133" s="1">
        <v>1.0003729434485762</v>
      </c>
      <c r="L133" s="1">
        <v>2.3217102122351654</v>
      </c>
      <c r="M133" s="1">
        <v>0.40361579910852508</v>
      </c>
      <c r="O133" s="1">
        <v>2.7152906132920456E-3</v>
      </c>
      <c r="P133" s="1">
        <v>0.97277209388294783</v>
      </c>
      <c r="R133" s="1">
        <v>0.11641882688203171</v>
      </c>
      <c r="S133" s="2">
        <f t="shared" si="24"/>
        <v>0.33080926525994281</v>
      </c>
      <c r="T133" s="4">
        <f t="shared" si="25"/>
        <v>0.10943476998182321</v>
      </c>
      <c r="U133" s="1">
        <f t="shared" si="28"/>
        <v>2.6109447946645492E-2</v>
      </c>
      <c r="V133" s="6">
        <f>2*sigma/alpha*corel*(B133/12-1/alpha*(1-EXP(-alpha*Output!B133/12)))</f>
        <v>0.22666492296655338</v>
      </c>
      <c r="W133" s="5">
        <f t="shared" si="26"/>
        <v>-8.3325322035177715E-2</v>
      </c>
      <c r="X133" s="1">
        <f t="shared" si="27"/>
        <v>3.4399400834006606</v>
      </c>
      <c r="Y133" s="3">
        <f t="shared" si="16"/>
        <v>8.0067670014569672E-2</v>
      </c>
      <c r="Z133" s="1">
        <f t="shared" si="17"/>
        <v>0.10375006378753238</v>
      </c>
      <c r="AA133" s="8">
        <f t="shared" si="23"/>
        <v>10.083333333333336</v>
      </c>
      <c r="AB133" s="1">
        <v>10.17</v>
      </c>
      <c r="AC133" s="1">
        <v>2.6605188710000002E-3</v>
      </c>
      <c r="AD133" s="8">
        <f t="shared" si="18"/>
        <v>-0.54771742292045433</v>
      </c>
      <c r="AE133" s="3">
        <f t="shared" si="19"/>
        <v>-2.0586864798842253E-2</v>
      </c>
      <c r="AF133" s="11">
        <f t="shared" si="20"/>
        <v>10.083333333333336</v>
      </c>
      <c r="AG133" s="1">
        <f t="shared" si="21"/>
        <v>0.10375006378753238</v>
      </c>
    </row>
    <row r="134" spans="2:33" ht="15" x14ac:dyDescent="0.25">
      <c r="B134" s="1">
        <v>123</v>
      </c>
      <c r="C134" s="1">
        <v>1.0001055670004317</v>
      </c>
      <c r="D134" s="1">
        <v>1.0958924532201184</v>
      </c>
      <c r="E134" s="1">
        <v>0.91201581209978944</v>
      </c>
      <c r="G134" s="1">
        <v>0.99964212267564689</v>
      </c>
      <c r="H134" s="1">
        <v>2.2009545245382873</v>
      </c>
      <c r="I134" s="1">
        <v>0.42784434647818148</v>
      </c>
      <c r="K134" s="1">
        <v>1.0002638236650105</v>
      </c>
      <c r="L134" s="1">
        <v>2.3184004958552231</v>
      </c>
      <c r="M134" s="1">
        <v>0.40397398258830541</v>
      </c>
      <c r="O134" s="1">
        <v>2.7753495833046735E-3</v>
      </c>
      <c r="P134" s="1">
        <v>0.97195348244976976</v>
      </c>
      <c r="R134" s="1">
        <v>0.11663563667057025</v>
      </c>
      <c r="S134" s="2">
        <f t="shared" si="24"/>
        <v>0.33249727514940097</v>
      </c>
      <c r="T134" s="4">
        <f t="shared" si="25"/>
        <v>0.11055443798177646</v>
      </c>
      <c r="U134" s="1">
        <f t="shared" si="28"/>
        <v>2.6694801593186046E-2</v>
      </c>
      <c r="V134" s="6">
        <f>2*sigma/alpha*corel*(B134/12-1/alpha*(1-EXP(-alpha*Output!B134/12)))</f>
        <v>0.23015703167599821</v>
      </c>
      <c r="W134" s="5">
        <f t="shared" si="26"/>
        <v>-8.3859636388590411E-2</v>
      </c>
      <c r="X134" s="1">
        <f t="shared" si="27"/>
        <v>3.491217351162113</v>
      </c>
      <c r="Y134" s="3">
        <f t="shared" si="16"/>
        <v>7.9918191498165356E-2</v>
      </c>
      <c r="Z134" s="1">
        <f t="shared" si="17"/>
        <v>0.10385470055558577</v>
      </c>
      <c r="AA134" s="8">
        <f t="shared" si="23"/>
        <v>10.16666666666667</v>
      </c>
      <c r="AB134" s="1">
        <v>10.25</v>
      </c>
      <c r="AC134" s="1">
        <v>2.7216858369999999E-3</v>
      </c>
      <c r="AD134" s="8">
        <f t="shared" si="18"/>
        <v>-0.53663746304673676</v>
      </c>
      <c r="AE134" s="3">
        <f t="shared" si="19"/>
        <v>-1.9717097974770288E-2</v>
      </c>
      <c r="AF134" s="11">
        <f t="shared" si="20"/>
        <v>10.16666666666667</v>
      </c>
      <c r="AG134" s="1">
        <f t="shared" si="21"/>
        <v>0.10385470055558577</v>
      </c>
    </row>
    <row r="135" spans="2:33" ht="15" x14ac:dyDescent="0.25">
      <c r="B135" s="1">
        <v>124</v>
      </c>
      <c r="C135" s="1">
        <v>1.0001054394774611</v>
      </c>
      <c r="D135" s="1">
        <v>1.0972958101852861</v>
      </c>
      <c r="E135" s="1">
        <v>0.91084690562705994</v>
      </c>
      <c r="G135" s="1">
        <v>0.99949948385235221</v>
      </c>
      <c r="H135" s="1">
        <v>2.2259319468687471</v>
      </c>
      <c r="I135" s="1">
        <v>0.42283782900747774</v>
      </c>
      <c r="K135" s="1">
        <v>1.0004252946833065</v>
      </c>
      <c r="L135" s="1">
        <v>2.3373978401319269</v>
      </c>
      <c r="M135" s="1">
        <v>0.40045135454510306</v>
      </c>
      <c r="O135" s="1">
        <v>2.8345730691907646E-3</v>
      </c>
      <c r="P135" s="1">
        <v>0.97113422313831055</v>
      </c>
      <c r="R135" s="1">
        <v>0.11718061877723754</v>
      </c>
      <c r="S135" s="2">
        <f t="shared" si="24"/>
        <v>0.3350361279670625</v>
      </c>
      <c r="T135" s="4">
        <f t="shared" si="25"/>
        <v>0.11224920704316188</v>
      </c>
      <c r="U135" s="1">
        <f t="shared" si="28"/>
        <v>2.7287905850104988E-2</v>
      </c>
      <c r="V135" s="6">
        <f>2*sigma/alpha*corel*(B135/12-1/alpha*(1-EXP(-alpha*Output!B135/12)))</f>
        <v>0.23367218381824229</v>
      </c>
      <c r="W135" s="5">
        <f t="shared" si="26"/>
        <v>-8.4961301193056893E-2</v>
      </c>
      <c r="X135" s="1">
        <f t="shared" si="27"/>
        <v>3.5663364721367379</v>
      </c>
      <c r="Y135" s="3">
        <f t="shared" si="16"/>
        <v>8.0071086669043418E-2</v>
      </c>
      <c r="Z135" s="1">
        <f t="shared" si="17"/>
        <v>0.10422488420740952</v>
      </c>
      <c r="AA135" s="8">
        <f t="shared" si="23"/>
        <v>10.250000000000004</v>
      </c>
      <c r="AB135" s="1">
        <v>10.33</v>
      </c>
      <c r="AC135" s="1">
        <v>2.7818233150000002E-3</v>
      </c>
      <c r="AD135" s="8">
        <f t="shared" si="18"/>
        <v>-0.52749754190764464</v>
      </c>
      <c r="AE135" s="3">
        <f t="shared" si="19"/>
        <v>-1.8962294947464865E-2</v>
      </c>
      <c r="AF135" s="11">
        <f t="shared" si="20"/>
        <v>10.250000000000004</v>
      </c>
      <c r="AG135" s="1">
        <f t="shared" si="21"/>
        <v>0.10422488420740952</v>
      </c>
    </row>
    <row r="136" spans="2:33" ht="15" x14ac:dyDescent="0.25">
      <c r="B136" s="1">
        <v>125</v>
      </c>
      <c r="C136" s="1">
        <v>1.0001065567897245</v>
      </c>
      <c r="D136" s="1">
        <v>1.0959808319707565</v>
      </c>
      <c r="E136" s="1">
        <v>0.91193725951031568</v>
      </c>
      <c r="G136" s="1">
        <v>0.99945230032568866</v>
      </c>
      <c r="H136" s="1">
        <v>2.1988545195602214</v>
      </c>
      <c r="I136" s="1">
        <v>0.42783674564046359</v>
      </c>
      <c r="K136" s="1">
        <v>1.0003110691349484</v>
      </c>
      <c r="L136" s="1">
        <v>2.3031725913920478</v>
      </c>
      <c r="M136" s="1">
        <v>0.40618073932032017</v>
      </c>
      <c r="O136" s="1">
        <v>2.8931753670459895E-3</v>
      </c>
      <c r="P136" s="1">
        <v>0.97031235543655692</v>
      </c>
      <c r="R136" s="1">
        <v>0.11734511236045687</v>
      </c>
      <c r="S136" s="2">
        <f t="shared" si="24"/>
        <v>0.33659409643304183</v>
      </c>
      <c r="T136" s="4">
        <f t="shared" si="25"/>
        <v>0.11329558575357586</v>
      </c>
      <c r="U136" s="1">
        <f t="shared" si="28"/>
        <v>2.7888785646898118E-2</v>
      </c>
      <c r="V136" s="6">
        <f>2*sigma/alpha*corel*(B136/12-1/alpha*(1-EXP(-alpha*Output!B136/12)))</f>
        <v>0.2372103027097201</v>
      </c>
      <c r="W136" s="5">
        <f t="shared" si="26"/>
        <v>-8.5406800106677741E-2</v>
      </c>
      <c r="X136" s="1">
        <f t="shared" si="27"/>
        <v>3.6148853988232093</v>
      </c>
      <c r="Y136" s="3">
        <f t="shared" si="16"/>
        <v>7.9875594906896386E-2</v>
      </c>
      <c r="Z136" s="1">
        <f t="shared" si="17"/>
        <v>0.10428986639335235</v>
      </c>
      <c r="AA136" s="8">
        <f t="shared" si="23"/>
        <v>10.333333333333337</v>
      </c>
      <c r="AB136" s="1">
        <v>10.42</v>
      </c>
      <c r="AC136" s="1">
        <v>2.8411427460000001E-3</v>
      </c>
      <c r="AD136" s="8">
        <f t="shared" si="18"/>
        <v>-0.52032621045989402</v>
      </c>
      <c r="AE136" s="3">
        <f t="shared" si="19"/>
        <v>-1.8313976346047839E-2</v>
      </c>
      <c r="AF136" s="11">
        <f t="shared" si="20"/>
        <v>10.333333333333337</v>
      </c>
      <c r="AG136" s="1">
        <f t="shared" si="21"/>
        <v>0.10428986639335235</v>
      </c>
    </row>
    <row r="137" spans="2:33" ht="15" x14ac:dyDescent="0.25">
      <c r="B137" s="1">
        <v>126</v>
      </c>
      <c r="C137" s="1">
        <v>1.0001097522542144</v>
      </c>
      <c r="D137" s="1">
        <v>1.0938963440605627</v>
      </c>
      <c r="E137" s="1">
        <v>0.91367252526128961</v>
      </c>
      <c r="G137" s="1">
        <v>0.99957416958842205</v>
      </c>
      <c r="H137" s="1">
        <v>2.1616344724477701</v>
      </c>
      <c r="I137" s="1">
        <v>0.4349919246486309</v>
      </c>
      <c r="K137" s="1">
        <v>1.0003733330767279</v>
      </c>
      <c r="L137" s="1">
        <v>2.4067654366062978</v>
      </c>
      <c r="M137" s="1">
        <v>0.3884906491170656</v>
      </c>
      <c r="O137" s="1">
        <v>2.9513305158705479E-3</v>
      </c>
      <c r="P137" s="1">
        <v>0.96948626604664334</v>
      </c>
      <c r="R137" s="1">
        <v>0.1176866233876268</v>
      </c>
      <c r="S137" s="2">
        <f t="shared" si="24"/>
        <v>0.33861697694246595</v>
      </c>
      <c r="T137" s="4">
        <f t="shared" si="25"/>
        <v>0.11466145707365452</v>
      </c>
      <c r="U137" s="1">
        <f t="shared" si="28"/>
        <v>2.8497465493083851E-2</v>
      </c>
      <c r="V137" s="6">
        <f>2*sigma/alpha*corel*(B137/12-1/alpha*(1-EXP(-alpha*Output!B137/12)))</f>
        <v>0.24077131192205226</v>
      </c>
      <c r="W137" s="5">
        <f t="shared" si="26"/>
        <v>-8.616399158057067E-2</v>
      </c>
      <c r="X137" s="1">
        <f t="shared" si="27"/>
        <v>3.6768584710286341</v>
      </c>
      <c r="Y137" s="3">
        <f t="shared" si="16"/>
        <v>7.9844871666010342E-2</v>
      </c>
      <c r="Z137" s="1">
        <f t="shared" si="17"/>
        <v>0.10449946779251786</v>
      </c>
      <c r="AA137" s="8">
        <f t="shared" si="23"/>
        <v>10.416666666666671</v>
      </c>
      <c r="AB137" s="1">
        <v>10.5</v>
      </c>
      <c r="AC137" s="1">
        <v>2.8998555710000001E-3</v>
      </c>
      <c r="AD137" s="8">
        <f t="shared" si="18"/>
        <v>-0.51474944870547823</v>
      </c>
      <c r="AE137" s="3">
        <f t="shared" si="19"/>
        <v>-1.7750865038011862E-2</v>
      </c>
      <c r="AF137" s="11">
        <f t="shared" si="20"/>
        <v>10.416666666666671</v>
      </c>
      <c r="AG137" s="1">
        <f t="shared" si="21"/>
        <v>0.10449946779251786</v>
      </c>
    </row>
    <row r="138" spans="2:33" ht="15" x14ac:dyDescent="0.25">
      <c r="B138" s="1">
        <v>127</v>
      </c>
      <c r="C138" s="1">
        <v>1.0001120650767708</v>
      </c>
      <c r="D138" s="1">
        <v>1.0954580261751603</v>
      </c>
      <c r="E138" s="1">
        <v>0.91236752631042273</v>
      </c>
      <c r="G138" s="1">
        <v>0.9996192331925684</v>
      </c>
      <c r="H138" s="1">
        <v>2.1855891979730364</v>
      </c>
      <c r="I138" s="1">
        <v>0.43001519505141894</v>
      </c>
      <c r="K138" s="1">
        <v>1.0004375501841871</v>
      </c>
      <c r="L138" s="1">
        <v>2.3875395362710079</v>
      </c>
      <c r="M138" s="1">
        <v>0.39142040556319746</v>
      </c>
      <c r="O138" s="1">
        <v>3.0092840135879993E-3</v>
      </c>
      <c r="P138" s="1">
        <v>0.96865355847667189</v>
      </c>
      <c r="R138" s="1">
        <v>0.11809515735085395</v>
      </c>
      <c r="S138" s="2">
        <f t="shared" si="24"/>
        <v>0.34082368062223167</v>
      </c>
      <c r="T138" s="4">
        <f t="shared" si="25"/>
        <v>0.11616078127288498</v>
      </c>
      <c r="U138" s="1">
        <f t="shared" si="28"/>
        <v>2.9113969481832758E-2</v>
      </c>
      <c r="V138" s="6">
        <f>2*sigma/alpha*corel*(B138/12-1/alpha*(1-EXP(-alpha*Output!B138/12)))</f>
        <v>0.24435513528119701</v>
      </c>
      <c r="W138" s="5">
        <f t="shared" si="26"/>
        <v>-8.7046811791052225E-2</v>
      </c>
      <c r="X138" s="1">
        <f t="shared" si="27"/>
        <v>3.7446911312928362</v>
      </c>
      <c r="Y138" s="3">
        <f t="shared" si="16"/>
        <v>7.9878675984226821E-2</v>
      </c>
      <c r="Z138" s="1">
        <f t="shared" si="17"/>
        <v>0.10476555661359348</v>
      </c>
      <c r="AA138" s="8">
        <f t="shared" si="23"/>
        <v>10.500000000000005</v>
      </c>
      <c r="AB138" s="1">
        <v>10.58</v>
      </c>
      <c r="AC138" s="1">
        <v>2.9581732320000001E-3</v>
      </c>
      <c r="AD138" s="8">
        <f t="shared" si="18"/>
        <v>-0.51110781587999221</v>
      </c>
      <c r="AE138" s="3">
        <f t="shared" si="19"/>
        <v>-1.727781897121812E-2</v>
      </c>
      <c r="AF138" s="11">
        <f t="shared" si="20"/>
        <v>10.500000000000005</v>
      </c>
      <c r="AG138" s="1">
        <f t="shared" si="21"/>
        <v>0.10476555661359348</v>
      </c>
    </row>
    <row r="139" spans="2:33" ht="15" x14ac:dyDescent="0.25">
      <c r="B139" s="1">
        <v>128</v>
      </c>
      <c r="C139" s="1">
        <v>1.0001118005173226</v>
      </c>
      <c r="D139" s="1">
        <v>1.0943759305382936</v>
      </c>
      <c r="E139" s="1">
        <v>0.91326719735642392</v>
      </c>
      <c r="G139" s="1">
        <v>0.99945425539996136</v>
      </c>
      <c r="H139" s="1">
        <v>2.1710118458033572</v>
      </c>
      <c r="I139" s="1">
        <v>0.43269217527981524</v>
      </c>
      <c r="K139" s="1">
        <v>1.000469600591037</v>
      </c>
      <c r="L139" s="1">
        <v>2.4031381185545104</v>
      </c>
      <c r="M139" s="1">
        <v>0.38865730299616502</v>
      </c>
      <c r="O139" s="1">
        <v>3.0672423223634939E-3</v>
      </c>
      <c r="P139" s="1">
        <v>0.9678121684043357</v>
      </c>
      <c r="R139" s="1">
        <v>0.11834896156545985</v>
      </c>
      <c r="S139" s="2">
        <f t="shared" si="24"/>
        <v>0.34264149675533817</v>
      </c>
      <c r="T139" s="4">
        <f t="shared" si="25"/>
        <v>0.11740319529873842</v>
      </c>
      <c r="U139" s="1">
        <f t="shared" si="28"/>
        <v>2.9738321293583336E-2</v>
      </c>
      <c r="V139" s="6">
        <f>2*sigma/alpha*corel*(B139/12-1/alpha*(1-EXP(-alpha*Output!B139/12)))</f>
        <v>0.2479616968666023</v>
      </c>
      <c r="W139" s="5">
        <f t="shared" si="26"/>
        <v>-8.7664874005155088E-2</v>
      </c>
      <c r="X139" s="1">
        <f t="shared" si="27"/>
        <v>3.8018529606662486</v>
      </c>
      <c r="Y139" s="3">
        <f t="shared" si="16"/>
        <v>7.9775268213447742E-2</v>
      </c>
      <c r="Z139" s="1">
        <f t="shared" si="17"/>
        <v>0.10491210396925955</v>
      </c>
      <c r="AA139" s="8">
        <f t="shared" si="23"/>
        <v>10.583333333333339</v>
      </c>
      <c r="AB139" s="1">
        <v>10.67</v>
      </c>
      <c r="AC139" s="1">
        <v>3.0163078469999998E-3</v>
      </c>
      <c r="AD139" s="8">
        <f t="shared" si="18"/>
        <v>-0.50934475363494103</v>
      </c>
      <c r="AE139" s="3">
        <f t="shared" si="19"/>
        <v>-1.6886365035370377E-2</v>
      </c>
      <c r="AF139" s="11">
        <f t="shared" si="20"/>
        <v>10.583333333333339</v>
      </c>
      <c r="AG139" s="1">
        <f t="shared" si="21"/>
        <v>0.10491210396925955</v>
      </c>
    </row>
    <row r="140" spans="2:33" ht="15" x14ac:dyDescent="0.25">
      <c r="B140" s="1">
        <v>129</v>
      </c>
      <c r="C140" s="1">
        <v>1.0001144726998126</v>
      </c>
      <c r="D140" s="1">
        <v>1.0960594066218086</v>
      </c>
      <c r="E140" s="1">
        <v>0.9118620375228299</v>
      </c>
      <c r="G140" s="1">
        <v>0.99953273847676738</v>
      </c>
      <c r="H140" s="1">
        <v>2.2286109212316139</v>
      </c>
      <c r="I140" s="1">
        <v>0.42130429714713574</v>
      </c>
      <c r="K140" s="1">
        <v>1.0004995549902469</v>
      </c>
      <c r="L140" s="1">
        <v>2.420926915368236</v>
      </c>
      <c r="M140" s="1">
        <v>0.38560600125694705</v>
      </c>
      <c r="O140" s="1">
        <v>3.1253614837615418E-3</v>
      </c>
      <c r="P140" s="1">
        <v>0.96696049651523075</v>
      </c>
      <c r="R140" s="1">
        <v>0.11873712544793477</v>
      </c>
      <c r="S140" s="2">
        <f t="shared" si="24"/>
        <v>0.34482319765448666</v>
      </c>
      <c r="T140" s="4">
        <f t="shared" si="25"/>
        <v>0.11890303764066518</v>
      </c>
      <c r="U140" s="1">
        <f t="shared" si="28"/>
        <v>3.0370544199622707E-2</v>
      </c>
      <c r="V140" s="6">
        <f>2*sigma/alpha*corel*(B140/12-1/alpha*(1-EXP(-alpha*Output!B140/12)))</f>
        <v>0.25159092101036418</v>
      </c>
      <c r="W140" s="5">
        <f t="shared" si="26"/>
        <v>-8.853249344104247E-2</v>
      </c>
      <c r="X140" s="1">
        <f t="shared" si="27"/>
        <v>3.8701952094996694</v>
      </c>
      <c r="Y140" s="3">
        <f t="shared" si="16"/>
        <v>7.9799546555222006E-2</v>
      </c>
      <c r="Z140" s="1">
        <f t="shared" si="17"/>
        <v>0.10517008931965276</v>
      </c>
      <c r="AA140" s="8">
        <f t="shared" si="23"/>
        <v>10.666666666666673</v>
      </c>
      <c r="AB140" s="1">
        <v>10.75</v>
      </c>
      <c r="AC140" s="1">
        <v>3.0744742460000001E-3</v>
      </c>
      <c r="AD140" s="8">
        <f t="shared" si="18"/>
        <v>-0.50887237761541682</v>
      </c>
      <c r="AE140" s="3">
        <f t="shared" si="19"/>
        <v>-1.6551525135638324E-2</v>
      </c>
      <c r="AF140" s="11">
        <f t="shared" si="20"/>
        <v>10.666666666666673</v>
      </c>
      <c r="AG140" s="1">
        <f t="shared" si="21"/>
        <v>0.10517008931965276</v>
      </c>
    </row>
    <row r="141" spans="2:33" ht="15" x14ac:dyDescent="0.25">
      <c r="B141" s="1">
        <v>130</v>
      </c>
      <c r="C141" s="1">
        <v>1.0001147386021592</v>
      </c>
      <c r="D141" s="1">
        <v>1.0974378371799491</v>
      </c>
      <c r="E141" s="1">
        <v>0.91071427410104322</v>
      </c>
      <c r="G141" s="1">
        <v>0.99941030733540814</v>
      </c>
      <c r="H141" s="1">
        <v>2.2205479031851216</v>
      </c>
      <c r="I141" s="1">
        <v>0.42262863254806721</v>
      </c>
      <c r="K141" s="1">
        <v>1.0004997443952752</v>
      </c>
      <c r="L141" s="1">
        <v>2.425394518647737</v>
      </c>
      <c r="M141" s="1">
        <v>0.38469378151825206</v>
      </c>
      <c r="O141" s="1">
        <v>3.1839521849204881E-3</v>
      </c>
      <c r="P141" s="1">
        <v>0.9660952807309241</v>
      </c>
      <c r="R141" s="1">
        <v>0.11904793725632418</v>
      </c>
      <c r="S141" s="2">
        <f t="shared" si="24"/>
        <v>0.34682334771810552</v>
      </c>
      <c r="T141" s="4">
        <f t="shared" si="25"/>
        <v>0.12028643452239393</v>
      </c>
      <c r="U141" s="1">
        <f t="shared" si="28"/>
        <v>3.1010661065643763E-2</v>
      </c>
      <c r="V141" s="6">
        <f>2*sigma/alpha*corel*(B141/12-1/alpha*(1-EXP(-alpha*Output!B141/12)))</f>
        <v>0.25524273229638461</v>
      </c>
      <c r="W141" s="5">
        <f t="shared" si="26"/>
        <v>-8.9275773456750168E-2</v>
      </c>
      <c r="X141" s="1">
        <f t="shared" si="27"/>
        <v>3.9337657021826313</v>
      </c>
      <c r="Y141" s="3">
        <f t="shared" ref="Y141:Y204" si="29">(-V141+SQRT(X141))/2/B141*12</f>
        <v>7.9759826455065658E-2</v>
      </c>
      <c r="Z141" s="1">
        <f t="shared" ref="Z141:Z204" si="30">S141/SQRT(B141/12)</f>
        <v>0.10537249729736178</v>
      </c>
      <c r="AA141" s="8">
        <f t="shared" si="23"/>
        <v>10.750000000000007</v>
      </c>
      <c r="AB141" s="1">
        <v>10.83</v>
      </c>
      <c r="AC141" s="1">
        <v>3.1328879340000002E-3</v>
      </c>
      <c r="AD141" s="8">
        <f t="shared" ref="AD141:AD204" si="31">(AC141-O141)*10000</f>
        <v>-0.51064250920487919</v>
      </c>
      <c r="AE141" s="3">
        <f t="shared" ref="AE141:AE204" si="32">AD141/AC141/10000</f>
        <v>-1.6299418299105976E-2</v>
      </c>
      <c r="AF141" s="11">
        <f t="shared" ref="AF141:AF204" si="33">AA141</f>
        <v>10.750000000000007</v>
      </c>
      <c r="AG141" s="1">
        <f t="shared" ref="AG141:AG204" si="34">Z141</f>
        <v>0.10537249729736178</v>
      </c>
    </row>
    <row r="142" spans="2:33" ht="15" x14ac:dyDescent="0.25">
      <c r="B142" s="1">
        <v>131</v>
      </c>
      <c r="C142" s="1">
        <v>1.0001160342313562</v>
      </c>
      <c r="D142" s="1">
        <v>1.0937088738328384</v>
      </c>
      <c r="E142" s="1">
        <v>0.913816905111422</v>
      </c>
      <c r="G142" s="1">
        <v>0.99937314630502116</v>
      </c>
      <c r="H142" s="1">
        <v>2.1518240820638748</v>
      </c>
      <c r="I142" s="1">
        <v>0.43591441536017578</v>
      </c>
      <c r="K142" s="1">
        <v>1.0004247548579235</v>
      </c>
      <c r="L142" s="1">
        <v>2.3981830164866245</v>
      </c>
      <c r="M142" s="1">
        <v>0.38884594752352303</v>
      </c>
      <c r="O142" s="1">
        <v>3.2432332407136078E-3</v>
      </c>
      <c r="P142" s="1">
        <v>0.96521413933779954</v>
      </c>
      <c r="R142" s="1">
        <v>0.11925338727377857</v>
      </c>
      <c r="S142" s="2">
        <f t="shared" si="24"/>
        <v>0.34857182920843366</v>
      </c>
      <c r="T142" s="4">
        <f t="shared" si="25"/>
        <v>0.12150232011771345</v>
      </c>
      <c r="U142" s="1">
        <f t="shared" si="28"/>
        <v>3.1658694355273465E-2</v>
      </c>
      <c r="V142" s="6">
        <f>2*sigma/alpha*corel*(B142/12-1/alpha*(1-EXP(-alpha*Output!B142/12)))</f>
        <v>0.25891705555953393</v>
      </c>
      <c r="W142" s="5">
        <f t="shared" si="26"/>
        <v>-8.9843625762439983E-2</v>
      </c>
      <c r="X142" s="1">
        <f t="shared" si="27"/>
        <v>3.9902096999528309</v>
      </c>
      <c r="Y142" s="3">
        <f t="shared" si="29"/>
        <v>7.9632085645978318E-2</v>
      </c>
      <c r="Z142" s="1">
        <f t="shared" si="30"/>
        <v>0.10549873706463643</v>
      </c>
      <c r="AA142" s="8">
        <f t="shared" ref="AA142:AA205" si="35">AA141+1/12</f>
        <v>10.833333333333341</v>
      </c>
      <c r="AB142" s="1">
        <v>10.92</v>
      </c>
      <c r="AC142" s="1">
        <v>3.1917644190000002E-3</v>
      </c>
      <c r="AD142" s="8">
        <f t="shared" si="31"/>
        <v>-0.51468821713607571</v>
      </c>
      <c r="AE142" s="3">
        <f t="shared" si="32"/>
        <v>-1.6125507699510315E-2</v>
      </c>
      <c r="AF142" s="11">
        <f t="shared" si="33"/>
        <v>10.833333333333341</v>
      </c>
      <c r="AG142" s="1">
        <f t="shared" si="34"/>
        <v>0.10549873706463643</v>
      </c>
    </row>
    <row r="143" spans="2:33" ht="15" x14ac:dyDescent="0.25">
      <c r="B143" s="1">
        <v>132</v>
      </c>
      <c r="C143" s="1">
        <v>1.0001169749869645</v>
      </c>
      <c r="D143" s="1">
        <v>1.0946780754705081</v>
      </c>
      <c r="E143" s="1">
        <v>0.91300543001202894</v>
      </c>
      <c r="G143" s="1">
        <v>0.99930824207512847</v>
      </c>
      <c r="H143" s="1">
        <v>2.1691419661302236</v>
      </c>
      <c r="I143" s="1">
        <v>0.43222408185255728</v>
      </c>
      <c r="K143" s="1">
        <v>1.0003839894884194</v>
      </c>
      <c r="L143" s="1">
        <v>2.4238126746949313</v>
      </c>
      <c r="M143" s="1">
        <v>0.38451355181719943</v>
      </c>
      <c r="O143" s="1">
        <v>3.3033564444471769E-3</v>
      </c>
      <c r="P143" s="1">
        <v>0.96431534076270931</v>
      </c>
      <c r="R143" s="1">
        <v>0.11952347447299951</v>
      </c>
      <c r="S143" s="2">
        <f t="shared" si="24"/>
        <v>0.35051338804238386</v>
      </c>
      <c r="T143" s="4">
        <f t="shared" si="25"/>
        <v>0.12285963519695076</v>
      </c>
      <c r="U143" s="1">
        <f t="shared" si="28"/>
        <v>3.2314666133581582E-2</v>
      </c>
      <c r="V143" s="6">
        <f>2*sigma/alpha*corel*(B143/12-1/alpha*(1-EXP(-alpha*Output!B143/12)))</f>
        <v>0.2626138158848168</v>
      </c>
      <c r="W143" s="5">
        <f t="shared" si="26"/>
        <v>-9.0544969063369174E-2</v>
      </c>
      <c r="X143" s="1">
        <f t="shared" si="27"/>
        <v>4.052944655081828</v>
      </c>
      <c r="Y143" s="3">
        <f t="shared" si="29"/>
        <v>7.9571765289421781E-2</v>
      </c>
      <c r="Z143" s="1">
        <f t="shared" si="30"/>
        <v>0.10568376292116657</v>
      </c>
      <c r="AA143" s="8">
        <f t="shared" si="35"/>
        <v>10.916666666666675</v>
      </c>
      <c r="AB143" s="1">
        <v>11</v>
      </c>
      <c r="AC143" s="1">
        <v>3.251319206E-3</v>
      </c>
      <c r="AD143" s="8">
        <f t="shared" si="31"/>
        <v>-0.52037238447176937</v>
      </c>
      <c r="AE143" s="3">
        <f t="shared" si="32"/>
        <v>-1.6004961417244782E-2</v>
      </c>
      <c r="AF143" s="11">
        <f t="shared" si="33"/>
        <v>10.916666666666675</v>
      </c>
      <c r="AG143" s="1">
        <f t="shared" si="34"/>
        <v>0.10568376292116657</v>
      </c>
    </row>
    <row r="144" spans="2:33" ht="15" x14ac:dyDescent="0.25">
      <c r="B144" s="1">
        <v>133</v>
      </c>
      <c r="C144" s="1">
        <v>1.0001221344464224</v>
      </c>
      <c r="D144" s="1">
        <v>1.0930865842548694</v>
      </c>
      <c r="E144" s="1">
        <v>0.91433233658004054</v>
      </c>
      <c r="G144" s="1">
        <v>0.9995812708487849</v>
      </c>
      <c r="H144" s="1">
        <v>2.171233575611927</v>
      </c>
      <c r="I144" s="1">
        <v>0.43159792161344895</v>
      </c>
      <c r="K144" s="1">
        <v>1.0004980184767529</v>
      </c>
      <c r="L144" s="1">
        <v>2.4254363494523425</v>
      </c>
      <c r="M144" s="1">
        <v>0.38406055258313165</v>
      </c>
      <c r="O144" s="1">
        <v>3.3644930012908794E-3</v>
      </c>
      <c r="P144" s="1">
        <v>0.96339690494281982</v>
      </c>
      <c r="R144" s="1">
        <v>0.11987772860008508</v>
      </c>
      <c r="S144" s="2">
        <f t="shared" si="24"/>
        <v>0.35270214885847162</v>
      </c>
      <c r="T144" s="4">
        <f t="shared" si="25"/>
        <v>0.12439880580938348</v>
      </c>
      <c r="U144" s="1">
        <f t="shared" si="28"/>
        <v>3.2978598070552145E-2</v>
      </c>
      <c r="V144" s="6">
        <f>2*sigma/alpha*corel*(B144/12-1/alpha*(1-EXP(-alpha*Output!B144/12)))</f>
        <v>0.26633293860653739</v>
      </c>
      <c r="W144" s="5">
        <f t="shared" si="26"/>
        <v>-9.1420207738831333E-2</v>
      </c>
      <c r="X144" s="1">
        <f t="shared" si="27"/>
        <v>4.1238957772749831</v>
      </c>
      <c r="Y144" s="3">
        <f t="shared" si="29"/>
        <v>7.9597209181106771E-2</v>
      </c>
      <c r="Z144" s="1">
        <f t="shared" si="30"/>
        <v>0.10594315647484809</v>
      </c>
      <c r="AA144" s="8">
        <f t="shared" si="35"/>
        <v>11.000000000000009</v>
      </c>
      <c r="AB144" s="1">
        <v>11.08</v>
      </c>
      <c r="AC144" s="1">
        <v>3.311767801E-3</v>
      </c>
      <c r="AD144" s="8">
        <f t="shared" si="31"/>
        <v>-0.52725200290879359</v>
      </c>
      <c r="AE144" s="3">
        <f t="shared" si="32"/>
        <v>-1.5920560697207937E-2</v>
      </c>
      <c r="AF144" s="11">
        <f t="shared" si="33"/>
        <v>11.000000000000009</v>
      </c>
      <c r="AG144" s="1">
        <f t="shared" si="34"/>
        <v>0.10594315647484809</v>
      </c>
    </row>
    <row r="145" spans="2:33" ht="15" x14ac:dyDescent="0.25">
      <c r="B145" s="1">
        <v>134</v>
      </c>
      <c r="C145" s="1">
        <v>1.0001243223141294</v>
      </c>
      <c r="D145" s="1">
        <v>1.0942326030116167</v>
      </c>
      <c r="E145" s="1">
        <v>0.91337235426591501</v>
      </c>
      <c r="G145" s="1">
        <v>0.99961836784916935</v>
      </c>
      <c r="H145" s="1">
        <v>2.1813139454980575</v>
      </c>
      <c r="I145" s="1">
        <v>0.42939470030018245</v>
      </c>
      <c r="K145" s="1">
        <v>1.0005271680040468</v>
      </c>
      <c r="L145" s="1">
        <v>2.5151487452380832</v>
      </c>
      <c r="M145" s="1">
        <v>0.37016544692920528</v>
      </c>
      <c r="O145" s="1">
        <v>3.426387126458414E-3</v>
      </c>
      <c r="P145" s="1">
        <v>0.96246139481075987</v>
      </c>
      <c r="R145" s="1">
        <v>0.12019825680045246</v>
      </c>
      <c r="S145" s="2">
        <f t="shared" si="24"/>
        <v>0.35482741895945913</v>
      </c>
      <c r="T145" s="4">
        <f t="shared" si="25"/>
        <v>0.12590249724543154</v>
      </c>
      <c r="U145" s="1">
        <f t="shared" si="28"/>
        <v>3.3650511444540676E-2</v>
      </c>
      <c r="V145" s="6">
        <f>2*sigma/alpha*corel*(B145/12-1/alpha*(1-EXP(-alpha*Output!B145/12)))</f>
        <v>0.27007434930747176</v>
      </c>
      <c r="W145" s="5">
        <f t="shared" si="26"/>
        <v>-9.2251985800890862E-2</v>
      </c>
      <c r="X145" s="1">
        <f t="shared" si="27"/>
        <v>4.1935288532603128</v>
      </c>
      <c r="Y145" s="3">
        <f t="shared" si="29"/>
        <v>7.9600137185313669E-2</v>
      </c>
      <c r="Z145" s="1">
        <f t="shared" si="30"/>
        <v>0.1061830989357105</v>
      </c>
      <c r="AA145" s="8">
        <f t="shared" si="35"/>
        <v>11.083333333333343</v>
      </c>
      <c r="AB145" s="1">
        <v>11.17</v>
      </c>
      <c r="AC145" s="1">
        <v>3.3732362710000002E-3</v>
      </c>
      <c r="AD145" s="8">
        <f t="shared" si="31"/>
        <v>-0.53150855458413815</v>
      </c>
      <c r="AE145" s="3">
        <f t="shared" si="32"/>
        <v>-1.5756635820430444E-2</v>
      </c>
      <c r="AF145" s="11">
        <f t="shared" si="33"/>
        <v>11.083333333333343</v>
      </c>
      <c r="AG145" s="1">
        <f t="shared" si="34"/>
        <v>0.1061830989357105</v>
      </c>
    </row>
    <row r="146" spans="2:33" ht="15" x14ac:dyDescent="0.25">
      <c r="B146" s="1">
        <v>135</v>
      </c>
      <c r="C146" s="1">
        <v>1.0001237517472308</v>
      </c>
      <c r="D146" s="1">
        <v>1.0955049424657195</v>
      </c>
      <c r="E146" s="1">
        <v>0.9123091849417998</v>
      </c>
      <c r="G146" s="1">
        <v>0.9994299520238803</v>
      </c>
      <c r="H146" s="1">
        <v>2.1934584719920434</v>
      </c>
      <c r="I146" s="1">
        <v>0.42680983186956151</v>
      </c>
      <c r="K146" s="1">
        <v>1.0005680044807961</v>
      </c>
      <c r="L146" s="1">
        <v>2.626231515353517</v>
      </c>
      <c r="M146" s="1">
        <v>0.35432438370385111</v>
      </c>
      <c r="O146" s="1">
        <v>3.4886795625161194E-3</v>
      </c>
      <c r="P146" s="1">
        <v>0.96151256580541922</v>
      </c>
      <c r="R146" s="1">
        <v>0.12060065913363173</v>
      </c>
      <c r="S146" s="2">
        <f t="shared" si="24"/>
        <v>0.35718589988588734</v>
      </c>
      <c r="T146" s="4">
        <f t="shared" si="25"/>
        <v>0.12758176707729113</v>
      </c>
      <c r="U146" s="1">
        <f t="shared" si="28"/>
        <v>3.4330427145698561E-2</v>
      </c>
      <c r="V146" s="6">
        <f>2*sigma/alpha*corel*(B146/12-1/alpha*(1-EXP(-alpha*Output!B146/12)))</f>
        <v>0.27383797381804165</v>
      </c>
      <c r="W146" s="5">
        <f t="shared" si="26"/>
        <v>-9.325133993159257E-2</v>
      </c>
      <c r="X146" s="1">
        <f t="shared" si="27"/>
        <v>4.271297532826436</v>
      </c>
      <c r="Y146" s="3">
        <f t="shared" si="29"/>
        <v>7.9683279750417488E-2</v>
      </c>
      <c r="Z146" s="1">
        <f t="shared" si="30"/>
        <v>0.10649226036657046</v>
      </c>
      <c r="AA146" s="8">
        <f t="shared" si="35"/>
        <v>11.166666666666677</v>
      </c>
      <c r="AB146" s="1">
        <v>11.25</v>
      </c>
      <c r="AC146" s="1">
        <v>3.4354929159999999E-3</v>
      </c>
      <c r="AD146" s="8">
        <f t="shared" si="31"/>
        <v>-0.53186646516119496</v>
      </c>
      <c r="AE146" s="3">
        <f t="shared" si="32"/>
        <v>-1.5481518319660973E-2</v>
      </c>
      <c r="AF146" s="11">
        <f t="shared" si="33"/>
        <v>11.166666666666677</v>
      </c>
      <c r="AG146" s="1">
        <f t="shared" si="34"/>
        <v>0.10649226036657046</v>
      </c>
    </row>
    <row r="147" spans="2:33" ht="15" x14ac:dyDescent="0.25">
      <c r="B147" s="1">
        <v>136</v>
      </c>
      <c r="C147" s="1">
        <v>1.0001267633475177</v>
      </c>
      <c r="D147" s="1">
        <v>1.0970581250189122</v>
      </c>
      <c r="E147" s="1">
        <v>0.91101521801427676</v>
      </c>
      <c r="G147" s="1">
        <v>0.99953343040086051</v>
      </c>
      <c r="H147" s="1">
        <v>2.2295034470891673</v>
      </c>
      <c r="I147" s="1">
        <v>0.41970550917788019</v>
      </c>
      <c r="K147" s="1">
        <v>1.0006159135279398</v>
      </c>
      <c r="L147" s="1">
        <v>2.6419037561704664</v>
      </c>
      <c r="M147" s="1">
        <v>0.35201958712618514</v>
      </c>
      <c r="O147" s="1">
        <v>3.5510759482107242E-3</v>
      </c>
      <c r="P147" s="1">
        <v>0.96055356796444391</v>
      </c>
      <c r="R147" s="1">
        <v>0.12086155501133836</v>
      </c>
      <c r="S147" s="2">
        <f t="shared" si="24"/>
        <v>0.35918962391021503</v>
      </c>
      <c r="T147" s="4">
        <f t="shared" si="25"/>
        <v>0.12901718592476172</v>
      </c>
      <c r="U147" s="1">
        <f t="shared" si="28"/>
        <v>3.501836567937211E-2</v>
      </c>
      <c r="V147" s="6">
        <f>2*sigma/alpha*corel*(B147/12-1/alpha*(1-EXP(-alpha*Output!B147/12)))</f>
        <v>0.27762373821548669</v>
      </c>
      <c r="W147" s="5">
        <f t="shared" si="26"/>
        <v>-9.3998820245389608E-2</v>
      </c>
      <c r="X147" s="1">
        <f t="shared" si="27"/>
        <v>4.3383547911450702</v>
      </c>
      <c r="Y147" s="3">
        <f t="shared" si="29"/>
        <v>7.9643295317435706E-2</v>
      </c>
      <c r="Z147" s="1">
        <f t="shared" si="30"/>
        <v>0.10669521707322453</v>
      </c>
      <c r="AA147" s="8">
        <f t="shared" si="35"/>
        <v>11.250000000000011</v>
      </c>
      <c r="AB147" s="1">
        <v>11.33</v>
      </c>
      <c r="AC147" s="1">
        <v>3.498216598E-3</v>
      </c>
      <c r="AD147" s="8">
        <f t="shared" si="31"/>
        <v>-0.52859350210724287</v>
      </c>
      <c r="AE147" s="3">
        <f t="shared" si="32"/>
        <v>-1.5110370878963022E-2</v>
      </c>
      <c r="AF147" s="11">
        <f t="shared" si="33"/>
        <v>11.250000000000011</v>
      </c>
      <c r="AG147" s="1">
        <f t="shared" si="34"/>
        <v>0.10669521707322453</v>
      </c>
    </row>
    <row r="148" spans="2:33" ht="15" x14ac:dyDescent="0.25">
      <c r="B148" s="1">
        <v>137</v>
      </c>
      <c r="C148" s="1">
        <v>1.0001273840994436</v>
      </c>
      <c r="D148" s="1">
        <v>1.0977559750498389</v>
      </c>
      <c r="E148" s="1">
        <v>0.91043374816810818</v>
      </c>
      <c r="G148" s="1">
        <v>0.99944630565193093</v>
      </c>
      <c r="H148" s="1">
        <v>2.2415915565461924</v>
      </c>
      <c r="I148" s="1">
        <v>0.41723942039476791</v>
      </c>
      <c r="K148" s="1">
        <v>1.0005711132088984</v>
      </c>
      <c r="L148" s="1">
        <v>2.6189116753254646</v>
      </c>
      <c r="M148" s="1">
        <v>0.35493971871597679</v>
      </c>
      <c r="O148" s="1">
        <v>3.6132624581869293E-3</v>
      </c>
      <c r="P148" s="1">
        <v>0.95958784669718522</v>
      </c>
      <c r="R148" s="1">
        <v>0.12112562439789164</v>
      </c>
      <c r="S148" s="2">
        <f t="shared" si="24"/>
        <v>0.36121161696940163</v>
      </c>
      <c r="T148" s="4">
        <f t="shared" si="25"/>
        <v>0.13047383223364972</v>
      </c>
      <c r="U148" s="1">
        <f t="shared" si="28"/>
        <v>3.5714347169480742E-2</v>
      </c>
      <c r="V148" s="6">
        <f>2*sigma/alpha*corel*(B148/12-1/alpha*(1-EXP(-alpha*Output!B148/12)))</f>
        <v>0.28143156882304687</v>
      </c>
      <c r="W148" s="5">
        <f t="shared" si="26"/>
        <v>-9.475948506416898E-2</v>
      </c>
      <c r="X148" s="1">
        <f t="shared" si="27"/>
        <v>4.4065535458605849</v>
      </c>
      <c r="Y148" s="3">
        <f t="shared" si="29"/>
        <v>7.9609387728695691E-2</v>
      </c>
      <c r="Z148" s="1">
        <f t="shared" si="30"/>
        <v>0.10690353065816394</v>
      </c>
      <c r="AA148" s="8">
        <f t="shared" si="35"/>
        <v>11.333333333333345</v>
      </c>
      <c r="AB148" s="1">
        <v>11.42</v>
      </c>
      <c r="AC148" s="1">
        <v>3.5610861769999999E-3</v>
      </c>
      <c r="AD148" s="8">
        <f t="shared" si="31"/>
        <v>-0.52176281186929341</v>
      </c>
      <c r="AE148" s="3">
        <f t="shared" si="32"/>
        <v>-1.4651788413299425E-2</v>
      </c>
      <c r="AF148" s="11">
        <f t="shared" si="33"/>
        <v>11.333333333333345</v>
      </c>
      <c r="AG148" s="1">
        <f t="shared" si="34"/>
        <v>0.10690353065816394</v>
      </c>
    </row>
    <row r="149" spans="2:33" ht="15" x14ac:dyDescent="0.25">
      <c r="B149" s="1">
        <v>138</v>
      </c>
      <c r="C149" s="1">
        <v>1.0001265899592067</v>
      </c>
      <c r="D149" s="1">
        <v>1.099231753368296</v>
      </c>
      <c r="E149" s="1">
        <v>0.90920912481628913</v>
      </c>
      <c r="G149" s="1">
        <v>0.99924817670936394</v>
      </c>
      <c r="H149" s="1">
        <v>2.2832072584551204</v>
      </c>
      <c r="I149" s="1">
        <v>0.40943549227768028</v>
      </c>
      <c r="K149" s="1">
        <v>1.0004842553654276</v>
      </c>
      <c r="L149" s="1">
        <v>2.5713019364878056</v>
      </c>
      <c r="M149" s="1">
        <v>0.36130809893888216</v>
      </c>
      <c r="O149" s="1">
        <v>3.6749543305731333E-3</v>
      </c>
      <c r="P149" s="1">
        <v>0.95861861375309276</v>
      </c>
      <c r="R149" s="1">
        <v>0.12142721883317034</v>
      </c>
      <c r="S149" s="2">
        <f t="shared" si="24"/>
        <v>0.36333752158528843</v>
      </c>
      <c r="T149" s="4">
        <f t="shared" si="25"/>
        <v>0.13201415459173993</v>
      </c>
      <c r="U149" s="1">
        <f t="shared" si="28"/>
        <v>3.6418391361866753E-2</v>
      </c>
      <c r="V149" s="6">
        <f>2*sigma/alpha*corel*(B149/12-1/alpha*(1-EXP(-alpha*Output!B149/12)))</f>
        <v>0.28526139220914359</v>
      </c>
      <c r="W149" s="5">
        <f t="shared" si="26"/>
        <v>-9.5595763229873176E-2</v>
      </c>
      <c r="X149" s="1">
        <f t="shared" si="27"/>
        <v>4.4787791704592657</v>
      </c>
      <c r="Y149" s="3">
        <f t="shared" si="29"/>
        <v>7.9610923613969348E-2</v>
      </c>
      <c r="Z149" s="1">
        <f t="shared" si="30"/>
        <v>0.10714238985401417</v>
      </c>
      <c r="AA149" s="8">
        <f t="shared" si="35"/>
        <v>11.416666666666679</v>
      </c>
      <c r="AB149" s="1">
        <v>11.5</v>
      </c>
      <c r="AC149" s="1">
        <v>3.6237805150000002E-3</v>
      </c>
      <c r="AD149" s="8">
        <f t="shared" si="31"/>
        <v>-0.51173815573133175</v>
      </c>
      <c r="AE149" s="3">
        <f t="shared" si="32"/>
        <v>-1.4121665305420181E-2</v>
      </c>
      <c r="AF149" s="11">
        <f t="shared" si="33"/>
        <v>11.416666666666679</v>
      </c>
      <c r="AG149" s="1">
        <f t="shared" si="34"/>
        <v>0.10714238985401417</v>
      </c>
    </row>
    <row r="150" spans="2:33" ht="15" x14ac:dyDescent="0.25">
      <c r="B150" s="1">
        <v>139</v>
      </c>
      <c r="C150" s="1">
        <v>1.0001269954744865</v>
      </c>
      <c r="D150" s="1">
        <v>1.1025728851049053</v>
      </c>
      <c r="E150" s="1">
        <v>0.9064516470137024</v>
      </c>
      <c r="G150" s="1">
        <v>0.99913239293063894</v>
      </c>
      <c r="H150" s="1">
        <v>2.3459175397807268</v>
      </c>
      <c r="I150" s="1">
        <v>0.3982970592543234</v>
      </c>
      <c r="K150" s="1">
        <v>1.0005097508499357</v>
      </c>
      <c r="L150" s="1">
        <v>2.6477184567812864</v>
      </c>
      <c r="M150" s="1">
        <v>0.35068949716696807</v>
      </c>
      <c r="O150" s="1">
        <v>3.7357829877179682E-3</v>
      </c>
      <c r="P150" s="1">
        <v>0.95765008870303803</v>
      </c>
      <c r="R150" s="1">
        <v>0.12168884419944702</v>
      </c>
      <c r="S150" s="2">
        <f t="shared" si="24"/>
        <v>0.36535857074236544</v>
      </c>
      <c r="T150" s="4">
        <f t="shared" si="25"/>
        <v>0.13348688521490404</v>
      </c>
      <c r="U150" s="1">
        <f t="shared" si="28"/>
        <v>3.7130517627618875E-2</v>
      </c>
      <c r="V150" s="6">
        <f>2*sigma/alpha*corel*(B150/12-1/alpha*(1-EXP(-alpha*Output!B150/12)))</f>
        <v>0.28911313518656034</v>
      </c>
      <c r="W150" s="5">
        <f t="shared" si="26"/>
        <v>-9.6356367587285163E-2</v>
      </c>
      <c r="X150" s="1">
        <f t="shared" si="27"/>
        <v>4.5480981031482814</v>
      </c>
      <c r="Y150" s="3">
        <f t="shared" si="29"/>
        <v>7.9576139891582923E-2</v>
      </c>
      <c r="Z150" s="1">
        <f t="shared" si="30"/>
        <v>0.10735011711429172</v>
      </c>
      <c r="AA150" s="8">
        <f t="shared" si="35"/>
        <v>11.500000000000012</v>
      </c>
      <c r="AB150" s="1">
        <v>11.58</v>
      </c>
      <c r="AC150" s="1">
        <v>3.6859784720000002E-3</v>
      </c>
      <c r="AD150" s="8">
        <f t="shared" si="31"/>
        <v>-0.49804515717967979</v>
      </c>
      <c r="AE150" s="3">
        <f t="shared" si="32"/>
        <v>-1.3511884590835445E-2</v>
      </c>
      <c r="AF150" s="11">
        <f t="shared" si="33"/>
        <v>11.500000000000012</v>
      </c>
      <c r="AG150" s="1">
        <f t="shared" si="34"/>
        <v>0.10735011711429172</v>
      </c>
    </row>
    <row r="151" spans="2:33" ht="15" x14ac:dyDescent="0.25">
      <c r="B151" s="1">
        <v>140</v>
      </c>
      <c r="C151" s="1">
        <v>1.0001284559442973</v>
      </c>
      <c r="D151" s="1">
        <v>1.1022777015308796</v>
      </c>
      <c r="E151" s="1">
        <v>0.90669210383676113</v>
      </c>
      <c r="G151" s="1">
        <v>0.99910226124897927</v>
      </c>
      <c r="H151" s="1">
        <v>2.3384925985349381</v>
      </c>
      <c r="I151" s="1">
        <v>0.39936763986372842</v>
      </c>
      <c r="K151" s="1">
        <v>1.0005162837209127</v>
      </c>
      <c r="L151" s="1">
        <v>2.6945521846910134</v>
      </c>
      <c r="M151" s="1">
        <v>0.34441403152882466</v>
      </c>
      <c r="O151" s="1">
        <v>3.7953945459571516E-3</v>
      </c>
      <c r="P151" s="1">
        <v>0.95668642764388456</v>
      </c>
      <c r="R151" s="1">
        <v>0.12183345474399615</v>
      </c>
      <c r="S151" s="2">
        <f t="shared" ref="S151:S214" si="36">optim_vol_implied(P151,R151)</f>
        <v>0.36706649820432313</v>
      </c>
      <c r="T151" s="4">
        <f t="shared" ref="T151:T214" si="37">S151*S151</f>
        <v>0.13473781410398436</v>
      </c>
      <c r="U151" s="1">
        <f t="shared" si="28"/>
        <v>3.7850744966374528E-2</v>
      </c>
      <c r="V151" s="6">
        <f>2*sigma/alpha*corel*(B151/12-1/alpha*(1-EXP(-alpha*Output!B151/12)))</f>
        <v>0.29298672481163357</v>
      </c>
      <c r="W151" s="5">
        <f t="shared" ref="W151:W214" si="38">U151-T151</f>
        <v>-9.6887069137609833E-2</v>
      </c>
      <c r="X151" s="1">
        <f t="shared" ref="X151:X214" si="39">V151*V151-4*W151*B151/12</f>
        <v>4.6072377806709737</v>
      </c>
      <c r="Y151" s="3">
        <f t="shared" si="29"/>
        <v>7.9434042311276862E-2</v>
      </c>
      <c r="Z151" s="1">
        <f t="shared" si="30"/>
        <v>0.10746606671236847</v>
      </c>
      <c r="AA151" s="8">
        <f t="shared" si="35"/>
        <v>11.583333333333346</v>
      </c>
      <c r="AB151" s="1">
        <v>11.67</v>
      </c>
      <c r="AC151" s="1">
        <v>3.7473577770000001E-3</v>
      </c>
      <c r="AD151" s="8">
        <f t="shared" si="31"/>
        <v>-0.48036768957151427</v>
      </c>
      <c r="AE151" s="3">
        <f t="shared" si="32"/>
        <v>-1.2818837115576388E-2</v>
      </c>
      <c r="AF151" s="11">
        <f t="shared" si="33"/>
        <v>11.583333333333346</v>
      </c>
      <c r="AG151" s="1">
        <f t="shared" si="34"/>
        <v>0.10746606671236847</v>
      </c>
    </row>
    <row r="152" spans="2:33" ht="15" x14ac:dyDescent="0.25">
      <c r="B152" s="1">
        <v>141</v>
      </c>
      <c r="C152" s="1">
        <v>1.0001292100248911</v>
      </c>
      <c r="D152" s="1">
        <v>1.1051849241826381</v>
      </c>
      <c r="E152" s="1">
        <v>0.90430475453674553</v>
      </c>
      <c r="G152" s="1">
        <v>0.99902011315623207</v>
      </c>
      <c r="H152" s="1">
        <v>2.3905399906475902</v>
      </c>
      <c r="I152" s="1">
        <v>0.39048278987055607</v>
      </c>
      <c r="K152" s="1">
        <v>1.0005595384375596</v>
      </c>
      <c r="L152" s="1">
        <v>2.7192461754762891</v>
      </c>
      <c r="M152" s="1">
        <v>0.34110165254419489</v>
      </c>
      <c r="O152" s="1">
        <v>3.8534993629528967E-3</v>
      </c>
      <c r="P152" s="1">
        <v>0.95573116129316171</v>
      </c>
      <c r="R152" s="1">
        <v>0.12213157886883799</v>
      </c>
      <c r="S152" s="2">
        <f t="shared" si="36"/>
        <v>0.36916648754274695</v>
      </c>
      <c r="T152" s="4">
        <f t="shared" si="37"/>
        <v>0.13628389552464915</v>
      </c>
      <c r="U152" s="1">
        <f t="shared" si="28"/>
        <v>3.8579092009595417E-2</v>
      </c>
      <c r="V152" s="6">
        <f>2*sigma/alpha*corel*(B152/12-1/alpha*(1-EXP(-alpha*Output!B152/12)))</f>
        <v>0.29688208838343999</v>
      </c>
      <c r="W152" s="5">
        <f t="shared" si="38"/>
        <v>-9.7704803515053729E-2</v>
      </c>
      <c r="X152" s="1">
        <f t="shared" si="39"/>
        <v>4.680264739610438</v>
      </c>
      <c r="Y152" s="3">
        <f t="shared" si="29"/>
        <v>7.9425951659308977E-2</v>
      </c>
      <c r="Z152" s="1">
        <f t="shared" si="30"/>
        <v>0.10769693313346076</v>
      </c>
      <c r="AA152" s="8">
        <f t="shared" si="35"/>
        <v>11.66666666666668</v>
      </c>
      <c r="AB152" s="1">
        <v>11.75</v>
      </c>
      <c r="AC152" s="1">
        <v>3.807591638E-3</v>
      </c>
      <c r="AD152" s="8">
        <f t="shared" si="31"/>
        <v>-0.45907724952896739</v>
      </c>
      <c r="AE152" s="3">
        <f t="shared" si="32"/>
        <v>-1.2056892996280065E-2</v>
      </c>
      <c r="AF152" s="11">
        <f t="shared" si="33"/>
        <v>11.66666666666668</v>
      </c>
      <c r="AG152" s="1">
        <f t="shared" si="34"/>
        <v>0.10769693313346076</v>
      </c>
    </row>
    <row r="153" spans="2:33" ht="15" x14ac:dyDescent="0.25">
      <c r="B153" s="1">
        <v>142</v>
      </c>
      <c r="C153" s="1">
        <v>1.0001289317095299</v>
      </c>
      <c r="D153" s="1">
        <v>1.1064999447041621</v>
      </c>
      <c r="E153" s="1">
        <v>0.90322777985835978</v>
      </c>
      <c r="G153" s="1">
        <v>0.9988520008704751</v>
      </c>
      <c r="H153" s="1">
        <v>2.4153037352871527</v>
      </c>
      <c r="I153" s="1">
        <v>0.38629154957494227</v>
      </c>
      <c r="K153" s="1">
        <v>1.0005204677920001</v>
      </c>
      <c r="L153" s="1">
        <v>2.7601227421761965</v>
      </c>
      <c r="M153" s="1">
        <v>0.33588255877073958</v>
      </c>
      <c r="O153" s="1">
        <v>3.9098914534032771E-3</v>
      </c>
      <c r="P153" s="1">
        <v>0.95478695336984798</v>
      </c>
      <c r="R153" s="1">
        <v>0.12219375722168252</v>
      </c>
      <c r="S153" s="2">
        <f t="shared" si="36"/>
        <v>0.37063166350534271</v>
      </c>
      <c r="T153" s="4">
        <f t="shared" si="37"/>
        <v>0.13736782999273758</v>
      </c>
      <c r="U153" s="1">
        <f t="shared" si="28"/>
        <v>3.9315577023818271E-2</v>
      </c>
      <c r="V153" s="6">
        <f>2*sigma/alpha*corel*(B153/12-1/alpha*(1-EXP(-alpha*Output!B153/12)))</f>
        <v>0.30079915344298902</v>
      </c>
      <c r="W153" s="5">
        <f t="shared" si="38"/>
        <v>-9.8052252968919312E-2</v>
      </c>
      <c r="X153" s="1">
        <f t="shared" si="39"/>
        <v>4.7316201045741995</v>
      </c>
      <c r="Y153" s="3">
        <f t="shared" si="29"/>
        <v>7.9201250459171577E-2</v>
      </c>
      <c r="Z153" s="1">
        <f t="shared" si="30"/>
        <v>0.10774297663175443</v>
      </c>
      <c r="AA153" s="8">
        <f t="shared" si="35"/>
        <v>11.750000000000014</v>
      </c>
      <c r="AB153" s="1">
        <v>11.83</v>
      </c>
      <c r="AC153" s="1">
        <v>3.8663521269999999E-3</v>
      </c>
      <c r="AD153" s="8">
        <f t="shared" si="31"/>
        <v>-0.43539326403277229</v>
      </c>
      <c r="AE153" s="3">
        <f t="shared" si="32"/>
        <v>-1.1261086671135795E-2</v>
      </c>
      <c r="AF153" s="11">
        <f t="shared" si="33"/>
        <v>11.750000000000014</v>
      </c>
      <c r="AG153" s="1">
        <f t="shared" si="34"/>
        <v>0.10774297663175443</v>
      </c>
    </row>
    <row r="154" spans="2:33" ht="15" x14ac:dyDescent="0.25">
      <c r="B154" s="1">
        <v>143</v>
      </c>
      <c r="C154" s="1">
        <v>1.000130268486529</v>
      </c>
      <c r="D154" s="1">
        <v>1.1068690608645249</v>
      </c>
      <c r="E154" s="1">
        <v>0.90292433229202429</v>
      </c>
      <c r="G154" s="1">
        <v>0.99881019057320386</v>
      </c>
      <c r="H154" s="1">
        <v>2.4214469304750694</v>
      </c>
      <c r="I154" s="1">
        <v>0.38512442712007861</v>
      </c>
      <c r="K154" s="1">
        <v>1.0004514616500009</v>
      </c>
      <c r="L154" s="1">
        <v>2.7244753540962718</v>
      </c>
      <c r="M154" s="1">
        <v>0.34010155940945697</v>
      </c>
      <c r="O154" s="1">
        <v>3.964197459077402E-3</v>
      </c>
      <c r="P154" s="1">
        <v>0.95385842527973874</v>
      </c>
      <c r="R154" s="1">
        <v>0.12252361199539508</v>
      </c>
      <c r="S154" s="2">
        <f t="shared" si="36"/>
        <v>0.37277978672923318</v>
      </c>
      <c r="T154" s="4">
        <f t="shared" si="37"/>
        <v>0.13896476939389257</v>
      </c>
      <c r="U154" s="1">
        <f t="shared" si="28"/>
        <v>4.0060217913882479E-2</v>
      </c>
      <c r="V154" s="6">
        <f>2*sigma/alpha*corel*(B154/12-1/alpha*(1-EXP(-alpha*Output!B154/12)))</f>
        <v>0.30473784777241786</v>
      </c>
      <c r="W154" s="5">
        <f t="shared" si="38"/>
        <v>-9.8904551480010094E-2</v>
      </c>
      <c r="X154" s="1">
        <f t="shared" si="39"/>
        <v>4.8073154430787799</v>
      </c>
      <c r="Y154" s="3">
        <f t="shared" si="29"/>
        <v>7.9209283655528887E-2</v>
      </c>
      <c r="Z154" s="1">
        <f t="shared" si="30"/>
        <v>0.10798786621577973</v>
      </c>
      <c r="AA154" s="8">
        <f t="shared" si="35"/>
        <v>11.833333333333348</v>
      </c>
      <c r="AB154" s="1">
        <v>11.92</v>
      </c>
      <c r="AC154" s="1">
        <v>3.9233113189999997E-3</v>
      </c>
      <c r="AD154" s="8">
        <f t="shared" si="31"/>
        <v>-0.40886140077402328</v>
      </c>
      <c r="AE154" s="3">
        <f t="shared" si="32"/>
        <v>-1.0421334620935375E-2</v>
      </c>
      <c r="AF154" s="11">
        <f t="shared" si="33"/>
        <v>11.833333333333348</v>
      </c>
      <c r="AG154" s="1">
        <f t="shared" si="34"/>
        <v>0.10798786621577973</v>
      </c>
    </row>
    <row r="155" spans="2:33" ht="15" x14ac:dyDescent="0.25">
      <c r="B155" s="1">
        <v>144</v>
      </c>
      <c r="C155" s="1">
        <v>1.0001313216611458</v>
      </c>
      <c r="D155" s="1">
        <v>1.1039530912019107</v>
      </c>
      <c r="E155" s="1">
        <v>0.90530707164009316</v>
      </c>
      <c r="G155" s="1">
        <v>0.99874712761351547</v>
      </c>
      <c r="H155" s="1">
        <v>2.3648600830857487</v>
      </c>
      <c r="I155" s="1">
        <v>0.39414828389826567</v>
      </c>
      <c r="K155" s="1">
        <v>1.0005610291153153</v>
      </c>
      <c r="L155" s="1">
        <v>2.7440423400320797</v>
      </c>
      <c r="M155" s="1">
        <v>0.33749305058502649</v>
      </c>
      <c r="O155" s="1">
        <v>4.0160591539010479E-3</v>
      </c>
      <c r="P155" s="1">
        <v>0.95295012650857358</v>
      </c>
      <c r="R155" s="1">
        <v>0.12286905615120008</v>
      </c>
      <c r="S155" s="2">
        <f t="shared" si="36"/>
        <v>0.37494228688279108</v>
      </c>
      <c r="T155" s="4">
        <f t="shared" si="37"/>
        <v>0.14058171849289722</v>
      </c>
      <c r="U155" s="1">
        <f t="shared" si="28"/>
        <v>4.0813032226134194E-2</v>
      </c>
      <c r="V155" s="6">
        <f>2*sigma/alpha*corel*(B155/12-1/alpha*(1-EXP(-alpha*Output!B155/12)))</f>
        <v>0.30869809939419013</v>
      </c>
      <c r="W155" s="5">
        <f t="shared" si="38"/>
        <v>-9.9768686266763024E-2</v>
      </c>
      <c r="X155" s="1">
        <f t="shared" si="39"/>
        <v>4.8841914573742109</v>
      </c>
      <c r="Y155" s="3">
        <f t="shared" si="29"/>
        <v>7.9221774675940299E-2</v>
      </c>
      <c r="Z155" s="1">
        <f t="shared" si="30"/>
        <v>0.10823651513117666</v>
      </c>
      <c r="AA155" s="8">
        <f t="shared" si="35"/>
        <v>11.916666666666682</v>
      </c>
      <c r="AB155" s="1">
        <v>12</v>
      </c>
      <c r="AC155" s="1">
        <v>3.9781412879999999E-3</v>
      </c>
      <c r="AD155" s="8">
        <f t="shared" si="31"/>
        <v>-0.3791786590104807</v>
      </c>
      <c r="AE155" s="3">
        <f t="shared" si="32"/>
        <v>-9.5315533451329933E-3</v>
      </c>
      <c r="AF155" s="11">
        <f t="shared" si="33"/>
        <v>11.916666666666682</v>
      </c>
      <c r="AG155" s="1">
        <f t="shared" si="34"/>
        <v>0.10823651513117666</v>
      </c>
    </row>
    <row r="156" spans="2:33" ht="15" x14ac:dyDescent="0.25">
      <c r="B156" s="1">
        <v>145</v>
      </c>
      <c r="C156" s="1">
        <v>1.0001338383794909</v>
      </c>
      <c r="D156" s="1">
        <v>1.1062787586946856</v>
      </c>
      <c r="E156" s="1">
        <v>0.90340167590430864</v>
      </c>
      <c r="G156" s="1">
        <v>0.99880552986103355</v>
      </c>
      <c r="H156" s="1">
        <v>2.3741201807447276</v>
      </c>
      <c r="I156" s="1">
        <v>0.39242030510332099</v>
      </c>
      <c r="K156" s="1">
        <v>1.0005658554572527</v>
      </c>
      <c r="L156" s="1">
        <v>2.7303049614613797</v>
      </c>
      <c r="M156" s="1">
        <v>0.33899363141119165</v>
      </c>
      <c r="O156" s="1">
        <v>4.0652951066077019E-3</v>
      </c>
      <c r="P156" s="1">
        <v>0.95206466995637329</v>
      </c>
      <c r="R156" s="1">
        <v>0.12325919898402936</v>
      </c>
      <c r="S156" s="2">
        <f t="shared" si="36"/>
        <v>0.37719243575863015</v>
      </c>
      <c r="T156" s="4">
        <f t="shared" si="37"/>
        <v>0.14227413359352833</v>
      </c>
      <c r="U156" s="1">
        <f t="shared" si="28"/>
        <v>4.1574037151602905E-2</v>
      </c>
      <c r="V156" s="6">
        <f>2*sigma/alpha*corel*(B156/12-1/alpha*(1-EXP(-alpha*Output!B156/12)))</f>
        <v>0.3126798365702943</v>
      </c>
      <c r="W156" s="5">
        <f t="shared" si="38"/>
        <v>-0.10070009644192543</v>
      </c>
      <c r="X156" s="1">
        <f t="shared" si="39"/>
        <v>4.9649400082240209</v>
      </c>
      <c r="Y156" s="3">
        <f t="shared" si="29"/>
        <v>7.9263504709113586E-2</v>
      </c>
      <c r="Z156" s="1">
        <f t="shared" si="30"/>
        <v>0.10850995832648788</v>
      </c>
      <c r="AA156" s="8">
        <f t="shared" si="35"/>
        <v>12.000000000000016</v>
      </c>
      <c r="AB156" s="1">
        <v>12.08</v>
      </c>
      <c r="AC156" s="1">
        <v>4.0305141100000002E-3</v>
      </c>
      <c r="AD156" s="8">
        <f t="shared" si="31"/>
        <v>-0.34780996607701625</v>
      </c>
      <c r="AE156" s="3">
        <f t="shared" si="32"/>
        <v>-8.6294193888088438E-3</v>
      </c>
      <c r="AF156" s="11">
        <f t="shared" si="33"/>
        <v>12.000000000000016</v>
      </c>
      <c r="AG156" s="1">
        <f t="shared" si="34"/>
        <v>0.10850995832648788</v>
      </c>
    </row>
    <row r="157" spans="2:33" ht="15" x14ac:dyDescent="0.25">
      <c r="B157" s="1">
        <v>146</v>
      </c>
      <c r="C157" s="1">
        <v>1.0001337678595912</v>
      </c>
      <c r="D157" s="1">
        <v>1.1054796229488737</v>
      </c>
      <c r="E157" s="1">
        <v>0.90405252253791879</v>
      </c>
      <c r="G157" s="1">
        <v>0.99865697370029705</v>
      </c>
      <c r="H157" s="1">
        <v>2.351290480298784</v>
      </c>
      <c r="I157" s="1">
        <v>0.39603810629321662</v>
      </c>
      <c r="K157" s="1">
        <v>1.0006071210836396</v>
      </c>
      <c r="L157" s="1">
        <v>2.5948788321600933</v>
      </c>
      <c r="M157" s="1">
        <v>0.35650425674348929</v>
      </c>
      <c r="O157" s="1">
        <v>4.1120840898340102E-3</v>
      </c>
      <c r="P157" s="1">
        <v>0.95120054901306217</v>
      </c>
      <c r="R157" s="1">
        <v>0.12364147797780307</v>
      </c>
      <c r="S157" s="2">
        <f t="shared" si="36"/>
        <v>0.37939386456827795</v>
      </c>
      <c r="T157" s="4">
        <f t="shared" si="37"/>
        <v>0.14393970447205284</v>
      </c>
      <c r="U157" s="1">
        <f t="shared" si="28"/>
        <v>4.2343249529158467E-2</v>
      </c>
      <c r="V157" s="6">
        <f>2*sigma/alpha*corel*(B157/12-1/alpha*(1-EXP(-alpha*Output!B157/12)))</f>
        <v>0.31668298780144677</v>
      </c>
      <c r="W157" s="5">
        <f t="shared" si="38"/>
        <v>-0.10159645494289438</v>
      </c>
      <c r="X157" s="1">
        <f t="shared" si="39"/>
        <v>5.0446489219837112</v>
      </c>
      <c r="Y157" s="3">
        <f t="shared" si="29"/>
        <v>7.9288216554581112E-2</v>
      </c>
      <c r="Z157" s="1">
        <f t="shared" si="30"/>
        <v>0.10876884039805972</v>
      </c>
      <c r="AA157" s="8">
        <f t="shared" si="35"/>
        <v>12.08333333333335</v>
      </c>
      <c r="AB157" s="1">
        <v>12.17</v>
      </c>
      <c r="AC157" s="1">
        <v>4.0802033210000001E-3</v>
      </c>
      <c r="AD157" s="8">
        <f t="shared" si="31"/>
        <v>-0.31880768834010098</v>
      </c>
      <c r="AE157" s="3">
        <f t="shared" si="32"/>
        <v>-7.813524554015747E-3</v>
      </c>
      <c r="AF157" s="11">
        <f t="shared" si="33"/>
        <v>12.08333333333335</v>
      </c>
      <c r="AG157" s="1">
        <f t="shared" si="34"/>
        <v>0.10876884039805972</v>
      </c>
    </row>
    <row r="158" spans="2:33" ht="15" x14ac:dyDescent="0.25">
      <c r="B158" s="1">
        <v>147</v>
      </c>
      <c r="C158" s="1">
        <v>1.0001360825806398</v>
      </c>
      <c r="D158" s="1">
        <v>1.1066289886066443</v>
      </c>
      <c r="E158" s="1">
        <v>0.90311136029272565</v>
      </c>
      <c r="G158" s="1">
        <v>0.99868852152814636</v>
      </c>
      <c r="H158" s="1">
        <v>2.3751873269542827</v>
      </c>
      <c r="I158" s="1">
        <v>0.39186321138315139</v>
      </c>
      <c r="K158" s="1">
        <v>1.0005795058758018</v>
      </c>
      <c r="L158" s="1">
        <v>2.6327570637223583</v>
      </c>
      <c r="M158" s="1">
        <v>0.35117914921672544</v>
      </c>
      <c r="O158" s="1">
        <v>4.1566469708647687E-3</v>
      </c>
      <c r="P158" s="1">
        <v>0.95035571712531097</v>
      </c>
      <c r="R158" s="1">
        <v>0.12406648712403523</v>
      </c>
      <c r="S158" s="2">
        <f t="shared" si="36"/>
        <v>0.38168299133138506</v>
      </c>
      <c r="T158" s="4">
        <f t="shared" si="37"/>
        <v>0.14568190587167415</v>
      </c>
      <c r="U158" s="1">
        <f t="shared" si="28"/>
        <v>4.3120685848644591E-2</v>
      </c>
      <c r="V158" s="6">
        <f>2*sigma/alpha*corel*(B158/12-1/alpha*(1-EXP(-alpha*Output!B158/12)))</f>
        <v>0.32070748182630027</v>
      </c>
      <c r="W158" s="5">
        <f t="shared" si="38"/>
        <v>-0.10256122002302956</v>
      </c>
      <c r="X158" s="1">
        <f t="shared" si="39"/>
        <v>5.1283530700278144</v>
      </c>
      <c r="Y158" s="3">
        <f t="shared" si="29"/>
        <v>7.9342010240706695E-2</v>
      </c>
      <c r="Z158" s="1">
        <f t="shared" si="30"/>
        <v>0.10905228323753859</v>
      </c>
      <c r="AA158" s="8">
        <f t="shared" si="35"/>
        <v>12.166666666666684</v>
      </c>
      <c r="AB158" s="1">
        <v>12.25</v>
      </c>
      <c r="AC158" s="1">
        <v>4.1273883090000001E-3</v>
      </c>
      <c r="AD158" s="8">
        <f t="shared" si="31"/>
        <v>-0.29258661864768609</v>
      </c>
      <c r="AE158" s="3">
        <f t="shared" si="32"/>
        <v>-7.088904574587389E-3</v>
      </c>
      <c r="AF158" s="11">
        <f t="shared" si="33"/>
        <v>12.166666666666684</v>
      </c>
      <c r="AG158" s="1">
        <f t="shared" si="34"/>
        <v>0.10905228323753859</v>
      </c>
    </row>
    <row r="159" spans="2:33" ht="15" x14ac:dyDescent="0.25">
      <c r="B159" s="1">
        <v>148</v>
      </c>
      <c r="C159" s="1">
        <v>1.000137207004782</v>
      </c>
      <c r="D159" s="1">
        <v>1.1066619980088042</v>
      </c>
      <c r="E159" s="1">
        <v>0.90308223715969216</v>
      </c>
      <c r="G159" s="1">
        <v>0.99862723941830611</v>
      </c>
      <c r="H159" s="1">
        <v>2.3751631765030159</v>
      </c>
      <c r="I159" s="1">
        <v>0.39167695407163244</v>
      </c>
      <c r="K159" s="1">
        <v>1.0005789724055045</v>
      </c>
      <c r="L159" s="1">
        <v>2.6161301899477962</v>
      </c>
      <c r="M159" s="1">
        <v>0.35323804904457012</v>
      </c>
      <c r="O159" s="1">
        <v>4.1992714600419326E-3</v>
      </c>
      <c r="P159" s="1">
        <v>0.94952728337809988</v>
      </c>
      <c r="R159" s="1">
        <v>0.12447877074157211</v>
      </c>
      <c r="S159" s="2">
        <f t="shared" si="36"/>
        <v>0.38391744692844509</v>
      </c>
      <c r="T159" s="4">
        <f t="shared" si="37"/>
        <v>0.14739260605605545</v>
      </c>
      <c r="U159" s="1">
        <f t="shared" si="28"/>
        <v>4.3906362253982145E-2</v>
      </c>
      <c r="V159" s="6">
        <f>2*sigma/alpha*corel*(B159/12-1/alpha*(1-EXP(-alpha*Output!B159/12)))</f>
        <v>0.32475324762064761</v>
      </c>
      <c r="W159" s="5">
        <f t="shared" si="38"/>
        <v>-0.1034862438020733</v>
      </c>
      <c r="X159" s="1">
        <f t="shared" si="39"/>
        <v>5.2107860327424405</v>
      </c>
      <c r="Y159" s="3">
        <f t="shared" si="29"/>
        <v>7.937681236161849E-2</v>
      </c>
      <c r="Z159" s="1">
        <f t="shared" si="30"/>
        <v>0.10931949433830579</v>
      </c>
      <c r="AA159" s="8">
        <f t="shared" si="35"/>
        <v>12.250000000000018</v>
      </c>
      <c r="AB159" s="1">
        <v>12.33</v>
      </c>
      <c r="AC159" s="1">
        <v>4.1723499249999999E-3</v>
      </c>
      <c r="AD159" s="8">
        <f t="shared" si="31"/>
        <v>-0.26921535041932698</v>
      </c>
      <c r="AE159" s="3">
        <f t="shared" si="32"/>
        <v>-6.4523674969406359E-3</v>
      </c>
      <c r="AF159" s="11">
        <f t="shared" si="33"/>
        <v>12.250000000000018</v>
      </c>
      <c r="AG159" s="1">
        <f t="shared" si="34"/>
        <v>0.10931949433830579</v>
      </c>
    </row>
    <row r="160" spans="2:33" ht="15" x14ac:dyDescent="0.25">
      <c r="B160" s="1">
        <v>149</v>
      </c>
      <c r="C160" s="1">
        <v>1.0001391937516995</v>
      </c>
      <c r="D160" s="1">
        <v>1.1078134442592544</v>
      </c>
      <c r="E160" s="1">
        <v>0.90214141342479781</v>
      </c>
      <c r="G160" s="1">
        <v>0.99863318020553615</v>
      </c>
      <c r="H160" s="1">
        <v>2.4059340775347238</v>
      </c>
      <c r="I160" s="1">
        <v>0.38647985900129594</v>
      </c>
      <c r="K160" s="1">
        <v>1.0005006952020932</v>
      </c>
      <c r="L160" s="1">
        <v>2.5658794931769209</v>
      </c>
      <c r="M160" s="1">
        <v>0.35995272141650342</v>
      </c>
      <c r="O160" s="1">
        <v>4.240270032519285E-3</v>
      </c>
      <c r="P160" s="1">
        <v>0.94871198501500176</v>
      </c>
      <c r="R160" s="1">
        <v>0.12469420516551509</v>
      </c>
      <c r="S160" s="2">
        <f t="shared" si="36"/>
        <v>0.3856143831207508</v>
      </c>
      <c r="T160" s="4">
        <f t="shared" si="37"/>
        <v>0.14869845246959718</v>
      </c>
      <c r="U160" s="1">
        <f t="shared" si="28"/>
        <v>4.4700294546259123E-2</v>
      </c>
      <c r="V160" s="6">
        <f>2*sigma/alpha*corel*(B160/12-1/alpha*(1-EXP(-alpha*Output!B160/12)))</f>
        <v>0.32882021439663611</v>
      </c>
      <c r="W160" s="5">
        <f t="shared" si="38"/>
        <v>-0.10399815792333805</v>
      </c>
      <c r="X160" s="1">
        <f t="shared" si="39"/>
        <v>5.2733645769216402</v>
      </c>
      <c r="Y160" s="3">
        <f t="shared" si="29"/>
        <v>7.9230625839836047E-2</v>
      </c>
      <c r="Z160" s="1">
        <f t="shared" si="30"/>
        <v>0.10943360677988032</v>
      </c>
      <c r="AA160" s="8">
        <f t="shared" si="35"/>
        <v>12.333333333333352</v>
      </c>
      <c r="AB160" s="1">
        <v>12.42</v>
      </c>
      <c r="AC160" s="1">
        <v>4.21536902E-3</v>
      </c>
      <c r="AD160" s="8">
        <f t="shared" si="31"/>
        <v>-0.24901012519285004</v>
      </c>
      <c r="AE160" s="3">
        <f t="shared" si="32"/>
        <v>-5.9071963572207026E-3</v>
      </c>
      <c r="AF160" s="11">
        <f t="shared" si="33"/>
        <v>12.333333333333352</v>
      </c>
      <c r="AG160" s="1">
        <f t="shared" si="34"/>
        <v>0.10943360677988032</v>
      </c>
    </row>
    <row r="161" spans="2:33" ht="15" x14ac:dyDescent="0.25">
      <c r="B161" s="1">
        <v>150</v>
      </c>
      <c r="C161" s="1">
        <v>1.0001416237912675</v>
      </c>
      <c r="D161" s="1">
        <v>1.1057996892334263</v>
      </c>
      <c r="E161" s="1">
        <v>0.90378212392276103</v>
      </c>
      <c r="G161" s="1">
        <v>0.99868435186560123</v>
      </c>
      <c r="H161" s="1">
        <v>2.3673701035623926</v>
      </c>
      <c r="I161" s="1">
        <v>0.39258487133759257</v>
      </c>
      <c r="K161" s="1">
        <v>1.0005063933381295</v>
      </c>
      <c r="L161" s="1">
        <v>2.7129996965611634</v>
      </c>
      <c r="M161" s="1">
        <v>0.34025453566680758</v>
      </c>
      <c r="O161" s="1">
        <v>4.2798668757118002E-3</v>
      </c>
      <c r="P161" s="1">
        <v>0.94790751837141152</v>
      </c>
      <c r="R161" s="1">
        <v>0.12510606042394171</v>
      </c>
      <c r="S161" s="2">
        <f t="shared" si="36"/>
        <v>0.38781727398315879</v>
      </c>
      <c r="T161" s="4">
        <f t="shared" si="37"/>
        <v>0.15040223799972846</v>
      </c>
      <c r="U161" s="1">
        <f t="shared" si="28"/>
        <v>4.5502498186790419E-2</v>
      </c>
      <c r="V161" s="6">
        <f>2*sigma/alpha*corel*(B161/12-1/alpha*(1-EXP(-alpha*Output!B161/12)))</f>
        <v>0.33290831160197953</v>
      </c>
      <c r="W161" s="5">
        <f t="shared" si="38"/>
        <v>-0.10489973981293804</v>
      </c>
      <c r="X161" s="1">
        <f t="shared" si="39"/>
        <v>5.3558149345805832</v>
      </c>
      <c r="Y161" s="3">
        <f t="shared" si="29"/>
        <v>7.9254202239620847E-2</v>
      </c>
      <c r="Z161" s="1">
        <f t="shared" si="30"/>
        <v>0.10969128971790912</v>
      </c>
      <c r="AA161" s="8">
        <f t="shared" si="35"/>
        <v>12.416666666666686</v>
      </c>
      <c r="AB161" s="1">
        <v>12.5</v>
      </c>
      <c r="AC161" s="1">
        <v>4.2567264439999997E-3</v>
      </c>
      <c r="AD161" s="8">
        <f t="shared" si="31"/>
        <v>-0.23140431711800474</v>
      </c>
      <c r="AE161" s="3">
        <f t="shared" si="32"/>
        <v>-5.4362036217802294E-3</v>
      </c>
      <c r="AF161" s="11">
        <f t="shared" si="33"/>
        <v>12.416666666666686</v>
      </c>
      <c r="AG161" s="1">
        <f t="shared" si="34"/>
        <v>0.10969128971790912</v>
      </c>
    </row>
    <row r="162" spans="2:33" ht="15" x14ac:dyDescent="0.25">
      <c r="B162" s="1">
        <v>151</v>
      </c>
      <c r="C162" s="1">
        <v>1.0001443986009666</v>
      </c>
      <c r="D162" s="1">
        <v>1.1084270621461925</v>
      </c>
      <c r="E162" s="1">
        <v>0.90163768352396245</v>
      </c>
      <c r="G162" s="1">
        <v>0.99876000216645755</v>
      </c>
      <c r="H162" s="1">
        <v>2.4299262992978146</v>
      </c>
      <c r="I162" s="1">
        <v>0.3822924800248142</v>
      </c>
      <c r="K162" s="1">
        <v>1.0005838086275463</v>
      </c>
      <c r="L162" s="1">
        <v>2.7715937075818626</v>
      </c>
      <c r="M162" s="1">
        <v>0.33288917662083795</v>
      </c>
      <c r="O162" s="1">
        <v>4.3183370245702679E-3</v>
      </c>
      <c r="P162" s="1">
        <v>0.94711091115135759</v>
      </c>
      <c r="R162" s="1">
        <v>0.12566628761043064</v>
      </c>
      <c r="S162" s="2">
        <f t="shared" si="36"/>
        <v>0.3904041562235625</v>
      </c>
      <c r="T162" s="4">
        <f t="shared" si="37"/>
        <v>0.1524154051966318</v>
      </c>
      <c r="U162" s="1">
        <f t="shared" si="28"/>
        <v>4.63129883001554E-2</v>
      </c>
      <c r="V162" s="6">
        <f>2*sigma/alpha*corel*(B162/12-1/alpha*(1-EXP(-alpha*Output!B162/12)))</f>
        <v>0.33701746891917406</v>
      </c>
      <c r="W162" s="5">
        <f t="shared" si="38"/>
        <v>-0.1061024168964764</v>
      </c>
      <c r="X162" s="1">
        <f t="shared" si="39"/>
        <v>5.4540690914793313</v>
      </c>
      <c r="Y162" s="3">
        <f t="shared" si="29"/>
        <v>7.9405723633075326E-2</v>
      </c>
      <c r="Z162" s="1">
        <f t="shared" si="30"/>
        <v>0.11005672415705757</v>
      </c>
      <c r="AA162" s="8">
        <f t="shared" si="35"/>
        <v>12.50000000000002</v>
      </c>
      <c r="AB162" s="1">
        <v>12.58</v>
      </c>
      <c r="AC162" s="1">
        <v>4.296703049E-3</v>
      </c>
      <c r="AD162" s="8">
        <f t="shared" si="31"/>
        <v>-0.21633975570267866</v>
      </c>
      <c r="AE162" s="3">
        <f t="shared" si="32"/>
        <v>-5.0350176224775141E-3</v>
      </c>
      <c r="AF162" s="11">
        <f t="shared" si="33"/>
        <v>12.50000000000002</v>
      </c>
      <c r="AG162" s="1">
        <f t="shared" si="34"/>
        <v>0.11005672415705757</v>
      </c>
    </row>
    <row r="163" spans="2:33" ht="15" x14ac:dyDescent="0.25">
      <c r="B163" s="1">
        <v>152</v>
      </c>
      <c r="C163" s="1">
        <v>1.0001471560629667</v>
      </c>
      <c r="D163" s="1">
        <v>1.1086909852044402</v>
      </c>
      <c r="E163" s="1">
        <v>0.90142091039480565</v>
      </c>
      <c r="G163" s="1">
        <v>0.99882520560116717</v>
      </c>
      <c r="H163" s="1">
        <v>2.4373230859267352</v>
      </c>
      <c r="I163" s="1">
        <v>0.38094730220175577</v>
      </c>
      <c r="K163" s="1">
        <v>1.0005412679847356</v>
      </c>
      <c r="L163" s="1">
        <v>2.8848958646616425</v>
      </c>
      <c r="M163" s="1">
        <v>0.31963616412559936</v>
      </c>
      <c r="O163" s="1">
        <v>4.3560252317203238E-3</v>
      </c>
      <c r="P163" s="1">
        <v>0.9463182787806812</v>
      </c>
      <c r="R163" s="1">
        <v>0.12599508943039164</v>
      </c>
      <c r="S163" s="2">
        <f t="shared" si="36"/>
        <v>0.39237380776784681</v>
      </c>
      <c r="T163" s="4">
        <f t="shared" si="37"/>
        <v>0.1539572050222392</v>
      </c>
      <c r="U163" s="1">
        <f t="shared" si="28"/>
        <v>4.7131779677217267E-2</v>
      </c>
      <c r="V163" s="6">
        <f>2*sigma/alpha*corel*(B163/12-1/alpha*(1-EXP(-alpha*Output!B163/12)))</f>
        <v>0.34114761626471757</v>
      </c>
      <c r="W163" s="5">
        <f t="shared" si="38"/>
        <v>-0.10682542534502193</v>
      </c>
      <c r="X163" s="1">
        <f t="shared" si="39"/>
        <v>5.5288699135642103</v>
      </c>
      <c r="Y163" s="3">
        <f t="shared" si="29"/>
        <v>7.9350287917176465E-2</v>
      </c>
      <c r="Z163" s="1">
        <f t="shared" si="30"/>
        <v>0.11024752235749451</v>
      </c>
      <c r="AA163" s="8">
        <f t="shared" si="35"/>
        <v>12.583333333333353</v>
      </c>
      <c r="AB163" s="1">
        <v>12.67</v>
      </c>
      <c r="AC163" s="1">
        <v>4.3355804669999998E-3</v>
      </c>
      <c r="AD163" s="8">
        <f t="shared" si="31"/>
        <v>-0.2044476472032406</v>
      </c>
      <c r="AE163" s="3">
        <f t="shared" si="32"/>
        <v>-4.7155772741246781E-3</v>
      </c>
      <c r="AF163" s="11">
        <f t="shared" si="33"/>
        <v>12.583333333333353</v>
      </c>
      <c r="AG163" s="1">
        <f t="shared" si="34"/>
        <v>0.11024752235749451</v>
      </c>
    </row>
    <row r="164" spans="2:33" ht="15" x14ac:dyDescent="0.25">
      <c r="B164" s="1">
        <v>153</v>
      </c>
      <c r="C164" s="1">
        <v>1.0001486094489505</v>
      </c>
      <c r="D164" s="1">
        <v>1.1119630941431644</v>
      </c>
      <c r="E164" s="1">
        <v>0.89876622890758384</v>
      </c>
      <c r="G164" s="1">
        <v>0.99879225968634455</v>
      </c>
      <c r="H164" s="1">
        <v>2.5024921435897931</v>
      </c>
      <c r="I164" s="1">
        <v>0.3708467169055728</v>
      </c>
      <c r="K164" s="1">
        <v>1.0005413748014997</v>
      </c>
      <c r="L164" s="1">
        <v>2.8962895052369735</v>
      </c>
      <c r="M164" s="1">
        <v>0.31821608918528232</v>
      </c>
      <c r="O164" s="1">
        <v>4.393189858304075E-3</v>
      </c>
      <c r="P164" s="1">
        <v>0.94552668256637118</v>
      </c>
      <c r="R164" s="1">
        <v>0.1264183530216077</v>
      </c>
      <c r="S164" s="2">
        <f t="shared" si="36"/>
        <v>0.39459405757898436</v>
      </c>
      <c r="T164" s="4">
        <f t="shared" si="37"/>
        <v>0.15570447027664683</v>
      </c>
      <c r="U164" s="1">
        <f t="shared" si="28"/>
        <v>4.7958886778113552E-2</v>
      </c>
      <c r="V164" s="6">
        <f>2*sigma/alpha*corel*(B164/12-1/alpha*(1-EXP(-alpha*Output!B164/12)))</f>
        <v>0.34529868378833095</v>
      </c>
      <c r="W164" s="5">
        <f t="shared" si="38"/>
        <v>-0.10774558349853328</v>
      </c>
      <c r="X164" s="1">
        <f t="shared" si="39"/>
        <v>5.6142559394511498</v>
      </c>
      <c r="Y164" s="3">
        <f t="shared" si="29"/>
        <v>7.9378173798788143E-2</v>
      </c>
      <c r="Z164" s="1">
        <f t="shared" si="30"/>
        <v>0.11050844002073071</v>
      </c>
      <c r="AA164" s="8">
        <f t="shared" si="35"/>
        <v>12.666666666666687</v>
      </c>
      <c r="AB164" s="1">
        <v>12.75</v>
      </c>
      <c r="AC164" s="1">
        <v>4.3736434599999999E-3</v>
      </c>
      <c r="AD164" s="8">
        <f t="shared" si="31"/>
        <v>-0.19546398304075113</v>
      </c>
      <c r="AE164" s="3">
        <f t="shared" si="32"/>
        <v>-4.4691339115409089E-3</v>
      </c>
      <c r="AF164" s="11">
        <f t="shared" si="33"/>
        <v>12.666666666666687</v>
      </c>
      <c r="AG164" s="1">
        <f t="shared" si="34"/>
        <v>0.11050844002073071</v>
      </c>
    </row>
    <row r="165" spans="2:33" ht="15" x14ac:dyDescent="0.25">
      <c r="B165" s="1">
        <v>154</v>
      </c>
      <c r="C165" s="1">
        <v>1.0001518539947325</v>
      </c>
      <c r="D165" s="1">
        <v>1.1109301701553504</v>
      </c>
      <c r="E165" s="1">
        <v>0.89959977243758482</v>
      </c>
      <c r="G165" s="1">
        <v>0.99890846463434368</v>
      </c>
      <c r="H165" s="1">
        <v>2.4814122134495626</v>
      </c>
      <c r="I165" s="1">
        <v>0.37381559214106647</v>
      </c>
      <c r="K165" s="1">
        <v>1.0006028128127371</v>
      </c>
      <c r="L165" s="1">
        <v>2.8574152242588755</v>
      </c>
      <c r="M165" s="1">
        <v>0.32237289045956402</v>
      </c>
      <c r="O165" s="1">
        <v>4.4301360567224318E-3</v>
      </c>
      <c r="P165" s="1">
        <v>0.94473254498349135</v>
      </c>
      <c r="R165" s="1">
        <v>0.12682391620560388</v>
      </c>
      <c r="S165" s="2">
        <f t="shared" si="36"/>
        <v>0.39677245288989704</v>
      </c>
      <c r="T165" s="4">
        <f t="shared" si="37"/>
        <v>0.15742837937226556</v>
      </c>
      <c r="U165" s="1">
        <f t="shared" si="28"/>
        <v>4.8794323735229739E-2</v>
      </c>
      <c r="V165" s="6">
        <f>2*sigma/alpha*corel*(B165/12-1/alpha*(1-EXP(-alpha*Output!B165/12)))</f>
        <v>0.34947060187218182</v>
      </c>
      <c r="W165" s="5">
        <f t="shared" si="38"/>
        <v>-0.10863405563703582</v>
      </c>
      <c r="X165" s="1">
        <f t="shared" si="39"/>
        <v>5.6986778909407434</v>
      </c>
      <c r="Y165" s="3">
        <f t="shared" si="29"/>
        <v>7.9391679508810861E-2</v>
      </c>
      <c r="Z165" s="1">
        <f t="shared" si="30"/>
        <v>0.1107571507605361</v>
      </c>
      <c r="AA165" s="8">
        <f t="shared" si="35"/>
        <v>12.750000000000021</v>
      </c>
      <c r="AB165" s="1">
        <v>12.83</v>
      </c>
      <c r="AC165" s="1">
        <v>4.4111775690000004E-3</v>
      </c>
      <c r="AD165" s="8">
        <f t="shared" si="31"/>
        <v>-0.18958487722431361</v>
      </c>
      <c r="AE165" s="3">
        <f t="shared" si="32"/>
        <v>-4.2978291909317057E-3</v>
      </c>
      <c r="AF165" s="11">
        <f t="shared" si="33"/>
        <v>12.750000000000021</v>
      </c>
      <c r="AG165" s="1">
        <f t="shared" si="34"/>
        <v>0.1107571507605361</v>
      </c>
    </row>
    <row r="166" spans="2:33" ht="15" x14ac:dyDescent="0.25">
      <c r="B166" s="1">
        <v>155</v>
      </c>
      <c r="C166" s="1">
        <v>1.0001536556292938</v>
      </c>
      <c r="D166" s="1">
        <v>1.1097849324110525</v>
      </c>
      <c r="E166" s="1">
        <v>0.90052600363030699</v>
      </c>
      <c r="G166" s="1">
        <v>0.99890049353779031</v>
      </c>
      <c r="H166" s="1">
        <v>2.4592866001174443</v>
      </c>
      <c r="I166" s="1">
        <v>0.37699566764242598</v>
      </c>
      <c r="K166" s="1">
        <v>1.0004730753521489</v>
      </c>
      <c r="L166" s="1">
        <v>2.9238730501056773</v>
      </c>
      <c r="M166" s="1">
        <v>0.31487322652191935</v>
      </c>
      <c r="O166" s="1">
        <v>4.4671601143367722E-3</v>
      </c>
      <c r="P166" s="1">
        <v>0.94393231261710631</v>
      </c>
      <c r="R166" s="1">
        <v>0.12699589014050403</v>
      </c>
      <c r="S166" s="2">
        <f t="shared" si="36"/>
        <v>0.3983396819444941</v>
      </c>
      <c r="T166" s="4">
        <f t="shared" si="37"/>
        <v>0.15867450221164073</v>
      </c>
      <c r="U166" s="1">
        <f t="shared" si="28"/>
        <v>4.9638104356144463E-2</v>
      </c>
      <c r="V166" s="6">
        <f>2*sigma/alpha*corel*(B166/12-1/alpha*(1-EXP(-alpha*Output!B166/12)))</f>
        <v>0.35366330113010935</v>
      </c>
      <c r="W166" s="5">
        <f t="shared" si="38"/>
        <v>-0.10903639785549626</v>
      </c>
      <c r="X166" s="1">
        <f t="shared" si="39"/>
        <v>5.7586249531002203</v>
      </c>
      <c r="Y166" s="3">
        <f t="shared" si="29"/>
        <v>7.9201943754854218E-2</v>
      </c>
      <c r="Z166" s="1">
        <f t="shared" si="30"/>
        <v>0.1108353625454378</v>
      </c>
      <c r="AA166" s="8">
        <f t="shared" si="35"/>
        <v>12.833333333333355</v>
      </c>
      <c r="AB166" s="1">
        <v>12.92</v>
      </c>
      <c r="AC166" s="1">
        <v>4.4484683380000001E-3</v>
      </c>
      <c r="AD166" s="8">
        <f t="shared" si="31"/>
        <v>-0.18691776336772145</v>
      </c>
      <c r="AE166" s="3">
        <f t="shared" si="32"/>
        <v>-4.2018454255596293E-3</v>
      </c>
      <c r="AF166" s="11">
        <f t="shared" si="33"/>
        <v>12.833333333333355</v>
      </c>
      <c r="AG166" s="1">
        <f t="shared" si="34"/>
        <v>0.1108353625454378</v>
      </c>
    </row>
    <row r="167" spans="2:33" ht="15" x14ac:dyDescent="0.25">
      <c r="B167" s="1">
        <v>156</v>
      </c>
      <c r="C167" s="1">
        <v>1.000152474675815</v>
      </c>
      <c r="D167" s="1">
        <v>1.1105664535049564</v>
      </c>
      <c r="E167" s="1">
        <v>0.89989019578546781</v>
      </c>
      <c r="G167" s="1">
        <v>0.99864725241334851</v>
      </c>
      <c r="H167" s="1">
        <v>2.4732116300978997</v>
      </c>
      <c r="I167" s="1">
        <v>0.37469112569611179</v>
      </c>
      <c r="K167" s="1">
        <v>1.0002974940269846</v>
      </c>
      <c r="L167" s="1">
        <v>2.8973542298144772</v>
      </c>
      <c r="M167" s="1">
        <v>0.31759167081974959</v>
      </c>
      <c r="O167" s="1">
        <v>4.5045785651667237E-3</v>
      </c>
      <c r="P167" s="1">
        <v>0.94312210283088749</v>
      </c>
      <c r="R167" s="1">
        <v>0.12722589773468063</v>
      </c>
      <c r="S167" s="2">
        <f t="shared" si="36"/>
        <v>0.40007582560324773</v>
      </c>
      <c r="T167" s="4">
        <f t="shared" si="37"/>
        <v>0.16006066623212029</v>
      </c>
      <c r="U167" s="1">
        <f t="shared" si="28"/>
        <v>5.0490242126560059E-2</v>
      </c>
      <c r="V167" s="6">
        <f>2*sigma/alpha*corel*(B167/12-1/alpha*(1-EXP(-alpha*Output!B167/12)))</f>
        <v>0.35787671240685737</v>
      </c>
      <c r="W167" s="5">
        <f t="shared" si="38"/>
        <v>-0.10957042410556023</v>
      </c>
      <c r="X167" s="1">
        <f t="shared" si="39"/>
        <v>5.8257377947722722</v>
      </c>
      <c r="Y167" s="3">
        <f t="shared" si="29"/>
        <v>7.9068454124125331E-2</v>
      </c>
      <c r="Z167" s="1">
        <f t="shared" si="30"/>
        <v>0.11096106948354603</v>
      </c>
      <c r="AA167" s="8">
        <f t="shared" si="35"/>
        <v>12.916666666666689</v>
      </c>
      <c r="AB167" s="1">
        <v>13</v>
      </c>
      <c r="AC167" s="1">
        <v>4.4858013099999998E-3</v>
      </c>
      <c r="AD167" s="8">
        <f t="shared" si="31"/>
        <v>-0.18777255166723891</v>
      </c>
      <c r="AE167" s="3">
        <f t="shared" si="32"/>
        <v>-4.1859310899180005E-3</v>
      </c>
      <c r="AF167" s="11">
        <f t="shared" si="33"/>
        <v>12.916666666666689</v>
      </c>
      <c r="AG167" s="1">
        <f t="shared" si="34"/>
        <v>0.11096106948354603</v>
      </c>
    </row>
    <row r="168" spans="2:33" ht="15" x14ac:dyDescent="0.25">
      <c r="B168" s="1">
        <v>157</v>
      </c>
      <c r="C168" s="1">
        <v>1.0001577972473683</v>
      </c>
      <c r="D168" s="1">
        <v>1.1140007627604431</v>
      </c>
      <c r="E168" s="1">
        <v>0.89711388049576113</v>
      </c>
      <c r="G168" s="1">
        <v>0.99892463775556228</v>
      </c>
      <c r="H168" s="1">
        <v>2.5423252277576003</v>
      </c>
      <c r="I168" s="1">
        <v>0.36432818784937976</v>
      </c>
      <c r="K168" s="1">
        <v>1.0002801978531055</v>
      </c>
      <c r="L168" s="1">
        <v>2.8661422520160489</v>
      </c>
      <c r="M168" s="1">
        <v>0.32087722739706454</v>
      </c>
      <c r="O168" s="1">
        <v>4.5425494554393424E-3</v>
      </c>
      <c r="P168" s="1">
        <v>0.94229990111576101</v>
      </c>
      <c r="R168" s="1">
        <v>0.12760713203822796</v>
      </c>
      <c r="S168" s="2">
        <f t="shared" si="36"/>
        <v>0.40223234570312227</v>
      </c>
      <c r="T168" s="4">
        <f t="shared" si="37"/>
        <v>0.16179085992983608</v>
      </c>
      <c r="U168" s="1">
        <f t="shared" si="28"/>
        <v>5.1350750213206009E-2</v>
      </c>
      <c r="V168" s="6">
        <f>2*sigma/alpha*corel*(B168/12-1/alpha*(1-EXP(-alpha*Output!B168/12)))</f>
        <v>0.36211076677730181</v>
      </c>
      <c r="W168" s="5">
        <f t="shared" si="38"/>
        <v>-0.11044010971663007</v>
      </c>
      <c r="X168" s="1">
        <f t="shared" si="39"/>
        <v>5.9108232825863531</v>
      </c>
      <c r="Y168" s="3">
        <f t="shared" si="29"/>
        <v>7.9074180005996891E-2</v>
      </c>
      <c r="Z168" s="1">
        <f t="shared" si="30"/>
        <v>0.11120332898255679</v>
      </c>
      <c r="AA168" s="8">
        <f t="shared" si="35"/>
        <v>13.000000000000023</v>
      </c>
      <c r="AB168" s="1">
        <v>13.08</v>
      </c>
      <c r="AC168" s="1">
        <v>4.5234620270000001E-3</v>
      </c>
      <c r="AD168" s="8">
        <f t="shared" si="31"/>
        <v>-0.19087428439342261</v>
      </c>
      <c r="AE168" s="3">
        <f t="shared" si="32"/>
        <v>-4.2196504193937516E-3</v>
      </c>
      <c r="AF168" s="11">
        <f t="shared" si="33"/>
        <v>13.000000000000023</v>
      </c>
      <c r="AG168" s="1">
        <f t="shared" si="34"/>
        <v>0.11120332898255679</v>
      </c>
    </row>
    <row r="169" spans="2:33" ht="15" x14ac:dyDescent="0.25">
      <c r="B169" s="1">
        <v>158</v>
      </c>
      <c r="C169" s="1">
        <v>1.000160738096596</v>
      </c>
      <c r="D169" s="1">
        <v>1.1187505166815745</v>
      </c>
      <c r="E169" s="1">
        <v>0.8933030438863212</v>
      </c>
      <c r="G169" s="1">
        <v>0.9990147278361774</v>
      </c>
      <c r="H169" s="1">
        <v>2.6392368647648561</v>
      </c>
      <c r="I169" s="1">
        <v>0.35077991152114318</v>
      </c>
      <c r="K169" s="1">
        <v>1.0002196839357795</v>
      </c>
      <c r="L169" s="1">
        <v>2.834362850191138</v>
      </c>
      <c r="M169" s="1">
        <v>0.32429278646947668</v>
      </c>
      <c r="O169" s="1">
        <v>4.5811341560576058E-3</v>
      </c>
      <c r="P169" s="1">
        <v>0.9414648492799621</v>
      </c>
      <c r="R169" s="1">
        <v>0.12785183224419969</v>
      </c>
      <c r="S169" s="2">
        <f t="shared" si="36"/>
        <v>0.40404428158581229</v>
      </c>
      <c r="T169" s="4">
        <f t="shared" si="37"/>
        <v>0.16325178148219519</v>
      </c>
      <c r="U169" s="1">
        <f t="shared" si="28"/>
        <v>5.2219641466717093E-2</v>
      </c>
      <c r="V169" s="6">
        <f>2*sigma/alpha*corel*(B169/12-1/alpha*(1-EXP(-alpha*Output!B169/12)))</f>
        <v>0.36636539554568603</v>
      </c>
      <c r="W169" s="5">
        <f t="shared" si="38"/>
        <v>-0.11103214001547809</v>
      </c>
      <c r="X169" s="1">
        <f t="shared" si="39"/>
        <v>5.981916310535194</v>
      </c>
      <c r="Y169" s="3">
        <f t="shared" si="29"/>
        <v>7.896570546924335E-2</v>
      </c>
      <c r="Z169" s="1">
        <f t="shared" si="30"/>
        <v>0.11135021095471886</v>
      </c>
      <c r="AA169" s="8">
        <f t="shared" si="35"/>
        <v>13.083333333333357</v>
      </c>
      <c r="AB169" s="1">
        <v>13.17</v>
      </c>
      <c r="AC169" s="1">
        <v>4.5616866070000003E-3</v>
      </c>
      <c r="AD169" s="8">
        <f t="shared" si="31"/>
        <v>-0.19447549057605498</v>
      </c>
      <c r="AE169" s="3">
        <f t="shared" si="32"/>
        <v>-4.2632365467112189E-3</v>
      </c>
      <c r="AF169" s="11">
        <f t="shared" si="33"/>
        <v>13.083333333333357</v>
      </c>
      <c r="AG169" s="1">
        <f t="shared" si="34"/>
        <v>0.11135021095471886</v>
      </c>
    </row>
    <row r="170" spans="2:33" ht="15" x14ac:dyDescent="0.25">
      <c r="B170" s="1">
        <v>159</v>
      </c>
      <c r="C170" s="1">
        <v>1.0001631449847554</v>
      </c>
      <c r="D170" s="1">
        <v>1.1206905501302851</v>
      </c>
      <c r="E170" s="1">
        <v>0.89175459437435067</v>
      </c>
      <c r="G170" s="1">
        <v>0.99904791881527855</v>
      </c>
      <c r="H170" s="1">
        <v>2.6796200574755411</v>
      </c>
      <c r="I170" s="1">
        <v>0.34532583779173492</v>
      </c>
      <c r="K170" s="1">
        <v>1.0002879512757847</v>
      </c>
      <c r="L170" s="1">
        <v>2.9540612775366215</v>
      </c>
      <c r="M170" s="1">
        <v>0.31098458424601894</v>
      </c>
      <c r="O170" s="1">
        <v>4.6203049120557673E-3</v>
      </c>
      <c r="P170" s="1">
        <v>0.94061718434186858</v>
      </c>
      <c r="R170" s="1">
        <v>0.12827180094963761</v>
      </c>
      <c r="S170" s="2">
        <f t="shared" si="36"/>
        <v>0.40634245268008307</v>
      </c>
      <c r="T170" s="4">
        <f t="shared" si="37"/>
        <v>0.16511418885006554</v>
      </c>
      <c r="U170" s="1">
        <f t="shared" si="28"/>
        <v>5.3096928424502643E-2</v>
      </c>
      <c r="V170" s="6">
        <f>2*sigma/alpha*corel*(B170/12-1/alpha*(1-EXP(-alpha*Output!B170/12)))</f>
        <v>0.37064053024485988</v>
      </c>
      <c r="W170" s="5">
        <f t="shared" si="38"/>
        <v>-0.1120172604255629</v>
      </c>
      <c r="X170" s="1">
        <f t="shared" si="39"/>
        <v>6.0742892052150248</v>
      </c>
      <c r="Y170" s="3">
        <f t="shared" si="29"/>
        <v>7.9017614427681529E-2</v>
      </c>
      <c r="Z170" s="1">
        <f t="shared" si="30"/>
        <v>0.11163085691285939</v>
      </c>
      <c r="AA170" s="8">
        <f t="shared" si="35"/>
        <v>13.166666666666691</v>
      </c>
      <c r="AB170" s="1">
        <v>13.25</v>
      </c>
      <c r="AC170" s="1">
        <v>4.6005134680000004E-3</v>
      </c>
      <c r="AD170" s="8">
        <f t="shared" si="31"/>
        <v>-0.19791444055766888</v>
      </c>
      <c r="AE170" s="3">
        <f t="shared" si="32"/>
        <v>-4.3020076331546754E-3</v>
      </c>
      <c r="AF170" s="11">
        <f t="shared" si="33"/>
        <v>13.166666666666691</v>
      </c>
      <c r="AG170" s="1">
        <f t="shared" si="34"/>
        <v>0.11163085691285939</v>
      </c>
    </row>
    <row r="171" spans="2:33" ht="15" x14ac:dyDescent="0.25">
      <c r="B171" s="1">
        <v>160</v>
      </c>
      <c r="C171" s="1">
        <v>1.0001648870412778</v>
      </c>
      <c r="D171" s="1">
        <v>1.1208337356428897</v>
      </c>
      <c r="E171" s="1">
        <v>0.89163863540144372</v>
      </c>
      <c r="G171" s="1">
        <v>0.99903761857009521</v>
      </c>
      <c r="H171" s="1">
        <v>2.6817053281508816</v>
      </c>
      <c r="I171" s="1">
        <v>0.34488988619207345</v>
      </c>
      <c r="K171" s="1">
        <v>1.0003763001116048</v>
      </c>
      <c r="L171" s="1">
        <v>2.9343572078873512</v>
      </c>
      <c r="M171" s="1">
        <v>0.31291118806713675</v>
      </c>
      <c r="O171" s="1">
        <v>4.6600107170941315E-3</v>
      </c>
      <c r="P171" s="1">
        <v>0.93975744314073073</v>
      </c>
      <c r="R171" s="1">
        <v>0.12873278180022027</v>
      </c>
      <c r="S171" s="2">
        <f t="shared" si="36"/>
        <v>0.40876881728840331</v>
      </c>
      <c r="T171" s="4">
        <f t="shared" si="37"/>
        <v>0.16709194598736005</v>
      </c>
      <c r="U171" s="1">
        <f t="shared" si="28"/>
        <v>5.3982623313579392E-2</v>
      </c>
      <c r="V171" s="6">
        <f>2*sigma/alpha*corel*(B171/12-1/alpha*(1-EXP(-alpha*Output!B171/12)))</f>
        <v>0.37493610263551624</v>
      </c>
      <c r="W171" s="5">
        <f t="shared" si="38"/>
        <v>-0.11310932267378065</v>
      </c>
      <c r="X171" s="1">
        <f t="shared" si="39"/>
        <v>6.1730742903278131</v>
      </c>
      <c r="Y171" s="3">
        <f t="shared" si="29"/>
        <v>7.9111167049302211E-2</v>
      </c>
      <c r="Z171" s="1">
        <f t="shared" si="30"/>
        <v>0.1119459510167831</v>
      </c>
      <c r="AA171" s="8">
        <f t="shared" si="35"/>
        <v>13.250000000000025</v>
      </c>
      <c r="AB171" s="1">
        <v>13.33</v>
      </c>
      <c r="AC171" s="1">
        <v>4.6399316000000001E-3</v>
      </c>
      <c r="AD171" s="8">
        <f t="shared" si="31"/>
        <v>-0.20079117094131371</v>
      </c>
      <c r="AE171" s="3">
        <f t="shared" si="32"/>
        <v>-4.3274597181845028E-3</v>
      </c>
      <c r="AF171" s="11">
        <f t="shared" si="33"/>
        <v>13.250000000000025</v>
      </c>
      <c r="AG171" s="1">
        <f t="shared" si="34"/>
        <v>0.1119459510167831</v>
      </c>
    </row>
    <row r="172" spans="2:33" ht="15" x14ac:dyDescent="0.25">
      <c r="B172" s="1">
        <v>161</v>
      </c>
      <c r="C172" s="1">
        <v>1.0001676640918995</v>
      </c>
      <c r="D172" s="1">
        <v>1.1195372742892187</v>
      </c>
      <c r="E172" s="1">
        <v>0.89266915117298273</v>
      </c>
      <c r="G172" s="1">
        <v>0.9991028369755095</v>
      </c>
      <c r="H172" s="1">
        <v>2.6532482338893519</v>
      </c>
      <c r="I172" s="1">
        <v>0.3484198251443385</v>
      </c>
      <c r="K172" s="1">
        <v>1.000341366084762</v>
      </c>
      <c r="L172" s="1">
        <v>2.9489553352160609</v>
      </c>
      <c r="M172" s="1">
        <v>0.31120071493621515</v>
      </c>
      <c r="O172" s="1">
        <v>4.7002984474519222E-3</v>
      </c>
      <c r="P172" s="1">
        <v>0.93888494412154366</v>
      </c>
      <c r="R172" s="1">
        <v>0.12896961801812507</v>
      </c>
      <c r="S172" s="2">
        <f t="shared" si="36"/>
        <v>0.41061581140993042</v>
      </c>
      <c r="T172" s="4">
        <f t="shared" si="37"/>
        <v>0.16860534457983556</v>
      </c>
      <c r="U172" s="1">
        <f t="shared" si="28"/>
        <v>5.4876738053391438E-2</v>
      </c>
      <c r="V172" s="6">
        <f>2*sigma/alpha*corel*(B172/12-1/alpha*(1-EXP(-alpha*Output!B172/12)))</f>
        <v>0.37925204470543217</v>
      </c>
      <c r="W172" s="5">
        <f t="shared" si="38"/>
        <v>-0.11372860652644412</v>
      </c>
      <c r="X172" s="1">
        <f t="shared" si="39"/>
        <v>6.2472673303324182</v>
      </c>
      <c r="Y172" s="3">
        <f t="shared" si="29"/>
        <v>7.9013715339433049E-2</v>
      </c>
      <c r="Z172" s="1">
        <f t="shared" si="30"/>
        <v>0.11210199811379704</v>
      </c>
      <c r="AA172" s="8">
        <f t="shared" si="35"/>
        <v>13.333333333333359</v>
      </c>
      <c r="AB172" s="1">
        <v>13.42</v>
      </c>
      <c r="AC172" s="1">
        <v>4.6799299950000001E-3</v>
      </c>
      <c r="AD172" s="8">
        <f t="shared" si="31"/>
        <v>-0.20368452451922059</v>
      </c>
      <c r="AE172" s="3">
        <f t="shared" si="32"/>
        <v>-4.3522985330300993E-3</v>
      </c>
      <c r="AF172" s="11">
        <f t="shared" si="33"/>
        <v>13.333333333333359</v>
      </c>
      <c r="AG172" s="1">
        <f t="shared" si="34"/>
        <v>0.11210199811379704</v>
      </c>
    </row>
    <row r="173" spans="2:33" ht="15" x14ac:dyDescent="0.25">
      <c r="B173" s="1">
        <v>162</v>
      </c>
      <c r="C173" s="1">
        <v>1.0001695965123605</v>
      </c>
      <c r="D173" s="1">
        <v>1.1195309495142598</v>
      </c>
      <c r="E173" s="1">
        <v>0.89267217169293822</v>
      </c>
      <c r="G173" s="1">
        <v>0.99910786100420845</v>
      </c>
      <c r="H173" s="1">
        <v>2.6536654059194587</v>
      </c>
      <c r="I173" s="1">
        <v>0.3481960309544142</v>
      </c>
      <c r="K173" s="1">
        <v>1.0001523478414795</v>
      </c>
      <c r="L173" s="1">
        <v>3.014103924880958</v>
      </c>
      <c r="M173" s="1">
        <v>0.30431562029794956</v>
      </c>
      <c r="O173" s="1">
        <v>4.7411241926746776E-3</v>
      </c>
      <c r="P173" s="1">
        <v>0.9380001438655774</v>
      </c>
      <c r="R173" s="1">
        <v>0.12921803350707597</v>
      </c>
      <c r="S173" s="2">
        <f t="shared" si="36"/>
        <v>0.41251196975669024</v>
      </c>
      <c r="T173" s="4">
        <f t="shared" si="37"/>
        <v>0.17016612519254454</v>
      </c>
      <c r="U173" s="1">
        <f t="shared" si="28"/>
        <v>5.5779284258609341E-2</v>
      </c>
      <c r="V173" s="6">
        <f>2*sigma/alpha*corel*(B173/12-1/alpha*(1-EXP(-alpha*Output!B173/12)))</f>
        <v>0.38358828866871764</v>
      </c>
      <c r="W173" s="5">
        <f t="shared" si="38"/>
        <v>-0.1143868409339352</v>
      </c>
      <c r="X173" s="1">
        <f t="shared" si="39"/>
        <v>6.3240293856362957</v>
      </c>
      <c r="Y173" s="3">
        <f t="shared" si="29"/>
        <v>7.8932370496484716E-2</v>
      </c>
      <c r="Z173" s="1">
        <f t="shared" si="30"/>
        <v>0.1122715376326997</v>
      </c>
      <c r="AA173" s="8">
        <f t="shared" si="35"/>
        <v>13.416666666666693</v>
      </c>
      <c r="AB173" s="1">
        <v>13.5</v>
      </c>
      <c r="AC173" s="1">
        <v>4.7204976459999997E-3</v>
      </c>
      <c r="AD173" s="8">
        <f t="shared" si="31"/>
        <v>-0.20626546674677898</v>
      </c>
      <c r="AE173" s="3">
        <f t="shared" si="32"/>
        <v>-4.369570376156459E-3</v>
      </c>
      <c r="AF173" s="11">
        <f t="shared" si="33"/>
        <v>13.416666666666693</v>
      </c>
      <c r="AG173" s="1">
        <f t="shared" si="34"/>
        <v>0.1122715376326997</v>
      </c>
    </row>
    <row r="174" spans="2:33" ht="15" x14ac:dyDescent="0.25">
      <c r="B174" s="1">
        <v>163</v>
      </c>
      <c r="C174" s="1">
        <v>1.0001718228770886</v>
      </c>
      <c r="D174" s="1">
        <v>1.1250653547530571</v>
      </c>
      <c r="E174" s="1">
        <v>0.8882789482591289</v>
      </c>
      <c r="G174" s="1">
        <v>0.9991249057843028</v>
      </c>
      <c r="H174" s="1">
        <v>2.7738493577028884</v>
      </c>
      <c r="I174" s="1">
        <v>0.33294795593589188</v>
      </c>
      <c r="K174" s="1">
        <v>1.0000807107172887</v>
      </c>
      <c r="L174" s="1">
        <v>3.0881238567080778</v>
      </c>
      <c r="M174" s="1">
        <v>0.29686195077222327</v>
      </c>
      <c r="O174" s="1">
        <v>4.782472015625483E-3</v>
      </c>
      <c r="P174" s="1">
        <v>0.93710315550849599</v>
      </c>
      <c r="R174" s="1">
        <v>0.12943534988139893</v>
      </c>
      <c r="S174" s="2">
        <f t="shared" si="36"/>
        <v>0.41434295377706287</v>
      </c>
      <c r="T174" s="4">
        <f t="shared" si="37"/>
        <v>0.17168008334470125</v>
      </c>
      <c r="U174" s="1">
        <f t="shared" si="28"/>
        <v>5.669027324190079E-2</v>
      </c>
      <c r="V174" s="6">
        <f>2*sigma/alpha*corel*(B174/12-1/alpha*(1-EXP(-alpha*Output!B174/12)))</f>
        <v>0.38794476696505686</v>
      </c>
      <c r="W174" s="5">
        <f t="shared" si="38"/>
        <v>-0.11498981010280046</v>
      </c>
      <c r="X174" s="1">
        <f t="shared" si="39"/>
        <v>6.3982808244677303</v>
      </c>
      <c r="Y174" s="3">
        <f t="shared" si="29"/>
        <v>7.8829603304897036E-2</v>
      </c>
      <c r="Z174" s="1">
        <f t="shared" si="30"/>
        <v>0.11242341633625177</v>
      </c>
      <c r="AA174" s="8">
        <f t="shared" si="35"/>
        <v>13.500000000000027</v>
      </c>
      <c r="AB174" s="1">
        <v>13.58</v>
      </c>
      <c r="AC174" s="1">
        <v>4.761623544E-3</v>
      </c>
      <c r="AD174" s="8">
        <f t="shared" si="31"/>
        <v>-0.20848471625482984</v>
      </c>
      <c r="AE174" s="3">
        <f t="shared" si="32"/>
        <v>-4.3784376133122931E-3</v>
      </c>
      <c r="AF174" s="11">
        <f t="shared" si="33"/>
        <v>13.500000000000027</v>
      </c>
      <c r="AG174" s="1">
        <f t="shared" si="34"/>
        <v>0.11242341633625177</v>
      </c>
    </row>
    <row r="175" spans="2:33" ht="15" x14ac:dyDescent="0.25">
      <c r="B175" s="1">
        <v>164</v>
      </c>
      <c r="C175" s="1">
        <v>1.0001773571623536</v>
      </c>
      <c r="D175" s="1">
        <v>1.1265706709859562</v>
      </c>
      <c r="E175" s="1">
        <v>0.88709004365777144</v>
      </c>
      <c r="G175" s="1">
        <v>0.99940533697712852</v>
      </c>
      <c r="H175" s="1">
        <v>2.8051979681679371</v>
      </c>
      <c r="I175" s="1">
        <v>0.32906747807052467</v>
      </c>
      <c r="K175" s="1">
        <v>1.0000897785270728</v>
      </c>
      <c r="L175" s="1">
        <v>3.1511872926381583</v>
      </c>
      <c r="M175" s="1">
        <v>0.29076771702536902</v>
      </c>
      <c r="O175" s="1">
        <v>4.8243843019754257E-3</v>
      </c>
      <c r="P175" s="1">
        <v>0.9361933511210706</v>
      </c>
      <c r="R175" s="1">
        <v>0.12964741855991574</v>
      </c>
      <c r="S175" s="2">
        <f t="shared" si="36"/>
        <v>0.41617874591067638</v>
      </c>
      <c r="T175" s="4">
        <f t="shared" si="37"/>
        <v>0.17320474854778334</v>
      </c>
      <c r="U175" s="1">
        <f t="shared" si="28"/>
        <v>5.7609716016691959E-2</v>
      </c>
      <c r="V175" s="6">
        <f>2*sigma/alpha*corel*(B175/12-1/alpha*(1-EXP(-alpha*Output!B175/12)))</f>
        <v>0.39232141225896133</v>
      </c>
      <c r="W175" s="5">
        <f t="shared" si="38"/>
        <v>-0.11559503253109138</v>
      </c>
      <c r="X175" s="1">
        <f t="shared" si="39"/>
        <v>6.4731112022165282</v>
      </c>
      <c r="Y175" s="3">
        <f t="shared" si="29"/>
        <v>7.8728398263476454E-2</v>
      </c>
      <c r="Z175" s="1">
        <f t="shared" si="30"/>
        <v>0.11257672133448891</v>
      </c>
      <c r="AA175" s="8">
        <f t="shared" si="35"/>
        <v>13.583333333333361</v>
      </c>
      <c r="AB175" s="1">
        <v>13.67</v>
      </c>
      <c r="AC175" s="1">
        <v>4.8032966840000002E-3</v>
      </c>
      <c r="AD175" s="8">
        <f t="shared" si="31"/>
        <v>-0.21087617975425535</v>
      </c>
      <c r="AE175" s="3">
        <f t="shared" si="32"/>
        <v>-4.3902384888423298E-3</v>
      </c>
      <c r="AF175" s="11">
        <f t="shared" si="33"/>
        <v>13.583333333333361</v>
      </c>
      <c r="AG175" s="1">
        <f t="shared" si="34"/>
        <v>0.11257672133448891</v>
      </c>
    </row>
    <row r="176" spans="2:33" ht="15" x14ac:dyDescent="0.25">
      <c r="B176" s="1">
        <v>165</v>
      </c>
      <c r="C176" s="1">
        <v>1.0001775399891877</v>
      </c>
      <c r="D176" s="1">
        <v>1.1272611780922208</v>
      </c>
      <c r="E176" s="1">
        <v>0.88654467175909146</v>
      </c>
      <c r="G176" s="1">
        <v>0.99925870718232213</v>
      </c>
      <c r="H176" s="1">
        <v>2.8166659493360076</v>
      </c>
      <c r="I176" s="1">
        <v>0.32756869989482018</v>
      </c>
      <c r="K176" s="1">
        <v>1.0000875997634147</v>
      </c>
      <c r="L176" s="1">
        <v>3.1058251250684989</v>
      </c>
      <c r="M176" s="1">
        <v>0.29485250645956795</v>
      </c>
      <c r="O176" s="1">
        <v>4.8668291186981048E-3</v>
      </c>
      <c r="P176" s="1">
        <v>0.93527104838580966</v>
      </c>
      <c r="R176" s="1">
        <v>0.12995607279830371</v>
      </c>
      <c r="S176" s="2">
        <f t="shared" si="36"/>
        <v>0.41829215351649629</v>
      </c>
      <c r="T176" s="4">
        <f t="shared" si="37"/>
        <v>0.1749683256934681</v>
      </c>
      <c r="U176" s="1">
        <f t="shared" si="28"/>
        <v>5.8537623299896424E-2</v>
      </c>
      <c r="V176" s="6">
        <f>2*sigma/alpha*corel*(B176/12-1/alpha*(1-EXP(-alpha*Output!B176/12)))</f>
        <v>0.39671815743902084</v>
      </c>
      <c r="W176" s="5">
        <f t="shared" si="38"/>
        <v>-0.11643070239357167</v>
      </c>
      <c r="X176" s="1">
        <f t="shared" si="39"/>
        <v>6.5610739280882546</v>
      </c>
      <c r="Y176" s="3">
        <f t="shared" si="29"/>
        <v>7.8717861025141944E-2</v>
      </c>
      <c r="Z176" s="1">
        <f t="shared" si="30"/>
        <v>0.11280500494811006</v>
      </c>
      <c r="AA176" s="8">
        <f t="shared" si="35"/>
        <v>13.666666666666694</v>
      </c>
      <c r="AB176" s="1">
        <v>13.75</v>
      </c>
      <c r="AC176" s="1">
        <v>4.8455060810000004E-3</v>
      </c>
      <c r="AD176" s="8">
        <f t="shared" si="31"/>
        <v>-0.21323037698104363</v>
      </c>
      <c r="AE176" s="3">
        <f t="shared" si="32"/>
        <v>-4.4005801131310899E-3</v>
      </c>
      <c r="AF176" s="11">
        <f t="shared" si="33"/>
        <v>13.666666666666694</v>
      </c>
      <c r="AG176" s="1">
        <f t="shared" si="34"/>
        <v>0.11280500494811006</v>
      </c>
    </row>
    <row r="177" spans="2:33" ht="15" x14ac:dyDescent="0.25">
      <c r="B177" s="1">
        <v>166</v>
      </c>
      <c r="C177" s="1">
        <v>1.0001778459907695</v>
      </c>
      <c r="D177" s="1">
        <v>1.1269352268719635</v>
      </c>
      <c r="E177" s="1">
        <v>0.88679911848306703</v>
      </c>
      <c r="G177" s="1">
        <v>0.99913564951654732</v>
      </c>
      <c r="H177" s="1">
        <v>2.8106740952224092</v>
      </c>
      <c r="I177" s="1">
        <v>0.32810777359067239</v>
      </c>
      <c r="K177" s="1">
        <v>1.0002677645223546</v>
      </c>
      <c r="L177" s="1">
        <v>3.1375392746052611</v>
      </c>
      <c r="M177" s="1">
        <v>0.29172424211753795</v>
      </c>
      <c r="O177" s="1">
        <v>4.9098492743672156E-3</v>
      </c>
      <c r="P177" s="1">
        <v>0.93433560830389084</v>
      </c>
      <c r="R177" s="1">
        <v>0.1304895966569041</v>
      </c>
      <c r="S177" s="2">
        <f t="shared" si="36"/>
        <v>0.42102943823412586</v>
      </c>
      <c r="T177" s="4">
        <f t="shared" si="37"/>
        <v>0.17726578785974362</v>
      </c>
      <c r="U177" s="1">
        <f t="shared" si="28"/>
        <v>5.9474005514629447E-2</v>
      </c>
      <c r="V177" s="6">
        <f>2*sigma/alpha*corel*(B177/12-1/alpha*(1-EXP(-alpha*Output!B177/12)))</f>
        <v>0.40113493561715652</v>
      </c>
      <c r="W177" s="5">
        <f t="shared" si="38"/>
        <v>-0.11779178234511417</v>
      </c>
      <c r="X177" s="1">
        <f t="shared" si="39"/>
        <v>6.6787211930022314</v>
      </c>
      <c r="Y177" s="3">
        <f t="shared" si="29"/>
        <v>7.8910382767388959E-2</v>
      </c>
      <c r="Z177" s="1">
        <f t="shared" si="30"/>
        <v>0.11320068154880515</v>
      </c>
      <c r="AA177" s="8">
        <f t="shared" si="35"/>
        <v>13.750000000000028</v>
      </c>
      <c r="AB177" s="1">
        <v>13.83</v>
      </c>
      <c r="AC177" s="1">
        <v>4.8882407510000003E-3</v>
      </c>
      <c r="AD177" s="8">
        <f t="shared" si="31"/>
        <v>-0.21608523367215235</v>
      </c>
      <c r="AE177" s="3">
        <f t="shared" si="32"/>
        <v>-4.4205112775582344E-3</v>
      </c>
      <c r="AF177" s="11">
        <f t="shared" si="33"/>
        <v>13.750000000000028</v>
      </c>
      <c r="AG177" s="1">
        <f t="shared" si="34"/>
        <v>0.11320068154880515</v>
      </c>
    </row>
    <row r="178" spans="2:33" ht="15" x14ac:dyDescent="0.25">
      <c r="B178" s="1">
        <v>167</v>
      </c>
      <c r="C178" s="1">
        <v>1.0001802195415264</v>
      </c>
      <c r="D178" s="1">
        <v>1.1279594097698671</v>
      </c>
      <c r="E178" s="1">
        <v>0.88599194399989589</v>
      </c>
      <c r="G178" s="1">
        <v>0.99916536257680288</v>
      </c>
      <c r="H178" s="1">
        <v>2.8334960559173163</v>
      </c>
      <c r="I178" s="1">
        <v>0.32530720100938543</v>
      </c>
      <c r="K178" s="1">
        <v>1.0001945913968062</v>
      </c>
      <c r="L178" s="1">
        <v>3.100224793169017</v>
      </c>
      <c r="M178" s="1">
        <v>0.29507541684022504</v>
      </c>
      <c r="O178" s="1">
        <v>4.9533602627854067E-3</v>
      </c>
      <c r="P178" s="1">
        <v>0.93338803557750516</v>
      </c>
      <c r="R178" s="1">
        <v>0.13095077584324888</v>
      </c>
      <c r="S178" s="2">
        <f t="shared" si="36"/>
        <v>0.42359194508669695</v>
      </c>
      <c r="T178" s="4">
        <f t="shared" si="37"/>
        <v>0.17943013594233129</v>
      </c>
      <c r="U178" s="1">
        <f t="shared" si="28"/>
        <v>6.0418872792903144E-2</v>
      </c>
      <c r="V178" s="6">
        <f>2*sigma/alpha*corel*(B178/12-1/alpha*(1-EXP(-alpha*Output!B178/12)))</f>
        <v>0.40557168012787836</v>
      </c>
      <c r="W178" s="5">
        <f t="shared" si="38"/>
        <v>-0.11901126314942814</v>
      </c>
      <c r="X178" s="1">
        <f t="shared" si="39"/>
        <v>6.7894487030399171</v>
      </c>
      <c r="Y178" s="3">
        <f t="shared" si="29"/>
        <v>7.904498363015855E-2</v>
      </c>
      <c r="Z178" s="1">
        <f t="shared" si="30"/>
        <v>0.11354815463496463</v>
      </c>
      <c r="AA178" s="8">
        <f t="shared" si="35"/>
        <v>13.833333333333362</v>
      </c>
      <c r="AB178" s="1">
        <v>13.92</v>
      </c>
      <c r="AC178" s="1">
        <v>4.9314897119999996E-3</v>
      </c>
      <c r="AD178" s="8">
        <f t="shared" si="31"/>
        <v>-0.21870550785407089</v>
      </c>
      <c r="AE178" s="3">
        <f t="shared" si="32"/>
        <v>-4.4348770985344578E-3</v>
      </c>
      <c r="AF178" s="11">
        <f t="shared" si="33"/>
        <v>13.833333333333362</v>
      </c>
      <c r="AG178" s="1">
        <f t="shared" si="34"/>
        <v>0.11354815463496463</v>
      </c>
    </row>
    <row r="179" spans="2:33" ht="15" x14ac:dyDescent="0.25">
      <c r="B179" s="1">
        <v>168</v>
      </c>
      <c r="C179" s="1">
        <v>1.0001847414687521</v>
      </c>
      <c r="D179" s="1">
        <v>1.1276287503920912</v>
      </c>
      <c r="E179" s="1">
        <v>0.88624979067101239</v>
      </c>
      <c r="G179" s="1">
        <v>0.999362858843166</v>
      </c>
      <c r="H179" s="1">
        <v>2.8243064193766556</v>
      </c>
      <c r="I179" s="1">
        <v>0.32620736553073915</v>
      </c>
      <c r="K179" s="1">
        <v>1.0000036814307121</v>
      </c>
      <c r="L179" s="1">
        <v>3.1783230589951619</v>
      </c>
      <c r="M179" s="1">
        <v>0.28766508964074317</v>
      </c>
      <c r="O179" s="1">
        <v>4.997399380548404E-3</v>
      </c>
      <c r="P179" s="1">
        <v>0.93242776774500669</v>
      </c>
      <c r="R179" s="1">
        <v>0.13103813458559088</v>
      </c>
      <c r="S179" s="2">
        <f t="shared" si="36"/>
        <v>0.42516854247509273</v>
      </c>
      <c r="T179" s="4">
        <f t="shared" si="37"/>
        <v>0.18076828951039473</v>
      </c>
      <c r="U179" s="1">
        <f t="shared" si="28"/>
        <v>6.1372234978296802E-2</v>
      </c>
      <c r="V179" s="6">
        <f>2*sigma/alpha*corel*(B179/12-1/alpha*(1-EXP(-alpha*Output!B179/12)))</f>
        <v>0.41002832452754645</v>
      </c>
      <c r="W179" s="5">
        <f t="shared" si="38"/>
        <v>-0.11939605453209792</v>
      </c>
      <c r="X179" s="1">
        <f t="shared" si="39"/>
        <v>6.8543022807123508</v>
      </c>
      <c r="Y179" s="3">
        <f t="shared" si="29"/>
        <v>7.8858711450035202E-2</v>
      </c>
      <c r="Z179" s="1">
        <f t="shared" si="30"/>
        <v>0.11363107268398864</v>
      </c>
      <c r="AA179" s="8">
        <f t="shared" si="35"/>
        <v>13.916666666666696</v>
      </c>
      <c r="AB179" s="1">
        <v>14</v>
      </c>
      <c r="AC179" s="1">
        <v>4.975241981E-3</v>
      </c>
      <c r="AD179" s="8">
        <f t="shared" si="31"/>
        <v>-0.22157399548403989</v>
      </c>
      <c r="AE179" s="3">
        <f t="shared" si="32"/>
        <v>-4.4535320358328493E-3</v>
      </c>
      <c r="AF179" s="11">
        <f t="shared" si="33"/>
        <v>13.916666666666696</v>
      </c>
      <c r="AG179" s="1">
        <f t="shared" si="34"/>
        <v>0.11363107268398864</v>
      </c>
    </row>
    <row r="180" spans="2:33" ht="15" x14ac:dyDescent="0.25">
      <c r="B180" s="1">
        <v>169</v>
      </c>
      <c r="C180" s="1">
        <v>1.0001888038367297</v>
      </c>
      <c r="D180" s="1">
        <v>1.1237773906640156</v>
      </c>
      <c r="E180" s="1">
        <v>0.88928515123893059</v>
      </c>
      <c r="G180" s="1">
        <v>0.99953070189411408</v>
      </c>
      <c r="H180" s="1">
        <v>2.7401881792054046</v>
      </c>
      <c r="I180" s="1">
        <v>0.336058188525242</v>
      </c>
      <c r="K180" s="1">
        <v>0.99990587098319728</v>
      </c>
      <c r="L180" s="1">
        <v>3.2185776855876251</v>
      </c>
      <c r="M180" s="1">
        <v>0.28390937286265328</v>
      </c>
      <c r="O180" s="1">
        <v>5.0419625571445541E-3</v>
      </c>
      <c r="P180" s="1">
        <v>0.93145477639467067</v>
      </c>
      <c r="R180" s="1">
        <v>0.13115277862566069</v>
      </c>
      <c r="S180" s="2">
        <f t="shared" si="36"/>
        <v>0.42683692190103439</v>
      </c>
      <c r="T180" s="4">
        <f t="shared" si="37"/>
        <v>0.18218975789794972</v>
      </c>
      <c r="U180" s="1">
        <f t="shared" si="28"/>
        <v>6.2334101628609861E-2</v>
      </c>
      <c r="V180" s="6">
        <f>2*sigma/alpha*corel*(B180/12-1/alpha*(1-EXP(-alpha*Output!B180/12)))</f>
        <v>0.41450480259362932</v>
      </c>
      <c r="W180" s="5">
        <f t="shared" si="38"/>
        <v>-0.11985565626933986</v>
      </c>
      <c r="X180" s="1">
        <f t="shared" si="39"/>
        <v>6.9236828678793287</v>
      </c>
      <c r="Y180" s="3">
        <f t="shared" si="29"/>
        <v>7.8702404735033302E-2</v>
      </c>
      <c r="Z180" s="1">
        <f t="shared" si="30"/>
        <v>0.11373895927367698</v>
      </c>
      <c r="AA180" s="8">
        <f t="shared" si="35"/>
        <v>14.00000000000003</v>
      </c>
      <c r="AB180" s="1">
        <v>14.08</v>
      </c>
      <c r="AC180" s="1">
        <v>5.0194865769999999E-3</v>
      </c>
      <c r="AD180" s="8">
        <f t="shared" si="31"/>
        <v>-0.22475980144554158</v>
      </c>
      <c r="AE180" s="3">
        <f t="shared" si="32"/>
        <v>-4.4777448449692626E-3</v>
      </c>
      <c r="AF180" s="11">
        <f t="shared" si="33"/>
        <v>14.00000000000003</v>
      </c>
      <c r="AG180" s="1">
        <f t="shared" si="34"/>
        <v>0.11373895927367698</v>
      </c>
    </row>
    <row r="181" spans="2:33" ht="15" x14ac:dyDescent="0.25">
      <c r="B181" s="1">
        <v>170</v>
      </c>
      <c r="C181" s="1">
        <v>1.0001905301594889</v>
      </c>
      <c r="D181" s="1">
        <v>1.1242234522927421</v>
      </c>
      <c r="E181" s="1">
        <v>0.88893036048309049</v>
      </c>
      <c r="G181" s="1">
        <v>0.99950008535486101</v>
      </c>
      <c r="H181" s="1">
        <v>2.7494699303204335</v>
      </c>
      <c r="I181" s="1">
        <v>0.3347612637364033</v>
      </c>
      <c r="K181" s="1">
        <v>0.99985852574315626</v>
      </c>
      <c r="L181" s="1">
        <v>3.2711989829925598</v>
      </c>
      <c r="M181" s="1">
        <v>0.279197867118888</v>
      </c>
      <c r="O181" s="1">
        <v>5.0867886744070979E-3</v>
      </c>
      <c r="P181" s="1">
        <v>0.93047242350184234</v>
      </c>
      <c r="R181" s="1">
        <v>0.13143853836552022</v>
      </c>
      <c r="S181" s="2">
        <f t="shared" si="36"/>
        <v>0.42898051808302917</v>
      </c>
      <c r="T181" s="4">
        <f t="shared" si="37"/>
        <v>0.18402428489478412</v>
      </c>
      <c r="U181" s="1">
        <f t="shared" si="28"/>
        <v>6.3304482018494479E-2</v>
      </c>
      <c r="V181" s="6">
        <f>2*sigma/alpha*corel*(B181/12-1/alpha*(1-EXP(-alpha*Output!B181/12)))</f>
        <v>0.41900104832397034</v>
      </c>
      <c r="W181" s="5">
        <f t="shared" si="38"/>
        <v>-0.12071980287628964</v>
      </c>
      <c r="X181" s="1">
        <f t="shared" si="39"/>
        <v>7.0163507081529994</v>
      </c>
      <c r="Y181" s="3">
        <f t="shared" si="29"/>
        <v>7.8700180723289895E-2</v>
      </c>
      <c r="Z181" s="1">
        <f t="shared" si="30"/>
        <v>0.1139734597263098</v>
      </c>
      <c r="AA181" s="8">
        <f t="shared" si="35"/>
        <v>14.083333333333364</v>
      </c>
      <c r="AB181" s="1">
        <v>14.17</v>
      </c>
      <c r="AC181" s="1">
        <v>5.0641743779999996E-3</v>
      </c>
      <c r="AD181" s="8">
        <f t="shared" si="31"/>
        <v>-0.22614296407098311</v>
      </c>
      <c r="AE181" s="3">
        <f t="shared" si="32"/>
        <v>-4.4655445723473294E-3</v>
      </c>
      <c r="AF181" s="11">
        <f t="shared" si="33"/>
        <v>14.083333333333364</v>
      </c>
      <c r="AG181" s="1">
        <f t="shared" si="34"/>
        <v>0.1139734597263098</v>
      </c>
    </row>
    <row r="182" spans="2:33" ht="15" x14ac:dyDescent="0.25">
      <c r="B182" s="1">
        <v>171</v>
      </c>
      <c r="C182" s="1">
        <v>1.0001912120976018</v>
      </c>
      <c r="D182" s="1">
        <v>1.1250834960325788</v>
      </c>
      <c r="E182" s="1">
        <v>0.88824890172667692</v>
      </c>
      <c r="G182" s="1">
        <v>0.99939718989633242</v>
      </c>
      <c r="H182" s="1">
        <v>2.7670008643676356</v>
      </c>
      <c r="I182" s="1">
        <v>0.3324789762409876</v>
      </c>
      <c r="K182" s="1">
        <v>0.99987148239253032</v>
      </c>
      <c r="L182" s="1">
        <v>3.1985575144124287</v>
      </c>
      <c r="M182" s="1">
        <v>0.28538405154972629</v>
      </c>
      <c r="O182" s="1">
        <v>5.1316131509822459E-3</v>
      </c>
      <c r="P182" s="1">
        <v>0.92948418415215017</v>
      </c>
      <c r="R182" s="1">
        <v>0.13179874084547283</v>
      </c>
      <c r="S182" s="2">
        <f t="shared" si="36"/>
        <v>0.43133495002505462</v>
      </c>
      <c r="T182" s="4">
        <f t="shared" si="37"/>
        <v>0.18604983911311637</v>
      </c>
      <c r="U182" s="1">
        <f t="shared" si="28"/>
        <v>6.4283385142065885E-2</v>
      </c>
      <c r="V182" s="6">
        <f>2*sigma/alpha*corel*(B182/12-1/alpha*(1-EXP(-alpha*Output!B182/12)))</f>
        <v>0.42351699593605341</v>
      </c>
      <c r="W182" s="5">
        <f t="shared" si="38"/>
        <v>-0.12176645397105049</v>
      </c>
      <c r="X182" s="1">
        <f t="shared" si="39"/>
        <v>7.1200545221965763</v>
      </c>
      <c r="Y182" s="3">
        <f t="shared" si="29"/>
        <v>7.8765825733269373E-2</v>
      </c>
      <c r="Z182" s="1">
        <f t="shared" si="30"/>
        <v>0.1142634196082437</v>
      </c>
      <c r="AA182" s="8">
        <f t="shared" si="35"/>
        <v>14.166666666666698</v>
      </c>
      <c r="AB182" s="1">
        <v>14.25</v>
      </c>
      <c r="AC182" s="1">
        <v>5.109103714E-3</v>
      </c>
      <c r="AD182" s="8">
        <f t="shared" si="31"/>
        <v>-0.22509436982245945</v>
      </c>
      <c r="AE182" s="3">
        <f t="shared" si="32"/>
        <v>-4.4057506447883286E-3</v>
      </c>
      <c r="AF182" s="11">
        <f t="shared" si="33"/>
        <v>14.166666666666698</v>
      </c>
      <c r="AG182" s="1">
        <f t="shared" si="34"/>
        <v>0.1142634196082437</v>
      </c>
    </row>
    <row r="183" spans="2:33" ht="15" x14ac:dyDescent="0.25">
      <c r="B183" s="1">
        <v>172</v>
      </c>
      <c r="C183" s="1">
        <v>1.0001899954141922</v>
      </c>
      <c r="D183" s="1">
        <v>1.127656166857427</v>
      </c>
      <c r="E183" s="1">
        <v>0.88622049746738307</v>
      </c>
      <c r="G183" s="1">
        <v>0.99914598647645148</v>
      </c>
      <c r="H183" s="1">
        <v>2.8237122130180592</v>
      </c>
      <c r="I183" s="1">
        <v>0.32564346650448162</v>
      </c>
      <c r="K183" s="1">
        <v>0.99996644795104617</v>
      </c>
      <c r="L183" s="1">
        <v>3.2821097144361238</v>
      </c>
      <c r="M183" s="1">
        <v>0.27797145054029987</v>
      </c>
      <c r="O183" s="1">
        <v>5.1762340271987433E-3</v>
      </c>
      <c r="P183" s="1">
        <v>0.92849276744603082</v>
      </c>
      <c r="R183" s="1">
        <v>0.132132318041432</v>
      </c>
      <c r="S183" s="2">
        <f t="shared" si="36"/>
        <v>0.43362395813337828</v>
      </c>
      <c r="T183" s="4">
        <f t="shared" si="37"/>
        <v>0.18802973706725781</v>
      </c>
      <c r="U183" s="1">
        <f t="shared" si="28"/>
        <v>6.5270819715498973E-2</v>
      </c>
      <c r="V183" s="6">
        <f>2*sigma/alpha*corel*(B183/12-1/alpha*(1-EXP(-alpha*Output!B183/12)))</f>
        <v>0.42805257986627332</v>
      </c>
      <c r="W183" s="5">
        <f t="shared" si="38"/>
        <v>-0.12275891735175884</v>
      </c>
      <c r="X183" s="1">
        <f t="shared" si="39"/>
        <v>7.2214069392976787</v>
      </c>
      <c r="Y183" s="3">
        <f t="shared" si="29"/>
        <v>7.8809824890133884E-2</v>
      </c>
      <c r="Z183" s="1">
        <f t="shared" si="30"/>
        <v>0.11453538208291118</v>
      </c>
      <c r="AA183" s="8">
        <f t="shared" si="35"/>
        <v>14.250000000000032</v>
      </c>
      <c r="AB183" s="1">
        <v>14.33</v>
      </c>
      <c r="AC183" s="1">
        <v>5.154034775E-3</v>
      </c>
      <c r="AD183" s="8">
        <f t="shared" si="31"/>
        <v>-0.22199252198743316</v>
      </c>
      <c r="AE183" s="3">
        <f t="shared" si="32"/>
        <v>-4.3071599567822702E-3</v>
      </c>
      <c r="AF183" s="11">
        <f t="shared" si="33"/>
        <v>14.250000000000032</v>
      </c>
      <c r="AG183" s="1">
        <f t="shared" si="34"/>
        <v>0.11453538208291118</v>
      </c>
    </row>
    <row r="184" spans="2:33" ht="15" x14ac:dyDescent="0.25">
      <c r="B184" s="1">
        <v>173</v>
      </c>
      <c r="C184" s="1">
        <v>1.0001903249688133</v>
      </c>
      <c r="D184" s="1">
        <v>1.1282172157207284</v>
      </c>
      <c r="E184" s="1">
        <v>0.88577787458005808</v>
      </c>
      <c r="G184" s="1">
        <v>0.999016128198986</v>
      </c>
      <c r="H184" s="1">
        <v>2.83503543156078</v>
      </c>
      <c r="I184" s="1">
        <v>0.32418553743736428</v>
      </c>
      <c r="K184" s="1">
        <v>0.99995978501442417</v>
      </c>
      <c r="L184" s="1">
        <v>3.1526003388321202</v>
      </c>
      <c r="M184" s="1">
        <v>0.28923332930790491</v>
      </c>
      <c r="O184" s="1">
        <v>5.2203579458535709E-3</v>
      </c>
      <c r="P184" s="1">
        <v>0.92750215561869553</v>
      </c>
      <c r="R184" s="1">
        <v>0.1325167262848998</v>
      </c>
      <c r="S184" s="2">
        <f t="shared" si="36"/>
        <v>0.43605131315389556</v>
      </c>
      <c r="T184" s="4">
        <f t="shared" si="37"/>
        <v>0.19014074770323669</v>
      </c>
      <c r="U184" s="1">
        <f t="shared" si="28"/>
        <v>6.6266794179596911E-2</v>
      </c>
      <c r="V184" s="6">
        <f>2*sigma/alpha*corel*(B184/12-1/alpha*(1-EXP(-alpha*Output!B184/12)))</f>
        <v>0.43260773476920567</v>
      </c>
      <c r="W184" s="5">
        <f t="shared" si="38"/>
        <v>-0.12387395352363978</v>
      </c>
      <c r="X184" s="1">
        <f t="shared" si="39"/>
        <v>7.3305474387120375</v>
      </c>
      <c r="Y184" s="3">
        <f t="shared" si="29"/>
        <v>7.8897941203363436E-2</v>
      </c>
      <c r="Z184" s="1">
        <f t="shared" si="30"/>
        <v>0.11484316957447828</v>
      </c>
      <c r="AA184" s="8">
        <f t="shared" si="35"/>
        <v>14.333333333333366</v>
      </c>
      <c r="AB184" s="1">
        <v>14.42</v>
      </c>
      <c r="AC184" s="1">
        <v>5.1987277530000002E-3</v>
      </c>
      <c r="AD184" s="8">
        <f t="shared" si="31"/>
        <v>-0.21630192853570701</v>
      </c>
      <c r="AE184" s="3">
        <f t="shared" si="32"/>
        <v>-4.1606704334707064E-3</v>
      </c>
      <c r="AF184" s="11">
        <f t="shared" si="33"/>
        <v>14.333333333333366</v>
      </c>
      <c r="AG184" s="1">
        <f t="shared" si="34"/>
        <v>0.11484316957447828</v>
      </c>
    </row>
    <row r="185" spans="2:33" ht="15" x14ac:dyDescent="0.25">
      <c r="B185" s="1">
        <v>174</v>
      </c>
      <c r="C185" s="1">
        <v>1.0001945139300614</v>
      </c>
      <c r="D185" s="1">
        <v>1.1268421598512282</v>
      </c>
      <c r="E185" s="1">
        <v>0.88685685525446323</v>
      </c>
      <c r="G185" s="1">
        <v>0.99918746655405632</v>
      </c>
      <c r="H185" s="1">
        <v>2.8025792917737378</v>
      </c>
      <c r="I185" s="1">
        <v>0.32778083094221694</v>
      </c>
      <c r="K185" s="1">
        <v>0.99988053039951608</v>
      </c>
      <c r="L185" s="1">
        <v>3.2780312517416341</v>
      </c>
      <c r="M185" s="1">
        <v>0.27802881604229185</v>
      </c>
      <c r="O185" s="1">
        <v>5.2638106181989806E-3</v>
      </c>
      <c r="P185" s="1">
        <v>0.92651480493309968</v>
      </c>
      <c r="R185" s="1">
        <v>0.13264557005828856</v>
      </c>
      <c r="S185" s="2">
        <f t="shared" si="36"/>
        <v>0.43778425518478237</v>
      </c>
      <c r="T185" s="4">
        <f t="shared" si="37"/>
        <v>0.19165505408769465</v>
      </c>
      <c r="U185" s="1">
        <f t="shared" ref="U185:U248" si="40">sigma*sigma/alpha/alpha*(B185/12+2/alpha*EXP(-alpha*B185/12)-1/2/alpha*EXP(-2*alpha*B185/12)-3/2/alpha)</f>
        <v>6.7271316702345985E-2</v>
      </c>
      <c r="V185" s="6">
        <f>2*sigma/alpha*corel*(B185/12-1/alpha*(1-EXP(-alpha*Output!B185/12)))</f>
        <v>0.43718239551688143</v>
      </c>
      <c r="W185" s="5">
        <f t="shared" si="38"/>
        <v>-0.12438373738534866</v>
      </c>
      <c r="X185" s="1">
        <f t="shared" si="39"/>
        <v>7.4053852153001012</v>
      </c>
      <c r="Y185" s="3">
        <f t="shared" si="29"/>
        <v>7.8762115464564131E-2</v>
      </c>
      <c r="Z185" s="1">
        <f t="shared" si="30"/>
        <v>0.11496777782092854</v>
      </c>
      <c r="AA185" s="8">
        <f t="shared" si="35"/>
        <v>14.4166666666667</v>
      </c>
      <c r="AB185" s="1">
        <v>14.5</v>
      </c>
      <c r="AC185" s="1">
        <v>5.2429428390000001E-3</v>
      </c>
      <c r="AD185" s="8">
        <f t="shared" si="31"/>
        <v>-0.20867779198980446</v>
      </c>
      <c r="AE185" s="3">
        <f t="shared" si="32"/>
        <v>-3.9801653078790026E-3</v>
      </c>
      <c r="AF185" s="11">
        <f t="shared" si="33"/>
        <v>14.4166666666667</v>
      </c>
      <c r="AG185" s="1">
        <f t="shared" si="34"/>
        <v>0.11496777782092854</v>
      </c>
    </row>
    <row r="186" spans="2:33" ht="15" x14ac:dyDescent="0.25">
      <c r="B186" s="1">
        <v>175</v>
      </c>
      <c r="C186" s="1">
        <v>1.0001998634544846</v>
      </c>
      <c r="D186" s="1">
        <v>1.1267722207921917</v>
      </c>
      <c r="E186" s="1">
        <v>0.8869099993730778</v>
      </c>
      <c r="G186" s="1">
        <v>0.99946223802735346</v>
      </c>
      <c r="H186" s="1">
        <v>2.8004260907150784</v>
      </c>
      <c r="I186" s="1">
        <v>0.32787377902381559</v>
      </c>
      <c r="K186" s="1">
        <v>0.99995728283683272</v>
      </c>
      <c r="L186" s="1">
        <v>3.3247182877360264</v>
      </c>
      <c r="M186" s="1">
        <v>0.27397989659577132</v>
      </c>
      <c r="O186" s="1">
        <v>5.3062956164114869E-3</v>
      </c>
      <c r="P186" s="1">
        <v>0.92553486352830849</v>
      </c>
      <c r="R186" s="1">
        <v>0.1329679818635589</v>
      </c>
      <c r="S186" s="2">
        <f t="shared" si="36"/>
        <v>0.44003239491862656</v>
      </c>
      <c r="T186" s="4">
        <f t="shared" si="37"/>
        <v>0.19362850857782213</v>
      </c>
      <c r="U186" s="1">
        <f t="shared" si="40"/>
        <v>6.8284395181450908E-2</v>
      </c>
      <c r="V186" s="6">
        <f>2*sigma/alpha*corel*(B186/12-1/alpha*(1-EXP(-alpha*Output!B186/12)))</f>
        <v>0.441776497198064</v>
      </c>
      <c r="W186" s="5">
        <f t="shared" si="38"/>
        <v>-0.12534411339637122</v>
      </c>
      <c r="X186" s="1">
        <f t="shared" si="39"/>
        <v>7.5069064215982451</v>
      </c>
      <c r="Y186" s="3">
        <f t="shared" si="29"/>
        <v>7.8791894896350231E-2</v>
      </c>
      <c r="Z186" s="1">
        <f t="shared" si="30"/>
        <v>0.11522752902556044</v>
      </c>
      <c r="AA186" s="8">
        <f t="shared" si="35"/>
        <v>14.500000000000034</v>
      </c>
      <c r="AB186" s="1">
        <v>14.58</v>
      </c>
      <c r="AC186" s="1">
        <v>5.2864402239999999E-3</v>
      </c>
      <c r="AD186" s="8">
        <f t="shared" si="31"/>
        <v>-0.19855392411487033</v>
      </c>
      <c r="AE186" s="3">
        <f t="shared" si="32"/>
        <v>-3.7559097559346647E-3</v>
      </c>
      <c r="AF186" s="11">
        <f t="shared" si="33"/>
        <v>14.500000000000034</v>
      </c>
      <c r="AG186" s="1">
        <f t="shared" si="34"/>
        <v>0.11522752902556044</v>
      </c>
    </row>
    <row r="187" spans="2:33" ht="15" x14ac:dyDescent="0.25">
      <c r="B187" s="1">
        <v>176</v>
      </c>
      <c r="C187" s="1">
        <v>1.0002028673058783</v>
      </c>
      <c r="D187" s="1">
        <v>1.1257084484167772</v>
      </c>
      <c r="E187" s="1">
        <v>0.88774621396526621</v>
      </c>
      <c r="G187" s="1">
        <v>0.9995335548027624</v>
      </c>
      <c r="H187" s="1">
        <v>2.77495374368868</v>
      </c>
      <c r="I187" s="1">
        <v>0.33072300218945344</v>
      </c>
      <c r="K187" s="1">
        <v>0.99992027335724698</v>
      </c>
      <c r="L187" s="1">
        <v>3.2843379566657118</v>
      </c>
      <c r="M187" s="1">
        <v>0.27719895424100915</v>
      </c>
      <c r="O187" s="1">
        <v>5.34761353907984E-3</v>
      </c>
      <c r="P187" s="1">
        <v>0.92456523771668297</v>
      </c>
      <c r="R187" s="1">
        <v>0.13318606556291565</v>
      </c>
      <c r="S187" s="2">
        <f t="shared" si="36"/>
        <v>0.44198486899862444</v>
      </c>
      <c r="T187" s="4">
        <f t="shared" si="37"/>
        <v>0.19535062442373122</v>
      </c>
      <c r="U187" s="1">
        <f t="shared" si="40"/>
        <v>6.9306037246847918E-2</v>
      </c>
      <c r="V187" s="6">
        <f>2*sigma/alpha*corel*(B187/12-1/alpha*(1-EXP(-alpha*Output!B187/12)))</f>
        <v>0.44638997511752643</v>
      </c>
      <c r="W187" s="5">
        <f t="shared" si="38"/>
        <v>-0.1260445871768833</v>
      </c>
      <c r="X187" s="1">
        <f t="shared" si="39"/>
        <v>7.5938797909292468</v>
      </c>
      <c r="Y187" s="3">
        <f t="shared" si="29"/>
        <v>7.8726461425819086E-2</v>
      </c>
      <c r="Z187" s="1">
        <f t="shared" si="30"/>
        <v>0.11540953494475009</v>
      </c>
      <c r="AA187" s="8">
        <f t="shared" si="35"/>
        <v>14.583333333333368</v>
      </c>
      <c r="AB187" s="1">
        <v>14.67</v>
      </c>
      <c r="AC187" s="1">
        <v>5.328979381E-3</v>
      </c>
      <c r="AD187" s="8">
        <f t="shared" si="31"/>
        <v>-0.1863415807984003</v>
      </c>
      <c r="AE187" s="3">
        <f t="shared" si="32"/>
        <v>-3.4967592755713144E-3</v>
      </c>
      <c r="AF187" s="11">
        <f t="shared" si="33"/>
        <v>14.583333333333368</v>
      </c>
      <c r="AG187" s="1">
        <f t="shared" si="34"/>
        <v>0.11540953494475009</v>
      </c>
    </row>
    <row r="188" spans="2:33" ht="15" x14ac:dyDescent="0.25">
      <c r="B188" s="1">
        <v>177</v>
      </c>
      <c r="C188" s="1">
        <v>1.0002051956874898</v>
      </c>
      <c r="D188" s="1">
        <v>1.1291691170260083</v>
      </c>
      <c r="E188" s="1">
        <v>0.88502357159824263</v>
      </c>
      <c r="G188" s="1">
        <v>0.99955575195694002</v>
      </c>
      <c r="H188" s="1">
        <v>2.8522336518074107</v>
      </c>
      <c r="I188" s="1">
        <v>0.32160619517277012</v>
      </c>
      <c r="K188" s="1">
        <v>1.0001727768442998</v>
      </c>
      <c r="L188" s="1">
        <v>3.2676660480099731</v>
      </c>
      <c r="M188" s="1">
        <v>0.27846002608627807</v>
      </c>
      <c r="O188" s="1">
        <v>5.3875756282779569E-3</v>
      </c>
      <c r="P188" s="1">
        <v>0.923608738206802</v>
      </c>
      <c r="R188" s="1">
        <v>0.13367014683139308</v>
      </c>
      <c r="S188" s="2">
        <f t="shared" si="36"/>
        <v>0.44464283761754897</v>
      </c>
      <c r="T188" s="4">
        <f t="shared" si="37"/>
        <v>0.19770725304458603</v>
      </c>
      <c r="U188" s="1">
        <f t="shared" si="40"/>
        <v>7.0336250263201006E-2</v>
      </c>
      <c r="V188" s="6">
        <f>2*sigma/alpha*corel*(B188/12-1/alpha*(1-EXP(-alpha*Output!B188/12)))</f>
        <v>0.45102276479533465</v>
      </c>
      <c r="W188" s="5">
        <f t="shared" si="38"/>
        <v>-0.12737100278138502</v>
      </c>
      <c r="X188" s="1">
        <f t="shared" si="39"/>
        <v>7.718310698465344</v>
      </c>
      <c r="Y188" s="3">
        <f t="shared" si="29"/>
        <v>7.8886848135575172E-2</v>
      </c>
      <c r="Z188" s="1">
        <f t="shared" si="30"/>
        <v>0.11577513360970401</v>
      </c>
      <c r="AA188" s="8">
        <f t="shared" si="35"/>
        <v>14.666666666666702</v>
      </c>
      <c r="AB188" s="1">
        <v>14.75</v>
      </c>
      <c r="AC188" s="1">
        <v>5.3703169079999998E-3</v>
      </c>
      <c r="AD188" s="8">
        <f t="shared" si="31"/>
        <v>-0.17258720277957101</v>
      </c>
      <c r="AE188" s="3">
        <f t="shared" si="32"/>
        <v>-3.2137247342419037E-3</v>
      </c>
      <c r="AF188" s="11">
        <f t="shared" si="33"/>
        <v>14.666666666666702</v>
      </c>
      <c r="AG188" s="1">
        <f t="shared" si="34"/>
        <v>0.11577513360970401</v>
      </c>
    </row>
    <row r="189" spans="2:33" ht="15" x14ac:dyDescent="0.25">
      <c r="B189" s="1">
        <v>178</v>
      </c>
      <c r="C189" s="1">
        <v>1.0002086357954745</v>
      </c>
      <c r="D189" s="1">
        <v>1.128142783699698</v>
      </c>
      <c r="E189" s="1">
        <v>0.88582684684644297</v>
      </c>
      <c r="G189" s="1">
        <v>0.99966899872230464</v>
      </c>
      <c r="H189" s="1">
        <v>2.8276458956223718</v>
      </c>
      <c r="I189" s="1">
        <v>0.3242454172747164</v>
      </c>
      <c r="K189" s="1">
        <v>1.0003363017250897</v>
      </c>
      <c r="L189" s="1">
        <v>3.3684403042281068</v>
      </c>
      <c r="M189" s="1">
        <v>0.26998310119612018</v>
      </c>
      <c r="O189" s="1">
        <v>5.4257772624788578E-3</v>
      </c>
      <c r="P189" s="1">
        <v>0.92267117684389588</v>
      </c>
      <c r="R189" s="1">
        <v>0.13390044766539669</v>
      </c>
      <c r="S189" s="2">
        <f t="shared" si="36"/>
        <v>0.44658689783915739</v>
      </c>
      <c r="T189" s="4">
        <f t="shared" si="37"/>
        <v>0.19943985732160199</v>
      </c>
      <c r="U189" s="1">
        <f t="shared" si="40"/>
        <v>7.1375041332377709E-2</v>
      </c>
      <c r="V189" s="6">
        <f>2*sigma/alpha*corel*(B189/12-1/alpha*(1-EXP(-alpha*Output!B189/12)))</f>
        <v>0.45567480196612897</v>
      </c>
      <c r="W189" s="5">
        <f t="shared" si="38"/>
        <v>-0.12806481598922428</v>
      </c>
      <c r="X189" s="1">
        <f t="shared" si="39"/>
        <v>7.8061519405075126</v>
      </c>
      <c r="Y189" s="3">
        <f t="shared" si="29"/>
        <v>7.8818236979743855E-2</v>
      </c>
      <c r="Z189" s="1">
        <f t="shared" si="30"/>
        <v>0.11595423079671807</v>
      </c>
      <c r="AA189" s="8">
        <f t="shared" si="35"/>
        <v>14.750000000000036</v>
      </c>
      <c r="AB189" s="1">
        <v>14.83</v>
      </c>
      <c r="AC189" s="1">
        <v>5.4102086860000004E-3</v>
      </c>
      <c r="AD189" s="8">
        <f t="shared" si="31"/>
        <v>-0.15568576478857366</v>
      </c>
      <c r="AE189" s="3">
        <f t="shared" si="32"/>
        <v>-2.8776295670708929E-3</v>
      </c>
      <c r="AF189" s="11">
        <f t="shared" si="33"/>
        <v>14.750000000000036</v>
      </c>
      <c r="AG189" s="1">
        <f t="shared" si="34"/>
        <v>0.11595423079671807</v>
      </c>
    </row>
    <row r="190" spans="2:33" ht="15" x14ac:dyDescent="0.25">
      <c r="B190" s="1">
        <v>179</v>
      </c>
      <c r="C190" s="1">
        <v>1.0002109734257993</v>
      </c>
      <c r="D190" s="1">
        <v>1.1291826097783053</v>
      </c>
      <c r="E190" s="1">
        <v>0.88500924796324176</v>
      </c>
      <c r="G190" s="1">
        <v>0.99970307915170875</v>
      </c>
      <c r="H190" s="1">
        <v>2.8512515534166476</v>
      </c>
      <c r="I190" s="1">
        <v>0.32140505580902151</v>
      </c>
      <c r="K190" s="1">
        <v>1.0004236475756751</v>
      </c>
      <c r="L190" s="1">
        <v>3.4486142174090464</v>
      </c>
      <c r="M190" s="1">
        <v>0.26356324402225484</v>
      </c>
      <c r="O190" s="1">
        <v>5.462067527995355E-3</v>
      </c>
      <c r="P190" s="1">
        <v>0.92175497860821498</v>
      </c>
      <c r="R190" s="1">
        <v>0.13438848166431128</v>
      </c>
      <c r="S190" s="2">
        <f t="shared" si="36"/>
        <v>0.44920382878546294</v>
      </c>
      <c r="T190" s="4">
        <f t="shared" si="37"/>
        <v>0.20178407979551952</v>
      </c>
      <c r="U190" s="1">
        <f t="shared" si="40"/>
        <v>7.2422417295908037E-2</v>
      </c>
      <c r="V190" s="6">
        <f>2*sigma/alpha*corel*(B190/12-1/alpha*(1-EXP(-alpha*Output!B190/12)))</f>
        <v>0.46034602257841084</v>
      </c>
      <c r="W190" s="5">
        <f t="shared" si="38"/>
        <v>-0.12936166249961148</v>
      </c>
      <c r="X190" s="1">
        <f t="shared" si="39"/>
        <v>7.9304976563139142</v>
      </c>
      <c r="Y190" s="3">
        <f t="shared" si="29"/>
        <v>7.8964287337556407E-2</v>
      </c>
      <c r="Z190" s="1">
        <f t="shared" si="30"/>
        <v>0.11630745609733587</v>
      </c>
      <c r="AA190" s="8">
        <f t="shared" si="35"/>
        <v>14.833333333333369</v>
      </c>
      <c r="AB190" s="1">
        <v>14.92</v>
      </c>
      <c r="AC190" s="1">
        <v>5.4484105960000001E-3</v>
      </c>
      <c r="AD190" s="8">
        <f t="shared" si="31"/>
        <v>-0.13656931995354935</v>
      </c>
      <c r="AE190" s="3">
        <f t="shared" si="32"/>
        <v>-2.506590088012327E-3</v>
      </c>
      <c r="AF190" s="11">
        <f t="shared" si="33"/>
        <v>14.833333333333369</v>
      </c>
      <c r="AG190" s="1">
        <f t="shared" si="34"/>
        <v>0.11630745609733587</v>
      </c>
    </row>
    <row r="191" spans="2:33" ht="15" x14ac:dyDescent="0.25">
      <c r="B191" s="1">
        <v>180</v>
      </c>
      <c r="C191" s="1">
        <v>1.0002117819900744</v>
      </c>
      <c r="D191" s="1">
        <v>1.1284525498425328</v>
      </c>
      <c r="E191" s="1">
        <v>0.88557994596956446</v>
      </c>
      <c r="G191" s="1">
        <v>0.99960465963731782</v>
      </c>
      <c r="H191" s="1">
        <v>2.8343848028920591</v>
      </c>
      <c r="I191" s="1">
        <v>0.32316089765187633</v>
      </c>
      <c r="K191" s="1">
        <v>1.0004028312796431</v>
      </c>
      <c r="L191" s="1">
        <v>3.4071932033808472</v>
      </c>
      <c r="M191" s="1">
        <v>0.26663030633431895</v>
      </c>
      <c r="O191" s="1">
        <v>5.4962004193338252E-3</v>
      </c>
      <c r="P191" s="1">
        <v>0.92086391981240812</v>
      </c>
      <c r="R191" s="1">
        <v>0.13491656589217035</v>
      </c>
      <c r="S191" s="2">
        <f t="shared" si="36"/>
        <v>0.45189721998460053</v>
      </c>
      <c r="T191" s="4">
        <f t="shared" si="37"/>
        <v>0.20421109742981045</v>
      </c>
      <c r="U191" s="1">
        <f t="shared" si="40"/>
        <v>7.347838473742474E-2</v>
      </c>
      <c r="V191" s="6">
        <f>2*sigma/alpha*corel*(B191/12-1/alpha*(1-EXP(-alpha*Output!B191/12)))</f>
        <v>0.46503636279383254</v>
      </c>
      <c r="W191" s="5">
        <f t="shared" si="38"/>
        <v>-0.13073271269238571</v>
      </c>
      <c r="X191" s="1">
        <f t="shared" si="39"/>
        <v>8.0602215802636596</v>
      </c>
      <c r="Y191" s="3">
        <f t="shared" si="29"/>
        <v>7.9133885813772051E-2</v>
      </c>
      <c r="Z191" s="1">
        <f t="shared" si="30"/>
        <v>0.11667936047985249</v>
      </c>
      <c r="AA191" s="8">
        <f t="shared" si="35"/>
        <v>14.916666666666703</v>
      </c>
      <c r="AB191" s="1">
        <v>15</v>
      </c>
      <c r="AC191" s="1">
        <v>5.4846785180000003E-3</v>
      </c>
      <c r="AD191" s="8">
        <f t="shared" si="31"/>
        <v>-0.11521901333824865</v>
      </c>
      <c r="AE191" s="3">
        <f t="shared" si="32"/>
        <v>-2.1007432424729154E-3</v>
      </c>
      <c r="AF191" s="11">
        <f t="shared" si="33"/>
        <v>14.916666666666703</v>
      </c>
      <c r="AG191" s="1">
        <f t="shared" si="34"/>
        <v>0.11667936047985249</v>
      </c>
    </row>
    <row r="192" spans="2:33" ht="15" x14ac:dyDescent="0.25">
      <c r="B192" s="1">
        <v>181</v>
      </c>
      <c r="C192" s="1">
        <v>1.0002138296225105</v>
      </c>
      <c r="D192" s="1">
        <v>1.1276186332204881</v>
      </c>
      <c r="E192" s="1">
        <v>0.88623300642273017</v>
      </c>
      <c r="G192" s="1">
        <v>0.99960102401395867</v>
      </c>
      <c r="H192" s="1">
        <v>2.8149295268911336</v>
      </c>
      <c r="I192" s="1">
        <v>0.325236646665302</v>
      </c>
      <c r="K192" s="1">
        <v>1.0004853398778935</v>
      </c>
      <c r="L192" s="1">
        <v>3.3294117673711536</v>
      </c>
      <c r="M192" s="1">
        <v>0.27271284463895518</v>
      </c>
      <c r="O192" s="1">
        <v>5.5280256263197406E-3</v>
      </c>
      <c r="P192" s="1">
        <v>0.92000051128283877</v>
      </c>
      <c r="R192" s="1">
        <v>0.13529357638199063</v>
      </c>
      <c r="S192" s="2">
        <f t="shared" si="36"/>
        <v>0.45414250865393568</v>
      </c>
      <c r="T192" s="4">
        <f t="shared" si="37"/>
        <v>0.20624541816649006</v>
      </c>
      <c r="U192" s="1">
        <f t="shared" si="40"/>
        <v>7.4542949985080043E-2</v>
      </c>
      <c r="V192" s="6">
        <f>2*sigma/alpha*corel*(B192/12-1/alpha*(1-EXP(-alpha*Output!B192/12)))</f>
        <v>0.4697457589864853</v>
      </c>
      <c r="W192" s="5">
        <f t="shared" si="38"/>
        <v>-0.13170246818141002</v>
      </c>
      <c r="X192" s="1">
        <f t="shared" si="39"/>
        <v>8.1667099916975268</v>
      </c>
      <c r="Y192" s="3">
        <f t="shared" si="29"/>
        <v>7.9160216172989101E-2</v>
      </c>
      <c r="Z192" s="1">
        <f t="shared" si="30"/>
        <v>0.11693472273539524</v>
      </c>
      <c r="AA192" s="8">
        <f t="shared" si="35"/>
        <v>15.000000000000037</v>
      </c>
      <c r="AB192" s="1">
        <v>15.08</v>
      </c>
      <c r="AC192" s="1">
        <v>5.5187683330000003E-3</v>
      </c>
      <c r="AD192" s="8">
        <f t="shared" si="31"/>
        <v>-9.2572933197403867E-2</v>
      </c>
      <c r="AE192" s="3">
        <f t="shared" si="32"/>
        <v>-1.6774201707988937E-3</v>
      </c>
      <c r="AF192" s="11">
        <f t="shared" si="33"/>
        <v>15.000000000000037</v>
      </c>
      <c r="AG192" s="1">
        <f t="shared" si="34"/>
        <v>0.11693472273539524</v>
      </c>
    </row>
    <row r="193" spans="2:33" ht="15" x14ac:dyDescent="0.25">
      <c r="B193" s="1">
        <v>182</v>
      </c>
      <c r="C193" s="1">
        <v>1.0002160829497977</v>
      </c>
      <c r="D193" s="1">
        <v>1.1304713689660895</v>
      </c>
      <c r="E193" s="1">
        <v>0.88399475598330146</v>
      </c>
      <c r="G193" s="1">
        <v>0.9996452172001844</v>
      </c>
      <c r="H193" s="1">
        <v>2.8777837839246385</v>
      </c>
      <c r="I193" s="1">
        <v>0.31797884802531085</v>
      </c>
      <c r="K193" s="1">
        <v>1.0004676395185474</v>
      </c>
      <c r="L193" s="1">
        <v>3.4237396372581248</v>
      </c>
      <c r="M193" s="1">
        <v>0.26505730059977523</v>
      </c>
      <c r="O193" s="1">
        <v>5.5575941520122994E-3</v>
      </c>
      <c r="P193" s="1">
        <v>0.91916449610347462</v>
      </c>
      <c r="R193" s="1">
        <v>0.13569687818102</v>
      </c>
      <c r="S193" s="2">
        <f t="shared" si="36"/>
        <v>0.45642295147071887</v>
      </c>
      <c r="T193" s="4">
        <f t="shared" si="37"/>
        <v>0.20832191062924219</v>
      </c>
      <c r="U193" s="1">
        <f t="shared" si="40"/>
        <v>7.5616119113952163E-2</v>
      </c>
      <c r="V193" s="6">
        <f>2*sigma/alpha*corel*(B193/12-1/alpha*(1-EXP(-alpha*Output!B193/12)))</f>
        <v>0.47447414774219365</v>
      </c>
      <c r="W193" s="5">
        <f t="shared" si="38"/>
        <v>-0.13270579151529002</v>
      </c>
      <c r="X193" s="1">
        <f t="shared" si="39"/>
        <v>8.2759437354699426</v>
      </c>
      <c r="Y193" s="3">
        <f t="shared" si="29"/>
        <v>7.9197357864342316E-2</v>
      </c>
      <c r="Z193" s="1">
        <f t="shared" si="30"/>
        <v>0.11719859466281601</v>
      </c>
      <c r="AA193" s="8">
        <f t="shared" si="35"/>
        <v>15.083333333333371</v>
      </c>
      <c r="AB193" s="1">
        <v>15.17</v>
      </c>
      <c r="AC193" s="1">
        <v>5.5505191039999999E-3</v>
      </c>
      <c r="AD193" s="8">
        <f t="shared" si="31"/>
        <v>-7.0750480122994813E-2</v>
      </c>
      <c r="AE193" s="3">
        <f t="shared" si="32"/>
        <v>-1.2746642034257346E-3</v>
      </c>
      <c r="AF193" s="11">
        <f t="shared" si="33"/>
        <v>15.083333333333371</v>
      </c>
      <c r="AG193" s="1">
        <f t="shared" si="34"/>
        <v>0.11719859466281601</v>
      </c>
    </row>
    <row r="194" spans="2:33" ht="15" x14ac:dyDescent="0.25">
      <c r="B194" s="1">
        <v>183</v>
      </c>
      <c r="C194" s="1">
        <v>1.0002174469477332</v>
      </c>
      <c r="D194" s="1">
        <v>1.1328534732448041</v>
      </c>
      <c r="E194" s="1">
        <v>0.88213410130579128</v>
      </c>
      <c r="G194" s="1">
        <v>0.99959254486865523</v>
      </c>
      <c r="H194" s="1">
        <v>2.9357433264293991</v>
      </c>
      <c r="I194" s="1">
        <v>0.31154996663929135</v>
      </c>
      <c r="K194" s="1">
        <v>1.0004345004483712</v>
      </c>
      <c r="L194" s="1">
        <v>3.4008171153822642</v>
      </c>
      <c r="M194" s="1">
        <v>0.26670164448723799</v>
      </c>
      <c r="O194" s="1">
        <v>5.5852445463621964E-3</v>
      </c>
      <c r="P194" s="1">
        <v>0.9183515777960547</v>
      </c>
      <c r="R194" s="1">
        <v>0.13595152405893504</v>
      </c>
      <c r="S194" s="2">
        <f t="shared" si="36"/>
        <v>0.45826675455960508</v>
      </c>
      <c r="T194" s="4">
        <f t="shared" si="37"/>
        <v>0.21000841833459333</v>
      </c>
      <c r="U194" s="1">
        <f t="shared" si="40"/>
        <v>7.6697897948425631E-2</v>
      </c>
      <c r="V194" s="6">
        <f>2*sigma/alpha*corel*(B194/12-1/alpha*(1-EXP(-alpha*Output!B194/12)))</f>
        <v>0.479221465857812</v>
      </c>
      <c r="W194" s="5">
        <f t="shared" si="38"/>
        <v>-0.1333105203861677</v>
      </c>
      <c r="X194" s="1">
        <f t="shared" si="39"/>
        <v>8.3615949568951393</v>
      </c>
      <c r="Y194" s="3">
        <f t="shared" si="29"/>
        <v>7.9095763725796908E-2</v>
      </c>
      <c r="Z194" s="1">
        <f t="shared" si="30"/>
        <v>0.11735009086157214</v>
      </c>
      <c r="AA194" s="8">
        <f t="shared" si="35"/>
        <v>15.166666666666705</v>
      </c>
      <c r="AB194" s="1">
        <v>15.25</v>
      </c>
      <c r="AC194" s="1">
        <v>5.5801026249999996E-3</v>
      </c>
      <c r="AD194" s="8">
        <f t="shared" si="31"/>
        <v>-5.1419213621967802E-2</v>
      </c>
      <c r="AE194" s="3">
        <f t="shared" si="32"/>
        <v>-9.214743361815465E-4</v>
      </c>
      <c r="AF194" s="11">
        <f t="shared" si="33"/>
        <v>15.166666666666705</v>
      </c>
      <c r="AG194" s="1">
        <f t="shared" si="34"/>
        <v>0.11735009086157214</v>
      </c>
    </row>
    <row r="195" spans="2:33" ht="15" x14ac:dyDescent="0.25">
      <c r="B195" s="1">
        <v>184</v>
      </c>
      <c r="C195" s="1">
        <v>1.000216885115754</v>
      </c>
      <c r="D195" s="1">
        <v>1.1271059181020637</v>
      </c>
      <c r="E195" s="1">
        <v>0.88663060855240183</v>
      </c>
      <c r="G195" s="1">
        <v>0.99938244099189666</v>
      </c>
      <c r="H195" s="1">
        <v>2.8040981973033774</v>
      </c>
      <c r="I195" s="1">
        <v>0.32601830008488591</v>
      </c>
      <c r="K195" s="1">
        <v>1.0004745963964017</v>
      </c>
      <c r="L195" s="1">
        <v>3.1971514667303564</v>
      </c>
      <c r="M195" s="1">
        <v>0.2835452040127498</v>
      </c>
      <c r="O195" s="1">
        <v>5.6112866478280395E-3</v>
      </c>
      <c r="P195" s="1">
        <v>0.91755777721008724</v>
      </c>
      <c r="R195" s="1">
        <v>0.1363023868641306</v>
      </c>
      <c r="S195" s="2">
        <f t="shared" si="36"/>
        <v>0.46034799792225733</v>
      </c>
      <c r="T195" s="4">
        <f t="shared" si="37"/>
        <v>0.21192027919103065</v>
      </c>
      <c r="U195" s="1">
        <f t="shared" si="40"/>
        <v>7.7788292064559172E-2</v>
      </c>
      <c r="V195" s="6">
        <f>2*sigma/alpha*corel*(B195/12-1/alpha*(1-EXP(-alpha*Output!B195/12)))</f>
        <v>0.48398765034051938</v>
      </c>
      <c r="W195" s="5">
        <f t="shared" si="38"/>
        <v>-0.13413198712647148</v>
      </c>
      <c r="X195" s="1">
        <f t="shared" si="39"/>
        <v>8.4610059227723884</v>
      </c>
      <c r="Y195" s="3">
        <f t="shared" si="29"/>
        <v>7.9069342847475937E-2</v>
      </c>
      <c r="Z195" s="1">
        <f t="shared" si="30"/>
        <v>0.11756227189591091</v>
      </c>
      <c r="AA195" s="8">
        <f t="shared" si="35"/>
        <v>15.250000000000039</v>
      </c>
      <c r="AB195" s="1">
        <v>15.33</v>
      </c>
      <c r="AC195" s="1">
        <v>5.6077738719999999E-3</v>
      </c>
      <c r="AD195" s="8">
        <f t="shared" si="31"/>
        <v>-3.5127758280396187E-2</v>
      </c>
      <c r="AE195" s="3">
        <f t="shared" si="32"/>
        <v>-6.2641181834723221E-4</v>
      </c>
      <c r="AF195" s="11">
        <f t="shared" si="33"/>
        <v>15.250000000000039</v>
      </c>
      <c r="AG195" s="1">
        <f t="shared" si="34"/>
        <v>0.11756227189591091</v>
      </c>
    </row>
    <row r="196" spans="2:33" ht="15" x14ac:dyDescent="0.25">
      <c r="B196" s="1">
        <v>185</v>
      </c>
      <c r="C196" s="1">
        <v>1.0002173263073593</v>
      </c>
      <c r="D196" s="1">
        <v>1.1239073022585346</v>
      </c>
      <c r="E196" s="1">
        <v>0.88915210053484994</v>
      </c>
      <c r="G196" s="1">
        <v>0.99925963615882463</v>
      </c>
      <c r="H196" s="1">
        <v>2.7304911298149017</v>
      </c>
      <c r="I196" s="1">
        <v>0.3346446134984668</v>
      </c>
      <c r="K196" s="1">
        <v>1.0004638420691407</v>
      </c>
      <c r="L196" s="1">
        <v>3.2330682129068431</v>
      </c>
      <c r="M196" s="1">
        <v>0.28024559641215907</v>
      </c>
      <c r="O196" s="1">
        <v>5.6359425535274848E-3</v>
      </c>
      <c r="P196" s="1">
        <v>0.9167802755548855</v>
      </c>
      <c r="R196" s="1">
        <v>0.13672578830471316</v>
      </c>
      <c r="S196" s="2">
        <f t="shared" si="36"/>
        <v>0.46260649525139919</v>
      </c>
      <c r="T196" s="4">
        <f t="shared" si="37"/>
        <v>0.21400476944878283</v>
      </c>
      <c r="U196" s="1">
        <f t="shared" si="40"/>
        <v>7.8887306792431833E-2</v>
      </c>
      <c r="V196" s="6">
        <f>2*sigma/alpha*corel*(B196/12-1/alpha*(1-EXP(-alpha*Output!B196/12)))</f>
        <v>0.48877263840712271</v>
      </c>
      <c r="W196" s="5">
        <f t="shared" si="38"/>
        <v>-0.135117462656351</v>
      </c>
      <c r="X196" s="1">
        <f t="shared" si="39"/>
        <v>8.5711422225304386</v>
      </c>
      <c r="Y196" s="3">
        <f t="shared" si="29"/>
        <v>7.9098767891211424E-2</v>
      </c>
      <c r="Z196" s="1">
        <f t="shared" si="30"/>
        <v>0.11781931272389878</v>
      </c>
      <c r="AA196" s="8">
        <f t="shared" si="35"/>
        <v>15.333333333333373</v>
      </c>
      <c r="AB196" s="1">
        <v>15.42</v>
      </c>
      <c r="AC196" s="1">
        <v>5.6337878219999997E-3</v>
      </c>
      <c r="AD196" s="8">
        <f t="shared" si="31"/>
        <v>-2.1547315274851597E-2</v>
      </c>
      <c r="AE196" s="3">
        <f t="shared" si="32"/>
        <v>-3.8246586409784744E-4</v>
      </c>
      <c r="AF196" s="11">
        <f t="shared" si="33"/>
        <v>15.333333333333373</v>
      </c>
      <c r="AG196" s="1">
        <f t="shared" si="34"/>
        <v>0.11781931272389878</v>
      </c>
    </row>
    <row r="197" spans="2:33" ht="15" x14ac:dyDescent="0.25">
      <c r="B197" s="1">
        <v>186</v>
      </c>
      <c r="C197" s="1">
        <v>1.0002196769240204</v>
      </c>
      <c r="D197" s="1">
        <v>1.1265173710413496</v>
      </c>
      <c r="E197" s="1">
        <v>0.88709016335690627</v>
      </c>
      <c r="G197" s="1">
        <v>0.99928696103289316</v>
      </c>
      <c r="H197" s="1">
        <v>2.7878390691031436</v>
      </c>
      <c r="I197" s="1">
        <v>0.32760183669973542</v>
      </c>
      <c r="K197" s="1">
        <v>1.0004531317413996</v>
      </c>
      <c r="L197" s="1">
        <v>3.2230283728713647</v>
      </c>
      <c r="M197" s="1">
        <v>0.28096453930459148</v>
      </c>
      <c r="O197" s="1">
        <v>5.6594075072222833E-3</v>
      </c>
      <c r="P197" s="1">
        <v>0.91601657786860446</v>
      </c>
      <c r="R197" s="1">
        <v>0.13718173065830727</v>
      </c>
      <c r="S197" s="2">
        <f t="shared" si="36"/>
        <v>0.46493667865933264</v>
      </c>
      <c r="T197" s="4">
        <f t="shared" si="37"/>
        <v>0.21616611516277154</v>
      </c>
      <c r="U197" s="1">
        <f t="shared" si="40"/>
        <v>7.9994947218474444E-2</v>
      </c>
      <c r="V197" s="6">
        <f>2*sigma/alpha*corel*(B197/12-1/alpha*(1-EXP(-alpha*Output!B197/12)))</f>
        <v>0.49357636748335776</v>
      </c>
      <c r="W197" s="5">
        <f t="shared" si="38"/>
        <v>-0.13617116794429709</v>
      </c>
      <c r="X197" s="1">
        <f t="shared" si="39"/>
        <v>8.6862300430844854</v>
      </c>
      <c r="Y197" s="3">
        <f t="shared" si="29"/>
        <v>7.9150474922628528E-2</v>
      </c>
      <c r="Z197" s="1">
        <f t="shared" si="30"/>
        <v>0.11809403447356401</v>
      </c>
      <c r="AA197" s="8">
        <f t="shared" si="35"/>
        <v>15.416666666666707</v>
      </c>
      <c r="AB197" s="1">
        <v>15.5</v>
      </c>
      <c r="AC197" s="1">
        <v>5.6583994519999996E-3</v>
      </c>
      <c r="AD197" s="8">
        <f t="shared" si="31"/>
        <v>-1.008055222283602E-2</v>
      </c>
      <c r="AE197" s="3">
        <f t="shared" si="32"/>
        <v>-1.7815200761892093E-4</v>
      </c>
      <c r="AF197" s="11">
        <f t="shared" si="33"/>
        <v>15.416666666666707</v>
      </c>
      <c r="AG197" s="1">
        <f t="shared" si="34"/>
        <v>0.11809403447356401</v>
      </c>
    </row>
    <row r="198" spans="2:33" ht="15" x14ac:dyDescent="0.25">
      <c r="B198" s="1">
        <v>187</v>
      </c>
      <c r="C198" s="1">
        <v>1.0002209350512377</v>
      </c>
      <c r="D198" s="1">
        <v>1.1227656062381444</v>
      </c>
      <c r="E198" s="1">
        <v>0.89005258095031181</v>
      </c>
      <c r="G198" s="1">
        <v>0.99922691658941476</v>
      </c>
      <c r="H198" s="1">
        <v>2.6851649822892556</v>
      </c>
      <c r="I198" s="1">
        <v>0.33996364647125044</v>
      </c>
      <c r="K198" s="1">
        <v>1.0005219893458421</v>
      </c>
      <c r="L198" s="1">
        <v>3.2569814377411288</v>
      </c>
      <c r="M198" s="1">
        <v>0.27789218672992644</v>
      </c>
      <c r="O198" s="1">
        <v>5.6819611230613564E-3</v>
      </c>
      <c r="P198" s="1">
        <v>0.91526293514949641</v>
      </c>
      <c r="R198" s="1">
        <v>0.13755737567268617</v>
      </c>
      <c r="S198" s="2">
        <f t="shared" si="36"/>
        <v>0.46703471340927472</v>
      </c>
      <c r="T198" s="4">
        <f t="shared" si="37"/>
        <v>0.21812142352928338</v>
      </c>
      <c r="U198" s="1">
        <f t="shared" si="40"/>
        <v>8.1111218187779333E-2</v>
      </c>
      <c r="V198" s="6">
        <f>2*sigma/alpha*corel*(B198/12-1/alpha*(1-EXP(-alpha*Output!B198/12)))</f>
        <v>0.49839877520319309</v>
      </c>
      <c r="W198" s="5">
        <f t="shared" si="38"/>
        <v>-0.13701020534150404</v>
      </c>
      <c r="X198" s="1">
        <f t="shared" si="39"/>
        <v>8.7887041387444622</v>
      </c>
      <c r="Y198" s="3">
        <f t="shared" si="29"/>
        <v>7.9128644638704587E-2</v>
      </c>
      <c r="Z198" s="1">
        <f t="shared" si="30"/>
        <v>0.11830932633172378</v>
      </c>
      <c r="AA198" s="8">
        <f t="shared" si="35"/>
        <v>15.500000000000041</v>
      </c>
      <c r="AB198" s="1">
        <v>15.58</v>
      </c>
      <c r="AC198" s="1">
        <v>5.6818637369999998E-3</v>
      </c>
      <c r="AD198" s="8">
        <f t="shared" si="31"/>
        <v>-9.7386061356612152E-4</v>
      </c>
      <c r="AE198" s="3">
        <f t="shared" si="32"/>
        <v>-1.7139809376708423E-5</v>
      </c>
      <c r="AF198" s="11">
        <f t="shared" si="33"/>
        <v>15.500000000000041</v>
      </c>
      <c r="AG198" s="1">
        <f t="shared" si="34"/>
        <v>0.11830932633172378</v>
      </c>
    </row>
    <row r="199" spans="2:33" ht="15" x14ac:dyDescent="0.25">
      <c r="B199" s="1">
        <v>188</v>
      </c>
      <c r="C199" s="1">
        <v>1.0002257935593499</v>
      </c>
      <c r="D199" s="1">
        <v>1.1260166278082433</v>
      </c>
      <c r="E199" s="1">
        <v>0.88748101487092745</v>
      </c>
      <c r="G199" s="1">
        <v>0.99946827267800287</v>
      </c>
      <c r="H199" s="1">
        <v>2.7554989006944077</v>
      </c>
      <c r="I199" s="1">
        <v>0.33112551285758623</v>
      </c>
      <c r="K199" s="1">
        <v>1.0003624159961564</v>
      </c>
      <c r="L199" s="1">
        <v>3.3551021289098841</v>
      </c>
      <c r="M199" s="1">
        <v>0.2696186328211691</v>
      </c>
      <c r="O199" s="1">
        <v>5.7038663905516953E-3</v>
      </c>
      <c r="P199" s="1">
        <v>0.91451576401182233</v>
      </c>
      <c r="R199" s="1">
        <v>0.13803915935576797</v>
      </c>
      <c r="S199" s="2">
        <f t="shared" si="36"/>
        <v>0.46941661662356637</v>
      </c>
      <c r="T199" s="4">
        <f t="shared" si="37"/>
        <v>0.2203519599623163</v>
      </c>
      <c r="U199" s="1">
        <f t="shared" si="40"/>
        <v>8.2236124306396263E-2</v>
      </c>
      <c r="V199" s="6">
        <f>2*sigma/alpha*corel*(B199/12-1/alpha*(1-EXP(-alpha*Output!B199/12)))</f>
        <v>0.50323979940813812</v>
      </c>
      <c r="W199" s="5">
        <f t="shared" si="38"/>
        <v>-0.13811583565592003</v>
      </c>
      <c r="X199" s="1">
        <f t="shared" si="39"/>
        <v>8.9085093301459981</v>
      </c>
      <c r="Y199" s="3">
        <f t="shared" si="29"/>
        <v>7.9195940581006707E-2</v>
      </c>
      <c r="Z199" s="1">
        <f t="shared" si="30"/>
        <v>0.11859603164102461</v>
      </c>
      <c r="AA199" s="8">
        <f t="shared" si="35"/>
        <v>15.583333333333375</v>
      </c>
      <c r="AB199" s="1">
        <v>15.67</v>
      </c>
      <c r="AC199" s="1">
        <v>5.7044362200000002E-3</v>
      </c>
      <c r="AD199" s="8">
        <f t="shared" si="31"/>
        <v>5.6982944830492183E-3</v>
      </c>
      <c r="AE199" s="3">
        <f t="shared" si="32"/>
        <v>9.9892334023663043E-5</v>
      </c>
      <c r="AF199" s="11">
        <f t="shared" si="33"/>
        <v>15.583333333333375</v>
      </c>
      <c r="AG199" s="1">
        <f t="shared" si="34"/>
        <v>0.11859603164102461</v>
      </c>
    </row>
    <row r="200" spans="2:33" ht="15" x14ac:dyDescent="0.25">
      <c r="B200" s="1">
        <v>189</v>
      </c>
      <c r="C200" s="1">
        <v>1.0002302743882967</v>
      </c>
      <c r="D200" s="1">
        <v>1.1285726807213639</v>
      </c>
      <c r="E200" s="1">
        <v>0.88546919238734145</v>
      </c>
      <c r="G200" s="1">
        <v>0.99967443896676544</v>
      </c>
      <c r="H200" s="1">
        <v>2.8267803655985047</v>
      </c>
      <c r="I200" s="1">
        <v>0.32261923625553462</v>
      </c>
      <c r="K200" s="1">
        <v>1.000447099845821</v>
      </c>
      <c r="L200" s="1">
        <v>3.4387170578104183</v>
      </c>
      <c r="M200" s="1">
        <v>0.26292982424557199</v>
      </c>
      <c r="O200" s="1">
        <v>5.7253549603991146E-3</v>
      </c>
      <c r="P200" s="1">
        <v>0.91377186382450959</v>
      </c>
      <c r="R200" s="1">
        <v>0.13836171608649048</v>
      </c>
      <c r="S200" s="2">
        <f t="shared" si="36"/>
        <v>0.47135898130043408</v>
      </c>
      <c r="T200" s="4">
        <f t="shared" si="37"/>
        <v>0.22217928925258296</v>
      </c>
      <c r="U200" s="1">
        <f t="shared" si="40"/>
        <v>8.3369669943607949E-2</v>
      </c>
      <c r="V200" s="6">
        <f>2*sigma/alpha*corel*(B200/12-1/alpha*(1-EXP(-alpha*Output!B200/12)))</f>
        <v>0.5080993781465537</v>
      </c>
      <c r="W200" s="5">
        <f t="shared" si="38"/>
        <v>-0.13880961930897501</v>
      </c>
      <c r="X200" s="1">
        <f t="shared" si="39"/>
        <v>9.0031709945383405</v>
      </c>
      <c r="Y200" s="3">
        <f t="shared" si="29"/>
        <v>7.9124732520618649E-2</v>
      </c>
      <c r="Z200" s="1">
        <f t="shared" si="30"/>
        <v>0.1187712993102565</v>
      </c>
      <c r="AA200" s="8">
        <f t="shared" si="35"/>
        <v>15.666666666666709</v>
      </c>
      <c r="AB200" s="1">
        <v>15.75</v>
      </c>
      <c r="AC200" s="1">
        <v>5.7263746969999996E-3</v>
      </c>
      <c r="AD200" s="8">
        <f t="shared" si="31"/>
        <v>1.0197366008849948E-2</v>
      </c>
      <c r="AE200" s="3">
        <f t="shared" si="32"/>
        <v>1.780771700844561E-4</v>
      </c>
      <c r="AF200" s="11">
        <f t="shared" si="33"/>
        <v>15.666666666666709</v>
      </c>
      <c r="AG200" s="1">
        <f t="shared" si="34"/>
        <v>0.1187712993102565</v>
      </c>
    </row>
    <row r="201" spans="2:33" ht="15" x14ac:dyDescent="0.25">
      <c r="B201" s="1">
        <v>190</v>
      </c>
      <c r="C201" s="1">
        <v>1.0002315650888944</v>
      </c>
      <c r="D201" s="1">
        <v>1.1326097576262695</v>
      </c>
      <c r="E201" s="1">
        <v>0.88231122898400571</v>
      </c>
      <c r="G201" s="1">
        <v>0.99961125654372995</v>
      </c>
      <c r="H201" s="1">
        <v>2.9183799504551113</v>
      </c>
      <c r="I201" s="1">
        <v>0.31234167649717859</v>
      </c>
      <c r="K201" s="1">
        <v>1.0005439814425681</v>
      </c>
      <c r="L201" s="1">
        <v>3.4141461597945817</v>
      </c>
      <c r="M201" s="1">
        <v>0.26467134398681752</v>
      </c>
      <c r="O201" s="1">
        <v>5.7467050006425238E-3</v>
      </c>
      <c r="P201" s="1">
        <v>0.91302730143055244</v>
      </c>
      <c r="R201" s="1">
        <v>0.13887227981051828</v>
      </c>
      <c r="S201" s="2">
        <f t="shared" si="36"/>
        <v>0.47382056875954415</v>
      </c>
      <c r="T201" s="4">
        <f t="shared" si="37"/>
        <v>0.22450593137961791</v>
      </c>
      <c r="U201" s="1">
        <f t="shared" si="40"/>
        <v>8.4511859234190467E-2</v>
      </c>
      <c r="V201" s="6">
        <f>2*sigma/alpha*corel*(B201/12-1/alpha*(1-EXP(-alpha*Output!B201/12)))</f>
        <v>0.51297744967296</v>
      </c>
      <c r="W201" s="5">
        <f t="shared" si="38"/>
        <v>-0.13999407214542745</v>
      </c>
      <c r="X201" s="1">
        <f t="shared" si="39"/>
        <v>9.1294370997500458</v>
      </c>
      <c r="Y201" s="3">
        <f t="shared" si="29"/>
        <v>7.9216370161347333E-2</v>
      </c>
      <c r="Z201" s="1">
        <f t="shared" si="30"/>
        <v>0.11907695823235746</v>
      </c>
      <c r="AA201" s="8">
        <f t="shared" si="35"/>
        <v>15.750000000000043</v>
      </c>
      <c r="AB201" s="1">
        <v>15.83</v>
      </c>
      <c r="AC201" s="1">
        <v>5.7479375309999999E-3</v>
      </c>
      <c r="AD201" s="8">
        <f t="shared" si="31"/>
        <v>1.2325303574761345E-2</v>
      </c>
      <c r="AE201" s="3">
        <f t="shared" si="32"/>
        <v>2.1443001960769475E-4</v>
      </c>
      <c r="AF201" s="11">
        <f t="shared" si="33"/>
        <v>15.750000000000043</v>
      </c>
      <c r="AG201" s="1">
        <f t="shared" si="34"/>
        <v>0.11907695823235746</v>
      </c>
    </row>
    <row r="202" spans="2:33" ht="15" x14ac:dyDescent="0.25">
      <c r="B202" s="1">
        <v>191</v>
      </c>
      <c r="C202" s="1">
        <v>1.000232020574134</v>
      </c>
      <c r="D202" s="1">
        <v>1.133222267184786</v>
      </c>
      <c r="E202" s="1">
        <v>0.88183254980119008</v>
      </c>
      <c r="G202" s="1">
        <v>0.99948691028950598</v>
      </c>
      <c r="H202" s="1">
        <v>2.9319842116024706</v>
      </c>
      <c r="I202" s="1">
        <v>0.31074174094410595</v>
      </c>
      <c r="K202" s="1">
        <v>1.0006140889553656</v>
      </c>
      <c r="L202" s="1">
        <v>3.4543257377995973</v>
      </c>
      <c r="M202" s="1">
        <v>0.26145295600049101</v>
      </c>
      <c r="O202" s="1">
        <v>5.768234140757748E-3</v>
      </c>
      <c r="P202" s="1">
        <v>0.91227749890612331</v>
      </c>
      <c r="R202" s="1">
        <v>0.13926999642524859</v>
      </c>
      <c r="S202" s="2">
        <f t="shared" si="36"/>
        <v>0.47598172022011165</v>
      </c>
      <c r="T202" s="4">
        <f t="shared" si="37"/>
        <v>0.22655859798369665</v>
      </c>
      <c r="U202" s="1">
        <f t="shared" si="40"/>
        <v>8.5662696080654133E-2</v>
      </c>
      <c r="V202" s="6">
        <f>2*sigma/alpha*corel*(B202/12-1/alpha*(1-EXP(-alpha*Output!B202/12)))</f>
        <v>0.51787395244735479</v>
      </c>
      <c r="W202" s="5">
        <f t="shared" si="38"/>
        <v>-0.14089590190304252</v>
      </c>
      <c r="X202" s="1">
        <f t="shared" si="39"/>
        <v>9.2385658517838181</v>
      </c>
      <c r="Y202" s="3">
        <f t="shared" si="29"/>
        <v>7.9213412640316977E-2</v>
      </c>
      <c r="Z202" s="1">
        <f t="shared" si="30"/>
        <v>0.11930652974946729</v>
      </c>
      <c r="AA202" s="8">
        <f t="shared" si="35"/>
        <v>15.833333333333377</v>
      </c>
      <c r="AB202" s="1">
        <v>15.92</v>
      </c>
      <c r="AC202" s="1">
        <v>5.7693830850000004E-3</v>
      </c>
      <c r="AD202" s="8">
        <f t="shared" si="31"/>
        <v>1.1489442422523907E-2</v>
      </c>
      <c r="AE202" s="3">
        <f t="shared" si="32"/>
        <v>1.9914507761489557E-4</v>
      </c>
      <c r="AF202" s="11">
        <f t="shared" si="33"/>
        <v>15.833333333333377</v>
      </c>
      <c r="AG202" s="1">
        <f t="shared" si="34"/>
        <v>0.11930652974946729</v>
      </c>
    </row>
    <row r="203" spans="2:33" ht="15" x14ac:dyDescent="0.25">
      <c r="B203" s="1">
        <v>192</v>
      </c>
      <c r="C203" s="1">
        <v>1.0002341972509525</v>
      </c>
      <c r="D203" s="1">
        <v>1.132686960309979</v>
      </c>
      <c r="E203" s="1">
        <v>0.88224751979212979</v>
      </c>
      <c r="G203" s="1">
        <v>0.9995011609857567</v>
      </c>
      <c r="H203" s="1">
        <v>2.9202750621466183</v>
      </c>
      <c r="I203" s="1">
        <v>0.31183648041784828</v>
      </c>
      <c r="K203" s="1">
        <v>1.0005622194893649</v>
      </c>
      <c r="L203" s="1">
        <v>3.4572774259408523</v>
      </c>
      <c r="M203" s="1">
        <v>0.26109385620298753</v>
      </c>
      <c r="O203" s="1">
        <v>5.7901585950559586E-3</v>
      </c>
      <c r="P203" s="1">
        <v>0.91151927600652805</v>
      </c>
      <c r="R203" s="1">
        <v>0.13961121374134841</v>
      </c>
      <c r="S203" s="2">
        <f t="shared" si="36"/>
        <v>0.47800134036507524</v>
      </c>
      <c r="T203" s="4">
        <f t="shared" si="37"/>
        <v>0.22848528139080851</v>
      </c>
      <c r="U203" s="1">
        <f t="shared" si="40"/>
        <v>8.6822184155468829E-2</v>
      </c>
      <c r="V203" s="6">
        <f>2*sigma/alpha*corel*(B203/12-1/alpha*(1-EXP(-alpha*Output!B203/12)))</f>
        <v>0.52278882513452674</v>
      </c>
      <c r="W203" s="5">
        <f t="shared" si="38"/>
        <v>-0.14166309723533968</v>
      </c>
      <c r="X203" s="1">
        <f t="shared" si="39"/>
        <v>9.3397463787472788</v>
      </c>
      <c r="Y203" s="3">
        <f t="shared" si="29"/>
        <v>7.9165969964579072E-2</v>
      </c>
      <c r="Z203" s="1">
        <f t="shared" si="30"/>
        <v>0.11950033509126881</v>
      </c>
      <c r="AA203" s="8">
        <f t="shared" si="35"/>
        <v>15.91666666666671</v>
      </c>
      <c r="AB203" s="1">
        <v>16</v>
      </c>
      <c r="AC203" s="1">
        <v>5.7909697199999997E-3</v>
      </c>
      <c r="AD203" s="8">
        <f t="shared" si="31"/>
        <v>8.111249440410917E-3</v>
      </c>
      <c r="AE203" s="3">
        <f t="shared" si="32"/>
        <v>1.4006720519358748E-4</v>
      </c>
      <c r="AF203" s="11">
        <f t="shared" si="33"/>
        <v>15.91666666666671</v>
      </c>
      <c r="AG203" s="1">
        <f t="shared" si="34"/>
        <v>0.11950033509126881</v>
      </c>
    </row>
    <row r="204" spans="2:33" ht="15" x14ac:dyDescent="0.25">
      <c r="B204" s="1">
        <v>193</v>
      </c>
      <c r="C204" s="1">
        <v>1.0002359303850652</v>
      </c>
      <c r="D204" s="1">
        <v>1.1291929078856597</v>
      </c>
      <c r="E204" s="1">
        <v>0.88497566789520976</v>
      </c>
      <c r="G204" s="1">
        <v>0.9994662026151796</v>
      </c>
      <c r="H204" s="1">
        <v>2.8384935209139175</v>
      </c>
      <c r="I204" s="1">
        <v>0.32066549970512787</v>
      </c>
      <c r="K204" s="1">
        <v>1.0005340131686278</v>
      </c>
      <c r="L204" s="1">
        <v>3.4811849357963411</v>
      </c>
      <c r="M204" s="1">
        <v>0.25915787527477846</v>
      </c>
      <c r="O204" s="1">
        <v>5.8126565143347079E-3</v>
      </c>
      <c r="P204" s="1">
        <v>0.9107499552104521</v>
      </c>
      <c r="R204" s="1">
        <v>0.1398289677696761</v>
      </c>
      <c r="S204" s="2">
        <f t="shared" si="36"/>
        <v>0.479698413776661</v>
      </c>
      <c r="T204" s="4">
        <f t="shared" si="37"/>
        <v>0.23011056817984468</v>
      </c>
      <c r="U204" s="1">
        <f t="shared" si="40"/>
        <v>8.7990326903271576E-2</v>
      </c>
      <c r="V204" s="6">
        <f>2*sigma/alpha*corel*(B204/12-1/alpha*(1-EXP(-alpha*Output!B204/12)))</f>
        <v>0.52772200660337454</v>
      </c>
      <c r="W204" s="5">
        <f t="shared" si="38"/>
        <v>-0.14212024127657311</v>
      </c>
      <c r="X204" s="1">
        <f t="shared" si="39"/>
        <v>9.4215593717130304</v>
      </c>
      <c r="Y204" s="3">
        <f t="shared" si="29"/>
        <v>7.9017633230309289E-2</v>
      </c>
      <c r="Z204" s="1">
        <f t="shared" si="30"/>
        <v>0.11961351445467021</v>
      </c>
      <c r="AA204" s="8">
        <f t="shared" si="35"/>
        <v>16.000000000000043</v>
      </c>
      <c r="AB204" s="1">
        <v>16.079999999999998</v>
      </c>
      <c r="AC204" s="1">
        <v>5.8129557980000001E-3</v>
      </c>
      <c r="AD204" s="8">
        <f t="shared" si="31"/>
        <v>2.992836652922562E-3</v>
      </c>
      <c r="AE204" s="3">
        <f t="shared" si="32"/>
        <v>5.1485625504881261E-5</v>
      </c>
      <c r="AF204" s="11">
        <f t="shared" si="33"/>
        <v>16.000000000000043</v>
      </c>
      <c r="AG204" s="1">
        <f t="shared" si="34"/>
        <v>0.11961351445467021</v>
      </c>
    </row>
    <row r="205" spans="2:33" ht="15" x14ac:dyDescent="0.25">
      <c r="B205" s="1">
        <v>194</v>
      </c>
      <c r="C205" s="1">
        <v>1.0002366793516897</v>
      </c>
      <c r="D205" s="1">
        <v>1.1285436238519062</v>
      </c>
      <c r="E205" s="1">
        <v>0.88548304178639448</v>
      </c>
      <c r="G205" s="1">
        <v>0.9993560651582396</v>
      </c>
      <c r="H205" s="1">
        <v>2.8406353420612716</v>
      </c>
      <c r="I205" s="1">
        <v>0.32026842829507818</v>
      </c>
      <c r="K205" s="1">
        <v>1.000564835291921</v>
      </c>
      <c r="L205" s="1">
        <v>3.4494371229508149</v>
      </c>
      <c r="M205" s="1">
        <v>0.26140929791534073</v>
      </c>
      <c r="O205" s="1">
        <v>5.8357149486610062E-3</v>
      </c>
      <c r="P205" s="1">
        <v>0.90996962573937712</v>
      </c>
      <c r="R205" s="1">
        <v>0.14025047292637488</v>
      </c>
      <c r="S205" s="2">
        <f t="shared" si="36"/>
        <v>0.48197426164016488</v>
      </c>
      <c r="T205" s="4">
        <f t="shared" si="37"/>
        <v>0.23229918888358211</v>
      </c>
      <c r="U205" s="1">
        <f t="shared" si="40"/>
        <v>8.9167127543057223E-2</v>
      </c>
      <c r="V205" s="6">
        <f>2*sigma/alpha*corel*(B205/12-1/alpha*(1-EXP(-alpha*Output!B205/12)))</f>
        <v>0.53267343592622973</v>
      </c>
      <c r="W205" s="5">
        <f t="shared" si="38"/>
        <v>-0.14313206134052489</v>
      </c>
      <c r="X205" s="1">
        <f t="shared" si="39"/>
        <v>9.5396142893620635</v>
      </c>
      <c r="Y205" s="3">
        <f t="shared" ref="Y205:Y268" si="41">(-V205+SQRT(X205))/2/B205*12</f>
        <v>7.9050097933726027E-2</v>
      </c>
      <c r="Z205" s="1">
        <f t="shared" ref="Z205:Z268" si="42">S205/SQRT(B205/12)</f>
        <v>0.11987085547704618</v>
      </c>
      <c r="AA205" s="8">
        <f t="shared" si="35"/>
        <v>16.083333333333375</v>
      </c>
      <c r="AB205" s="1">
        <v>16.170000000000002</v>
      </c>
      <c r="AC205" s="1">
        <v>5.8355458269999999E-3</v>
      </c>
      <c r="AD205" s="8">
        <f t="shared" ref="AD205:AD268" si="43">(AC205-O205)*10000</f>
        <v>-1.6912166100630649E-3</v>
      </c>
      <c r="AE205" s="3">
        <f t="shared" ref="AE205:AE268" si="44">AD205/AC205/10000</f>
        <v>-2.8981292585144581E-5</v>
      </c>
      <c r="AF205" s="11">
        <f t="shared" ref="AF205:AF268" si="45">AA205</f>
        <v>16.083333333333375</v>
      </c>
      <c r="AG205" s="1">
        <f t="shared" ref="AG205:AG268" si="46">Z205</f>
        <v>0.11987085547704618</v>
      </c>
    </row>
    <row r="206" spans="2:33" ht="15" x14ac:dyDescent="0.25">
      <c r="B206" s="1">
        <v>195</v>
      </c>
      <c r="C206" s="1">
        <v>1.0002406322441704</v>
      </c>
      <c r="D206" s="1">
        <v>1.1306993770842617</v>
      </c>
      <c r="E206" s="1">
        <v>0.88379303974679901</v>
      </c>
      <c r="G206" s="1">
        <v>0.99951280243168406</v>
      </c>
      <c r="H206" s="1">
        <v>2.8664159765338515</v>
      </c>
      <c r="I206" s="1">
        <v>0.31723410823657811</v>
      </c>
      <c r="K206" s="1">
        <v>1.0007437369194119</v>
      </c>
      <c r="L206" s="1">
        <v>3.5453572142455161</v>
      </c>
      <c r="M206" s="1">
        <v>0.25420315512311581</v>
      </c>
      <c r="O206" s="1">
        <v>5.8592624135698507E-3</v>
      </c>
      <c r="P206" s="1">
        <v>0.90917924573140274</v>
      </c>
      <c r="R206" s="1">
        <v>0.14080683635456359</v>
      </c>
      <c r="S206" s="2">
        <f t="shared" si="36"/>
        <v>0.48463890269382481</v>
      </c>
      <c r="T206" s="4">
        <f t="shared" si="37"/>
        <v>0.2348748660042746</v>
      </c>
      <c r="U206" s="1">
        <f t="shared" si="40"/>
        <v>9.0352589070352707E-2</v>
      </c>
      <c r="V206" s="6">
        <f>2*sigma/alpha*corel*(B206/12-1/alpha*(1-EXP(-alpha*Output!B206/12)))</f>
        <v>0.53764305237817522</v>
      </c>
      <c r="W206" s="5">
        <f t="shared" si="38"/>
        <v>-0.14452227693392189</v>
      </c>
      <c r="X206" s="1">
        <f t="shared" si="39"/>
        <v>9.6830080524754436</v>
      </c>
      <c r="Y206" s="3">
        <f t="shared" si="41"/>
        <v>7.9203389527236351E-2</v>
      </c>
      <c r="Z206" s="1">
        <f t="shared" si="42"/>
        <v>0.12022411533446757</v>
      </c>
      <c r="AA206" s="8">
        <f t="shared" ref="AA206:AA269" si="47">AA205+1/12</f>
        <v>16.166666666666707</v>
      </c>
      <c r="AB206" s="1">
        <v>16.25</v>
      </c>
      <c r="AC206" s="1">
        <v>5.8587288899999996E-3</v>
      </c>
      <c r="AD206" s="8">
        <f t="shared" si="43"/>
        <v>-5.3352356985114646E-3</v>
      </c>
      <c r="AE206" s="3">
        <f t="shared" si="44"/>
        <v>-9.1064730911477034E-5</v>
      </c>
      <c r="AF206" s="11">
        <f t="shared" si="45"/>
        <v>16.166666666666707</v>
      </c>
      <c r="AG206" s="1">
        <f t="shared" si="46"/>
        <v>0.12022411533446757</v>
      </c>
    </row>
    <row r="207" spans="2:33" ht="15" x14ac:dyDescent="0.25">
      <c r="B207" s="1">
        <v>196</v>
      </c>
      <c r="C207" s="1">
        <v>1.0002444498611258</v>
      </c>
      <c r="D207" s="1">
        <v>1.1336742483673776</v>
      </c>
      <c r="E207" s="1">
        <v>0.88147212130827857</v>
      </c>
      <c r="G207" s="1">
        <v>0.999653048440312</v>
      </c>
      <c r="H207" s="1">
        <v>2.9340355849081119</v>
      </c>
      <c r="I207" s="1">
        <v>0.30977274001430538</v>
      </c>
      <c r="K207" s="1">
        <v>1.0006674656589531</v>
      </c>
      <c r="L207" s="1">
        <v>3.7096455490687772</v>
      </c>
      <c r="M207" s="1">
        <v>0.24280667226374775</v>
      </c>
      <c r="O207" s="1">
        <v>5.8833138646919442E-3</v>
      </c>
      <c r="P207" s="1">
        <v>0.90837850959416699</v>
      </c>
      <c r="R207" s="1">
        <v>0.14094784071629621</v>
      </c>
      <c r="S207" s="2">
        <f t="shared" si="36"/>
        <v>0.48617393715743484</v>
      </c>
      <c r="T207" s="4">
        <f t="shared" si="37"/>
        <v>0.23636509717116141</v>
      </c>
      <c r="U207" s="1">
        <f t="shared" si="40"/>
        <v>9.1546714259375328E-2</v>
      </c>
      <c r="V207" s="6">
        <f>2*sigma/alpha*corel*(B207/12-1/alpha*(1-EXP(-alpha*Output!B207/12)))</f>
        <v>0.5426307954363756</v>
      </c>
      <c r="W207" s="5">
        <f t="shared" si="38"/>
        <v>-0.14481838291178609</v>
      </c>
      <c r="X207" s="1">
        <f t="shared" si="39"/>
        <v>9.7559158637259387</v>
      </c>
      <c r="Y207" s="3">
        <f t="shared" si="41"/>
        <v>7.9004551728022662E-2</v>
      </c>
      <c r="Z207" s="1">
        <f t="shared" si="42"/>
        <v>0.12029685149606793</v>
      </c>
      <c r="AA207" s="8">
        <f t="shared" si="47"/>
        <v>16.250000000000039</v>
      </c>
      <c r="AB207" s="1">
        <v>16.329999999999998</v>
      </c>
      <c r="AC207" s="1">
        <v>5.8824402149999996E-3</v>
      </c>
      <c r="AD207" s="8">
        <f t="shared" si="43"/>
        <v>-8.7364969194453357E-3</v>
      </c>
      <c r="AE207" s="3">
        <f t="shared" si="44"/>
        <v>-1.4851824413221574E-4</v>
      </c>
      <c r="AF207" s="11">
        <f t="shared" si="45"/>
        <v>16.250000000000039</v>
      </c>
      <c r="AG207" s="1">
        <f t="shared" si="46"/>
        <v>0.12029685149606793</v>
      </c>
    </row>
    <row r="208" spans="2:33" ht="15" x14ac:dyDescent="0.25">
      <c r="B208" s="1">
        <v>197</v>
      </c>
      <c r="C208" s="1">
        <v>1.0002445401028179</v>
      </c>
      <c r="D208" s="1">
        <v>1.1324665376326908</v>
      </c>
      <c r="E208" s="1">
        <v>0.88241040439689578</v>
      </c>
      <c r="G208" s="1">
        <v>0.99949160283269589</v>
      </c>
      <c r="H208" s="1">
        <v>2.908042592755832</v>
      </c>
      <c r="I208" s="1">
        <v>0.31239012695597523</v>
      </c>
      <c r="K208" s="1">
        <v>1.0006449306575929</v>
      </c>
      <c r="L208" s="1">
        <v>3.6043926629311702</v>
      </c>
      <c r="M208" s="1">
        <v>0.24976135310299286</v>
      </c>
      <c r="O208" s="1">
        <v>5.9077462812387261E-3</v>
      </c>
      <c r="P208" s="1">
        <v>0.90756916447448888</v>
      </c>
      <c r="R208" s="1">
        <v>0.14118719397108209</v>
      </c>
      <c r="S208" s="2">
        <f t="shared" si="36"/>
        <v>0.48799416004637886</v>
      </c>
      <c r="T208" s="4">
        <f t="shared" si="37"/>
        <v>0.23813830023937083</v>
      </c>
      <c r="U208" s="1">
        <f t="shared" si="40"/>
        <v>9.2749505665170151E-2</v>
      </c>
      <c r="V208" s="6">
        <f>2*sigma/alpha*corel*(B208/12-1/alpha*(1-EXP(-alpha*Output!B208/12)))</f>
        <v>0.54763660477940146</v>
      </c>
      <c r="W208" s="5">
        <f t="shared" si="38"/>
        <v>-0.14538879457420067</v>
      </c>
      <c r="X208" s="1">
        <f t="shared" si="39"/>
        <v>9.8471033612668215</v>
      </c>
      <c r="Y208" s="3">
        <f t="shared" si="41"/>
        <v>7.8894604680056657E-2</v>
      </c>
      <c r="Z208" s="1">
        <f t="shared" si="42"/>
        <v>0.12044038487566039</v>
      </c>
      <c r="AA208" s="8">
        <f t="shared" si="47"/>
        <v>16.333333333333371</v>
      </c>
      <c r="AB208" s="1">
        <v>16.420000000000002</v>
      </c>
      <c r="AC208" s="1">
        <v>5.9066150300000004E-3</v>
      </c>
      <c r="AD208" s="8">
        <f t="shared" si="43"/>
        <v>-1.1312512387257057E-2</v>
      </c>
      <c r="AE208" s="3">
        <f t="shared" si="44"/>
        <v>-1.9152276438874424E-4</v>
      </c>
      <c r="AF208" s="11">
        <f t="shared" si="45"/>
        <v>16.333333333333371</v>
      </c>
      <c r="AG208" s="1">
        <f t="shared" si="46"/>
        <v>0.12044038487566039</v>
      </c>
    </row>
    <row r="209" spans="2:33" ht="15" x14ac:dyDescent="0.25">
      <c r="B209" s="1">
        <v>198</v>
      </c>
      <c r="C209" s="1">
        <v>1.0002443006624846</v>
      </c>
      <c r="D209" s="1">
        <v>1.1320791307722327</v>
      </c>
      <c r="E209" s="1">
        <v>0.88271062047027415</v>
      </c>
      <c r="G209" s="1">
        <v>0.99931198337545646</v>
      </c>
      <c r="H209" s="1">
        <v>2.8963491184143733</v>
      </c>
      <c r="I209" s="1">
        <v>0.31349935234628717</v>
      </c>
      <c r="K209" s="1">
        <v>1.0007386622272432</v>
      </c>
      <c r="L209" s="1">
        <v>3.6286214984831338</v>
      </c>
      <c r="M209" s="1">
        <v>0.24796668326560928</v>
      </c>
      <c r="O209" s="1">
        <v>5.9325774807290604E-3</v>
      </c>
      <c r="P209" s="1">
        <v>0.90675088171242779</v>
      </c>
      <c r="R209" s="1">
        <v>0.14165372413677338</v>
      </c>
      <c r="S209" s="2">
        <f t="shared" si="36"/>
        <v>0.49045730165728685</v>
      </c>
      <c r="T209" s="4">
        <f t="shared" si="37"/>
        <v>0.24054836474894686</v>
      </c>
      <c r="U209" s="1">
        <f t="shared" si="40"/>
        <v>9.3960965625738968E-2</v>
      </c>
      <c r="V209" s="6">
        <f>2*sigma/alpha*corel*(B209/12-1/alpha*(1-EXP(-alpha*Output!B209/12)))</f>
        <v>0.55266042028655993</v>
      </c>
      <c r="W209" s="5">
        <f t="shared" si="38"/>
        <v>-0.1465873991232079</v>
      </c>
      <c r="X209" s="1">
        <f t="shared" si="39"/>
        <v>9.980201882283037</v>
      </c>
      <c r="Y209" s="3">
        <f t="shared" si="41"/>
        <v>7.8984403990853033E-2</v>
      </c>
      <c r="Z209" s="1">
        <f t="shared" si="42"/>
        <v>0.12074224104539159</v>
      </c>
      <c r="AA209" s="8">
        <f t="shared" si="47"/>
        <v>16.416666666666703</v>
      </c>
      <c r="AB209" s="1">
        <v>16.5</v>
      </c>
      <c r="AC209" s="1">
        <v>5.9311885639999999E-3</v>
      </c>
      <c r="AD209" s="8">
        <f t="shared" si="43"/>
        <v>-1.3889167290604548E-2</v>
      </c>
      <c r="AE209" s="3">
        <f t="shared" si="44"/>
        <v>-2.3417173709341116E-4</v>
      </c>
      <c r="AF209" s="11">
        <f t="shared" si="45"/>
        <v>16.416666666666703</v>
      </c>
      <c r="AG209" s="1">
        <f t="shared" si="46"/>
        <v>0.12074224104539159</v>
      </c>
    </row>
    <row r="210" spans="2:33" ht="15" x14ac:dyDescent="0.25">
      <c r="B210" s="1">
        <v>199</v>
      </c>
      <c r="C210" s="1">
        <v>1.0002464356667169</v>
      </c>
      <c r="D210" s="1">
        <v>1.1333657868184126</v>
      </c>
      <c r="E210" s="1">
        <v>0.88170677628078642</v>
      </c>
      <c r="G210" s="1">
        <v>0.99931945785217013</v>
      </c>
      <c r="H210" s="1">
        <v>2.9761707671595463</v>
      </c>
      <c r="I210" s="1">
        <v>0.30494338109049135</v>
      </c>
      <c r="K210" s="1">
        <v>1.0006881823851324</v>
      </c>
      <c r="L210" s="1">
        <v>3.6487743485766075</v>
      </c>
      <c r="M210" s="1">
        <v>0.24646523174759177</v>
      </c>
      <c r="O210" s="1">
        <v>5.9576999925517009E-3</v>
      </c>
      <c r="P210" s="1">
        <v>0.90592521103181345</v>
      </c>
      <c r="R210" s="1">
        <v>0.14201645673687421</v>
      </c>
      <c r="S210" s="2">
        <f t="shared" si="36"/>
        <v>0.4926461730736359</v>
      </c>
      <c r="T210" s="4">
        <f t="shared" si="37"/>
        <v>0.24270025184409882</v>
      </c>
      <c r="U210" s="1">
        <f t="shared" si="40"/>
        <v>9.5181096264145282E-2</v>
      </c>
      <c r="V210" s="6">
        <f>2*sigma/alpha*corel*(B210/12-1/alpha*(1-EXP(-alpha*Output!B210/12)))</f>
        <v>0.55770218203722766</v>
      </c>
      <c r="W210" s="5">
        <f t="shared" si="38"/>
        <v>-0.14751915557995354</v>
      </c>
      <c r="X210" s="1">
        <f t="shared" si="39"/>
        <v>10.096469043986003</v>
      </c>
      <c r="Y210" s="3">
        <f t="shared" si="41"/>
        <v>7.8988702412638223E-2</v>
      </c>
      <c r="Z210" s="1">
        <f t="shared" si="42"/>
        <v>0.12097599375899257</v>
      </c>
      <c r="AA210" s="8">
        <f t="shared" si="47"/>
        <v>16.500000000000036</v>
      </c>
      <c r="AB210" s="1">
        <v>16.579999999999998</v>
      </c>
      <c r="AC210" s="1">
        <v>5.9560960450000004E-3</v>
      </c>
      <c r="AD210" s="8">
        <f t="shared" si="43"/>
        <v>-1.6039475517004922E-2</v>
      </c>
      <c r="AE210" s="3">
        <f t="shared" si="44"/>
        <v>-2.6929511203013047E-4</v>
      </c>
      <c r="AF210" s="11">
        <f t="shared" si="45"/>
        <v>16.500000000000036</v>
      </c>
      <c r="AG210" s="1">
        <f t="shared" si="46"/>
        <v>0.12097599375899257</v>
      </c>
    </row>
    <row r="211" spans="2:33" ht="15" x14ac:dyDescent="0.25">
      <c r="B211" s="1">
        <v>200</v>
      </c>
      <c r="C211" s="1">
        <v>1.0002490042166636</v>
      </c>
      <c r="D211" s="1">
        <v>1.1347652522171996</v>
      </c>
      <c r="E211" s="1">
        <v>0.8806176607882068</v>
      </c>
      <c r="G211" s="1">
        <v>0.99935702038752583</v>
      </c>
      <c r="H211" s="1">
        <v>3.0000545789979558</v>
      </c>
      <c r="I211" s="1">
        <v>0.3023691008098599</v>
      </c>
      <c r="K211" s="1">
        <v>1.0008510521899023</v>
      </c>
      <c r="L211" s="1">
        <v>3.7455506804616445</v>
      </c>
      <c r="M211" s="1">
        <v>0.23996635438294306</v>
      </c>
      <c r="O211" s="1">
        <v>5.9831309656700063E-3</v>
      </c>
      <c r="P211" s="1">
        <v>0.90509184935883813</v>
      </c>
      <c r="R211" s="1">
        <v>0.1422891764148454</v>
      </c>
      <c r="S211" s="2">
        <f t="shared" si="36"/>
        <v>0.49459868033184018</v>
      </c>
      <c r="T211" s="4">
        <f t="shared" si="37"/>
        <v>0.24462785458599784</v>
      </c>
      <c r="U211" s="1">
        <f t="shared" si="40"/>
        <v>9.6409899490605078E-2</v>
      </c>
      <c r="V211" s="6">
        <f>2*sigma/alpha*corel*(B211/12-1/alpha*(1-EXP(-alpha*Output!B211/12)))</f>
        <v>0.56276183031018356</v>
      </c>
      <c r="W211" s="5">
        <f t="shared" si="38"/>
        <v>-0.14821795509539276</v>
      </c>
      <c r="X211" s="1">
        <f t="shared" si="39"/>
        <v>10.197897884013585</v>
      </c>
      <c r="Y211" s="3">
        <f t="shared" si="41"/>
        <v>7.8919588147290012E-2</v>
      </c>
      <c r="Z211" s="1">
        <f t="shared" si="42"/>
        <v>0.12115143942669385</v>
      </c>
      <c r="AA211" s="8">
        <f t="shared" si="47"/>
        <v>16.583333333333368</v>
      </c>
      <c r="AB211" s="1">
        <v>16.670000000000002</v>
      </c>
      <c r="AC211" s="1">
        <v>5.9812725470000001E-3</v>
      </c>
      <c r="AD211" s="8">
        <f t="shared" si="43"/>
        <v>-1.8584186700061969E-2</v>
      </c>
      <c r="AE211" s="3">
        <f t="shared" si="44"/>
        <v>-3.1070623440129232E-4</v>
      </c>
      <c r="AF211" s="11">
        <f t="shared" si="45"/>
        <v>16.583333333333368</v>
      </c>
      <c r="AG211" s="1">
        <f t="shared" si="46"/>
        <v>0.12115143942669385</v>
      </c>
    </row>
    <row r="212" spans="2:33" ht="15" x14ac:dyDescent="0.25">
      <c r="B212" s="1">
        <v>201</v>
      </c>
      <c r="C212" s="1">
        <v>1.0002530400033112</v>
      </c>
      <c r="D212" s="1">
        <v>1.1352055348144447</v>
      </c>
      <c r="E212" s="1">
        <v>0.88027438614546794</v>
      </c>
      <c r="G212" s="1">
        <v>0.99951220545791508</v>
      </c>
      <c r="H212" s="1">
        <v>3.0180434067746926</v>
      </c>
      <c r="I212" s="1">
        <v>0.30042121248352999</v>
      </c>
      <c r="K212" s="1">
        <v>1.0008036976369357</v>
      </c>
      <c r="L212" s="1">
        <v>3.6162361065946649</v>
      </c>
      <c r="M212" s="1">
        <v>0.24842429460907667</v>
      </c>
      <c r="O212" s="1">
        <v>6.0087316453921961E-3</v>
      </c>
      <c r="P212" s="1">
        <v>0.90425285118577525</v>
      </c>
      <c r="R212" s="1">
        <v>0.14258188201869998</v>
      </c>
      <c r="S212" s="2">
        <f t="shared" si="36"/>
        <v>0.4966164608465734</v>
      </c>
      <c r="T212" s="4">
        <f t="shared" si="37"/>
        <v>0.24662790918377617</v>
      </c>
      <c r="U212" s="1">
        <f t="shared" si="40"/>
        <v>9.7647377004565161E-2</v>
      </c>
      <c r="V212" s="6">
        <f>2*sigma/alpha*corel*(B212/12-1/alpha*(1-EXP(-alpha*Output!B212/12)))</f>
        <v>0.56783930558294515</v>
      </c>
      <c r="W212" s="5">
        <f t="shared" si="38"/>
        <v>-0.14898053217921101</v>
      </c>
      <c r="X212" s="1">
        <f t="shared" si="39"/>
        <v>10.304137132972059</v>
      </c>
      <c r="Y212" s="3">
        <f t="shared" si="41"/>
        <v>7.8870641145190379E-2</v>
      </c>
      <c r="Z212" s="1">
        <f t="shared" si="42"/>
        <v>0.12134271415964136</v>
      </c>
      <c r="AA212" s="8">
        <f t="shared" si="47"/>
        <v>16.6666666666667</v>
      </c>
      <c r="AB212" s="1">
        <v>16.75</v>
      </c>
      <c r="AC212" s="1">
        <v>6.0066525270000004E-3</v>
      </c>
      <c r="AD212" s="8">
        <f t="shared" si="43"/>
        <v>-2.0791183921956696E-2</v>
      </c>
      <c r="AE212" s="3">
        <f t="shared" si="44"/>
        <v>-3.4613595223795593E-4</v>
      </c>
      <c r="AF212" s="11">
        <f t="shared" si="45"/>
        <v>16.6666666666667</v>
      </c>
      <c r="AG212" s="1">
        <f t="shared" si="46"/>
        <v>0.12134271415964136</v>
      </c>
    </row>
    <row r="213" spans="2:33" ht="15" x14ac:dyDescent="0.25">
      <c r="B213" s="1">
        <v>202</v>
      </c>
      <c r="C213" s="1">
        <v>1.000256512584645</v>
      </c>
      <c r="D213" s="1">
        <v>1.1375891174467385</v>
      </c>
      <c r="E213" s="1">
        <v>0.87842822928324615</v>
      </c>
      <c r="G213" s="1">
        <v>0.99962980840282212</v>
      </c>
      <c r="H213" s="1">
        <v>3.0178608674897034</v>
      </c>
      <c r="I213" s="1">
        <v>0.30029381027636959</v>
      </c>
      <c r="K213" s="1">
        <v>1.0007566432921571</v>
      </c>
      <c r="L213" s="1">
        <v>3.4873152050594212</v>
      </c>
      <c r="M213" s="1">
        <v>0.25746094677062598</v>
      </c>
      <c r="O213" s="1">
        <v>6.0344386533782912E-3</v>
      </c>
      <c r="P213" s="1">
        <v>0.90340915910387942</v>
      </c>
      <c r="R213" s="1">
        <v>0.14270746061153539</v>
      </c>
      <c r="S213" s="2">
        <f t="shared" si="36"/>
        <v>0.49817864084524344</v>
      </c>
      <c r="T213" s="4">
        <f t="shared" si="37"/>
        <v>0.24818195819441405</v>
      </c>
      <c r="U213" s="1">
        <f t="shared" si="40"/>
        <v>9.88935302967624E-2</v>
      </c>
      <c r="V213" s="6">
        <f>2*sigma/alpha*corel*(B213/12-1/alpha*(1-EXP(-alpha*Output!B213/12)))</f>
        <v>0.57293454853110948</v>
      </c>
      <c r="W213" s="5">
        <f t="shared" si="38"/>
        <v>-0.14928842789765165</v>
      </c>
      <c r="X213" s="1">
        <f t="shared" si="39"/>
        <v>10.380341475342425</v>
      </c>
      <c r="Y213" s="3">
        <f t="shared" si="41"/>
        <v>7.8680767848580538E-2</v>
      </c>
      <c r="Z213" s="1">
        <f t="shared" si="42"/>
        <v>0.12142274360684943</v>
      </c>
      <c r="AA213" s="8">
        <f t="shared" si="47"/>
        <v>16.750000000000032</v>
      </c>
      <c r="AB213" s="1">
        <v>16.829999999999998</v>
      </c>
      <c r="AC213" s="1">
        <v>6.0321702899999996E-3</v>
      </c>
      <c r="AD213" s="8">
        <f t="shared" si="43"/>
        <v>-2.268363378291581E-2</v>
      </c>
      <c r="AE213" s="3">
        <f t="shared" si="44"/>
        <v>-3.7604432057430876E-4</v>
      </c>
      <c r="AF213" s="11">
        <f t="shared" si="45"/>
        <v>16.750000000000032</v>
      </c>
      <c r="AG213" s="1">
        <f t="shared" si="46"/>
        <v>0.12142274360684943</v>
      </c>
    </row>
    <row r="214" spans="2:33" ht="15" x14ac:dyDescent="0.25">
      <c r="B214" s="1">
        <v>203</v>
      </c>
      <c r="C214" s="1">
        <v>1.0002579111956129</v>
      </c>
      <c r="D214" s="1">
        <v>1.13639715838128</v>
      </c>
      <c r="E214" s="1">
        <v>0.87934788539384756</v>
      </c>
      <c r="G214" s="1">
        <v>0.99957225906324698</v>
      </c>
      <c r="H214" s="1">
        <v>2.9866561507692495</v>
      </c>
      <c r="I214" s="1">
        <v>0.3032842740490953</v>
      </c>
      <c r="K214" s="1">
        <v>1.0008615252173221</v>
      </c>
      <c r="L214" s="1">
        <v>3.3932780677894123</v>
      </c>
      <c r="M214" s="1">
        <v>0.26445497556422404</v>
      </c>
      <c r="O214" s="1">
        <v>6.0601772258161452E-3</v>
      </c>
      <c r="P214" s="1">
        <v>0.90256190523434032</v>
      </c>
      <c r="R214" s="1">
        <v>0.14313072564047957</v>
      </c>
      <c r="S214" s="2">
        <f t="shared" si="36"/>
        <v>0.50057453832360443</v>
      </c>
      <c r="T214" s="4">
        <f t="shared" si="37"/>
        <v>0.25057486841788973</v>
      </c>
      <c r="U214" s="1">
        <f t="shared" si="40"/>
        <v>0.10014836065126431</v>
      </c>
      <c r="V214" s="6">
        <f>2*sigma/alpha*corel*(B214/12-1/alpha*(1-EXP(-alpha*Output!B214/12)))</f>
        <v>0.57804750002769123</v>
      </c>
      <c r="W214" s="5">
        <f t="shared" si="38"/>
        <v>-0.15042650776662542</v>
      </c>
      <c r="X214" s="1">
        <f t="shared" si="39"/>
        <v>10.512999271163251</v>
      </c>
      <c r="Y214" s="3">
        <f t="shared" si="41"/>
        <v>7.8748612605816337E-2</v>
      </c>
      <c r="Z214" s="1">
        <f t="shared" si="42"/>
        <v>0.12170582357752294</v>
      </c>
      <c r="AA214" s="8">
        <f t="shared" si="47"/>
        <v>16.833333333333364</v>
      </c>
      <c r="AB214" s="1">
        <v>16.920000000000002</v>
      </c>
      <c r="AC214" s="1">
        <v>6.05776014E-3</v>
      </c>
      <c r="AD214" s="8">
        <f t="shared" si="43"/>
        <v>-2.4170858161452063E-2</v>
      </c>
      <c r="AE214" s="3">
        <f t="shared" si="44"/>
        <v>-3.9900652391053673E-4</v>
      </c>
      <c r="AF214" s="11">
        <f t="shared" si="45"/>
        <v>16.833333333333364</v>
      </c>
      <c r="AG214" s="1">
        <f t="shared" si="46"/>
        <v>0.12170582357752294</v>
      </c>
    </row>
    <row r="215" spans="2:33" ht="15" x14ac:dyDescent="0.25">
      <c r="B215" s="1">
        <v>204</v>
      </c>
      <c r="C215" s="1">
        <v>1.0002562034699589</v>
      </c>
      <c r="D215" s="1">
        <v>1.1390725390414906</v>
      </c>
      <c r="E215" s="1">
        <v>0.87728081674090375</v>
      </c>
      <c r="G215" s="1">
        <v>0.99927362193945224</v>
      </c>
      <c r="H215" s="1">
        <v>3.0512175134770914</v>
      </c>
      <c r="I215" s="1">
        <v>0.29672318231327133</v>
      </c>
      <c r="K215" s="1">
        <v>1.0008056936349627</v>
      </c>
      <c r="L215" s="1">
        <v>3.4586243676063924</v>
      </c>
      <c r="M215" s="1">
        <v>0.25933232690169383</v>
      </c>
      <c r="O215" s="1">
        <v>6.0859207431212467E-3</v>
      </c>
      <c r="P215" s="1">
        <v>0.90171150201718564</v>
      </c>
      <c r="R215" s="1">
        <v>0.14341060839008776</v>
      </c>
      <c r="S215" s="2">
        <f t="shared" ref="S215:S278" si="48">optim_vol_implied(P215,R215)</f>
        <v>0.50257855026062837</v>
      </c>
      <c r="T215" s="4">
        <f t="shared" ref="T215:T278" si="49">S215*S215</f>
        <v>0.25258519918207495</v>
      </c>
      <c r="U215" s="1">
        <f t="shared" si="40"/>
        <v>0.10141186914750167</v>
      </c>
      <c r="V215" s="6">
        <f>2*sigma/alpha*corel*(B215/12-1/alpha*(1-EXP(-alpha*Output!B215/12)))</f>
        <v>0.58317810114246726</v>
      </c>
      <c r="W215" s="5">
        <f t="shared" ref="W215:W278" si="50">U215-T215</f>
        <v>-0.15117333003457328</v>
      </c>
      <c r="X215" s="1">
        <f t="shared" ref="X215:X278" si="51">V215*V215-4*W215*B215/12</f>
        <v>10.619883140003118</v>
      </c>
      <c r="Y215" s="3">
        <f t="shared" si="41"/>
        <v>7.8695238718934635E-2</v>
      </c>
      <c r="Z215" s="1">
        <f t="shared" si="42"/>
        <v>0.12189320281731558</v>
      </c>
      <c r="AA215" s="8">
        <f t="shared" si="47"/>
        <v>16.916666666666696</v>
      </c>
      <c r="AB215" s="1">
        <v>17</v>
      </c>
      <c r="AC215" s="1">
        <v>6.0833563789999996E-3</v>
      </c>
      <c r="AD215" s="8">
        <f t="shared" si="43"/>
        <v>-2.5643641212470814E-2</v>
      </c>
      <c r="AE215" s="3">
        <f t="shared" si="44"/>
        <v>-4.2153771067882415E-4</v>
      </c>
      <c r="AF215" s="11">
        <f t="shared" si="45"/>
        <v>16.916666666666696</v>
      </c>
      <c r="AG215" s="1">
        <f t="shared" si="46"/>
        <v>0.12189320281731558</v>
      </c>
    </row>
    <row r="216" spans="2:33" ht="15" x14ac:dyDescent="0.25">
      <c r="B216" s="1">
        <v>205</v>
      </c>
      <c r="C216" s="1">
        <v>1.000255427133621</v>
      </c>
      <c r="D216" s="1">
        <v>1.1372138858420053</v>
      </c>
      <c r="E216" s="1">
        <v>0.87871292628608955</v>
      </c>
      <c r="G216" s="1">
        <v>0.99903672448904113</v>
      </c>
      <c r="H216" s="1">
        <v>3.0038163922021366</v>
      </c>
      <c r="I216" s="1">
        <v>0.30125953264446692</v>
      </c>
      <c r="K216" s="1">
        <v>1.0009412593155265</v>
      </c>
      <c r="L216" s="1">
        <v>3.505103111587053</v>
      </c>
      <c r="M216" s="1">
        <v>0.25574494072308179</v>
      </c>
      <c r="O216" s="1">
        <v>6.1115262118793274E-3</v>
      </c>
      <c r="P216" s="1">
        <v>0.90086015936387365</v>
      </c>
      <c r="R216" s="1">
        <v>0.14369730678978665</v>
      </c>
      <c r="S216" s="2">
        <f t="shared" si="48"/>
        <v>0.50460473803228134</v>
      </c>
      <c r="T216" s="4">
        <f t="shared" si="49"/>
        <v>0.25462594164462726</v>
      </c>
      <c r="U216" s="1">
        <f t="shared" si="40"/>
        <v>0.10268405666227798</v>
      </c>
      <c r="V216" s="6">
        <f>2*sigma/alpha*corel*(B216/12-1/alpha*(1-EXP(-alpha*Output!B216/12)))</f>
        <v>0.58832629314132201</v>
      </c>
      <c r="W216" s="5">
        <f t="shared" si="50"/>
        <v>-0.15194188498234928</v>
      </c>
      <c r="X216" s="1">
        <f t="shared" si="51"/>
        <v>10.728823300995277</v>
      </c>
      <c r="Y216" s="3">
        <f t="shared" si="41"/>
        <v>7.8648642751939585E-2</v>
      </c>
      <c r="Z216" s="1">
        <f t="shared" si="42"/>
        <v>0.12208576153442954</v>
      </c>
      <c r="AA216" s="8">
        <f t="shared" si="47"/>
        <v>17.000000000000028</v>
      </c>
      <c r="AB216" s="1">
        <v>17.079999999999998</v>
      </c>
      <c r="AC216" s="1">
        <v>6.1088933140000003E-3</v>
      </c>
      <c r="AD216" s="8">
        <f t="shared" si="43"/>
        <v>-2.6328978793271202E-2</v>
      </c>
      <c r="AE216" s="3">
        <f t="shared" si="44"/>
        <v>-4.3099424789318235E-4</v>
      </c>
      <c r="AF216" s="11">
        <f t="shared" si="45"/>
        <v>17.000000000000028</v>
      </c>
      <c r="AG216" s="1">
        <f t="shared" si="46"/>
        <v>0.12208576153442954</v>
      </c>
    </row>
    <row r="217" spans="2:33" ht="15" x14ac:dyDescent="0.25">
      <c r="B217" s="1">
        <v>206</v>
      </c>
      <c r="C217" s="1">
        <v>1.0002566707013845</v>
      </c>
      <c r="D217" s="1">
        <v>1.1394977730091651</v>
      </c>
      <c r="E217" s="1">
        <v>0.87695002518744969</v>
      </c>
      <c r="G217" s="1">
        <v>0.9989711569667834</v>
      </c>
      <c r="H217" s="1">
        <v>3.0584471961577546</v>
      </c>
      <c r="I217" s="1">
        <v>0.29573500554058257</v>
      </c>
      <c r="K217" s="1">
        <v>1.0009185301184942</v>
      </c>
      <c r="L217" s="1">
        <v>3.448071461680112</v>
      </c>
      <c r="M217" s="1">
        <v>0.25984615453250065</v>
      </c>
      <c r="O217" s="1">
        <v>6.1369824915025514E-3</v>
      </c>
      <c r="P217" s="1">
        <v>0.90000808463464088</v>
      </c>
      <c r="R217" s="1">
        <v>0.14412996001461931</v>
      </c>
      <c r="S217" s="2">
        <f t="shared" si="48"/>
        <v>0.50704079270083735</v>
      </c>
      <c r="T217" s="4">
        <f t="shared" si="49"/>
        <v>0.25709036546269354</v>
      </c>
      <c r="U217" s="1">
        <f t="shared" si="40"/>
        <v>0.10396492387176526</v>
      </c>
      <c r="V217" s="6">
        <f>2*sigma/alpha*corel*(B217/12-1/alpha*(1-EXP(-alpha*Output!B217/12)))</f>
        <v>0.59349201748559333</v>
      </c>
      <c r="W217" s="5">
        <f t="shared" si="50"/>
        <v>-0.15312544159092828</v>
      </c>
      <c r="X217" s="1">
        <f t="shared" si="51"/>
        <v>10.866846430729527</v>
      </c>
      <c r="Y217" s="3">
        <f t="shared" si="41"/>
        <v>7.872809706682439E-2</v>
      </c>
      <c r="Z217" s="1">
        <f t="shared" si="42"/>
        <v>0.12237703131692365</v>
      </c>
      <c r="AA217" s="8">
        <f t="shared" si="47"/>
        <v>17.083333333333361</v>
      </c>
      <c r="AB217" s="1">
        <v>17.170000000000002</v>
      </c>
      <c r="AC217" s="1">
        <v>6.1343167059999997E-3</v>
      </c>
      <c r="AD217" s="8">
        <f t="shared" si="43"/>
        <v>-2.6657855025516777E-2</v>
      </c>
      <c r="AE217" s="3">
        <f t="shared" si="44"/>
        <v>-4.3456926505673605E-4</v>
      </c>
      <c r="AF217" s="11">
        <f t="shared" si="45"/>
        <v>17.083333333333361</v>
      </c>
      <c r="AG217" s="1">
        <f t="shared" si="46"/>
        <v>0.12237703131692365</v>
      </c>
    </row>
    <row r="218" spans="2:33" ht="15" x14ac:dyDescent="0.25">
      <c r="B218" s="1">
        <v>207</v>
      </c>
      <c r="C218" s="1">
        <v>1.0002581585871235</v>
      </c>
      <c r="D218" s="1">
        <v>1.1419454838759073</v>
      </c>
      <c r="E218" s="1">
        <v>0.87506862550388242</v>
      </c>
      <c r="G218" s="1">
        <v>0.9989235677597913</v>
      </c>
      <c r="H218" s="1">
        <v>3.1170742727381859</v>
      </c>
      <c r="I218" s="1">
        <v>0.29003213241066816</v>
      </c>
      <c r="K218" s="1">
        <v>1.0007912864444815</v>
      </c>
      <c r="L218" s="1">
        <v>3.6457294068382184</v>
      </c>
      <c r="M218" s="1">
        <v>0.24561997918834647</v>
      </c>
      <c r="O218" s="1">
        <v>6.1623661724936381E-3</v>
      </c>
      <c r="P218" s="1">
        <v>0.89915412701393449</v>
      </c>
      <c r="R218" s="1">
        <v>0.14448880296093863</v>
      </c>
      <c r="S218" s="2">
        <f t="shared" si="48"/>
        <v>0.50927626645713131</v>
      </c>
      <c r="T218" s="4">
        <f t="shared" si="49"/>
        <v>0.25936231557651501</v>
      </c>
      <c r="U218" s="1">
        <f t="shared" si="40"/>
        <v>0.10525447125348908</v>
      </c>
      <c r="V218" s="6">
        <f>2*sigma/alpha*corel*(B218/12-1/alpha*(1-EXP(-alpha*Output!B218/12)))</f>
        <v>0.59867521583142369</v>
      </c>
      <c r="W218" s="5">
        <f t="shared" si="50"/>
        <v>-0.15410784432302593</v>
      </c>
      <c r="X218" s="1">
        <f t="shared" si="51"/>
        <v>10.99185327233959</v>
      </c>
      <c r="Y218" s="3">
        <f t="shared" si="41"/>
        <v>7.874554149669398E-2</v>
      </c>
      <c r="Z218" s="1">
        <f t="shared" si="42"/>
        <v>0.12261931558755451</v>
      </c>
      <c r="AA218" s="8">
        <f t="shared" si="47"/>
        <v>17.166666666666693</v>
      </c>
      <c r="AB218" s="1">
        <v>17.25</v>
      </c>
      <c r="AC218" s="1">
        <v>6.1596181610000002E-3</v>
      </c>
      <c r="AD218" s="8">
        <f t="shared" si="43"/>
        <v>-2.7480114936379724E-2</v>
      </c>
      <c r="AE218" s="3">
        <f t="shared" si="44"/>
        <v>-4.4613341635966585E-4</v>
      </c>
      <c r="AF218" s="11">
        <f t="shared" si="45"/>
        <v>17.166666666666693</v>
      </c>
      <c r="AG218" s="1">
        <f t="shared" si="46"/>
        <v>0.12261931558755451</v>
      </c>
    </row>
    <row r="219" spans="2:33" ht="15" x14ac:dyDescent="0.25">
      <c r="B219" s="1">
        <v>208</v>
      </c>
      <c r="C219" s="1">
        <v>1.0002593070905335</v>
      </c>
      <c r="D219" s="1">
        <v>1.1385655891918847</v>
      </c>
      <c r="E219" s="1">
        <v>0.8776646187571906</v>
      </c>
      <c r="G219" s="1">
        <v>0.99883389764725961</v>
      </c>
      <c r="H219" s="1">
        <v>3.0353124948991805</v>
      </c>
      <c r="I219" s="1">
        <v>0.29770039248015046</v>
      </c>
      <c r="K219" s="1">
        <v>1.0008207504020459</v>
      </c>
      <c r="L219" s="1">
        <v>3.5242757876355681</v>
      </c>
      <c r="M219" s="1">
        <v>0.25395726030070831</v>
      </c>
      <c r="O219" s="1">
        <v>6.1876526547816439E-3</v>
      </c>
      <c r="P219" s="1">
        <v>0.89829869273259377</v>
      </c>
      <c r="R219" s="1">
        <v>0.14481418541422172</v>
      </c>
      <c r="S219" s="2">
        <f t="shared" si="48"/>
        <v>0.51142271406403461</v>
      </c>
      <c r="T219" s="4">
        <f t="shared" si="49"/>
        <v>0.26155319246062331</v>
      </c>
      <c r="U219" s="1">
        <f t="shared" si="40"/>
        <v>0.10655269908829057</v>
      </c>
      <c r="V219" s="6">
        <f>2*sigma/alpha*corel*(B219/12-1/alpha*(1-EXP(-alpha*Output!B219/12)))</f>
        <v>0.60387583002911072</v>
      </c>
      <c r="W219" s="5">
        <f t="shared" si="50"/>
        <v>-0.15500049337233274</v>
      </c>
      <c r="X219" s="1">
        <f t="shared" si="51"/>
        <v>11.111366891908418</v>
      </c>
      <c r="Y219" s="3">
        <f t="shared" si="41"/>
        <v>7.8735457794317773E-2</v>
      </c>
      <c r="Z219" s="1">
        <f t="shared" si="42"/>
        <v>0.12283976252559126</v>
      </c>
      <c r="AA219" s="8">
        <f t="shared" si="47"/>
        <v>17.250000000000025</v>
      </c>
      <c r="AB219" s="1">
        <v>17.329999999999998</v>
      </c>
      <c r="AC219" s="1">
        <v>6.1848007460000003E-3</v>
      </c>
      <c r="AD219" s="8">
        <f t="shared" si="43"/>
        <v>-2.8519087816435834E-2</v>
      </c>
      <c r="AE219" s="3">
        <f t="shared" si="44"/>
        <v>-4.6111570910154967E-4</v>
      </c>
      <c r="AF219" s="11">
        <f t="shared" si="45"/>
        <v>17.250000000000025</v>
      </c>
      <c r="AG219" s="1">
        <f t="shared" si="46"/>
        <v>0.12283976252559126</v>
      </c>
    </row>
    <row r="220" spans="2:33" ht="15" x14ac:dyDescent="0.25">
      <c r="B220" s="1">
        <v>209</v>
      </c>
      <c r="C220" s="1">
        <v>1.0002635750409357</v>
      </c>
      <c r="D220" s="1">
        <v>1.1398754293365161</v>
      </c>
      <c r="E220" s="1">
        <v>0.87665439720020377</v>
      </c>
      <c r="G220" s="1">
        <v>0.99900120449195617</v>
      </c>
      <c r="H220" s="1">
        <v>3.0746516230525898</v>
      </c>
      <c r="I220" s="1">
        <v>0.29374904142978903</v>
      </c>
      <c r="K220" s="1">
        <v>1.000770159038515</v>
      </c>
      <c r="L220" s="1">
        <v>3.3203938947790199</v>
      </c>
      <c r="M220" s="1">
        <v>0.26939689645944981</v>
      </c>
      <c r="O220" s="1">
        <v>6.2128710838303576E-3</v>
      </c>
      <c r="P220" s="1">
        <v>0.8974413538000886</v>
      </c>
      <c r="R220" s="1">
        <v>0.14523223001756028</v>
      </c>
      <c r="S220" s="2">
        <f t="shared" si="48"/>
        <v>0.51383315362762727</v>
      </c>
      <c r="T220" s="4">
        <f t="shared" si="49"/>
        <v>0.26402450976691283</v>
      </c>
      <c r="U220" s="1">
        <f t="shared" si="40"/>
        <v>0.10785960746228129</v>
      </c>
      <c r="V220" s="6">
        <f>2*sigma/alpha*corel*(B220/12-1/alpha*(1-EXP(-alpha*Output!B220/12)))</f>
        <v>0.60909380212246367</v>
      </c>
      <c r="W220" s="5">
        <f t="shared" si="50"/>
        <v>-0.15616490230463154</v>
      </c>
      <c r="X220" s="1">
        <f t="shared" si="51"/>
        <v>11.250483453673329</v>
      </c>
      <c r="Y220" s="3">
        <f t="shared" si="41"/>
        <v>7.8806131072865243E-2</v>
      </c>
      <c r="Z220" s="1">
        <f t="shared" si="42"/>
        <v>0.12312311722900124</v>
      </c>
      <c r="AA220" s="8">
        <f t="shared" si="47"/>
        <v>17.333333333333357</v>
      </c>
      <c r="AB220" s="1">
        <v>17.420000000000002</v>
      </c>
      <c r="AC220" s="1">
        <v>6.2098675239999996E-3</v>
      </c>
      <c r="AD220" s="8">
        <f t="shared" si="43"/>
        <v>-3.0035598303579727E-2</v>
      </c>
      <c r="AE220" s="3">
        <f t="shared" si="44"/>
        <v>-4.8367534713901136E-4</v>
      </c>
      <c r="AF220" s="11">
        <f t="shared" si="45"/>
        <v>17.333333333333357</v>
      </c>
      <c r="AG220" s="1">
        <f t="shared" si="46"/>
        <v>0.12312311722900124</v>
      </c>
    </row>
    <row r="221" spans="2:33" ht="15" x14ac:dyDescent="0.25">
      <c r="B221" s="1">
        <v>210</v>
      </c>
      <c r="C221" s="1">
        <v>1.0002660022389385</v>
      </c>
      <c r="D221" s="1">
        <v>1.1413495183873743</v>
      </c>
      <c r="E221" s="1">
        <v>0.87552048642326907</v>
      </c>
      <c r="G221" s="1">
        <v>0.99901894860284879</v>
      </c>
      <c r="H221" s="1">
        <v>3.1508794121766082</v>
      </c>
      <c r="I221" s="1">
        <v>0.28650364484749918</v>
      </c>
      <c r="K221" s="1">
        <v>1.000823024023807</v>
      </c>
      <c r="L221" s="1">
        <v>3.2025143452314748</v>
      </c>
      <c r="M221" s="1">
        <v>0.27917301114816112</v>
      </c>
      <c r="O221" s="1">
        <v>6.2379824100018853E-3</v>
      </c>
      <c r="P221" s="1">
        <v>0.89658274517593117</v>
      </c>
      <c r="R221" s="1">
        <v>0.14559004424430558</v>
      </c>
      <c r="S221" s="2">
        <f t="shared" si="48"/>
        <v>0.51607952553623404</v>
      </c>
      <c r="T221" s="4">
        <f t="shared" si="49"/>
        <v>0.26633807667770443</v>
      </c>
      <c r="U221" s="1">
        <f t="shared" si="40"/>
        <v>0.10917519626877503</v>
      </c>
      <c r="V221" s="6">
        <f>2*sigma/alpha*corel*(B221/12-1/alpha*(1-EXP(-alpha*Output!B221/12)))</f>
        <v>0.61432907434815442</v>
      </c>
      <c r="W221" s="5">
        <f t="shared" si="50"/>
        <v>-0.1571628804089294</v>
      </c>
      <c r="X221" s="1">
        <f t="shared" si="51"/>
        <v>11.378801840214519</v>
      </c>
      <c r="Y221" s="3">
        <f t="shared" si="41"/>
        <v>7.8826254047582603E-2</v>
      </c>
      <c r="Z221" s="1">
        <f t="shared" si="42"/>
        <v>0.12336660272252534</v>
      </c>
      <c r="AA221" s="8">
        <f t="shared" si="47"/>
        <v>17.416666666666689</v>
      </c>
      <c r="AB221" s="1">
        <v>17.5</v>
      </c>
      <c r="AC221" s="1">
        <v>6.2348215609999997E-3</v>
      </c>
      <c r="AD221" s="8">
        <f t="shared" si="43"/>
        <v>-3.1608490018856031E-2</v>
      </c>
      <c r="AE221" s="3">
        <f t="shared" si="44"/>
        <v>-5.0696703521674422E-4</v>
      </c>
      <c r="AF221" s="11">
        <f t="shared" si="45"/>
        <v>17.416666666666689</v>
      </c>
      <c r="AG221" s="1">
        <f t="shared" si="46"/>
        <v>0.12336660272252534</v>
      </c>
    </row>
    <row r="222" spans="2:33" ht="15" x14ac:dyDescent="0.25">
      <c r="B222" s="1">
        <v>211</v>
      </c>
      <c r="C222" s="1">
        <v>1.0002668235688792</v>
      </c>
      <c r="D222" s="1">
        <v>1.1448462117694025</v>
      </c>
      <c r="E222" s="1">
        <v>0.87284471733213298</v>
      </c>
      <c r="G222" s="1">
        <v>0.99891144067979309</v>
      </c>
      <c r="H222" s="1">
        <v>3.2390368186434157</v>
      </c>
      <c r="I222" s="1">
        <v>0.27857081538206485</v>
      </c>
      <c r="K222" s="1">
        <v>1.0008140036108788</v>
      </c>
      <c r="L222" s="1">
        <v>3.1999927204437091</v>
      </c>
      <c r="M222" s="1">
        <v>0.27923565658911659</v>
      </c>
      <c r="O222" s="1">
        <v>6.2629200539630753E-3</v>
      </c>
      <c r="P222" s="1">
        <v>0.89572394466699845</v>
      </c>
      <c r="R222" s="1">
        <v>0.14575052428616911</v>
      </c>
      <c r="S222" s="2">
        <f t="shared" si="48"/>
        <v>0.51777570667805817</v>
      </c>
      <c r="T222" s="4">
        <f t="shared" si="49"/>
        <v>0.26809168242596254</v>
      </c>
      <c r="U222" s="1">
        <f t="shared" si="40"/>
        <v>0.11049946521020981</v>
      </c>
      <c r="V222" s="6">
        <f>2*sigma/alpha*corel*(B222/12-1/alpha*(1-EXP(-alpha*Output!B222/12)))</f>
        <v>0.61958158913508177</v>
      </c>
      <c r="W222" s="5">
        <f t="shared" si="50"/>
        <v>-0.15759221721575273</v>
      </c>
      <c r="X222" s="1">
        <f t="shared" si="51"/>
        <v>11.467867289769762</v>
      </c>
      <c r="Y222" s="3">
        <f t="shared" si="41"/>
        <v>7.8677982332037474E-2</v>
      </c>
      <c r="Z222" s="1">
        <f t="shared" si="42"/>
        <v>0.12347842049339186</v>
      </c>
      <c r="AA222" s="8">
        <f t="shared" si="47"/>
        <v>17.500000000000021</v>
      </c>
      <c r="AB222" s="1">
        <v>17.579999999999998</v>
      </c>
      <c r="AC222" s="1">
        <v>6.2596659230000004E-3</v>
      </c>
      <c r="AD222" s="8">
        <f t="shared" si="43"/>
        <v>-3.2541309630748638E-2</v>
      </c>
      <c r="AE222" s="3">
        <f t="shared" si="44"/>
        <v>-5.1985697050031907E-4</v>
      </c>
      <c r="AF222" s="11">
        <f t="shared" si="45"/>
        <v>17.500000000000021</v>
      </c>
      <c r="AG222" s="1">
        <f t="shared" si="46"/>
        <v>0.12347842049339186</v>
      </c>
    </row>
    <row r="223" spans="2:33" ht="15" x14ac:dyDescent="0.25">
      <c r="B223" s="1">
        <v>212</v>
      </c>
      <c r="C223" s="1">
        <v>1.0002684036458527</v>
      </c>
      <c r="D223" s="1">
        <v>1.1472436249670115</v>
      </c>
      <c r="E223" s="1">
        <v>0.87101905244024103</v>
      </c>
      <c r="G223" s="1">
        <v>0.99885962900896752</v>
      </c>
      <c r="H223" s="1">
        <v>3.2976212353503338</v>
      </c>
      <c r="I223" s="1">
        <v>0.27348927522990529</v>
      </c>
      <c r="K223" s="1">
        <v>1.0005962722835768</v>
      </c>
      <c r="L223" s="1">
        <v>3.2962909756390011</v>
      </c>
      <c r="M223" s="1">
        <v>0.27093112011909137</v>
      </c>
      <c r="O223" s="1">
        <v>6.287723379228824E-3</v>
      </c>
      <c r="P223" s="1">
        <v>0.8948643709461529</v>
      </c>
      <c r="R223" s="1">
        <v>0.14603938917428597</v>
      </c>
      <c r="S223" s="2">
        <f t="shared" si="48"/>
        <v>0.51983432423469211</v>
      </c>
      <c r="T223" s="4">
        <f t="shared" si="49"/>
        <v>0.27022772465253903</v>
      </c>
      <c r="U223" s="1">
        <f t="shared" si="40"/>
        <v>0.11183241380005704</v>
      </c>
      <c r="V223" s="6">
        <f>2*sigma/alpha*corel*(B223/12-1/alpha*(1-EXP(-alpha*Output!B223/12)))</f>
        <v>0.62485128910372612</v>
      </c>
      <c r="W223" s="5">
        <f t="shared" si="50"/>
        <v>-0.15839531085248199</v>
      </c>
      <c r="X223" s="1">
        <f t="shared" si="51"/>
        <v>11.583707767069981</v>
      </c>
      <c r="Y223" s="3">
        <f t="shared" si="41"/>
        <v>7.8640566835632503E-2</v>
      </c>
      <c r="Z223" s="1">
        <f t="shared" si="42"/>
        <v>0.12367663054351273</v>
      </c>
      <c r="AA223" s="8">
        <f t="shared" si="47"/>
        <v>17.583333333333353</v>
      </c>
      <c r="AB223" s="1">
        <v>17.670000000000002</v>
      </c>
      <c r="AC223" s="1">
        <v>6.2844036850000003E-3</v>
      </c>
      <c r="AD223" s="8">
        <f t="shared" si="43"/>
        <v>-3.3196942288236247E-2</v>
      </c>
      <c r="AE223" s="3">
        <f t="shared" si="44"/>
        <v>-5.282433139594889E-4</v>
      </c>
      <c r="AF223" s="11">
        <f t="shared" si="45"/>
        <v>17.583333333333353</v>
      </c>
      <c r="AG223" s="1">
        <f t="shared" si="46"/>
        <v>0.12367663054351273</v>
      </c>
    </row>
    <row r="224" spans="2:33" ht="15" x14ac:dyDescent="0.25">
      <c r="B224" s="1">
        <v>213</v>
      </c>
      <c r="C224" s="1">
        <v>1.0002688363531742</v>
      </c>
      <c r="D224" s="1">
        <v>1.1457891292528772</v>
      </c>
      <c r="E224" s="1">
        <v>0.87212308161422525</v>
      </c>
      <c r="G224" s="1">
        <v>0.9987122163588541</v>
      </c>
      <c r="H224" s="1">
        <v>3.2577296927254031</v>
      </c>
      <c r="I224" s="1">
        <v>0.27670410459671807</v>
      </c>
      <c r="K224" s="1">
        <v>1.0003454201838438</v>
      </c>
      <c r="L224" s="1">
        <v>3.3860250375216143</v>
      </c>
      <c r="M224" s="1">
        <v>0.2636178733391395</v>
      </c>
      <c r="O224" s="1">
        <v>6.3124535387315056E-3</v>
      </c>
      <c r="P224" s="1">
        <v>0.8940030874308792</v>
      </c>
      <c r="R224" s="1">
        <v>0.14615738516451471</v>
      </c>
      <c r="S224" s="2">
        <f t="shared" si="48"/>
        <v>0.52141784457888996</v>
      </c>
      <c r="T224" s="4">
        <f t="shared" si="49"/>
        <v>0.27187656864529541</v>
      </c>
      <c r="U224" s="1">
        <f t="shared" si="40"/>
        <v>0.11317404136470621</v>
      </c>
      <c r="V224" s="6">
        <f>2*sigma/alpha*corel*(B224/12-1/alpha*(1-EXP(-alpha*Output!B224/12)))</f>
        <v>0.63013811706551603</v>
      </c>
      <c r="W224" s="5">
        <f t="shared" si="50"/>
        <v>-0.1587025272805892</v>
      </c>
      <c r="X224" s="1">
        <f t="shared" si="51"/>
        <v>11.664953483500707</v>
      </c>
      <c r="Y224" s="3">
        <f t="shared" si="41"/>
        <v>7.845806604818642E-2</v>
      </c>
      <c r="Z224" s="1">
        <f t="shared" si="42"/>
        <v>0.12376182684023998</v>
      </c>
      <c r="AA224" s="8">
        <f t="shared" si="47"/>
        <v>17.666666666666686</v>
      </c>
      <c r="AB224" s="1">
        <v>17.75</v>
      </c>
      <c r="AC224" s="1">
        <v>6.3090379599999996E-3</v>
      </c>
      <c r="AD224" s="8">
        <f t="shared" si="43"/>
        <v>-3.4155787315059624E-2</v>
      </c>
      <c r="AE224" s="3">
        <f t="shared" si="44"/>
        <v>-5.4137869405147191E-4</v>
      </c>
      <c r="AF224" s="11">
        <f t="shared" si="45"/>
        <v>17.666666666666686</v>
      </c>
      <c r="AG224" s="1">
        <f t="shared" si="46"/>
        <v>0.12376182684023998</v>
      </c>
    </row>
    <row r="225" spans="2:33" ht="15" x14ac:dyDescent="0.25">
      <c r="B225" s="1">
        <v>214</v>
      </c>
      <c r="C225" s="1">
        <v>1.0002717231951619</v>
      </c>
      <c r="D225" s="1">
        <v>1.1475870398732797</v>
      </c>
      <c r="E225" s="1">
        <v>0.87075507757088433</v>
      </c>
      <c r="G225" s="1">
        <v>0.9987558034852404</v>
      </c>
      <c r="H225" s="1">
        <v>3.3010708778711866</v>
      </c>
      <c r="I225" s="1">
        <v>0.27293886413563356</v>
      </c>
      <c r="K225" s="1">
        <v>1.0002781876685714</v>
      </c>
      <c r="L225" s="1">
        <v>3.3339077552645944</v>
      </c>
      <c r="M225" s="1">
        <v>0.26759170040009944</v>
      </c>
      <c r="O225" s="1">
        <v>6.3370771325030146E-3</v>
      </c>
      <c r="P225" s="1">
        <v>0.89314064896876122</v>
      </c>
      <c r="R225" s="1">
        <v>0.14652384952449735</v>
      </c>
      <c r="S225" s="2">
        <f t="shared" si="48"/>
        <v>0.52370221837167219</v>
      </c>
      <c r="T225" s="4">
        <f t="shared" si="49"/>
        <v>0.27426401352741064</v>
      </c>
      <c r="U225" s="1">
        <f t="shared" si="40"/>
        <v>0.11452434704534697</v>
      </c>
      <c r="V225" s="6">
        <f>2*sigma/alpha*corel*(B225/12-1/alpha*(1-EXP(-alpha*Output!B225/12)))</f>
        <v>0.63544201602219097</v>
      </c>
      <c r="W225" s="5">
        <f t="shared" si="50"/>
        <v>-0.15973966648206367</v>
      </c>
      <c r="X225" s="1">
        <f t="shared" si="51"/>
        <v>11.79854943144689</v>
      </c>
      <c r="Y225" s="3">
        <f t="shared" si="41"/>
        <v>7.8489522800082395E-2</v>
      </c>
      <c r="Z225" s="1">
        <f t="shared" si="42"/>
        <v>0.12401326734737925</v>
      </c>
      <c r="AA225" s="8">
        <f t="shared" si="47"/>
        <v>17.750000000000018</v>
      </c>
      <c r="AB225" s="1">
        <v>17.829999999999998</v>
      </c>
      <c r="AC225" s="1">
        <v>6.3335718699999996E-3</v>
      </c>
      <c r="AD225" s="8">
        <f t="shared" si="43"/>
        <v>-3.5052625030149859E-2</v>
      </c>
      <c r="AE225" s="3">
        <f t="shared" si="44"/>
        <v>-5.5344165582429646E-4</v>
      </c>
      <c r="AF225" s="11">
        <f t="shared" si="45"/>
        <v>17.750000000000018</v>
      </c>
      <c r="AG225" s="1">
        <f t="shared" si="46"/>
        <v>0.12401326734737925</v>
      </c>
    </row>
    <row r="226" spans="2:33" ht="15" x14ac:dyDescent="0.25">
      <c r="B226" s="1">
        <v>215</v>
      </c>
      <c r="C226" s="1">
        <v>1.0002740925582816</v>
      </c>
      <c r="D226" s="1">
        <v>1.1449374265638304</v>
      </c>
      <c r="E226" s="1">
        <v>0.87276851849024628</v>
      </c>
      <c r="G226" s="1">
        <v>0.99876380220787142</v>
      </c>
      <c r="H226" s="1">
        <v>3.2309067992829608</v>
      </c>
      <c r="I226" s="1">
        <v>0.27873107197184654</v>
      </c>
      <c r="K226" s="1">
        <v>1.0001366978201125</v>
      </c>
      <c r="L226" s="1">
        <v>3.3758661940180601</v>
      </c>
      <c r="M226" s="1">
        <v>0.26413290274157664</v>
      </c>
      <c r="O226" s="1">
        <v>6.3616407782153273E-3</v>
      </c>
      <c r="P226" s="1">
        <v>0.89227633901586145</v>
      </c>
      <c r="R226" s="1">
        <v>0.14680203117727111</v>
      </c>
      <c r="S226" s="2">
        <f t="shared" si="48"/>
        <v>0.52574351309856215</v>
      </c>
      <c r="T226" s="4">
        <f t="shared" si="49"/>
        <v>0.27640624156521798</v>
      </c>
      <c r="U226" s="1">
        <f t="shared" si="40"/>
        <v>0.11588332979982763</v>
      </c>
      <c r="V226" s="6">
        <f>2*sigma/alpha*corel*(B226/12-1/alpha*(1-EXP(-alpha*Output!B226/12)))</f>
        <v>0.64076292916516819</v>
      </c>
      <c r="W226" s="5">
        <f t="shared" si="50"/>
        <v>-0.16052291176539035</v>
      </c>
      <c r="X226" s="1">
        <f t="shared" si="51"/>
        <v>11.914719141245302</v>
      </c>
      <c r="Y226" s="3">
        <f t="shared" si="41"/>
        <v>7.8446721114510939E-2</v>
      </c>
      <c r="Z226" s="1">
        <f t="shared" si="42"/>
        <v>0.12420678367390735</v>
      </c>
      <c r="AA226" s="8">
        <f t="shared" si="47"/>
        <v>17.83333333333335</v>
      </c>
      <c r="AB226" s="1">
        <v>17.920000000000002</v>
      </c>
      <c r="AC226" s="1">
        <v>6.3580085399999996E-3</v>
      </c>
      <c r="AD226" s="8">
        <f t="shared" si="43"/>
        <v>-3.6322382153276128E-2</v>
      </c>
      <c r="AE226" s="3">
        <f t="shared" si="44"/>
        <v>-5.7128552006122546E-4</v>
      </c>
      <c r="AF226" s="11">
        <f t="shared" si="45"/>
        <v>17.83333333333335</v>
      </c>
      <c r="AG226" s="1">
        <f t="shared" si="46"/>
        <v>0.12420678367390735</v>
      </c>
    </row>
    <row r="227" spans="2:33" ht="15" x14ac:dyDescent="0.25">
      <c r="B227" s="1">
        <v>216</v>
      </c>
      <c r="C227" s="1">
        <v>1.0002760362570022</v>
      </c>
      <c r="D227" s="1">
        <v>1.1430122585933904</v>
      </c>
      <c r="E227" s="1">
        <v>0.87423685767386927</v>
      </c>
      <c r="G227" s="1">
        <v>0.99873602269053185</v>
      </c>
      <c r="H227" s="1">
        <v>3.1832745444782797</v>
      </c>
      <c r="I227" s="1">
        <v>0.28276477705256059</v>
      </c>
      <c r="K227" s="1">
        <v>1.0002356392811187</v>
      </c>
      <c r="L227" s="1">
        <v>3.3534426786265388</v>
      </c>
      <c r="M227" s="1">
        <v>0.26575804803260883</v>
      </c>
      <c r="O227" s="1">
        <v>6.3860427048427508E-3</v>
      </c>
      <c r="P227" s="1">
        <v>0.89141181093437727</v>
      </c>
      <c r="R227" s="1">
        <v>0.14718191047736473</v>
      </c>
      <c r="S227" s="2">
        <f t="shared" si="48"/>
        <v>0.52807340326578212</v>
      </c>
      <c r="T227" s="4">
        <f t="shared" si="49"/>
        <v>0.27886151923670532</v>
      </c>
      <c r="U227" s="1">
        <f t="shared" si="40"/>
        <v>0.11725098840450388</v>
      </c>
      <c r="V227" s="6">
        <f>2*sigma/alpha*corel*(B227/12-1/alpha*(1-EXP(-alpha*Output!B227/12)))</f>
        <v>0.64610079987491131</v>
      </c>
      <c r="W227" s="5">
        <f t="shared" si="50"/>
        <v>-0.16161053083220145</v>
      </c>
      <c r="X227" s="1">
        <f t="shared" si="51"/>
        <v>12.053404463517506</v>
      </c>
      <c r="Y227" s="3">
        <f t="shared" si="41"/>
        <v>7.8491681346468958E-2</v>
      </c>
      <c r="Z227" s="1">
        <f t="shared" si="42"/>
        <v>0.12446809480449764</v>
      </c>
      <c r="AA227" s="8">
        <f t="shared" si="47"/>
        <v>17.916666666666682</v>
      </c>
      <c r="AB227" s="1">
        <v>18</v>
      </c>
      <c r="AC227" s="1">
        <v>6.3823510920000001E-3</v>
      </c>
      <c r="AD227" s="8">
        <f t="shared" si="43"/>
        <v>-3.6916128427506162E-2</v>
      </c>
      <c r="AE227" s="3">
        <f t="shared" si="44"/>
        <v>-5.7840955308426892E-4</v>
      </c>
      <c r="AF227" s="11">
        <f t="shared" si="45"/>
        <v>17.916666666666682</v>
      </c>
      <c r="AG227" s="1">
        <f t="shared" si="46"/>
        <v>0.12446809480449764</v>
      </c>
    </row>
    <row r="228" spans="2:33" ht="15" x14ac:dyDescent="0.25">
      <c r="B228" s="1">
        <v>217</v>
      </c>
      <c r="C228" s="1">
        <v>1.0002784908133759</v>
      </c>
      <c r="D228" s="1">
        <v>1.1452625926758175</v>
      </c>
      <c r="E228" s="1">
        <v>0.87251741154766582</v>
      </c>
      <c r="G228" s="1">
        <v>0.99876385392580791</v>
      </c>
      <c r="H228" s="1">
        <v>3.226105557845345</v>
      </c>
      <c r="I228" s="1">
        <v>0.27887554300946754</v>
      </c>
      <c r="K228" s="1">
        <v>1.0000202062385557</v>
      </c>
      <c r="L228" s="1">
        <v>3.2851100577843222</v>
      </c>
      <c r="M228" s="1">
        <v>0.2711354076819224</v>
      </c>
      <c r="O228" s="1">
        <v>6.4104763393118833E-3</v>
      </c>
      <c r="P228" s="1">
        <v>0.89054398803134005</v>
      </c>
      <c r="R228" s="1">
        <v>0.14748345924877315</v>
      </c>
      <c r="S228" s="2">
        <f t="shared" si="48"/>
        <v>0.53018996468088098</v>
      </c>
      <c r="T228" s="4">
        <f t="shared" si="49"/>
        <v>0.28110139864831379</v>
      </c>
      <c r="U228" s="1">
        <f t="shared" si="40"/>
        <v>0.11862732145607113</v>
      </c>
      <c r="V228" s="6">
        <f>2*sigma/alpha*corel*(B228/12-1/alpha*(1-EXP(-alpha*Output!B228/12)))</f>
        <v>0.65145557172030255</v>
      </c>
      <c r="W228" s="5">
        <f t="shared" si="50"/>
        <v>-0.16247407719224266</v>
      </c>
      <c r="X228" s="1">
        <f t="shared" si="51"/>
        <v>12.176685945497644</v>
      </c>
      <c r="Y228" s="3">
        <f t="shared" si="41"/>
        <v>7.8471574408587236E-2</v>
      </c>
      <c r="Z228" s="1">
        <f t="shared" si="42"/>
        <v>0.12467869828257236</v>
      </c>
      <c r="AA228" s="8">
        <f t="shared" si="47"/>
        <v>18.000000000000014</v>
      </c>
      <c r="AB228" s="1">
        <v>18.079999999999998</v>
      </c>
      <c r="AC228" s="1">
        <v>6.40660265E-3</v>
      </c>
      <c r="AD228" s="8">
        <f t="shared" si="43"/>
        <v>-3.8736893118833382E-2</v>
      </c>
      <c r="AE228" s="3">
        <f t="shared" si="44"/>
        <v>-6.0464016944820789E-4</v>
      </c>
      <c r="AF228" s="11">
        <f t="shared" si="45"/>
        <v>18.000000000000014</v>
      </c>
      <c r="AG228" s="1">
        <f t="shared" si="46"/>
        <v>0.12467869828257236</v>
      </c>
    </row>
    <row r="229" spans="2:33" ht="15" x14ac:dyDescent="0.25">
      <c r="B229" s="1">
        <v>218</v>
      </c>
      <c r="C229" s="1">
        <v>1.0002801895332891</v>
      </c>
      <c r="D229" s="1">
        <v>1.141530059796646</v>
      </c>
      <c r="E229" s="1">
        <v>0.87536868223345166</v>
      </c>
      <c r="G229" s="1">
        <v>0.99872635664050591</v>
      </c>
      <c r="H229" s="1">
        <v>3.1442010189087486</v>
      </c>
      <c r="I229" s="1">
        <v>0.28600149204821462</v>
      </c>
      <c r="K229" s="1">
        <v>0.99991134029056483</v>
      </c>
      <c r="L229" s="1">
        <v>3.2817475107352507</v>
      </c>
      <c r="M229" s="1">
        <v>0.2712653477904412</v>
      </c>
      <c r="O229" s="1">
        <v>6.4348508550066824E-3</v>
      </c>
      <c r="P229" s="1">
        <v>0.88967434248853472</v>
      </c>
      <c r="R229" s="1">
        <v>0.14772943064238378</v>
      </c>
      <c r="S229" s="2">
        <f t="shared" si="48"/>
        <v>0.53215460005188953</v>
      </c>
      <c r="T229" s="4">
        <f t="shared" si="49"/>
        <v>0.28318851835638648</v>
      </c>
      <c r="U229" s="1">
        <f t="shared" si="40"/>
        <v>0.12001232737338396</v>
      </c>
      <c r="V229" s="6">
        <f>2*sigma/alpha*corel*(B229/12-1/alpha*(1-EXP(-alpha*Output!B229/12)))</f>
        <v>0.65682718845801369</v>
      </c>
      <c r="W229" s="5">
        <f t="shared" si="50"/>
        <v>-0.16317619098300251</v>
      </c>
      <c r="X229" s="1">
        <f t="shared" si="51"/>
        <v>12.288891833595841</v>
      </c>
      <c r="Y229" s="3">
        <f t="shared" si="41"/>
        <v>7.8405258300482839E-2</v>
      </c>
      <c r="Z229" s="1">
        <f t="shared" si="42"/>
        <v>0.12485334920861528</v>
      </c>
      <c r="AA229" s="8">
        <f t="shared" si="47"/>
        <v>18.083333333333346</v>
      </c>
      <c r="AB229" s="1">
        <v>18.170000000000002</v>
      </c>
      <c r="AC229" s="1">
        <v>6.4307747450000003E-3</v>
      </c>
      <c r="AD229" s="8">
        <f t="shared" si="43"/>
        <v>-4.0761100066821418E-2</v>
      </c>
      <c r="AE229" s="3">
        <f t="shared" si="44"/>
        <v>-6.3384431399208369E-4</v>
      </c>
      <c r="AF229" s="11">
        <f t="shared" si="45"/>
        <v>18.083333333333346</v>
      </c>
      <c r="AG229" s="1">
        <f t="shared" si="46"/>
        <v>0.12485334920861528</v>
      </c>
    </row>
    <row r="230" spans="2:33" ht="15" x14ac:dyDescent="0.25">
      <c r="B230" s="1">
        <v>219</v>
      </c>
      <c r="C230" s="1">
        <v>1.0002804200139122</v>
      </c>
      <c r="D230" s="1">
        <v>1.1405362213772701</v>
      </c>
      <c r="E230" s="1">
        <v>0.87612980687005215</v>
      </c>
      <c r="G230" s="1">
        <v>0.99858062503341316</v>
      </c>
      <c r="H230" s="1">
        <v>3.1180508045080386</v>
      </c>
      <c r="I230" s="1">
        <v>0.28826042399078983</v>
      </c>
      <c r="K230" s="1">
        <v>0.99973762513352338</v>
      </c>
      <c r="L230" s="1">
        <v>3.2395124341736046</v>
      </c>
      <c r="M230" s="1">
        <v>0.2746597131337743</v>
      </c>
      <c r="O230" s="1">
        <v>6.4592496271403243E-3</v>
      </c>
      <c r="P230" s="1">
        <v>0.88880154203503525</v>
      </c>
      <c r="R230" s="1">
        <v>0.14796475094238831</v>
      </c>
      <c r="S230" s="2">
        <f t="shared" si="48"/>
        <v>0.53409565856892161</v>
      </c>
      <c r="T230" s="4">
        <f t="shared" si="49"/>
        <v>0.28525817250217006</v>
      </c>
      <c r="U230" s="1">
        <f t="shared" si="40"/>
        <v>0.12140600439925864</v>
      </c>
      <c r="V230" s="6">
        <f>2*sigma/alpha*corel*(B230/12-1/alpha*(1-EXP(-alpha*Output!B230/12)))</f>
        <v>0.66221559403188279</v>
      </c>
      <c r="W230" s="5">
        <f t="shared" si="50"/>
        <v>-0.16385216810291142</v>
      </c>
      <c r="X230" s="1">
        <f t="shared" si="51"/>
        <v>12.399737764491533</v>
      </c>
      <c r="Y230" s="3">
        <f t="shared" si="41"/>
        <v>7.8331795703094731E-2</v>
      </c>
      <c r="Z230" s="1">
        <f t="shared" si="42"/>
        <v>0.1250223371827589</v>
      </c>
      <c r="AA230" s="8">
        <f t="shared" si="47"/>
        <v>18.166666666666679</v>
      </c>
      <c r="AB230" s="1">
        <v>18.25</v>
      </c>
      <c r="AC230" s="1">
        <v>6.4549125499999997E-3</v>
      </c>
      <c r="AD230" s="8">
        <f t="shared" si="43"/>
        <v>-4.3370771403246008E-2</v>
      </c>
      <c r="AE230" s="3">
        <f t="shared" si="44"/>
        <v>-6.7190331499140162E-4</v>
      </c>
      <c r="AF230" s="11">
        <f t="shared" si="45"/>
        <v>18.166666666666679</v>
      </c>
      <c r="AG230" s="1">
        <f t="shared" si="46"/>
        <v>0.1250223371827589</v>
      </c>
    </row>
    <row r="231" spans="2:33" ht="15" x14ac:dyDescent="0.25">
      <c r="B231" s="1">
        <v>220</v>
      </c>
      <c r="C231" s="1">
        <v>1.0002785022873111</v>
      </c>
      <c r="D231" s="1">
        <v>1.1390016756606245</v>
      </c>
      <c r="E231" s="1">
        <v>0.87730854116275414</v>
      </c>
      <c r="G231" s="1">
        <v>0.99826186930168792</v>
      </c>
      <c r="H231" s="1">
        <v>3.0541021353752318</v>
      </c>
      <c r="I231" s="1">
        <v>0.2941536634980787</v>
      </c>
      <c r="K231" s="1">
        <v>0.99992197061053867</v>
      </c>
      <c r="L231" s="1">
        <v>3.2866031781329434</v>
      </c>
      <c r="M231" s="1">
        <v>0.27057198256592985</v>
      </c>
      <c r="O231" s="1">
        <v>6.4836614475950322E-3</v>
      </c>
      <c r="P231" s="1">
        <v>0.8879257746945538</v>
      </c>
      <c r="R231" s="1">
        <v>0.14831659920088844</v>
      </c>
      <c r="S231" s="2">
        <f t="shared" si="48"/>
        <v>0.53637221575206073</v>
      </c>
      <c r="T231" s="4">
        <f t="shared" si="49"/>
        <v>0.28769515383077521</v>
      </c>
      <c r="U231" s="1">
        <f t="shared" si="40"/>
        <v>0.1228083506022668</v>
      </c>
      <c r="V231" s="6">
        <f>2*sigma/alpha*corel*(B231/12-1/alpha*(1-EXP(-alpha*Output!B231/12)))</f>
        <v>0.66762073257228938</v>
      </c>
      <c r="W231" s="5">
        <f t="shared" si="50"/>
        <v>-0.16488680322850841</v>
      </c>
      <c r="X231" s="1">
        <f t="shared" si="51"/>
        <v>12.537416345984308</v>
      </c>
      <c r="Y231" s="3">
        <f t="shared" si="41"/>
        <v>7.8360018816015356E-2</v>
      </c>
      <c r="Z231" s="1">
        <f t="shared" si="42"/>
        <v>0.12526956109216678</v>
      </c>
      <c r="AA231" s="8">
        <f t="shared" si="47"/>
        <v>18.250000000000011</v>
      </c>
      <c r="AB231" s="1">
        <v>18.329999999999998</v>
      </c>
      <c r="AC231" s="1">
        <v>6.4790696439999997E-3</v>
      </c>
      <c r="AD231" s="8">
        <f t="shared" si="43"/>
        <v>-4.5918035950325009E-2</v>
      </c>
      <c r="AE231" s="3">
        <f t="shared" si="44"/>
        <v>-7.0871341833542135E-4</v>
      </c>
      <c r="AF231" s="11">
        <f t="shared" si="45"/>
        <v>18.250000000000011</v>
      </c>
      <c r="AG231" s="1">
        <f t="shared" si="46"/>
        <v>0.12526956109216678</v>
      </c>
    </row>
    <row r="232" spans="2:33" ht="15" x14ac:dyDescent="0.25">
      <c r="B232" s="1">
        <v>221</v>
      </c>
      <c r="C232" s="1">
        <v>1.0002813619144</v>
      </c>
      <c r="D232" s="1">
        <v>1.1416713016296027</v>
      </c>
      <c r="E232" s="1">
        <v>0.87525544297071134</v>
      </c>
      <c r="G232" s="1">
        <v>0.99832553942166269</v>
      </c>
      <c r="H232" s="1">
        <v>3.1414208885800576</v>
      </c>
      <c r="I232" s="1">
        <v>0.28583888271149394</v>
      </c>
      <c r="K232" s="1">
        <v>0.99987584706373445</v>
      </c>
      <c r="L232" s="1">
        <v>3.2844128954465166</v>
      </c>
      <c r="M232" s="1">
        <v>0.27061269513468145</v>
      </c>
      <c r="O232" s="1">
        <v>6.5081044054279853E-3</v>
      </c>
      <c r="P232" s="1">
        <v>0.88704675252374254</v>
      </c>
      <c r="R232" s="1">
        <v>0.14845813368259056</v>
      </c>
      <c r="S232" s="2">
        <f t="shared" si="48"/>
        <v>0.53806110797883155</v>
      </c>
      <c r="T232" s="4">
        <f t="shared" si="49"/>
        <v>0.28950975591940781</v>
      </c>
      <c r="U232" s="1">
        <f t="shared" si="40"/>
        <v>0.12421936387850874</v>
      </c>
      <c r="V232" s="6">
        <f>2*sigma/alpha*corel*(B232/12-1/alpha*(1-EXP(-alpha*Output!B232/12)))</f>
        <v>0.67304254839553779</v>
      </c>
      <c r="W232" s="5">
        <f t="shared" si="50"/>
        <v>-0.16529039204089907</v>
      </c>
      <c r="X232" s="1">
        <f t="shared" si="51"/>
        <v>12.629378485630324</v>
      </c>
      <c r="Y232" s="3">
        <f t="shared" si="41"/>
        <v>7.8210166627022834E-2</v>
      </c>
      <c r="Z232" s="1">
        <f t="shared" si="42"/>
        <v>0.12537937129669766</v>
      </c>
      <c r="AA232" s="8">
        <f t="shared" si="47"/>
        <v>18.333333333333343</v>
      </c>
      <c r="AB232" s="1">
        <v>18.420000000000002</v>
      </c>
      <c r="AC232" s="1">
        <v>6.5032996079999999E-3</v>
      </c>
      <c r="AD232" s="8">
        <f t="shared" si="43"/>
        <v>-4.8047974279853689E-2</v>
      </c>
      <c r="AE232" s="3">
        <f t="shared" si="44"/>
        <v>-7.3882455331979061E-4</v>
      </c>
      <c r="AF232" s="11">
        <f t="shared" si="45"/>
        <v>18.333333333333343</v>
      </c>
      <c r="AG232" s="1">
        <f t="shared" si="46"/>
        <v>0.12537937129669766</v>
      </c>
    </row>
    <row r="233" spans="2:33" ht="15" x14ac:dyDescent="0.25">
      <c r="B233" s="1">
        <v>222</v>
      </c>
      <c r="C233" s="1">
        <v>1.0002858585581174</v>
      </c>
      <c r="D233" s="1">
        <v>1.1453175848437804</v>
      </c>
      <c r="E233" s="1">
        <v>0.87246730498927327</v>
      </c>
      <c r="G233" s="1">
        <v>0.9985171754994473</v>
      </c>
      <c r="H233" s="1">
        <v>3.2321589834745734</v>
      </c>
      <c r="I233" s="1">
        <v>0.27767983150305969</v>
      </c>
      <c r="K233" s="1">
        <v>0.99965269671315304</v>
      </c>
      <c r="L233" s="1">
        <v>3.1879214978165629</v>
      </c>
      <c r="M233" s="1">
        <v>0.27866255808304724</v>
      </c>
      <c r="O233" s="1">
        <v>6.5327133400058272E-3</v>
      </c>
      <c r="P233" s="1">
        <v>0.88616226944391308</v>
      </c>
      <c r="R233" s="1">
        <v>0.14867895663103151</v>
      </c>
      <c r="S233" s="2">
        <f t="shared" si="48"/>
        <v>0.53998388752542592</v>
      </c>
      <c r="T233" s="4">
        <f t="shared" si="49"/>
        <v>0.29158259878707182</v>
      </c>
      <c r="U233" s="1">
        <f t="shared" si="40"/>
        <v>0.12563904195337861</v>
      </c>
      <c r="V233" s="6">
        <f>2*sigma/alpha*corel*(B233/12-1/alpha*(1-EXP(-alpha*Output!B233/12)))</f>
        <v>0.67848098600323237</v>
      </c>
      <c r="W233" s="5">
        <f t="shared" si="50"/>
        <v>-0.16594355683369322</v>
      </c>
      <c r="X233" s="1">
        <f t="shared" si="51"/>
        <v>12.740159654061216</v>
      </c>
      <c r="Y233" s="3">
        <f t="shared" si="41"/>
        <v>7.8131217250111101E-2</v>
      </c>
      <c r="Z233" s="1">
        <f t="shared" si="42"/>
        <v>0.12554370376907772</v>
      </c>
      <c r="AA233" s="8">
        <f t="shared" si="47"/>
        <v>18.416666666666675</v>
      </c>
      <c r="AB233" s="1">
        <v>18.5</v>
      </c>
      <c r="AC233" s="1">
        <v>6.5276560219999996E-3</v>
      </c>
      <c r="AD233" s="8">
        <f t="shared" si="43"/>
        <v>-5.0573180058275519E-2</v>
      </c>
      <c r="AE233" s="3">
        <f t="shared" si="44"/>
        <v>-7.7475252813306893E-4</v>
      </c>
      <c r="AF233" s="11">
        <f t="shared" si="45"/>
        <v>18.416666666666675</v>
      </c>
      <c r="AG233" s="1">
        <f t="shared" si="46"/>
        <v>0.12554370376907772</v>
      </c>
    </row>
    <row r="234" spans="2:33" ht="15" x14ac:dyDescent="0.25">
      <c r="B234" s="1">
        <v>223</v>
      </c>
      <c r="C234" s="1">
        <v>1.0002892946746709</v>
      </c>
      <c r="D234" s="1">
        <v>1.1438241403435989</v>
      </c>
      <c r="E234" s="1">
        <v>0.87360481452950955</v>
      </c>
      <c r="G234" s="1">
        <v>0.99862921759360801</v>
      </c>
      <c r="H234" s="1">
        <v>3.1910436552294708</v>
      </c>
      <c r="I234" s="1">
        <v>0.28112141478457126</v>
      </c>
      <c r="K234" s="1">
        <v>0.99965225371834854</v>
      </c>
      <c r="L234" s="1">
        <v>3.1558750104977671</v>
      </c>
      <c r="M234" s="1">
        <v>0.28133335420701988</v>
      </c>
      <c r="O234" s="1">
        <v>6.5574490021252339E-3</v>
      </c>
      <c r="P234" s="1">
        <v>0.88527295249944704</v>
      </c>
      <c r="R234" s="1">
        <v>0.14911948538711881</v>
      </c>
      <c r="S234" s="2">
        <f t="shared" si="48"/>
        <v>0.54253835275203266</v>
      </c>
      <c r="T234" s="4">
        <f t="shared" si="49"/>
        <v>0.29434786420688902</v>
      </c>
      <c r="U234" s="1">
        <f t="shared" si="40"/>
        <v>0.1270673823833115</v>
      </c>
      <c r="V234" s="6">
        <f>2*sigma/alpha*corel*(B234/12-1/alpha*(1-EXP(-alpha*Output!B234/12)))</f>
        <v>0.68393599008166639</v>
      </c>
      <c r="W234" s="5">
        <f t="shared" si="50"/>
        <v>-0.16728048182357752</v>
      </c>
      <c r="X234" s="1">
        <f t="shared" si="51"/>
        <v>12.902284254081584</v>
      </c>
      <c r="Y234" s="3">
        <f t="shared" si="41"/>
        <v>7.8243201511738372E-2</v>
      </c>
      <c r="Z234" s="1">
        <f t="shared" si="42"/>
        <v>0.12585446735351541</v>
      </c>
      <c r="AA234" s="8">
        <f t="shared" si="47"/>
        <v>18.500000000000007</v>
      </c>
      <c r="AB234" s="1">
        <v>18.579999999999998</v>
      </c>
      <c r="AC234" s="1">
        <v>6.5521924670000004E-3</v>
      </c>
      <c r="AD234" s="8">
        <f t="shared" si="43"/>
        <v>-5.2565351252335454E-2</v>
      </c>
      <c r="AE234" s="3">
        <f t="shared" si="44"/>
        <v>-8.0225590925602234E-4</v>
      </c>
      <c r="AF234" s="11">
        <f t="shared" si="45"/>
        <v>18.500000000000007</v>
      </c>
      <c r="AG234" s="1">
        <f t="shared" si="46"/>
        <v>0.12585446735351541</v>
      </c>
    </row>
    <row r="235" spans="2:33" ht="15" x14ac:dyDescent="0.25">
      <c r="B235" s="1">
        <v>224</v>
      </c>
      <c r="C235" s="1">
        <v>1.0002920006454208</v>
      </c>
      <c r="D235" s="1">
        <v>1.1433617760265116</v>
      </c>
      <c r="E235" s="1">
        <v>0.87395645849745096</v>
      </c>
      <c r="G235" s="1">
        <v>0.99866868178159163</v>
      </c>
      <c r="H235" s="1">
        <v>3.1858298228401334</v>
      </c>
      <c r="I235" s="1">
        <v>0.28144512461596521</v>
      </c>
      <c r="K235" s="1">
        <v>0.99957385866509296</v>
      </c>
      <c r="L235" s="1">
        <v>3.1840894917138893</v>
      </c>
      <c r="M235" s="1">
        <v>0.27869545210731167</v>
      </c>
      <c r="O235" s="1">
        <v>6.5824689029291544E-3</v>
      </c>
      <c r="P235" s="1">
        <v>0.88437618974682386</v>
      </c>
      <c r="R235" s="1">
        <v>0.14942299816544447</v>
      </c>
      <c r="S235" s="2">
        <f t="shared" si="48"/>
        <v>0.54471811241276691</v>
      </c>
      <c r="T235" s="4">
        <f t="shared" si="49"/>
        <v>0.29671782199052776</v>
      </c>
      <c r="U235" s="1">
        <f t="shared" si="40"/>
        <v>0.1285043825575185</v>
      </c>
      <c r="V235" s="6">
        <f>2*sigma/alpha*corel*(B235/12-1/alpha*(1-EXP(-alpha*Output!B235/12)))</f>
        <v>0.68940750550120478</v>
      </c>
      <c r="W235" s="5">
        <f t="shared" si="50"/>
        <v>-0.16821343943300926</v>
      </c>
      <c r="X235" s="1">
        <f t="shared" si="51"/>
        <v>13.035219519639419</v>
      </c>
      <c r="Y235" s="3">
        <f t="shared" si="41"/>
        <v>7.8241728618155149E-2</v>
      </c>
      <c r="Z235" s="1">
        <f t="shared" si="42"/>
        <v>0.12607774429547594</v>
      </c>
      <c r="AA235" s="8">
        <f t="shared" si="47"/>
        <v>18.583333333333339</v>
      </c>
      <c r="AB235" s="1">
        <v>18.670000000000002</v>
      </c>
      <c r="AC235" s="1">
        <v>6.5769627009999998E-3</v>
      </c>
      <c r="AD235" s="8">
        <f t="shared" si="43"/>
        <v>-5.5062019291545611E-2</v>
      </c>
      <c r="AE235" s="3">
        <f t="shared" si="44"/>
        <v>-8.3719524946026613E-4</v>
      </c>
      <c r="AF235" s="11">
        <f t="shared" si="45"/>
        <v>18.583333333333339</v>
      </c>
      <c r="AG235" s="1">
        <f t="shared" si="46"/>
        <v>0.12607774429547594</v>
      </c>
    </row>
    <row r="236" spans="2:33" ht="15" x14ac:dyDescent="0.25">
      <c r="B236" s="1">
        <v>225</v>
      </c>
      <c r="C236" s="1">
        <v>1.0002931932193526</v>
      </c>
      <c r="D236" s="1">
        <v>1.1459751091199761</v>
      </c>
      <c r="E236" s="1">
        <v>0.87196182229767161</v>
      </c>
      <c r="G236" s="1">
        <v>0.99859548771802542</v>
      </c>
      <c r="H236" s="1">
        <v>3.2519371023205963</v>
      </c>
      <c r="I236" s="1">
        <v>0.27559021817671991</v>
      </c>
      <c r="K236" s="1">
        <v>0.99960011748561994</v>
      </c>
      <c r="L236" s="1">
        <v>3.1111332831355987</v>
      </c>
      <c r="M236" s="1">
        <v>0.2850784118934675</v>
      </c>
      <c r="O236" s="1">
        <v>6.6078443198106327E-3</v>
      </c>
      <c r="P236" s="1">
        <v>0.88347076213441333</v>
      </c>
      <c r="R236" s="1">
        <v>0.14985287666923056</v>
      </c>
      <c r="S236" s="2">
        <f t="shared" si="48"/>
        <v>0.54727192557777093</v>
      </c>
      <c r="T236" s="4">
        <f t="shared" si="49"/>
        <v>0.29950656052560126</v>
      </c>
      <c r="U236" s="1">
        <f t="shared" si="40"/>
        <v>0.1299500396997102</v>
      </c>
      <c r="V236" s="6">
        <f>2*sigma/alpha*corel*(B236/12-1/alpha*(1-EXP(-alpha*Output!B236/12)))</f>
        <v>0.69489547731567081</v>
      </c>
      <c r="W236" s="5">
        <f t="shared" si="50"/>
        <v>-0.16955652082589107</v>
      </c>
      <c r="X236" s="1">
        <f t="shared" si="51"/>
        <v>13.199618786335604</v>
      </c>
      <c r="Y236" s="3">
        <f t="shared" si="41"/>
        <v>7.8352866251163347E-2</v>
      </c>
      <c r="Z236" s="1">
        <f t="shared" si="42"/>
        <v>0.12638703742090035</v>
      </c>
      <c r="AA236" s="8">
        <f t="shared" si="47"/>
        <v>18.666666666666671</v>
      </c>
      <c r="AB236" s="1">
        <v>18.75</v>
      </c>
      <c r="AC236" s="1">
        <v>6.6020211879999997E-3</v>
      </c>
      <c r="AD236" s="8">
        <f t="shared" si="43"/>
        <v>-5.8231318106330074E-2</v>
      </c>
      <c r="AE236" s="3">
        <f t="shared" si="44"/>
        <v>-8.8202258744901933E-4</v>
      </c>
      <c r="AF236" s="11">
        <f t="shared" si="45"/>
        <v>18.666666666666671</v>
      </c>
      <c r="AG236" s="1">
        <f t="shared" si="46"/>
        <v>0.12638703742090035</v>
      </c>
    </row>
    <row r="237" spans="2:33" ht="15" x14ac:dyDescent="0.25">
      <c r="B237" s="1">
        <v>226</v>
      </c>
      <c r="C237" s="1">
        <v>1.0002955715367143</v>
      </c>
      <c r="D237" s="1">
        <v>1.1451951958346853</v>
      </c>
      <c r="E237" s="1">
        <v>0.8725540300792417</v>
      </c>
      <c r="G237" s="1">
        <v>0.99860947855619508</v>
      </c>
      <c r="H237" s="1">
        <v>3.2314856281644997</v>
      </c>
      <c r="I237" s="1">
        <v>0.27720007503150357</v>
      </c>
      <c r="K237" s="1">
        <v>0.99965460652545746</v>
      </c>
      <c r="L237" s="1">
        <v>3.0565897784612037</v>
      </c>
      <c r="M237" s="1">
        <v>0.29000977917108467</v>
      </c>
      <c r="O237" s="1">
        <v>6.6335443095843407E-3</v>
      </c>
      <c r="P237" s="1">
        <v>0.88255713402645253</v>
      </c>
      <c r="R237" s="1">
        <v>0.15005018548080284</v>
      </c>
      <c r="S237" s="2">
        <f t="shared" si="48"/>
        <v>0.54917970588379328</v>
      </c>
      <c r="T237" s="4">
        <f t="shared" si="49"/>
        <v>0.30159834935460966</v>
      </c>
      <c r="U237" s="1">
        <f t="shared" si="40"/>
        <v>0.13140435086980284</v>
      </c>
      <c r="V237" s="6">
        <f>2*sigma/alpha*corel*(B237/12-1/alpha*(1-EXP(-alpha*Output!B237/12)))</f>
        <v>0.70039985076173816</v>
      </c>
      <c r="W237" s="5">
        <f t="shared" si="50"/>
        <v>-0.17019399848480682</v>
      </c>
      <c r="X237" s="1">
        <f t="shared" si="51"/>
        <v>13.311841170135846</v>
      </c>
      <c r="Y237" s="3">
        <f t="shared" si="41"/>
        <v>7.8269196727324269E-2</v>
      </c>
      <c r="Z237" s="1">
        <f t="shared" si="42"/>
        <v>0.12654671725156452</v>
      </c>
      <c r="AA237" s="8">
        <f t="shared" si="47"/>
        <v>18.750000000000004</v>
      </c>
      <c r="AB237" s="1">
        <v>18.829999999999998</v>
      </c>
      <c r="AC237" s="1">
        <v>6.6274225689999999E-3</v>
      </c>
      <c r="AD237" s="8">
        <f t="shared" si="43"/>
        <v>-6.1217405843408054E-2</v>
      </c>
      <c r="AE237" s="3">
        <f t="shared" si="44"/>
        <v>-9.2369854503852834E-4</v>
      </c>
      <c r="AF237" s="11">
        <f t="shared" si="45"/>
        <v>18.750000000000004</v>
      </c>
      <c r="AG237" s="1">
        <f t="shared" si="46"/>
        <v>0.12654671725156452</v>
      </c>
    </row>
    <row r="238" spans="2:33" ht="15" x14ac:dyDescent="0.25">
      <c r="B238" s="1">
        <v>227</v>
      </c>
      <c r="C238" s="1">
        <v>1.0002975662487961</v>
      </c>
      <c r="D238" s="1">
        <v>1.143732554149822</v>
      </c>
      <c r="E238" s="1">
        <v>0.87366825553302829</v>
      </c>
      <c r="G238" s="1">
        <v>0.99860938467990368</v>
      </c>
      <c r="H238" s="1">
        <v>3.1796228122841521</v>
      </c>
      <c r="I238" s="1">
        <v>0.28158506013489842</v>
      </c>
      <c r="K238" s="1">
        <v>0.9997175250236443</v>
      </c>
      <c r="L238" s="1">
        <v>3.1225002793471779</v>
      </c>
      <c r="M238" s="1">
        <v>0.28373160887272286</v>
      </c>
      <c r="O238" s="1">
        <v>6.6596531193771555E-3</v>
      </c>
      <c r="P238" s="1">
        <v>0.88163385621349988</v>
      </c>
      <c r="R238" s="1">
        <v>0.15031527650149018</v>
      </c>
      <c r="S238" s="2">
        <f t="shared" si="48"/>
        <v>0.55129648080147242</v>
      </c>
      <c r="T238" s="4">
        <f t="shared" si="49"/>
        <v>0.30392780974408823</v>
      </c>
      <c r="U238" s="1">
        <f t="shared" si="40"/>
        <v>0.13286731296561571</v>
      </c>
      <c r="V238" s="6">
        <f>2*sigma/alpha*corel*(B238/12-1/alpha*(1-EXP(-alpha*Output!B238/12)))</f>
        <v>0.70592057125832097</v>
      </c>
      <c r="W238" s="5">
        <f t="shared" si="50"/>
        <v>-0.17106049677847252</v>
      </c>
      <c r="X238" s="1">
        <f t="shared" si="51"/>
        <v>13.441901442496761</v>
      </c>
      <c r="Y238" s="3">
        <f t="shared" si="41"/>
        <v>7.82484398065902E-2</v>
      </c>
      <c r="Z238" s="1">
        <f t="shared" si="42"/>
        <v>0.12675436227805212</v>
      </c>
      <c r="AA238" s="8">
        <f t="shared" si="47"/>
        <v>18.833333333333336</v>
      </c>
      <c r="AB238" s="1">
        <v>18.920000000000002</v>
      </c>
      <c r="AC238" s="1">
        <v>6.6532214870000002E-3</v>
      </c>
      <c r="AD238" s="8">
        <f t="shared" si="43"/>
        <v>-6.4316323771552997E-2</v>
      </c>
      <c r="AE238" s="3">
        <f t="shared" si="44"/>
        <v>-9.6669446368534808E-4</v>
      </c>
      <c r="AF238" s="11">
        <f t="shared" si="45"/>
        <v>18.833333333333336</v>
      </c>
      <c r="AG238" s="1">
        <f t="shared" si="46"/>
        <v>0.12675436227805212</v>
      </c>
    </row>
    <row r="239" spans="2:33" ht="15" x14ac:dyDescent="0.25">
      <c r="B239" s="1">
        <v>228</v>
      </c>
      <c r="C239" s="1">
        <v>1.000302819960909</v>
      </c>
      <c r="D239" s="1">
        <v>1.1470943947567276</v>
      </c>
      <c r="E239" s="1">
        <v>0.8711061399249489</v>
      </c>
      <c r="G239" s="1">
        <v>0.99885645217854457</v>
      </c>
      <c r="H239" s="1">
        <v>3.2787097741890889</v>
      </c>
      <c r="I239" s="1">
        <v>0.27294295106394106</v>
      </c>
      <c r="K239" s="1">
        <v>0.99972862187883671</v>
      </c>
      <c r="L239" s="1">
        <v>3.0774341982334938</v>
      </c>
      <c r="M239" s="1">
        <v>0.28774156318478405</v>
      </c>
      <c r="O239" s="1">
        <v>6.6862486014234255E-3</v>
      </c>
      <c r="P239" s="1">
        <v>0.88069956823136319</v>
      </c>
      <c r="R239" s="1">
        <v>0.15074480959330777</v>
      </c>
      <c r="S239" s="2">
        <f t="shared" si="48"/>
        <v>0.55390034896261842</v>
      </c>
      <c r="T239" s="4">
        <f t="shared" si="49"/>
        <v>0.30680559658091044</v>
      </c>
      <c r="U239" s="1">
        <f t="shared" si="40"/>
        <v>0.13433892272454884</v>
      </c>
      <c r="V239" s="6">
        <f>2*sigma/alpha*corel*(B239/12-1/alpha*(1-EXP(-alpha*Output!B239/12)))</f>
        <v>0.71145758440596607</v>
      </c>
      <c r="W239" s="5">
        <f t="shared" si="50"/>
        <v>-0.17246667385636161</v>
      </c>
      <c r="X239" s="1">
        <f t="shared" si="51"/>
        <v>13.613639107492254</v>
      </c>
      <c r="Y239" s="3">
        <f t="shared" si="41"/>
        <v>7.8373919638334136E-2</v>
      </c>
      <c r="Z239" s="1">
        <f t="shared" si="42"/>
        <v>0.12707345504841935</v>
      </c>
      <c r="AA239" s="8">
        <f t="shared" si="47"/>
        <v>18.916666666666668</v>
      </c>
      <c r="AB239" s="1">
        <v>19</v>
      </c>
      <c r="AC239" s="1">
        <v>6.6794725839999999E-3</v>
      </c>
      <c r="AD239" s="8">
        <f t="shared" si="43"/>
        <v>-6.7760174234255538E-2</v>
      </c>
      <c r="AE239" s="3">
        <f t="shared" si="44"/>
        <v>-1.0144539614784583E-3</v>
      </c>
      <c r="AF239" s="11">
        <f t="shared" si="45"/>
        <v>18.916666666666668</v>
      </c>
      <c r="AG239" s="1">
        <f t="shared" si="46"/>
        <v>0.12707345504841935</v>
      </c>
    </row>
    <row r="240" spans="2:33" ht="15" x14ac:dyDescent="0.25">
      <c r="B240" s="1">
        <v>229</v>
      </c>
      <c r="C240" s="1">
        <v>1.0003052731320523</v>
      </c>
      <c r="D240" s="1">
        <v>1.1479152792560663</v>
      </c>
      <c r="E240" s="1">
        <v>0.87048159048745499</v>
      </c>
      <c r="G240" s="1">
        <v>0.99888713076465141</v>
      </c>
      <c r="H240" s="1">
        <v>3.2855672136706895</v>
      </c>
      <c r="I240" s="1">
        <v>0.2722413886471915</v>
      </c>
      <c r="K240" s="1">
        <v>0.99981218955332485</v>
      </c>
      <c r="L240" s="1">
        <v>3.1399777574707075</v>
      </c>
      <c r="M240" s="1">
        <v>0.28185469703727983</v>
      </c>
      <c r="O240" s="1">
        <v>6.7133540769864384E-3</v>
      </c>
      <c r="P240" s="1">
        <v>0.87975380857322161</v>
      </c>
      <c r="R240" s="1">
        <v>0.1510356735935616</v>
      </c>
      <c r="S240" s="2">
        <f t="shared" si="48"/>
        <v>0.5561289686084312</v>
      </c>
      <c r="T240" s="4">
        <f t="shared" si="49"/>
        <v>0.30927942972547745</v>
      </c>
      <c r="U240" s="1">
        <f t="shared" si="40"/>
        <v>0.13581917672525323</v>
      </c>
      <c r="V240" s="6">
        <f>2*sigma/alpha*corel*(B240/12-1/alpha*(1-EXP(-alpha*Output!B240/12)))</f>
        <v>0.71701083598625148</v>
      </c>
      <c r="W240" s="5">
        <f t="shared" si="50"/>
        <v>-0.17346025300022422</v>
      </c>
      <c r="X240" s="1">
        <f t="shared" si="51"/>
        <v>13.754903851272152</v>
      </c>
      <c r="Y240" s="3">
        <f t="shared" si="41"/>
        <v>7.8386451976936028E-2</v>
      </c>
      <c r="Z240" s="1">
        <f t="shared" si="42"/>
        <v>0.12730586138781333</v>
      </c>
      <c r="AA240" s="8">
        <f t="shared" si="47"/>
        <v>19</v>
      </c>
      <c r="AB240" s="1">
        <v>19.079999999999998</v>
      </c>
      <c r="AC240" s="1">
        <v>6.7062305009999998E-3</v>
      </c>
      <c r="AD240" s="8">
        <f t="shared" si="43"/>
        <v>-7.1235759864386045E-2</v>
      </c>
      <c r="AE240" s="3">
        <f t="shared" si="44"/>
        <v>-1.0622324993714981E-3</v>
      </c>
      <c r="AF240" s="11">
        <f t="shared" si="45"/>
        <v>19</v>
      </c>
      <c r="AG240" s="1">
        <f t="shared" si="46"/>
        <v>0.12730586138781333</v>
      </c>
    </row>
    <row r="241" spans="2:33" ht="15" x14ac:dyDescent="0.25">
      <c r="B241" s="1">
        <v>230</v>
      </c>
      <c r="C241" s="1">
        <v>1.000307520044756</v>
      </c>
      <c r="D241" s="1">
        <v>1.1452527122881435</v>
      </c>
      <c r="E241" s="1">
        <v>0.87250373483920951</v>
      </c>
      <c r="G241" s="1">
        <v>0.9988959554137633</v>
      </c>
      <c r="H241" s="1">
        <v>3.21347201164305</v>
      </c>
      <c r="I241" s="1">
        <v>0.27821442197576007</v>
      </c>
      <c r="K241" s="1">
        <v>0.99983911423019878</v>
      </c>
      <c r="L241" s="1">
        <v>3.1404712479348125</v>
      </c>
      <c r="M241" s="1">
        <v>0.28166333936901061</v>
      </c>
      <c r="O241" s="1">
        <v>6.7407905090025493E-3</v>
      </c>
      <c r="P241" s="1">
        <v>0.87879951992557592</v>
      </c>
      <c r="R241" s="1">
        <v>0.15138200180458417</v>
      </c>
      <c r="S241" s="2">
        <f t="shared" si="48"/>
        <v>0.55853113564296453</v>
      </c>
      <c r="T241" s="4">
        <f t="shared" si="49"/>
        <v>0.31195702948261966</v>
      </c>
      <c r="U241" s="1">
        <f t="shared" si="40"/>
        <v>0.13730807138928913</v>
      </c>
      <c r="V241" s="6">
        <f>2*sigma/alpha*corel*(B241/12-1/alpha*(1-EXP(-alpha*Output!B241/12)))</f>
        <v>0.7225802719611818</v>
      </c>
      <c r="W241" s="5">
        <f t="shared" si="50"/>
        <v>-0.17464895809333053</v>
      </c>
      <c r="X241" s="1">
        <f t="shared" si="51"/>
        <v>13.911875703249503</v>
      </c>
      <c r="Y241" s="3">
        <f t="shared" si="41"/>
        <v>7.8450845747402992E-2</v>
      </c>
      <c r="Z241" s="1">
        <f t="shared" si="42"/>
        <v>0.12757750165890527</v>
      </c>
      <c r="AA241" s="8">
        <f t="shared" si="47"/>
        <v>19.083333333333332</v>
      </c>
      <c r="AB241" s="1">
        <v>19.170000000000002</v>
      </c>
      <c r="AC241" s="1">
        <v>6.7335042729999997E-3</v>
      </c>
      <c r="AD241" s="8">
        <f t="shared" si="43"/>
        <v>-7.2862360025495454E-2</v>
      </c>
      <c r="AE241" s="3">
        <f t="shared" si="44"/>
        <v>-1.082086786781422E-3</v>
      </c>
      <c r="AF241" s="11">
        <f t="shared" si="45"/>
        <v>19.083333333333332</v>
      </c>
      <c r="AG241" s="1">
        <f t="shared" si="46"/>
        <v>0.12757750165890527</v>
      </c>
    </row>
    <row r="242" spans="2:33" ht="15" x14ac:dyDescent="0.25">
      <c r="B242" s="1">
        <v>231</v>
      </c>
      <c r="C242" s="1">
        <v>1.0003145692414548</v>
      </c>
      <c r="D242" s="1">
        <v>1.1463094225256187</v>
      </c>
      <c r="E242" s="1">
        <v>0.87169781784646572</v>
      </c>
      <c r="G242" s="1">
        <v>0.99928021291721925</v>
      </c>
      <c r="H242" s="1">
        <v>3.2540440130129693</v>
      </c>
      <c r="I242" s="1">
        <v>0.27461255910969246</v>
      </c>
      <c r="K242" s="1">
        <v>0.99975667970474491</v>
      </c>
      <c r="L242" s="1">
        <v>3.2388165908782445</v>
      </c>
      <c r="M242" s="1">
        <v>0.27296419638052749</v>
      </c>
      <c r="O242" s="1">
        <v>6.7683067854398546E-3</v>
      </c>
      <c r="P242" s="1">
        <v>0.87784090301680695</v>
      </c>
      <c r="R242" s="1">
        <v>0.15161430739273715</v>
      </c>
      <c r="S242" s="2">
        <f t="shared" si="48"/>
        <v>0.56061668002669829</v>
      </c>
      <c r="T242" s="4">
        <f t="shared" si="49"/>
        <v>0.3142910619241574</v>
      </c>
      <c r="U242" s="1">
        <f t="shared" si="40"/>
        <v>0.13880560298276157</v>
      </c>
      <c r="V242" s="6">
        <f>2*sigma/alpha*corel*(B242/12-1/alpha*(1-EXP(-alpha*Output!B242/12)))</f>
        <v>0.72816583847258798</v>
      </c>
      <c r="W242" s="5">
        <f t="shared" si="50"/>
        <v>-0.17548545894139583</v>
      </c>
      <c r="X242" s="1">
        <f t="shared" si="51"/>
        <v>14.042605826805968</v>
      </c>
      <c r="Y242" s="3">
        <f t="shared" si="41"/>
        <v>7.8420277046665335E-2</v>
      </c>
      <c r="Z242" s="1">
        <f t="shared" si="42"/>
        <v>0.12777640005746185</v>
      </c>
      <c r="AA242" s="8">
        <f t="shared" si="47"/>
        <v>19.166666666666664</v>
      </c>
      <c r="AB242" s="1">
        <v>19.25</v>
      </c>
      <c r="AC242" s="1">
        <v>6.7611205080000004E-3</v>
      </c>
      <c r="AD242" s="8">
        <f t="shared" si="43"/>
        <v>-7.1862774398542481E-2</v>
      </c>
      <c r="AE242" s="3">
        <f t="shared" si="44"/>
        <v>-1.0628826141097748E-3</v>
      </c>
      <c r="AF242" s="11">
        <f t="shared" si="45"/>
        <v>19.166666666666664</v>
      </c>
      <c r="AG242" s="1">
        <f t="shared" si="46"/>
        <v>0.12777640005746185</v>
      </c>
    </row>
    <row r="243" spans="2:33" ht="15" x14ac:dyDescent="0.25">
      <c r="B243" s="1">
        <v>232</v>
      </c>
      <c r="C243" s="1">
        <v>1.0003192337378173</v>
      </c>
      <c r="D243" s="1">
        <v>1.1464503735125533</v>
      </c>
      <c r="E243" s="1">
        <v>0.87158903793935039</v>
      </c>
      <c r="G243" s="1">
        <v>0.99947426039715614</v>
      </c>
      <c r="H243" s="1">
        <v>3.2567219208798845</v>
      </c>
      <c r="I243" s="1">
        <v>0.27425389361673891</v>
      </c>
      <c r="K243" s="1">
        <v>0.99983765821654769</v>
      </c>
      <c r="L243" s="1">
        <v>3.1629104988293308</v>
      </c>
      <c r="M243" s="1">
        <v>0.27937241730690759</v>
      </c>
      <c r="O243" s="1">
        <v>6.7957242415192902E-3</v>
      </c>
      <c r="P243" s="1">
        <v>0.87688098567677675</v>
      </c>
      <c r="R243" s="1">
        <v>0.15204242866920023</v>
      </c>
      <c r="S243" s="2">
        <f t="shared" si="48"/>
        <v>0.56326678915690676</v>
      </c>
      <c r="T243" s="4">
        <f t="shared" si="49"/>
        <v>0.31726947576713127</v>
      </c>
      <c r="U243" s="1">
        <f t="shared" si="40"/>
        <v>0.14031176761795594</v>
      </c>
      <c r="V243" s="6">
        <f>2*sigma/alpha*corel*(B243/12-1/alpha*(1-EXP(-alpha*Output!B243/12)))</f>
        <v>0.73376748184152918</v>
      </c>
      <c r="W243" s="5">
        <f t="shared" si="50"/>
        <v>-0.17695770814917533</v>
      </c>
      <c r="X243" s="1">
        <f t="shared" si="51"/>
        <v>14.223144147610952</v>
      </c>
      <c r="Y243" s="3">
        <f t="shared" si="41"/>
        <v>7.8558385699101493E-2</v>
      </c>
      <c r="Z243" s="1">
        <f t="shared" si="42"/>
        <v>0.12810343526184653</v>
      </c>
      <c r="AA243" s="8">
        <f t="shared" si="47"/>
        <v>19.249999999999996</v>
      </c>
      <c r="AB243" s="1">
        <v>19.329999999999998</v>
      </c>
      <c r="AC243" s="1">
        <v>6.7888602070000003E-3</v>
      </c>
      <c r="AD243" s="8">
        <f t="shared" si="43"/>
        <v>-6.8640345192898591E-2</v>
      </c>
      <c r="AE243" s="3">
        <f t="shared" si="44"/>
        <v>-1.01107318607214E-3</v>
      </c>
      <c r="AF243" s="11">
        <f t="shared" si="45"/>
        <v>19.249999999999996</v>
      </c>
      <c r="AG243" s="1">
        <f t="shared" si="46"/>
        <v>0.12810343526184653</v>
      </c>
    </row>
    <row r="244" spans="2:33" ht="15" x14ac:dyDescent="0.25">
      <c r="B244" s="1">
        <v>233</v>
      </c>
      <c r="C244" s="1">
        <v>1.000320605606152</v>
      </c>
      <c r="D244" s="1">
        <v>1.1470868260977987</v>
      </c>
      <c r="E244" s="1">
        <v>0.87110383804689884</v>
      </c>
      <c r="G244" s="1">
        <v>0.99941941550246216</v>
      </c>
      <c r="H244" s="1">
        <v>3.2727598474590454</v>
      </c>
      <c r="I244" s="1">
        <v>0.27277779000823515</v>
      </c>
      <c r="K244" s="1">
        <v>0.99984180782359833</v>
      </c>
      <c r="L244" s="1">
        <v>3.0566718721675463</v>
      </c>
      <c r="M244" s="1">
        <v>0.28891752436891038</v>
      </c>
      <c r="O244" s="1">
        <v>6.8228189732600624E-3</v>
      </c>
      <c r="P244" s="1">
        <v>0.87592360414332326</v>
      </c>
      <c r="R244" s="1">
        <v>0.15234797509504217</v>
      </c>
      <c r="S244" s="2">
        <f t="shared" si="48"/>
        <v>0.5655654267412471</v>
      </c>
      <c r="T244" s="4">
        <f t="shared" si="49"/>
        <v>0.31986425192500895</v>
      </c>
      <c r="U244" s="1">
        <f t="shared" si="40"/>
        <v>0.14182656125495141</v>
      </c>
      <c r="V244" s="6">
        <f>2*sigma/alpha*corel*(B244/12-1/alpha*(1-EXP(-alpha*Output!B244/12)))</f>
        <v>0.73938514856769832</v>
      </c>
      <c r="W244" s="5">
        <f t="shared" si="50"/>
        <v>-0.17803769067005754</v>
      </c>
      <c r="X244" s="1">
        <f t="shared" si="51"/>
        <v>14.374284373296947</v>
      </c>
      <c r="Y244" s="3">
        <f t="shared" si="41"/>
        <v>7.8591198237647666E-2</v>
      </c>
      <c r="Z244" s="1">
        <f t="shared" si="42"/>
        <v>0.12834989434398475</v>
      </c>
      <c r="AA244" s="8">
        <f t="shared" si="47"/>
        <v>19.333333333333329</v>
      </c>
      <c r="AB244" s="1">
        <v>19.420000000000002</v>
      </c>
      <c r="AC244" s="1">
        <v>6.8165043720000004E-3</v>
      </c>
      <c r="AD244" s="8">
        <f t="shared" si="43"/>
        <v>-6.3146012600620235E-2</v>
      </c>
      <c r="AE244" s="3">
        <f t="shared" si="44"/>
        <v>-9.2636942858870112E-4</v>
      </c>
      <c r="AF244" s="11">
        <f t="shared" si="45"/>
        <v>19.333333333333329</v>
      </c>
      <c r="AG244" s="1">
        <f t="shared" si="46"/>
        <v>0.12834989434398475</v>
      </c>
    </row>
    <row r="245" spans="2:33" ht="15" x14ac:dyDescent="0.25">
      <c r="B245" s="1">
        <v>234</v>
      </c>
      <c r="C245" s="1">
        <v>1.0003212884846819</v>
      </c>
      <c r="D245" s="1">
        <v>1.1460893340635101</v>
      </c>
      <c r="E245" s="1">
        <v>0.87186039343461386</v>
      </c>
      <c r="G245" s="1">
        <v>0.99929847486050183</v>
      </c>
      <c r="H245" s="1">
        <v>3.2251784557201129</v>
      </c>
      <c r="I245" s="1">
        <v>0.27666808492998995</v>
      </c>
      <c r="K245" s="1">
        <v>0.99983168869324612</v>
      </c>
      <c r="L245" s="1">
        <v>3.0601018633178718</v>
      </c>
      <c r="M245" s="1">
        <v>0.28844795135189644</v>
      </c>
      <c r="O245" s="1">
        <v>6.8493204077050302E-3</v>
      </c>
      <c r="P245" s="1">
        <v>0.87497343949311868</v>
      </c>
      <c r="R245" s="1">
        <v>0.15262990302231477</v>
      </c>
      <c r="S245" s="2">
        <f t="shared" si="48"/>
        <v>0.56778828846609786</v>
      </c>
      <c r="T245" s="4">
        <f t="shared" si="49"/>
        <v>0.32238354051926077</v>
      </c>
      <c r="U245" s="1">
        <f t="shared" si="40"/>
        <v>0.14334997970322627</v>
      </c>
      <c r="V245" s="6">
        <f>2*sigma/alpha*corel*(B245/12-1/alpha*(1-EXP(-alpha*Output!B245/12)))</f>
        <v>0.74501878532882349</v>
      </c>
      <c r="W245" s="5">
        <f t="shared" si="50"/>
        <v>-0.1790335608160345</v>
      </c>
      <c r="X245" s="1">
        <f t="shared" si="51"/>
        <v>14.519670734143528</v>
      </c>
      <c r="Y245" s="3">
        <f t="shared" si="41"/>
        <v>7.8601276567664968E-2</v>
      </c>
      <c r="Z245" s="1">
        <f t="shared" si="42"/>
        <v>0.12857872785728588</v>
      </c>
      <c r="AA245" s="8">
        <f t="shared" si="47"/>
        <v>19.416666666666661</v>
      </c>
      <c r="AB245" s="1">
        <v>19.5</v>
      </c>
      <c r="AC245" s="1">
        <v>6.843834004E-3</v>
      </c>
      <c r="AD245" s="8">
        <f t="shared" si="43"/>
        <v>-5.4864037050302017E-2</v>
      </c>
      <c r="AE245" s="3">
        <f t="shared" si="44"/>
        <v>-8.016564548210223E-4</v>
      </c>
      <c r="AF245" s="11">
        <f t="shared" si="45"/>
        <v>19.416666666666661</v>
      </c>
      <c r="AG245" s="1">
        <f t="shared" si="46"/>
        <v>0.12857872785728588</v>
      </c>
    </row>
    <row r="246" spans="2:33" ht="15" x14ac:dyDescent="0.25">
      <c r="B246" s="1">
        <v>235</v>
      </c>
      <c r="C246" s="1">
        <v>1.0003165555999491</v>
      </c>
      <c r="D246" s="1">
        <v>1.1492458451799223</v>
      </c>
      <c r="E246" s="1">
        <v>0.86946414945881534</v>
      </c>
      <c r="G246" s="1">
        <v>0.99875879968178416</v>
      </c>
      <c r="H246" s="1">
        <v>3.2963614732882704</v>
      </c>
      <c r="I246" s="1">
        <v>0.27056253385508822</v>
      </c>
      <c r="K246" s="1">
        <v>0.99983016708704187</v>
      </c>
      <c r="L246" s="1">
        <v>2.9789173561245366</v>
      </c>
      <c r="M246" s="1">
        <v>0.29614631295067928</v>
      </c>
      <c r="O246" s="1">
        <v>6.8750416767323994E-3</v>
      </c>
      <c r="P246" s="1">
        <v>0.8740337986622787</v>
      </c>
      <c r="R246" s="1">
        <v>0.15273728947114812</v>
      </c>
      <c r="S246" s="2">
        <f t="shared" si="48"/>
        <v>0.56949685842123787</v>
      </c>
      <c r="T246" s="4">
        <f t="shared" si="49"/>
        <v>0.32432667175165947</v>
      </c>
      <c r="U246" s="1">
        <f t="shared" si="40"/>
        <v>0.14488201862324601</v>
      </c>
      <c r="V246" s="6">
        <f>2*sigma/alpha*corel*(B246/12-1/alpha*(1-EXP(-alpha*Output!B246/12)))</f>
        <v>0.75066833898007923</v>
      </c>
      <c r="W246" s="5">
        <f t="shared" si="50"/>
        <v>-0.17944465312841346</v>
      </c>
      <c r="X246" s="1">
        <f t="shared" si="51"/>
        <v>14.620000783539499</v>
      </c>
      <c r="Y246" s="3">
        <f t="shared" si="41"/>
        <v>7.8458109506594723E-2</v>
      </c>
      <c r="Z246" s="1">
        <f t="shared" si="42"/>
        <v>0.12869095524467469</v>
      </c>
      <c r="AA246" s="8">
        <f t="shared" si="47"/>
        <v>19.499999999999993</v>
      </c>
      <c r="AB246" s="1">
        <v>19.579999999999998</v>
      </c>
      <c r="AC246" s="1">
        <v>6.870630103E-3</v>
      </c>
      <c r="AD246" s="8">
        <f t="shared" si="43"/>
        <v>-4.4115737323994347E-2</v>
      </c>
      <c r="AE246" s="3">
        <f t="shared" si="44"/>
        <v>-6.4209157912214771E-4</v>
      </c>
      <c r="AF246" s="11">
        <f t="shared" si="45"/>
        <v>19.499999999999993</v>
      </c>
      <c r="AG246" s="1">
        <f t="shared" si="46"/>
        <v>0.12869095524467469</v>
      </c>
    </row>
    <row r="247" spans="2:33" ht="15" x14ac:dyDescent="0.25">
      <c r="B247" s="1">
        <v>236</v>
      </c>
      <c r="C247" s="1">
        <v>1.0003214740001505</v>
      </c>
      <c r="D247" s="1">
        <v>1.1546650992720577</v>
      </c>
      <c r="E247" s="1">
        <v>0.8653818561349097</v>
      </c>
      <c r="G247" s="1">
        <v>0.99898747929703624</v>
      </c>
      <c r="H247" s="1">
        <v>3.4669485745976165</v>
      </c>
      <c r="I247" s="1">
        <v>0.25712527194342749</v>
      </c>
      <c r="K247" s="1">
        <v>0.99973294990329153</v>
      </c>
      <c r="L247" s="1">
        <v>3.0204432175254365</v>
      </c>
      <c r="M247" s="1">
        <v>0.29192572913758652</v>
      </c>
      <c r="O247" s="1">
        <v>6.8997571419109494E-3</v>
      </c>
      <c r="P247" s="1">
        <v>0.87310869470003327</v>
      </c>
      <c r="R247" s="1">
        <v>0.15295635909289904</v>
      </c>
      <c r="S247" s="2">
        <f t="shared" si="48"/>
        <v>0.57150620571648458</v>
      </c>
      <c r="T247" s="4">
        <f t="shared" si="49"/>
        <v>0.32661934317245278</v>
      </c>
      <c r="U247" s="1">
        <f t="shared" si="40"/>
        <v>0.14642267352804694</v>
      </c>
      <c r="V247" s="6">
        <f>2*sigma/alpha*corel*(B247/12-1/alpha*(1-EXP(-alpha*Output!B247/12)))</f>
        <v>0.756333756553494</v>
      </c>
      <c r="W247" s="5">
        <f t="shared" si="50"/>
        <v>-0.18019666964440584</v>
      </c>
      <c r="X247" s="1">
        <f t="shared" si="51"/>
        <v>14.747512096662245</v>
      </c>
      <c r="Y247" s="3">
        <f t="shared" si="41"/>
        <v>7.8404623888866876E-2</v>
      </c>
      <c r="Z247" s="1">
        <f t="shared" si="42"/>
        <v>0.12887111085172898</v>
      </c>
      <c r="AA247" s="8">
        <f t="shared" si="47"/>
        <v>19.583333333333325</v>
      </c>
      <c r="AB247" s="1">
        <v>19.670000000000002</v>
      </c>
      <c r="AC247" s="1">
        <v>6.8966730920000004E-3</v>
      </c>
      <c r="AD247" s="8">
        <f t="shared" si="43"/>
        <v>-3.0840499109490577E-2</v>
      </c>
      <c r="AE247" s="3">
        <f t="shared" si="44"/>
        <v>-4.4717936747306356E-4</v>
      </c>
      <c r="AF247" s="11">
        <f t="shared" si="45"/>
        <v>19.583333333333325</v>
      </c>
      <c r="AG247" s="1">
        <f t="shared" si="46"/>
        <v>0.12887111085172898</v>
      </c>
    </row>
    <row r="248" spans="2:33" ht="15" x14ac:dyDescent="0.25">
      <c r="B248" s="1">
        <v>237</v>
      </c>
      <c r="C248" s="1">
        <v>1.0003217104495812</v>
      </c>
      <c r="D248" s="1">
        <v>1.1492278618162468</v>
      </c>
      <c r="E248" s="1">
        <v>0.86947456469112905</v>
      </c>
      <c r="G248" s="1">
        <v>0.99882380403474313</v>
      </c>
      <c r="H248" s="1">
        <v>3.321882431836169</v>
      </c>
      <c r="I248" s="1">
        <v>0.26822397023860661</v>
      </c>
      <c r="K248" s="1">
        <v>0.99958195846128184</v>
      </c>
      <c r="L248" s="1">
        <v>3.0336113959680606</v>
      </c>
      <c r="M248" s="1">
        <v>0.29051729518754682</v>
      </c>
      <c r="O248" s="1">
        <v>6.9231754092083791E-3</v>
      </c>
      <c r="P248" s="1">
        <v>0.87220332242685628</v>
      </c>
      <c r="R248" s="1">
        <v>0.15329008247045367</v>
      </c>
      <c r="S248" s="2">
        <f t="shared" si="48"/>
        <v>0.57381807753214376</v>
      </c>
      <c r="T248" s="4">
        <f t="shared" si="49"/>
        <v>0.32926718610268535</v>
      </c>
      <c r="U248" s="1">
        <f t="shared" si="40"/>
        <v>0.14797193978479628</v>
      </c>
      <c r="V248" s="6">
        <f>2*sigma/alpha*corel*(B248/12-1/alpha*(1-EXP(-alpha*Output!B248/12)))</f>
        <v>0.76201498525736211</v>
      </c>
      <c r="W248" s="5">
        <f t="shared" si="50"/>
        <v>-0.18129524631788907</v>
      </c>
      <c r="X248" s="1">
        <f t="shared" si="51"/>
        <v>14.902991296870017</v>
      </c>
      <c r="Y248" s="3">
        <f t="shared" si="41"/>
        <v>7.8441120934386876E-2</v>
      </c>
      <c r="Z248" s="1">
        <f t="shared" si="42"/>
        <v>0.12911915527280921</v>
      </c>
      <c r="AA248" s="8">
        <f t="shared" si="47"/>
        <v>19.666666666666657</v>
      </c>
      <c r="AB248" s="1">
        <v>19.75</v>
      </c>
      <c r="AC248" s="1">
        <v>6.9217410720000001E-3</v>
      </c>
      <c r="AD248" s="8">
        <f t="shared" si="43"/>
        <v>-1.4343372083790856E-2</v>
      </c>
      <c r="AE248" s="3">
        <f t="shared" si="44"/>
        <v>-2.0722202599882019E-4</v>
      </c>
      <c r="AF248" s="11">
        <f t="shared" si="45"/>
        <v>19.666666666666657</v>
      </c>
      <c r="AG248" s="1">
        <f t="shared" si="46"/>
        <v>0.12911915527280921</v>
      </c>
    </row>
    <row r="249" spans="2:33" ht="15" x14ac:dyDescent="0.25">
      <c r="B249" s="1">
        <v>238</v>
      </c>
      <c r="C249" s="1">
        <v>1.0003248670611777</v>
      </c>
      <c r="D249" s="1">
        <v>1.1485673290074447</v>
      </c>
      <c r="E249" s="1">
        <v>0.86997299995835342</v>
      </c>
      <c r="G249" s="1">
        <v>0.99891237320589121</v>
      </c>
      <c r="H249" s="1">
        <v>3.2744026098485715</v>
      </c>
      <c r="I249" s="1">
        <v>0.27198155406395336</v>
      </c>
      <c r="K249" s="1">
        <v>0.99973716844459737</v>
      </c>
      <c r="L249" s="1">
        <v>3.1382781829626487</v>
      </c>
      <c r="M249" s="1">
        <v>0.28066828100006758</v>
      </c>
      <c r="O249" s="1">
        <v>6.9451431458069481E-3</v>
      </c>
      <c r="P249" s="1">
        <v>0.87132055480750292</v>
      </c>
      <c r="R249" s="1">
        <v>0.15385861168777043</v>
      </c>
      <c r="S249" s="2">
        <f t="shared" si="48"/>
        <v>0.57677519276634559</v>
      </c>
      <c r="T249" s="4">
        <f t="shared" si="49"/>
        <v>0.33266962299065511</v>
      </c>
      <c r="U249" s="1">
        <f t="shared" ref="U249:U312" si="52">sigma*sigma/alpha/alpha*(B249/12+2/alpha*EXP(-alpha*B249/12)-1/2/alpha*EXP(-2*alpha*B249/12)-3/2/alpha)</f>
        <v>0.14952981261635312</v>
      </c>
      <c r="V249" s="6">
        <f>2*sigma/alpha*corel*(B249/12-1/alpha*(1-EXP(-alpha*Output!B249/12)))</f>
        <v>0.76771197247565715</v>
      </c>
      <c r="W249" s="5">
        <f t="shared" si="50"/>
        <v>-0.18313981037430199</v>
      </c>
      <c r="X249" s="1">
        <f t="shared" si="51"/>
        <v>15.118473295710423</v>
      </c>
      <c r="Y249" s="3">
        <f t="shared" si="41"/>
        <v>7.8668978032555098E-2</v>
      </c>
      <c r="Z249" s="1">
        <f t="shared" si="42"/>
        <v>0.12951161454498913</v>
      </c>
      <c r="AA249" s="8">
        <f t="shared" si="47"/>
        <v>19.749999999999989</v>
      </c>
      <c r="AB249" s="1">
        <v>19.829999999999998</v>
      </c>
      <c r="AC249" s="1">
        <v>6.9456115660000003E-3</v>
      </c>
      <c r="AD249" s="8">
        <f t="shared" si="43"/>
        <v>4.6842019305222415E-3</v>
      </c>
      <c r="AE249" s="3">
        <f t="shared" si="44"/>
        <v>6.7441173264745183E-5</v>
      </c>
      <c r="AF249" s="11">
        <f t="shared" si="45"/>
        <v>19.749999999999989</v>
      </c>
      <c r="AG249" s="1">
        <f t="shared" si="46"/>
        <v>0.12951161454498913</v>
      </c>
    </row>
    <row r="250" spans="2:33" ht="15" x14ac:dyDescent="0.25">
      <c r="B250" s="1">
        <v>239</v>
      </c>
      <c r="C250" s="1">
        <v>1.0003277903352361</v>
      </c>
      <c r="D250" s="1">
        <v>1.1452767631467364</v>
      </c>
      <c r="E250" s="1">
        <v>0.87247097757205982</v>
      </c>
      <c r="G250" s="1">
        <v>0.9989635960246378</v>
      </c>
      <c r="H250" s="1">
        <v>3.2155453438146182</v>
      </c>
      <c r="I250" s="1">
        <v>0.27682580946734042</v>
      </c>
      <c r="K250" s="1">
        <v>0.99990931871670596</v>
      </c>
      <c r="L250" s="1">
        <v>3.179611676401279</v>
      </c>
      <c r="M250" s="1">
        <v>0.27686340335790482</v>
      </c>
      <c r="O250" s="1">
        <v>6.9654499093797064E-3</v>
      </c>
      <c r="P250" s="1">
        <v>0.87046428911889417</v>
      </c>
      <c r="R250" s="1">
        <v>0.1542123309780892</v>
      </c>
      <c r="S250" s="2">
        <f t="shared" si="48"/>
        <v>0.579077301622273</v>
      </c>
      <c r="T250" s="4">
        <f t="shared" si="49"/>
        <v>0.33533052125413293</v>
      </c>
      <c r="U250" s="1">
        <f t="shared" si="52"/>
        <v>0.15109628710280365</v>
      </c>
      <c r="V250" s="6">
        <f>2*sigma/alpha*corel*(B250/12-1/alpha*(1-EXP(-alpha*Output!B250/12)))</f>
        <v>0.77342466576744906</v>
      </c>
      <c r="W250" s="5">
        <f t="shared" si="50"/>
        <v>-0.18423423415132928</v>
      </c>
      <c r="X250" s="1">
        <f t="shared" si="51"/>
        <v>15.275513034340056</v>
      </c>
      <c r="Y250" s="3">
        <f t="shared" si="41"/>
        <v>7.8702060662617562E-2</v>
      </c>
      <c r="Z250" s="1">
        <f t="shared" si="42"/>
        <v>0.12975622871916748</v>
      </c>
      <c r="AA250" s="8">
        <f t="shared" si="47"/>
        <v>19.833333333333321</v>
      </c>
      <c r="AB250" s="1">
        <v>19.920000000000002</v>
      </c>
      <c r="AC250" s="1">
        <v>6.9680620960000002E-3</v>
      </c>
      <c r="AD250" s="8">
        <f t="shared" si="43"/>
        <v>2.6121866202937979E-2</v>
      </c>
      <c r="AE250" s="3">
        <f t="shared" si="44"/>
        <v>3.7487992849451174E-4</v>
      </c>
      <c r="AF250" s="11">
        <f t="shared" si="45"/>
        <v>19.833333333333321</v>
      </c>
      <c r="AG250" s="1">
        <f t="shared" si="46"/>
        <v>0.12975622871916748</v>
      </c>
    </row>
    <row r="251" spans="2:33" ht="15" x14ac:dyDescent="0.25">
      <c r="B251" s="1">
        <v>240</v>
      </c>
      <c r="C251" s="1">
        <v>1.0003331529000774</v>
      </c>
      <c r="D251" s="1">
        <v>1.1455510282677543</v>
      </c>
      <c r="E251" s="1">
        <v>0.8722604988091589</v>
      </c>
      <c r="G251" s="1">
        <v>0.99924053060535301</v>
      </c>
      <c r="H251" s="1">
        <v>3.2155676208957797</v>
      </c>
      <c r="I251" s="1">
        <v>0.27668987130812173</v>
      </c>
      <c r="K251" s="1">
        <v>0.99987478830826426</v>
      </c>
      <c r="L251" s="1">
        <v>3.3054246177323718</v>
      </c>
      <c r="M251" s="1">
        <v>0.26618478381500543</v>
      </c>
      <c r="O251" s="1">
        <v>6.9838517337974639E-3</v>
      </c>
      <c r="P251" s="1">
        <v>0.86963905330780011</v>
      </c>
      <c r="R251" s="1">
        <v>0.15457043642925172</v>
      </c>
      <c r="S251" s="2">
        <f t="shared" si="48"/>
        <v>0.58134820414865973</v>
      </c>
      <c r="T251" s="4">
        <f t="shared" si="49"/>
        <v>0.33796573446687173</v>
      </c>
      <c r="U251" s="1">
        <f t="shared" si="52"/>
        <v>0.15267135818299327</v>
      </c>
      <c r="V251" s="6">
        <f>2*sigma/alpha*corel*(B251/12-1/alpha*(1-EXP(-alpha*Output!B251/12)))</f>
        <v>0.77915301286631733</v>
      </c>
      <c r="W251" s="5">
        <f t="shared" si="50"/>
        <v>-0.18529437628387846</v>
      </c>
      <c r="X251" s="1">
        <f t="shared" si="51"/>
        <v>15.430629520168937</v>
      </c>
      <c r="Y251" s="3">
        <f t="shared" si="41"/>
        <v>7.8725774622059499E-2</v>
      </c>
      <c r="Z251" s="1">
        <f t="shared" si="42"/>
        <v>0.12999341030738285</v>
      </c>
      <c r="AA251" s="8">
        <f t="shared" si="47"/>
        <v>19.916666666666654</v>
      </c>
      <c r="AB251" s="1">
        <v>20</v>
      </c>
      <c r="AC251" s="1">
        <v>6.9888701859999996E-3</v>
      </c>
      <c r="AD251" s="8">
        <f t="shared" si="43"/>
        <v>5.0184522025356962E-2</v>
      </c>
      <c r="AE251" s="3">
        <f t="shared" si="44"/>
        <v>7.1806344501699072E-4</v>
      </c>
      <c r="AF251" s="11">
        <f t="shared" si="45"/>
        <v>19.916666666666654</v>
      </c>
      <c r="AG251" s="1">
        <f t="shared" si="46"/>
        <v>0.12999341030738285</v>
      </c>
    </row>
    <row r="252" spans="2:33" ht="15" x14ac:dyDescent="0.25">
      <c r="B252" s="1">
        <v>241</v>
      </c>
      <c r="C252" s="1">
        <v>1.0003373219044509</v>
      </c>
      <c r="D252" s="1">
        <v>1.1531536696638924</v>
      </c>
      <c r="E252" s="1">
        <v>0.86650817996388385</v>
      </c>
      <c r="G252" s="1">
        <v>0.99941237149887852</v>
      </c>
      <c r="H252" s="1">
        <v>3.3896625896577102</v>
      </c>
      <c r="I252" s="1">
        <v>0.2623518512590044</v>
      </c>
      <c r="K252" s="1">
        <v>0.99976460538466516</v>
      </c>
      <c r="L252" s="1">
        <v>3.3293419484319977</v>
      </c>
      <c r="M252" s="1">
        <v>0.26413589611694627</v>
      </c>
      <c r="O252" s="1">
        <v>7.0003022966927762E-3</v>
      </c>
      <c r="P252" s="1">
        <v>0.86884598275558411</v>
      </c>
      <c r="R252" s="1">
        <v>0.15482442251481249</v>
      </c>
      <c r="S252" s="2">
        <f t="shared" si="48"/>
        <v>0.58327261787959239</v>
      </c>
      <c r="T252" s="4">
        <f t="shared" si="49"/>
        <v>0.34020694676811303</v>
      </c>
      <c r="U252" s="1">
        <f t="shared" si="52"/>
        <v>0.15425502065604357</v>
      </c>
      <c r="V252" s="6">
        <f>2*sigma/alpha*corel*(B252/12-1/alpha*(1-EXP(-alpha*Output!B252/12)))</f>
        <v>0.78489696167977474</v>
      </c>
      <c r="W252" s="5">
        <f t="shared" si="50"/>
        <v>-0.18595192611206945</v>
      </c>
      <c r="X252" s="1">
        <f t="shared" si="51"/>
        <v>15.554201304790388</v>
      </c>
      <c r="Y252" s="3">
        <f t="shared" si="41"/>
        <v>7.864691802565367E-2</v>
      </c>
      <c r="Z252" s="1">
        <f t="shared" si="42"/>
        <v>0.13015285238635524</v>
      </c>
      <c r="AA252" s="8">
        <f t="shared" si="47"/>
        <v>19.999999999999986</v>
      </c>
      <c r="AB252" s="1">
        <v>20.079999999999998</v>
      </c>
      <c r="AC252" s="1">
        <v>7.0078133569999998E-3</v>
      </c>
      <c r="AD252" s="8">
        <f t="shared" si="43"/>
        <v>7.5110603072236007E-2</v>
      </c>
      <c r="AE252" s="3">
        <f t="shared" si="44"/>
        <v>1.0718122650513965E-3</v>
      </c>
      <c r="AF252" s="11">
        <f t="shared" si="45"/>
        <v>19.999999999999986</v>
      </c>
      <c r="AG252" s="1">
        <f t="shared" si="46"/>
        <v>0.13015285238635524</v>
      </c>
    </row>
    <row r="253" spans="2:33" ht="15" x14ac:dyDescent="0.25">
      <c r="B253" s="1">
        <v>242</v>
      </c>
      <c r="C253" s="1">
        <v>1.0003389169613055</v>
      </c>
      <c r="D253" s="1">
        <v>1.1522606392071275</v>
      </c>
      <c r="E253" s="1">
        <v>0.86717816395198766</v>
      </c>
      <c r="G253" s="1">
        <v>0.99938321499113369</v>
      </c>
      <c r="H253" s="1">
        <v>3.3638725653485295</v>
      </c>
      <c r="I253" s="1">
        <v>0.26423525811481163</v>
      </c>
      <c r="K253" s="1">
        <v>0.99987203598998686</v>
      </c>
      <c r="L253" s="1">
        <v>3.4514023618553433</v>
      </c>
      <c r="M253" s="1">
        <v>0.254648669964886</v>
      </c>
      <c r="O253" s="1">
        <v>7.0149441462600427E-3</v>
      </c>
      <c r="P253" s="1">
        <v>0.86808291882605193</v>
      </c>
      <c r="R253" s="1">
        <v>0.15523179396435149</v>
      </c>
      <c r="S253" s="2">
        <f t="shared" si="48"/>
        <v>0.58559733084887022</v>
      </c>
      <c r="T253" s="4">
        <f t="shared" si="49"/>
        <v>0.34292423389732118</v>
      </c>
      <c r="U253" s="1">
        <f t="shared" si="52"/>
        <v>0.15584726918285874</v>
      </c>
      <c r="V253" s="6">
        <f>2*sigma/alpha*corel*(B253/12-1/alpha*(1-EXP(-alpha*Output!B253/12)))</f>
        <v>0.7906564602886863</v>
      </c>
      <c r="W253" s="5">
        <f t="shared" si="50"/>
        <v>-0.18707696471446245</v>
      </c>
      <c r="X253" s="1">
        <f t="shared" si="51"/>
        <v>15.716012791829538</v>
      </c>
      <c r="Y253" s="3">
        <f t="shared" si="41"/>
        <v>7.8686434909764097E-2</v>
      </c>
      <c r="Z253" s="1">
        <f t="shared" si="42"/>
        <v>0.13040133230141043</v>
      </c>
      <c r="AA253" s="8">
        <f t="shared" si="47"/>
        <v>20.083333333333318</v>
      </c>
      <c r="AB253" s="1">
        <v>20.170000000000002</v>
      </c>
      <c r="AC253" s="1">
        <v>7.0247428319999998E-3</v>
      </c>
      <c r="AD253" s="8">
        <f t="shared" si="43"/>
        <v>9.798685739957104E-2</v>
      </c>
      <c r="AE253" s="3">
        <f t="shared" si="44"/>
        <v>1.3948817735107521E-3</v>
      </c>
      <c r="AF253" s="11">
        <f t="shared" si="45"/>
        <v>20.083333333333318</v>
      </c>
      <c r="AG253" s="1">
        <f t="shared" si="46"/>
        <v>0.13040133230141043</v>
      </c>
    </row>
    <row r="254" spans="2:33" ht="15" x14ac:dyDescent="0.25">
      <c r="B254" s="1">
        <v>243</v>
      </c>
      <c r="C254" s="1">
        <v>1.0003415484387257</v>
      </c>
      <c r="D254" s="1">
        <v>1.1528276099122274</v>
      </c>
      <c r="E254" s="1">
        <v>0.86675009913061041</v>
      </c>
      <c r="G254" s="1">
        <v>0.99942941536211416</v>
      </c>
      <c r="H254" s="1">
        <v>3.3768232956517275</v>
      </c>
      <c r="I254" s="1">
        <v>0.2630944391312291</v>
      </c>
      <c r="K254" s="1">
        <v>0.999903780994575</v>
      </c>
      <c r="L254" s="1">
        <v>3.4425778205242827</v>
      </c>
      <c r="M254" s="1">
        <v>0.25517508618730006</v>
      </c>
      <c r="O254" s="1">
        <v>7.0278827345708113E-3</v>
      </c>
      <c r="P254" s="1">
        <v>0.86734832376071502</v>
      </c>
      <c r="R254" s="1">
        <v>0.15558181466835153</v>
      </c>
      <c r="S254" s="2">
        <f t="shared" si="48"/>
        <v>0.5877158467392436</v>
      </c>
      <c r="T254" s="4">
        <f t="shared" si="49"/>
        <v>0.34540991650842606</v>
      </c>
      <c r="U254" s="1">
        <f t="shared" si="52"/>
        <v>0.15744809828761719</v>
      </c>
      <c r="V254" s="6">
        <f>2*sigma/alpha*corel*(B254/12-1/alpha*(1-EXP(-alpha*Output!B254/12)))</f>
        <v>0.79643145694669104</v>
      </c>
      <c r="W254" s="5">
        <f t="shared" si="50"/>
        <v>-0.18796181822080887</v>
      </c>
      <c r="X254" s="1">
        <f t="shared" si="51"/>
        <v>15.859210341499749</v>
      </c>
      <c r="Y254" s="3">
        <f t="shared" si="41"/>
        <v>7.8664961732231434E-2</v>
      </c>
      <c r="Z254" s="1">
        <f t="shared" si="42"/>
        <v>0.13060352149760968</v>
      </c>
      <c r="AA254" s="8">
        <f t="shared" si="47"/>
        <v>20.16666666666665</v>
      </c>
      <c r="AB254" s="1">
        <v>20.25</v>
      </c>
      <c r="AC254" s="1">
        <v>7.0398046420000002E-3</v>
      </c>
      <c r="AD254" s="8">
        <f t="shared" si="43"/>
        <v>0.11921907429188888</v>
      </c>
      <c r="AE254" s="3">
        <f t="shared" si="44"/>
        <v>1.6934997539650319E-3</v>
      </c>
      <c r="AF254" s="11">
        <f t="shared" si="45"/>
        <v>20.16666666666665</v>
      </c>
      <c r="AG254" s="1">
        <f t="shared" si="46"/>
        <v>0.13060352149760968</v>
      </c>
    </row>
    <row r="255" spans="2:33" ht="15" x14ac:dyDescent="0.25">
      <c r="B255" s="1">
        <v>244</v>
      </c>
      <c r="C255" s="1">
        <v>1.0003442977872463</v>
      </c>
      <c r="D255" s="1">
        <v>1.1525546083699043</v>
      </c>
      <c r="E255" s="1">
        <v>0.86695382536593635</v>
      </c>
      <c r="G255" s="1">
        <v>0.99948575614086876</v>
      </c>
      <c r="H255" s="1">
        <v>3.3894414001697077</v>
      </c>
      <c r="I255" s="1">
        <v>0.2619881086787747</v>
      </c>
      <c r="K255" s="1">
        <v>0.99982950663448722</v>
      </c>
      <c r="L255" s="1">
        <v>3.5232836776182208</v>
      </c>
      <c r="M255" s="1">
        <v>0.24919751612724403</v>
      </c>
      <c r="O255" s="1">
        <v>7.0394029401594799E-3</v>
      </c>
      <c r="P255" s="1">
        <v>0.8666374753902869</v>
      </c>
      <c r="R255" s="1">
        <v>0.15585991846199193</v>
      </c>
      <c r="S255" s="2">
        <f t="shared" si="48"/>
        <v>0.58959251515434419</v>
      </c>
      <c r="T255" s="4">
        <f t="shared" si="49"/>
        <v>0.34761933392602556</v>
      </c>
      <c r="U255" s="1">
        <f t="shared" si="52"/>
        <v>0.15905750235925309</v>
      </c>
      <c r="V255" s="6">
        <f>2*sigma/alpha*corel*(B255/12-1/alpha*(1-EXP(-alpha*Output!B255/12)))</f>
        <v>0.8022219000796309</v>
      </c>
      <c r="W255" s="5">
        <f t="shared" si="50"/>
        <v>-0.18856183156677248</v>
      </c>
      <c r="X255" s="1">
        <f t="shared" si="51"/>
        <v>15.979922277731532</v>
      </c>
      <c r="Y255" s="3">
        <f t="shared" si="41"/>
        <v>7.8572154019883017E-2</v>
      </c>
      <c r="Z255" s="1">
        <f t="shared" si="42"/>
        <v>0.13075179851930926</v>
      </c>
      <c r="AA255" s="8">
        <f t="shared" si="47"/>
        <v>20.249999999999982</v>
      </c>
      <c r="AB255" s="1">
        <v>20.329999999999998</v>
      </c>
      <c r="AC255" s="1">
        <v>7.0532185159999997E-3</v>
      </c>
      <c r="AD255" s="8">
        <f t="shared" si="43"/>
        <v>0.1381557584051972</v>
      </c>
      <c r="AE255" s="3">
        <f t="shared" si="44"/>
        <v>1.9587619197079364E-3</v>
      </c>
      <c r="AF255" s="11">
        <f t="shared" si="45"/>
        <v>20.249999999999982</v>
      </c>
      <c r="AG255" s="1">
        <f t="shared" si="46"/>
        <v>0.13075179851930926</v>
      </c>
    </row>
    <row r="256" spans="2:33" ht="15" x14ac:dyDescent="0.25">
      <c r="B256" s="1">
        <v>245</v>
      </c>
      <c r="C256" s="1">
        <v>1.0003456307955412</v>
      </c>
      <c r="D256" s="1">
        <v>1.1549463795899693</v>
      </c>
      <c r="E256" s="1">
        <v>0.86515688292159476</v>
      </c>
      <c r="G256" s="1">
        <v>0.99942879349141656</v>
      </c>
      <c r="H256" s="1">
        <v>3.4517807931951454</v>
      </c>
      <c r="I256" s="1">
        <v>0.25713204891674085</v>
      </c>
      <c r="K256" s="1">
        <v>0.99998223873829661</v>
      </c>
      <c r="L256" s="1">
        <v>3.697796945575309</v>
      </c>
      <c r="M256" s="1">
        <v>0.23730487722833846</v>
      </c>
      <c r="O256" s="1">
        <v>7.0497485054124218E-3</v>
      </c>
      <c r="P256" s="1">
        <v>0.86594631408149281</v>
      </c>
      <c r="R256" s="1">
        <v>0.15637906628582579</v>
      </c>
      <c r="S256" s="2">
        <f t="shared" si="48"/>
        <v>0.59214000456805205</v>
      </c>
      <c r="T256" s="4">
        <f t="shared" si="49"/>
        <v>0.3506297850098527</v>
      </c>
      <c r="U256" s="1">
        <f t="shared" si="52"/>
        <v>0.16067547565292895</v>
      </c>
      <c r="V256" s="6">
        <f>2*sigma/alpha*corel*(B256/12-1/alpha*(1-EXP(-alpha*Output!B256/12)))</f>
        <v>0.80802773828497498</v>
      </c>
      <c r="W256" s="5">
        <f t="shared" si="50"/>
        <v>-0.18995430935692376</v>
      </c>
      <c r="X256" s="1">
        <f t="shared" si="51"/>
        <v>16.165844089986706</v>
      </c>
      <c r="Y256" s="3">
        <f t="shared" si="41"/>
        <v>7.8677126456757882E-2</v>
      </c>
      <c r="Z256" s="1">
        <f t="shared" si="42"/>
        <v>0.13104847864658567</v>
      </c>
      <c r="AA256" s="8">
        <f t="shared" si="47"/>
        <v>20.333333333333314</v>
      </c>
      <c r="AB256" s="1">
        <v>20.420000000000002</v>
      </c>
      <c r="AC256" s="1">
        <v>7.065204185E-3</v>
      </c>
      <c r="AD256" s="8">
        <f t="shared" si="43"/>
        <v>0.15455679587578208</v>
      </c>
      <c r="AE256" s="3">
        <f t="shared" si="44"/>
        <v>2.1875771998765251E-3</v>
      </c>
      <c r="AF256" s="11">
        <f t="shared" si="45"/>
        <v>20.333333333333314</v>
      </c>
      <c r="AG256" s="1">
        <f t="shared" si="46"/>
        <v>0.13104847864658567</v>
      </c>
    </row>
    <row r="257" spans="2:33" ht="15" x14ac:dyDescent="0.25">
      <c r="B257" s="1">
        <v>246</v>
      </c>
      <c r="C257" s="1">
        <v>1.0003467447341357</v>
      </c>
      <c r="D257" s="1">
        <v>1.1549796989505239</v>
      </c>
      <c r="E257" s="1">
        <v>0.86513035274228522</v>
      </c>
      <c r="G257" s="1">
        <v>0.99933802697800933</v>
      </c>
      <c r="H257" s="1">
        <v>3.4641092042020896</v>
      </c>
      <c r="I257" s="1">
        <v>0.25609291051560662</v>
      </c>
      <c r="K257" s="1">
        <v>0.99993774829330628</v>
      </c>
      <c r="L257" s="1">
        <v>3.6483985929649703</v>
      </c>
      <c r="M257" s="1">
        <v>0.24039174514427411</v>
      </c>
      <c r="O257" s="1">
        <v>7.0590995103228674E-3</v>
      </c>
      <c r="P257" s="1">
        <v>0.8652718534669771</v>
      </c>
      <c r="R257" s="1">
        <v>0.15688760240572525</v>
      </c>
      <c r="S257" s="2">
        <f t="shared" si="48"/>
        <v>0.5946343817361841</v>
      </c>
      <c r="T257" s="4">
        <f t="shared" si="49"/>
        <v>0.35359004794277393</v>
      </c>
      <c r="U257" s="1">
        <f t="shared" si="52"/>
        <v>0.16230201229148866</v>
      </c>
      <c r="V257" s="6">
        <f>2*sigma/alpha*corel*(B257/12-1/alpha*(1-EXP(-alpha*Output!B257/12)))</f>
        <v>0.81384892033124778</v>
      </c>
      <c r="W257" s="5">
        <f t="shared" si="50"/>
        <v>-0.19128803565128527</v>
      </c>
      <c r="X257" s="1">
        <f t="shared" si="51"/>
        <v>16.347968988529729</v>
      </c>
      <c r="Y257" s="3">
        <f t="shared" si="41"/>
        <v>7.8766176860931861E-2</v>
      </c>
      <c r="Z257" s="1">
        <f t="shared" si="42"/>
        <v>0.13133276446339934</v>
      </c>
      <c r="AA257" s="8">
        <f t="shared" si="47"/>
        <v>20.416666666666647</v>
      </c>
      <c r="AB257" s="1">
        <v>20.5</v>
      </c>
      <c r="AC257" s="1">
        <v>7.0759813779999996E-3</v>
      </c>
      <c r="AD257" s="8">
        <f t="shared" si="43"/>
        <v>0.1688186767713224</v>
      </c>
      <c r="AE257" s="3">
        <f t="shared" si="44"/>
        <v>2.3857987712658222E-3</v>
      </c>
      <c r="AF257" s="11">
        <f t="shared" si="45"/>
        <v>20.416666666666647</v>
      </c>
      <c r="AG257" s="1">
        <f t="shared" si="46"/>
        <v>0.13133276446339934</v>
      </c>
    </row>
    <row r="258" spans="2:33" ht="15" x14ac:dyDescent="0.25">
      <c r="B258" s="1">
        <v>247</v>
      </c>
      <c r="C258" s="1">
        <v>1.0003457963193987</v>
      </c>
      <c r="D258" s="1">
        <v>1.1572761547056667</v>
      </c>
      <c r="E258" s="1">
        <v>0.86341205288781542</v>
      </c>
      <c r="G258" s="1">
        <v>0.9991059155634664</v>
      </c>
      <c r="H258" s="1">
        <v>3.5246173509483589</v>
      </c>
      <c r="I258" s="1">
        <v>0.25157464644567784</v>
      </c>
      <c r="K258" s="1">
        <v>1.0000729423087833</v>
      </c>
      <c r="L258" s="1">
        <v>3.6839411762927319</v>
      </c>
      <c r="M258" s="1">
        <v>0.23794018260485267</v>
      </c>
      <c r="O258" s="1">
        <v>7.0677229310131401E-3</v>
      </c>
      <c r="P258" s="1">
        <v>0.86460951908391004</v>
      </c>
      <c r="R258" s="1">
        <v>0.15737389973157268</v>
      </c>
      <c r="S258" s="2">
        <f t="shared" si="48"/>
        <v>0.59704863442608924</v>
      </c>
      <c r="T258" s="4">
        <f t="shared" si="49"/>
        <v>0.35646707187005794</v>
      </c>
      <c r="U258" s="1">
        <f t="shared" si="52"/>
        <v>0.16393710626690838</v>
      </c>
      <c r="V258" s="6">
        <f>2*sigma/alpha*corel*(B258/12-1/alpha*(1-EXP(-alpha*Output!B258/12)))</f>
        <v>0.81968539515746164</v>
      </c>
      <c r="W258" s="5">
        <f t="shared" si="50"/>
        <v>-0.19252996560314956</v>
      </c>
      <c r="X258" s="1">
        <f t="shared" si="51"/>
        <v>16.523517981693757</v>
      </c>
      <c r="Y258" s="3">
        <f t="shared" si="41"/>
        <v>7.8831440642695871E-2</v>
      </c>
      <c r="Z258" s="1">
        <f t="shared" si="42"/>
        <v>0.13159877776589152</v>
      </c>
      <c r="AA258" s="8">
        <f t="shared" si="47"/>
        <v>20.499999999999979</v>
      </c>
      <c r="AB258" s="1">
        <v>20.58</v>
      </c>
      <c r="AC258" s="1">
        <v>7.0857698270000002E-3</v>
      </c>
      <c r="AD258" s="8">
        <f t="shared" si="43"/>
        <v>0.18046895986860087</v>
      </c>
      <c r="AE258" s="3">
        <f t="shared" si="44"/>
        <v>2.5469210018780487E-3</v>
      </c>
      <c r="AF258" s="11">
        <f t="shared" si="45"/>
        <v>20.499999999999979</v>
      </c>
      <c r="AG258" s="1">
        <f t="shared" si="46"/>
        <v>0.13159877776589152</v>
      </c>
    </row>
    <row r="259" spans="2:33" ht="15" x14ac:dyDescent="0.25">
      <c r="B259" s="1">
        <v>248</v>
      </c>
      <c r="C259" s="1">
        <v>1.0003466558565506</v>
      </c>
      <c r="D259" s="1">
        <v>1.1566271814901634</v>
      </c>
      <c r="E259" s="1">
        <v>0.86389493867569245</v>
      </c>
      <c r="G259" s="1">
        <v>0.9990026292891685</v>
      </c>
      <c r="H259" s="1">
        <v>3.4955386939798077</v>
      </c>
      <c r="I259" s="1">
        <v>0.25354464978531627</v>
      </c>
      <c r="K259" s="1">
        <v>1.0002556910482563</v>
      </c>
      <c r="L259" s="1">
        <v>3.7647944630189034</v>
      </c>
      <c r="M259" s="1">
        <v>0.23271128645983435</v>
      </c>
      <c r="O259" s="1">
        <v>7.0758011771693153E-3</v>
      </c>
      <c r="P259" s="1">
        <v>0.86395618408537989</v>
      </c>
      <c r="R259" s="1">
        <v>0.15794383661005018</v>
      </c>
      <c r="S259" s="2">
        <f t="shared" si="48"/>
        <v>0.59969494445059213</v>
      </c>
      <c r="T259" s="4">
        <f t="shared" si="49"/>
        <v>0.35963402639959879</v>
      </c>
      <c r="U259" s="1">
        <f t="shared" si="52"/>
        <v>0.16558075144173001</v>
      </c>
      <c r="V259" s="6">
        <f>2*sigma/alpha*corel*(B259/12-1/alpha*(1-EXP(-alpha*Output!B259/12)))</f>
        <v>0.82553711187255008</v>
      </c>
      <c r="W259" s="5">
        <f t="shared" si="50"/>
        <v>-0.19405327495786878</v>
      </c>
      <c r="X259" s="1">
        <f t="shared" si="51"/>
        <v>16.723248919596024</v>
      </c>
      <c r="Y259" s="3">
        <f t="shared" si="41"/>
        <v>7.8964592020454694E-2</v>
      </c>
      <c r="Z259" s="1">
        <f t="shared" si="42"/>
        <v>0.13191530024485509</v>
      </c>
      <c r="AA259" s="8">
        <f t="shared" si="47"/>
        <v>20.583333333333311</v>
      </c>
      <c r="AB259" s="1">
        <v>20.67</v>
      </c>
      <c r="AC259" s="1">
        <v>7.0947896259999999E-3</v>
      </c>
      <c r="AD259" s="8">
        <f t="shared" si="43"/>
        <v>0.1898844883068459</v>
      </c>
      <c r="AE259" s="3">
        <f t="shared" si="44"/>
        <v>2.6763934988429201E-3</v>
      </c>
      <c r="AF259" s="11">
        <f t="shared" si="45"/>
        <v>20.583333333333311</v>
      </c>
      <c r="AG259" s="1">
        <f t="shared" si="46"/>
        <v>0.13191530024485509</v>
      </c>
    </row>
    <row r="260" spans="2:33" ht="15" x14ac:dyDescent="0.25">
      <c r="B260" s="1">
        <v>249</v>
      </c>
      <c r="C260" s="1">
        <v>1.00034920972573</v>
      </c>
      <c r="D260" s="1">
        <v>1.1618249719209419</v>
      </c>
      <c r="E260" s="1">
        <v>0.86002847324488207</v>
      </c>
      <c r="G260" s="1">
        <v>0.99903533443112158</v>
      </c>
      <c r="H260" s="1">
        <v>3.6359973276237798</v>
      </c>
      <c r="I260" s="1">
        <v>0.24363222474254043</v>
      </c>
      <c r="K260" s="1">
        <v>1.0003075005685746</v>
      </c>
      <c r="L260" s="1">
        <v>3.7915114456562224</v>
      </c>
      <c r="M260" s="1">
        <v>0.23094817988755595</v>
      </c>
      <c r="O260" s="1">
        <v>7.0835302211536746E-3</v>
      </c>
      <c r="P260" s="1">
        <v>0.86330843590814732</v>
      </c>
      <c r="R260" s="1">
        <v>0.15840037250110861</v>
      </c>
      <c r="S260" s="2">
        <f t="shared" si="48"/>
        <v>0.6020059970067142</v>
      </c>
      <c r="T260" s="4">
        <f t="shared" si="49"/>
        <v>0.36241122043204799</v>
      </c>
      <c r="U260" s="1">
        <f t="shared" si="52"/>
        <v>0.16723294155048585</v>
      </c>
      <c r="V260" s="6">
        <f>2*sigma/alpha*corel*(B260/12-1/alpha*(1-EXP(-alpha*Output!B260/12)))</f>
        <v>0.8314040197547985</v>
      </c>
      <c r="W260" s="5">
        <f t="shared" si="50"/>
        <v>-0.19517827888156214</v>
      </c>
      <c r="X260" s="1">
        <f t="shared" si="51"/>
        <v>16.891029791234097</v>
      </c>
      <c r="Y260" s="3">
        <f t="shared" si="41"/>
        <v>7.8999175481189551E-2</v>
      </c>
      <c r="Z260" s="1">
        <f t="shared" si="42"/>
        <v>0.13215748554159545</v>
      </c>
      <c r="AA260" s="8">
        <f t="shared" si="47"/>
        <v>20.666666666666643</v>
      </c>
      <c r="AB260" s="1">
        <v>20.75</v>
      </c>
      <c r="AC260" s="1">
        <v>7.1032623360000003E-3</v>
      </c>
      <c r="AD260" s="8">
        <f t="shared" si="43"/>
        <v>0.1973211484632576</v>
      </c>
      <c r="AE260" s="3">
        <f t="shared" si="44"/>
        <v>2.7778947071012078E-3</v>
      </c>
      <c r="AF260" s="11">
        <f t="shared" si="45"/>
        <v>20.666666666666643</v>
      </c>
      <c r="AG260" s="1">
        <f t="shared" si="46"/>
        <v>0.13215748554159545</v>
      </c>
    </row>
    <row r="261" spans="2:33" ht="15" x14ac:dyDescent="0.25">
      <c r="B261" s="1">
        <v>250</v>
      </c>
      <c r="C261" s="1">
        <v>1.0003489083130341</v>
      </c>
      <c r="D261" s="1">
        <v>1.1608177210238606</v>
      </c>
      <c r="E261" s="1">
        <v>0.86077316765746492</v>
      </c>
      <c r="G261" s="1">
        <v>0.99884166788795847</v>
      </c>
      <c r="H261" s="1">
        <v>3.6086268477490933</v>
      </c>
      <c r="I261" s="1">
        <v>0.24536128383996075</v>
      </c>
      <c r="K261" s="1">
        <v>1.0002409928784313</v>
      </c>
      <c r="L261" s="1">
        <v>3.6945846435108609</v>
      </c>
      <c r="M261" s="1">
        <v>0.23688239945712741</v>
      </c>
      <c r="O261" s="1">
        <v>7.0909888744891203E-3</v>
      </c>
      <c r="P261" s="1">
        <v>0.86266492161821806</v>
      </c>
      <c r="R261" s="1">
        <v>0.15886196004657901</v>
      </c>
      <c r="S261" s="2">
        <f t="shared" si="48"/>
        <v>0.60432778997096981</v>
      </c>
      <c r="T261" s="4">
        <f t="shared" si="49"/>
        <v>0.36521207773119657</v>
      </c>
      <c r="U261" s="1">
        <f t="shared" si="52"/>
        <v>0.16889367020110768</v>
      </c>
      <c r="V261" s="6">
        <f>2*sigma/alpha*corel*(B261/12-1/alpha*(1-EXP(-alpha*Output!B261/12)))</f>
        <v>0.83728606825128593</v>
      </c>
      <c r="W261" s="5">
        <f t="shared" si="50"/>
        <v>-0.19631840753008889</v>
      </c>
      <c r="X261" s="1">
        <f t="shared" si="51"/>
        <v>17.060915254261769</v>
      </c>
      <c r="Y261" s="3">
        <f t="shared" si="41"/>
        <v>7.903680027379964E-2</v>
      </c>
      <c r="Z261" s="1">
        <f t="shared" si="42"/>
        <v>0.13240158507773778</v>
      </c>
      <c r="AA261" s="8">
        <f t="shared" si="47"/>
        <v>20.749999999999975</v>
      </c>
      <c r="AB261" s="1">
        <v>20.83</v>
      </c>
      <c r="AC261" s="1">
        <v>7.1114098819999999E-3</v>
      </c>
      <c r="AD261" s="8">
        <f t="shared" si="43"/>
        <v>0.20421007510879574</v>
      </c>
      <c r="AE261" s="3">
        <f t="shared" si="44"/>
        <v>2.8715835326224236E-3</v>
      </c>
      <c r="AF261" s="11">
        <f t="shared" si="45"/>
        <v>20.749999999999975</v>
      </c>
      <c r="AG261" s="1">
        <f t="shared" si="46"/>
        <v>0.13240158507773778</v>
      </c>
    </row>
    <row r="262" spans="2:33" ht="15" x14ac:dyDescent="0.25">
      <c r="B262" s="1">
        <v>251</v>
      </c>
      <c r="C262" s="1">
        <v>1.0003543054034407</v>
      </c>
      <c r="D262" s="1">
        <v>1.1585929501901593</v>
      </c>
      <c r="E262" s="1">
        <v>0.86242449337826999</v>
      </c>
      <c r="G262" s="1">
        <v>0.99910873190883853</v>
      </c>
      <c r="H262" s="1">
        <v>3.518998976829387</v>
      </c>
      <c r="I262" s="1">
        <v>0.25148877114022905</v>
      </c>
      <c r="K262" s="1">
        <v>1.0002752093942551</v>
      </c>
      <c r="L262" s="1">
        <v>3.7397814395456366</v>
      </c>
      <c r="M262" s="1">
        <v>0.233890755600213</v>
      </c>
      <c r="O262" s="1">
        <v>7.0985094862131143E-3</v>
      </c>
      <c r="P262" s="1">
        <v>0.8620196982742292</v>
      </c>
      <c r="R262" s="1">
        <v>0.15942117849383383</v>
      </c>
      <c r="S262" s="2">
        <f t="shared" si="48"/>
        <v>0.60693907015056214</v>
      </c>
      <c r="T262" s="4">
        <f t="shared" si="49"/>
        <v>0.36837503487522899</v>
      </c>
      <c r="U262" s="1">
        <f t="shared" si="52"/>
        <v>0.17056293087633145</v>
      </c>
      <c r="V262" s="6">
        <f>2*sigma/alpha*corel*(B262/12-1/alpha*(1-EXP(-alpha*Output!B262/12)))</f>
        <v>0.84318320697731886</v>
      </c>
      <c r="W262" s="5">
        <f t="shared" si="50"/>
        <v>-0.19781210399889754</v>
      </c>
      <c r="X262" s="1">
        <f t="shared" si="51"/>
        <v>17.261237288436316</v>
      </c>
      <c r="Y262" s="3">
        <f t="shared" si="41"/>
        <v>7.9158915891406653E-2</v>
      </c>
      <c r="Z262" s="1">
        <f t="shared" si="42"/>
        <v>0.13270853571719562</v>
      </c>
      <c r="AA262" s="8">
        <f t="shared" si="47"/>
        <v>20.833333333333307</v>
      </c>
      <c r="AB262" s="1">
        <v>20.92</v>
      </c>
      <c r="AC262" s="1">
        <v>7.1194541869999996E-3</v>
      </c>
      <c r="AD262" s="8">
        <f t="shared" si="43"/>
        <v>0.2094470078688529</v>
      </c>
      <c r="AE262" s="3">
        <f t="shared" si="44"/>
        <v>2.9418969820930868E-3</v>
      </c>
      <c r="AF262" s="11">
        <f t="shared" si="45"/>
        <v>20.833333333333307</v>
      </c>
      <c r="AG262" s="1">
        <f t="shared" si="46"/>
        <v>0.13270853571719562</v>
      </c>
    </row>
    <row r="263" spans="2:33" ht="15" x14ac:dyDescent="0.25">
      <c r="B263" s="1">
        <v>252</v>
      </c>
      <c r="C263" s="1">
        <v>1.0003525547598699</v>
      </c>
      <c r="D263" s="1">
        <v>1.1604622620223866</v>
      </c>
      <c r="E263" s="1">
        <v>0.86103371325788181</v>
      </c>
      <c r="G263" s="1">
        <v>0.99879628041800839</v>
      </c>
      <c r="H263" s="1">
        <v>3.5699583321247177</v>
      </c>
      <c r="I263" s="1">
        <v>0.24777890156072491</v>
      </c>
      <c r="K263" s="1">
        <v>1.0000777974703403</v>
      </c>
      <c r="L263" s="1">
        <v>3.7472371920819332</v>
      </c>
      <c r="M263" s="1">
        <v>0.23329765521583479</v>
      </c>
      <c r="O263" s="1">
        <v>7.1063900533897568E-3</v>
      </c>
      <c r="P263" s="1">
        <v>0.86136736668670388</v>
      </c>
      <c r="R263" s="1">
        <v>0.15973706551536207</v>
      </c>
      <c r="S263" s="2">
        <f t="shared" si="48"/>
        <v>0.60885481029326249</v>
      </c>
      <c r="T263" s="4">
        <f t="shared" si="49"/>
        <v>0.37070418001724464</v>
      </c>
      <c r="U263" s="1">
        <f t="shared" si="52"/>
        <v>0.17224071693508503</v>
      </c>
      <c r="V263" s="6">
        <f>2*sigma/alpha*corel*(B263/12-1/alpha*(1-EXP(-alpha*Output!B263/12)))</f>
        <v>0.84909538571587406</v>
      </c>
      <c r="W263" s="5">
        <f t="shared" si="50"/>
        <v>-0.19846346308215962</v>
      </c>
      <c r="X263" s="1">
        <f t="shared" si="51"/>
        <v>17.391893872945396</v>
      </c>
      <c r="Y263" s="3">
        <f t="shared" si="41"/>
        <v>7.9077704200129051E-2</v>
      </c>
      <c r="Z263" s="1">
        <f t="shared" si="42"/>
        <v>0.13286301216223112</v>
      </c>
      <c r="AA263" s="8">
        <f t="shared" si="47"/>
        <v>20.916666666666639</v>
      </c>
      <c r="AB263" s="1">
        <v>21</v>
      </c>
      <c r="AC263" s="1">
        <v>7.1276171789999999E-3</v>
      </c>
      <c r="AD263" s="8">
        <f t="shared" si="43"/>
        <v>0.21227125610243092</v>
      </c>
      <c r="AE263" s="3">
        <f t="shared" si="44"/>
        <v>2.9781517549489441E-3</v>
      </c>
      <c r="AF263" s="11">
        <f t="shared" si="45"/>
        <v>20.916666666666639</v>
      </c>
      <c r="AG263" s="1">
        <f t="shared" si="46"/>
        <v>0.13286301216223112</v>
      </c>
    </row>
    <row r="264" spans="2:33" ht="15" x14ac:dyDescent="0.25">
      <c r="B264" s="1">
        <v>253</v>
      </c>
      <c r="C264" s="1">
        <v>1.0003553257628526</v>
      </c>
      <c r="D264" s="1">
        <v>1.1623937962313169</v>
      </c>
      <c r="E264" s="1">
        <v>0.85960139088344234</v>
      </c>
      <c r="G264" s="1">
        <v>0.99885267058033367</v>
      </c>
      <c r="H264" s="1">
        <v>3.6205038348412044</v>
      </c>
      <c r="I264" s="1">
        <v>0.24420142435903056</v>
      </c>
      <c r="K264" s="1">
        <v>1.0001717758059863</v>
      </c>
      <c r="L264" s="1">
        <v>3.6670999944000036</v>
      </c>
      <c r="M264" s="1">
        <v>0.23827822474982779</v>
      </c>
      <c r="O264" s="1">
        <v>7.1147231723878521E-3</v>
      </c>
      <c r="P264" s="1">
        <v>0.86070618596682913</v>
      </c>
      <c r="R264" s="1">
        <v>0.16021844863871687</v>
      </c>
      <c r="S264" s="2">
        <f t="shared" si="48"/>
        <v>0.61126879148935664</v>
      </c>
      <c r="T264" s="4">
        <f t="shared" si="49"/>
        <v>0.37364953544885859</v>
      </c>
      <c r="U264" s="1">
        <f t="shared" si="52"/>
        <v>0.17392702161386797</v>
      </c>
      <c r="V264" s="6">
        <f>2*sigma/alpha*corel*(B264/12-1/alpha*(1-EXP(-alpha*Output!B264/12)))</f>
        <v>0.85502255441703845</v>
      </c>
      <c r="W264" s="5">
        <f t="shared" si="50"/>
        <v>-0.19972251383499062</v>
      </c>
      <c r="X264" s="1">
        <f t="shared" si="51"/>
        <v>17.574328901979381</v>
      </c>
      <c r="Y264" s="3">
        <f t="shared" si="41"/>
        <v>7.9141948644564059E-2</v>
      </c>
      <c r="Z264" s="1">
        <f t="shared" si="42"/>
        <v>0.13312590886158313</v>
      </c>
      <c r="AA264" s="8">
        <f t="shared" si="47"/>
        <v>20.999999999999972</v>
      </c>
      <c r="AB264" s="1">
        <v>21.08</v>
      </c>
      <c r="AC264" s="1">
        <v>7.1361207810000001E-3</v>
      </c>
      <c r="AD264" s="8">
        <f t="shared" si="43"/>
        <v>0.21397608612147914</v>
      </c>
      <c r="AE264" s="3">
        <f t="shared" si="44"/>
        <v>2.9984930564963645E-3</v>
      </c>
      <c r="AF264" s="11">
        <f t="shared" si="45"/>
        <v>20.999999999999972</v>
      </c>
      <c r="AG264" s="1">
        <f t="shared" si="46"/>
        <v>0.13312590886158313</v>
      </c>
    </row>
    <row r="265" spans="2:33" ht="15" x14ac:dyDescent="0.25">
      <c r="B265" s="1">
        <v>254</v>
      </c>
      <c r="C265" s="1">
        <v>1.0003635387551817</v>
      </c>
      <c r="D265" s="1">
        <v>1.160791993239418</v>
      </c>
      <c r="E265" s="1">
        <v>0.86078601884163131</v>
      </c>
      <c r="G265" s="1">
        <v>0.99934252785950195</v>
      </c>
      <c r="H265" s="1">
        <v>3.573672459046457</v>
      </c>
      <c r="I265" s="1">
        <v>0.24728182454039233</v>
      </c>
      <c r="K265" s="1">
        <v>1.000118104080608</v>
      </c>
      <c r="L265" s="1">
        <v>3.6511090547948375</v>
      </c>
      <c r="M265" s="1">
        <v>0.23919564623634185</v>
      </c>
      <c r="O265" s="1">
        <v>7.1235673154715299E-3</v>
      </c>
      <c r="P265" s="1">
        <v>0.86003501551859685</v>
      </c>
      <c r="R265" s="1">
        <v>0.16083300191339825</v>
      </c>
      <c r="S265" s="2">
        <f t="shared" si="48"/>
        <v>0.6140896292710889</v>
      </c>
      <c r="T265" s="4">
        <f t="shared" si="49"/>
        <v>0.37710607277830338</v>
      </c>
      <c r="U265" s="1">
        <f t="shared" si="52"/>
        <v>0.17562183802811893</v>
      </c>
      <c r="V265" s="6">
        <f>2*sigma/alpha*corel*(B265/12-1/alpha*(1-EXP(-alpha*Output!B265/12)))</f>
        <v>0.86096466319745635</v>
      </c>
      <c r="W265" s="5">
        <f t="shared" si="50"/>
        <v>-0.20148423475018445</v>
      </c>
      <c r="X265" s="1">
        <f t="shared" si="51"/>
        <v>17.800258693456993</v>
      </c>
      <c r="Y265" s="3">
        <f t="shared" si="41"/>
        <v>7.9324502757917942E-2</v>
      </c>
      <c r="Z265" s="1">
        <f t="shared" si="42"/>
        <v>0.13347672057107199</v>
      </c>
      <c r="AA265" s="8">
        <f t="shared" si="47"/>
        <v>21.083333333333304</v>
      </c>
      <c r="AB265" s="1">
        <v>21.17</v>
      </c>
      <c r="AC265" s="1">
        <v>7.1451405870000002E-3</v>
      </c>
      <c r="AD265" s="8">
        <f t="shared" si="43"/>
        <v>0.21573271528470273</v>
      </c>
      <c r="AE265" s="3">
        <f t="shared" si="44"/>
        <v>3.0192927998815137E-3</v>
      </c>
      <c r="AF265" s="11">
        <f t="shared" si="45"/>
        <v>21.083333333333304</v>
      </c>
      <c r="AG265" s="1">
        <f t="shared" si="46"/>
        <v>0.13347672057107199</v>
      </c>
    </row>
    <row r="266" spans="2:33" ht="15" x14ac:dyDescent="0.25">
      <c r="B266" s="1">
        <v>255</v>
      </c>
      <c r="C266" s="1">
        <v>1.000368601659638</v>
      </c>
      <c r="D266" s="1">
        <v>1.1601537490283322</v>
      </c>
      <c r="E266" s="1">
        <v>0.86125801395923862</v>
      </c>
      <c r="G266" s="1">
        <v>0.99956255163766106</v>
      </c>
      <c r="H266" s="1">
        <v>3.5581093636754861</v>
      </c>
      <c r="I266" s="1">
        <v>0.2482432160345853</v>
      </c>
      <c r="K266" s="1">
        <v>1.0000456057723244</v>
      </c>
      <c r="L266" s="1">
        <v>3.6625424453256907</v>
      </c>
      <c r="M266" s="1">
        <v>0.23831503009460719</v>
      </c>
      <c r="O266" s="1">
        <v>7.1328456504547808E-3</v>
      </c>
      <c r="P266" s="1">
        <v>0.85935517277602447</v>
      </c>
      <c r="R266" s="1">
        <v>0.161220850733407</v>
      </c>
      <c r="S266" s="2">
        <f t="shared" si="48"/>
        <v>0.61626462839533436</v>
      </c>
      <c r="T266" s="4">
        <f t="shared" si="49"/>
        <v>0.37978209221123954</v>
      </c>
      <c r="U266" s="1">
        <f t="shared" si="52"/>
        <v>0.17732515917357228</v>
      </c>
      <c r="V266" s="6">
        <f>2*sigma/alpha*corel*(B266/12-1/alpha*(1-EXP(-alpha*Output!B266/12)))</f>
        <v>0.86692166233977064</v>
      </c>
      <c r="W266" s="5">
        <f t="shared" si="50"/>
        <v>-0.20245693303766726</v>
      </c>
      <c r="X266" s="1">
        <f t="shared" si="51"/>
        <v>17.960392476835668</v>
      </c>
      <c r="Y266" s="3">
        <f t="shared" si="41"/>
        <v>7.9318792066077712E-2</v>
      </c>
      <c r="Z266" s="1">
        <f t="shared" si="42"/>
        <v>0.13368656797524389</v>
      </c>
      <c r="AA266" s="8">
        <f t="shared" si="47"/>
        <v>21.166666666666636</v>
      </c>
      <c r="AB266" s="1">
        <v>21.25</v>
      </c>
      <c r="AC266" s="1">
        <v>7.1546668690000001E-3</v>
      </c>
      <c r="AD266" s="8">
        <f t="shared" si="43"/>
        <v>0.2182121854521924</v>
      </c>
      <c r="AE266" s="3">
        <f t="shared" si="44"/>
        <v>3.049927962371946E-3</v>
      </c>
      <c r="AF266" s="11">
        <f t="shared" si="45"/>
        <v>21.166666666666636</v>
      </c>
      <c r="AG266" s="1">
        <f t="shared" si="46"/>
        <v>0.13368656797524389</v>
      </c>
    </row>
    <row r="267" spans="2:33" ht="15" x14ac:dyDescent="0.25">
      <c r="B267" s="1">
        <v>256</v>
      </c>
      <c r="C267" s="1">
        <v>1.0003732839823225</v>
      </c>
      <c r="D267" s="1">
        <v>1.1588041571067211</v>
      </c>
      <c r="E267" s="1">
        <v>0.86225951472260398</v>
      </c>
      <c r="G267" s="1">
        <v>0.99976860800085654</v>
      </c>
      <c r="H267" s="1">
        <v>3.5197403501900779</v>
      </c>
      <c r="I267" s="1">
        <v>0.25082787428182513</v>
      </c>
      <c r="K267" s="1">
        <v>1.0000879178977751</v>
      </c>
      <c r="L267" s="1">
        <v>3.6101759068356509</v>
      </c>
      <c r="M267" s="1">
        <v>0.24164523838378768</v>
      </c>
      <c r="O267" s="1">
        <v>7.142497220961469E-3</v>
      </c>
      <c r="P267" s="1">
        <v>0.85866770254457547</v>
      </c>
      <c r="R267" s="1">
        <v>0.16170068157753301</v>
      </c>
      <c r="S267" s="2">
        <f t="shared" si="48"/>
        <v>0.61872273395296129</v>
      </c>
      <c r="T267" s="4">
        <f t="shared" si="49"/>
        <v>0.38281782151022692</v>
      </c>
      <c r="U267" s="1">
        <f t="shared" si="52"/>
        <v>0.17903697792760287</v>
      </c>
      <c r="V267" s="6">
        <f>2*sigma/alpha*corel*(B267/12-1/alpha*(1-EXP(-alpha*Output!B267/12)))</f>
        <v>0.87289350229207496</v>
      </c>
      <c r="W267" s="5">
        <f t="shared" si="50"/>
        <v>-0.20378084358262405</v>
      </c>
      <c r="X267" s="1">
        <f t="shared" si="51"/>
        <v>18.151241718727643</v>
      </c>
      <c r="Y267" s="3">
        <f t="shared" si="41"/>
        <v>7.9395325969739139E-2</v>
      </c>
      <c r="Z267" s="1">
        <f t="shared" si="42"/>
        <v>0.13395740137555628</v>
      </c>
      <c r="AA267" s="8">
        <f t="shared" si="47"/>
        <v>21.249999999999968</v>
      </c>
      <c r="AB267" s="1">
        <v>21.33</v>
      </c>
      <c r="AC267" s="1">
        <v>7.1646435660000004E-3</v>
      </c>
      <c r="AD267" s="8">
        <f t="shared" si="43"/>
        <v>0.22146345038531398</v>
      </c>
      <c r="AE267" s="3">
        <f t="shared" si="44"/>
        <v>3.0910602648298439E-3</v>
      </c>
      <c r="AF267" s="11">
        <f t="shared" si="45"/>
        <v>21.249999999999968</v>
      </c>
      <c r="AG267" s="1">
        <f t="shared" si="46"/>
        <v>0.13395740137555628</v>
      </c>
    </row>
    <row r="268" spans="2:33" ht="15" x14ac:dyDescent="0.25">
      <c r="B268" s="1">
        <v>257</v>
      </c>
      <c r="C268" s="1">
        <v>1.0003751788307178</v>
      </c>
      <c r="D268" s="1">
        <v>1.1597009730469621</v>
      </c>
      <c r="E268" s="1">
        <v>0.86159116025945381</v>
      </c>
      <c r="G268" s="1">
        <v>0.99973190054935435</v>
      </c>
      <c r="H268" s="1">
        <v>3.5655713562248175</v>
      </c>
      <c r="I268" s="1">
        <v>0.24748394941691229</v>
      </c>
      <c r="K268" s="1">
        <v>1.0003123964048424</v>
      </c>
      <c r="L268" s="1">
        <v>3.6638465270393819</v>
      </c>
      <c r="M268" s="1">
        <v>0.23797406819313308</v>
      </c>
      <c r="O268" s="1">
        <v>7.1524587232057847E-3</v>
      </c>
      <c r="P268" s="1">
        <v>0.85797370714060617</v>
      </c>
      <c r="R268" s="1">
        <v>0.16232639422779263</v>
      </c>
      <c r="S268" s="2">
        <f t="shared" si="48"/>
        <v>0.62162080446802026</v>
      </c>
      <c r="T268" s="4">
        <f t="shared" si="49"/>
        <v>0.38641242454746866</v>
      </c>
      <c r="U268" s="1">
        <f t="shared" si="52"/>
        <v>0.18075728705056449</v>
      </c>
      <c r="V268" s="6">
        <f>2*sigma/alpha*corel*(B268/12-1/alpha*(1-EXP(-alpha*Output!B268/12)))</f>
        <v>0.87888013366735995</v>
      </c>
      <c r="W268" s="5">
        <f t="shared" si="50"/>
        <v>-0.20565513749690417</v>
      </c>
      <c r="X268" s="1">
        <f t="shared" si="51"/>
        <v>18.390220401589946</v>
      </c>
      <c r="Y268" s="3">
        <f t="shared" si="41"/>
        <v>7.95992659706794E-2</v>
      </c>
      <c r="Z268" s="1">
        <f t="shared" si="42"/>
        <v>0.13432275861080153</v>
      </c>
      <c r="AA268" s="8">
        <f t="shared" si="47"/>
        <v>21.3333333333333</v>
      </c>
      <c r="AB268" s="1">
        <v>21.42</v>
      </c>
      <c r="AC268" s="1">
        <v>7.1750146170000001E-3</v>
      </c>
      <c r="AD268" s="8">
        <f t="shared" si="43"/>
        <v>0.22555893794215348</v>
      </c>
      <c r="AE268" s="3">
        <f t="shared" si="44"/>
        <v>3.1436721732626049E-3</v>
      </c>
      <c r="AF268" s="11">
        <f t="shared" si="45"/>
        <v>21.3333333333333</v>
      </c>
      <c r="AG268" s="1">
        <f t="shared" si="46"/>
        <v>0.13432275861080153</v>
      </c>
    </row>
    <row r="269" spans="2:33" ht="15" x14ac:dyDescent="0.25">
      <c r="B269" s="1">
        <v>258</v>
      </c>
      <c r="C269" s="1">
        <v>1.0003769974172609</v>
      </c>
      <c r="D269" s="1">
        <v>1.1577842868448456</v>
      </c>
      <c r="E269" s="1">
        <v>0.86301594865539077</v>
      </c>
      <c r="G269" s="1">
        <v>0.99969170912523475</v>
      </c>
      <c r="H269" s="1">
        <v>3.4931642195175705</v>
      </c>
      <c r="I269" s="1">
        <v>0.2524915890636279</v>
      </c>
      <c r="K269" s="1">
        <v>1.0004709860963779</v>
      </c>
      <c r="L269" s="1">
        <v>3.6671557536260675</v>
      </c>
      <c r="M269" s="1">
        <v>0.23763376700762973</v>
      </c>
      <c r="O269" s="1">
        <v>7.1626184082460263E-3</v>
      </c>
      <c r="P269" s="1">
        <v>0.85727519654382811</v>
      </c>
      <c r="R269" s="1">
        <v>0.16267031334371954</v>
      </c>
      <c r="S269" s="2">
        <f t="shared" si="48"/>
        <v>0.62370376605670619</v>
      </c>
      <c r="T269" s="4">
        <f t="shared" si="49"/>
        <v>0.38900638779331848</v>
      </c>
      <c r="U269" s="1">
        <f t="shared" si="52"/>
        <v>0.18248607918711102</v>
      </c>
      <c r="V269" s="6">
        <f>2*sigma/alpha*corel*(B269/12-1/alpha*(1-EXP(-alpha*Output!B269/12)))</f>
        <v>0.88488150724296522</v>
      </c>
      <c r="W269" s="5">
        <f t="shared" si="50"/>
        <v>-0.20652030860620746</v>
      </c>
      <c r="X269" s="1">
        <f t="shared" si="51"/>
        <v>18.543761821994423</v>
      </c>
      <c r="Y269" s="3">
        <f t="shared" ref="Y269:Y332" si="53">(-V269+SQRT(X269))/2/B269*12</f>
        <v>7.9566635577964381E-2</v>
      </c>
      <c r="Z269" s="1">
        <f t="shared" ref="Z269:Z332" si="54">S269/SQRT(B269/12)</f>
        <v>0.13451141350264642</v>
      </c>
      <c r="AA269" s="8">
        <f t="shared" si="47"/>
        <v>21.416666666666632</v>
      </c>
      <c r="AB269" s="1">
        <v>21.5</v>
      </c>
      <c r="AC269" s="1">
        <v>7.1857239629999998E-3</v>
      </c>
      <c r="AD269" s="8">
        <f t="shared" ref="AD269:AD332" si="55">(AC269-O269)*10000</f>
        <v>0.2310555475397349</v>
      </c>
      <c r="AE269" s="3">
        <f t="shared" ref="AE269:AE332" si="56">AD269/AC269/10000</f>
        <v>3.2154804265994998E-3</v>
      </c>
      <c r="AF269" s="11">
        <f t="shared" ref="AF269:AF332" si="57">AA269</f>
        <v>21.416666666666632</v>
      </c>
      <c r="AG269" s="1">
        <f t="shared" ref="AG269:AG332" si="58">Z269</f>
        <v>0.13451141350264642</v>
      </c>
    </row>
    <row r="270" spans="2:33" ht="15" x14ac:dyDescent="0.25">
      <c r="B270" s="1">
        <v>259</v>
      </c>
      <c r="C270" s="1">
        <v>1.0003764256215513</v>
      </c>
      <c r="D270" s="1">
        <v>1.1558268736651802</v>
      </c>
      <c r="E270" s="1">
        <v>0.86447592268022899</v>
      </c>
      <c r="G270" s="1">
        <v>0.99946847835523167</v>
      </c>
      <c r="H270" s="1">
        <v>3.4404642333690791</v>
      </c>
      <c r="I270" s="1">
        <v>0.2562351010878135</v>
      </c>
      <c r="K270" s="1">
        <v>1.0005378699458354</v>
      </c>
      <c r="L270" s="1">
        <v>3.7717427526911194</v>
      </c>
      <c r="M270" s="1">
        <v>0.23092297421047783</v>
      </c>
      <c r="O270" s="1">
        <v>7.1730184099020088E-3</v>
      </c>
      <c r="P270" s="1">
        <v>0.85657136130308698</v>
      </c>
      <c r="R270" s="1">
        <v>0.16309826944532824</v>
      </c>
      <c r="S270" s="2">
        <f t="shared" si="48"/>
        <v>0.62604362554396764</v>
      </c>
      <c r="T270" s="4">
        <f t="shared" si="49"/>
        <v>0.3919306210842356</v>
      </c>
      <c r="U270" s="1">
        <f t="shared" si="52"/>
        <v>0.18422334686751229</v>
      </c>
      <c r="V270" s="6">
        <f>2*sigma/alpha*corel*(B270/12-1/alpha*(1-EXP(-alpha*Output!B270/12)))</f>
        <v>0.89089757396003311</v>
      </c>
      <c r="W270" s="5">
        <f t="shared" si="50"/>
        <v>-0.2077072742167233</v>
      </c>
      <c r="X270" s="1">
        <f t="shared" si="51"/>
        <v>18.725759827998317</v>
      </c>
      <c r="Y270" s="3">
        <f t="shared" si="53"/>
        <v>7.9608406002234233E-2</v>
      </c>
      <c r="Z270" s="1">
        <f t="shared" si="54"/>
        <v>0.13475513977219014</v>
      </c>
      <c r="AA270" s="8">
        <f t="shared" ref="AA270:AA333" si="59">AA269+1/12</f>
        <v>21.499999999999964</v>
      </c>
      <c r="AB270" s="1">
        <v>21.58</v>
      </c>
      <c r="AC270" s="1">
        <v>7.1967155430000002E-3</v>
      </c>
      <c r="AD270" s="8">
        <f t="shared" si="55"/>
        <v>0.23697133097991435</v>
      </c>
      <c r="AE270" s="3">
        <f t="shared" si="56"/>
        <v>3.2927705640722216E-3</v>
      </c>
      <c r="AF270" s="11">
        <f t="shared" si="57"/>
        <v>21.499999999999964</v>
      </c>
      <c r="AG270" s="1">
        <f t="shared" si="58"/>
        <v>0.13475513977219014</v>
      </c>
    </row>
    <row r="271" spans="2:33" ht="15" x14ac:dyDescent="0.25">
      <c r="B271" s="1">
        <v>260</v>
      </c>
      <c r="C271" s="1">
        <v>1.0003763480890282</v>
      </c>
      <c r="D271" s="1">
        <v>1.1551709648138648</v>
      </c>
      <c r="E271" s="1">
        <v>0.86496521512443347</v>
      </c>
      <c r="G271" s="1">
        <v>0.9992782679126907</v>
      </c>
      <c r="H271" s="1">
        <v>3.438135004334872</v>
      </c>
      <c r="I271" s="1">
        <v>0.25628459257014874</v>
      </c>
      <c r="K271" s="1">
        <v>1.0003940978093957</v>
      </c>
      <c r="L271" s="1">
        <v>3.9124859006707693</v>
      </c>
      <c r="M271" s="1">
        <v>0.2225012439290191</v>
      </c>
      <c r="O271" s="1">
        <v>7.1835839152331413E-3</v>
      </c>
      <c r="P271" s="1">
        <v>0.85586355135981174</v>
      </c>
      <c r="R271" s="1">
        <v>0.16348893976689635</v>
      </c>
      <c r="S271" s="2">
        <f t="shared" si="48"/>
        <v>0.62828287234733771</v>
      </c>
      <c r="T271" s="4">
        <f t="shared" si="49"/>
        <v>0.39473936768502105</v>
      </c>
      <c r="U271" s="1">
        <f t="shared" si="52"/>
        <v>0.18596908250895661</v>
      </c>
      <c r="V271" s="6">
        <f>2*sigma/alpha*corel*(B271/12-1/alpha*(1-EXP(-alpha*Output!B271/12)))</f>
        <v>0.8969282849229645</v>
      </c>
      <c r="W271" s="5">
        <f t="shared" si="50"/>
        <v>-0.20877028517606444</v>
      </c>
      <c r="X271" s="1">
        <f t="shared" si="51"/>
        <v>18.897905063553772</v>
      </c>
      <c r="Y271" s="3">
        <f t="shared" si="53"/>
        <v>7.962101057711729E-2</v>
      </c>
      <c r="Z271" s="1">
        <f t="shared" si="54"/>
        <v>0.13497681299764405</v>
      </c>
      <c r="AA271" s="8">
        <f t="shared" si="59"/>
        <v>21.583333333333297</v>
      </c>
      <c r="AB271" s="1">
        <v>21.67</v>
      </c>
      <c r="AC271" s="1">
        <v>7.2079332050000002E-3</v>
      </c>
      <c r="AD271" s="8">
        <f t="shared" si="55"/>
        <v>0.24349289766858845</v>
      </c>
      <c r="AE271" s="3">
        <f t="shared" si="56"/>
        <v>3.3781236693436931E-3</v>
      </c>
      <c r="AF271" s="11">
        <f t="shared" si="57"/>
        <v>21.583333333333297</v>
      </c>
      <c r="AG271" s="1">
        <f t="shared" si="58"/>
        <v>0.13497681299764405</v>
      </c>
    </row>
    <row r="272" spans="2:33" ht="15" x14ac:dyDescent="0.25">
      <c r="B272" s="1">
        <v>261</v>
      </c>
      <c r="C272" s="1">
        <v>1.0003781095332895</v>
      </c>
      <c r="D272" s="1">
        <v>1.1562369491545479</v>
      </c>
      <c r="E272" s="1">
        <v>0.86416620920035481</v>
      </c>
      <c r="G272" s="1">
        <v>0.99926217571626075</v>
      </c>
      <c r="H272" s="1">
        <v>3.452655230757931</v>
      </c>
      <c r="I272" s="1">
        <v>0.25508326478452531</v>
      </c>
      <c r="K272" s="1">
        <v>1.000397697757506</v>
      </c>
      <c r="L272" s="1">
        <v>3.7659993393665543</v>
      </c>
      <c r="M272" s="1">
        <v>0.23102998267238153</v>
      </c>
      <c r="O272" s="1">
        <v>7.1942815827737748E-3</v>
      </c>
      <c r="P272" s="1">
        <v>0.85515236227912084</v>
      </c>
      <c r="R272" s="1">
        <v>0.1639235008395748</v>
      </c>
      <c r="S272" s="2">
        <f t="shared" si="48"/>
        <v>0.63065881533755852</v>
      </c>
      <c r="T272" s="4">
        <f t="shared" si="49"/>
        <v>0.39773054136297276</v>
      </c>
      <c r="U272" s="1">
        <f t="shared" si="52"/>
        <v>0.187723278416843</v>
      </c>
      <c r="V272" s="6">
        <f>2*sigma/alpha*corel*(B272/12-1/alpha*(1-EXP(-alpha*Output!B272/12)))</f>
        <v>0.9029735913988719</v>
      </c>
      <c r="W272" s="5">
        <f t="shared" si="50"/>
        <v>-0.21000726294612976</v>
      </c>
      <c r="X272" s="1">
        <f t="shared" si="51"/>
        <v>19.085993183077065</v>
      </c>
      <c r="Y272" s="3">
        <f t="shared" si="53"/>
        <v>7.9673064616383474E-2</v>
      </c>
      <c r="Z272" s="1">
        <f t="shared" si="54"/>
        <v>0.13522744422587013</v>
      </c>
      <c r="AA272" s="8">
        <f t="shared" si="59"/>
        <v>21.666666666666629</v>
      </c>
      <c r="AB272" s="1">
        <v>21.75</v>
      </c>
      <c r="AC272" s="1">
        <v>7.2193204360000004E-3</v>
      </c>
      <c r="AD272" s="8">
        <f t="shared" si="55"/>
        <v>0.25038853226225577</v>
      </c>
      <c r="AE272" s="3">
        <f t="shared" si="56"/>
        <v>3.4683116573363828E-3</v>
      </c>
      <c r="AF272" s="11">
        <f t="shared" si="57"/>
        <v>21.666666666666629</v>
      </c>
      <c r="AG272" s="1">
        <f t="shared" si="58"/>
        <v>0.13522744422587013</v>
      </c>
    </row>
    <row r="273" spans="2:33" ht="15" x14ac:dyDescent="0.25">
      <c r="B273" s="1">
        <v>262</v>
      </c>
      <c r="C273" s="1">
        <v>1.0003812316534404</v>
      </c>
      <c r="D273" s="1">
        <v>1.1559464677007085</v>
      </c>
      <c r="E273" s="1">
        <v>0.86438181114113199</v>
      </c>
      <c r="G273" s="1">
        <v>0.99932906355235851</v>
      </c>
      <c r="H273" s="1">
        <v>3.4448499395109886</v>
      </c>
      <c r="I273" s="1">
        <v>0.25553749381356405</v>
      </c>
      <c r="K273" s="1">
        <v>1.0004692476234927</v>
      </c>
      <c r="L273" s="1">
        <v>3.7482976845759746</v>
      </c>
      <c r="M273" s="1">
        <v>0.2319987201515144</v>
      </c>
      <c r="O273" s="1">
        <v>7.2050463489334955E-3</v>
      </c>
      <c r="P273" s="1">
        <v>0.85443898900521542</v>
      </c>
      <c r="R273" s="1">
        <v>0.16433006690266186</v>
      </c>
      <c r="S273" s="2">
        <f t="shared" si="48"/>
        <v>0.63295860157000972</v>
      </c>
      <c r="T273" s="4">
        <f t="shared" si="49"/>
        <v>0.40063659130146229</v>
      </c>
      <c r="U273" s="1">
        <f t="shared" si="52"/>
        <v>0.18948592678606557</v>
      </c>
      <c r="V273" s="6">
        <f>2*sigma/alpha*corel*(B273/12-1/alpha*(1-EXP(-alpha*Output!B273/12)))</f>
        <v>0.90903344481704162</v>
      </c>
      <c r="W273" s="5">
        <f t="shared" si="50"/>
        <v>-0.21115066451539671</v>
      </c>
      <c r="X273" s="1">
        <f t="shared" si="51"/>
        <v>19.266833171473916</v>
      </c>
      <c r="Y273" s="3">
        <f t="shared" si="53"/>
        <v>7.970305299889896E-2</v>
      </c>
      <c r="Z273" s="1">
        <f t="shared" si="54"/>
        <v>0.13546131381514426</v>
      </c>
      <c r="AA273" s="8">
        <f t="shared" si="59"/>
        <v>21.749999999999961</v>
      </c>
      <c r="AB273" s="1">
        <v>21.83</v>
      </c>
      <c r="AC273" s="1">
        <v>7.2308206270000003E-3</v>
      </c>
      <c r="AD273" s="8">
        <f t="shared" si="55"/>
        <v>0.2577427806650483</v>
      </c>
      <c r="AE273" s="3">
        <f t="shared" si="56"/>
        <v>3.5645024812623982E-3</v>
      </c>
      <c r="AF273" s="11">
        <f t="shared" si="57"/>
        <v>21.749999999999961</v>
      </c>
      <c r="AG273" s="1">
        <f t="shared" si="58"/>
        <v>0.13546131381514426</v>
      </c>
    </row>
    <row r="274" spans="2:33" ht="15" x14ac:dyDescent="0.25">
      <c r="B274" s="1">
        <v>263</v>
      </c>
      <c r="C274" s="1">
        <v>1.0003834444137918</v>
      </c>
      <c r="D274" s="1">
        <v>1.1589720507984329</v>
      </c>
      <c r="E274" s="1">
        <v>0.86212372493382095</v>
      </c>
      <c r="G274" s="1">
        <v>0.9993390130362193</v>
      </c>
      <c r="H274" s="1">
        <v>3.5309513701195887</v>
      </c>
      <c r="I274" s="1">
        <v>0.24918561345957918</v>
      </c>
      <c r="K274" s="1">
        <v>1.0005249304373298</v>
      </c>
      <c r="L274" s="1">
        <v>3.8135774099697106</v>
      </c>
      <c r="M274" s="1">
        <v>0.22789991170637872</v>
      </c>
      <c r="O274" s="1">
        <v>7.2158638695810785E-3</v>
      </c>
      <c r="P274" s="1">
        <v>0.85372369206108778</v>
      </c>
      <c r="R274" s="1">
        <v>0.16469760440211506</v>
      </c>
      <c r="S274" s="2">
        <f t="shared" si="48"/>
        <v>0.63514916094711116</v>
      </c>
      <c r="T274" s="4">
        <f t="shared" si="49"/>
        <v>0.4034144566518193</v>
      </c>
      <c r="U274" s="1">
        <f t="shared" si="52"/>
        <v>0.19125701970228315</v>
      </c>
      <c r="V274" s="6">
        <f>2*sigma/alpha*corel*(B274/12-1/alpha*(1-EXP(-alpha*Output!B274/12)))</f>
        <v>0.91510779676839404</v>
      </c>
      <c r="W274" s="5">
        <f t="shared" si="50"/>
        <v>-0.21215743694953615</v>
      </c>
      <c r="X274" s="1">
        <f t="shared" si="51"/>
        <v>19.436557585615638</v>
      </c>
      <c r="Y274" s="3">
        <f t="shared" si="53"/>
        <v>7.9701521184162738E-2</v>
      </c>
      <c r="Z274" s="1">
        <f t="shared" si="54"/>
        <v>0.13567145340595615</v>
      </c>
      <c r="AA274" s="8">
        <f t="shared" si="59"/>
        <v>21.833333333333293</v>
      </c>
      <c r="AB274" s="1">
        <v>21.92</v>
      </c>
      <c r="AC274" s="1">
        <v>7.2423771739999997E-3</v>
      </c>
      <c r="AD274" s="8">
        <f t="shared" si="55"/>
        <v>0.26513304418921202</v>
      </c>
      <c r="AE274" s="3">
        <f t="shared" si="56"/>
        <v>3.6608566195783722E-3</v>
      </c>
      <c r="AF274" s="11">
        <f t="shared" si="57"/>
        <v>21.833333333333293</v>
      </c>
      <c r="AG274" s="1">
        <f t="shared" si="58"/>
        <v>0.13567145340595615</v>
      </c>
    </row>
    <row r="275" spans="2:33" ht="15" x14ac:dyDescent="0.25">
      <c r="B275" s="1">
        <v>264</v>
      </c>
      <c r="C275" s="1">
        <v>1.0003861031784622</v>
      </c>
      <c r="D275" s="1">
        <v>1.163566857687397</v>
      </c>
      <c r="E275" s="1">
        <v>0.85871773974443844</v>
      </c>
      <c r="G275" s="1">
        <v>0.99937690103818422</v>
      </c>
      <c r="H275" s="1">
        <v>3.6596053551298229</v>
      </c>
      <c r="I275" s="1">
        <v>0.24030909684696486</v>
      </c>
      <c r="K275" s="1">
        <v>1.0006985995387705</v>
      </c>
      <c r="L275" s="1">
        <v>3.8351272660013791</v>
      </c>
      <c r="M275" s="1">
        <v>0.22649861029371698</v>
      </c>
      <c r="O275" s="1">
        <v>7.2266804638094111E-3</v>
      </c>
      <c r="P275" s="1">
        <v>0.85300747341025152</v>
      </c>
      <c r="R275" s="1">
        <v>0.1651619138456944</v>
      </c>
      <c r="S275" s="2">
        <f t="shared" si="48"/>
        <v>0.6376286740759467</v>
      </c>
      <c r="T275" s="4">
        <f t="shared" si="49"/>
        <v>0.40657032600384985</v>
      </c>
      <c r="U275" s="1">
        <f t="shared" si="52"/>
        <v>0.19303654914318358</v>
      </c>
      <c r="V275" s="6">
        <f>2*sigma/alpha*corel*(B275/12-1/alpha*(1-EXP(-alpha*Output!B275/12)))</f>
        <v>0.92119659900494155</v>
      </c>
      <c r="W275" s="5">
        <f t="shared" si="50"/>
        <v>-0.21353377686066627</v>
      </c>
      <c r="X275" s="1">
        <f t="shared" si="51"/>
        <v>19.639575537756905</v>
      </c>
      <c r="Y275" s="3">
        <f t="shared" si="53"/>
        <v>7.9783169833777118E-2</v>
      </c>
      <c r="Z275" s="1">
        <f t="shared" si="54"/>
        <v>0.13594289008186988</v>
      </c>
      <c r="AA275" s="8">
        <f t="shared" si="59"/>
        <v>21.916666666666625</v>
      </c>
      <c r="AB275" s="1">
        <v>22</v>
      </c>
      <c r="AC275" s="1">
        <v>7.253933469E-3</v>
      </c>
      <c r="AD275" s="8">
        <f t="shared" si="55"/>
        <v>0.2725300519058893</v>
      </c>
      <c r="AE275" s="3">
        <f t="shared" si="56"/>
        <v>3.7569968496479647E-3</v>
      </c>
      <c r="AF275" s="11">
        <f t="shared" si="57"/>
        <v>21.916666666666625</v>
      </c>
      <c r="AG275" s="1">
        <f t="shared" si="58"/>
        <v>0.13594289008186988</v>
      </c>
    </row>
    <row r="276" spans="2:33" ht="15" x14ac:dyDescent="0.25">
      <c r="B276" s="1">
        <v>265</v>
      </c>
      <c r="C276" s="1">
        <v>1.0003887166640202</v>
      </c>
      <c r="D276" s="1">
        <v>1.156560627342496</v>
      </c>
      <c r="E276" s="1">
        <v>0.863918137543632</v>
      </c>
      <c r="G276" s="1">
        <v>0.99941440418238248</v>
      </c>
      <c r="H276" s="1">
        <v>3.4669965959640603</v>
      </c>
      <c r="I276" s="1">
        <v>0.25353669066895312</v>
      </c>
      <c r="K276" s="1">
        <v>1.0009071389580932</v>
      </c>
      <c r="L276" s="1">
        <v>3.906266999673369</v>
      </c>
      <c r="M276" s="1">
        <v>0.22226192831291361</v>
      </c>
      <c r="O276" s="1">
        <v>7.2373516663788448E-3</v>
      </c>
      <c r="P276" s="1">
        <v>0.85229305561972946</v>
      </c>
      <c r="R276" s="1">
        <v>0.16558811543983934</v>
      </c>
      <c r="S276" s="2">
        <f t="shared" si="48"/>
        <v>0.63999601713215992</v>
      </c>
      <c r="T276" s="4">
        <f t="shared" si="49"/>
        <v>0.40959490194502796</v>
      </c>
      <c r="U276" s="1">
        <f t="shared" si="52"/>
        <v>0.19482450697973341</v>
      </c>
      <c r="V276" s="6">
        <f>2*sigma/alpha*corel*(B276/12-1/alpha*(1-EXP(-alpha*Output!B276/12)))</f>
        <v>0.92729980343925833</v>
      </c>
      <c r="W276" s="5">
        <f t="shared" si="50"/>
        <v>-0.21477039496529454</v>
      </c>
      <c r="X276" s="1">
        <f t="shared" si="51"/>
        <v>19.831269814059507</v>
      </c>
      <c r="Y276" s="3">
        <f t="shared" si="53"/>
        <v>7.9832413283615664E-2</v>
      </c>
      <c r="Z276" s="1">
        <f t="shared" si="54"/>
        <v>0.13618991766273447</v>
      </c>
      <c r="AA276" s="8">
        <f t="shared" si="59"/>
        <v>21.999999999999957</v>
      </c>
      <c r="AB276" s="1">
        <v>22.08</v>
      </c>
      <c r="AC276" s="1">
        <v>7.2654329060000003E-3</v>
      </c>
      <c r="AD276" s="8">
        <f t="shared" si="55"/>
        <v>0.28081239621155496</v>
      </c>
      <c r="AE276" s="3">
        <f t="shared" si="56"/>
        <v>3.8650469950613974E-3</v>
      </c>
      <c r="AF276" s="11">
        <f t="shared" si="57"/>
        <v>21.999999999999957</v>
      </c>
      <c r="AG276" s="1">
        <f t="shared" si="58"/>
        <v>0.13618991766273447</v>
      </c>
    </row>
    <row r="277" spans="2:33" ht="15" x14ac:dyDescent="0.25">
      <c r="B277" s="1">
        <v>266</v>
      </c>
      <c r="C277" s="1">
        <v>1.0003895023838976</v>
      </c>
      <c r="D277" s="1">
        <v>1.1551215880843286</v>
      </c>
      <c r="E277" s="1">
        <v>0.86499284100597673</v>
      </c>
      <c r="G277" s="1">
        <v>0.99929012677295503</v>
      </c>
      <c r="H277" s="1">
        <v>3.4263523524673154</v>
      </c>
      <c r="I277" s="1">
        <v>0.25642004958002246</v>
      </c>
      <c r="K277" s="1">
        <v>1.0010252130482771</v>
      </c>
      <c r="L277" s="1">
        <v>4.0160046174544259</v>
      </c>
      <c r="M277" s="1">
        <v>0.21607152399823354</v>
      </c>
      <c r="O277" s="1">
        <v>7.2479542655542826E-3</v>
      </c>
      <c r="P277" s="1">
        <v>0.85157901661568003</v>
      </c>
      <c r="R277" s="1">
        <v>0.16599755309632594</v>
      </c>
      <c r="S277" s="2">
        <f t="shared" si="48"/>
        <v>0.64231608841562826</v>
      </c>
      <c r="T277" s="4">
        <f t="shared" si="49"/>
        <v>0.4125699574375532</v>
      </c>
      <c r="U277" s="1">
        <f t="shared" si="52"/>
        <v>0.19662088497742181</v>
      </c>
      <c r="V277" s="6">
        <f>2*sigma/alpha*corel*(B277/12-1/alpha*(1-EXP(-alpha*Output!B277/12)))</f>
        <v>0.93341736214394122</v>
      </c>
      <c r="W277" s="5">
        <f t="shared" si="50"/>
        <v>-0.2159490724601314</v>
      </c>
      <c r="X277" s="1">
        <f t="shared" si="51"/>
        <v>20.01875239675007</v>
      </c>
      <c r="Y277" s="3">
        <f t="shared" si="53"/>
        <v>7.9868000375875103E-2</v>
      </c>
      <c r="Z277" s="1">
        <f t="shared" si="54"/>
        <v>0.13642645832468656</v>
      </c>
      <c r="AA277" s="8">
        <f t="shared" si="59"/>
        <v>22.08333333333329</v>
      </c>
      <c r="AB277" s="1">
        <v>22.17</v>
      </c>
      <c r="AC277" s="1">
        <v>7.2768288670000004E-3</v>
      </c>
      <c r="AD277" s="8">
        <f t="shared" si="55"/>
        <v>0.28874601445717796</v>
      </c>
      <c r="AE277" s="3">
        <f t="shared" si="56"/>
        <v>3.9680198577518363E-3</v>
      </c>
      <c r="AF277" s="11">
        <f t="shared" si="57"/>
        <v>22.08333333333329</v>
      </c>
      <c r="AG277" s="1">
        <f t="shared" si="58"/>
        <v>0.13642645832468656</v>
      </c>
    </row>
    <row r="278" spans="2:33" ht="15" x14ac:dyDescent="0.25">
      <c r="B278" s="1">
        <v>267</v>
      </c>
      <c r="C278" s="1">
        <v>1.0003930475272078</v>
      </c>
      <c r="D278" s="1">
        <v>1.1543112361035242</v>
      </c>
      <c r="E278" s="1">
        <v>0.8655985266777162</v>
      </c>
      <c r="G278" s="1">
        <v>0.99939939695400171</v>
      </c>
      <c r="H278" s="1">
        <v>3.4029604429149454</v>
      </c>
      <c r="I278" s="1">
        <v>0.25805773006470362</v>
      </c>
      <c r="K278" s="1">
        <v>1.001011224494718</v>
      </c>
      <c r="L278" s="1">
        <v>4.0940108864562834</v>
      </c>
      <c r="M278" s="1">
        <v>0.21184129771278989</v>
      </c>
      <c r="O278" s="1">
        <v>7.258432373581189E-3</v>
      </c>
      <c r="P278" s="1">
        <v>0.85086642909577104</v>
      </c>
      <c r="R278" s="1">
        <v>0.16638985581710786</v>
      </c>
      <c r="S278" s="2">
        <f t="shared" si="48"/>
        <v>0.64458599269423278</v>
      </c>
      <c r="T278" s="4">
        <f t="shared" si="49"/>
        <v>0.41549110197760952</v>
      </c>
      <c r="U278" s="1">
        <f t="shared" si="52"/>
        <v>0.19842567479748929</v>
      </c>
      <c r="V278" s="6">
        <f>2*sigma/alpha*corel*(B278/12-1/alpha*(1-EXP(-alpha*Output!B278/12)))</f>
        <v>0.93954922735107993</v>
      </c>
      <c r="W278" s="5">
        <f t="shared" si="50"/>
        <v>-0.21706542718012023</v>
      </c>
      <c r="X278" s="1">
        <f t="shared" si="51"/>
        <v>20.201575769646709</v>
      </c>
      <c r="Y278" s="3">
        <f t="shared" si="53"/>
        <v>7.9889147913517145E-2</v>
      </c>
      <c r="Z278" s="1">
        <f t="shared" si="54"/>
        <v>0.13665195714753636</v>
      </c>
      <c r="AA278" s="8">
        <f t="shared" si="59"/>
        <v>22.166666666666622</v>
      </c>
      <c r="AB278" s="1">
        <v>22.25</v>
      </c>
      <c r="AC278" s="1">
        <v>7.2881146879999999E-3</v>
      </c>
      <c r="AD278" s="8">
        <f t="shared" si="55"/>
        <v>0.29682314418810923</v>
      </c>
      <c r="AE278" s="3">
        <f t="shared" si="56"/>
        <v>4.0727013349122149E-3</v>
      </c>
      <c r="AF278" s="11">
        <f t="shared" si="57"/>
        <v>22.166666666666622</v>
      </c>
      <c r="AG278" s="1">
        <f t="shared" si="58"/>
        <v>0.13665195714753636</v>
      </c>
    </row>
    <row r="279" spans="2:33" ht="15" x14ac:dyDescent="0.25">
      <c r="B279" s="1">
        <v>268</v>
      </c>
      <c r="C279" s="1">
        <v>1.000398852644889</v>
      </c>
      <c r="D279" s="1">
        <v>1.1537044557239882</v>
      </c>
      <c r="E279" s="1">
        <v>0.86605222127359371</v>
      </c>
      <c r="G279" s="1">
        <v>0.99967154831268379</v>
      </c>
      <c r="H279" s="1">
        <v>3.3742472522868954</v>
      </c>
      <c r="I279" s="1">
        <v>0.26012772621147479</v>
      </c>
      <c r="K279" s="1">
        <v>1.0010434586739343</v>
      </c>
      <c r="L279" s="1">
        <v>4.0179329589857682</v>
      </c>
      <c r="M279" s="1">
        <v>0.21573476922633081</v>
      </c>
      <c r="O279" s="1">
        <v>7.2687651099795046E-3</v>
      </c>
      <c r="P279" s="1">
        <v>0.85015571332965278</v>
      </c>
      <c r="R279" s="1">
        <v>0.1666928547186505</v>
      </c>
      <c r="S279" s="2">
        <f t="shared" ref="S279:S342" si="60">optim_vol_implied(P279,R279)</f>
        <v>0.64659159561055746</v>
      </c>
      <c r="T279" s="4">
        <f t="shared" ref="T279:T342" si="61">S279*S279</f>
        <v>0.41808069151420668</v>
      </c>
      <c r="U279" s="1">
        <f t="shared" si="52"/>
        <v>0.20023886799815171</v>
      </c>
      <c r="V279" s="6">
        <f>2*sigma/alpha*corel*(B279/12-1/alpha*(1-EXP(-alpha*Output!B279/12)))</f>
        <v>0.94569535145172434</v>
      </c>
      <c r="W279" s="5">
        <f t="shared" ref="W279:W342" si="62">U279-T279</f>
        <v>-0.21784182351605497</v>
      </c>
      <c r="X279" s="1">
        <f t="shared" ref="X279:X342" si="63">V279*V279-4*W279*B279/12</f>
        <v>20.354875931858309</v>
      </c>
      <c r="Y279" s="3">
        <f t="shared" si="53"/>
        <v>7.9834533158325727E-2</v>
      </c>
      <c r="Z279" s="1">
        <f t="shared" si="54"/>
        <v>0.13682116416447673</v>
      </c>
      <c r="AA279" s="8">
        <f t="shared" si="59"/>
        <v>22.249999999999954</v>
      </c>
      <c r="AB279" s="1">
        <v>22.33</v>
      </c>
      <c r="AC279" s="1">
        <v>7.2992936919999999E-3</v>
      </c>
      <c r="AD279" s="8">
        <f t="shared" si="55"/>
        <v>0.30528582020495321</v>
      </c>
      <c r="AE279" s="3">
        <f t="shared" si="56"/>
        <v>4.1824022033740797E-3</v>
      </c>
      <c r="AF279" s="11">
        <f t="shared" si="57"/>
        <v>22.249999999999954</v>
      </c>
      <c r="AG279" s="1">
        <f t="shared" si="58"/>
        <v>0.13682116416447673</v>
      </c>
    </row>
    <row r="280" spans="2:33" ht="15" x14ac:dyDescent="0.25">
      <c r="B280" s="1">
        <v>269</v>
      </c>
      <c r="C280" s="1">
        <v>1.0004014828968748</v>
      </c>
      <c r="D280" s="1">
        <v>1.1526345662867776</v>
      </c>
      <c r="E280" s="1">
        <v>0.86685454093034064</v>
      </c>
      <c r="G280" s="1">
        <v>0.99971133458078043</v>
      </c>
      <c r="H280" s="1">
        <v>3.3470772259580515</v>
      </c>
      <c r="I280" s="1">
        <v>0.26211241465561735</v>
      </c>
      <c r="K280" s="1">
        <v>1.0009651877198453</v>
      </c>
      <c r="L280" s="1">
        <v>4.0932701740473059</v>
      </c>
      <c r="M280" s="1">
        <v>0.21165106922663204</v>
      </c>
      <c r="O280" s="1">
        <v>7.2790063484645465E-3</v>
      </c>
      <c r="P280" s="1">
        <v>0.84944587064342314</v>
      </c>
      <c r="R280" s="1">
        <v>0.16690667809099541</v>
      </c>
      <c r="S280" s="2">
        <f t="shared" si="60"/>
        <v>0.64833414738914596</v>
      </c>
      <c r="T280" s="4">
        <f t="shared" si="61"/>
        <v>0.42033716667081084</v>
      </c>
      <c r="U280" s="1">
        <f t="shared" si="52"/>
        <v>0.20206045603581169</v>
      </c>
      <c r="V280" s="6">
        <f>2*sigma/alpha*corel*(B280/12-1/alpha*(1-EXP(-alpha*Output!B280/12)))</f>
        <v>0.95185568699535983</v>
      </c>
      <c r="W280" s="5">
        <f t="shared" si="62"/>
        <v>-0.21827671063499915</v>
      </c>
      <c r="X280" s="1">
        <f t="shared" si="63"/>
        <v>20.478174302470332</v>
      </c>
      <c r="Y280" s="3">
        <f t="shared" si="53"/>
        <v>7.9704669036088277E-2</v>
      </c>
      <c r="Z280" s="1">
        <f t="shared" si="54"/>
        <v>0.13693465730753512</v>
      </c>
      <c r="AA280" s="8">
        <f t="shared" si="59"/>
        <v>22.333333333333286</v>
      </c>
      <c r="AB280" s="1">
        <v>22.42</v>
      </c>
      <c r="AC280" s="1">
        <v>7.3103692019999998E-3</v>
      </c>
      <c r="AD280" s="8">
        <f t="shared" si="55"/>
        <v>0.31362853535453311</v>
      </c>
      <c r="AE280" s="3">
        <f t="shared" si="56"/>
        <v>4.2901873583721236E-3</v>
      </c>
      <c r="AF280" s="11">
        <f t="shared" si="57"/>
        <v>22.333333333333286</v>
      </c>
      <c r="AG280" s="1">
        <f t="shared" si="58"/>
        <v>0.13693465730753512</v>
      </c>
    </row>
    <row r="281" spans="2:33" ht="15" x14ac:dyDescent="0.25">
      <c r="B281" s="1">
        <v>270</v>
      </c>
      <c r="C281" s="1">
        <v>1.0004024851506619</v>
      </c>
      <c r="D281" s="1">
        <v>1.1529049280632173</v>
      </c>
      <c r="E281" s="1">
        <v>0.86664969916193491</v>
      </c>
      <c r="G281" s="1">
        <v>0.99961376985411665</v>
      </c>
      <c r="H281" s="1">
        <v>3.3634864908591804</v>
      </c>
      <c r="I281" s="1">
        <v>0.26070743401275243</v>
      </c>
      <c r="K281" s="1">
        <v>1.0011746255960507</v>
      </c>
      <c r="L281" s="1">
        <v>4.3006853231838305</v>
      </c>
      <c r="M281" s="1">
        <v>0.20133512232914302</v>
      </c>
      <c r="O281" s="1">
        <v>7.2891733841693139E-3</v>
      </c>
      <c r="P281" s="1">
        <v>0.84873658897785587</v>
      </c>
      <c r="R281" s="1">
        <v>0.16715957786320088</v>
      </c>
      <c r="S281" s="2">
        <f t="shared" si="60"/>
        <v>0.65019324007163659</v>
      </c>
      <c r="T281" s="4">
        <f t="shared" si="61"/>
        <v>0.42275124943485287</v>
      </c>
      <c r="U281" s="1">
        <f t="shared" si="52"/>
        <v>0.20389043026625764</v>
      </c>
      <c r="V281" s="6">
        <f>2*sigma/alpha*corel*(B281/12-1/alpha*(1-EXP(-alpha*Output!B281/12)))</f>
        <v>0.95803018668937212</v>
      </c>
      <c r="W281" s="5">
        <f t="shared" si="62"/>
        <v>-0.21886081916859523</v>
      </c>
      <c r="X281" s="1">
        <f t="shared" si="63"/>
        <v>20.615295563781643</v>
      </c>
      <c r="Y281" s="3">
        <f t="shared" si="53"/>
        <v>7.9608373233009427E-2</v>
      </c>
      <c r="Z281" s="1">
        <f t="shared" si="54"/>
        <v>0.13707277052473549</v>
      </c>
      <c r="AA281" s="8">
        <f t="shared" si="59"/>
        <v>22.416666666666618</v>
      </c>
      <c r="AB281" s="1">
        <v>22.5</v>
      </c>
      <c r="AC281" s="1">
        <v>7.3213445409999996E-3</v>
      </c>
      <c r="AD281" s="8">
        <f t="shared" si="55"/>
        <v>0.32171156830685699</v>
      </c>
      <c r="AE281" s="3">
        <f t="shared" si="56"/>
        <v>4.3941596588611773E-3</v>
      </c>
      <c r="AF281" s="11">
        <f t="shared" si="57"/>
        <v>22.416666666666618</v>
      </c>
      <c r="AG281" s="1">
        <f t="shared" si="58"/>
        <v>0.13707277052473549</v>
      </c>
    </row>
    <row r="282" spans="2:33" ht="15" x14ac:dyDescent="0.25">
      <c r="B282" s="1">
        <v>271</v>
      </c>
      <c r="C282" s="1">
        <v>1.0004022727228208</v>
      </c>
      <c r="D282" s="1">
        <v>1.1545459311125852</v>
      </c>
      <c r="E282" s="1">
        <v>0.86541633651456817</v>
      </c>
      <c r="G282" s="1">
        <v>0.99941699489569313</v>
      </c>
      <c r="H282" s="1">
        <v>3.4063161128582418</v>
      </c>
      <c r="I282" s="1">
        <v>0.25730482776542923</v>
      </c>
      <c r="K282" s="1">
        <v>1.0010816164713394</v>
      </c>
      <c r="L282" s="1">
        <v>4.3683410018889939</v>
      </c>
      <c r="M282" s="1">
        <v>0.19811192221419469</v>
      </c>
      <c r="O282" s="1">
        <v>7.2992913288987011E-3</v>
      </c>
      <c r="P282" s="1">
        <v>0.84802740272543264</v>
      </c>
      <c r="R282" s="1">
        <v>0.16766624542027822</v>
      </c>
      <c r="S282" s="2">
        <f t="shared" si="60"/>
        <v>0.65280622098479313</v>
      </c>
      <c r="T282" s="4">
        <f t="shared" si="61"/>
        <v>0.42615596215644658</v>
      </c>
      <c r="U282" s="1">
        <f t="shared" si="52"/>
        <v>0.20572878194586242</v>
      </c>
      <c r="V282" s="6">
        <f>2*sigma/alpha*corel*(B282/12-1/alpha*(1-EXP(-alpha*Output!B282/12)))</f>
        <v>0.96421880339853017</v>
      </c>
      <c r="W282" s="5">
        <f t="shared" si="62"/>
        <v>-0.22042718021058416</v>
      </c>
      <c r="X282" s="1">
        <f t="shared" si="63"/>
        <v>20.841639846516728</v>
      </c>
      <c r="Y282" s="3">
        <f t="shared" si="53"/>
        <v>7.9727948739286597E-2</v>
      </c>
      <c r="Z282" s="1">
        <f t="shared" si="54"/>
        <v>0.1373694824480115</v>
      </c>
      <c r="AA282" s="8">
        <f t="shared" si="59"/>
        <v>22.49999999999995</v>
      </c>
      <c r="AB282" s="1">
        <v>22.58</v>
      </c>
      <c r="AC282" s="1">
        <v>7.3322230320000004E-3</v>
      </c>
      <c r="AD282" s="8">
        <f t="shared" si="55"/>
        <v>0.32931703101299337</v>
      </c>
      <c r="AE282" s="3">
        <f t="shared" si="56"/>
        <v>4.4913668007063616E-3</v>
      </c>
      <c r="AF282" s="11">
        <f t="shared" si="57"/>
        <v>22.49999999999995</v>
      </c>
      <c r="AG282" s="1">
        <f t="shared" si="58"/>
        <v>0.1373694824480115</v>
      </c>
    </row>
    <row r="283" spans="2:33" ht="15" x14ac:dyDescent="0.25">
      <c r="B283" s="1">
        <v>272</v>
      </c>
      <c r="C283" s="1">
        <v>1.000406843347738</v>
      </c>
      <c r="D283" s="1">
        <v>1.1565523363064212</v>
      </c>
      <c r="E283" s="1">
        <v>0.86391344311431151</v>
      </c>
      <c r="G283" s="1">
        <v>0.99959498408106229</v>
      </c>
      <c r="H283" s="1">
        <v>3.4467192654772139</v>
      </c>
      <c r="I283" s="1">
        <v>0.25416559103049524</v>
      </c>
      <c r="K283" s="1">
        <v>1.0009353949609048</v>
      </c>
      <c r="L283" s="1">
        <v>4.2063974755686377</v>
      </c>
      <c r="M283" s="1">
        <v>0.20562563245307464</v>
      </c>
      <c r="O283" s="1">
        <v>7.3092679061331411E-3</v>
      </c>
      <c r="P283" s="1">
        <v>0.84732009528977925</v>
      </c>
      <c r="R283" s="1">
        <v>0.16795112741288357</v>
      </c>
      <c r="S283" s="2">
        <f t="shared" si="60"/>
        <v>0.65476156447554335</v>
      </c>
      <c r="T283" s="4">
        <f t="shared" si="61"/>
        <v>0.42871270631446112</v>
      </c>
      <c r="U283" s="1">
        <f t="shared" si="52"/>
        <v>0.20757550223275922</v>
      </c>
      <c r="V283" s="6">
        <f>2*sigma/alpha*corel*(B283/12-1/alpha*(1-EXP(-alpha*Output!B283/12)))</f>
        <v>0.97042149014445811</v>
      </c>
      <c r="W283" s="5">
        <f t="shared" si="62"/>
        <v>-0.2211372040817019</v>
      </c>
      <c r="X283" s="1">
        <f t="shared" si="63"/>
        <v>20.991491038608498</v>
      </c>
      <c r="Y283" s="3">
        <f t="shared" si="53"/>
        <v>7.9659390594401011E-2</v>
      </c>
      <c r="Z283" s="1">
        <f t="shared" si="54"/>
        <v>0.13752743677831875</v>
      </c>
      <c r="AA283" s="8">
        <f t="shared" si="59"/>
        <v>22.583333333333282</v>
      </c>
      <c r="AB283" s="1">
        <v>22.67</v>
      </c>
      <c r="AC283" s="1">
        <v>7.3430080079999998E-3</v>
      </c>
      <c r="AD283" s="8">
        <f t="shared" si="55"/>
        <v>0.33740101866858685</v>
      </c>
      <c r="AE283" s="3">
        <f t="shared" si="56"/>
        <v>4.5948611018944551E-3</v>
      </c>
      <c r="AF283" s="11">
        <f t="shared" si="57"/>
        <v>22.583333333333282</v>
      </c>
      <c r="AG283" s="1">
        <f t="shared" si="58"/>
        <v>0.13752743677831875</v>
      </c>
    </row>
    <row r="284" spans="2:33" ht="15" x14ac:dyDescent="0.25">
      <c r="B284" s="1">
        <v>273</v>
      </c>
      <c r="C284" s="1">
        <v>1.0004102653506652</v>
      </c>
      <c r="D284" s="1">
        <v>1.1540606818067431</v>
      </c>
      <c r="E284" s="1">
        <v>0.86577710133292884</v>
      </c>
      <c r="G284" s="1">
        <v>0.99968139813011059</v>
      </c>
      <c r="H284" s="1">
        <v>3.3922388615846883</v>
      </c>
      <c r="I284" s="1">
        <v>0.2581225978232764</v>
      </c>
      <c r="K284" s="1">
        <v>1.000937038805173</v>
      </c>
      <c r="L284" s="1">
        <v>4.249459297105032</v>
      </c>
      <c r="M284" s="1">
        <v>0.20343570350716822</v>
      </c>
      <c r="O284" s="1">
        <v>7.3191417711620773E-3</v>
      </c>
      <c r="P284" s="1">
        <v>0.84661394835902881</v>
      </c>
      <c r="R284" s="1">
        <v>0.16828286345254856</v>
      </c>
      <c r="S284" s="2">
        <f t="shared" si="60"/>
        <v>0.65685627922540757</v>
      </c>
      <c r="T284" s="4">
        <f t="shared" si="61"/>
        <v>0.43146017155784661</v>
      </c>
      <c r="U284" s="1">
        <f t="shared" si="52"/>
        <v>0.20943058218801802</v>
      </c>
      <c r="V284" s="6">
        <f>2*sigma/alpha*corel*(B284/12-1/alpha*(1-EXP(-alpha*Output!B284/12)))</f>
        <v>0.97663820010511238</v>
      </c>
      <c r="W284" s="5">
        <f t="shared" si="62"/>
        <v>-0.22202958936982858</v>
      </c>
      <c r="X284" s="1">
        <f t="shared" si="63"/>
        <v>21.158514806558955</v>
      </c>
      <c r="Y284" s="3">
        <f t="shared" si="53"/>
        <v>7.9630777208624104E-2</v>
      </c>
      <c r="Z284" s="1">
        <f t="shared" si="54"/>
        <v>0.13771449548351464</v>
      </c>
      <c r="AA284" s="8">
        <f t="shared" si="59"/>
        <v>22.666666666666615</v>
      </c>
      <c r="AB284" s="1">
        <v>22.75</v>
      </c>
      <c r="AC284" s="1">
        <v>7.3537028329999999E-3</v>
      </c>
      <c r="AD284" s="8">
        <f t="shared" si="55"/>
        <v>0.34561061837922596</v>
      </c>
      <c r="AE284" s="3">
        <f t="shared" si="56"/>
        <v>4.6998175780001081E-3</v>
      </c>
      <c r="AF284" s="11">
        <f t="shared" si="57"/>
        <v>22.666666666666615</v>
      </c>
      <c r="AG284" s="1">
        <f t="shared" si="58"/>
        <v>0.13771449548351464</v>
      </c>
    </row>
    <row r="285" spans="2:33" ht="15" x14ac:dyDescent="0.25">
      <c r="B285" s="1">
        <v>274</v>
      </c>
      <c r="C285" s="1">
        <v>1.0004137038430347</v>
      </c>
      <c r="D285" s="1">
        <v>1.1524867105334906</v>
      </c>
      <c r="E285" s="1">
        <v>0.86695794678094651</v>
      </c>
      <c r="G285" s="1">
        <v>0.99978167533029449</v>
      </c>
      <c r="H285" s="1">
        <v>3.3465175324402363</v>
      </c>
      <c r="I285" s="1">
        <v>0.26152254591476681</v>
      </c>
      <c r="K285" s="1">
        <v>1.000913350666303</v>
      </c>
      <c r="L285" s="1">
        <v>4.3854866601313507</v>
      </c>
      <c r="M285" s="1">
        <v>0.19702400518752358</v>
      </c>
      <c r="O285" s="1">
        <v>7.3289857468152482E-3</v>
      </c>
      <c r="P285" s="1">
        <v>0.84590757516983039</v>
      </c>
      <c r="R285" s="1">
        <v>0.16867595575306946</v>
      </c>
      <c r="S285" s="2">
        <f t="shared" si="60"/>
        <v>0.65913601415524692</v>
      </c>
      <c r="T285" s="4">
        <f t="shared" si="61"/>
        <v>0.43446028515646584</v>
      </c>
      <c r="U285" s="1">
        <f t="shared" si="52"/>
        <v>0.21129401277680859</v>
      </c>
      <c r="V285" s="6">
        <f>2*sigma/alpha*corel*(B285/12-1/alpha*(1-EXP(-alpha*Output!B285/12)))</f>
        <v>0.98286888661426453</v>
      </c>
      <c r="W285" s="5">
        <f t="shared" si="62"/>
        <v>-0.22316627237965725</v>
      </c>
      <c r="X285" s="1">
        <f t="shared" si="63"/>
        <v>21.34855079228306</v>
      </c>
      <c r="Y285" s="3">
        <f t="shared" si="53"/>
        <v>7.9655043317348379E-2</v>
      </c>
      <c r="Z285" s="1">
        <f t="shared" si="54"/>
        <v>0.13794005126894365</v>
      </c>
      <c r="AA285" s="8">
        <f t="shared" si="59"/>
        <v>22.749999999999947</v>
      </c>
      <c r="AB285" s="1">
        <v>22.83</v>
      </c>
      <c r="AC285" s="1">
        <v>7.3643108799999997E-3</v>
      </c>
      <c r="AD285" s="8">
        <f t="shared" si="55"/>
        <v>0.35325133184751534</v>
      </c>
      <c r="AE285" s="3">
        <f t="shared" si="56"/>
        <v>4.7968009173387227E-3</v>
      </c>
      <c r="AF285" s="11">
        <f t="shared" si="57"/>
        <v>22.749999999999947</v>
      </c>
      <c r="AG285" s="1">
        <f t="shared" si="58"/>
        <v>0.13794005126894365</v>
      </c>
    </row>
    <row r="286" spans="2:33" ht="15" x14ac:dyDescent="0.25">
      <c r="B286" s="1">
        <v>275</v>
      </c>
      <c r="C286" s="1">
        <v>1.0004178522749327</v>
      </c>
      <c r="D286" s="1">
        <v>1.152020891804832</v>
      </c>
      <c r="E286" s="1">
        <v>0.86730693806325454</v>
      </c>
      <c r="G286" s="1">
        <v>0.99994222944540812</v>
      </c>
      <c r="H286" s="1">
        <v>3.3375144793570724</v>
      </c>
      <c r="I286" s="1">
        <v>0.26210111660871943</v>
      </c>
      <c r="K286" s="1">
        <v>1.0010295535314262</v>
      </c>
      <c r="L286" s="1">
        <v>4.2891329176359454</v>
      </c>
      <c r="M286" s="1">
        <v>0.20134372328151637</v>
      </c>
      <c r="O286" s="1">
        <v>7.3388231697549666E-3</v>
      </c>
      <c r="P286" s="1">
        <v>0.84520053157463526</v>
      </c>
      <c r="R286" s="1">
        <v>0.16911353668266532</v>
      </c>
      <c r="S286" s="2">
        <f t="shared" si="60"/>
        <v>0.66155179722521185</v>
      </c>
      <c r="T286" s="4">
        <f t="shared" si="61"/>
        <v>0.4376507804119078</v>
      </c>
      <c r="U286" s="1">
        <f t="shared" si="52"/>
        <v>0.21316578486955429</v>
      </c>
      <c r="V286" s="6">
        <f>2*sigma/alpha*corel*(B286/12-1/alpha*(1-EXP(-alpha*Output!B286/12)))</f>
        <v>0.98911350316098146</v>
      </c>
      <c r="W286" s="5">
        <f t="shared" si="62"/>
        <v>-0.22448499554235352</v>
      </c>
      <c r="X286" s="1">
        <f t="shared" si="63"/>
        <v>21.55613678018446</v>
      </c>
      <c r="Y286" s="3">
        <f t="shared" si="53"/>
        <v>7.9718076721231171E-2</v>
      </c>
      <c r="Z286" s="1">
        <f t="shared" si="54"/>
        <v>0.13819366338509281</v>
      </c>
      <c r="AA286" s="8">
        <f t="shared" si="59"/>
        <v>22.833333333333279</v>
      </c>
      <c r="AB286" s="1">
        <v>22.92</v>
      </c>
      <c r="AC286" s="1">
        <v>7.3748355229999998E-3</v>
      </c>
      <c r="AD286" s="8">
        <f t="shared" si="55"/>
        <v>0.36012353245033246</v>
      </c>
      <c r="AE286" s="3">
        <f t="shared" si="56"/>
        <v>4.8831398520985357E-3</v>
      </c>
      <c r="AF286" s="11">
        <f t="shared" si="57"/>
        <v>22.833333333333279</v>
      </c>
      <c r="AG286" s="1">
        <f t="shared" si="58"/>
        <v>0.13819366338509281</v>
      </c>
    </row>
    <row r="287" spans="2:33" ht="15" x14ac:dyDescent="0.25">
      <c r="B287" s="1">
        <v>276</v>
      </c>
      <c r="C287" s="1">
        <v>1.0004185960058534</v>
      </c>
      <c r="D287" s="1">
        <v>1.1497243510891868</v>
      </c>
      <c r="E287" s="1">
        <v>0.86903779230489409</v>
      </c>
      <c r="G287" s="1">
        <v>0.99982535101482406</v>
      </c>
      <c r="H287" s="1">
        <v>3.2716872587966783</v>
      </c>
      <c r="I287" s="1">
        <v>0.26724527699762279</v>
      </c>
      <c r="K287" s="1">
        <v>1.0009299420671762</v>
      </c>
      <c r="L287" s="1">
        <v>4.2628026897173221</v>
      </c>
      <c r="M287" s="1">
        <v>0.2024758449702653</v>
      </c>
      <c r="O287" s="1">
        <v>7.3486558812192807E-3</v>
      </c>
      <c r="P287" s="1">
        <v>0.84449278586105225</v>
      </c>
      <c r="R287" s="1">
        <v>0.1694357428766782</v>
      </c>
      <c r="S287" s="2">
        <f t="shared" si="60"/>
        <v>0.66362812382949166</v>
      </c>
      <c r="T287" s="4">
        <f t="shared" si="61"/>
        <v>0.44040228673745113</v>
      </c>
      <c r="U287" s="1">
        <f t="shared" si="52"/>
        <v>0.21504588924307466</v>
      </c>
      <c r="V287" s="6">
        <f>2*sigma/alpha*corel*(B287/12-1/alpha*(1-EXP(-alpha*Output!B287/12)))</f>
        <v>0.99537200338910647</v>
      </c>
      <c r="W287" s="5">
        <f t="shared" si="62"/>
        <v>-0.22535639749437647</v>
      </c>
      <c r="X287" s="1">
        <f t="shared" si="63"/>
        <v>21.723553994613479</v>
      </c>
      <c r="Y287" s="3">
        <f t="shared" si="53"/>
        <v>7.9684377203798881E-2</v>
      </c>
      <c r="Z287" s="1">
        <f t="shared" si="54"/>
        <v>0.13837602939210231</v>
      </c>
      <c r="AA287" s="8">
        <f t="shared" si="59"/>
        <v>22.916666666666611</v>
      </c>
      <c r="AB287" s="1">
        <v>23</v>
      </c>
      <c r="AC287" s="1">
        <v>7.385280133E-3</v>
      </c>
      <c r="AD287" s="8">
        <f t="shared" si="55"/>
        <v>0.36624251780719397</v>
      </c>
      <c r="AE287" s="3">
        <f t="shared" si="56"/>
        <v>4.9590876880985877E-3</v>
      </c>
      <c r="AF287" s="11">
        <f t="shared" si="57"/>
        <v>22.916666666666611</v>
      </c>
      <c r="AG287" s="1">
        <f t="shared" si="58"/>
        <v>0.13837602939210231</v>
      </c>
    </row>
    <row r="288" spans="2:33" ht="15" x14ac:dyDescent="0.25">
      <c r="B288" s="1">
        <v>277</v>
      </c>
      <c r="C288" s="1">
        <v>1.0004206022924709</v>
      </c>
      <c r="D288" s="1">
        <v>1.1500094525473274</v>
      </c>
      <c r="E288" s="1">
        <v>0.86882078133610074</v>
      </c>
      <c r="G288" s="1">
        <v>0.99980870412982037</v>
      </c>
      <c r="H288" s="1">
        <v>3.2840258122694954</v>
      </c>
      <c r="I288" s="1">
        <v>0.26611236408282318</v>
      </c>
      <c r="K288" s="1">
        <v>1.0010361186207184</v>
      </c>
      <c r="L288" s="1">
        <v>4.2749896980929778</v>
      </c>
      <c r="M288" s="1">
        <v>0.20179346893987296</v>
      </c>
      <c r="O288" s="1">
        <v>7.3583891510688674E-3</v>
      </c>
      <c r="P288" s="1">
        <v>0.8437861868719736</v>
      </c>
      <c r="R288" s="1">
        <v>0.16974217972130773</v>
      </c>
      <c r="S288" s="2">
        <f t="shared" si="60"/>
        <v>0.66565796207554873</v>
      </c>
      <c r="T288" s="4">
        <f t="shared" si="61"/>
        <v>0.44310052247457266</v>
      </c>
      <c r="U288" s="1">
        <f t="shared" si="52"/>
        <v>0.21693431658172679</v>
      </c>
      <c r="V288" s="6">
        <f>2*sigma/alpha*corel*(B288/12-1/alpha*(1-EXP(-alpha*Output!B288/12)))</f>
        <v>1.0016443410967488</v>
      </c>
      <c r="W288" s="5">
        <f t="shared" si="62"/>
        <v>-0.22616620589284586</v>
      </c>
      <c r="X288" s="1">
        <f t="shared" si="63"/>
        <v>21.885971063490572</v>
      </c>
      <c r="Y288" s="3">
        <f t="shared" si="53"/>
        <v>7.9637547322139124E-2</v>
      </c>
      <c r="Z288" s="1">
        <f t="shared" si="54"/>
        <v>0.13854851317972927</v>
      </c>
      <c r="AA288" s="8">
        <f t="shared" si="59"/>
        <v>22.999999999999943</v>
      </c>
      <c r="AB288" s="1">
        <v>23.08</v>
      </c>
      <c r="AC288" s="1">
        <v>7.395648084E-3</v>
      </c>
      <c r="AD288" s="8">
        <f t="shared" si="55"/>
        <v>0.37258932931132605</v>
      </c>
      <c r="AE288" s="3">
        <f t="shared" si="56"/>
        <v>5.0379537408952527E-3</v>
      </c>
      <c r="AF288" s="11">
        <f t="shared" si="57"/>
        <v>22.999999999999943</v>
      </c>
      <c r="AG288" s="1">
        <f t="shared" si="58"/>
        <v>0.13854851317972927</v>
      </c>
    </row>
    <row r="289" spans="2:33" ht="15" x14ac:dyDescent="0.25">
      <c r="B289" s="1">
        <v>278</v>
      </c>
      <c r="C289" s="1">
        <v>1.0004237103638602</v>
      </c>
      <c r="D289" s="1">
        <v>1.1455634912004526</v>
      </c>
      <c r="E289" s="1">
        <v>0.8721911248723152</v>
      </c>
      <c r="G289" s="1">
        <v>0.99987901430486215</v>
      </c>
      <c r="H289" s="1">
        <v>3.1580092094448227</v>
      </c>
      <c r="I289" s="1">
        <v>0.27659735247421813</v>
      </c>
      <c r="K289" s="1">
        <v>1.0009682802999862</v>
      </c>
      <c r="L289" s="1">
        <v>4.299761618528394</v>
      </c>
      <c r="M289" s="1">
        <v>0.20052689045283467</v>
      </c>
      <c r="O289" s="1">
        <v>7.3681119141032793E-3</v>
      </c>
      <c r="P289" s="1">
        <v>0.84307901666288843</v>
      </c>
      <c r="R289" s="1">
        <v>0.17014878996874105</v>
      </c>
      <c r="S289" s="2">
        <f t="shared" si="60"/>
        <v>0.66798968842042616</v>
      </c>
      <c r="T289" s="4">
        <f t="shared" si="61"/>
        <v>0.44621022383601805</v>
      </c>
      <c r="U289" s="1">
        <f t="shared" si="52"/>
        <v>0.21883105747852305</v>
      </c>
      <c r="V289" s="6">
        <f>2*sigma/alpha*corel*(B289/12-1/alpha*(1-EXP(-alpha*Output!B289/12)))</f>
        <v>1.0079304702357661</v>
      </c>
      <c r="W289" s="5">
        <f t="shared" si="62"/>
        <v>-0.227379166357495</v>
      </c>
      <c r="X289" s="1">
        <f t="shared" si="63"/>
        <v>22.08639324862423</v>
      </c>
      <c r="Y289" s="3">
        <f t="shared" si="53"/>
        <v>7.9676672312504179E-2</v>
      </c>
      <c r="Z289" s="1">
        <f t="shared" si="54"/>
        <v>0.13878354719252173</v>
      </c>
      <c r="AA289" s="8">
        <f t="shared" si="59"/>
        <v>23.083333333333275</v>
      </c>
      <c r="AB289" s="1">
        <v>23.17</v>
      </c>
      <c r="AC289" s="1">
        <v>7.4059493820000004E-3</v>
      </c>
      <c r="AD289" s="8">
        <f t="shared" si="55"/>
        <v>0.37837467896721133</v>
      </c>
      <c r="AE289" s="3">
        <f t="shared" si="56"/>
        <v>5.1090638006093154E-3</v>
      </c>
      <c r="AF289" s="11">
        <f t="shared" si="57"/>
        <v>23.083333333333275</v>
      </c>
      <c r="AG289" s="1">
        <f t="shared" si="58"/>
        <v>0.13878354719252173</v>
      </c>
    </row>
    <row r="290" spans="2:33" ht="15" x14ac:dyDescent="0.25">
      <c r="B290" s="1">
        <v>279</v>
      </c>
      <c r="C290" s="1">
        <v>1.0004218684882316</v>
      </c>
      <c r="D290" s="1">
        <v>1.1471706423964554</v>
      </c>
      <c r="E290" s="1">
        <v>0.87096764084925993</v>
      </c>
      <c r="G290" s="1">
        <v>0.99954558160728924</v>
      </c>
      <c r="H290" s="1">
        <v>3.1986339222101199</v>
      </c>
      <c r="I290" s="1">
        <v>0.27295224461209705</v>
      </c>
      <c r="K290" s="1">
        <v>1.0009502302557687</v>
      </c>
      <c r="L290" s="1">
        <v>4.4034682223703268</v>
      </c>
      <c r="M290" s="1">
        <v>0.19569936715192196</v>
      </c>
      <c r="O290" s="1">
        <v>7.3779500488948199E-3</v>
      </c>
      <c r="P290" s="1">
        <v>0.84236881452959145</v>
      </c>
      <c r="R290" s="1">
        <v>0.17037948094616395</v>
      </c>
      <c r="S290" s="2">
        <f t="shared" si="60"/>
        <v>0.66980388496649468</v>
      </c>
      <c r="T290" s="4">
        <f t="shared" si="61"/>
        <v>0.44863724431620922</v>
      </c>
      <c r="U290" s="1">
        <f t="shared" si="52"/>
        <v>0.22073610243625552</v>
      </c>
      <c r="V290" s="6">
        <f>2*sigma/alpha*corel*(B290/12-1/alpha*(1-EXP(-alpha*Output!B290/12)))</f>
        <v>1.0142303449112533</v>
      </c>
      <c r="W290" s="5">
        <f t="shared" si="62"/>
        <v>-0.22790114187995369</v>
      </c>
      <c r="X290" s="1">
        <f t="shared" si="63"/>
        <v>22.223469387374497</v>
      </c>
      <c r="Y290" s="3">
        <f t="shared" si="53"/>
        <v>7.9568755763087876E-2</v>
      </c>
      <c r="Z290" s="1">
        <f t="shared" si="54"/>
        <v>0.13891085473060588</v>
      </c>
      <c r="AA290" s="8">
        <f t="shared" si="59"/>
        <v>23.166666666666607</v>
      </c>
      <c r="AB290" s="1">
        <v>23.25</v>
      </c>
      <c r="AC290" s="1">
        <v>7.4162205570000002E-3</v>
      </c>
      <c r="AD290" s="8">
        <f t="shared" si="55"/>
        <v>0.38270508105180295</v>
      </c>
      <c r="AE290" s="3">
        <f t="shared" si="56"/>
        <v>5.1603789033832928E-3</v>
      </c>
      <c r="AF290" s="11">
        <f t="shared" si="57"/>
        <v>23.166666666666607</v>
      </c>
      <c r="AG290" s="1">
        <f t="shared" si="58"/>
        <v>0.13891085473060588</v>
      </c>
    </row>
    <row r="291" spans="2:33" ht="15" x14ac:dyDescent="0.25">
      <c r="B291" s="1">
        <v>280</v>
      </c>
      <c r="C291" s="1">
        <v>1.0004234272605368</v>
      </c>
      <c r="D291" s="1">
        <v>1.1482516917894978</v>
      </c>
      <c r="E291" s="1">
        <v>0.87014607749790784</v>
      </c>
      <c r="G291" s="1">
        <v>0.9995069608010968</v>
      </c>
      <c r="H291" s="1">
        <v>3.230477550561186</v>
      </c>
      <c r="I291" s="1">
        <v>0.27013090968938813</v>
      </c>
      <c r="K291" s="1">
        <v>1.0010431489582676</v>
      </c>
      <c r="L291" s="1">
        <v>4.3953264852776961</v>
      </c>
      <c r="M291" s="1">
        <v>0.19595514946251572</v>
      </c>
      <c r="O291" s="1">
        <v>7.3879307730636279E-3</v>
      </c>
      <c r="P291" s="1">
        <v>0.84165503034293454</v>
      </c>
      <c r="R291" s="1">
        <v>0.17062676070953589</v>
      </c>
      <c r="S291" s="2">
        <f t="shared" si="60"/>
        <v>0.67167519832559175</v>
      </c>
      <c r="T291" s="4">
        <f t="shared" si="61"/>
        <v>0.45114757204572303</v>
      </c>
      <c r="U291" s="1">
        <f t="shared" si="52"/>
        <v>0.22264944186859736</v>
      </c>
      <c r="V291" s="6">
        <f>2*sigma/alpha*corel*(B291/12-1/alpha*(1-EXP(-alpha*Output!B291/12)))</f>
        <v>1.0205439193810357</v>
      </c>
      <c r="W291" s="5">
        <f t="shared" si="62"/>
        <v>-0.22849813017712567</v>
      </c>
      <c r="X291" s="1">
        <f t="shared" si="63"/>
        <v>22.368002041250669</v>
      </c>
      <c r="Y291" s="3">
        <f t="shared" si="53"/>
        <v>7.9477249235442915E-2</v>
      </c>
      <c r="Z291" s="1">
        <f t="shared" si="54"/>
        <v>0.13904997642868086</v>
      </c>
      <c r="AA291" s="8">
        <f t="shared" si="59"/>
        <v>23.24999999999994</v>
      </c>
      <c r="AB291" s="1">
        <v>23.33</v>
      </c>
      <c r="AC291" s="1">
        <v>7.4265047739999999E-3</v>
      </c>
      <c r="AD291" s="8">
        <f t="shared" si="55"/>
        <v>0.3857400093637206</v>
      </c>
      <c r="AE291" s="3">
        <f t="shared" si="56"/>
        <v>5.1940989887219405E-3</v>
      </c>
      <c r="AF291" s="11">
        <f t="shared" si="57"/>
        <v>23.24999999999994</v>
      </c>
      <c r="AG291" s="1">
        <f t="shared" si="58"/>
        <v>0.13904997642868086</v>
      </c>
    </row>
    <row r="292" spans="2:33" ht="15" x14ac:dyDescent="0.25">
      <c r="B292" s="1">
        <v>281</v>
      </c>
      <c r="C292" s="1">
        <v>1.0004272384579951</v>
      </c>
      <c r="D292" s="1">
        <v>1.1418973151017329</v>
      </c>
      <c r="E292" s="1">
        <v>0.87498664646064528</v>
      </c>
      <c r="G292" s="1">
        <v>0.99961704963656262</v>
      </c>
      <c r="H292" s="1">
        <v>3.0713718012038207</v>
      </c>
      <c r="I292" s="1">
        <v>0.28398697219266733</v>
      </c>
      <c r="K292" s="1">
        <v>1.0011070874251116</v>
      </c>
      <c r="L292" s="1">
        <v>4.335145695587741</v>
      </c>
      <c r="M292" s="1">
        <v>0.19856448035209831</v>
      </c>
      <c r="O292" s="1">
        <v>7.3980184831549216E-3</v>
      </c>
      <c r="P292" s="1">
        <v>0.84093834535035283</v>
      </c>
      <c r="R292" s="1">
        <v>0.17101579877674195</v>
      </c>
      <c r="S292" s="2">
        <f t="shared" si="60"/>
        <v>0.67397699201947581</v>
      </c>
      <c r="T292" s="4">
        <f t="shared" si="61"/>
        <v>0.45424498577162054</v>
      </c>
      <c r="U292" s="1">
        <f t="shared" si="52"/>
        <v>0.22457106610120725</v>
      </c>
      <c r="V292" s="6">
        <f>2*sigma/alpha*corel*(B292/12-1/alpha*(1-EXP(-alpha*Output!B292/12)))</f>
        <v>1.0268711480551587</v>
      </c>
      <c r="W292" s="5">
        <f t="shared" si="62"/>
        <v>-0.22967391967041328</v>
      </c>
      <c r="X292" s="1">
        <f t="shared" si="63"/>
        <v>22.567254830503501</v>
      </c>
      <c r="Y292" s="3">
        <f t="shared" si="53"/>
        <v>7.95080996594804E-2</v>
      </c>
      <c r="Z292" s="1">
        <f t="shared" si="54"/>
        <v>0.13927800394070206</v>
      </c>
      <c r="AA292" s="8">
        <f t="shared" si="59"/>
        <v>23.333333333333272</v>
      </c>
      <c r="AB292" s="1">
        <v>23.42</v>
      </c>
      <c r="AC292" s="1">
        <v>7.4368451949999997E-3</v>
      </c>
      <c r="AD292" s="8">
        <f t="shared" si="55"/>
        <v>0.3882671184507816</v>
      </c>
      <c r="AE292" s="3">
        <f t="shared" si="56"/>
        <v>5.2208578808635745E-3</v>
      </c>
      <c r="AF292" s="11">
        <f t="shared" si="57"/>
        <v>23.333333333333272</v>
      </c>
      <c r="AG292" s="1">
        <f t="shared" si="58"/>
        <v>0.13927800394070206</v>
      </c>
    </row>
    <row r="293" spans="2:33" ht="15" x14ac:dyDescent="0.25">
      <c r="B293" s="1">
        <v>282</v>
      </c>
      <c r="C293" s="1">
        <v>1.0004275387844757</v>
      </c>
      <c r="D293" s="1">
        <v>1.1442921823668886</v>
      </c>
      <c r="E293" s="1">
        <v>0.87315382721227519</v>
      </c>
      <c r="G293" s="1">
        <v>0.99947166952147615</v>
      </c>
      <c r="H293" s="1">
        <v>3.1230928257566819</v>
      </c>
      <c r="I293" s="1">
        <v>0.27914877137054039</v>
      </c>
      <c r="K293" s="1">
        <v>1.0011599261415098</v>
      </c>
      <c r="L293" s="1">
        <v>4.2322641606778193</v>
      </c>
      <c r="M293" s="1">
        <v>0.20328425137311917</v>
      </c>
      <c r="O293" s="1">
        <v>7.4082468544150858E-3</v>
      </c>
      <c r="P293" s="1">
        <v>0.84021808059957737</v>
      </c>
      <c r="R293" s="1">
        <v>0.17145768330429628</v>
      </c>
      <c r="S293" s="2">
        <f t="shared" si="60"/>
        <v>0.67644541636521915</v>
      </c>
      <c r="T293" s="4">
        <f t="shared" si="61"/>
        <v>0.45757840132151473</v>
      </c>
      <c r="U293" s="1">
        <f t="shared" si="52"/>
        <v>0.22650096537281295</v>
      </c>
      <c r="V293" s="6">
        <f>2*sigma/alpha*corel*(B293/12-1/alpha*(1-EXP(-alpha*Output!B293/12)))</f>
        <v>1.0332119854953783</v>
      </c>
      <c r="W293" s="5">
        <f t="shared" si="62"/>
        <v>-0.23107743594870178</v>
      </c>
      <c r="X293" s="1">
        <f t="shared" si="63"/>
        <v>22.788805986149271</v>
      </c>
      <c r="Y293" s="3">
        <f t="shared" si="53"/>
        <v>7.9586175766146128E-2</v>
      </c>
      <c r="Z293" s="1">
        <f t="shared" si="54"/>
        <v>0.13954003487469255</v>
      </c>
      <c r="AA293" s="8">
        <f t="shared" si="59"/>
        <v>23.416666666666604</v>
      </c>
      <c r="AB293" s="1">
        <v>23.5</v>
      </c>
      <c r="AC293" s="1">
        <v>7.4472849850000002E-3</v>
      </c>
      <c r="AD293" s="8">
        <f t="shared" si="55"/>
        <v>0.39038130584914332</v>
      </c>
      <c r="AE293" s="3">
        <f t="shared" si="56"/>
        <v>5.2419278520351043E-3</v>
      </c>
      <c r="AF293" s="11">
        <f t="shared" si="57"/>
        <v>23.416666666666604</v>
      </c>
      <c r="AG293" s="1">
        <f t="shared" si="58"/>
        <v>0.13954003487469255</v>
      </c>
    </row>
    <row r="294" spans="2:33" ht="15" x14ac:dyDescent="0.25">
      <c r="B294" s="1">
        <v>283</v>
      </c>
      <c r="C294" s="1">
        <v>1.0004326638924737</v>
      </c>
      <c r="D294" s="1">
        <v>1.1459940852353285</v>
      </c>
      <c r="E294" s="1">
        <v>0.87185554146865318</v>
      </c>
      <c r="G294" s="1">
        <v>0.99970581332301423</v>
      </c>
      <c r="H294" s="1">
        <v>3.1627993936984637</v>
      </c>
      <c r="I294" s="1">
        <v>0.27551089129961526</v>
      </c>
      <c r="K294" s="1">
        <v>1.0011581748830147</v>
      </c>
      <c r="L294" s="1">
        <v>4.2065348901708797</v>
      </c>
      <c r="M294" s="1">
        <v>0.20441848212182048</v>
      </c>
      <c r="O294" s="1">
        <v>7.4186410566374865E-3</v>
      </c>
      <c r="P294" s="1">
        <v>0.83949371850295407</v>
      </c>
      <c r="R294" s="1">
        <v>0.1718006638002075</v>
      </c>
      <c r="S294" s="2">
        <f t="shared" si="60"/>
        <v>0.67862715324781187</v>
      </c>
      <c r="T294" s="4">
        <f t="shared" si="61"/>
        <v>0.46053481312522915</v>
      </c>
      <c r="U294" s="1">
        <f t="shared" si="52"/>
        <v>0.22843912983629888</v>
      </c>
      <c r="V294" s="6">
        <f>2*sigma/alpha*corel*(B294/12-1/alpha*(1-EXP(-alpha*Output!B294/12)))</f>
        <v>1.0395663864146627</v>
      </c>
      <c r="W294" s="5">
        <f t="shared" si="62"/>
        <v>-0.23209568328893027</v>
      </c>
      <c r="X294" s="1">
        <f t="shared" si="63"/>
        <v>22.975057728685659</v>
      </c>
      <c r="Y294" s="3">
        <f t="shared" si="53"/>
        <v>7.9582982755537032E-2</v>
      </c>
      <c r="Z294" s="1">
        <f t="shared" si="54"/>
        <v>0.13974254163176592</v>
      </c>
      <c r="AA294" s="8">
        <f t="shared" si="59"/>
        <v>23.499999999999936</v>
      </c>
      <c r="AB294" s="1">
        <v>23.58</v>
      </c>
      <c r="AC294" s="1">
        <v>7.4578673059999996E-3</v>
      </c>
      <c r="AD294" s="8">
        <f t="shared" si="55"/>
        <v>0.39226249362513121</v>
      </c>
      <c r="AE294" s="3">
        <f t="shared" si="56"/>
        <v>5.2597140379468587E-3</v>
      </c>
      <c r="AF294" s="11">
        <f t="shared" si="57"/>
        <v>23.499999999999936</v>
      </c>
      <c r="AG294" s="1">
        <f t="shared" si="58"/>
        <v>0.13974254163176592</v>
      </c>
    </row>
    <row r="295" spans="2:33" ht="15" x14ac:dyDescent="0.25">
      <c r="B295" s="1">
        <v>284</v>
      </c>
      <c r="C295" s="1">
        <v>1.0004365229014254</v>
      </c>
      <c r="D295" s="1">
        <v>1.1455399877113011</v>
      </c>
      <c r="E295" s="1">
        <v>0.87219957295625727</v>
      </c>
      <c r="G295" s="1">
        <v>0.99984296657279281</v>
      </c>
      <c r="H295" s="1">
        <v>3.1505687272015592</v>
      </c>
      <c r="I295" s="1">
        <v>0.27644660943810218</v>
      </c>
      <c r="K295" s="1">
        <v>1.001182166453725</v>
      </c>
      <c r="L295" s="1">
        <v>4.1655659008382733</v>
      </c>
      <c r="M295" s="1">
        <v>0.2063211690080875</v>
      </c>
      <c r="O295" s="1">
        <v>7.4293080609833624E-3</v>
      </c>
      <c r="P295" s="1">
        <v>0.83876311249342594</v>
      </c>
      <c r="R295" s="1">
        <v>0.17197959774414256</v>
      </c>
      <c r="S295" s="2">
        <f t="shared" si="60"/>
        <v>0.68032952507351552</v>
      </c>
      <c r="T295" s="4">
        <f t="shared" si="61"/>
        <v>0.46284826268675516</v>
      </c>
      <c r="U295" s="1">
        <f t="shared" si="52"/>
        <v>0.23038554955977375</v>
      </c>
      <c r="V295" s="6">
        <f>2*sigma/alpha*corel*(B295/12-1/alpha*(1-EXP(-alpha*Output!B295/12)))</f>
        <v>1.0459343056766834</v>
      </c>
      <c r="W295" s="5">
        <f t="shared" si="62"/>
        <v>-0.23246271312698141</v>
      </c>
      <c r="X295" s="1">
        <f t="shared" si="63"/>
        <v>23.100448747812273</v>
      </c>
      <c r="Y295" s="3">
        <f t="shared" si="53"/>
        <v>7.944418973646851E-2</v>
      </c>
      <c r="Z295" s="1">
        <f t="shared" si="54"/>
        <v>0.13984623286280984</v>
      </c>
      <c r="AA295" s="8">
        <f t="shared" si="59"/>
        <v>23.583333333333268</v>
      </c>
      <c r="AB295" s="1">
        <v>23.67</v>
      </c>
      <c r="AC295" s="1">
        <v>7.468635425E-3</v>
      </c>
      <c r="AD295" s="8">
        <f t="shared" si="55"/>
        <v>0.39327364016637606</v>
      </c>
      <c r="AE295" s="3">
        <f t="shared" si="56"/>
        <v>5.2656692660343115E-3</v>
      </c>
      <c r="AF295" s="11">
        <f t="shared" si="57"/>
        <v>23.583333333333268</v>
      </c>
      <c r="AG295" s="1">
        <f t="shared" si="58"/>
        <v>0.13984623286280984</v>
      </c>
    </row>
    <row r="296" spans="2:33" ht="15" x14ac:dyDescent="0.25">
      <c r="B296" s="1">
        <v>285</v>
      </c>
      <c r="C296" s="1">
        <v>1.0004423449550981</v>
      </c>
      <c r="D296" s="1">
        <v>1.1454110479752533</v>
      </c>
      <c r="E296" s="1">
        <v>0.87229617988368535</v>
      </c>
      <c r="G296" s="1">
        <v>1.0001030870120713</v>
      </c>
      <c r="H296" s="1">
        <v>3.1568045978482502</v>
      </c>
      <c r="I296" s="1">
        <v>0.27576702498752553</v>
      </c>
      <c r="K296" s="1">
        <v>1.0010608122267668</v>
      </c>
      <c r="L296" s="1">
        <v>4.0377431405068576</v>
      </c>
      <c r="M296" s="1">
        <v>0.21274242396243631</v>
      </c>
      <c r="O296" s="1">
        <v>7.440272558516748E-3</v>
      </c>
      <c r="P296" s="1">
        <v>0.83802573138220771</v>
      </c>
      <c r="R296" s="1">
        <v>0.17231894154267957</v>
      </c>
      <c r="S296" s="2">
        <f t="shared" si="60"/>
        <v>0.68252585735507898</v>
      </c>
      <c r="T296" s="4">
        <f t="shared" si="61"/>
        <v>0.46584154595828564</v>
      </c>
      <c r="U296" s="1">
        <f t="shared" si="52"/>
        <v>0.23234021452763232</v>
      </c>
      <c r="V296" s="6">
        <f>2*sigma/alpha*corel*(B296/12-1/alpha*(1-EXP(-alpha*Output!B296/12)))</f>
        <v>1.0523156982953163</v>
      </c>
      <c r="W296" s="5">
        <f t="shared" si="62"/>
        <v>-0.23350133143065332</v>
      </c>
      <c r="X296" s="1">
        <f t="shared" si="63"/>
        <v>23.289994814790827</v>
      </c>
      <c r="Y296" s="3">
        <f t="shared" si="53"/>
        <v>7.9445371985071511E-2</v>
      </c>
      <c r="Z296" s="1">
        <f t="shared" si="54"/>
        <v>0.14005135087693418</v>
      </c>
      <c r="AA296" s="8">
        <f t="shared" si="59"/>
        <v>23.6666666666666</v>
      </c>
      <c r="AB296" s="1">
        <v>23.75</v>
      </c>
      <c r="AC296" s="1">
        <v>7.4796330089999998E-3</v>
      </c>
      <c r="AD296" s="8">
        <f t="shared" si="55"/>
        <v>0.3936045048325183</v>
      </c>
      <c r="AE296" s="3">
        <f t="shared" si="56"/>
        <v>5.2623504971287599E-3</v>
      </c>
      <c r="AF296" s="11">
        <f t="shared" si="57"/>
        <v>23.6666666666666</v>
      </c>
      <c r="AG296" s="1">
        <f t="shared" si="58"/>
        <v>0.14005135087693418</v>
      </c>
    </row>
    <row r="297" spans="2:33" ht="15" x14ac:dyDescent="0.25">
      <c r="B297" s="1">
        <v>286</v>
      </c>
      <c r="C297" s="1">
        <v>1.0004427756407237</v>
      </c>
      <c r="D297" s="1">
        <v>1.1483315198517901</v>
      </c>
      <c r="E297" s="1">
        <v>0.87007615557851115</v>
      </c>
      <c r="G297" s="1">
        <v>0.99996405741190442</v>
      </c>
      <c r="H297" s="1">
        <v>3.2159914589640026</v>
      </c>
      <c r="I297" s="1">
        <v>0.27056085221081383</v>
      </c>
      <c r="K297" s="1">
        <v>1.0011863948649051</v>
      </c>
      <c r="L297" s="1">
        <v>4.1016878520192082</v>
      </c>
      <c r="M297" s="1">
        <v>0.20931187453200251</v>
      </c>
      <c r="O297" s="1">
        <v>7.451492847653958E-3</v>
      </c>
      <c r="P297" s="1">
        <v>0.83728236405433576</v>
      </c>
      <c r="R297" s="1">
        <v>0.17275481208464266</v>
      </c>
      <c r="S297" s="2">
        <f t="shared" si="60"/>
        <v>0.68502437127370408</v>
      </c>
      <c r="T297" s="4">
        <f t="shared" si="61"/>
        <v>0.46925838923893359</v>
      </c>
      <c r="U297" s="1">
        <f t="shared" si="52"/>
        <v>0.23430311464161546</v>
      </c>
      <c r="V297" s="6">
        <f>2*sigma/alpha*corel*(B297/12-1/alpha*(1-EXP(-alpha*Output!B297/12)))</f>
        <v>1.0587105194341417</v>
      </c>
      <c r="W297" s="5">
        <f t="shared" si="62"/>
        <v>-0.23495527459731813</v>
      </c>
      <c r="X297" s="1">
        <f t="shared" si="63"/>
        <v>23.519937475571503</v>
      </c>
      <c r="Y297" s="3">
        <f t="shared" si="53"/>
        <v>7.9531999208276166E-2</v>
      </c>
      <c r="Z297" s="1">
        <f t="shared" si="54"/>
        <v>0.14031807861017184</v>
      </c>
      <c r="AA297" s="8">
        <f t="shared" si="59"/>
        <v>23.749999999999932</v>
      </c>
      <c r="AB297" s="1">
        <v>23.83</v>
      </c>
      <c r="AC297" s="1">
        <v>7.4909038289999999E-3</v>
      </c>
      <c r="AD297" s="8">
        <f t="shared" si="55"/>
        <v>0.39410981346041896</v>
      </c>
      <c r="AE297" s="3">
        <f t="shared" si="56"/>
        <v>5.2611783899117383E-3</v>
      </c>
      <c r="AF297" s="11">
        <f t="shared" si="57"/>
        <v>23.749999999999932</v>
      </c>
      <c r="AG297" s="1">
        <f t="shared" si="58"/>
        <v>0.14031807861017184</v>
      </c>
    </row>
    <row r="298" spans="2:33" ht="15" x14ac:dyDescent="0.25">
      <c r="B298" s="1">
        <v>287</v>
      </c>
      <c r="C298" s="1">
        <v>1.0004445401123483</v>
      </c>
      <c r="D298" s="1">
        <v>1.149911950398993</v>
      </c>
      <c r="E298" s="1">
        <v>0.86887875665575975</v>
      </c>
      <c r="G298" s="1">
        <v>0.99993133394867639</v>
      </c>
      <c r="H298" s="1">
        <v>3.2536009754380424</v>
      </c>
      <c r="I298" s="1">
        <v>0.26730394446924283</v>
      </c>
      <c r="K298" s="1">
        <v>1.0012854576084724</v>
      </c>
      <c r="L298" s="1">
        <v>4.1664064348597432</v>
      </c>
      <c r="M298" s="1">
        <v>0.20594982153413643</v>
      </c>
      <c r="O298" s="1">
        <v>7.4631025966889987E-3</v>
      </c>
      <c r="P298" s="1">
        <v>0.83653029979260407</v>
      </c>
      <c r="R298" s="1">
        <v>0.1730394348644709</v>
      </c>
      <c r="S298" s="2">
        <f t="shared" si="60"/>
        <v>0.6870852365378981</v>
      </c>
      <c r="T298" s="4">
        <f t="shared" si="61"/>
        <v>0.4720861222683394</v>
      </c>
      <c r="U298" s="1">
        <f t="shared" si="52"/>
        <v>0.23627423972185024</v>
      </c>
      <c r="V298" s="6">
        <f>2*sigma/alpha*corel*(B298/12-1/alpha*(1-EXP(-alpha*Output!B298/12)))</f>
        <v>1.0651187244059463</v>
      </c>
      <c r="W298" s="5">
        <f t="shared" si="62"/>
        <v>-0.23581188254648916</v>
      </c>
      <c r="X298" s="1">
        <f t="shared" si="63"/>
        <v>23.693814660694279</v>
      </c>
      <c r="Y298" s="3">
        <f t="shared" si="53"/>
        <v>7.9494993878318237E-2</v>
      </c>
      <c r="Z298" s="1">
        <f t="shared" si="54"/>
        <v>0.14049481331604755</v>
      </c>
      <c r="AA298" s="8">
        <f t="shared" si="59"/>
        <v>23.833333333333265</v>
      </c>
      <c r="AB298" s="1">
        <v>23.92</v>
      </c>
      <c r="AC298" s="1">
        <v>7.5024916549999996E-3</v>
      </c>
      <c r="AD298" s="8">
        <f t="shared" si="55"/>
        <v>0.39389058311000913</v>
      </c>
      <c r="AE298" s="3">
        <f t="shared" si="56"/>
        <v>5.250130239698469E-3</v>
      </c>
      <c r="AF298" s="11">
        <f t="shared" si="57"/>
        <v>23.833333333333265</v>
      </c>
      <c r="AG298" s="1">
        <f t="shared" si="58"/>
        <v>0.14049481331604755</v>
      </c>
    </row>
    <row r="299" spans="2:33" ht="15" x14ac:dyDescent="0.25">
      <c r="B299" s="1">
        <v>288</v>
      </c>
      <c r="C299" s="1">
        <v>1.0004459054050632</v>
      </c>
      <c r="D299" s="1">
        <v>1.1518573318121368</v>
      </c>
      <c r="E299" s="1">
        <v>0.86740972905717917</v>
      </c>
      <c r="G299" s="1">
        <v>0.99985900471026712</v>
      </c>
      <c r="H299" s="1">
        <v>3.302049764662748</v>
      </c>
      <c r="I299" s="1">
        <v>0.26325453215532651</v>
      </c>
      <c r="K299" s="1">
        <v>1.0011679989240971</v>
      </c>
      <c r="L299" s="1">
        <v>4.3447922628101159</v>
      </c>
      <c r="M299" s="1">
        <v>0.19738898623790205</v>
      </c>
      <c r="O299" s="1">
        <v>7.4752149531713153E-3</v>
      </c>
      <c r="P299" s="1">
        <v>0.83576721228620321</v>
      </c>
      <c r="R299" s="1">
        <v>0.17336886794894091</v>
      </c>
      <c r="S299" s="2">
        <f t="shared" si="60"/>
        <v>0.68930107054638778</v>
      </c>
      <c r="T299" s="4">
        <f t="shared" si="61"/>
        <v>0.47513596585639628</v>
      </c>
      <c r="U299" s="1">
        <f t="shared" si="52"/>
        <v>0.2382535795078895</v>
      </c>
      <c r="V299" s="6">
        <f>2*sigma/alpha*corel*(B299/12-1/alpha*(1-EXP(-alpha*Output!B299/12)))</f>
        <v>1.0715402686722253</v>
      </c>
      <c r="W299" s="5">
        <f t="shared" si="62"/>
        <v>-0.23688238634850678</v>
      </c>
      <c r="X299" s="1">
        <f t="shared" si="63"/>
        <v>23.888907636842792</v>
      </c>
      <c r="Y299" s="3">
        <f t="shared" si="53"/>
        <v>7.9501828099282454E-2</v>
      </c>
      <c r="Z299" s="1">
        <f t="shared" si="54"/>
        <v>0.14070299183273674</v>
      </c>
      <c r="AA299" s="8">
        <f t="shared" si="59"/>
        <v>23.916666666666597</v>
      </c>
      <c r="AB299" s="1">
        <v>24</v>
      </c>
      <c r="AC299" s="1">
        <v>7.5144402590000001E-3</v>
      </c>
      <c r="AD299" s="8">
        <f t="shared" si="55"/>
        <v>0.39225305828684798</v>
      </c>
      <c r="AE299" s="3">
        <f t="shared" si="56"/>
        <v>5.2199903754248204E-3</v>
      </c>
      <c r="AF299" s="11">
        <f t="shared" si="57"/>
        <v>23.916666666666597</v>
      </c>
      <c r="AG299" s="1">
        <f t="shared" si="58"/>
        <v>0.14070299183273674</v>
      </c>
    </row>
    <row r="300" spans="2:33" ht="15" x14ac:dyDescent="0.25">
      <c r="B300" s="1">
        <v>289</v>
      </c>
      <c r="C300" s="1">
        <v>1.0004485973977777</v>
      </c>
      <c r="D300" s="1">
        <v>1.1512529804469509</v>
      </c>
      <c r="E300" s="1">
        <v>0.86786350387452327</v>
      </c>
      <c r="G300" s="1">
        <v>0.99990212993859573</v>
      </c>
      <c r="H300" s="1">
        <v>3.2832573299024483</v>
      </c>
      <c r="I300" s="1">
        <v>0.26463322153927044</v>
      </c>
      <c r="K300" s="1">
        <v>1.001355191166202</v>
      </c>
      <c r="L300" s="1">
        <v>4.4228725163341531</v>
      </c>
      <c r="M300" s="1">
        <v>0.19380273425859168</v>
      </c>
      <c r="O300" s="1">
        <v>7.4876193496677219E-3</v>
      </c>
      <c r="P300" s="1">
        <v>0.83499726242368555</v>
      </c>
      <c r="R300" s="1">
        <v>0.17380449705633946</v>
      </c>
      <c r="S300" s="2">
        <f t="shared" si="60"/>
        <v>0.69185060411214661</v>
      </c>
      <c r="T300" s="4">
        <f t="shared" si="61"/>
        <v>0.47865725841034223</v>
      </c>
      <c r="U300" s="1">
        <f t="shared" si="52"/>
        <v>0.24024112365973993</v>
      </c>
      <c r="V300" s="6">
        <f>2*sigma/alpha*corel*(B300/12-1/alpha*(1-EXP(-alpha*Output!B300/12)))</f>
        <v>1.0779751078426878</v>
      </c>
      <c r="W300" s="5">
        <f t="shared" si="62"/>
        <v>-0.2384161347506023</v>
      </c>
      <c r="X300" s="1">
        <f t="shared" si="63"/>
        <v>24.129451314103143</v>
      </c>
      <c r="Y300" s="3">
        <f t="shared" si="53"/>
        <v>7.960274074462366E-2</v>
      </c>
      <c r="Z300" s="1">
        <f t="shared" si="54"/>
        <v>0.14097887030228931</v>
      </c>
      <c r="AA300" s="8">
        <f t="shared" si="59"/>
        <v>23.999999999999929</v>
      </c>
      <c r="AB300" s="1">
        <v>24.08</v>
      </c>
      <c r="AC300" s="1">
        <v>7.526793409E-3</v>
      </c>
      <c r="AD300" s="8">
        <f t="shared" si="55"/>
        <v>0.39174059332278133</v>
      </c>
      <c r="AE300" s="3">
        <f t="shared" si="56"/>
        <v>5.2046146617278754E-3</v>
      </c>
      <c r="AF300" s="11">
        <f t="shared" si="57"/>
        <v>23.999999999999929</v>
      </c>
      <c r="AG300" s="1">
        <f t="shared" si="58"/>
        <v>0.14097887030228931</v>
      </c>
    </row>
    <row r="301" spans="2:33" ht="15" x14ac:dyDescent="0.25">
      <c r="B301" s="1">
        <v>290</v>
      </c>
      <c r="C301" s="1">
        <v>1.0004497235822836</v>
      </c>
      <c r="D301" s="1">
        <v>1.1493904409882314</v>
      </c>
      <c r="E301" s="1">
        <v>0.86926826439224691</v>
      </c>
      <c r="G301" s="1">
        <v>0.99980142011835793</v>
      </c>
      <c r="H301" s="1">
        <v>3.2379684219153471</v>
      </c>
      <c r="I301" s="1">
        <v>0.26820476797830217</v>
      </c>
      <c r="K301" s="1">
        <v>1.0014206975984927</v>
      </c>
      <c r="L301" s="1">
        <v>4.3282346168843304</v>
      </c>
      <c r="M301" s="1">
        <v>0.19793086128584031</v>
      </c>
      <c r="O301" s="1">
        <v>7.5002497674294955E-3</v>
      </c>
      <c r="P301" s="1">
        <v>0.83422174051387321</v>
      </c>
      <c r="R301" s="1">
        <v>0.17414592641774482</v>
      </c>
      <c r="S301" s="2">
        <f t="shared" si="60"/>
        <v>0.6941284028215553</v>
      </c>
      <c r="T301" s="4">
        <f t="shared" si="61"/>
        <v>0.48181423960360337</v>
      </c>
      <c r="U301" s="1">
        <f t="shared" si="52"/>
        <v>0.24223686175888481</v>
      </c>
      <c r="V301" s="6">
        <f>2*sigma/alpha*corel*(B301/12-1/alpha*(1-EXP(-alpha*Output!B301/12)))</f>
        <v>1.0844231976747662</v>
      </c>
      <c r="W301" s="5">
        <f t="shared" si="62"/>
        <v>-0.23957737784471855</v>
      </c>
      <c r="X301" s="1">
        <f t="shared" si="63"/>
        <v>24.335120196644628</v>
      </c>
      <c r="Y301" s="3">
        <f t="shared" si="53"/>
        <v>7.962705059722848E-2</v>
      </c>
      <c r="Z301" s="1">
        <f t="shared" si="54"/>
        <v>0.14119894103397029</v>
      </c>
      <c r="AA301" s="8">
        <f t="shared" si="59"/>
        <v>24.083333333333261</v>
      </c>
      <c r="AB301" s="1">
        <v>24.17</v>
      </c>
      <c r="AC301" s="1">
        <v>7.5395580370000003E-3</v>
      </c>
      <c r="AD301" s="8">
        <f t="shared" si="55"/>
        <v>0.39308269570504861</v>
      </c>
      <c r="AE301" s="3">
        <f t="shared" si="56"/>
        <v>5.2136039510010416E-3</v>
      </c>
      <c r="AF301" s="11">
        <f t="shared" si="57"/>
        <v>24.083333333333261</v>
      </c>
      <c r="AG301" s="1">
        <f t="shared" si="58"/>
        <v>0.14119894103397029</v>
      </c>
    </row>
    <row r="302" spans="2:33" ht="15" x14ac:dyDescent="0.25">
      <c r="B302" s="1">
        <v>291</v>
      </c>
      <c r="C302" s="1">
        <v>1.0004524763791249</v>
      </c>
      <c r="D302" s="1">
        <v>1.1517650135050805</v>
      </c>
      <c r="E302" s="1">
        <v>0.86747453612549486</v>
      </c>
      <c r="G302" s="1">
        <v>0.99984311935400816</v>
      </c>
      <c r="H302" s="1">
        <v>3.3178744376773581</v>
      </c>
      <c r="I302" s="1">
        <v>0.26161881569657852</v>
      </c>
      <c r="K302" s="1">
        <v>1.0012752624828181</v>
      </c>
      <c r="L302" s="1">
        <v>4.3364770341282268</v>
      </c>
      <c r="M302" s="1">
        <v>0.19745233939462409</v>
      </c>
      <c r="O302" s="1">
        <v>7.5129701810063721E-3</v>
      </c>
      <c r="P302" s="1">
        <v>0.83344336551740128</v>
      </c>
      <c r="R302" s="1">
        <v>0.17436756654994656</v>
      </c>
      <c r="S302" s="2">
        <f t="shared" si="60"/>
        <v>0.69605204283776034</v>
      </c>
      <c r="T302" s="4">
        <f t="shared" si="61"/>
        <v>0.48448844633861937</v>
      </c>
      <c r="U302" s="1">
        <f t="shared" si="52"/>
        <v>0.24424078330929078</v>
      </c>
      <c r="V302" s="6">
        <f>2*sigma/alpha*corel*(B302/12-1/alpha*(1-EXP(-alpha*Output!B302/12)))</f>
        <v>1.090884494073121</v>
      </c>
      <c r="W302" s="5">
        <f t="shared" si="62"/>
        <v>-0.2402476630293286</v>
      </c>
      <c r="X302" s="1">
        <f t="shared" si="63"/>
        <v>24.494052293254047</v>
      </c>
      <c r="Y302" s="3">
        <f t="shared" si="53"/>
        <v>7.9551796467098576E-2</v>
      </c>
      <c r="Z302" s="1">
        <f t="shared" si="54"/>
        <v>0.14134675448574832</v>
      </c>
      <c r="AA302" s="8">
        <f t="shared" si="59"/>
        <v>24.166666666666593</v>
      </c>
      <c r="AB302" s="1">
        <v>24.25</v>
      </c>
      <c r="AC302" s="1">
        <v>7.5525937140000004E-3</v>
      </c>
      <c r="AD302" s="8">
        <f t="shared" si="55"/>
        <v>0.39623532993628313</v>
      </c>
      <c r="AE302" s="3">
        <f t="shared" si="56"/>
        <v>5.2463477441106673E-3</v>
      </c>
      <c r="AF302" s="11">
        <f t="shared" si="57"/>
        <v>24.166666666666593</v>
      </c>
      <c r="AG302" s="1">
        <f t="shared" si="58"/>
        <v>0.14134675448574832</v>
      </c>
    </row>
    <row r="303" spans="2:33" ht="15" x14ac:dyDescent="0.25">
      <c r="B303" s="1">
        <v>292</v>
      </c>
      <c r="C303" s="1">
        <v>1.0004546872310134</v>
      </c>
      <c r="D303" s="1">
        <v>1.159332720262418</v>
      </c>
      <c r="E303" s="1">
        <v>0.86181040953720889</v>
      </c>
      <c r="G303" s="1">
        <v>0.99985545332225811</v>
      </c>
      <c r="H303" s="1">
        <v>3.4965419438519794</v>
      </c>
      <c r="I303" s="1">
        <v>0.24813041367930239</v>
      </c>
      <c r="K303" s="1">
        <v>1.0011612566581261</v>
      </c>
      <c r="L303" s="1">
        <v>4.3139336761278591</v>
      </c>
      <c r="M303" s="1">
        <v>0.19837698749237451</v>
      </c>
      <c r="O303" s="1">
        <v>7.5256397325943174E-3</v>
      </c>
      <c r="P303" s="1">
        <v>0.83266498202127481</v>
      </c>
      <c r="R303" s="1">
        <v>0.17470906137675887</v>
      </c>
      <c r="S303" s="2">
        <f t="shared" si="60"/>
        <v>0.69834004134251781</v>
      </c>
      <c r="T303" s="4">
        <f t="shared" si="61"/>
        <v>0.48767881334226948</v>
      </c>
      <c r="U303" s="1">
        <f t="shared" si="52"/>
        <v>0.24625287773841542</v>
      </c>
      <c r="V303" s="6">
        <f>2*sigma/alpha*corel*(B303/12-1/alpha*(1-EXP(-alpha*Output!B303/12)))</f>
        <v>1.0973589530891534</v>
      </c>
      <c r="W303" s="5">
        <f t="shared" si="62"/>
        <v>-0.24142593560385406</v>
      </c>
      <c r="X303" s="1">
        <f t="shared" si="63"/>
        <v>24.702987737366715</v>
      </c>
      <c r="Y303" s="3">
        <f t="shared" si="53"/>
        <v>7.9579131707122483E-2</v>
      </c>
      <c r="Z303" s="1">
        <f t="shared" si="54"/>
        <v>0.14156834063045448</v>
      </c>
      <c r="AA303" s="8">
        <f t="shared" si="59"/>
        <v>24.249999999999925</v>
      </c>
      <c r="AB303" s="1">
        <v>24.33</v>
      </c>
      <c r="AC303" s="1">
        <v>7.5657231700000001E-3</v>
      </c>
      <c r="AD303" s="8">
        <f t="shared" si="55"/>
        <v>0.40083437405682643</v>
      </c>
      <c r="AE303" s="3">
        <f t="shared" si="56"/>
        <v>5.2980312000607665E-3</v>
      </c>
      <c r="AF303" s="11">
        <f t="shared" si="57"/>
        <v>24.249999999999925</v>
      </c>
      <c r="AG303" s="1">
        <f t="shared" si="58"/>
        <v>0.14156834063045448</v>
      </c>
    </row>
    <row r="304" spans="2:33" ht="15" x14ac:dyDescent="0.25">
      <c r="B304" s="1">
        <v>293</v>
      </c>
      <c r="C304" s="1">
        <v>1.000458698012989</v>
      </c>
      <c r="D304" s="1">
        <v>1.1606643929312284</v>
      </c>
      <c r="E304" s="1">
        <v>0.86082005853618571</v>
      </c>
      <c r="G304" s="1">
        <v>1.0000119007533488</v>
      </c>
      <c r="H304" s="1">
        <v>3.5314296978553052</v>
      </c>
      <c r="I304" s="1">
        <v>0.24556021132506223</v>
      </c>
      <c r="K304" s="1">
        <v>1.0011581176715101</v>
      </c>
      <c r="L304" s="1">
        <v>4.2837084513102912</v>
      </c>
      <c r="M304" s="1">
        <v>0.19967200200515298</v>
      </c>
      <c r="O304" s="1">
        <v>7.5381142182896436E-3</v>
      </c>
      <c r="P304" s="1">
        <v>0.83188953104449515</v>
      </c>
      <c r="R304" s="1">
        <v>0.17501550548068098</v>
      </c>
      <c r="S304" s="2">
        <f t="shared" si="60"/>
        <v>0.70052017057320493</v>
      </c>
      <c r="T304" s="4">
        <f t="shared" si="61"/>
        <v>0.49072850937991214</v>
      </c>
      <c r="U304" s="1">
        <f t="shared" si="52"/>
        <v>0.24827313439819987</v>
      </c>
      <c r="V304" s="6">
        <f>2*sigma/alpha*corel*(B304/12-1/alpha*(1-EXP(-alpha*Output!B304/12)))</f>
        <v>1.1038465309205157</v>
      </c>
      <c r="W304" s="5">
        <f t="shared" si="62"/>
        <v>-0.24245537498171227</v>
      </c>
      <c r="X304" s="1">
        <f t="shared" si="63"/>
        <v>24.898285453705821</v>
      </c>
      <c r="Y304" s="3">
        <f t="shared" si="53"/>
        <v>7.9576211211624587E-2</v>
      </c>
      <c r="Z304" s="1">
        <f t="shared" si="54"/>
        <v>0.1417677535524216</v>
      </c>
      <c r="AA304" s="8">
        <f t="shared" si="59"/>
        <v>24.333333333333258</v>
      </c>
      <c r="AB304" s="1">
        <v>24.42</v>
      </c>
      <c r="AC304" s="1">
        <v>7.5787691349999999E-3</v>
      </c>
      <c r="AD304" s="8">
        <f t="shared" si="55"/>
        <v>0.4065491671035627</v>
      </c>
      <c r="AE304" s="3">
        <f t="shared" si="56"/>
        <v>5.3643165514311803E-3</v>
      </c>
      <c r="AF304" s="11">
        <f t="shared" si="57"/>
        <v>24.333333333333258</v>
      </c>
      <c r="AG304" s="1">
        <f t="shared" si="58"/>
        <v>0.1417677535524216</v>
      </c>
    </row>
    <row r="305" spans="2:33" ht="15" x14ac:dyDescent="0.25">
      <c r="B305" s="1">
        <v>294</v>
      </c>
      <c r="C305" s="1">
        <v>1.0004614132532887</v>
      </c>
      <c r="D305" s="1">
        <v>1.1559008147965764</v>
      </c>
      <c r="E305" s="1">
        <v>0.86436600879006931</v>
      </c>
      <c r="G305" s="1">
        <v>1.0000498682071171</v>
      </c>
      <c r="H305" s="1">
        <v>3.4022063300778131</v>
      </c>
      <c r="I305" s="1">
        <v>0.25476381176657914</v>
      </c>
      <c r="K305" s="1">
        <v>1.0012026684592579</v>
      </c>
      <c r="L305" s="1">
        <v>4.2130832724092953</v>
      </c>
      <c r="M305" s="1">
        <v>0.20291070943071601</v>
      </c>
      <c r="O305" s="1">
        <v>7.5501422962129042E-3</v>
      </c>
      <c r="P305" s="1">
        <v>0.83112216420825102</v>
      </c>
      <c r="R305" s="1">
        <v>0.17539439980675658</v>
      </c>
      <c r="S305" s="2">
        <f t="shared" si="60"/>
        <v>0.70290924386452502</v>
      </c>
      <c r="T305" s="4">
        <f t="shared" si="61"/>
        <v>0.49408140511019832</v>
      </c>
      <c r="U305" s="1">
        <f t="shared" si="52"/>
        <v>0.2503015425660573</v>
      </c>
      <c r="V305" s="6">
        <f>2*sigma/alpha*corel*(B305/12-1/alpha*(1-EXP(-alpha*Output!B305/12)))</f>
        <v>1.1103471839106236</v>
      </c>
      <c r="W305" s="5">
        <f t="shared" si="62"/>
        <v>-0.24377986254414102</v>
      </c>
      <c r="X305" s="1">
        <f t="shared" si="63"/>
        <v>25.123297398144075</v>
      </c>
      <c r="Y305" s="3">
        <f t="shared" si="53"/>
        <v>7.9631987572003904E-2</v>
      </c>
      <c r="Z305" s="1">
        <f t="shared" si="54"/>
        <v>0.14200911225580407</v>
      </c>
      <c r="AA305" s="8">
        <f t="shared" si="59"/>
        <v>24.41666666666659</v>
      </c>
      <c r="AB305" s="1">
        <v>24.5</v>
      </c>
      <c r="AC305" s="1">
        <v>7.5915543419999999E-3</v>
      </c>
      <c r="AD305" s="8">
        <f t="shared" si="55"/>
        <v>0.41412045787095686</v>
      </c>
      <c r="AE305" s="3">
        <f t="shared" si="56"/>
        <v>5.4550153923004991E-3</v>
      </c>
      <c r="AF305" s="11">
        <f t="shared" si="57"/>
        <v>24.41666666666659</v>
      </c>
      <c r="AG305" s="1">
        <f t="shared" si="58"/>
        <v>0.14200911225580407</v>
      </c>
    </row>
    <row r="306" spans="2:33" ht="15" x14ac:dyDescent="0.25">
      <c r="B306" s="1">
        <v>295</v>
      </c>
      <c r="C306" s="1">
        <v>1.0004633316539677</v>
      </c>
      <c r="D306" s="1">
        <v>1.1611641484115762</v>
      </c>
      <c r="E306" s="1">
        <v>0.86044643806647614</v>
      </c>
      <c r="G306" s="1">
        <v>1.0000178596702793</v>
      </c>
      <c r="H306" s="1">
        <v>3.5424089173418518</v>
      </c>
      <c r="I306" s="1">
        <v>0.2445623046925284</v>
      </c>
      <c r="K306" s="1">
        <v>1.0013823268142126</v>
      </c>
      <c r="L306" s="1">
        <v>4.0153695381010586</v>
      </c>
      <c r="M306" s="1">
        <v>0.2127835199487951</v>
      </c>
      <c r="O306" s="1">
        <v>7.5615752544960519E-3</v>
      </c>
      <c r="P306" s="1">
        <v>0.83036598881139878</v>
      </c>
      <c r="R306" s="1">
        <v>0.17590710557062289</v>
      </c>
      <c r="S306" s="2">
        <f t="shared" si="60"/>
        <v>0.70568879231356685</v>
      </c>
      <c r="T306" s="4">
        <f t="shared" si="61"/>
        <v>0.49799667159698047</v>
      </c>
      <c r="U306" s="1">
        <f t="shared" si="52"/>
        <v>0.25233809144584995</v>
      </c>
      <c r="V306" s="6">
        <f>2*sigma/alpha*corel*(B306/12-1/alpha*(1-EXP(-alpha*Output!B306/12)))</f>
        <v>1.1168608685481747</v>
      </c>
      <c r="W306" s="5">
        <f t="shared" si="62"/>
        <v>-0.24565858015113051</v>
      </c>
      <c r="X306" s="1">
        <f t="shared" si="63"/>
        <v>25.403805247888684</v>
      </c>
      <c r="Y306" s="3">
        <f t="shared" si="53"/>
        <v>7.9797109856866097E-2</v>
      </c>
      <c r="Z306" s="1">
        <f t="shared" si="54"/>
        <v>0.14232881551526688</v>
      </c>
      <c r="AA306" s="8">
        <f t="shared" si="59"/>
        <v>24.499999999999922</v>
      </c>
      <c r="AB306" s="1">
        <v>24.58</v>
      </c>
      <c r="AC306" s="1">
        <v>7.6039015200000002E-3</v>
      </c>
      <c r="AD306" s="8">
        <f t="shared" si="55"/>
        <v>0.42326265503948335</v>
      </c>
      <c r="AE306" s="3">
        <f t="shared" si="56"/>
        <v>5.5663879118661094E-3</v>
      </c>
      <c r="AF306" s="11">
        <f t="shared" si="57"/>
        <v>24.499999999999922</v>
      </c>
      <c r="AG306" s="1">
        <f t="shared" si="58"/>
        <v>0.14232881551526688</v>
      </c>
    </row>
    <row r="307" spans="2:33" ht="15" x14ac:dyDescent="0.25">
      <c r="B307" s="1">
        <v>296</v>
      </c>
      <c r="C307" s="1">
        <v>1.000467871620264</v>
      </c>
      <c r="D307" s="1">
        <v>1.157566540881158</v>
      </c>
      <c r="E307" s="1">
        <v>0.86311905215885176</v>
      </c>
      <c r="G307" s="1">
        <v>1.0002122652781553</v>
      </c>
      <c r="H307" s="1">
        <v>3.4455302584104213</v>
      </c>
      <c r="I307" s="1">
        <v>0.25131705877036342</v>
      </c>
      <c r="K307" s="1">
        <v>1.0012855743180145</v>
      </c>
      <c r="L307" s="1">
        <v>4.1309563709490371</v>
      </c>
      <c r="M307" s="1">
        <v>0.20672440261256272</v>
      </c>
      <c r="O307" s="1">
        <v>7.5722637835802225E-3</v>
      </c>
      <c r="P307" s="1">
        <v>0.82962415449176452</v>
      </c>
      <c r="R307" s="1">
        <v>0.17626129758806136</v>
      </c>
      <c r="S307" s="2">
        <f t="shared" si="60"/>
        <v>0.70796797589956517</v>
      </c>
      <c r="T307" s="4">
        <f t="shared" si="61"/>
        <v>0.50121865489932727</v>
      </c>
      <c r="U307" s="1">
        <f t="shared" si="52"/>
        <v>0.25438277016886168</v>
      </c>
      <c r="V307" s="6">
        <f>2*sigma/alpha*corel*(B307/12-1/alpha*(1-EXP(-alpha*Output!B307/12)))</f>
        <v>1.1233875414666623</v>
      </c>
      <c r="W307" s="5">
        <f t="shared" si="62"/>
        <v>-0.24683588473046558</v>
      </c>
      <c r="X307" s="1">
        <f t="shared" si="63"/>
        <v>25.616473528395119</v>
      </c>
      <c r="Y307" s="3">
        <f t="shared" si="53"/>
        <v>7.9821980806574849E-2</v>
      </c>
      <c r="Z307" s="1">
        <f t="shared" si="54"/>
        <v>0.14254709817678288</v>
      </c>
      <c r="AA307" s="8">
        <f t="shared" si="59"/>
        <v>24.583333333333254</v>
      </c>
      <c r="AB307" s="1">
        <v>24.67</v>
      </c>
      <c r="AC307" s="1">
        <v>7.6156330990000002E-3</v>
      </c>
      <c r="AD307" s="8">
        <f t="shared" si="55"/>
        <v>0.43369315419777671</v>
      </c>
      <c r="AE307" s="3">
        <f t="shared" si="56"/>
        <v>5.6947747949507238E-3</v>
      </c>
      <c r="AF307" s="11">
        <f t="shared" si="57"/>
        <v>24.583333333333254</v>
      </c>
      <c r="AG307" s="1">
        <f t="shared" si="58"/>
        <v>0.14254709817678288</v>
      </c>
    </row>
    <row r="308" spans="2:33" ht="15" x14ac:dyDescent="0.25">
      <c r="B308" s="1">
        <v>297</v>
      </c>
      <c r="C308" s="1">
        <v>1.0004702475427809</v>
      </c>
      <c r="D308" s="1">
        <v>1.1542825917413448</v>
      </c>
      <c r="E308" s="1">
        <v>0.86557305916301552</v>
      </c>
      <c r="G308" s="1">
        <v>1.0002354707648129</v>
      </c>
      <c r="H308" s="1">
        <v>3.3553231748783485</v>
      </c>
      <c r="I308" s="1">
        <v>0.2579487972532889</v>
      </c>
      <c r="K308" s="1">
        <v>1.0014527361539627</v>
      </c>
      <c r="L308" s="1">
        <v>4.1468383949944947</v>
      </c>
      <c r="M308" s="1">
        <v>0.20581761571532114</v>
      </c>
      <c r="O308" s="1">
        <v>7.5819112834452484E-3</v>
      </c>
      <c r="P308" s="1">
        <v>0.82890286312450434</v>
      </c>
      <c r="R308" s="1">
        <v>0.17660565408488049</v>
      </c>
      <c r="S308" s="2">
        <f t="shared" si="60"/>
        <v>0.71018668361145543</v>
      </c>
      <c r="T308" s="4">
        <f t="shared" si="61"/>
        <v>0.50436512557903745</v>
      </c>
      <c r="U308" s="1">
        <f t="shared" si="52"/>
        <v>0.25643556779475762</v>
      </c>
      <c r="V308" s="6">
        <f>2*sigma/alpha*corel*(B308/12-1/alpha*(1-EXP(-alpha*Output!B308/12)))</f>
        <v>1.1299271594438929</v>
      </c>
      <c r="W308" s="5">
        <f t="shared" si="62"/>
        <v>-0.24792955778427983</v>
      </c>
      <c r="X308" s="1">
        <f t="shared" si="63"/>
        <v>25.821761606292647</v>
      </c>
      <c r="Y308" s="3">
        <f t="shared" si="53"/>
        <v>7.9829991610936568E-2</v>
      </c>
      <c r="Z308" s="1">
        <f t="shared" si="54"/>
        <v>0.14275289458460849</v>
      </c>
      <c r="AA308" s="8">
        <f t="shared" si="59"/>
        <v>24.666666666666586</v>
      </c>
      <c r="AB308" s="1">
        <v>24.75</v>
      </c>
      <c r="AC308" s="1">
        <v>7.6265702990000002E-3</v>
      </c>
      <c r="AD308" s="8">
        <f t="shared" si="55"/>
        <v>0.44659015554751774</v>
      </c>
      <c r="AE308" s="3">
        <f t="shared" si="56"/>
        <v>5.8557141419921729E-3</v>
      </c>
      <c r="AF308" s="11">
        <f t="shared" si="57"/>
        <v>24.666666666666586</v>
      </c>
      <c r="AG308" s="1">
        <f t="shared" si="58"/>
        <v>0.14275289458460849</v>
      </c>
    </row>
    <row r="309" spans="2:33" ht="15" x14ac:dyDescent="0.25">
      <c r="B309" s="1">
        <v>298</v>
      </c>
      <c r="C309" s="1">
        <v>1.0004757854137745</v>
      </c>
      <c r="D309" s="1">
        <v>1.1554434567105052</v>
      </c>
      <c r="E309" s="1">
        <v>0.86470184704689601</v>
      </c>
      <c r="G309" s="1">
        <v>1.000508667406717</v>
      </c>
      <c r="H309" s="1">
        <v>3.3829503818871194</v>
      </c>
      <c r="I309" s="1">
        <v>0.2557184504911843</v>
      </c>
      <c r="K309" s="1">
        <v>1.0011440186369049</v>
      </c>
      <c r="L309" s="1">
        <v>4.0989793444905631</v>
      </c>
      <c r="M309" s="1">
        <v>0.20811529232979054</v>
      </c>
      <c r="O309" s="1">
        <v>7.5904056283718031E-3</v>
      </c>
      <c r="P309" s="1">
        <v>0.82820458390597251</v>
      </c>
      <c r="R309" s="1">
        <v>0.17699502890489813</v>
      </c>
      <c r="S309" s="2">
        <f t="shared" si="60"/>
        <v>0.71250738752105813</v>
      </c>
      <c r="T309" s="4">
        <f t="shared" si="61"/>
        <v>0.50766677727208331</v>
      </c>
      <c r="U309" s="1">
        <f t="shared" si="52"/>
        <v>0.258496473312543</v>
      </c>
      <c r="V309" s="6">
        <f>2*sigma/alpha*corel*(B309/12-1/alpha*(1-EXP(-alpha*Output!B309/12)))</f>
        <v>1.1364796794015075</v>
      </c>
      <c r="W309" s="5">
        <f t="shared" si="62"/>
        <v>-0.24917030395954032</v>
      </c>
      <c r="X309" s="1">
        <f t="shared" si="63"/>
        <v>26.042502921673556</v>
      </c>
      <c r="Y309" s="3">
        <f t="shared" si="53"/>
        <v>7.9866561476405529E-2</v>
      </c>
      <c r="Z309" s="1">
        <f t="shared" si="54"/>
        <v>0.14297887072586501</v>
      </c>
      <c r="AA309" s="8">
        <f t="shared" si="59"/>
        <v>24.749999999999918</v>
      </c>
      <c r="AB309" s="1">
        <v>24.83</v>
      </c>
      <c r="AC309" s="1">
        <v>7.6365340369999998E-3</v>
      </c>
      <c r="AD309" s="8">
        <f t="shared" si="55"/>
        <v>0.46128408628196699</v>
      </c>
      <c r="AE309" s="3">
        <f t="shared" si="56"/>
        <v>6.040490149680282E-3</v>
      </c>
      <c r="AF309" s="11">
        <f t="shared" si="57"/>
        <v>24.749999999999918</v>
      </c>
      <c r="AG309" s="1">
        <f t="shared" si="58"/>
        <v>0.14297887072586501</v>
      </c>
    </row>
    <row r="310" spans="2:33" ht="15" x14ac:dyDescent="0.25">
      <c r="B310" s="1">
        <v>299</v>
      </c>
      <c r="C310" s="1">
        <v>1.0004740891197348</v>
      </c>
      <c r="D310" s="1">
        <v>1.1555814377304687</v>
      </c>
      <c r="E310" s="1">
        <v>0.86459701924445798</v>
      </c>
      <c r="G310" s="1">
        <v>1.0002087145598193</v>
      </c>
      <c r="H310" s="1">
        <v>3.38813451679041</v>
      </c>
      <c r="I310" s="1">
        <v>0.25520364758273822</v>
      </c>
      <c r="K310" s="1">
        <v>1.0012178351402803</v>
      </c>
      <c r="L310" s="1">
        <v>4.0593548203694194</v>
      </c>
      <c r="M310" s="1">
        <v>0.21003444323736456</v>
      </c>
      <c r="O310" s="1">
        <v>7.5976758280920809E-3</v>
      </c>
      <c r="P310" s="1">
        <v>0.82753096205522236</v>
      </c>
      <c r="R310" s="1">
        <v>0.17731583868570616</v>
      </c>
      <c r="S310" s="2">
        <f t="shared" si="60"/>
        <v>0.71458208954277791</v>
      </c>
      <c r="T310" s="4">
        <f t="shared" si="61"/>
        <v>0.51062756269532261</v>
      </c>
      <c r="U310" s="1">
        <f t="shared" si="52"/>
        <v>0.26056547564150456</v>
      </c>
      <c r="V310" s="6">
        <f>2*sigma/alpha*corel*(B310/12-1/alpha*(1-EXP(-alpha*Output!B310/12)))</f>
        <v>1.1430450584045044</v>
      </c>
      <c r="W310" s="5">
        <f t="shared" si="62"/>
        <v>-0.25006208705381805</v>
      </c>
      <c r="X310" s="1">
        <f t="shared" si="63"/>
        <v>26.229406681906823</v>
      </c>
      <c r="Y310" s="3">
        <f t="shared" si="53"/>
        <v>7.9834519629454689E-2</v>
      </c>
      <c r="Z310" s="1">
        <f t="shared" si="54"/>
        <v>0.14315520908244203</v>
      </c>
      <c r="AA310" s="8">
        <f t="shared" si="59"/>
        <v>24.83333333333325</v>
      </c>
      <c r="AB310" s="1">
        <v>24.92</v>
      </c>
      <c r="AC310" s="1">
        <v>7.6453452340000004E-3</v>
      </c>
      <c r="AD310" s="8">
        <f t="shared" si="55"/>
        <v>0.47669405907919438</v>
      </c>
      <c r="AE310" s="3">
        <f t="shared" si="56"/>
        <v>6.2350887303200412E-3</v>
      </c>
      <c r="AF310" s="11">
        <f t="shared" si="57"/>
        <v>24.83333333333325</v>
      </c>
      <c r="AG310" s="1">
        <f t="shared" si="58"/>
        <v>0.14315520908244203</v>
      </c>
    </row>
    <row r="311" spans="2:33" ht="15" x14ac:dyDescent="0.25">
      <c r="B311" s="1">
        <v>300</v>
      </c>
      <c r="C311" s="1">
        <v>1.0004743468596176</v>
      </c>
      <c r="D311" s="1">
        <v>1.1549766132927715</v>
      </c>
      <c r="E311" s="1">
        <v>0.8650482000902957</v>
      </c>
      <c r="G311" s="1">
        <v>1.0000486908656756</v>
      </c>
      <c r="H311" s="1">
        <v>3.3711231428968471</v>
      </c>
      <c r="I311" s="1">
        <v>0.25636736279136646</v>
      </c>
      <c r="K311" s="1">
        <v>1.0009656902270208</v>
      </c>
      <c r="L311" s="1">
        <v>3.9537109958458241</v>
      </c>
      <c r="M311" s="1">
        <v>0.21553041517765767</v>
      </c>
      <c r="O311" s="1">
        <v>7.6035111308804457E-3</v>
      </c>
      <c r="P311" s="1">
        <v>0.82688654808533812</v>
      </c>
      <c r="R311" s="1">
        <v>0.17760090416300295</v>
      </c>
      <c r="S311" s="2">
        <f t="shared" si="60"/>
        <v>0.71650256917083621</v>
      </c>
      <c r="T311" s="4">
        <f t="shared" si="61"/>
        <v>0.51337593162840889</v>
      </c>
      <c r="U311" s="1">
        <f t="shared" si="52"/>
        <v>0.26264256363215388</v>
      </c>
      <c r="V311" s="6">
        <f>2*sigma/alpha*corel*(B311/12-1/alpha*(1-EXP(-alpha*Output!B311/12)))</f>
        <v>1.1496232536607573</v>
      </c>
      <c r="W311" s="5">
        <f t="shared" si="62"/>
        <v>-0.25073336799625501</v>
      </c>
      <c r="X311" s="1">
        <f t="shared" si="63"/>
        <v>26.394970424983043</v>
      </c>
      <c r="Y311" s="3">
        <f t="shared" si="53"/>
        <v>7.9759606292734542E-2</v>
      </c>
      <c r="Z311" s="1">
        <f t="shared" si="54"/>
        <v>0.14330051383416725</v>
      </c>
      <c r="AA311" s="8">
        <f t="shared" si="59"/>
        <v>24.916666666666583</v>
      </c>
      <c r="AB311" s="1">
        <v>25</v>
      </c>
      <c r="AC311" s="1">
        <v>7.6528248069999997E-3</v>
      </c>
      <c r="AD311" s="8">
        <f t="shared" si="55"/>
        <v>0.49313676119554056</v>
      </c>
      <c r="AE311" s="3">
        <f t="shared" si="56"/>
        <v>6.4438527423817532E-3</v>
      </c>
      <c r="AF311" s="11">
        <f t="shared" si="57"/>
        <v>24.916666666666583</v>
      </c>
      <c r="AG311" s="1">
        <f t="shared" si="58"/>
        <v>0.14330051383416725</v>
      </c>
    </row>
    <row r="312" spans="2:33" ht="15" x14ac:dyDescent="0.25">
      <c r="B312" s="1">
        <v>301</v>
      </c>
      <c r="C312" s="1">
        <v>1.0004775156201084</v>
      </c>
      <c r="D312" s="1">
        <v>1.1519918861604246</v>
      </c>
      <c r="E312" s="1">
        <v>0.86728789026269415</v>
      </c>
      <c r="G312" s="1">
        <v>1.0001339923154227</v>
      </c>
      <c r="H312" s="1">
        <v>3.2937406238575924</v>
      </c>
      <c r="I312" s="1">
        <v>0.26226346144302459</v>
      </c>
      <c r="K312" s="1">
        <v>1.0010620117759566</v>
      </c>
      <c r="L312" s="1">
        <v>3.9510298613141979</v>
      </c>
      <c r="M312" s="1">
        <v>0.21556381405140657</v>
      </c>
      <c r="O312" s="1">
        <v>7.6077048286138805E-3</v>
      </c>
      <c r="P312" s="1">
        <v>0.82627585517041746</v>
      </c>
      <c r="R312" s="1">
        <v>0.17799080205268655</v>
      </c>
      <c r="S312" s="2">
        <f t="shared" si="60"/>
        <v>0.71868932682576392</v>
      </c>
      <c r="T312" s="4">
        <f t="shared" si="61"/>
        <v>0.51651434849326971</v>
      </c>
      <c r="U312" s="1">
        <f t="shared" si="52"/>
        <v>0.26472772606715367</v>
      </c>
      <c r="V312" s="6">
        <f>2*sigma/alpha*corel*(B312/12-1/alpha*(1-EXP(-alpha*Output!B312/12)))</f>
        <v>1.1562142225205445</v>
      </c>
      <c r="W312" s="5">
        <f t="shared" si="62"/>
        <v>-0.25178662242611605</v>
      </c>
      <c r="X312" s="1">
        <f t="shared" si="63"/>
        <v>26.599422445112431</v>
      </c>
      <c r="Y312" s="3">
        <f t="shared" si="53"/>
        <v>7.9759107686149175E-2</v>
      </c>
      <c r="Z312" s="1">
        <f t="shared" si="54"/>
        <v>0.14349889950518827</v>
      </c>
      <c r="AA312" s="8">
        <f t="shared" si="59"/>
        <v>24.999999999999915</v>
      </c>
      <c r="AB312" s="1">
        <v>25.08</v>
      </c>
      <c r="AC312" s="1">
        <v>7.6587936739999996E-3</v>
      </c>
      <c r="AD312" s="8">
        <f t="shared" si="55"/>
        <v>0.51088845386119097</v>
      </c>
      <c r="AE312" s="3">
        <f t="shared" si="56"/>
        <v>6.6706125743477103E-3</v>
      </c>
      <c r="AF312" s="11">
        <f t="shared" si="57"/>
        <v>24.999999999999915</v>
      </c>
      <c r="AG312" s="1">
        <f t="shared" si="58"/>
        <v>0.14349889950518827</v>
      </c>
    </row>
    <row r="313" spans="2:33" ht="15" x14ac:dyDescent="0.25">
      <c r="B313" s="1">
        <v>302</v>
      </c>
      <c r="C313" s="1">
        <v>1.0004795783221523</v>
      </c>
      <c r="D313" s="1">
        <v>1.1510405265854968</v>
      </c>
      <c r="E313" s="1">
        <v>0.8680031327565626</v>
      </c>
      <c r="G313" s="1">
        <v>1.0001037582971881</v>
      </c>
      <c r="H313" s="1">
        <v>3.2869133791054836</v>
      </c>
      <c r="I313" s="1">
        <v>0.26268105962512739</v>
      </c>
      <c r="K313" s="1">
        <v>1.0010923889395551</v>
      </c>
      <c r="L313" s="1">
        <v>4.1167389289096468</v>
      </c>
      <c r="M313" s="1">
        <v>0.20677477439112357</v>
      </c>
      <c r="O313" s="1">
        <v>7.6103088885943705E-3</v>
      </c>
      <c r="P313" s="1">
        <v>0.82569806830116155</v>
      </c>
      <c r="R313" s="1">
        <v>0.17832545950375625</v>
      </c>
      <c r="S313" s="2">
        <f t="shared" si="60"/>
        <v>0.72065611844285615</v>
      </c>
      <c r="T313" s="4">
        <f t="shared" si="61"/>
        <v>0.51934524104912394</v>
      </c>
      <c r="U313" s="1">
        <f t="shared" ref="U313:U376" si="64">sigma*sigma/alpha/alpha*(B313/12+2/alpha*EXP(-alpha*B313/12)-1/2/alpha*EXP(-2*alpha*B313/12)-3/2/alpha)</f>
        <v>0.26682095166224684</v>
      </c>
      <c r="V313" s="6">
        <f>2*sigma/alpha*corel*(B313/12-1/alpha*(1-EXP(-alpha*Output!B313/12)))</f>
        <v>1.1628179224760751</v>
      </c>
      <c r="W313" s="5">
        <f t="shared" si="62"/>
        <v>-0.2525242893868771</v>
      </c>
      <c r="X313" s="1">
        <f t="shared" si="63"/>
        <v>26.772923985777204</v>
      </c>
      <c r="Y313" s="3">
        <f t="shared" si="53"/>
        <v>7.9697443006902596E-2</v>
      </c>
      <c r="Z313" s="1">
        <f t="shared" si="54"/>
        <v>0.14365317519523821</v>
      </c>
      <c r="AA313" s="8">
        <f t="shared" si="59"/>
        <v>25.083333333333247</v>
      </c>
      <c r="AB313" s="1">
        <v>25.17</v>
      </c>
      <c r="AC313" s="1">
        <v>7.6631323939999997E-3</v>
      </c>
      <c r="AD313" s="8">
        <f t="shared" si="55"/>
        <v>0.52823505405629256</v>
      </c>
      <c r="AE313" s="3">
        <f t="shared" si="56"/>
        <v>6.8932001549377462E-3</v>
      </c>
      <c r="AF313" s="11">
        <f t="shared" si="57"/>
        <v>25.083333333333247</v>
      </c>
      <c r="AG313" s="1">
        <f t="shared" si="58"/>
        <v>0.14365317519523821</v>
      </c>
    </row>
    <row r="314" spans="2:33" ht="15" x14ac:dyDescent="0.25">
      <c r="B314" s="1">
        <v>303</v>
      </c>
      <c r="C314" s="1">
        <v>1.0004847760053797</v>
      </c>
      <c r="D314" s="1">
        <v>1.1536160704773364</v>
      </c>
      <c r="E314" s="1">
        <v>0.86606365571704735</v>
      </c>
      <c r="G314" s="1">
        <v>1.0003523132909438</v>
      </c>
      <c r="H314" s="1">
        <v>3.3380651999495621</v>
      </c>
      <c r="I314" s="1">
        <v>0.25853064992009178</v>
      </c>
      <c r="K314" s="1">
        <v>1.0010858873777133</v>
      </c>
      <c r="L314" s="1">
        <v>4.3040592781876654</v>
      </c>
      <c r="M314" s="1">
        <v>0.19767266007386541</v>
      </c>
      <c r="O314" s="1">
        <v>7.6116226407373002E-3</v>
      </c>
      <c r="P314" s="1">
        <v>0.82514721043161576</v>
      </c>
      <c r="R314" s="1">
        <v>0.17883166164386069</v>
      </c>
      <c r="S314" s="2">
        <f t="shared" si="60"/>
        <v>0.72310423414121217</v>
      </c>
      <c r="T314" s="4">
        <f t="shared" si="61"/>
        <v>0.52287973343294902</v>
      </c>
      <c r="U314" s="1">
        <f t="shared" si="64"/>
        <v>0.26892222906716556</v>
      </c>
      <c r="V314" s="6">
        <f>2*sigma/alpha*corel*(B314/12-1/alpha*(1-EXP(-alpha*Output!B314/12)))</f>
        <v>1.1694343111610106</v>
      </c>
      <c r="W314" s="5">
        <f t="shared" si="62"/>
        <v>-0.25395750436578346</v>
      </c>
      <c r="X314" s="1">
        <f t="shared" si="63"/>
        <v>27.017284549064755</v>
      </c>
      <c r="Y314" s="3">
        <f t="shared" si="53"/>
        <v>7.9769921820929068E-2</v>
      </c>
      <c r="Z314" s="1">
        <f t="shared" si="54"/>
        <v>0.14390312107376357</v>
      </c>
      <c r="AA314" s="8">
        <f t="shared" si="59"/>
        <v>25.166666666666579</v>
      </c>
      <c r="AB314" s="1">
        <v>25.25</v>
      </c>
      <c r="AC314" s="1">
        <v>7.6659600830000004E-3</v>
      </c>
      <c r="AD314" s="8">
        <f t="shared" si="55"/>
        <v>0.54337442262700208</v>
      </c>
      <c r="AE314" s="3">
        <f t="shared" si="56"/>
        <v>7.0881457344395375E-3</v>
      </c>
      <c r="AF314" s="11">
        <f t="shared" si="57"/>
        <v>25.166666666666579</v>
      </c>
      <c r="AG314" s="1">
        <f t="shared" si="58"/>
        <v>0.14390312107376357</v>
      </c>
    </row>
    <row r="315" spans="2:33" ht="15" x14ac:dyDescent="0.25">
      <c r="B315" s="1">
        <v>304</v>
      </c>
      <c r="C315" s="1">
        <v>1.0004864855899385</v>
      </c>
      <c r="D315" s="1">
        <v>1.1568540510163661</v>
      </c>
      <c r="E315" s="1">
        <v>0.86363799929531981</v>
      </c>
      <c r="G315" s="1">
        <v>1.000301805072944</v>
      </c>
      <c r="H315" s="1">
        <v>3.423485196216864</v>
      </c>
      <c r="I315" s="1">
        <v>0.2519580477586959</v>
      </c>
      <c r="K315" s="1">
        <v>1.0012756965847465</v>
      </c>
      <c r="L315" s="1">
        <v>4.0743379328471487</v>
      </c>
      <c r="M315" s="1">
        <v>0.20870437227594349</v>
      </c>
      <c r="O315" s="1">
        <v>7.6117345890572867E-3</v>
      </c>
      <c r="P315" s="1">
        <v>0.82462164530834203</v>
      </c>
      <c r="R315" s="1">
        <v>0.17930415142007602</v>
      </c>
      <c r="S315" s="2">
        <f t="shared" si="60"/>
        <v>0.7254105033675553</v>
      </c>
      <c r="T315" s="4">
        <f t="shared" si="61"/>
        <v>0.52622039839597001</v>
      </c>
      <c r="U315" s="1">
        <f t="shared" si="64"/>
        <v>0.27103154686654207</v>
      </c>
      <c r="V315" s="6">
        <f>2*sigma/alpha*corel*(B315/12-1/alpha*(1-EXP(-alpha*Output!B315/12)))</f>
        <v>1.1760633463500019</v>
      </c>
      <c r="W315" s="5">
        <f t="shared" si="62"/>
        <v>-0.25518885152942794</v>
      </c>
      <c r="X315" s="1">
        <f t="shared" si="63"/>
        <v>27.242261949609997</v>
      </c>
      <c r="Y315" s="3">
        <f t="shared" si="53"/>
        <v>7.9802934565956704E-2</v>
      </c>
      <c r="Z315" s="1">
        <f t="shared" si="54"/>
        <v>0.14412445257977519</v>
      </c>
      <c r="AA315" s="8">
        <f t="shared" si="59"/>
        <v>25.249999999999911</v>
      </c>
      <c r="AB315" s="1">
        <v>25.33</v>
      </c>
      <c r="AC315" s="1">
        <v>7.6674555010000003E-3</v>
      </c>
      <c r="AD315" s="8">
        <f t="shared" si="55"/>
        <v>0.55720911942713602</v>
      </c>
      <c r="AE315" s="3">
        <f t="shared" si="56"/>
        <v>7.2671973036487021E-3</v>
      </c>
      <c r="AF315" s="11">
        <f t="shared" si="57"/>
        <v>25.249999999999911</v>
      </c>
      <c r="AG315" s="1">
        <f t="shared" si="58"/>
        <v>0.14412445257977519</v>
      </c>
    </row>
    <row r="316" spans="2:33" ht="15" x14ac:dyDescent="0.25">
      <c r="B316" s="1">
        <v>305</v>
      </c>
      <c r="C316" s="1">
        <v>1.0004867930547585</v>
      </c>
      <c r="D316" s="1">
        <v>1.1572677169188723</v>
      </c>
      <c r="E316" s="1">
        <v>0.86332770568778228</v>
      </c>
      <c r="G316" s="1">
        <v>1.0001286131373499</v>
      </c>
      <c r="H316" s="1">
        <v>3.4348398461798939</v>
      </c>
      <c r="I316" s="1">
        <v>0.25100364798196761</v>
      </c>
      <c r="K316" s="1">
        <v>1.0010236396581111</v>
      </c>
      <c r="L316" s="1">
        <v>4.087768622622475</v>
      </c>
      <c r="M316" s="1">
        <v>0.20790894654703945</v>
      </c>
      <c r="O316" s="1">
        <v>7.6108761771641088E-3</v>
      </c>
      <c r="P316" s="1">
        <v>0.82411672476541931</v>
      </c>
      <c r="R316" s="1">
        <v>0.17971653583630412</v>
      </c>
      <c r="S316" s="2">
        <f t="shared" si="60"/>
        <v>0.72750150234958677</v>
      </c>
      <c r="T316" s="4">
        <f t="shared" si="61"/>
        <v>0.52925843592090582</v>
      </c>
      <c r="U316" s="1">
        <f t="shared" si="64"/>
        <v>0.27314889358081196</v>
      </c>
      <c r="V316" s="6">
        <f>2*sigma/alpha*corel*(B316/12-1/alpha*(1-EXP(-alpha*Output!B316/12)))</f>
        <v>1.1827049859582166</v>
      </c>
      <c r="W316" s="5">
        <f t="shared" si="62"/>
        <v>-0.25610954234009387</v>
      </c>
      <c r="X316" s="1">
        <f t="shared" si="63"/>
        <v>27.436594555053304</v>
      </c>
      <c r="Y316" s="3">
        <f t="shared" si="53"/>
        <v>7.9776202509028143E-2</v>
      </c>
      <c r="Z316" s="1">
        <f t="shared" si="54"/>
        <v>0.1443027467678871</v>
      </c>
      <c r="AA316" s="8">
        <f t="shared" si="59"/>
        <v>25.333333333333243</v>
      </c>
      <c r="AB316" s="1">
        <v>25.42</v>
      </c>
      <c r="AC316" s="1">
        <v>7.6677974030000002E-3</v>
      </c>
      <c r="AD316" s="8">
        <f t="shared" si="55"/>
        <v>0.56921225835891365</v>
      </c>
      <c r="AE316" s="3">
        <f t="shared" si="56"/>
        <v>7.4234128582506788E-3</v>
      </c>
      <c r="AF316" s="11">
        <f t="shared" si="57"/>
        <v>25.333333333333243</v>
      </c>
      <c r="AG316" s="1">
        <f t="shared" si="58"/>
        <v>0.1443027467678871</v>
      </c>
    </row>
    <row r="317" spans="2:33" ht="15" x14ac:dyDescent="0.25">
      <c r="B317" s="1">
        <v>306</v>
      </c>
      <c r="C317" s="1">
        <v>1.0004874978670062</v>
      </c>
      <c r="D317" s="1">
        <v>1.1576895657622612</v>
      </c>
      <c r="E317" s="1">
        <v>0.86301153199111724</v>
      </c>
      <c r="G317" s="1">
        <v>1.0000134364502118</v>
      </c>
      <c r="H317" s="1">
        <v>3.4452175209185154</v>
      </c>
      <c r="I317" s="1">
        <v>0.25012650592010466</v>
      </c>
      <c r="K317" s="1">
        <v>1.0009505591849897</v>
      </c>
      <c r="L317" s="1">
        <v>4.0507981399027617</v>
      </c>
      <c r="M317" s="1">
        <v>0.20969334250611787</v>
      </c>
      <c r="O317" s="1">
        <v>7.6093167586667575E-3</v>
      </c>
      <c r="P317" s="1">
        <v>0.82362695397203922</v>
      </c>
      <c r="R317" s="1">
        <v>0.18014116751226664</v>
      </c>
      <c r="S317" s="2">
        <f t="shared" si="60"/>
        <v>0.7296070405634747</v>
      </c>
      <c r="T317" s="4">
        <f t="shared" si="61"/>
        <v>0.53232643363979182</v>
      </c>
      <c r="U317" s="1">
        <f t="shared" si="64"/>
        <v>0.27527425766709923</v>
      </c>
      <c r="V317" s="6">
        <f>2*sigma/alpha*corel*(B317/12-1/alpha*(1-EXP(-alpha*Output!B317/12)))</f>
        <v>1.1893591880408698</v>
      </c>
      <c r="W317" s="5">
        <f t="shared" si="62"/>
        <v>-0.25705217597269259</v>
      </c>
      <c r="X317" s="1">
        <f t="shared" si="63"/>
        <v>27.633897227391884</v>
      </c>
      <c r="Y317" s="3">
        <f t="shared" si="53"/>
        <v>7.9753650002505921E-2</v>
      </c>
      <c r="Z317" s="1">
        <f t="shared" si="54"/>
        <v>0.14448372371048146</v>
      </c>
      <c r="AA317" s="8">
        <f t="shared" si="59"/>
        <v>25.416666666666575</v>
      </c>
      <c r="AB317" s="1">
        <v>25.5</v>
      </c>
      <c r="AC317" s="1">
        <v>7.6671645460000002E-3</v>
      </c>
      <c r="AD317" s="8">
        <f t="shared" si="55"/>
        <v>0.57847787333242628</v>
      </c>
      <c r="AE317" s="3">
        <f t="shared" si="56"/>
        <v>7.5448735952096026E-3</v>
      </c>
      <c r="AF317" s="11">
        <f t="shared" si="57"/>
        <v>25.416666666666575</v>
      </c>
      <c r="AG317" s="1">
        <f t="shared" si="58"/>
        <v>0.14448372371048146</v>
      </c>
    </row>
    <row r="318" spans="2:33" ht="15" x14ac:dyDescent="0.25">
      <c r="B318" s="1">
        <v>307</v>
      </c>
      <c r="C318" s="1">
        <v>1.0004887794461348</v>
      </c>
      <c r="D318" s="1">
        <v>1.159131540947266</v>
      </c>
      <c r="E318" s="1">
        <v>0.86193634749658599</v>
      </c>
      <c r="G318" s="1">
        <v>0.99993710566328742</v>
      </c>
      <c r="H318" s="1">
        <v>3.4823404387970056</v>
      </c>
      <c r="I318" s="1">
        <v>0.24734035306738797</v>
      </c>
      <c r="K318" s="1">
        <v>1.0007274265176116</v>
      </c>
      <c r="L318" s="1">
        <v>4.0009111919687017</v>
      </c>
      <c r="M318" s="1">
        <v>0.21219434204062454</v>
      </c>
      <c r="O318" s="1">
        <v>7.6070902017760459E-3</v>
      </c>
      <c r="P318" s="1">
        <v>0.82315173730875058</v>
      </c>
      <c r="R318" s="1">
        <v>0.18047270942002244</v>
      </c>
      <c r="S318" s="2">
        <f t="shared" si="60"/>
        <v>0.73140570981698705</v>
      </c>
      <c r="T318" s="4">
        <f t="shared" si="61"/>
        <v>0.5349543123528907</v>
      </c>
      <c r="U318" s="1">
        <f t="shared" si="64"/>
        <v>0.27740762752010895</v>
      </c>
      <c r="V318" s="6">
        <f>2*sigma/alpha*corel*(B318/12-1/alpha*(1-EXP(-alpha*Output!B318/12)))</f>
        <v>1.1960259107927609</v>
      </c>
      <c r="W318" s="5">
        <f t="shared" si="62"/>
        <v>-0.25754668483278176</v>
      </c>
      <c r="X318" s="1">
        <f t="shared" si="63"/>
        <v>27.786088727175649</v>
      </c>
      <c r="Y318" s="3">
        <f t="shared" si="53"/>
        <v>7.9646095955906659E-2</v>
      </c>
      <c r="Z318" s="1">
        <f t="shared" si="54"/>
        <v>0.14460382526370022</v>
      </c>
      <c r="AA318" s="8">
        <f t="shared" si="59"/>
        <v>25.499999999999908</v>
      </c>
      <c r="AB318" s="1">
        <v>25.58</v>
      </c>
      <c r="AC318" s="1">
        <v>7.6657356890000002E-3</v>
      </c>
      <c r="AD318" s="8">
        <f t="shared" si="55"/>
        <v>0.58645487223954285</v>
      </c>
      <c r="AE318" s="3">
        <f t="shared" si="56"/>
        <v>7.6503403721717173E-3</v>
      </c>
      <c r="AF318" s="11">
        <f t="shared" si="57"/>
        <v>25.499999999999908</v>
      </c>
      <c r="AG318" s="1">
        <f t="shared" si="58"/>
        <v>0.14460382526370022</v>
      </c>
    </row>
    <row r="319" spans="2:33" ht="15" x14ac:dyDescent="0.25">
      <c r="B319" s="1">
        <v>308</v>
      </c>
      <c r="C319" s="1">
        <v>1.0004934660326463</v>
      </c>
      <c r="D319" s="1">
        <v>1.1585840119875745</v>
      </c>
      <c r="E319" s="1">
        <v>0.86234209614312329</v>
      </c>
      <c r="G319" s="1">
        <v>1.0001446727640695</v>
      </c>
      <c r="H319" s="1">
        <v>3.4674504595561597</v>
      </c>
      <c r="I319" s="1">
        <v>0.24828231008381771</v>
      </c>
      <c r="K319" s="1">
        <v>1.0006847252221138</v>
      </c>
      <c r="L319" s="1">
        <v>4.0772772283101952</v>
      </c>
      <c r="M319" s="1">
        <v>0.20810665967375752</v>
      </c>
      <c r="O319" s="1">
        <v>7.6043756831228482E-3</v>
      </c>
      <c r="P319" s="1">
        <v>0.82268740368772564</v>
      </c>
      <c r="R319" s="1">
        <v>0.18103839619591922</v>
      </c>
      <c r="S319" s="2">
        <f t="shared" si="60"/>
        <v>0.7339050387719479</v>
      </c>
      <c r="T319" s="4">
        <f t="shared" si="61"/>
        <v>0.53861660593485439</v>
      </c>
      <c r="U319" s="1">
        <f t="shared" si="64"/>
        <v>0.27954899147299939</v>
      </c>
      <c r="V319" s="6">
        <f>2*sigma/alpha*corel*(B319/12-1/alpha*(1-EXP(-alpha*Output!B319/12)))</f>
        <v>1.2027051125478088</v>
      </c>
      <c r="W319" s="5">
        <f t="shared" si="62"/>
        <v>-0.259067614461855</v>
      </c>
      <c r="X319" s="1">
        <f t="shared" si="63"/>
        <v>28.044108005832417</v>
      </c>
      <c r="Y319" s="3">
        <f t="shared" si="53"/>
        <v>7.9733058784926814E-2</v>
      </c>
      <c r="Z319" s="1">
        <f t="shared" si="54"/>
        <v>0.14486221925985543</v>
      </c>
      <c r="AA319" s="8">
        <f t="shared" si="59"/>
        <v>25.58333333333324</v>
      </c>
      <c r="AB319" s="1">
        <v>25.67</v>
      </c>
      <c r="AC319" s="1">
        <v>7.6636897100000002E-3</v>
      </c>
      <c r="AD319" s="8">
        <f t="shared" si="55"/>
        <v>0.5931402687715196</v>
      </c>
      <c r="AE319" s="3">
        <f t="shared" si="56"/>
        <v>7.7396174847418177E-3</v>
      </c>
      <c r="AF319" s="11">
        <f t="shared" si="57"/>
        <v>25.58333333333324</v>
      </c>
      <c r="AG319" s="1">
        <f t="shared" si="58"/>
        <v>0.14486221925985543</v>
      </c>
    </row>
    <row r="320" spans="2:33" ht="15" x14ac:dyDescent="0.25">
      <c r="B320" s="1">
        <v>309</v>
      </c>
      <c r="C320" s="1">
        <v>1.0004928022897752</v>
      </c>
      <c r="D320" s="1">
        <v>1.1565463505525577</v>
      </c>
      <c r="E320" s="1">
        <v>0.86385982002440143</v>
      </c>
      <c r="G320" s="1">
        <v>0.99991181823411424</v>
      </c>
      <c r="H320" s="1">
        <v>3.411783146416222</v>
      </c>
      <c r="I320" s="1">
        <v>0.252211255361037</v>
      </c>
      <c r="K320" s="1">
        <v>1.0008729981027069</v>
      </c>
      <c r="L320" s="1">
        <v>4.1086268567007318</v>
      </c>
      <c r="M320" s="1">
        <v>0.20641034517960449</v>
      </c>
      <c r="O320" s="1">
        <v>7.6013745347807901E-3</v>
      </c>
      <c r="P320" s="1">
        <v>0.82222977260473651</v>
      </c>
      <c r="R320" s="1">
        <v>0.18152997650508937</v>
      </c>
      <c r="S320" s="2">
        <f t="shared" si="60"/>
        <v>0.73616870015944325</v>
      </c>
      <c r="T320" s="4">
        <f t="shared" si="61"/>
        <v>0.54194435509444427</v>
      </c>
      <c r="U320" s="1">
        <f t="shared" si="64"/>
        <v>0.28169833779825693</v>
      </c>
      <c r="V320" s="6">
        <f>2*sigma/alpha*corel*(B320/12-1/alpha*(1-EXP(-alpha*Output!B320/12)))</f>
        <v>1.2093967517785855</v>
      </c>
      <c r="W320" s="5">
        <f t="shared" si="62"/>
        <v>-0.26024601729618735</v>
      </c>
      <c r="X320" s="1">
        <f t="shared" si="63"/>
        <v>28.26798028471989</v>
      </c>
      <c r="Y320" s="3">
        <f t="shared" si="53"/>
        <v>7.9754705406633555E-2</v>
      </c>
      <c r="Z320" s="1">
        <f t="shared" si="54"/>
        <v>0.14507371478705003</v>
      </c>
      <c r="AA320" s="8">
        <f t="shared" si="59"/>
        <v>25.666666666666572</v>
      </c>
      <c r="AB320" s="1">
        <v>25.75</v>
      </c>
      <c r="AC320" s="1">
        <v>7.6612059749999999E-3</v>
      </c>
      <c r="AD320" s="8">
        <f t="shared" si="55"/>
        <v>0.59831440219209819</v>
      </c>
      <c r="AE320" s="3">
        <f t="shared" si="56"/>
        <v>7.8096634412978061E-3</v>
      </c>
      <c r="AF320" s="11">
        <f t="shared" si="57"/>
        <v>25.666666666666572</v>
      </c>
      <c r="AG320" s="1">
        <f t="shared" si="58"/>
        <v>0.14507371478705003</v>
      </c>
    </row>
    <row r="321" spans="2:33" ht="15" x14ac:dyDescent="0.25">
      <c r="B321" s="1">
        <v>310</v>
      </c>
      <c r="C321" s="1">
        <v>1.0004934492558808</v>
      </c>
      <c r="D321" s="1">
        <v>1.1556261602087015</v>
      </c>
      <c r="E321" s="1">
        <v>0.8645460887895019</v>
      </c>
      <c r="G321" s="1">
        <v>0.99979165615713883</v>
      </c>
      <c r="H321" s="1">
        <v>3.3863253692973516</v>
      </c>
      <c r="I321" s="1">
        <v>0.25398439905997994</v>
      </c>
      <c r="K321" s="1">
        <v>1.0010112956903396</v>
      </c>
      <c r="L321" s="1">
        <v>4.1174076499814065</v>
      </c>
      <c r="M321" s="1">
        <v>0.20585993206631817</v>
      </c>
      <c r="O321" s="1">
        <v>7.5983055026479229E-3</v>
      </c>
      <c r="P321" s="1">
        <v>0.82177424824399714</v>
      </c>
      <c r="R321" s="1">
        <v>0.1820247769263969</v>
      </c>
      <c r="S321" s="2">
        <f t="shared" si="60"/>
        <v>0.73844094184472575</v>
      </c>
      <c r="T321" s="4">
        <f t="shared" si="61"/>
        <v>0.54529502459252566</v>
      </c>
      <c r="U321" s="1">
        <f t="shared" si="64"/>
        <v>0.28385565470855489</v>
      </c>
      <c r="V321" s="6">
        <f>2*sigma/alpha*corel*(B321/12-1/alpha*(1-EXP(-alpha*Output!B321/12)))</f>
        <v>1.21610078709586</v>
      </c>
      <c r="W321" s="5">
        <f t="shared" si="62"/>
        <v>-0.26143936988397076</v>
      </c>
      <c r="X321" s="1">
        <f t="shared" si="63"/>
        <v>28.494302679052151</v>
      </c>
      <c r="Y321" s="3">
        <f t="shared" si="53"/>
        <v>7.977880082425437E-2</v>
      </c>
      <c r="Z321" s="1">
        <f t="shared" si="54"/>
        <v>0.14528659435872202</v>
      </c>
      <c r="AA321" s="8">
        <f t="shared" si="59"/>
        <v>25.749999999999904</v>
      </c>
      <c r="AB321" s="1">
        <v>25.83</v>
      </c>
      <c r="AC321" s="1">
        <v>7.6584639720000004E-3</v>
      </c>
      <c r="AD321" s="8">
        <f t="shared" si="55"/>
        <v>0.60158469352077426</v>
      </c>
      <c r="AE321" s="3">
        <f t="shared" si="56"/>
        <v>7.8551612401679943E-3</v>
      </c>
      <c r="AF321" s="11">
        <f t="shared" si="57"/>
        <v>25.749999999999904</v>
      </c>
      <c r="AG321" s="1">
        <f t="shared" si="58"/>
        <v>0.14528659435872202</v>
      </c>
    </row>
    <row r="322" spans="2:33" ht="15" x14ac:dyDescent="0.25">
      <c r="B322" s="1">
        <v>311</v>
      </c>
      <c r="C322" s="1">
        <v>1.0004981266021229</v>
      </c>
      <c r="D322" s="1">
        <v>1.1541318222812518</v>
      </c>
      <c r="E322" s="1">
        <v>0.86566387840580061</v>
      </c>
      <c r="G322" s="1">
        <v>0.99997921890247032</v>
      </c>
      <c r="H322" s="1">
        <v>3.3465026194836427</v>
      </c>
      <c r="I322" s="1">
        <v>0.25688242877155643</v>
      </c>
      <c r="K322" s="1">
        <v>1.0010911099841895</v>
      </c>
      <c r="L322" s="1">
        <v>4.1049652208383245</v>
      </c>
      <c r="M322" s="1">
        <v>0.20637375256670629</v>
      </c>
      <c r="O322" s="1">
        <v>7.595372410576836E-3</v>
      </c>
      <c r="P322" s="1">
        <v>0.82131650276177381</v>
      </c>
      <c r="R322" s="1">
        <v>0.18255392764920167</v>
      </c>
      <c r="S322" s="2">
        <f t="shared" si="60"/>
        <v>0.74082449804566131</v>
      </c>
      <c r="T322" s="4">
        <f t="shared" si="61"/>
        <v>0.54882093690460598</v>
      </c>
      <c r="U322" s="1">
        <f t="shared" si="64"/>
        <v>0.28602093035761422</v>
      </c>
      <c r="V322" s="6">
        <f>2*sigma/alpha*corel*(B322/12-1/alpha*(1-EXP(-alpha*Output!B322/12)))</f>
        <v>1.2228171772481349</v>
      </c>
      <c r="W322" s="5">
        <f t="shared" si="62"/>
        <v>-0.26280000654699176</v>
      </c>
      <c r="X322" s="1">
        <f t="shared" si="63"/>
        <v>28.738882527677909</v>
      </c>
      <c r="Y322" s="3">
        <f t="shared" si="53"/>
        <v>7.9833736210652914E-2</v>
      </c>
      <c r="Z322" s="1">
        <f t="shared" si="54"/>
        <v>0.14552103131782959</v>
      </c>
      <c r="AA322" s="8">
        <f t="shared" si="59"/>
        <v>25.833333333333236</v>
      </c>
      <c r="AB322" s="1">
        <v>25.92</v>
      </c>
      <c r="AC322" s="1">
        <v>7.6556431900000003E-3</v>
      </c>
      <c r="AD322" s="8">
        <f t="shared" si="55"/>
        <v>0.60270779423164322</v>
      </c>
      <c r="AE322" s="3">
        <f t="shared" si="56"/>
        <v>7.872725769389511E-3</v>
      </c>
      <c r="AF322" s="11">
        <f t="shared" si="57"/>
        <v>25.833333333333236</v>
      </c>
      <c r="AG322" s="1">
        <f t="shared" si="58"/>
        <v>0.14552103131782959</v>
      </c>
    </row>
    <row r="323" spans="2:33" ht="15" x14ac:dyDescent="0.25">
      <c r="B323" s="1">
        <v>312</v>
      </c>
      <c r="C323" s="1">
        <v>1.0004989724102398</v>
      </c>
      <c r="D323" s="1">
        <v>1.1546958994544274</v>
      </c>
      <c r="E323" s="1">
        <v>0.8652393937258388</v>
      </c>
      <c r="G323" s="1">
        <v>0.99986929087000476</v>
      </c>
      <c r="H323" s="1">
        <v>3.3596322295222238</v>
      </c>
      <c r="I323" s="1">
        <v>0.25575472912786484</v>
      </c>
      <c r="K323" s="1">
        <v>1.001142050046341</v>
      </c>
      <c r="L323" s="1">
        <v>4.1170961361868157</v>
      </c>
      <c r="M323" s="1">
        <v>0.20565490700881855</v>
      </c>
      <c r="O323" s="1">
        <v>7.5926816409291938E-3</v>
      </c>
      <c r="P323" s="1">
        <v>0.82085424181691047</v>
      </c>
      <c r="R323" s="1">
        <v>0.18292645452131615</v>
      </c>
      <c r="S323" s="2">
        <f t="shared" si="60"/>
        <v>0.74273698336122229</v>
      </c>
      <c r="T323" s="4">
        <f t="shared" si="61"/>
        <v>0.5516582264525286</v>
      </c>
      <c r="U323" s="1">
        <f t="shared" si="64"/>
        <v>0.28819415284104544</v>
      </c>
      <c r="V323" s="6">
        <f>2*sigma/alpha*corel*(B323/12-1/alpha*(1-EXP(-alpha*Output!B323/12)))</f>
        <v>1.2295458811211879</v>
      </c>
      <c r="W323" s="5">
        <f t="shared" si="62"/>
        <v>-0.26346407361148316</v>
      </c>
      <c r="X323" s="1">
        <f t="shared" si="63"/>
        <v>28.912046729376325</v>
      </c>
      <c r="Y323" s="3">
        <f t="shared" si="53"/>
        <v>7.9758585935359533E-2</v>
      </c>
      <c r="Z323" s="1">
        <f t="shared" si="54"/>
        <v>0.14566270660099662</v>
      </c>
      <c r="AA323" s="8">
        <f t="shared" si="59"/>
        <v>25.916666666666568</v>
      </c>
      <c r="AB323" s="1">
        <v>26</v>
      </c>
      <c r="AC323" s="1">
        <v>7.6529231149999998E-3</v>
      </c>
      <c r="AD323" s="8">
        <f t="shared" si="55"/>
        <v>0.60241474070805989</v>
      </c>
      <c r="AE323" s="3">
        <f t="shared" si="56"/>
        <v>7.8716946669345964E-3</v>
      </c>
      <c r="AF323" s="11">
        <f t="shared" si="57"/>
        <v>25.916666666666568</v>
      </c>
      <c r="AG323" s="1">
        <f t="shared" si="58"/>
        <v>0.14566270660099662</v>
      </c>
    </row>
    <row r="324" spans="2:33" ht="15" x14ac:dyDescent="0.25">
      <c r="B324" s="1">
        <v>313</v>
      </c>
      <c r="C324" s="1">
        <v>1.0005015015991265</v>
      </c>
      <c r="D324" s="1">
        <v>1.1566456422915214</v>
      </c>
      <c r="E324" s="1">
        <v>0.86377926925259951</v>
      </c>
      <c r="G324" s="1">
        <v>0.99989364160658989</v>
      </c>
      <c r="H324" s="1">
        <v>3.4265199954914416</v>
      </c>
      <c r="I324" s="1">
        <v>0.25064092561303075</v>
      </c>
      <c r="K324" s="1">
        <v>1.0010971203480583</v>
      </c>
      <c r="L324" s="1">
        <v>4.2461162871858118</v>
      </c>
      <c r="M324" s="1">
        <v>0.19929880395050578</v>
      </c>
      <c r="O324" s="1">
        <v>7.5903909349683447E-3</v>
      </c>
      <c r="P324" s="1">
        <v>0.82038404821283617</v>
      </c>
      <c r="R324" s="1">
        <v>0.1832909944415641</v>
      </c>
      <c r="S324" s="2">
        <f t="shared" si="60"/>
        <v>0.74463990068963781</v>
      </c>
      <c r="T324" s="4">
        <f t="shared" si="61"/>
        <v>0.55448858169907367</v>
      </c>
      <c r="U324" s="1">
        <f t="shared" si="64"/>
        <v>0.29037531019719642</v>
      </c>
      <c r="V324" s="6">
        <f>2*sigma/alpha*corel*(B324/12-1/alpha*(1-EXP(-alpha*Output!B324/12)))</f>
        <v>1.2362868577376167</v>
      </c>
      <c r="W324" s="5">
        <f t="shared" si="62"/>
        <v>-0.26411327150187724</v>
      </c>
      <c r="X324" s="1">
        <f t="shared" si="63"/>
        <v>29.084223187977273</v>
      </c>
      <c r="Y324" s="3">
        <f t="shared" si="53"/>
        <v>7.968100076477265E-2</v>
      </c>
      <c r="Z324" s="1">
        <f t="shared" si="54"/>
        <v>0.14580242858113229</v>
      </c>
      <c r="AA324" s="8">
        <f t="shared" si="59"/>
        <v>25.999999999999901</v>
      </c>
      <c r="AB324" s="1">
        <v>26.08</v>
      </c>
      <c r="AC324" s="1">
        <v>7.6504832360000004E-3</v>
      </c>
      <c r="AD324" s="8">
        <f t="shared" si="55"/>
        <v>0.60092301031655637</v>
      </c>
      <c r="AE324" s="3">
        <f t="shared" si="56"/>
        <v>7.8547065823092333E-3</v>
      </c>
      <c r="AF324" s="11">
        <f t="shared" si="57"/>
        <v>25.999999999999901</v>
      </c>
      <c r="AG324" s="1">
        <f t="shared" si="58"/>
        <v>0.14580242858113229</v>
      </c>
    </row>
    <row r="325" spans="2:33" ht="15" x14ac:dyDescent="0.25">
      <c r="B325" s="1">
        <v>314</v>
      </c>
      <c r="C325" s="1">
        <v>1.0005003728437845</v>
      </c>
      <c r="D325" s="1">
        <v>1.1603467809336785</v>
      </c>
      <c r="E325" s="1">
        <v>0.8610224891474374</v>
      </c>
      <c r="G325" s="1">
        <v>0.99962864160516696</v>
      </c>
      <c r="H325" s="1">
        <v>3.5266654968536786</v>
      </c>
      <c r="I325" s="1">
        <v>0.24340574963260203</v>
      </c>
      <c r="K325" s="1">
        <v>1.0011344950157797</v>
      </c>
      <c r="L325" s="1">
        <v>4.3806273075997693</v>
      </c>
      <c r="M325" s="1">
        <v>0.1930751575528637</v>
      </c>
      <c r="O325" s="1">
        <v>7.5885540263670066E-3</v>
      </c>
      <c r="P325" s="1">
        <v>0.81990470106596425</v>
      </c>
      <c r="R325" s="1">
        <v>0.18365915269406405</v>
      </c>
      <c r="S325" s="2">
        <f t="shared" si="60"/>
        <v>0.74657097926922189</v>
      </c>
      <c r="T325" s="4">
        <f t="shared" si="61"/>
        <v>0.55736822708700495</v>
      </c>
      <c r="U325" s="1">
        <f t="shared" si="64"/>
        <v>0.29256439040798377</v>
      </c>
      <c r="V325" s="6">
        <f>2*sigma/alpha*corel*(B325/12-1/alpha*(1-EXP(-alpha*Output!B325/12)))</f>
        <v>1.2430400662563841</v>
      </c>
      <c r="W325" s="5">
        <f t="shared" si="62"/>
        <v>-0.26480383667902119</v>
      </c>
      <c r="X325" s="1">
        <f t="shared" si="63"/>
        <v>29.261283512056227</v>
      </c>
      <c r="Y325" s="3">
        <f t="shared" si="53"/>
        <v>7.9611399504742886E-2</v>
      </c>
      <c r="Z325" s="1">
        <f t="shared" si="54"/>
        <v>0.14594758160577187</v>
      </c>
      <c r="AA325" s="8">
        <f t="shared" si="59"/>
        <v>26.083333333333233</v>
      </c>
      <c r="AB325" s="1">
        <v>26.17</v>
      </c>
      <c r="AC325" s="1">
        <v>7.6484651070000001E-3</v>
      </c>
      <c r="AD325" s="8">
        <f t="shared" si="55"/>
        <v>0.59911080632993507</v>
      </c>
      <c r="AE325" s="3">
        <f t="shared" si="56"/>
        <v>7.8330854354244119E-3</v>
      </c>
      <c r="AF325" s="11">
        <f t="shared" si="57"/>
        <v>26.083333333333233</v>
      </c>
      <c r="AG325" s="1">
        <f t="shared" si="58"/>
        <v>0.14594758160577187</v>
      </c>
    </row>
    <row r="326" spans="2:33" ht="15" x14ac:dyDescent="0.25">
      <c r="B326" s="1">
        <v>315</v>
      </c>
      <c r="C326" s="1">
        <v>1.0005020077605955</v>
      </c>
      <c r="D326" s="1">
        <v>1.163116560141763</v>
      </c>
      <c r="E326" s="1">
        <v>0.85897050357093307</v>
      </c>
      <c r="G326" s="1">
        <v>0.9995856080244987</v>
      </c>
      <c r="H326" s="1">
        <v>3.6033179315320676</v>
      </c>
      <c r="I326" s="1">
        <v>0.23811259336707194</v>
      </c>
      <c r="K326" s="1">
        <v>1.0011062146275223</v>
      </c>
      <c r="L326" s="1">
        <v>4.4414548031165673</v>
      </c>
      <c r="M326" s="1">
        <v>0.19033330835858542</v>
      </c>
      <c r="O326" s="1">
        <v>7.5870385399457625E-3</v>
      </c>
      <c r="P326" s="1">
        <v>0.81941897112884121</v>
      </c>
      <c r="R326" s="1">
        <v>0.18402021625215892</v>
      </c>
      <c r="S326" s="2">
        <f t="shared" si="60"/>
        <v>0.74849271287704777</v>
      </c>
      <c r="T326" s="4">
        <f t="shared" si="61"/>
        <v>0.56024134123004266</v>
      </c>
      <c r="U326" s="1">
        <f t="shared" si="64"/>
        <v>0.2947613813997183</v>
      </c>
      <c r="V326" s="6">
        <f>2*sigma/alpha*corel*(B326/12-1/alpha*(1-EXP(-alpha*Output!B326/12)))</f>
        <v>1.2498054659723601</v>
      </c>
      <c r="W326" s="5">
        <f t="shared" si="62"/>
        <v>-0.26547995983032435</v>
      </c>
      <c r="X326" s="1">
        <f t="shared" si="63"/>
        <v>29.437409484958444</v>
      </c>
      <c r="Y326" s="3">
        <f t="shared" si="53"/>
        <v>7.953942468853302E-2</v>
      </c>
      <c r="Z326" s="1">
        <f t="shared" si="54"/>
        <v>0.1460908186196313</v>
      </c>
      <c r="AA326" s="8">
        <f t="shared" si="59"/>
        <v>26.166666666666565</v>
      </c>
      <c r="AB326" s="1">
        <v>26.25</v>
      </c>
      <c r="AC326" s="1">
        <v>7.6468585450000003E-3</v>
      </c>
      <c r="AD326" s="8">
        <f t="shared" si="55"/>
        <v>0.59820005054237768</v>
      </c>
      <c r="AE326" s="3">
        <f t="shared" si="56"/>
        <v>7.8228209273404001E-3</v>
      </c>
      <c r="AF326" s="11">
        <f t="shared" si="57"/>
        <v>26.166666666666565</v>
      </c>
      <c r="AG326" s="1">
        <f t="shared" si="58"/>
        <v>0.1460908186196313</v>
      </c>
    </row>
    <row r="327" spans="2:33" ht="15" x14ac:dyDescent="0.25">
      <c r="B327" s="1">
        <v>316</v>
      </c>
      <c r="C327" s="1">
        <v>1.0005037141958739</v>
      </c>
      <c r="D327" s="1">
        <v>1.1650787592353515</v>
      </c>
      <c r="E327" s="1">
        <v>0.85752224960669865</v>
      </c>
      <c r="G327" s="1">
        <v>0.99955869764345806</v>
      </c>
      <c r="H327" s="1">
        <v>3.6567190495642157</v>
      </c>
      <c r="I327" s="1">
        <v>0.23452179029805045</v>
      </c>
      <c r="K327" s="1">
        <v>1.001022414522577</v>
      </c>
      <c r="L327" s="1">
        <v>4.3410721546472084</v>
      </c>
      <c r="M327" s="1">
        <v>0.19462676873336543</v>
      </c>
      <c r="O327" s="1">
        <v>7.5858270950059569E-3</v>
      </c>
      <c r="P327" s="1">
        <v>0.81892717909031931</v>
      </c>
      <c r="R327" s="1">
        <v>0.18438560928034181</v>
      </c>
      <c r="S327" s="2">
        <f t="shared" si="60"/>
        <v>0.75043974316850215</v>
      </c>
      <c r="T327" s="4">
        <f t="shared" si="61"/>
        <v>0.56315980812680744</v>
      </c>
      <c r="U327" s="1">
        <f t="shared" si="64"/>
        <v>0.29696627104393025</v>
      </c>
      <c r="V327" s="6">
        <f>2*sigma/alpha*corel*(B327/12-1/alpha*(1-EXP(-alpha*Output!B327/12)))</f>
        <v>1.2565830163158758</v>
      </c>
      <c r="W327" s="5">
        <f t="shared" si="62"/>
        <v>-0.26619353708287719</v>
      </c>
      <c r="X327" s="1">
        <f t="shared" si="63"/>
        <v>29.618053449623236</v>
      </c>
      <c r="Y327" s="3">
        <f t="shared" si="53"/>
        <v>7.9474634416885903E-2</v>
      </c>
      <c r="Z327" s="1">
        <f t="shared" si="54"/>
        <v>0.14623889871879631</v>
      </c>
      <c r="AA327" s="8">
        <f t="shared" si="59"/>
        <v>26.249999999999897</v>
      </c>
      <c r="AB327" s="1">
        <v>26.33</v>
      </c>
      <c r="AC327" s="1">
        <v>7.6456154330000001E-3</v>
      </c>
      <c r="AD327" s="8">
        <f t="shared" si="55"/>
        <v>0.59788337994043195</v>
      </c>
      <c r="AE327" s="3">
        <f t="shared" si="56"/>
        <v>7.8199509925629806E-3</v>
      </c>
      <c r="AF327" s="11">
        <f t="shared" si="57"/>
        <v>26.249999999999897</v>
      </c>
      <c r="AG327" s="1">
        <f t="shared" si="58"/>
        <v>0.14623889871879631</v>
      </c>
    </row>
    <row r="328" spans="2:33" ht="15" x14ac:dyDescent="0.25">
      <c r="B328" s="1">
        <v>317</v>
      </c>
      <c r="C328" s="1">
        <v>1.0005090592819943</v>
      </c>
      <c r="D328" s="1">
        <v>1.1671927049707842</v>
      </c>
      <c r="E328" s="1">
        <v>0.85596756478493385</v>
      </c>
      <c r="G328" s="1">
        <v>0.9998381775575419</v>
      </c>
      <c r="H328" s="1">
        <v>3.7157335665930469</v>
      </c>
      <c r="I328" s="1">
        <v>0.23068538303445496</v>
      </c>
      <c r="K328" s="1">
        <v>1.0010543804715042</v>
      </c>
      <c r="L328" s="1">
        <v>4.2697575707161928</v>
      </c>
      <c r="M328" s="1">
        <v>0.19777696054783428</v>
      </c>
      <c r="O328" s="1">
        <v>7.5848374831414605E-3</v>
      </c>
      <c r="P328" s="1">
        <v>0.81843105136574423</v>
      </c>
      <c r="R328" s="1">
        <v>0.18481216472381523</v>
      </c>
      <c r="S328" s="2">
        <f t="shared" si="60"/>
        <v>0.75258437051951321</v>
      </c>
      <c r="T328" s="4">
        <f t="shared" si="61"/>
        <v>0.56638323475025198</v>
      </c>
      <c r="U328" s="1">
        <f t="shared" si="64"/>
        <v>0.29917904715817745</v>
      </c>
      <c r="V328" s="6">
        <f>2*sigma/alpha*corel*(B328/12-1/alpha*(1-EXP(-alpha*Output!B328/12)))</f>
        <v>1.2633726768522675</v>
      </c>
      <c r="W328" s="5">
        <f t="shared" si="62"/>
        <v>-0.26720418759207454</v>
      </c>
      <c r="X328" s="1">
        <f t="shared" si="63"/>
        <v>29.830686342846072</v>
      </c>
      <c r="Y328" s="3">
        <f t="shared" si="53"/>
        <v>7.9464508714380322E-2</v>
      </c>
      <c r="Z328" s="1">
        <f t="shared" si="54"/>
        <v>0.14642532163886215</v>
      </c>
      <c r="AA328" s="8">
        <f t="shared" si="59"/>
        <v>26.333333333333229</v>
      </c>
      <c r="AB328" s="1">
        <v>26.42</v>
      </c>
      <c r="AC328" s="1">
        <v>7.6446876539999998E-3</v>
      </c>
      <c r="AD328" s="8">
        <f t="shared" si="55"/>
        <v>0.59850170858539298</v>
      </c>
      <c r="AE328" s="3">
        <f t="shared" si="56"/>
        <v>7.8289883861014722E-3</v>
      </c>
      <c r="AF328" s="11">
        <f t="shared" si="57"/>
        <v>26.333333333333229</v>
      </c>
      <c r="AG328" s="1">
        <f t="shared" si="58"/>
        <v>0.14642532163886215</v>
      </c>
    </row>
    <row r="329" spans="2:33" ht="15" x14ac:dyDescent="0.25">
      <c r="B329" s="1">
        <v>318</v>
      </c>
      <c r="C329" s="1">
        <v>1.0005073820469765</v>
      </c>
      <c r="D329" s="1">
        <v>1.163938603876304</v>
      </c>
      <c r="E329" s="1">
        <v>0.85835904934151741</v>
      </c>
      <c r="G329" s="1">
        <v>0.99952492912944779</v>
      </c>
      <c r="H329" s="1">
        <v>3.6214135376043597</v>
      </c>
      <c r="I329" s="1">
        <v>0.23657909741625993</v>
      </c>
      <c r="K329" s="1">
        <v>1.001176945609523</v>
      </c>
      <c r="L329" s="1">
        <v>4.290765910155554</v>
      </c>
      <c r="M329" s="1">
        <v>0.19670298600390448</v>
      </c>
      <c r="O329" s="1">
        <v>7.5840199585603778E-3</v>
      </c>
      <c r="P329" s="1">
        <v>0.81793162908211114</v>
      </c>
      <c r="R329" s="1">
        <v>0.18519694433064568</v>
      </c>
      <c r="S329" s="2">
        <f t="shared" si="60"/>
        <v>0.75460787430552134</v>
      </c>
      <c r="T329" s="4">
        <f t="shared" si="61"/>
        <v>0.56943304396389749</v>
      </c>
      <c r="U329" s="1">
        <f t="shared" si="64"/>
        <v>0.30139969750685403</v>
      </c>
      <c r="V329" s="6">
        <f>2*sigma/alpha*corel*(B329/12-1/alpha*(1-EXP(-alpha*Output!B329/12)))</f>
        <v>1.2701744072814294</v>
      </c>
      <c r="W329" s="5">
        <f t="shared" si="62"/>
        <v>-0.26803334645704346</v>
      </c>
      <c r="X329" s="1">
        <f t="shared" si="63"/>
        <v>30.024877749359337</v>
      </c>
      <c r="Y329" s="3">
        <f t="shared" si="53"/>
        <v>7.942116442580513E-2</v>
      </c>
      <c r="Z329" s="1">
        <f t="shared" si="54"/>
        <v>0.14658799198728406</v>
      </c>
      <c r="AA329" s="8">
        <f t="shared" si="59"/>
        <v>26.416666666666561</v>
      </c>
      <c r="AB329" s="1">
        <v>26.5</v>
      </c>
      <c r="AC329" s="1">
        <v>7.6440270899999999E-3</v>
      </c>
      <c r="AD329" s="8">
        <f t="shared" si="55"/>
        <v>0.60007131439622152</v>
      </c>
      <c r="AE329" s="3">
        <f t="shared" si="56"/>
        <v>7.8501986888722761E-3</v>
      </c>
      <c r="AF329" s="11">
        <f t="shared" si="57"/>
        <v>26.416666666666561</v>
      </c>
      <c r="AG329" s="1">
        <f t="shared" si="58"/>
        <v>0.14658799198728406</v>
      </c>
    </row>
    <row r="330" spans="2:33" ht="15" x14ac:dyDescent="0.25">
      <c r="B330" s="1">
        <v>319</v>
      </c>
      <c r="C330" s="1">
        <v>1.00051145699224</v>
      </c>
      <c r="D330" s="1">
        <v>1.1674418968841984</v>
      </c>
      <c r="E330" s="1">
        <v>0.85578166237470632</v>
      </c>
      <c r="G330" s="1">
        <v>0.99970003583664979</v>
      </c>
      <c r="H330" s="1">
        <v>3.7209108720454123</v>
      </c>
      <c r="I330" s="1">
        <v>0.23014157086312312</v>
      </c>
      <c r="K330" s="1">
        <v>1.0011354767339447</v>
      </c>
      <c r="L330" s="1">
        <v>4.2841362202152284</v>
      </c>
      <c r="M330" s="1">
        <v>0.19689952760404941</v>
      </c>
      <c r="O330" s="1">
        <v>7.5833421127112907E-3</v>
      </c>
      <c r="P330" s="1">
        <v>0.81742958770911611</v>
      </c>
      <c r="R330" s="1">
        <v>0.18583056837579257</v>
      </c>
      <c r="S330" s="2">
        <f t="shared" si="60"/>
        <v>0.75740567795882008</v>
      </c>
      <c r="T330" s="4">
        <f t="shared" si="61"/>
        <v>0.57366336100425985</v>
      </c>
      <c r="U330" s="1">
        <f t="shared" si="64"/>
        <v>0.30362820980199112</v>
      </c>
      <c r="V330" s="6">
        <f>2*sigma/alpha*corel*(B330/12-1/alpha*(1-EXP(-alpha*Output!B330/12)))</f>
        <v>1.2769881674373664</v>
      </c>
      <c r="W330" s="5">
        <f t="shared" si="62"/>
        <v>-0.27003515120226873</v>
      </c>
      <c r="X330" s="1">
        <f t="shared" si="63"/>
        <v>30.344436524282955</v>
      </c>
      <c r="Y330" s="3">
        <f t="shared" si="53"/>
        <v>7.9591039770917693E-2</v>
      </c>
      <c r="Z330" s="1">
        <f t="shared" si="54"/>
        <v>0.14690069078509571</v>
      </c>
      <c r="AA330" s="8">
        <f t="shared" si="59"/>
        <v>26.499999999999893</v>
      </c>
      <c r="AB330" s="1">
        <v>26.58</v>
      </c>
      <c r="AC330" s="1">
        <v>7.6435856250000002E-3</v>
      </c>
      <c r="AD330" s="8">
        <f t="shared" si="55"/>
        <v>0.60243512288709478</v>
      </c>
      <c r="AE330" s="3">
        <f t="shared" si="56"/>
        <v>7.8815774748005746E-3</v>
      </c>
      <c r="AF330" s="11">
        <f t="shared" si="57"/>
        <v>26.499999999999893</v>
      </c>
      <c r="AG330" s="1">
        <f t="shared" si="58"/>
        <v>0.14690069078509571</v>
      </c>
    </row>
    <row r="331" spans="2:33" ht="15" x14ac:dyDescent="0.25">
      <c r="B331" s="1">
        <v>320</v>
      </c>
      <c r="C331" s="1">
        <v>1.0005147147457643</v>
      </c>
      <c r="D331" s="1">
        <v>1.1667730896451614</v>
      </c>
      <c r="E331" s="1">
        <v>0.85627060447281378</v>
      </c>
      <c r="G331" s="1">
        <v>0.99978997677901371</v>
      </c>
      <c r="H331" s="1">
        <v>3.7018726501409587</v>
      </c>
      <c r="I331" s="1">
        <v>0.23121324885439037</v>
      </c>
      <c r="K331" s="1">
        <v>1.0011418036421826</v>
      </c>
      <c r="L331" s="1">
        <v>4.3097240260326446</v>
      </c>
      <c r="M331" s="1">
        <v>0.19562782011324642</v>
      </c>
      <c r="O331" s="1">
        <v>7.5827183709903118E-3</v>
      </c>
      <c r="P331" s="1">
        <v>0.8169267681340765</v>
      </c>
      <c r="R331" s="1">
        <v>0.18647582411438707</v>
      </c>
      <c r="S331" s="2">
        <f t="shared" si="60"/>
        <v>0.76024389663317504</v>
      </c>
      <c r="T331" s="4">
        <f t="shared" si="61"/>
        <v>0.57797078236799371</v>
      </c>
      <c r="U331" s="1">
        <f t="shared" si="64"/>
        <v>0.30586457170404646</v>
      </c>
      <c r="V331" s="6">
        <f>2*sigma/alpha*corel*(B331/12-1/alpha*(1-EXP(-alpha*Output!B331/12)))</f>
        <v>1.283813917287747</v>
      </c>
      <c r="W331" s="5">
        <f t="shared" si="62"/>
        <v>-0.27210621066394725</v>
      </c>
      <c r="X331" s="1">
        <f t="shared" si="63"/>
        <v>30.672840645042747</v>
      </c>
      <c r="Y331" s="3">
        <f t="shared" si="53"/>
        <v>7.977173890019662E-2</v>
      </c>
      <c r="Z331" s="1">
        <f t="shared" si="54"/>
        <v>0.14722059753580599</v>
      </c>
      <c r="AA331" s="8">
        <f t="shared" si="59"/>
        <v>26.583333333333226</v>
      </c>
      <c r="AB331" s="1">
        <v>26.67</v>
      </c>
      <c r="AC331" s="1">
        <v>7.6433151199999999E-3</v>
      </c>
      <c r="AD331" s="8">
        <f t="shared" si="55"/>
        <v>0.60596749009688045</v>
      </c>
      <c r="AE331" s="3">
        <f t="shared" si="56"/>
        <v>7.9280715315696738E-3</v>
      </c>
      <c r="AF331" s="11">
        <f t="shared" si="57"/>
        <v>26.583333333333226</v>
      </c>
      <c r="AG331" s="1">
        <f t="shared" si="58"/>
        <v>0.14722059753580599</v>
      </c>
    </row>
    <row r="332" spans="2:33" ht="15" x14ac:dyDescent="0.25">
      <c r="B332" s="1">
        <v>321</v>
      </c>
      <c r="C332" s="1">
        <v>1.0005182063601925</v>
      </c>
      <c r="D332" s="1">
        <v>1.1677889354266111</v>
      </c>
      <c r="E332" s="1">
        <v>0.85552414229255325</v>
      </c>
      <c r="G332" s="1">
        <v>0.99988870449874634</v>
      </c>
      <c r="H332" s="1">
        <v>3.7324473514830272</v>
      </c>
      <c r="I332" s="1">
        <v>0.22920830550772006</v>
      </c>
      <c r="K332" s="1">
        <v>1.0011823164063798</v>
      </c>
      <c r="L332" s="1">
        <v>4.3139247153981204</v>
      </c>
      <c r="M332" s="1">
        <v>0.1953313714771589</v>
      </c>
      <c r="O332" s="1">
        <v>7.5822344692262726E-3</v>
      </c>
      <c r="P332" s="1">
        <v>0.81642128871958886</v>
      </c>
      <c r="R332" s="1">
        <v>0.1868556764606841</v>
      </c>
      <c r="S332" s="2">
        <f t="shared" si="60"/>
        <v>0.76226955611362168</v>
      </c>
      <c r="T332" s="4">
        <f t="shared" si="61"/>
        <v>0.58105487617765783</v>
      </c>
      <c r="U332" s="1">
        <f t="shared" si="64"/>
        <v>0.3081087708226935</v>
      </c>
      <c r="V332" s="6">
        <f>2*sigma/alpha*corel*(B332/12-1/alpha*(1-EXP(-alpha*Output!B332/12)))</f>
        <v>1.2906516169334581</v>
      </c>
      <c r="W332" s="5">
        <f t="shared" si="62"/>
        <v>-0.27294610535496433</v>
      </c>
      <c r="X332" s="1">
        <f t="shared" si="63"/>
        <v>30.871014869274134</v>
      </c>
      <c r="Y332" s="3">
        <f t="shared" si="53"/>
        <v>7.972929841498419E-2</v>
      </c>
      <c r="Z332" s="1">
        <f t="shared" si="54"/>
        <v>0.1473827588767358</v>
      </c>
      <c r="AA332" s="8">
        <f t="shared" si="59"/>
        <v>26.666666666666558</v>
      </c>
      <c r="AB332" s="1">
        <v>26.75</v>
      </c>
      <c r="AC332" s="1">
        <v>7.6431673450000001E-3</v>
      </c>
      <c r="AD332" s="8">
        <f t="shared" si="55"/>
        <v>0.60932875773727502</v>
      </c>
      <c r="AE332" s="3">
        <f t="shared" si="56"/>
        <v>7.972202232833292E-3</v>
      </c>
      <c r="AF332" s="11">
        <f t="shared" si="57"/>
        <v>26.666666666666558</v>
      </c>
      <c r="AG332" s="1">
        <f t="shared" si="58"/>
        <v>0.1473827588767358</v>
      </c>
    </row>
    <row r="333" spans="2:33" ht="15" x14ac:dyDescent="0.25">
      <c r="B333" s="1">
        <v>322</v>
      </c>
      <c r="C333" s="1">
        <v>1.000521927677664</v>
      </c>
      <c r="D333" s="1">
        <v>1.1699294345157156</v>
      </c>
      <c r="E333" s="1">
        <v>0.85395727652231135</v>
      </c>
      <c r="G333" s="1">
        <v>1.0000404223596591</v>
      </c>
      <c r="H333" s="1">
        <v>3.7942518462559254</v>
      </c>
      <c r="I333" s="1">
        <v>0.22536565831482724</v>
      </c>
      <c r="K333" s="1">
        <v>1.001178771987167</v>
      </c>
      <c r="L333" s="1">
        <v>4.2733676963686955</v>
      </c>
      <c r="M333" s="1">
        <v>0.19708239671176503</v>
      </c>
      <c r="O333" s="1">
        <v>7.5817453920705531E-3</v>
      </c>
      <c r="P333" s="1">
        <v>0.81591630118680969</v>
      </c>
      <c r="R333" s="1">
        <v>0.1874095546081378</v>
      </c>
      <c r="S333" s="2">
        <f t="shared" si="60"/>
        <v>0.76483467160468366</v>
      </c>
      <c r="T333" s="4">
        <f t="shared" si="61"/>
        <v>0.58497207488864433</v>
      </c>
      <c r="U333" s="1">
        <f t="shared" si="64"/>
        <v>0.31036079471759859</v>
      </c>
      <c r="V333" s="6">
        <f>2*sigma/alpha*corel*(B333/12-1/alpha*(1-EXP(-alpha*Output!B333/12)))</f>
        <v>1.2975012266081629</v>
      </c>
      <c r="W333" s="5">
        <f t="shared" si="62"/>
        <v>-0.27461128017104575</v>
      </c>
      <c r="X333" s="1">
        <f t="shared" si="63"/>
        <v>31.158453504741932</v>
      </c>
      <c r="Y333" s="3">
        <f t="shared" ref="Y333:Y396" si="65">(-V333+SQRT(X333))/2/B333*12</f>
        <v>7.9834929393115872E-2</v>
      </c>
      <c r="Z333" s="1">
        <f t="shared" ref="Z333:Z396" si="66">S333/SQRT(B333/12)</f>
        <v>0.14764891313059209</v>
      </c>
      <c r="AA333" s="8">
        <f t="shared" si="59"/>
        <v>26.74999999999989</v>
      </c>
      <c r="AB333" s="1">
        <v>26.83</v>
      </c>
      <c r="AC333" s="1">
        <v>7.6430940500000003E-3</v>
      </c>
      <c r="AD333" s="8">
        <f t="shared" ref="AD333:AD396" si="67">(AC333-O333)*10000</f>
        <v>0.6134865792944717</v>
      </c>
      <c r="AE333" s="3">
        <f t="shared" ref="AE333:AE396" si="68">AD333/AC333/10000</f>
        <v>8.0266784011963285E-3</v>
      </c>
      <c r="AF333" s="11">
        <f t="shared" ref="AF333:AF396" si="69">AA333</f>
        <v>26.74999999999989</v>
      </c>
      <c r="AG333" s="1">
        <f t="shared" ref="AG333:AG396" si="70">Z333</f>
        <v>0.14764891313059209</v>
      </c>
    </row>
    <row r="334" spans="2:33" ht="15" x14ac:dyDescent="0.25">
      <c r="B334" s="1">
        <v>323</v>
      </c>
      <c r="C334" s="1">
        <v>1.0005260833615026</v>
      </c>
      <c r="D334" s="1">
        <v>1.1689559967974328</v>
      </c>
      <c r="E334" s="1">
        <v>0.85466679614641705</v>
      </c>
      <c r="G334" s="1">
        <v>1.000192082818478</v>
      </c>
      <c r="H334" s="1">
        <v>3.7654790362680242</v>
      </c>
      <c r="I334" s="1">
        <v>0.22697786658071911</v>
      </c>
      <c r="K334" s="1">
        <v>1.0012017553250809</v>
      </c>
      <c r="L334" s="1">
        <v>4.2718277673073821</v>
      </c>
      <c r="M334" s="1">
        <v>0.19704583802602263</v>
      </c>
      <c r="O334" s="1">
        <v>7.5811692559018427E-3</v>
      </c>
      <c r="P334" s="1">
        <v>0.81541360326230539</v>
      </c>
      <c r="R334" s="1">
        <v>0.18771545684185276</v>
      </c>
      <c r="S334" s="2">
        <f t="shared" si="60"/>
        <v>0.7666311833620385</v>
      </c>
      <c r="T334" s="4">
        <f t="shared" si="61"/>
        <v>0.5877233713030795</v>
      </c>
      <c r="U334" s="1">
        <f t="shared" si="64"/>
        <v>0.31262063089919545</v>
      </c>
      <c r="V334" s="6">
        <f>2*sigma/alpha*corel*(B334/12-1/alpha*(1-EXP(-alpha*Output!B334/12)))</f>
        <v>1.3043627066778591</v>
      </c>
      <c r="W334" s="5">
        <f t="shared" si="62"/>
        <v>-0.27510274040388405</v>
      </c>
      <c r="X334" s="1">
        <f t="shared" si="63"/>
        <v>31.320757120723506</v>
      </c>
      <c r="Y334" s="3">
        <f t="shared" si="65"/>
        <v>7.9730013027581606E-2</v>
      </c>
      <c r="Z334" s="1">
        <f t="shared" si="66"/>
        <v>0.1477664508989098</v>
      </c>
      <c r="AA334" s="8">
        <f t="shared" ref="AA334:AA397" si="71">AA333+1/12</f>
        <v>26.833333333333222</v>
      </c>
      <c r="AB334" s="1">
        <v>26.92</v>
      </c>
      <c r="AC334" s="1">
        <v>7.6430469809999997E-3</v>
      </c>
      <c r="AD334" s="8">
        <f t="shared" si="67"/>
        <v>0.61877725098156977</v>
      </c>
      <c r="AE334" s="3">
        <f t="shared" si="68"/>
        <v>8.0959498550748181E-3</v>
      </c>
      <c r="AF334" s="11">
        <f t="shared" si="69"/>
        <v>26.833333333333222</v>
      </c>
      <c r="AG334" s="1">
        <f t="shared" si="70"/>
        <v>0.1477664508989098</v>
      </c>
    </row>
    <row r="335" spans="2:33" ht="15" x14ac:dyDescent="0.25">
      <c r="B335" s="1">
        <v>324</v>
      </c>
      <c r="C335" s="1">
        <v>1.000526736430732</v>
      </c>
      <c r="D335" s="1">
        <v>1.170031749927523</v>
      </c>
      <c r="E335" s="1">
        <v>0.85387939077987673</v>
      </c>
      <c r="G335" s="1">
        <v>1.0000448878114589</v>
      </c>
      <c r="H335" s="1">
        <v>3.7928157194448269</v>
      </c>
      <c r="I335" s="1">
        <v>0.22523291313461402</v>
      </c>
      <c r="K335" s="1">
        <v>1.0011220601342949</v>
      </c>
      <c r="L335" s="1">
        <v>4.2796431667624928</v>
      </c>
      <c r="M335" s="1">
        <v>0.19658277961126833</v>
      </c>
      <c r="O335" s="1">
        <v>7.5804657893487294E-3</v>
      </c>
      <c r="P335" s="1">
        <v>0.81491409491225153</v>
      </c>
      <c r="R335" s="1">
        <v>0.18832084838844282</v>
      </c>
      <c r="S335" s="2">
        <f t="shared" si="60"/>
        <v>0.76935167085317491</v>
      </c>
      <c r="T335" s="4">
        <f t="shared" si="61"/>
        <v>0.59190199344457195</v>
      </c>
      <c r="U335" s="1">
        <f t="shared" si="64"/>
        <v>0.31488826682944859</v>
      </c>
      <c r="V335" s="6">
        <f>2*sigma/alpha*corel*(B335/12-1/alpha*(1-EXP(-alpha*Output!B335/12)))</f>
        <v>1.3112360176404345</v>
      </c>
      <c r="W335" s="5">
        <f t="shared" si="62"/>
        <v>-0.27701372661512336</v>
      </c>
      <c r="X335" s="1">
        <f t="shared" si="63"/>
        <v>31.63682236839087</v>
      </c>
      <c r="Y335" s="3">
        <f t="shared" si="65"/>
        <v>7.9878258527863705E-2</v>
      </c>
      <c r="Z335" s="1">
        <f t="shared" si="66"/>
        <v>0.14806179808952297</v>
      </c>
      <c r="AA335" s="8">
        <f t="shared" si="71"/>
        <v>26.916666666666554</v>
      </c>
      <c r="AB335" s="1">
        <v>27</v>
      </c>
      <c r="AC335" s="1">
        <v>7.6429778889999999E-3</v>
      </c>
      <c r="AD335" s="8">
        <f t="shared" si="67"/>
        <v>0.62512099651270558</v>
      </c>
      <c r="AE335" s="3">
        <f t="shared" si="68"/>
        <v>8.1790240085922294E-3</v>
      </c>
      <c r="AF335" s="11">
        <f t="shared" si="69"/>
        <v>26.916666666666554</v>
      </c>
      <c r="AG335" s="1">
        <f t="shared" si="70"/>
        <v>0.14806179808952297</v>
      </c>
    </row>
    <row r="336" spans="2:33" ht="15" x14ac:dyDescent="0.25">
      <c r="B336" s="1">
        <v>325</v>
      </c>
      <c r="C336" s="1">
        <v>1.0005258564608066</v>
      </c>
      <c r="D336" s="1">
        <v>1.1721610367381279</v>
      </c>
      <c r="E336" s="1">
        <v>0.85232667218777503</v>
      </c>
      <c r="G336" s="1">
        <v>0.99980261914084056</v>
      </c>
      <c r="H336" s="1">
        <v>3.8548533741621895</v>
      </c>
      <c r="I336" s="1">
        <v>0.22150094604052137</v>
      </c>
      <c r="K336" s="1">
        <v>1.0012117790701567</v>
      </c>
      <c r="L336" s="1">
        <v>4.3120011357194015</v>
      </c>
      <c r="M336" s="1">
        <v>0.19500090444776139</v>
      </c>
      <c r="O336" s="1">
        <v>7.5796678796860488E-3</v>
      </c>
      <c r="P336" s="1">
        <v>0.81441707117922202</v>
      </c>
      <c r="R336" s="1">
        <v>0.18869214852247138</v>
      </c>
      <c r="S336" s="2">
        <f t="shared" si="60"/>
        <v>0.77134533156426177</v>
      </c>
      <c r="T336" s="4">
        <f t="shared" si="61"/>
        <v>0.59497362052598091</v>
      </c>
      <c r="U336" s="1">
        <f t="shared" si="64"/>
        <v>0.31716368992261534</v>
      </c>
      <c r="V336" s="6">
        <f>2*sigma/alpha*corel*(B336/12-1/alpha*(1-EXP(-alpha*Output!B336/12)))</f>
        <v>1.3181211201252361</v>
      </c>
      <c r="W336" s="5">
        <f t="shared" si="62"/>
        <v>-0.27780993060336556</v>
      </c>
      <c r="X336" s="1">
        <f t="shared" si="63"/>
        <v>31.833519102684811</v>
      </c>
      <c r="Y336" s="3">
        <f t="shared" si="65"/>
        <v>7.9827673278057759E-2</v>
      </c>
      <c r="Z336" s="1">
        <f t="shared" si="66"/>
        <v>0.14821692466746966</v>
      </c>
      <c r="AA336" s="8">
        <f t="shared" si="71"/>
        <v>26.999999999999886</v>
      </c>
      <c r="AB336" s="1">
        <v>27.08</v>
      </c>
      <c r="AC336" s="1">
        <v>7.642838521E-3</v>
      </c>
      <c r="AD336" s="8">
        <f t="shared" si="67"/>
        <v>0.63170641313951137</v>
      </c>
      <c r="AE336" s="3">
        <f t="shared" si="68"/>
        <v>8.2653376936303244E-3</v>
      </c>
      <c r="AF336" s="11">
        <f t="shared" si="69"/>
        <v>26.999999999999886</v>
      </c>
      <c r="AG336" s="1">
        <f t="shared" si="70"/>
        <v>0.14821692466746966</v>
      </c>
    </row>
    <row r="337" spans="2:33" ht="15" x14ac:dyDescent="0.25">
      <c r="B337" s="1">
        <v>326</v>
      </c>
      <c r="C337" s="1">
        <v>1.0005271367580231</v>
      </c>
      <c r="D337" s="1">
        <v>1.1679442226873102</v>
      </c>
      <c r="E337" s="1">
        <v>0.85540234848020957</v>
      </c>
      <c r="G337" s="1">
        <v>0.99972723851545287</v>
      </c>
      <c r="H337" s="1">
        <v>3.7319014608786363</v>
      </c>
      <c r="I337" s="1">
        <v>0.22868787265200921</v>
      </c>
      <c r="K337" s="1">
        <v>1.00120283953182</v>
      </c>
      <c r="L337" s="1">
        <v>4.2845618346459613</v>
      </c>
      <c r="M337" s="1">
        <v>0.19614615555327619</v>
      </c>
      <c r="O337" s="1">
        <v>7.5787765475446196E-3</v>
      </c>
      <c r="P337" s="1">
        <v>0.81392252453907998</v>
      </c>
      <c r="R337" s="1">
        <v>0.18911556331830373</v>
      </c>
      <c r="S337" s="2">
        <f t="shared" si="60"/>
        <v>0.77349842492401644</v>
      </c>
      <c r="T337" s="4">
        <f t="shared" si="61"/>
        <v>0.59829981335993432</v>
      </c>
      <c r="U337" s="1">
        <f t="shared" si="64"/>
        <v>0.31944688754599815</v>
      </c>
      <c r="V337" s="6">
        <f>2*sigma/alpha*corel*(B337/12-1/alpha*(1-EXP(-alpha*Output!B337/12)))</f>
        <v>1.3250179748926243</v>
      </c>
      <c r="W337" s="5">
        <f t="shared" si="62"/>
        <v>-0.27885292581393617</v>
      </c>
      <c r="X337" s="1">
        <f t="shared" si="63"/>
        <v>32.057690572236282</v>
      </c>
      <c r="Y337" s="3">
        <f t="shared" si="65"/>
        <v>7.9820855572772909E-2</v>
      </c>
      <c r="Z337" s="1">
        <f t="shared" si="66"/>
        <v>0.14840251350044281</v>
      </c>
      <c r="AA337" s="8">
        <f t="shared" si="71"/>
        <v>27.083333333333218</v>
      </c>
      <c r="AB337" s="1">
        <v>27.17</v>
      </c>
      <c r="AC337" s="1">
        <v>7.6425908139999997E-3</v>
      </c>
      <c r="AD337" s="8">
        <f t="shared" si="67"/>
        <v>0.63814266455380042</v>
      </c>
      <c r="AE337" s="3">
        <f t="shared" si="68"/>
        <v>8.3498211546904413E-3</v>
      </c>
      <c r="AF337" s="11">
        <f t="shared" si="69"/>
        <v>27.083333333333218</v>
      </c>
      <c r="AG337" s="1">
        <f t="shared" si="70"/>
        <v>0.14840251350044281</v>
      </c>
    </row>
    <row r="338" spans="2:33" ht="15" x14ac:dyDescent="0.25">
      <c r="B338" s="1">
        <v>327</v>
      </c>
      <c r="C338" s="1">
        <v>1.0005327032766784</v>
      </c>
      <c r="D338" s="1">
        <v>1.1652179664163345</v>
      </c>
      <c r="E338" s="1">
        <v>0.8574021102737408</v>
      </c>
      <c r="G338" s="1">
        <v>0.99999274486650136</v>
      </c>
      <c r="H338" s="1">
        <v>3.649119291044054</v>
      </c>
      <c r="I338" s="1">
        <v>0.23376263572194594</v>
      </c>
      <c r="K338" s="1">
        <v>1.0010673911716437</v>
      </c>
      <c r="L338" s="1">
        <v>4.2400454628110138</v>
      </c>
      <c r="M338" s="1">
        <v>0.19809600720501017</v>
      </c>
      <c r="O338" s="1">
        <v>7.5778408008725668E-3</v>
      </c>
      <c r="P338" s="1">
        <v>0.81342938353628813</v>
      </c>
      <c r="R338" s="1">
        <v>0.18945364012487001</v>
      </c>
      <c r="S338" s="2">
        <f t="shared" si="60"/>
        <v>0.77538640790022062</v>
      </c>
      <c r="T338" s="4">
        <f t="shared" si="61"/>
        <v>0.60122408155640727</v>
      </c>
      <c r="U338" s="1">
        <f t="shared" si="64"/>
        <v>0.32173784702069019</v>
      </c>
      <c r="V338" s="6">
        <f>2*sigma/alpha*corel*(B338/12-1/alpha*(1-EXP(-alpha*Output!B338/12)))</f>
        <v>1.3319265428335418</v>
      </c>
      <c r="W338" s="5">
        <f t="shared" si="62"/>
        <v>-0.27948623453571708</v>
      </c>
      <c r="X338" s="1">
        <f t="shared" si="63"/>
        <v>32.238027879897672</v>
      </c>
      <c r="Y338" s="3">
        <f t="shared" si="65"/>
        <v>7.9741791169217618E-2</v>
      </c>
      <c r="Z338" s="1">
        <f t="shared" si="66"/>
        <v>0.14853709653800815</v>
      </c>
      <c r="AA338" s="8">
        <f t="shared" si="71"/>
        <v>27.166666666666551</v>
      </c>
      <c r="AB338" s="1">
        <v>27.25</v>
      </c>
      <c r="AC338" s="1">
        <v>7.6422374499999996E-3</v>
      </c>
      <c r="AD338" s="8">
        <f t="shared" si="67"/>
        <v>0.64396649127432781</v>
      </c>
      <c r="AE338" s="3">
        <f t="shared" si="68"/>
        <v>8.4264130169670118E-3</v>
      </c>
      <c r="AF338" s="11">
        <f t="shared" si="69"/>
        <v>27.166666666666551</v>
      </c>
      <c r="AG338" s="1">
        <f t="shared" si="70"/>
        <v>0.14853709653800815</v>
      </c>
    </row>
    <row r="339" spans="2:33" ht="15" x14ac:dyDescent="0.25">
      <c r="B339" s="1">
        <v>328</v>
      </c>
      <c r="C339" s="1">
        <v>1.0005321850364968</v>
      </c>
      <c r="D339" s="1">
        <v>1.160554088170874</v>
      </c>
      <c r="E339" s="1">
        <v>0.86084609357198461</v>
      </c>
      <c r="G339" s="1">
        <v>0.99977775744356479</v>
      </c>
      <c r="H339" s="1">
        <v>3.517073354116647</v>
      </c>
      <c r="I339" s="1">
        <v>0.24242175130319857</v>
      </c>
      <c r="K339" s="1">
        <v>1.0012056476641775</v>
      </c>
      <c r="L339" s="1">
        <v>4.2812854854914404</v>
      </c>
      <c r="M339" s="1">
        <v>0.19608624711361688</v>
      </c>
      <c r="O339" s="1">
        <v>7.576888591944957E-3</v>
      </c>
      <c r="P339" s="1">
        <v>0.8129370338983658</v>
      </c>
      <c r="R339" s="1">
        <v>0.19008064214503367</v>
      </c>
      <c r="S339" s="2">
        <f t="shared" si="60"/>
        <v>0.77817246230586168</v>
      </c>
      <c r="T339" s="4">
        <f t="shared" si="61"/>
        <v>0.60555238109116771</v>
      </c>
      <c r="U339" s="1">
        <f t="shared" si="64"/>
        <v>0.32403655562231615</v>
      </c>
      <c r="V339" s="6">
        <f>2*sigma/alpha*corel*(B339/12-1/alpha*(1-EXP(-alpha*Output!B339/12)))</f>
        <v>1.3388467849690779</v>
      </c>
      <c r="W339" s="5">
        <f t="shared" si="62"/>
        <v>-0.28151582546885157</v>
      </c>
      <c r="X339" s="1">
        <f t="shared" si="63"/>
        <v>32.571574298216476</v>
      </c>
      <c r="Y339" s="3">
        <f t="shared" si="65"/>
        <v>7.9908006756355815E-2</v>
      </c>
      <c r="Z339" s="1">
        <f t="shared" si="66"/>
        <v>0.14884339221401274</v>
      </c>
      <c r="AA339" s="8">
        <f t="shared" si="71"/>
        <v>27.249999999999883</v>
      </c>
      <c r="AB339" s="1">
        <v>27.33</v>
      </c>
      <c r="AC339" s="1">
        <v>7.6417913010000003E-3</v>
      </c>
      <c r="AD339" s="8">
        <f t="shared" si="67"/>
        <v>0.64902709055043339</v>
      </c>
      <c r="AE339" s="3">
        <f t="shared" si="68"/>
        <v>8.4931276579812143E-3</v>
      </c>
      <c r="AF339" s="11">
        <f t="shared" si="69"/>
        <v>27.249999999999883</v>
      </c>
      <c r="AG339" s="1">
        <f t="shared" si="70"/>
        <v>0.14884339221401274</v>
      </c>
    </row>
    <row r="340" spans="2:33" ht="15" x14ac:dyDescent="0.25">
      <c r="B340" s="1">
        <v>329</v>
      </c>
      <c r="C340" s="1">
        <v>1.0005337772044844</v>
      </c>
      <c r="D340" s="1">
        <v>1.158210535095709</v>
      </c>
      <c r="E340" s="1">
        <v>0.86258631751785619</v>
      </c>
      <c r="G340" s="1">
        <v>0.99973690771928669</v>
      </c>
      <c r="H340" s="1">
        <v>3.4508594164084121</v>
      </c>
      <c r="I340" s="1">
        <v>0.24695373478006974</v>
      </c>
      <c r="K340" s="1">
        <v>1.0012306669933935</v>
      </c>
      <c r="L340" s="1">
        <v>4.3720575086199833</v>
      </c>
      <c r="M340" s="1">
        <v>0.19190897930944703</v>
      </c>
      <c r="O340" s="1">
        <v>7.5759396243890685E-3</v>
      </c>
      <c r="P340" s="1">
        <v>0.81244503900426468</v>
      </c>
      <c r="R340" s="1">
        <v>0.19036323513587664</v>
      </c>
      <c r="S340" s="2">
        <f t="shared" si="60"/>
        <v>0.77989027381287013</v>
      </c>
      <c r="T340" s="4">
        <f t="shared" si="61"/>
        <v>0.60822883918791359</v>
      </c>
      <c r="U340" s="1">
        <f t="shared" si="64"/>
        <v>0.32634300058176713</v>
      </c>
      <c r="V340" s="6">
        <f>2*sigma/alpha*corel*(B340/12-1/alpha*(1-EXP(-alpha*Output!B340/12)))</f>
        <v>1.3457786624500354</v>
      </c>
      <c r="W340" s="5">
        <f t="shared" si="62"/>
        <v>-0.28188583860614647</v>
      </c>
      <c r="X340" s="1">
        <f t="shared" si="63"/>
        <v>32.724600508779872</v>
      </c>
      <c r="Y340" s="3">
        <f t="shared" si="65"/>
        <v>7.9782917587645191E-2</v>
      </c>
      <c r="Z340" s="1">
        <f t="shared" si="66"/>
        <v>0.14894508555643338</v>
      </c>
      <c r="AA340" s="8">
        <f t="shared" si="71"/>
        <v>27.333333333333215</v>
      </c>
      <c r="AB340" s="1">
        <v>27.42</v>
      </c>
      <c r="AC340" s="1">
        <v>7.6412652380000003E-3</v>
      </c>
      <c r="AD340" s="8">
        <f t="shared" si="67"/>
        <v>0.65325613610931788</v>
      </c>
      <c r="AE340" s="3">
        <f t="shared" si="68"/>
        <v>8.5490572014262252E-3</v>
      </c>
      <c r="AF340" s="11">
        <f t="shared" si="69"/>
        <v>27.333333333333215</v>
      </c>
      <c r="AG340" s="1">
        <f t="shared" si="70"/>
        <v>0.14894508555643338</v>
      </c>
    </row>
    <row r="341" spans="2:33" ht="15" x14ac:dyDescent="0.25">
      <c r="B341" s="1">
        <v>330</v>
      </c>
      <c r="C341" s="1">
        <v>1.0005381817568424</v>
      </c>
      <c r="D341" s="1">
        <v>1.1600495489398976</v>
      </c>
      <c r="E341" s="1">
        <v>0.8612172340321651</v>
      </c>
      <c r="G341" s="1">
        <v>0.99991329015894914</v>
      </c>
      <c r="H341" s="1">
        <v>3.4988376073977858</v>
      </c>
      <c r="I341" s="1">
        <v>0.24344952680045581</v>
      </c>
      <c r="K341" s="1">
        <v>1.0010894157341796</v>
      </c>
      <c r="L341" s="1">
        <v>4.3175441915418729</v>
      </c>
      <c r="M341" s="1">
        <v>0.19423244621904903</v>
      </c>
      <c r="O341" s="1">
        <v>7.5750189760689412E-3</v>
      </c>
      <c r="P341" s="1">
        <v>0.81195283795626361</v>
      </c>
      <c r="R341" s="1">
        <v>0.19086210031612166</v>
      </c>
      <c r="S341" s="2">
        <f t="shared" si="60"/>
        <v>0.7822828947283984</v>
      </c>
      <c r="T341" s="4">
        <f t="shared" si="61"/>
        <v>0.61196652738464241</v>
      </c>
      <c r="U341" s="1">
        <f t="shared" si="64"/>
        <v>0.32865716908592502</v>
      </c>
      <c r="V341" s="6">
        <f>2*sigma/alpha*corel*(B341/12-1/alpha*(1-EXP(-alpha*Output!B341/12)))</f>
        <v>1.3527221365564985</v>
      </c>
      <c r="W341" s="5">
        <f t="shared" si="62"/>
        <v>-0.2833093582987174</v>
      </c>
      <c r="X341" s="1">
        <f t="shared" si="63"/>
        <v>32.99388659158889</v>
      </c>
      <c r="Y341" s="3">
        <f t="shared" si="65"/>
        <v>7.9841970571499887E-2</v>
      </c>
      <c r="Z341" s="1">
        <f t="shared" si="66"/>
        <v>0.14917549486605516</v>
      </c>
      <c r="AA341" s="8">
        <f t="shared" si="71"/>
        <v>27.416666666666547</v>
      </c>
      <c r="AB341" s="1">
        <v>27.5</v>
      </c>
      <c r="AC341" s="1">
        <v>7.6406721310000002E-3</v>
      </c>
      <c r="AD341" s="8">
        <f t="shared" si="67"/>
        <v>0.65653154931059021</v>
      </c>
      <c r="AE341" s="3">
        <f t="shared" si="68"/>
        <v>8.5925889510019351E-3</v>
      </c>
      <c r="AF341" s="11">
        <f t="shared" si="69"/>
        <v>27.416666666666547</v>
      </c>
      <c r="AG341" s="1">
        <f t="shared" si="70"/>
        <v>0.14917549486605516</v>
      </c>
    </row>
    <row r="342" spans="2:33" ht="15" x14ac:dyDescent="0.25">
      <c r="B342" s="1">
        <v>331</v>
      </c>
      <c r="C342" s="1">
        <v>1.0005419681825669</v>
      </c>
      <c r="D342" s="1">
        <v>1.1634482699492257</v>
      </c>
      <c r="E342" s="1">
        <v>0.85869977315329427</v>
      </c>
      <c r="G342" s="1">
        <v>1.0000708097971409</v>
      </c>
      <c r="H342" s="1">
        <v>3.5892134683651946</v>
      </c>
      <c r="I342" s="1">
        <v>0.23720469881862252</v>
      </c>
      <c r="K342" s="1">
        <v>1.0010894918012483</v>
      </c>
      <c r="L342" s="1">
        <v>4.4588040674777529</v>
      </c>
      <c r="M342" s="1">
        <v>0.18797911390321889</v>
      </c>
      <c r="O342" s="1">
        <v>7.574029615700948E-3</v>
      </c>
      <c r="P342" s="1">
        <v>0.81146259757813521</v>
      </c>
      <c r="R342" s="1">
        <v>0.19114088431909629</v>
      </c>
      <c r="S342" s="2">
        <f t="shared" si="60"/>
        <v>0.78398948922126932</v>
      </c>
      <c r="T342" s="4">
        <f t="shared" si="61"/>
        <v>0.61463951920942672</v>
      </c>
      <c r="U342" s="1">
        <f t="shared" si="64"/>
        <v>0.33097904827838764</v>
      </c>
      <c r="V342" s="6">
        <f>2*sigma/alpha*corel*(B342/12-1/alpha*(1-EXP(-alpha*Output!B342/12)))</f>
        <v>1.3596771686974032</v>
      </c>
      <c r="W342" s="5">
        <f t="shared" si="62"/>
        <v>-0.28366047093103908</v>
      </c>
      <c r="X342" s="1">
        <f t="shared" si="63"/>
        <v>33.145927295801634</v>
      </c>
      <c r="Y342" s="3">
        <f t="shared" si="65"/>
        <v>7.9714310721582582E-2</v>
      </c>
      <c r="Z342" s="1">
        <f t="shared" si="66"/>
        <v>0.14927492662052225</v>
      </c>
      <c r="AA342" s="8">
        <f t="shared" si="71"/>
        <v>27.499999999999879</v>
      </c>
      <c r="AB342" s="1">
        <v>27.58</v>
      </c>
      <c r="AC342" s="1">
        <v>7.6400248510000001E-3</v>
      </c>
      <c r="AD342" s="8">
        <f t="shared" si="67"/>
        <v>0.65995235299052057</v>
      </c>
      <c r="AE342" s="3">
        <f t="shared" si="68"/>
        <v>8.638091705999355E-3</v>
      </c>
      <c r="AF342" s="11">
        <f t="shared" si="69"/>
        <v>27.499999999999879</v>
      </c>
      <c r="AG342" s="1">
        <f t="shared" si="70"/>
        <v>0.14927492662052225</v>
      </c>
    </row>
    <row r="343" spans="2:33" ht="15" x14ac:dyDescent="0.25">
      <c r="B343" s="1">
        <v>332</v>
      </c>
      <c r="C343" s="1">
        <v>1.0005460330200797</v>
      </c>
      <c r="D343" s="1">
        <v>1.1635423190872272</v>
      </c>
      <c r="E343" s="1">
        <v>0.85862872979144256</v>
      </c>
      <c r="G343" s="1">
        <v>1.0002516506350421</v>
      </c>
      <c r="H343" s="1">
        <v>3.5898152492914623</v>
      </c>
      <c r="I343" s="1">
        <v>0.23705020456185136</v>
      </c>
      <c r="K343" s="1">
        <v>1.0011865410403205</v>
      </c>
      <c r="L343" s="1">
        <v>4.4488920982774269</v>
      </c>
      <c r="M343" s="1">
        <v>0.18830102469882326</v>
      </c>
      <c r="O343" s="1">
        <v>7.573040676646642E-3</v>
      </c>
      <c r="P343" s="1">
        <v>0.81097277746810259</v>
      </c>
      <c r="R343" s="1">
        <v>0.19154416807962044</v>
      </c>
      <c r="S343" s="2">
        <f t="shared" ref="S343:S406" si="72">optim_vol_implied(P343,R343)</f>
        <v>0.7860848371586715</v>
      </c>
      <c r="T343" s="4">
        <f t="shared" ref="T343:T406" si="73">S343*S343</f>
        <v>0.61792937121077507</v>
      </c>
      <c r="U343" s="1">
        <f t="shared" si="64"/>
        <v>0.33330862526018068</v>
      </c>
      <c r="V343" s="6">
        <f>2*sigma/alpha*corel*(B343/12-1/alpha*(1-EXP(-alpha*Output!B343/12)))</f>
        <v>1.3666437204101078</v>
      </c>
      <c r="W343" s="5">
        <f t="shared" ref="W343:W406" si="74">U343-T343</f>
        <v>-0.28462074595059439</v>
      </c>
      <c r="X343" s="1">
        <f t="shared" ref="X343:X406" si="75">V343*V343-4*W343*B343/12</f>
        <v>33.365744277068828</v>
      </c>
      <c r="Y343" s="3">
        <f t="shared" si="65"/>
        <v>7.969274384785674E-2</v>
      </c>
      <c r="Z343" s="1">
        <f t="shared" si="66"/>
        <v>0.14944830728311059</v>
      </c>
      <c r="AA343" s="8">
        <f t="shared" si="71"/>
        <v>27.583333333333211</v>
      </c>
      <c r="AB343" s="1">
        <v>27.67</v>
      </c>
      <c r="AC343" s="1">
        <v>7.6393362799999998E-3</v>
      </c>
      <c r="AD343" s="8">
        <f t="shared" si="67"/>
        <v>0.66295603353357802</v>
      </c>
      <c r="AE343" s="3">
        <f t="shared" si="68"/>
        <v>8.6781889058767554E-3</v>
      </c>
      <c r="AF343" s="11">
        <f t="shared" si="69"/>
        <v>27.583333333333211</v>
      </c>
      <c r="AG343" s="1">
        <f t="shared" si="70"/>
        <v>0.14944830728311059</v>
      </c>
    </row>
    <row r="344" spans="2:33" ht="15" x14ac:dyDescent="0.25">
      <c r="B344" s="1">
        <v>333</v>
      </c>
      <c r="C344" s="1">
        <v>1.0005500671130068</v>
      </c>
      <c r="D344" s="1">
        <v>1.1624011903570151</v>
      </c>
      <c r="E344" s="1">
        <v>0.8594700063127001</v>
      </c>
      <c r="G344" s="1">
        <v>1.000409034182326</v>
      </c>
      <c r="H344" s="1">
        <v>3.5578277011396127</v>
      </c>
      <c r="I344" s="1">
        <v>0.23906575863092747</v>
      </c>
      <c r="K344" s="1">
        <v>1.0010685932568522</v>
      </c>
      <c r="L344" s="1">
        <v>4.6829488206612222</v>
      </c>
      <c r="M344" s="1">
        <v>0.1787897555666923</v>
      </c>
      <c r="O344" s="1">
        <v>7.5720096985239464E-3</v>
      </c>
      <c r="P344" s="1">
        <v>0.81048433211039428</v>
      </c>
      <c r="R344" s="1">
        <v>0.19190545467044989</v>
      </c>
      <c r="S344" s="2">
        <f t="shared" si="72"/>
        <v>0.78804900557863533</v>
      </c>
      <c r="T344" s="4">
        <f t="shared" si="73"/>
        <v>0.62102123519347607</v>
      </c>
      <c r="U344" s="1">
        <f t="shared" si="64"/>
        <v>0.33564588709046728</v>
      </c>
      <c r="V344" s="6">
        <f>2*sigma/alpha*corel*(B344/12-1/alpha*(1-EXP(-alpha*Output!B344/12)))</f>
        <v>1.3736217533599655</v>
      </c>
      <c r="W344" s="5">
        <f t="shared" si="74"/>
        <v>-0.2853753481030088</v>
      </c>
      <c r="X344" s="1">
        <f t="shared" si="75"/>
        <v>33.563500360737685</v>
      </c>
      <c r="Y344" s="3">
        <f t="shared" si="65"/>
        <v>7.963567020953688E-2</v>
      </c>
      <c r="Z344" s="1">
        <f t="shared" si="66"/>
        <v>0.14959660293795349</v>
      </c>
      <c r="AA344" s="8">
        <f t="shared" si="71"/>
        <v>27.666666666666544</v>
      </c>
      <c r="AB344" s="1">
        <v>27.75</v>
      </c>
      <c r="AC344" s="1">
        <v>7.6386193359999997E-3</v>
      </c>
      <c r="AD344" s="8">
        <f t="shared" si="67"/>
        <v>0.66609637476053307</v>
      </c>
      <c r="AE344" s="3">
        <f t="shared" si="68"/>
        <v>8.7201147937990813E-3</v>
      </c>
      <c r="AF344" s="11">
        <f t="shared" si="69"/>
        <v>27.666666666666544</v>
      </c>
      <c r="AG344" s="1">
        <f t="shared" si="70"/>
        <v>0.14959660293795349</v>
      </c>
    </row>
    <row r="345" spans="2:33" ht="15" x14ac:dyDescent="0.25">
      <c r="B345" s="1">
        <v>334</v>
      </c>
      <c r="C345" s="1">
        <v>1.0005522518918117</v>
      </c>
      <c r="D345" s="1">
        <v>1.1632736914361883</v>
      </c>
      <c r="E345" s="1">
        <v>0.85882372945291752</v>
      </c>
      <c r="G345" s="1">
        <v>1.0004215106113796</v>
      </c>
      <c r="H345" s="1">
        <v>3.5792349471102058</v>
      </c>
      <c r="I345" s="1">
        <v>0.23752095904793294</v>
      </c>
      <c r="K345" s="1">
        <v>1.0009386195207497</v>
      </c>
      <c r="L345" s="1">
        <v>4.5683376599985603</v>
      </c>
      <c r="M345" s="1">
        <v>0.18318085319982902</v>
      </c>
      <c r="O345" s="1">
        <v>7.5710791903614181E-3</v>
      </c>
      <c r="P345" s="1">
        <v>0.80999405504079691</v>
      </c>
      <c r="R345" s="1">
        <v>0.19212783366223329</v>
      </c>
      <c r="S345" s="2">
        <f t="shared" si="72"/>
        <v>0.78958485200075246</v>
      </c>
      <c r="T345" s="4">
        <f t="shared" si="73"/>
        <v>0.62344423850905017</v>
      </c>
      <c r="U345" s="1">
        <f t="shared" si="64"/>
        <v>0.33799082078725196</v>
      </c>
      <c r="V345" s="6">
        <f>2*sigma/alpha*corel*(B345/12-1/alpha*(1-EXP(-alpha*Output!B345/12)))</f>
        <v>1.3806112293399013</v>
      </c>
      <c r="W345" s="5">
        <f t="shared" si="74"/>
        <v>-0.28545341772179822</v>
      </c>
      <c r="X345" s="1">
        <f t="shared" si="75"/>
        <v>33.686567872939634</v>
      </c>
      <c r="Y345" s="3">
        <f t="shared" si="65"/>
        <v>7.946230875659395E-2</v>
      </c>
      <c r="Z345" s="1">
        <f t="shared" si="66"/>
        <v>0.14966360345097249</v>
      </c>
      <c r="AA345" s="8">
        <f t="shared" si="71"/>
        <v>27.749999999999876</v>
      </c>
      <c r="AB345" s="1">
        <v>27.83</v>
      </c>
      <c r="AC345" s="1">
        <v>7.6378869499999997E-3</v>
      </c>
      <c r="AD345" s="8">
        <f t="shared" si="67"/>
        <v>0.66807759638581532</v>
      </c>
      <c r="AE345" s="3">
        <f t="shared" si="68"/>
        <v>8.7468903475432461E-3</v>
      </c>
      <c r="AF345" s="11">
        <f t="shared" si="69"/>
        <v>27.749999999999876</v>
      </c>
      <c r="AG345" s="1">
        <f t="shared" si="70"/>
        <v>0.14966360345097249</v>
      </c>
    </row>
    <row r="346" spans="2:33" ht="15" x14ac:dyDescent="0.25">
      <c r="B346" s="1">
        <v>335</v>
      </c>
      <c r="C346" s="1">
        <v>1.0005516060189341</v>
      </c>
      <c r="D346" s="1">
        <v>1.158660764350921</v>
      </c>
      <c r="E346" s="1">
        <v>0.86224127849617183</v>
      </c>
      <c r="G346" s="1">
        <v>1.0001690447756619</v>
      </c>
      <c r="H346" s="1">
        <v>3.4223463477261848</v>
      </c>
      <c r="I346" s="1">
        <v>0.24828932258927633</v>
      </c>
      <c r="K346" s="1">
        <v>1.0010176319321058</v>
      </c>
      <c r="L346" s="1">
        <v>4.6004264968358699</v>
      </c>
      <c r="M346" s="1">
        <v>0.18180316265740445</v>
      </c>
      <c r="O346" s="1">
        <v>7.5701505197984581E-3</v>
      </c>
      <c r="P346" s="1">
        <v>0.8095041585633479</v>
      </c>
      <c r="R346" s="1">
        <v>0.19263002954042185</v>
      </c>
      <c r="S346" s="2">
        <f t="shared" si="72"/>
        <v>0.79199506170128187</v>
      </c>
      <c r="T346" s="4">
        <f t="shared" si="73"/>
        <v>0.62725617775921727</v>
      </c>
      <c r="U346" s="1">
        <f t="shared" si="64"/>
        <v>0.34034341332807561</v>
      </c>
      <c r="V346" s="6">
        <f>2*sigma/alpha*corel*(B346/12-1/alpha*(1-EXP(-alpha*Output!B346/12)))</f>
        <v>1.3876121102699823</v>
      </c>
      <c r="W346" s="5">
        <f t="shared" si="74"/>
        <v>-0.28691276443114166</v>
      </c>
      <c r="X346" s="1">
        <f t="shared" si="75"/>
        <v>33.964059396712067</v>
      </c>
      <c r="Y346" s="3">
        <f t="shared" si="65"/>
        <v>7.9526992627914891E-2</v>
      </c>
      <c r="Z346" s="1">
        <f t="shared" si="66"/>
        <v>0.14989622413284931</v>
      </c>
      <c r="AA346" s="8">
        <f t="shared" si="71"/>
        <v>27.833333333333208</v>
      </c>
      <c r="AB346" s="1">
        <v>27.92</v>
      </c>
      <c r="AC346" s="1">
        <v>7.6371520500000002E-3</v>
      </c>
      <c r="AD346" s="8">
        <f t="shared" si="67"/>
        <v>0.67001530201542081</v>
      </c>
      <c r="AE346" s="3">
        <f t="shared" si="68"/>
        <v>8.773104131342007E-3</v>
      </c>
      <c r="AF346" s="11">
        <f t="shared" si="69"/>
        <v>27.833333333333208</v>
      </c>
      <c r="AG346" s="1">
        <f t="shared" si="70"/>
        <v>0.14989622413284931</v>
      </c>
    </row>
    <row r="347" spans="2:33" ht="15" x14ac:dyDescent="0.25">
      <c r="B347" s="1">
        <v>336</v>
      </c>
      <c r="C347" s="1">
        <v>1.0005500477000506</v>
      </c>
      <c r="D347" s="1">
        <v>1.1605926764343975</v>
      </c>
      <c r="E347" s="1">
        <v>0.86080435024144752</v>
      </c>
      <c r="G347" s="1">
        <v>0.99987706598106452</v>
      </c>
      <c r="H347" s="1">
        <v>3.4572140208188138</v>
      </c>
      <c r="I347" s="1">
        <v>0.24566630506470705</v>
      </c>
      <c r="K347" s="1">
        <v>1.0007781153220827</v>
      </c>
      <c r="L347" s="1">
        <v>4.5127133421880155</v>
      </c>
      <c r="M347" s="1">
        <v>0.18523945484364074</v>
      </c>
      <c r="O347" s="1">
        <v>7.5692935483094616E-3</v>
      </c>
      <c r="P347" s="1">
        <v>0.80901305944532942</v>
      </c>
      <c r="R347" s="1">
        <v>0.19297382295770699</v>
      </c>
      <c r="S347" s="2">
        <f t="shared" si="72"/>
        <v>0.79391498470639932</v>
      </c>
      <c r="T347" s="4">
        <f t="shared" si="73"/>
        <v>0.63030100294136227</v>
      </c>
      <c r="U347" s="1">
        <f t="shared" si="64"/>
        <v>0.34270365165070737</v>
      </c>
      <c r="V347" s="6">
        <f>2*sigma/alpha*corel*(B347/12-1/alpha*(1-EXP(-alpha*Output!B347/12)))</f>
        <v>1.3946243581969986</v>
      </c>
      <c r="W347" s="5">
        <f t="shared" si="74"/>
        <v>-0.28759735129065489</v>
      </c>
      <c r="X347" s="1">
        <f t="shared" si="75"/>
        <v>34.155880445029744</v>
      </c>
      <c r="Y347" s="3">
        <f t="shared" si="65"/>
        <v>7.9458551589029605E-2</v>
      </c>
      <c r="Z347" s="1">
        <f t="shared" si="66"/>
        <v>0.15003582940434146</v>
      </c>
      <c r="AA347" s="8">
        <f t="shared" si="71"/>
        <v>27.91666666666654</v>
      </c>
      <c r="AB347" s="1">
        <v>28</v>
      </c>
      <c r="AC347" s="1">
        <v>7.6364275670000002E-3</v>
      </c>
      <c r="AD347" s="8">
        <f t="shared" si="67"/>
        <v>0.67134018690538644</v>
      </c>
      <c r="AE347" s="3">
        <f t="shared" si="68"/>
        <v>8.7912859909326027E-3</v>
      </c>
      <c r="AF347" s="11">
        <f t="shared" si="69"/>
        <v>27.91666666666654</v>
      </c>
      <c r="AG347" s="1">
        <f t="shared" si="70"/>
        <v>0.15003582940434146</v>
      </c>
    </row>
    <row r="348" spans="2:33" ht="15" x14ac:dyDescent="0.25">
      <c r="B348" s="1">
        <v>337</v>
      </c>
      <c r="C348" s="1">
        <v>1.0005525619737177</v>
      </c>
      <c r="D348" s="1">
        <v>1.1636438405958707</v>
      </c>
      <c r="E348" s="1">
        <v>0.85854560683550418</v>
      </c>
      <c r="G348" s="1">
        <v>0.99991118381876187</v>
      </c>
      <c r="H348" s="1">
        <v>3.5370324330519942</v>
      </c>
      <c r="I348" s="1">
        <v>0.24000631825665422</v>
      </c>
      <c r="K348" s="1">
        <v>1.0006076975354781</v>
      </c>
      <c r="L348" s="1">
        <v>4.6053904489867215</v>
      </c>
      <c r="M348" s="1">
        <v>0.1814150564817445</v>
      </c>
      <c r="O348" s="1">
        <v>7.5684215909543329E-3</v>
      </c>
      <c r="P348" s="1">
        <v>0.80852271401002584</v>
      </c>
      <c r="R348" s="1">
        <v>0.1933521031291057</v>
      </c>
      <c r="S348" s="2">
        <f t="shared" si="72"/>
        <v>0.79594333167012099</v>
      </c>
      <c r="T348" s="4">
        <f t="shared" si="73"/>
        <v>0.6335257872301322</v>
      </c>
      <c r="U348" s="1">
        <f t="shared" si="64"/>
        <v>0.34507152265382679</v>
      </c>
      <c r="V348" s="6">
        <f>2*sigma/alpha*corel*(B348/12-1/alpha*(1-EXP(-alpha*Output!B348/12)))</f>
        <v>1.4016479352940401</v>
      </c>
      <c r="W348" s="5">
        <f t="shared" si="74"/>
        <v>-0.28845426457630541</v>
      </c>
      <c r="X348" s="1">
        <f t="shared" si="75"/>
        <v>34.367645988585693</v>
      </c>
      <c r="Y348" s="3">
        <f t="shared" si="65"/>
        <v>7.9419784784663133E-2</v>
      </c>
      <c r="Z348" s="1">
        <f t="shared" si="66"/>
        <v>0.15019581133018425</v>
      </c>
      <c r="AA348" s="8">
        <f t="shared" si="71"/>
        <v>27.999999999999872</v>
      </c>
      <c r="AB348" s="1">
        <v>28.08</v>
      </c>
      <c r="AC348" s="1">
        <v>7.6357264299999998E-3</v>
      </c>
      <c r="AD348" s="8">
        <f t="shared" si="67"/>
        <v>0.67304839045666953</v>
      </c>
      <c r="AE348" s="3">
        <f t="shared" si="68"/>
        <v>8.8144644340888145E-3</v>
      </c>
      <c r="AF348" s="11">
        <f t="shared" si="69"/>
        <v>27.999999999999872</v>
      </c>
      <c r="AG348" s="1">
        <f t="shared" si="70"/>
        <v>0.15019581133018425</v>
      </c>
    </row>
    <row r="349" spans="2:33" ht="15" x14ac:dyDescent="0.25">
      <c r="B349" s="1">
        <v>338</v>
      </c>
      <c r="C349" s="1">
        <v>1.0005559037783194</v>
      </c>
      <c r="D349" s="1">
        <v>1.163369789475919</v>
      </c>
      <c r="E349" s="1">
        <v>0.85874620082672226</v>
      </c>
      <c r="G349" s="1">
        <v>0.99999815956888738</v>
      </c>
      <c r="H349" s="1">
        <v>3.5306030565280917</v>
      </c>
      <c r="I349" s="1">
        <v>0.24032706456638742</v>
      </c>
      <c r="K349" s="1">
        <v>1.0006812176822977</v>
      </c>
      <c r="L349" s="1">
        <v>4.4919053219838538</v>
      </c>
      <c r="M349" s="1">
        <v>0.18590123779583828</v>
      </c>
      <c r="O349" s="1">
        <v>7.567600576200163E-3</v>
      </c>
      <c r="P349" s="1">
        <v>0.80803162377114224</v>
      </c>
      <c r="R349" s="1">
        <v>0.19368107531065648</v>
      </c>
      <c r="S349" s="2">
        <f t="shared" si="72"/>
        <v>0.79782071620994777</v>
      </c>
      <c r="T349" s="4">
        <f t="shared" si="73"/>
        <v>0.63651789521375401</v>
      </c>
      <c r="U349" s="1">
        <f t="shared" si="64"/>
        <v>0.34744701319770632</v>
      </c>
      <c r="V349" s="6">
        <f>2*sigma/alpha*corel*(B349/12-1/alpha*(1-EXP(-alpha*Output!B349/12)))</f>
        <v>1.4086828038600769</v>
      </c>
      <c r="W349" s="5">
        <f t="shared" si="74"/>
        <v>-0.28907088201604769</v>
      </c>
      <c r="X349" s="1">
        <f t="shared" si="75"/>
        <v>34.55303994903246</v>
      </c>
      <c r="Y349" s="3">
        <f t="shared" si="65"/>
        <v>7.9340247064908637E-2</v>
      </c>
      <c r="Z349" s="1">
        <f t="shared" si="66"/>
        <v>0.15032720468739968</v>
      </c>
      <c r="AA349" s="8">
        <f t="shared" si="71"/>
        <v>28.083333333333204</v>
      </c>
      <c r="AB349" s="1">
        <v>28.17</v>
      </c>
      <c r="AC349" s="1">
        <v>7.6350588309999998E-3</v>
      </c>
      <c r="AD349" s="8">
        <f t="shared" si="67"/>
        <v>0.67458254799836892</v>
      </c>
      <c r="AE349" s="3">
        <f t="shared" si="68"/>
        <v>8.8353287503092574E-3</v>
      </c>
      <c r="AF349" s="11">
        <f t="shared" si="69"/>
        <v>28.083333333333204</v>
      </c>
      <c r="AG349" s="1">
        <f t="shared" si="70"/>
        <v>0.15032720468739968</v>
      </c>
    </row>
    <row r="350" spans="2:33" ht="15" x14ac:dyDescent="0.25">
      <c r="B350" s="1">
        <v>339</v>
      </c>
      <c r="C350" s="1">
        <v>1.0005565966459593</v>
      </c>
      <c r="D350" s="1">
        <v>1.165966288779787</v>
      </c>
      <c r="E350" s="1">
        <v>0.85683220286464645</v>
      </c>
      <c r="G350" s="1">
        <v>0.99989620578353988</v>
      </c>
      <c r="H350" s="1">
        <v>3.5991270153585662</v>
      </c>
      <c r="I350" s="1">
        <v>0.23563742025117387</v>
      </c>
      <c r="K350" s="1">
        <v>1.0004481349410852</v>
      </c>
      <c r="L350" s="1">
        <v>4.5355032854143635</v>
      </c>
      <c r="M350" s="1">
        <v>0.18401272331855101</v>
      </c>
      <c r="O350" s="1">
        <v>7.5669369267605631E-3</v>
      </c>
      <c r="P350" s="1">
        <v>0.80753735234512702</v>
      </c>
      <c r="R350" s="1">
        <v>0.1939625914920024</v>
      </c>
      <c r="S350" s="2">
        <f t="shared" si="72"/>
        <v>0.7995568339410779</v>
      </c>
      <c r="T350" s="4">
        <f t="shared" si="73"/>
        <v>0.63929113070188048</v>
      </c>
      <c r="U350" s="1">
        <f t="shared" si="64"/>
        <v>0.34983011010488019</v>
      </c>
      <c r="V350" s="6">
        <f>2*sigma/alpha*corel*(B350/12-1/alpha*(1-EXP(-alpha*Output!B350/12)))</f>
        <v>1.4157289263195403</v>
      </c>
      <c r="W350" s="5">
        <f t="shared" si="74"/>
        <v>-0.2894610205970003</v>
      </c>
      <c r="X350" s="1">
        <f t="shared" si="75"/>
        <v>34.713383720278912</v>
      </c>
      <c r="Y350" s="3">
        <f t="shared" si="65"/>
        <v>7.9222611753575381E-2</v>
      </c>
      <c r="Z350" s="1">
        <f t="shared" si="66"/>
        <v>0.15043195982941809</v>
      </c>
      <c r="AA350" s="8">
        <f t="shared" si="71"/>
        <v>28.166666666666536</v>
      </c>
      <c r="AB350" s="1">
        <v>28.25</v>
      </c>
      <c r="AC350" s="1">
        <v>7.6344240090000003E-3</v>
      </c>
      <c r="AD350" s="8">
        <f t="shared" si="67"/>
        <v>0.67487082239437235</v>
      </c>
      <c r="AE350" s="3">
        <f t="shared" si="68"/>
        <v>8.8398394115756056E-3</v>
      </c>
      <c r="AF350" s="11">
        <f t="shared" si="69"/>
        <v>28.166666666666536</v>
      </c>
      <c r="AG350" s="1">
        <f t="shared" si="70"/>
        <v>0.15043195982941809</v>
      </c>
    </row>
    <row r="351" spans="2:33" ht="15" x14ac:dyDescent="0.25">
      <c r="B351" s="1">
        <v>340</v>
      </c>
      <c r="C351" s="1">
        <v>1.0005578362262579</v>
      </c>
      <c r="D351" s="1">
        <v>1.16203695562926</v>
      </c>
      <c r="E351" s="1">
        <v>0.85972785274278807</v>
      </c>
      <c r="G351" s="1">
        <v>0.99980882300848228</v>
      </c>
      <c r="H351" s="1">
        <v>3.4904166678694901</v>
      </c>
      <c r="I351" s="1">
        <v>0.24285889636692726</v>
      </c>
      <c r="K351" s="1">
        <v>1.0005003365829106</v>
      </c>
      <c r="L351" s="1">
        <v>4.4209356113059988</v>
      </c>
      <c r="M351" s="1">
        <v>0.18868281445450436</v>
      </c>
      <c r="O351" s="1">
        <v>7.5662897695731824E-3</v>
      </c>
      <c r="P351" s="1">
        <v>0.8070430954140948</v>
      </c>
      <c r="R351" s="1">
        <v>0.19469574429050682</v>
      </c>
      <c r="S351" s="2">
        <f t="shared" si="72"/>
        <v>0.80270991797288271</v>
      </c>
      <c r="T351" s="4">
        <f t="shared" si="73"/>
        <v>0.64434321241203207</v>
      </c>
      <c r="U351" s="1">
        <f t="shared" si="64"/>
        <v>0.35222080016081447</v>
      </c>
      <c r="V351" s="6">
        <f>2*sigma/alpha*corel*(B351/12-1/alpha*(1-EXP(-alpha*Output!B351/12)))</f>
        <v>1.4227862652219034</v>
      </c>
      <c r="W351" s="5">
        <f t="shared" si="74"/>
        <v>-0.2921224122512176</v>
      </c>
      <c r="X351" s="1">
        <f t="shared" si="75"/>
        <v>35.131527478308755</v>
      </c>
      <c r="Y351" s="3">
        <f t="shared" si="65"/>
        <v>7.9489397556505428E-2</v>
      </c>
      <c r="Z351" s="1">
        <f t="shared" si="66"/>
        <v>0.1508029347988761</v>
      </c>
      <c r="AA351" s="8">
        <f t="shared" si="71"/>
        <v>28.249999999999869</v>
      </c>
      <c r="AB351" s="1">
        <v>28.33</v>
      </c>
      <c r="AC351" s="1">
        <v>7.6338184660000004E-3</v>
      </c>
      <c r="AD351" s="8">
        <f t="shared" si="67"/>
        <v>0.6752869642681798</v>
      </c>
      <c r="AE351" s="3">
        <f t="shared" si="68"/>
        <v>8.845991914476577E-3</v>
      </c>
      <c r="AF351" s="11">
        <f t="shared" si="69"/>
        <v>28.249999999999869</v>
      </c>
      <c r="AG351" s="1">
        <f t="shared" si="70"/>
        <v>0.1508029347988761</v>
      </c>
    </row>
    <row r="352" spans="2:33" ht="15" x14ac:dyDescent="0.25">
      <c r="B352" s="1">
        <v>341</v>
      </c>
      <c r="C352" s="1">
        <v>1.0005609972935794</v>
      </c>
      <c r="D352" s="1">
        <v>1.1617280197358002</v>
      </c>
      <c r="E352" s="1">
        <v>0.85995481667770746</v>
      </c>
      <c r="G352" s="1">
        <v>0.99989964045634516</v>
      </c>
      <c r="H352" s="1">
        <v>3.4813412542513174</v>
      </c>
      <c r="I352" s="1">
        <v>0.24337420877683433</v>
      </c>
      <c r="K352" s="1">
        <v>1.0005294735783654</v>
      </c>
      <c r="L352" s="1">
        <v>4.2833879581707501</v>
      </c>
      <c r="M352" s="1">
        <v>0.1946358355776534</v>
      </c>
      <c r="O352" s="1">
        <v>7.5656344548991937E-3</v>
      </c>
      <c r="P352" s="1">
        <v>0.80654941495434651</v>
      </c>
      <c r="R352" s="1">
        <v>0.19493904291707742</v>
      </c>
      <c r="S352" s="2">
        <f t="shared" si="72"/>
        <v>0.8043294289105829</v>
      </c>
      <c r="T352" s="4">
        <f t="shared" si="73"/>
        <v>0.64694583021162444</v>
      </c>
      <c r="U352" s="1">
        <f t="shared" si="64"/>
        <v>0.35461907011456528</v>
      </c>
      <c r="V352" s="6">
        <f>2*sigma/alpha*corel*(B352/12-1/alpha*(1-EXP(-alpha*Output!B352/12)))</f>
        <v>1.4298547832412689</v>
      </c>
      <c r="W352" s="5">
        <f t="shared" si="74"/>
        <v>-0.29232676009705916</v>
      </c>
      <c r="X352" s="1">
        <f t="shared" si="75"/>
        <v>35.272293098856991</v>
      </c>
      <c r="Y352" s="3">
        <f t="shared" si="65"/>
        <v>7.9340646002487747E-2</v>
      </c>
      <c r="Z352" s="1">
        <f t="shared" si="66"/>
        <v>0.15088546045771001</v>
      </c>
      <c r="AA352" s="8">
        <f t="shared" si="71"/>
        <v>28.333333333333201</v>
      </c>
      <c r="AB352" s="1">
        <v>28.42</v>
      </c>
      <c r="AC352" s="1">
        <v>7.6332387049999999E-3</v>
      </c>
      <c r="AD352" s="8">
        <f t="shared" si="67"/>
        <v>0.6760425010080614</v>
      </c>
      <c r="AE352" s="3">
        <f t="shared" si="68"/>
        <v>8.8565617706312955E-3</v>
      </c>
      <c r="AF352" s="11">
        <f t="shared" si="69"/>
        <v>28.333333333333201</v>
      </c>
      <c r="AG352" s="1">
        <f t="shared" si="70"/>
        <v>0.15088546045771001</v>
      </c>
    </row>
    <row r="353" spans="2:33" ht="15" x14ac:dyDescent="0.25">
      <c r="B353" s="1">
        <v>342</v>
      </c>
      <c r="C353" s="1">
        <v>1.0005660660816174</v>
      </c>
      <c r="D353" s="1">
        <v>1.1644136109096517</v>
      </c>
      <c r="E353" s="1">
        <v>0.85796976539423397</v>
      </c>
      <c r="G353" s="1">
        <v>1.000123368836717</v>
      </c>
      <c r="H353" s="1">
        <v>3.5496599292888176</v>
      </c>
      <c r="I353" s="1">
        <v>0.23857463029392123</v>
      </c>
      <c r="K353" s="1">
        <v>1.0007492925198975</v>
      </c>
      <c r="L353" s="1">
        <v>4.2392754429969255</v>
      </c>
      <c r="M353" s="1">
        <v>0.19655549790042573</v>
      </c>
      <c r="O353" s="1">
        <v>7.5650803139803184E-3</v>
      </c>
      <c r="P353" s="1">
        <v>0.80605380030231677</v>
      </c>
      <c r="R353" s="1">
        <v>0.19538665122079651</v>
      </c>
      <c r="S353" s="2">
        <f t="shared" si="72"/>
        <v>0.80659501492419361</v>
      </c>
      <c r="T353" s="4">
        <f t="shared" si="73"/>
        <v>0.65059551810056016</v>
      </c>
      <c r="U353" s="1">
        <f t="shared" si="64"/>
        <v>0.35702490667943643</v>
      </c>
      <c r="V353" s="6">
        <f>2*sigma/alpha*corel*(B353/12-1/alpha*(1-EXP(-alpha*Output!B353/12)))</f>
        <v>1.4369344431759496</v>
      </c>
      <c r="W353" s="5">
        <f t="shared" si="74"/>
        <v>-0.29357061142112373</v>
      </c>
      <c r="X353" s="1">
        <f t="shared" si="75"/>
        <v>35.53183029599348</v>
      </c>
      <c r="Y353" s="3">
        <f t="shared" si="65"/>
        <v>7.9367083181525189E-2</v>
      </c>
      <c r="Z353" s="1">
        <f t="shared" si="66"/>
        <v>0.15108908933410489</v>
      </c>
      <c r="AA353" s="8">
        <f t="shared" si="71"/>
        <v>28.416666666666533</v>
      </c>
      <c r="AB353" s="1">
        <v>28.5</v>
      </c>
      <c r="AC353" s="1">
        <v>7.6326812250000001E-3</v>
      </c>
      <c r="AD353" s="8">
        <f t="shared" si="67"/>
        <v>0.67600911019681698</v>
      </c>
      <c r="AE353" s="3">
        <f t="shared" si="68"/>
        <v>8.8567711695154271E-3</v>
      </c>
      <c r="AF353" s="11">
        <f t="shared" si="69"/>
        <v>28.416666666666533</v>
      </c>
      <c r="AG353" s="1">
        <f t="shared" si="70"/>
        <v>0.15108908933410489</v>
      </c>
    </row>
    <row r="354" spans="2:33" ht="15" x14ac:dyDescent="0.25">
      <c r="B354" s="1">
        <v>343</v>
      </c>
      <c r="C354" s="1">
        <v>1.0005662716744199</v>
      </c>
      <c r="D354" s="1">
        <v>1.1661349939972263</v>
      </c>
      <c r="E354" s="1">
        <v>0.85670161752397755</v>
      </c>
      <c r="G354" s="1">
        <v>0.99994868561771966</v>
      </c>
      <c r="H354" s="1">
        <v>3.594226946253499</v>
      </c>
      <c r="I354" s="1">
        <v>0.23550241779535602</v>
      </c>
      <c r="K354" s="1">
        <v>1.000667460349135</v>
      </c>
      <c r="L354" s="1">
        <v>4.3724737336722468</v>
      </c>
      <c r="M354" s="1">
        <v>0.19047276068296343</v>
      </c>
      <c r="O354" s="1">
        <v>7.5645540810445489E-3</v>
      </c>
      <c r="P354" s="1">
        <v>0.80555792200181664</v>
      </c>
      <c r="R354" s="1">
        <v>0.1957751794252548</v>
      </c>
      <c r="S354" s="2">
        <f t="shared" si="72"/>
        <v>0.80867791769075037</v>
      </c>
      <c r="T354" s="4">
        <f t="shared" si="73"/>
        <v>0.65395997456064803</v>
      </c>
      <c r="U354" s="1">
        <f t="shared" si="64"/>
        <v>0.35943829653362602</v>
      </c>
      <c r="V354" s="6">
        <f>2*sigma/alpha*corel*(B354/12-1/alpha*(1-EXP(-alpha*Output!B354/12)))</f>
        <v>1.4440252079480587</v>
      </c>
      <c r="W354" s="5">
        <f t="shared" si="74"/>
        <v>-0.294521678027022</v>
      </c>
      <c r="X354" s="1">
        <f t="shared" si="75"/>
        <v>35.758853988945617</v>
      </c>
      <c r="Y354" s="3">
        <f t="shared" si="65"/>
        <v>7.9344236597955767E-2</v>
      </c>
      <c r="Z354" s="1">
        <f t="shared" si="66"/>
        <v>0.15125827635335234</v>
      </c>
      <c r="AA354" s="8">
        <f t="shared" si="71"/>
        <v>28.499999999999865</v>
      </c>
      <c r="AB354" s="1">
        <v>28.58</v>
      </c>
      <c r="AC354" s="1">
        <v>7.6321425300000002E-3</v>
      </c>
      <c r="AD354" s="8">
        <f t="shared" si="67"/>
        <v>0.67588448955451308</v>
      </c>
      <c r="AE354" s="3">
        <f t="shared" si="68"/>
        <v>8.8557634621966776E-3</v>
      </c>
      <c r="AF354" s="11">
        <f t="shared" si="69"/>
        <v>28.499999999999865</v>
      </c>
      <c r="AG354" s="1">
        <f t="shared" si="70"/>
        <v>0.15125827635335234</v>
      </c>
    </row>
    <row r="355" spans="2:33" ht="15" x14ac:dyDescent="0.25">
      <c r="B355" s="1">
        <v>344</v>
      </c>
      <c r="C355" s="1">
        <v>1.0005679158758902</v>
      </c>
      <c r="D355" s="1">
        <v>1.1702756387350346</v>
      </c>
      <c r="E355" s="1">
        <v>0.85366879582012378</v>
      </c>
      <c r="G355" s="1">
        <v>0.99991640374032797</v>
      </c>
      <c r="H355" s="1">
        <v>3.7090346097809546</v>
      </c>
      <c r="I355" s="1">
        <v>0.22810239159115003</v>
      </c>
      <c r="K355" s="1">
        <v>1.0007119728628318</v>
      </c>
      <c r="L355" s="1">
        <v>4.3880322322124679</v>
      </c>
      <c r="M355" s="1">
        <v>0.1896942648029456</v>
      </c>
      <c r="O355" s="1">
        <v>7.5639348793433408E-3</v>
      </c>
      <c r="P355" s="1">
        <v>0.80506456494877132</v>
      </c>
      <c r="R355" s="1">
        <v>0.19625297564136743</v>
      </c>
      <c r="S355" s="2">
        <f t="shared" si="72"/>
        <v>0.81103918409058084</v>
      </c>
      <c r="T355" s="4">
        <f t="shared" si="73"/>
        <v>0.65778455813031511</v>
      </c>
      <c r="U355" s="1">
        <f t="shared" si="64"/>
        <v>0.3618592263208753</v>
      </c>
      <c r="V355" s="6">
        <f>2*sigma/alpha*corel*(B355/12-1/alpha*(1-EXP(-alpha*Output!B355/12)))</f>
        <v>1.4511270406030974</v>
      </c>
      <c r="W355" s="5">
        <f t="shared" si="74"/>
        <v>-0.29592533180943981</v>
      </c>
      <c r="X355" s="1">
        <f t="shared" si="75"/>
        <v>36.038541068785271</v>
      </c>
      <c r="Y355" s="3">
        <f t="shared" si="65"/>
        <v>7.9396811441411724E-2</v>
      </c>
      <c r="Z355" s="1">
        <f t="shared" si="66"/>
        <v>0.15147928227330049</v>
      </c>
      <c r="AA355" s="8">
        <f t="shared" si="71"/>
        <v>28.583333333333197</v>
      </c>
      <c r="AB355" s="1">
        <v>28.67</v>
      </c>
      <c r="AC355" s="1">
        <v>7.631619119E-3</v>
      </c>
      <c r="AD355" s="8">
        <f t="shared" si="67"/>
        <v>0.67684239656659251</v>
      </c>
      <c r="AE355" s="3">
        <f t="shared" si="68"/>
        <v>8.8689226494741754E-3</v>
      </c>
      <c r="AF355" s="11">
        <f t="shared" si="69"/>
        <v>28.583333333333197</v>
      </c>
      <c r="AG355" s="1">
        <f t="shared" si="70"/>
        <v>0.15147928227330049</v>
      </c>
    </row>
    <row r="356" spans="2:33" ht="15" x14ac:dyDescent="0.25">
      <c r="B356" s="1">
        <v>345</v>
      </c>
      <c r="C356" s="1">
        <v>1.0005703380978326</v>
      </c>
      <c r="D356" s="1">
        <v>1.1713707791126959</v>
      </c>
      <c r="E356" s="1">
        <v>0.85286902273614396</v>
      </c>
      <c r="G356" s="1">
        <v>0.999966364494974</v>
      </c>
      <c r="H356" s="1">
        <v>3.7395549257417686</v>
      </c>
      <c r="I356" s="1">
        <v>0.22613129345158461</v>
      </c>
      <c r="K356" s="1">
        <v>1.0009323602754623</v>
      </c>
      <c r="L356" s="1">
        <v>4.4467596237268419</v>
      </c>
      <c r="M356" s="1">
        <v>0.18708842393672992</v>
      </c>
      <c r="O356" s="1">
        <v>7.5633371314699476E-3</v>
      </c>
      <c r="P356" s="1">
        <v>0.80457109682240779</v>
      </c>
      <c r="R356" s="1">
        <v>0.19672885624341727</v>
      </c>
      <c r="S356" s="2">
        <f t="shared" si="72"/>
        <v>0.81339719738736327</v>
      </c>
      <c r="T356" s="4">
        <f t="shared" si="73"/>
        <v>0.66161500071761725</v>
      </c>
      <c r="U356" s="1">
        <f t="shared" si="64"/>
        <v>0.36428768265110056</v>
      </c>
      <c r="V356" s="6">
        <f>2*sigma/alpha*corel*(B356/12-1/alpha*(1-EXP(-alpha*Output!B356/12)))</f>
        <v>1.4582399043095413</v>
      </c>
      <c r="W356" s="5">
        <f t="shared" si="74"/>
        <v>-0.29732731806651669</v>
      </c>
      <c r="X356" s="1">
        <f t="shared" si="75"/>
        <v>36.319105196170121</v>
      </c>
      <c r="Y356" s="3">
        <f t="shared" si="65"/>
        <v>7.94485830746227E-2</v>
      </c>
      <c r="Z356" s="1">
        <f t="shared" si="66"/>
        <v>0.15169935951458238</v>
      </c>
      <c r="AA356" s="8">
        <f t="shared" si="71"/>
        <v>28.666666666666529</v>
      </c>
      <c r="AB356" s="1">
        <v>28.75</v>
      </c>
      <c r="AC356" s="1">
        <v>7.6311074839999996E-3</v>
      </c>
      <c r="AD356" s="8">
        <f t="shared" si="67"/>
        <v>0.67770352530052014</v>
      </c>
      <c r="AE356" s="3">
        <f t="shared" si="68"/>
        <v>8.8808017279464156E-3</v>
      </c>
      <c r="AF356" s="11">
        <f t="shared" si="69"/>
        <v>28.666666666666529</v>
      </c>
      <c r="AG356" s="1">
        <f t="shared" si="70"/>
        <v>0.15169935951458238</v>
      </c>
    </row>
    <row r="357" spans="2:33" ht="15" x14ac:dyDescent="0.25">
      <c r="B357" s="1">
        <v>346</v>
      </c>
      <c r="C357" s="1">
        <v>1.0005731020214346</v>
      </c>
      <c r="D357" s="1">
        <v>1.1701062463831373</v>
      </c>
      <c r="E357" s="1">
        <v>0.85378905345523726</v>
      </c>
      <c r="G357" s="1">
        <v>1.0000275417073514</v>
      </c>
      <c r="H357" s="1">
        <v>3.7006824498886117</v>
      </c>
      <c r="I357" s="1">
        <v>0.2283960672418156</v>
      </c>
      <c r="K357" s="1">
        <v>1.0008707763563374</v>
      </c>
      <c r="L357" s="1">
        <v>4.4207660995286284</v>
      </c>
      <c r="M357" s="1">
        <v>0.18808533325976443</v>
      </c>
      <c r="O357" s="1">
        <v>7.5626883684099871E-3</v>
      </c>
      <c r="P357" s="1">
        <v>0.8040791940253198</v>
      </c>
      <c r="R357" s="1">
        <v>0.19713718949028947</v>
      </c>
      <c r="S357" s="2">
        <f t="shared" si="72"/>
        <v>0.81554238979188232</v>
      </c>
      <c r="T357" s="4">
        <f t="shared" si="73"/>
        <v>0.66510938954745447</v>
      </c>
      <c r="U357" s="1">
        <f t="shared" si="64"/>
        <v>0.36672365210103175</v>
      </c>
      <c r="V357" s="6">
        <f>2*sigma/alpha*corel*(B357/12-1/alpha*(1-EXP(-alpha*Output!B357/12)))</f>
        <v>1.4653637623584355</v>
      </c>
      <c r="W357" s="5">
        <f t="shared" si="74"/>
        <v>-0.29838573744642272</v>
      </c>
      <c r="X357" s="1">
        <f t="shared" si="75"/>
        <v>36.561112674854016</v>
      </c>
      <c r="Y357" s="3">
        <f t="shared" si="65"/>
        <v>7.9443031735949104E-2</v>
      </c>
      <c r="Z357" s="1">
        <f t="shared" si="66"/>
        <v>0.15187948403970186</v>
      </c>
      <c r="AA357" s="8">
        <f t="shared" si="71"/>
        <v>28.749999999999861</v>
      </c>
      <c r="AB357" s="1">
        <v>28.83</v>
      </c>
      <c r="AC357" s="1">
        <v>7.6306041139999996E-3</v>
      </c>
      <c r="AD357" s="8">
        <f t="shared" si="67"/>
        <v>0.67915745590012466</v>
      </c>
      <c r="AE357" s="3">
        <f t="shared" si="68"/>
        <v>8.9004415083474564E-3</v>
      </c>
      <c r="AF357" s="11">
        <f t="shared" si="69"/>
        <v>28.749999999999861</v>
      </c>
      <c r="AG357" s="1">
        <f t="shared" si="70"/>
        <v>0.15187948403970186</v>
      </c>
    </row>
    <row r="358" spans="2:33" ht="15" x14ac:dyDescent="0.25">
      <c r="B358" s="1">
        <v>347</v>
      </c>
      <c r="C358" s="1">
        <v>1.0005746997012761</v>
      </c>
      <c r="D358" s="1">
        <v>1.1733404643383261</v>
      </c>
      <c r="E358" s="1">
        <v>0.85143399068286696</v>
      </c>
      <c r="G358" s="1">
        <v>0.99998731629040016</v>
      </c>
      <c r="H358" s="1">
        <v>3.7899721289707475</v>
      </c>
      <c r="I358" s="1">
        <v>0.22290729647649224</v>
      </c>
      <c r="K358" s="1">
        <v>1.0009846868161885</v>
      </c>
      <c r="L358" s="1">
        <v>4.3964502978305324</v>
      </c>
      <c r="M358" s="1">
        <v>0.18902497225567513</v>
      </c>
      <c r="O358" s="1">
        <v>7.5619765359624643E-3</v>
      </c>
      <c r="P358" s="1">
        <v>0.80358914440949947</v>
      </c>
      <c r="R358" s="1">
        <v>0.19765462479993304</v>
      </c>
      <c r="S358" s="2">
        <f t="shared" si="72"/>
        <v>0.81803033391759161</v>
      </c>
      <c r="T358" s="4">
        <f t="shared" si="73"/>
        <v>0.66917362720932638</v>
      </c>
      <c r="U358" s="1">
        <f t="shared" si="64"/>
        <v>0.36916712121483419</v>
      </c>
      <c r="V358" s="6">
        <f>2*sigma/alpha*corel*(B358/12-1/alpha*(1-EXP(-alpha*Output!B358/12)))</f>
        <v>1.4724985781629831</v>
      </c>
      <c r="W358" s="5">
        <f t="shared" si="74"/>
        <v>-0.30000650599449219</v>
      </c>
      <c r="X358" s="1">
        <f t="shared" si="75"/>
        <v>36.869004589388268</v>
      </c>
      <c r="Y358" s="3">
        <f t="shared" si="65"/>
        <v>7.9530028499445765E-2</v>
      </c>
      <c r="Z358" s="1">
        <f t="shared" si="66"/>
        <v>0.15212314447528605</v>
      </c>
      <c r="AA358" s="8">
        <f t="shared" si="71"/>
        <v>28.833333333333194</v>
      </c>
      <c r="AB358" s="1">
        <v>28.92</v>
      </c>
      <c r="AC358" s="1">
        <v>7.630105501E-3</v>
      </c>
      <c r="AD358" s="8">
        <f t="shared" si="67"/>
        <v>0.6812896503753576</v>
      </c>
      <c r="AE358" s="3">
        <f t="shared" si="68"/>
        <v>8.9289676307367956E-3</v>
      </c>
      <c r="AF358" s="11">
        <f t="shared" si="69"/>
        <v>28.833333333333194</v>
      </c>
      <c r="AG358" s="1">
        <f t="shared" si="70"/>
        <v>0.15212314447528605</v>
      </c>
    </row>
    <row r="359" spans="2:33" ht="15" x14ac:dyDescent="0.25">
      <c r="B359" s="1">
        <v>348</v>
      </c>
      <c r="C359" s="1">
        <v>1.0005800722255356</v>
      </c>
      <c r="D359" s="1">
        <v>1.1752337008816038</v>
      </c>
      <c r="E359" s="1">
        <v>0.85006071493552149</v>
      </c>
      <c r="G359" s="1">
        <v>1.0002414909435922</v>
      </c>
      <c r="H359" s="1">
        <v>3.843683250209073</v>
      </c>
      <c r="I359" s="1">
        <v>0.21968609461403002</v>
      </c>
      <c r="K359" s="1">
        <v>1.0009378540278655</v>
      </c>
      <c r="L359" s="1">
        <v>4.3238151556312756</v>
      </c>
      <c r="M359" s="1">
        <v>0.19210154854022854</v>
      </c>
      <c r="O359" s="1">
        <v>7.5613019179007254E-3</v>
      </c>
      <c r="P359" s="1">
        <v>0.80309862201698445</v>
      </c>
      <c r="R359" s="1">
        <v>0.19812219156830968</v>
      </c>
      <c r="S359" s="2">
        <f t="shared" si="72"/>
        <v>0.82036464146512289</v>
      </c>
      <c r="T359" s="4">
        <f t="shared" si="73"/>
        <v>0.67299814496619959</v>
      </c>
      <c r="U359" s="1">
        <f t="shared" si="64"/>
        <v>0.37161807650473433</v>
      </c>
      <c r="V359" s="6">
        <f>2*sigma/alpha*corel*(B359/12-1/alpha*(1-EXP(-alpha*Output!B359/12)))</f>
        <v>1.4796443152581413</v>
      </c>
      <c r="W359" s="5">
        <f t="shared" si="74"/>
        <v>-0.30138006846146526</v>
      </c>
      <c r="X359" s="1">
        <f t="shared" si="75"/>
        <v>37.149435241205701</v>
      </c>
      <c r="Y359" s="3">
        <f t="shared" si="65"/>
        <v>7.9575678251076878E-2</v>
      </c>
      <c r="Z359" s="1">
        <f t="shared" si="66"/>
        <v>0.1523378895253619</v>
      </c>
      <c r="AA359" s="8">
        <f t="shared" si="71"/>
        <v>28.916666666666526</v>
      </c>
      <c r="AB359" s="1">
        <v>29</v>
      </c>
      <c r="AC359" s="1">
        <v>7.6296081330000003E-3</v>
      </c>
      <c r="AD359" s="8">
        <f t="shared" si="67"/>
        <v>0.68306215099274947</v>
      </c>
      <c r="AE359" s="3">
        <f t="shared" si="68"/>
        <v>8.9527815725991416E-3</v>
      </c>
      <c r="AF359" s="11">
        <f t="shared" si="69"/>
        <v>28.916666666666526</v>
      </c>
      <c r="AG359" s="1">
        <f t="shared" si="70"/>
        <v>0.1523378895253619</v>
      </c>
    </row>
    <row r="360" spans="2:33" ht="15" x14ac:dyDescent="0.25">
      <c r="B360" s="1">
        <v>349</v>
      </c>
      <c r="C360" s="1">
        <v>1.0005858411926623</v>
      </c>
      <c r="D360" s="1">
        <v>1.1757879614697229</v>
      </c>
      <c r="E360" s="1">
        <v>0.84965833542168856</v>
      </c>
      <c r="G360" s="1">
        <v>1.0005338993592718</v>
      </c>
      <c r="H360" s="1">
        <v>3.8578235902450033</v>
      </c>
      <c r="I360" s="1">
        <v>0.21877498050638683</v>
      </c>
      <c r="K360" s="1">
        <v>1.0009804261546831</v>
      </c>
      <c r="L360" s="1">
        <v>4.4125979521497527</v>
      </c>
      <c r="M360" s="1">
        <v>0.18813418151169392</v>
      </c>
      <c r="O360" s="1">
        <v>7.5605213428719736E-3</v>
      </c>
      <c r="P360" s="1">
        <v>0.80261096259628095</v>
      </c>
      <c r="R360" s="1">
        <v>0.19873002272984067</v>
      </c>
      <c r="S360" s="2">
        <f t="shared" si="72"/>
        <v>0.82313910056953743</v>
      </c>
      <c r="T360" s="4">
        <f t="shared" si="73"/>
        <v>0.6775579788864271</v>
      </c>
      <c r="U360" s="1">
        <f t="shared" si="64"/>
        <v>0.37407650445163254</v>
      </c>
      <c r="V360" s="6">
        <f>2*sigma/alpha*corel*(B360/12-1/alpha*(1-EXP(-alpha*Output!B360/12)))</f>
        <v>1.4868009373002145</v>
      </c>
      <c r="W360" s="5">
        <f t="shared" si="74"/>
        <v>-0.30348147443479456</v>
      </c>
      <c r="X360" s="1">
        <f t="shared" si="75"/>
        <v>37.515588553071225</v>
      </c>
      <c r="Y360" s="3">
        <f t="shared" si="65"/>
        <v>7.9739760815580013E-2</v>
      </c>
      <c r="Z360" s="1">
        <f t="shared" si="66"/>
        <v>0.15263394931403998</v>
      </c>
      <c r="AA360" s="8">
        <f t="shared" si="71"/>
        <v>28.999999999999858</v>
      </c>
      <c r="AB360" s="1">
        <v>29.08</v>
      </c>
      <c r="AC360" s="1">
        <v>7.6291085010000001E-3</v>
      </c>
      <c r="AD360" s="8">
        <f t="shared" si="67"/>
        <v>0.6858715812802646</v>
      </c>
      <c r="AE360" s="3">
        <f t="shared" si="68"/>
        <v>8.99019303750055E-3</v>
      </c>
      <c r="AF360" s="11">
        <f t="shared" si="69"/>
        <v>28.999999999999858</v>
      </c>
      <c r="AG360" s="1">
        <f t="shared" si="70"/>
        <v>0.15263394931403998</v>
      </c>
    </row>
    <row r="361" spans="2:33" ht="15" x14ac:dyDescent="0.25">
      <c r="B361" s="1">
        <v>350</v>
      </c>
      <c r="C361" s="1">
        <v>1.0005893524867611</v>
      </c>
      <c r="D361" s="1">
        <v>1.1753539427128936</v>
      </c>
      <c r="E361" s="1">
        <v>0.84997041748382529</v>
      </c>
      <c r="G361" s="1">
        <v>1.000652593277829</v>
      </c>
      <c r="H361" s="1">
        <v>3.8978039019512951</v>
      </c>
      <c r="I361" s="1">
        <v>0.21642622836727274</v>
      </c>
      <c r="K361" s="1">
        <v>1.0009341007054509</v>
      </c>
      <c r="L361" s="1">
        <v>4.5523696943794372</v>
      </c>
      <c r="M361" s="1">
        <v>0.1822603213542438</v>
      </c>
      <c r="O361" s="1">
        <v>7.55977976044686E-3</v>
      </c>
      <c r="P361" s="1">
        <v>0.80212279140406417</v>
      </c>
      <c r="R361" s="1">
        <v>0.1990234718090157</v>
      </c>
      <c r="S361" s="2">
        <f t="shared" si="72"/>
        <v>0.82492480254530554</v>
      </c>
      <c r="T361" s="4">
        <f t="shared" si="73"/>
        <v>0.68050092985441135</v>
      </c>
      <c r="U361" s="1">
        <f t="shared" si="64"/>
        <v>0.37654239150571822</v>
      </c>
      <c r="V361" s="6">
        <f>2*sigma/alpha*corel*(B361/12-1/alpha*(1-EXP(-alpha*Output!B361/12)))</f>
        <v>1.493968408066451</v>
      </c>
      <c r="W361" s="5">
        <f t="shared" si="74"/>
        <v>-0.30395853834869313</v>
      </c>
      <c r="X361" s="1">
        <f t="shared" si="75"/>
        <v>37.693771078314811</v>
      </c>
      <c r="Y361" s="3">
        <f t="shared" si="65"/>
        <v>7.963811838333891E-2</v>
      </c>
      <c r="Z361" s="1">
        <f t="shared" si="66"/>
        <v>0.15274639259946943</v>
      </c>
      <c r="AA361" s="8">
        <f t="shared" si="71"/>
        <v>29.08333333333319</v>
      </c>
      <c r="AB361" s="1">
        <v>29.17</v>
      </c>
      <c r="AC361" s="1">
        <v>7.628603831E-3</v>
      </c>
      <c r="AD361" s="8">
        <f t="shared" si="67"/>
        <v>0.68824070553140038</v>
      </c>
      <c r="AE361" s="3">
        <f t="shared" si="68"/>
        <v>9.0218435873498752E-3</v>
      </c>
      <c r="AF361" s="11">
        <f t="shared" si="69"/>
        <v>29.08333333333319</v>
      </c>
      <c r="AG361" s="1">
        <f t="shared" si="70"/>
        <v>0.15274639259946943</v>
      </c>
    </row>
    <row r="362" spans="2:33" ht="15" x14ac:dyDescent="0.25">
      <c r="B362" s="1">
        <v>351</v>
      </c>
      <c r="C362" s="1">
        <v>1.0005903331971024</v>
      </c>
      <c r="D362" s="1">
        <v>1.1772712916323986</v>
      </c>
      <c r="E362" s="1">
        <v>0.84858445409137417</v>
      </c>
      <c r="G362" s="1">
        <v>1.0005468522625147</v>
      </c>
      <c r="H362" s="1">
        <v>3.9043004857096411</v>
      </c>
      <c r="I362" s="1">
        <v>0.21596158234362031</v>
      </c>
      <c r="K362" s="1">
        <v>1.0008875089189346</v>
      </c>
      <c r="L362" s="1">
        <v>4.529210562077437</v>
      </c>
      <c r="M362" s="1">
        <v>0.18309707459811861</v>
      </c>
      <c r="O362" s="1">
        <v>7.5590779802528719E-3</v>
      </c>
      <c r="P362" s="1">
        <v>0.80163408293623817</v>
      </c>
      <c r="R362" s="1">
        <v>0.19929672597587891</v>
      </c>
      <c r="S362" s="2">
        <f t="shared" si="72"/>
        <v>0.82664935366826153</v>
      </c>
      <c r="T362" s="4">
        <f t="shared" si="73"/>
        <v>0.6833491539201545</v>
      </c>
      <c r="U362" s="1">
        <f t="shared" si="64"/>
        <v>0.37901572408706796</v>
      </c>
      <c r="V362" s="6">
        <f>2*sigma/alpha*corel*(B362/12-1/alpha*(1-EXP(-alpha*Output!B362/12)))</f>
        <v>1.5011466914546405</v>
      </c>
      <c r="W362" s="5">
        <f t="shared" si="74"/>
        <v>-0.30433342983308653</v>
      </c>
      <c r="X362" s="1">
        <f t="shared" si="75"/>
        <v>37.860452679736341</v>
      </c>
      <c r="Y362" s="3">
        <f t="shared" si="65"/>
        <v>7.9520309719673665E-2</v>
      </c>
      <c r="Z362" s="1">
        <f t="shared" si="66"/>
        <v>0.15284751956308115</v>
      </c>
      <c r="AA362" s="8">
        <f t="shared" si="71"/>
        <v>29.166666666666522</v>
      </c>
      <c r="AB362" s="1">
        <v>29.25</v>
      </c>
      <c r="AC362" s="1">
        <v>7.6280942930000003E-3</v>
      </c>
      <c r="AD362" s="8">
        <f t="shared" si="67"/>
        <v>0.69016312747128405</v>
      </c>
      <c r="AE362" s="3">
        <f t="shared" si="68"/>
        <v>9.0476480882599915E-3</v>
      </c>
      <c r="AF362" s="11">
        <f t="shared" si="69"/>
        <v>29.166666666666522</v>
      </c>
      <c r="AG362" s="1">
        <f t="shared" si="70"/>
        <v>0.15284751956308115</v>
      </c>
    </row>
    <row r="363" spans="2:33" ht="15" x14ac:dyDescent="0.25">
      <c r="B363" s="1">
        <v>352</v>
      </c>
      <c r="C363" s="1">
        <v>1.0005936220542511</v>
      </c>
      <c r="D363" s="1">
        <v>1.1795682247455024</v>
      </c>
      <c r="E363" s="1">
        <v>0.8469303656135253</v>
      </c>
      <c r="G363" s="1">
        <v>1.0006515800817988</v>
      </c>
      <c r="H363" s="1">
        <v>3.9695575492022579</v>
      </c>
      <c r="I363" s="1">
        <v>0.21230855360061146</v>
      </c>
      <c r="K363" s="1">
        <v>1.0008389334328289</v>
      </c>
      <c r="L363" s="1">
        <v>4.6306976150106793</v>
      </c>
      <c r="M363" s="1">
        <v>0.17898490141961049</v>
      </c>
      <c r="O363" s="1">
        <v>7.5584062836673068E-3</v>
      </c>
      <c r="P363" s="1">
        <v>0.80114505895519761</v>
      </c>
      <c r="R363" s="1">
        <v>0.19984994473855175</v>
      </c>
      <c r="S363" s="2">
        <f t="shared" si="72"/>
        <v>0.82926156224492509</v>
      </c>
      <c r="T363" s="4">
        <f t="shared" si="73"/>
        <v>0.68767473861689377</v>
      </c>
      <c r="U363" s="1">
        <f t="shared" si="64"/>
        <v>0.38149648858625262</v>
      </c>
      <c r="V363" s="6">
        <f>2*sigma/alpha*corel*(B363/12-1/alpha*(1-EXP(-alpha*Output!B363/12)))</f>
        <v>1.5083357514827136</v>
      </c>
      <c r="W363" s="5">
        <f t="shared" si="74"/>
        <v>-0.30617825003064114</v>
      </c>
      <c r="X363" s="1">
        <f t="shared" si="75"/>
        <v>38.199991409462811</v>
      </c>
      <c r="Y363" s="3">
        <f t="shared" si="65"/>
        <v>7.9641109256319648E-2</v>
      </c>
      <c r="Z363" s="1">
        <f t="shared" si="66"/>
        <v>0.15311256316286787</v>
      </c>
      <c r="AA363" s="8">
        <f t="shared" si="71"/>
        <v>29.249999999999854</v>
      </c>
      <c r="AB363" s="1">
        <v>29.33</v>
      </c>
      <c r="AC363" s="1">
        <v>7.6275807940000004E-3</v>
      </c>
      <c r="AD363" s="8">
        <f t="shared" si="67"/>
        <v>0.69174510332693606</v>
      </c>
      <c r="AE363" s="3">
        <f t="shared" si="68"/>
        <v>9.0689973926080976E-3</v>
      </c>
      <c r="AF363" s="11">
        <f t="shared" si="69"/>
        <v>29.249999999999854</v>
      </c>
      <c r="AG363" s="1">
        <f t="shared" si="70"/>
        <v>0.15311256316286787</v>
      </c>
    </row>
    <row r="364" spans="2:33" ht="15" x14ac:dyDescent="0.25">
      <c r="B364" s="1">
        <v>353</v>
      </c>
      <c r="C364" s="1">
        <v>1.0005957643181882</v>
      </c>
      <c r="D364" s="1">
        <v>1.1812215084682944</v>
      </c>
      <c r="E364" s="1">
        <v>0.84574329948134785</v>
      </c>
      <c r="G364" s="1">
        <v>1.0006743267392233</v>
      </c>
      <c r="H364" s="1">
        <v>4.0698015406824908</v>
      </c>
      <c r="I364" s="1">
        <v>0.20697896974250604</v>
      </c>
      <c r="K364" s="1">
        <v>1.0007440856383187</v>
      </c>
      <c r="L364" s="1">
        <v>4.6550571471092743</v>
      </c>
      <c r="M364" s="1">
        <v>0.17795508887602074</v>
      </c>
      <c r="O364" s="1">
        <v>7.5577944136494242E-3</v>
      </c>
      <c r="P364" s="1">
        <v>0.80065501385584137</v>
      </c>
      <c r="R364" s="1">
        <v>0.20033402452733165</v>
      </c>
      <c r="S364" s="2">
        <f t="shared" si="72"/>
        <v>0.83165972215038608</v>
      </c>
      <c r="T364" s="4">
        <f t="shared" si="73"/>
        <v>0.69165789344725737</v>
      </c>
      <c r="U364" s="1">
        <f t="shared" si="64"/>
        <v>0.38398467136492798</v>
      </c>
      <c r="V364" s="6">
        <f>2*sigma/alpha*corel*(B364/12-1/alpha*(1-EXP(-alpha*Output!B364/12)))</f>
        <v>1.5155355522883407</v>
      </c>
      <c r="W364" s="5">
        <f t="shared" si="74"/>
        <v>-0.30767322208232939</v>
      </c>
      <c r="X364" s="1">
        <f t="shared" si="75"/>
        <v>38.499730475270681</v>
      </c>
      <c r="Y364" s="3">
        <f t="shared" si="65"/>
        <v>7.9704468301656381E-2</v>
      </c>
      <c r="Z364" s="1">
        <f t="shared" si="66"/>
        <v>0.15333769802498282</v>
      </c>
      <c r="AA364" s="8">
        <f t="shared" si="71"/>
        <v>29.333333333333186</v>
      </c>
      <c r="AB364" s="1">
        <v>29.42</v>
      </c>
      <c r="AC364" s="1">
        <v>7.6270642409999997E-3</v>
      </c>
      <c r="AD364" s="8">
        <f t="shared" si="67"/>
        <v>0.69269827350575475</v>
      </c>
      <c r="AE364" s="3">
        <f t="shared" si="68"/>
        <v>9.0821088116983494E-3</v>
      </c>
      <c r="AF364" s="11">
        <f t="shared" si="69"/>
        <v>29.333333333333186</v>
      </c>
      <c r="AG364" s="1">
        <f t="shared" si="70"/>
        <v>0.15333769802498282</v>
      </c>
    </row>
    <row r="365" spans="2:33" ht="15" x14ac:dyDescent="0.25">
      <c r="B365" s="1">
        <v>354</v>
      </c>
      <c r="C365" s="1">
        <v>1.0005974544784124</v>
      </c>
      <c r="D365" s="1">
        <v>1.1793206121367321</v>
      </c>
      <c r="E365" s="1">
        <v>0.84710484149538956</v>
      </c>
      <c r="G365" s="1">
        <v>1.0006509351193131</v>
      </c>
      <c r="H365" s="1">
        <v>4.0095812029110593</v>
      </c>
      <c r="I365" s="1">
        <v>0.20998597916712314</v>
      </c>
      <c r="K365" s="1">
        <v>1.0007009195062211</v>
      </c>
      <c r="L365" s="1">
        <v>4.7270077515904649</v>
      </c>
      <c r="M365" s="1">
        <v>0.17515384914339049</v>
      </c>
      <c r="O365" s="1">
        <v>7.5571936724734348E-3</v>
      </c>
      <c r="P365" s="1">
        <v>0.80016508741231029</v>
      </c>
      <c r="R365" s="1">
        <v>0.20057848176312701</v>
      </c>
      <c r="S365" s="2">
        <f t="shared" si="72"/>
        <v>0.83330125673759881</v>
      </c>
      <c r="T365" s="4">
        <f t="shared" si="73"/>
        <v>0.69439098448046155</v>
      </c>
      <c r="U365" s="1">
        <f t="shared" si="64"/>
        <v>0.386480258756424</v>
      </c>
      <c r="V365" s="6">
        <f>2*sigma/alpha*corel*(B365/12-1/alpha*(1-EXP(-alpha*Output!B365/12)))</f>
        <v>1.5227460581285355</v>
      </c>
      <c r="W365" s="5">
        <f t="shared" si="74"/>
        <v>-0.30791072572403755</v>
      </c>
      <c r="X365" s="1">
        <f t="shared" si="75"/>
        <v>38.652221192982424</v>
      </c>
      <c r="Y365" s="3">
        <f t="shared" si="65"/>
        <v>7.9565169447797734E-2</v>
      </c>
      <c r="Z365" s="1">
        <f t="shared" si="66"/>
        <v>0.15342319720308153</v>
      </c>
      <c r="AA365" s="8">
        <f t="shared" si="71"/>
        <v>29.416666666666519</v>
      </c>
      <c r="AB365" s="1">
        <v>29.5</v>
      </c>
      <c r="AC365" s="1">
        <v>7.6265455390000002E-3</v>
      </c>
      <c r="AD365" s="8">
        <f t="shared" si="67"/>
        <v>0.69351866526565398</v>
      </c>
      <c r="AE365" s="3">
        <f t="shared" si="68"/>
        <v>9.0934835663039754E-3</v>
      </c>
      <c r="AF365" s="11">
        <f t="shared" si="69"/>
        <v>29.416666666666519</v>
      </c>
      <c r="AG365" s="1">
        <f t="shared" si="70"/>
        <v>0.15342319720308153</v>
      </c>
    </row>
    <row r="366" spans="2:33" ht="15" x14ac:dyDescent="0.25">
      <c r="B366" s="1">
        <v>355</v>
      </c>
      <c r="C366" s="1">
        <v>1.0006042991157444</v>
      </c>
      <c r="D366" s="1">
        <v>1.1836954872915011</v>
      </c>
      <c r="E366" s="1">
        <v>0.84397231507292392</v>
      </c>
      <c r="G366" s="1">
        <v>1.0010434857062167</v>
      </c>
      <c r="H366" s="1">
        <v>4.1463074445461467</v>
      </c>
      <c r="I366" s="1">
        <v>0.20296337115776986</v>
      </c>
      <c r="K366" s="1">
        <v>1.0007326604575921</v>
      </c>
      <c r="L366" s="1">
        <v>4.8682625794232015</v>
      </c>
      <c r="M366" s="1">
        <v>0.16997924010613111</v>
      </c>
      <c r="O366" s="1">
        <v>7.5565963739652213E-3</v>
      </c>
      <c r="P366" s="1">
        <v>0.79967545938113316</v>
      </c>
      <c r="R366" s="1">
        <v>0.20088658532144738</v>
      </c>
      <c r="S366" s="2">
        <f t="shared" si="72"/>
        <v>0.83514554843495792</v>
      </c>
      <c r="T366" s="4">
        <f t="shared" si="73"/>
        <v>0.69746808707072661</v>
      </c>
      <c r="U366" s="1">
        <f t="shared" si="64"/>
        <v>0.38898323706632976</v>
      </c>
      <c r="V366" s="6">
        <f>2*sigma/alpha*corel*(B366/12-1/alpha*(1-EXP(-alpha*Output!B366/12)))</f>
        <v>1.5299672333792542</v>
      </c>
      <c r="W366" s="5">
        <f t="shared" si="74"/>
        <v>-0.30848485000439685</v>
      </c>
      <c r="X366" s="1">
        <f t="shared" si="75"/>
        <v>38.844840319067799</v>
      </c>
      <c r="Y366" s="3">
        <f t="shared" si="65"/>
        <v>7.948049016259226E-2</v>
      </c>
      <c r="Z366" s="1">
        <f t="shared" si="66"/>
        <v>0.15354603883470058</v>
      </c>
      <c r="AA366" s="8">
        <f t="shared" si="71"/>
        <v>29.499999999999851</v>
      </c>
      <c r="AB366" s="1">
        <v>29.58</v>
      </c>
      <c r="AC366" s="1">
        <v>7.6260255949999996E-3</v>
      </c>
      <c r="AD366" s="8">
        <f t="shared" si="67"/>
        <v>0.69429221034778343</v>
      </c>
      <c r="AE366" s="3">
        <f t="shared" si="68"/>
        <v>9.1042470510851129E-3</v>
      </c>
      <c r="AF366" s="11">
        <f t="shared" si="69"/>
        <v>29.499999999999851</v>
      </c>
      <c r="AG366" s="1">
        <f t="shared" si="70"/>
        <v>0.15354603883470058</v>
      </c>
    </row>
    <row r="367" spans="2:33" ht="15" x14ac:dyDescent="0.25">
      <c r="B367" s="1">
        <v>356</v>
      </c>
      <c r="C367" s="1">
        <v>1.0006050143282852</v>
      </c>
      <c r="D367" s="1">
        <v>1.1841001615126909</v>
      </c>
      <c r="E367" s="1">
        <v>0.84368220684980355</v>
      </c>
      <c r="G367" s="1">
        <v>1.0009225702061408</v>
      </c>
      <c r="H367" s="1">
        <v>4.1597561638648077</v>
      </c>
      <c r="I367" s="1">
        <v>0.20220931278468807</v>
      </c>
      <c r="K367" s="1">
        <v>1.0007314257327535</v>
      </c>
      <c r="L367" s="1">
        <v>4.9450947205925662</v>
      </c>
      <c r="M367" s="1">
        <v>0.16725093043671432</v>
      </c>
      <c r="O367" s="1">
        <v>7.5560336233782867E-3</v>
      </c>
      <c r="P367" s="1">
        <v>0.79918539141358347</v>
      </c>
      <c r="R367" s="1">
        <v>0.20129279401039241</v>
      </c>
      <c r="S367" s="2">
        <f t="shared" si="72"/>
        <v>0.83730366954694357</v>
      </c>
      <c r="T367" s="4">
        <f t="shared" si="73"/>
        <v>0.70107743503677733</v>
      </c>
      <c r="U367" s="1">
        <f t="shared" si="64"/>
        <v>0.39149359257307426</v>
      </c>
      <c r="V367" s="6">
        <f>2*sigma/alpha*corel*(B367/12-1/alpha*(1-EXP(-alpha*Output!B367/12)))</f>
        <v>1.5371990425350055</v>
      </c>
      <c r="W367" s="5">
        <f t="shared" si="74"/>
        <v>-0.30958384246370307</v>
      </c>
      <c r="X367" s="1">
        <f t="shared" si="75"/>
        <v>39.100263535396635</v>
      </c>
      <c r="Y367" s="3">
        <f t="shared" si="65"/>
        <v>7.9480134446530307E-2</v>
      </c>
      <c r="Z367" s="1">
        <f t="shared" si="66"/>
        <v>0.15372645723142481</v>
      </c>
      <c r="AA367" s="8">
        <f t="shared" si="71"/>
        <v>29.583333333333183</v>
      </c>
      <c r="AB367" s="1">
        <v>29.67</v>
      </c>
      <c r="AC367" s="1">
        <v>7.6255053179999999E-3</v>
      </c>
      <c r="AD367" s="8">
        <f t="shared" si="67"/>
        <v>0.6947169462171322</v>
      </c>
      <c r="AE367" s="3">
        <f t="shared" si="68"/>
        <v>9.1104381578130094E-3</v>
      </c>
      <c r="AF367" s="11">
        <f t="shared" si="69"/>
        <v>29.583333333333183</v>
      </c>
      <c r="AG367" s="1">
        <f t="shared" si="70"/>
        <v>0.15372645723142481</v>
      </c>
    </row>
    <row r="368" spans="2:33" ht="15" x14ac:dyDescent="0.25">
      <c r="B368" s="1">
        <v>357</v>
      </c>
      <c r="C368" s="1">
        <v>1.0006104338060837</v>
      </c>
      <c r="D368" s="1">
        <v>1.1849289953604683</v>
      </c>
      <c r="E368" s="1">
        <v>0.84309039187888257</v>
      </c>
      <c r="G368" s="1">
        <v>1.0011736581598238</v>
      </c>
      <c r="H368" s="1">
        <v>4.1858535121072906</v>
      </c>
      <c r="I368" s="1">
        <v>0.20085139828486745</v>
      </c>
      <c r="K368" s="1">
        <v>1.0006952647049536</v>
      </c>
      <c r="L368" s="1">
        <v>4.8170106692683232</v>
      </c>
      <c r="M368" s="1">
        <v>0.17160718611698483</v>
      </c>
      <c r="O368" s="1">
        <v>7.5554511179236009E-3</v>
      </c>
      <c r="P368" s="1">
        <v>0.79869616808665478</v>
      </c>
      <c r="R368" s="1">
        <v>0.20158791833299999</v>
      </c>
      <c r="S368" s="2">
        <f t="shared" si="72"/>
        <v>0.83910991726089867</v>
      </c>
      <c r="T368" s="4">
        <f t="shared" si="73"/>
        <v>0.70410545324559226</v>
      </c>
      <c r="U368" s="1">
        <f t="shared" si="64"/>
        <v>0.39401131152849445</v>
      </c>
      <c r="V368" s="6">
        <f>2*sigma/alpha*corel*(B368/12-1/alpha*(1-EXP(-alpha*Output!B368/12)))</f>
        <v>1.54444145020845</v>
      </c>
      <c r="W368" s="5">
        <f t="shared" si="74"/>
        <v>-0.31009414171709782</v>
      </c>
      <c r="X368" s="1">
        <f t="shared" si="75"/>
        <v>39.286502257456625</v>
      </c>
      <c r="Y368" s="3">
        <f t="shared" si="65"/>
        <v>7.9385766607667885E-2</v>
      </c>
      <c r="Z368" s="1">
        <f t="shared" si="66"/>
        <v>0.15384215999890652</v>
      </c>
      <c r="AA368" s="8">
        <f t="shared" si="71"/>
        <v>29.666666666666515</v>
      </c>
      <c r="AB368" s="1">
        <v>29.75</v>
      </c>
      <c r="AC368" s="1">
        <v>7.6249856169999996E-3</v>
      </c>
      <c r="AD368" s="8">
        <f t="shared" si="67"/>
        <v>0.69534499076398704</v>
      </c>
      <c r="AE368" s="3">
        <f t="shared" si="68"/>
        <v>9.1192957690793119E-3</v>
      </c>
      <c r="AF368" s="11">
        <f t="shared" si="69"/>
        <v>29.666666666666515</v>
      </c>
      <c r="AG368" s="1">
        <f t="shared" si="70"/>
        <v>0.15384215999890652</v>
      </c>
    </row>
    <row r="369" spans="2:33" ht="15" x14ac:dyDescent="0.25">
      <c r="B369" s="1">
        <v>358</v>
      </c>
      <c r="C369" s="1">
        <v>1.0006114448949082</v>
      </c>
      <c r="D369" s="1">
        <v>1.1874231009766869</v>
      </c>
      <c r="E369" s="1">
        <v>0.84131785829884775</v>
      </c>
      <c r="G369" s="1">
        <v>1.001105057490927</v>
      </c>
      <c r="H369" s="1">
        <v>4.2628101521912161</v>
      </c>
      <c r="I369" s="1">
        <v>0.1971300134101002</v>
      </c>
      <c r="K369" s="1">
        <v>1.0006730835266833</v>
      </c>
      <c r="L369" s="1">
        <v>4.9300458184018261</v>
      </c>
      <c r="M369" s="1">
        <v>0.16758529076423645</v>
      </c>
      <c r="O369" s="1">
        <v>7.5547963992198628E-3</v>
      </c>
      <c r="P369" s="1">
        <v>0.79820904136167159</v>
      </c>
      <c r="R369" s="1">
        <v>0.20197948710801783</v>
      </c>
      <c r="S369" s="2">
        <f t="shared" si="72"/>
        <v>0.84122061498433132</v>
      </c>
      <c r="T369" s="4">
        <f t="shared" si="73"/>
        <v>0.70765212307461656</v>
      </c>
      <c r="U369" s="1">
        <f t="shared" si="64"/>
        <v>0.39653638015840986</v>
      </c>
      <c r="V369" s="6">
        <f>2*sigma/alpha*corel*(B369/12-1/alpha*(1-EXP(-alpha*Output!B369/12)))</f>
        <v>1.5516944211300112</v>
      </c>
      <c r="W369" s="5">
        <f t="shared" si="74"/>
        <v>-0.31111574291620669</v>
      </c>
      <c r="X369" s="1">
        <f t="shared" si="75"/>
        <v>39.534234231233334</v>
      </c>
      <c r="Y369" s="3">
        <f t="shared" si="65"/>
        <v>7.9373146310664E-2</v>
      </c>
      <c r="Z369" s="1">
        <f t="shared" si="66"/>
        <v>0.15401358023354911</v>
      </c>
      <c r="AA369" s="8">
        <f t="shared" si="71"/>
        <v>29.749999999999847</v>
      </c>
      <c r="AB369" s="1">
        <v>29.83</v>
      </c>
      <c r="AC369" s="1">
        <v>7.6244674060000003E-3</v>
      </c>
      <c r="AD369" s="8">
        <f t="shared" si="67"/>
        <v>0.69671006780137534</v>
      </c>
      <c r="AE369" s="3">
        <f t="shared" si="68"/>
        <v>9.1378194790773994E-3</v>
      </c>
      <c r="AF369" s="11">
        <f t="shared" si="69"/>
        <v>29.749999999999847</v>
      </c>
      <c r="AG369" s="1">
        <f t="shared" si="70"/>
        <v>0.15401358023354911</v>
      </c>
    </row>
    <row r="370" spans="2:33" ht="15" x14ac:dyDescent="0.25">
      <c r="B370" s="1">
        <v>359</v>
      </c>
      <c r="C370" s="1">
        <v>1.0006136217141639</v>
      </c>
      <c r="D370" s="1">
        <v>1.1837469426499916</v>
      </c>
      <c r="E370" s="1">
        <v>0.84392890864562931</v>
      </c>
      <c r="G370" s="1">
        <v>1.0010720668073199</v>
      </c>
      <c r="H370" s="1">
        <v>4.1419307911363763</v>
      </c>
      <c r="I370" s="1">
        <v>0.20278496975694638</v>
      </c>
      <c r="K370" s="1">
        <v>1.0006675785821297</v>
      </c>
      <c r="L370" s="1">
        <v>4.8804653241132385</v>
      </c>
      <c r="M370" s="1">
        <v>0.16919443972455425</v>
      </c>
      <c r="O370" s="1">
        <v>7.5541818308321323E-3</v>
      </c>
      <c r="P370" s="1">
        <v>0.79772134058930733</v>
      </c>
      <c r="R370" s="1">
        <v>0.2024521342772575</v>
      </c>
      <c r="S370" s="2">
        <f t="shared" si="72"/>
        <v>0.843592359830035</v>
      </c>
      <c r="T370" s="4">
        <f t="shared" si="73"/>
        <v>0.71164806956360727</v>
      </c>
      <c r="U370" s="1">
        <f t="shared" si="64"/>
        <v>0.39906878466318352</v>
      </c>
      <c r="V370" s="6">
        <f>2*sigma/alpha*corel*(B370/12-1/alpha*(1-EXP(-alpha*Output!B370/12)))</f>
        <v>1.5589579201474812</v>
      </c>
      <c r="W370" s="5">
        <f t="shared" si="74"/>
        <v>-0.31257928490042375</v>
      </c>
      <c r="X370" s="1">
        <f t="shared" si="75"/>
        <v>39.835670889874599</v>
      </c>
      <c r="Y370" s="3">
        <f t="shared" si="65"/>
        <v>7.9430518211718065E-2</v>
      </c>
      <c r="Z370" s="1">
        <f t="shared" si="66"/>
        <v>0.15423254911162157</v>
      </c>
      <c r="AA370" s="8">
        <f t="shared" si="71"/>
        <v>29.833333333333179</v>
      </c>
      <c r="AB370" s="1">
        <v>29.92</v>
      </c>
      <c r="AC370" s="1">
        <v>7.6239515959999997E-3</v>
      </c>
      <c r="AD370" s="8">
        <f t="shared" si="67"/>
        <v>0.69769765167867348</v>
      </c>
      <c r="AE370" s="3">
        <f t="shared" si="68"/>
        <v>9.1513914128826465E-3</v>
      </c>
      <c r="AF370" s="11">
        <f t="shared" si="69"/>
        <v>29.833333333333179</v>
      </c>
      <c r="AG370" s="1">
        <f t="shared" si="70"/>
        <v>0.15423254911162157</v>
      </c>
    </row>
    <row r="371" spans="2:33" ht="15" x14ac:dyDescent="0.25">
      <c r="B371" s="1">
        <v>360</v>
      </c>
      <c r="C371" s="1">
        <v>1.0006126649303446</v>
      </c>
      <c r="D371" s="1">
        <v>1.1851441894099377</v>
      </c>
      <c r="E371" s="1">
        <v>0.84293225764660284</v>
      </c>
      <c r="G371" s="1">
        <v>1.0008264795938526</v>
      </c>
      <c r="H371" s="1">
        <v>4.1884421146301154</v>
      </c>
      <c r="I371" s="1">
        <v>0.20043609808336244</v>
      </c>
      <c r="K371" s="1">
        <v>1.0005230577609558</v>
      </c>
      <c r="L371" s="1">
        <v>4.9745181598936465</v>
      </c>
      <c r="M371" s="1">
        <v>0.16590577995468853</v>
      </c>
      <c r="O371" s="1">
        <v>7.5535379815800307E-3</v>
      </c>
      <c r="P371" s="1">
        <v>0.79723471976956639</v>
      </c>
      <c r="R371" s="1">
        <v>0.2028876631347501</v>
      </c>
      <c r="S371" s="2">
        <f t="shared" si="72"/>
        <v>0.84584669483958042</v>
      </c>
      <c r="T371" s="4">
        <f t="shared" si="73"/>
        <v>0.7154566311710423</v>
      </c>
      <c r="U371" s="1">
        <f t="shared" si="64"/>
        <v>0.4016085112182779</v>
      </c>
      <c r="V371" s="6">
        <f>2*sigma/alpha*corel*(B371/12-1/alpha*(1-EXP(-alpha*Output!B371/12)))</f>
        <v>1.5662319122256321</v>
      </c>
      <c r="W371" s="5">
        <f t="shared" si="74"/>
        <v>-0.3138481199527644</v>
      </c>
      <c r="X371" s="1">
        <f t="shared" si="75"/>
        <v>40.11485679720569</v>
      </c>
      <c r="Y371" s="3">
        <f t="shared" si="65"/>
        <v>7.9456618771075349E-2</v>
      </c>
      <c r="Z371" s="1">
        <f t="shared" si="66"/>
        <v>0.15442977165160893</v>
      </c>
      <c r="AA371" s="8">
        <f t="shared" si="71"/>
        <v>29.916666666666512</v>
      </c>
      <c r="AB371" s="1">
        <v>30</v>
      </c>
      <c r="AC371" s="1">
        <v>7.6234390999999997E-3</v>
      </c>
      <c r="AD371" s="8">
        <f t="shared" si="67"/>
        <v>0.69901118419968955</v>
      </c>
      <c r="AE371" s="3">
        <f t="shared" si="68"/>
        <v>9.1692368107156464E-3</v>
      </c>
      <c r="AF371" s="11">
        <f t="shared" si="69"/>
        <v>29.916666666666512</v>
      </c>
      <c r="AG371" s="1">
        <f t="shared" si="70"/>
        <v>0.15442977165160893</v>
      </c>
    </row>
    <row r="372" spans="2:33" ht="15" x14ac:dyDescent="0.25">
      <c r="B372" s="1">
        <v>361</v>
      </c>
      <c r="C372" s="1">
        <v>1.0006169931427888</v>
      </c>
      <c r="D372" s="1">
        <v>1.1843681475512557</v>
      </c>
      <c r="E372" s="1">
        <v>0.84348288759486589</v>
      </c>
      <c r="G372" s="1">
        <v>1.0010028567832991</v>
      </c>
      <c r="H372" s="1">
        <v>4.1606918142516598</v>
      </c>
      <c r="I372" s="1">
        <v>0.20167532522239243</v>
      </c>
      <c r="K372" s="1">
        <v>1.0005149728023928</v>
      </c>
      <c r="L372" s="1">
        <v>4.9838941242965804</v>
      </c>
      <c r="M372" s="1">
        <v>0.16550735394016106</v>
      </c>
      <c r="O372" s="1">
        <v>7.5529285632897139E-3</v>
      </c>
      <c r="P372" s="1">
        <v>0.79674765602262654</v>
      </c>
      <c r="R372" s="1">
        <v>0.20332982005477629</v>
      </c>
      <c r="S372" s="2">
        <f t="shared" si="72"/>
        <v>0.84812538339432675</v>
      </c>
      <c r="T372" s="4">
        <f t="shared" si="73"/>
        <v>0.71931666595777377</v>
      </c>
      <c r="U372" s="1">
        <f t="shared" si="64"/>
        <v>0.40415554597481451</v>
      </c>
      <c r="V372" s="6">
        <f>2*sigma/alpha*corel*(B372/12-1/alpha*(1-EXP(-alpha*Output!B372/12)))</f>
        <v>1.5735163624458233</v>
      </c>
      <c r="W372" s="5">
        <f t="shared" si="74"/>
        <v>-0.31516111998295926</v>
      </c>
      <c r="X372" s="1">
        <f t="shared" si="75"/>
        <v>40.400341847500833</v>
      </c>
      <c r="Y372" s="3">
        <f t="shared" si="65"/>
        <v>7.9489362243015643E-2</v>
      </c>
      <c r="Z372" s="1">
        <f t="shared" si="66"/>
        <v>0.15463118476082183</v>
      </c>
      <c r="AA372" s="8">
        <f t="shared" si="71"/>
        <v>29.999999999999844</v>
      </c>
      <c r="AB372" s="1">
        <v>30.08</v>
      </c>
      <c r="AC372" s="1">
        <v>7.6229308300000001E-3</v>
      </c>
      <c r="AD372" s="8">
        <f t="shared" si="67"/>
        <v>0.70002266710286232</v>
      </c>
      <c r="AE372" s="3">
        <f t="shared" si="68"/>
        <v>9.1831171332150512E-3</v>
      </c>
      <c r="AF372" s="11">
        <f t="shared" si="69"/>
        <v>29.999999999999844</v>
      </c>
      <c r="AG372" s="1">
        <f t="shared" si="70"/>
        <v>0.15463118476082183</v>
      </c>
    </row>
    <row r="373" spans="2:33" ht="15" x14ac:dyDescent="0.25">
      <c r="B373" s="1">
        <v>362</v>
      </c>
      <c r="C373" s="1">
        <v>1.0006187062490042</v>
      </c>
      <c r="D373" s="1">
        <v>1.1838333013184272</v>
      </c>
      <c r="E373" s="1">
        <v>0.84386227151949256</v>
      </c>
      <c r="G373" s="1">
        <v>1.0009673673807495</v>
      </c>
      <c r="H373" s="1">
        <v>4.163979269475341</v>
      </c>
      <c r="I373" s="1">
        <v>0.20141861826441443</v>
      </c>
      <c r="K373" s="1">
        <v>1.0006200984165996</v>
      </c>
      <c r="L373" s="1">
        <v>5.1849138696077599</v>
      </c>
      <c r="M373" s="1">
        <v>0.15900626844380056</v>
      </c>
      <c r="O373" s="1">
        <v>7.5523262955308618E-3</v>
      </c>
      <c r="P373" s="1">
        <v>0.79626079895951773</v>
      </c>
      <c r="R373" s="1">
        <v>0.20361104112311451</v>
      </c>
      <c r="S373" s="2">
        <f t="shared" si="72"/>
        <v>0.84989328084670213</v>
      </c>
      <c r="T373" s="4">
        <f t="shared" si="73"/>
        <v>0.7223185888283713</v>
      </c>
      <c r="U373" s="1">
        <f t="shared" si="64"/>
        <v>0.40670987506011569</v>
      </c>
      <c r="V373" s="6">
        <f>2*sigma/alpha*corel*(B373/12-1/alpha*(1-EXP(-alpha*Output!B373/12)))</f>
        <v>1.5808112360056197</v>
      </c>
      <c r="W373" s="5">
        <f t="shared" si="74"/>
        <v>-0.31560871376825561</v>
      </c>
      <c r="X373" s="1">
        <f t="shared" si="75"/>
        <v>40.58241562525113</v>
      </c>
      <c r="Y373" s="3">
        <f t="shared" si="65"/>
        <v>7.9385994810511923E-2</v>
      </c>
      <c r="Z373" s="1">
        <f t="shared" si="66"/>
        <v>0.1547393376394483</v>
      </c>
      <c r="AA373" s="8">
        <f t="shared" si="71"/>
        <v>30.083333333333176</v>
      </c>
      <c r="AB373" s="1">
        <v>30.17</v>
      </c>
      <c r="AC373" s="1">
        <v>7.6224275019999999E-3</v>
      </c>
      <c r="AD373" s="8">
        <f t="shared" si="67"/>
        <v>0.70101206469138155</v>
      </c>
      <c r="AE373" s="3">
        <f t="shared" si="68"/>
        <v>9.1967036027229832E-3</v>
      </c>
      <c r="AF373" s="11">
        <f t="shared" si="69"/>
        <v>30.083333333333176</v>
      </c>
      <c r="AG373" s="1">
        <f t="shared" si="70"/>
        <v>0.1547393376394483</v>
      </c>
    </row>
    <row r="374" spans="2:33" ht="15" x14ac:dyDescent="0.25">
      <c r="B374" s="1">
        <v>363</v>
      </c>
      <c r="C374" s="1">
        <v>1.0006169154748921</v>
      </c>
      <c r="D374" s="1">
        <v>1.1872172176202285</v>
      </c>
      <c r="E374" s="1">
        <v>0.84145532444194227</v>
      </c>
      <c r="G374" s="1">
        <v>1.0006552265154487</v>
      </c>
      <c r="H374" s="1">
        <v>4.2463667231101745</v>
      </c>
      <c r="I374" s="1">
        <v>0.19741517340234624</v>
      </c>
      <c r="K374" s="1">
        <v>1.0006410360698892</v>
      </c>
      <c r="L374" s="1">
        <v>5.1102646827957505</v>
      </c>
      <c r="M374" s="1">
        <v>0.16124336861803043</v>
      </c>
      <c r="O374" s="1">
        <v>7.5517741319940414E-3</v>
      </c>
      <c r="P374" s="1">
        <v>0.79577311315471477</v>
      </c>
      <c r="R374" s="1">
        <v>0.20412928279479783</v>
      </c>
      <c r="S374" s="2">
        <f t="shared" si="72"/>
        <v>0.85242035545196337</v>
      </c>
      <c r="T374" s="4">
        <f t="shared" si="73"/>
        <v>0.72662046238885158</v>
      </c>
      <c r="U374" s="1">
        <f t="shared" si="64"/>
        <v>0.40927148457825258</v>
      </c>
      <c r="V374" s="6">
        <f>2*sigma/alpha*corel*(B374/12-1/alpha*(1-EXP(-alpha*Output!B374/12)))</f>
        <v>1.588116498218398</v>
      </c>
      <c r="W374" s="5">
        <f t="shared" si="74"/>
        <v>-0.31734897781059901</v>
      </c>
      <c r="X374" s="1">
        <f t="shared" si="75"/>
        <v>40.921340326995946</v>
      </c>
      <c r="Y374" s="3">
        <f t="shared" si="65"/>
        <v>7.948533060867731E-2</v>
      </c>
      <c r="Z374" s="1">
        <f t="shared" si="66"/>
        <v>0.15498551917308426</v>
      </c>
      <c r="AA374" s="8">
        <f t="shared" si="71"/>
        <v>30.166666666666508</v>
      </c>
      <c r="AB374" s="1">
        <v>30.25</v>
      </c>
      <c r="AC374" s="1">
        <v>7.6219290380000002E-3</v>
      </c>
      <c r="AD374" s="8">
        <f t="shared" si="67"/>
        <v>0.7015490600595885</v>
      </c>
      <c r="AE374" s="3">
        <f t="shared" si="68"/>
        <v>9.2043504546150366E-3</v>
      </c>
      <c r="AF374" s="11">
        <f t="shared" si="69"/>
        <v>30.166666666666508</v>
      </c>
      <c r="AG374" s="1">
        <f t="shared" si="70"/>
        <v>0.15498551917308426</v>
      </c>
    </row>
    <row r="375" spans="2:33" ht="15" x14ac:dyDescent="0.25">
      <c r="B375" s="1">
        <v>364</v>
      </c>
      <c r="C375" s="1">
        <v>1.0006185879839924</v>
      </c>
      <c r="D375" s="1">
        <v>1.1904101312898996</v>
      </c>
      <c r="E375" s="1">
        <v>0.83919668433553807</v>
      </c>
      <c r="G375" s="1">
        <v>1.0006250756927177</v>
      </c>
      <c r="H375" s="1">
        <v>4.3498086283575006</v>
      </c>
      <c r="I375" s="1">
        <v>0.19262725381016213</v>
      </c>
      <c r="K375" s="1">
        <v>1.0004442656981738</v>
      </c>
      <c r="L375" s="1">
        <v>4.9998377958099089</v>
      </c>
      <c r="M375" s="1">
        <v>0.16471321050811769</v>
      </c>
      <c r="O375" s="1">
        <v>7.5512877530102326E-3</v>
      </c>
      <c r="P375" s="1">
        <v>0.79528421226755985</v>
      </c>
      <c r="R375" s="1">
        <v>0.20449006348202783</v>
      </c>
      <c r="S375" s="2">
        <f t="shared" si="72"/>
        <v>0.85444988420374113</v>
      </c>
      <c r="T375" s="4">
        <f t="shared" si="73"/>
        <v>0.73008460461578661</v>
      </c>
      <c r="U375" s="1">
        <f t="shared" si="64"/>
        <v>0.4118403606105816</v>
      </c>
      <c r="V375" s="6">
        <f>2*sigma/alpha*corel*(B375/12-1/alpha*(1-EXP(-alpha*Output!B375/12)))</f>
        <v>1.5954321145129655</v>
      </c>
      <c r="W375" s="5">
        <f t="shared" si="74"/>
        <v>-0.31824424400520501</v>
      </c>
      <c r="X375" s="1">
        <f t="shared" si="75"/>
        <v>41.159038571317524</v>
      </c>
      <c r="Y375" s="3">
        <f t="shared" si="65"/>
        <v>7.9452180149686344E-2</v>
      </c>
      <c r="Z375" s="1">
        <f t="shared" si="66"/>
        <v>0.15514097856173226</v>
      </c>
      <c r="AA375" s="8">
        <f t="shared" si="71"/>
        <v>30.24999999999984</v>
      </c>
      <c r="AB375" s="1">
        <v>30.33</v>
      </c>
      <c r="AC375" s="1">
        <v>7.6214351680000004E-3</v>
      </c>
      <c r="AD375" s="8">
        <f t="shared" si="67"/>
        <v>0.7014741498976782</v>
      </c>
      <c r="AE375" s="3">
        <f t="shared" si="68"/>
        <v>9.2039640098619049E-3</v>
      </c>
      <c r="AF375" s="11">
        <f t="shared" si="69"/>
        <v>30.24999999999984</v>
      </c>
      <c r="AG375" s="1">
        <f t="shared" si="70"/>
        <v>0.15514097856173226</v>
      </c>
    </row>
    <row r="376" spans="2:33" ht="15" x14ac:dyDescent="0.25">
      <c r="B376" s="1">
        <v>365</v>
      </c>
      <c r="C376" s="1">
        <v>1.0006207299551031</v>
      </c>
      <c r="D376" s="1">
        <v>1.188478603690571</v>
      </c>
      <c r="E376" s="1">
        <v>0.84055885707402089</v>
      </c>
      <c r="G376" s="1">
        <v>1.0006216170045428</v>
      </c>
      <c r="H376" s="1">
        <v>4.2865640588706118</v>
      </c>
      <c r="I376" s="1">
        <v>0.19537474348695011</v>
      </c>
      <c r="K376" s="1">
        <v>1.0005818113610143</v>
      </c>
      <c r="L376" s="1">
        <v>4.9953487050726535</v>
      </c>
      <c r="M376" s="1">
        <v>0.16477623331094837</v>
      </c>
      <c r="O376" s="1">
        <v>7.5509038743891716E-3</v>
      </c>
      <c r="P376" s="1">
        <v>0.79479319823016403</v>
      </c>
      <c r="R376" s="1">
        <v>0.20475309608806211</v>
      </c>
      <c r="S376" s="2">
        <f t="shared" si="72"/>
        <v>0.85617309190367119</v>
      </c>
      <c r="T376" s="4">
        <f t="shared" si="73"/>
        <v>0.73303236329989219</v>
      </c>
      <c r="U376" s="1">
        <f t="shared" si="64"/>
        <v>0.4144164892162796</v>
      </c>
      <c r="V376" s="6">
        <f>2*sigma/alpha*corel*(B376/12-1/alpha*(1-EXP(-alpha*Output!B376/12)))</f>
        <v>1.6027580504331764</v>
      </c>
      <c r="W376" s="5">
        <f t="shared" si="74"/>
        <v>-0.31861587408361258</v>
      </c>
      <c r="X376" s="1">
        <f t="shared" si="75"/>
        <v>41.333764715067886</v>
      </c>
      <c r="Y376" s="3">
        <f t="shared" si="65"/>
        <v>7.9337687769196918E-2</v>
      </c>
      <c r="Z376" s="1">
        <f t="shared" si="66"/>
        <v>0.1552407618374983</v>
      </c>
      <c r="AA376" s="8">
        <f t="shared" si="71"/>
        <v>30.333333333333172</v>
      </c>
      <c r="AB376" s="1">
        <v>30.42</v>
      </c>
      <c r="AC376" s="1">
        <v>7.6209456179999998E-3</v>
      </c>
      <c r="AD376" s="8">
        <f t="shared" si="67"/>
        <v>0.70041743610828144</v>
      </c>
      <c r="AE376" s="3">
        <f t="shared" si="68"/>
        <v>9.1906893345880519E-3</v>
      </c>
      <c r="AF376" s="11">
        <f t="shared" si="69"/>
        <v>30.333333333333172</v>
      </c>
      <c r="AG376" s="1">
        <f t="shared" si="70"/>
        <v>0.1552407618374983</v>
      </c>
    </row>
    <row r="377" spans="2:33" ht="15" x14ac:dyDescent="0.25">
      <c r="B377" s="1">
        <v>366</v>
      </c>
      <c r="C377" s="1">
        <v>1.000620724393481</v>
      </c>
      <c r="D377" s="1">
        <v>1.1888306291138808</v>
      </c>
      <c r="E377" s="1">
        <v>0.840308258252355</v>
      </c>
      <c r="G377" s="1">
        <v>1.0004614185535128</v>
      </c>
      <c r="H377" s="1">
        <v>4.2938509509912359</v>
      </c>
      <c r="I377" s="1">
        <v>0.19494882843915132</v>
      </c>
      <c r="K377" s="1">
        <v>1.0005514094948806</v>
      </c>
      <c r="L377" s="1">
        <v>4.9390696042447004</v>
      </c>
      <c r="M377" s="1">
        <v>0.16656341021944238</v>
      </c>
      <c r="O377" s="1">
        <v>7.5504823771364521E-3</v>
      </c>
      <c r="P377" s="1">
        <v>0.79430344952561127</v>
      </c>
      <c r="R377" s="1">
        <v>0.20516905812085923</v>
      </c>
      <c r="S377" s="2">
        <f t="shared" si="72"/>
        <v>0.85838457412604208</v>
      </c>
      <c r="T377" s="4">
        <f t="shared" si="73"/>
        <v>0.7368240770975466</v>
      </c>
      <c r="U377" s="1">
        <f t="shared" ref="U377:U440" si="76">sigma*sigma/alpha/alpha*(B377/12+2/alpha*EXP(-alpha*B377/12)-1/2/alpha*EXP(-2*alpha*B377/12)-3/2/alpha)</f>
        <v>0.41699985643287185</v>
      </c>
      <c r="V377" s="6">
        <f>2*sigma/alpha*corel*(B377/12-1/alpha*(1-EXP(-alpha*Output!B377/12)))</f>
        <v>1.6100942716375446</v>
      </c>
      <c r="W377" s="5">
        <f t="shared" si="74"/>
        <v>-0.31982422066467475</v>
      </c>
      <c r="X377" s="1">
        <f t="shared" si="75"/>
        <v>41.610958484650354</v>
      </c>
      <c r="Y377" s="3">
        <f t="shared" si="65"/>
        <v>7.9353465434784415E-2</v>
      </c>
      <c r="Z377" s="1">
        <f t="shared" si="66"/>
        <v>0.15542897561978153</v>
      </c>
      <c r="AA377" s="8">
        <f t="shared" si="71"/>
        <v>30.416666666666504</v>
      </c>
      <c r="AB377" s="1">
        <v>30.5</v>
      </c>
      <c r="AC377" s="1">
        <v>7.6204601140000003E-3</v>
      </c>
      <c r="AD377" s="8">
        <f t="shared" si="67"/>
        <v>0.6997773686354819</v>
      </c>
      <c r="AE377" s="3">
        <f t="shared" si="68"/>
        <v>9.1828755503867709E-3</v>
      </c>
      <c r="AF377" s="11">
        <f t="shared" si="69"/>
        <v>30.416666666666504</v>
      </c>
      <c r="AG377" s="1">
        <f t="shared" si="70"/>
        <v>0.15542897561978153</v>
      </c>
    </row>
    <row r="378" spans="2:33" ht="15" x14ac:dyDescent="0.25">
      <c r="B378" s="1">
        <v>367</v>
      </c>
      <c r="C378" s="1">
        <v>1.0006243268464694</v>
      </c>
      <c r="D378" s="1">
        <v>1.1872407866248715</v>
      </c>
      <c r="E378" s="1">
        <v>0.84143181410587597</v>
      </c>
      <c r="G378" s="1">
        <v>1.0005923339575375</v>
      </c>
      <c r="H378" s="1">
        <v>4.2398030953434453</v>
      </c>
      <c r="I378" s="1">
        <v>0.1973384723288715</v>
      </c>
      <c r="K378" s="1">
        <v>1.0006069872682213</v>
      </c>
      <c r="L378" s="1">
        <v>4.8820542053313822</v>
      </c>
      <c r="M378" s="1">
        <v>0.16842107915564863</v>
      </c>
      <c r="O378" s="1">
        <v>7.5500833737698111E-3</v>
      </c>
      <c r="P378" s="1">
        <v>0.79381351227283703</v>
      </c>
      <c r="R378" s="1">
        <v>0.20553323439958873</v>
      </c>
      <c r="S378" s="2">
        <f t="shared" si="72"/>
        <v>0.86043312891865154</v>
      </c>
      <c r="T378" s="4">
        <f t="shared" si="73"/>
        <v>0.74034516934074079</v>
      </c>
      <c r="U378" s="1">
        <f t="shared" si="76"/>
        <v>0.41959044827675473</v>
      </c>
      <c r="V378" s="6">
        <f>2*sigma/alpha*corel*(B378/12-1/alpha*(1-EXP(-alpha*Output!B378/12)))</f>
        <v>1.6174407438988667</v>
      </c>
      <c r="W378" s="5">
        <f t="shared" si="74"/>
        <v>-0.32075472106398606</v>
      </c>
      <c r="X378" s="1">
        <f t="shared" si="75"/>
        <v>41.855108770185083</v>
      </c>
      <c r="Y378" s="3">
        <f t="shared" si="65"/>
        <v>7.9326076770788928E-2</v>
      </c>
      <c r="Z378" s="1">
        <f t="shared" si="66"/>
        <v>0.15558750424465792</v>
      </c>
      <c r="AA378" s="8">
        <f t="shared" si="71"/>
        <v>30.499999999999837</v>
      </c>
      <c r="AB378" s="1">
        <v>30.58</v>
      </c>
      <c r="AC378" s="1">
        <v>7.6199783859999997E-3</v>
      </c>
      <c r="AD378" s="8">
        <f t="shared" si="67"/>
        <v>0.69895012230188591</v>
      </c>
      <c r="AE378" s="3">
        <f t="shared" si="68"/>
        <v>9.1725998014121658E-3</v>
      </c>
      <c r="AF378" s="11">
        <f t="shared" si="69"/>
        <v>30.499999999999837</v>
      </c>
      <c r="AG378" s="1">
        <f t="shared" si="70"/>
        <v>0.15558750424465792</v>
      </c>
    </row>
    <row r="379" spans="2:33" ht="15" x14ac:dyDescent="0.25">
      <c r="B379" s="1">
        <v>368</v>
      </c>
      <c r="C379" s="1">
        <v>1.0006254464729232</v>
      </c>
      <c r="D379" s="1">
        <v>1.1850116655668501</v>
      </c>
      <c r="E379" s="1">
        <v>0.84301291553178126</v>
      </c>
      <c r="G379" s="1">
        <v>1.0005112952812831</v>
      </c>
      <c r="H379" s="1">
        <v>4.165606566946396</v>
      </c>
      <c r="I379" s="1">
        <v>0.20075624079323337</v>
      </c>
      <c r="K379" s="1">
        <v>1.0005834902588486</v>
      </c>
      <c r="L379" s="1">
        <v>5.0293616697401102</v>
      </c>
      <c r="M379" s="1">
        <v>0.16340070597744416</v>
      </c>
      <c r="O379" s="1">
        <v>7.5497573882029774E-3</v>
      </c>
      <c r="P379" s="1">
        <v>0.79332215355766567</v>
      </c>
      <c r="R379" s="1">
        <v>0.2058635505110003</v>
      </c>
      <c r="S379" s="2">
        <f t="shared" si="72"/>
        <v>0.86237800380172214</v>
      </c>
      <c r="T379" s="4">
        <f t="shared" si="73"/>
        <v>0.74369582144104307</v>
      </c>
      <c r="U379" s="1">
        <f t="shared" si="76"/>
        <v>0.42218825074372113</v>
      </c>
      <c r="V379" s="6">
        <f>2*sigma/alpha*corel*(B379/12-1/alpha*(1-EXP(-alpha*Output!B379/12)))</f>
        <v>1.6247974331038408</v>
      </c>
      <c r="W379" s="5">
        <f t="shared" si="74"/>
        <v>-0.32150757069732194</v>
      </c>
      <c r="X379" s="1">
        <f t="shared" si="75"/>
        <v>42.078228704158988</v>
      </c>
      <c r="Y379" s="3">
        <f t="shared" si="65"/>
        <v>7.9271346734908182E-2</v>
      </c>
      <c r="Z379" s="1">
        <f t="shared" si="66"/>
        <v>0.15572716750510954</v>
      </c>
      <c r="AA379" s="8">
        <f t="shared" si="71"/>
        <v>30.583333333333169</v>
      </c>
      <c r="AB379" s="1">
        <v>30.67</v>
      </c>
      <c r="AC379" s="1">
        <v>7.6195001590000002E-3</v>
      </c>
      <c r="AD379" s="8">
        <f t="shared" si="67"/>
        <v>0.69742770797022802</v>
      </c>
      <c r="AE379" s="3">
        <f t="shared" si="68"/>
        <v>9.1531950051400735E-3</v>
      </c>
      <c r="AF379" s="11">
        <f t="shared" si="69"/>
        <v>30.583333333333169</v>
      </c>
      <c r="AG379" s="1">
        <f t="shared" si="70"/>
        <v>0.15572716750510954</v>
      </c>
    </row>
    <row r="380" spans="2:33" ht="15" x14ac:dyDescent="0.25">
      <c r="B380" s="1">
        <v>369</v>
      </c>
      <c r="C380" s="1">
        <v>1.0006296422167258</v>
      </c>
      <c r="D380" s="1">
        <v>1.1914761519318924</v>
      </c>
      <c r="E380" s="1">
        <v>0.83843734799245018</v>
      </c>
      <c r="G380" s="1">
        <v>1.000694636058286</v>
      </c>
      <c r="H380" s="1">
        <v>4.3738849277210194</v>
      </c>
      <c r="I380" s="1">
        <v>0.19110401228614463</v>
      </c>
      <c r="K380" s="1">
        <v>1.0004922196114021</v>
      </c>
      <c r="L380" s="1">
        <v>5.1318034219901492</v>
      </c>
      <c r="M380" s="1">
        <v>0.16005047046120313</v>
      </c>
      <c r="O380" s="1">
        <v>7.5494288005118169E-3</v>
      </c>
      <c r="P380" s="1">
        <v>0.79283120550009756</v>
      </c>
      <c r="R380" s="1">
        <v>0.20627081034587039</v>
      </c>
      <c r="S380" s="2">
        <f t="shared" si="72"/>
        <v>0.86457069340981096</v>
      </c>
      <c r="T380" s="4">
        <f t="shared" si="73"/>
        <v>0.74748248390312133</v>
      </c>
      <c r="U380" s="1">
        <f t="shared" si="76"/>
        <v>0.4247932498094662</v>
      </c>
      <c r="V380" s="6">
        <f>2*sigma/alpha*corel*(B380/12-1/alpha*(1-EXP(-alpha*Output!B380/12)))</f>
        <v>1.6321643052526857</v>
      </c>
      <c r="W380" s="5">
        <f t="shared" si="74"/>
        <v>-0.32268923409365513</v>
      </c>
      <c r="X380" s="1">
        <f t="shared" si="75"/>
        <v>42.354736112860564</v>
      </c>
      <c r="Y380" s="3">
        <f t="shared" si="65"/>
        <v>7.9282720845170171E-2</v>
      </c>
      <c r="Z380" s="1">
        <f t="shared" si="66"/>
        <v>0.15591142825419857</v>
      </c>
      <c r="AA380" s="8">
        <f t="shared" si="71"/>
        <v>30.666666666666501</v>
      </c>
      <c r="AB380" s="1">
        <v>30.75</v>
      </c>
      <c r="AC380" s="1">
        <v>7.619025162E-3</v>
      </c>
      <c r="AD380" s="8">
        <f t="shared" si="67"/>
        <v>0.69596361488183034</v>
      </c>
      <c r="AE380" s="3">
        <f t="shared" si="68"/>
        <v>9.1345493692941079E-3</v>
      </c>
      <c r="AF380" s="11">
        <f t="shared" si="69"/>
        <v>30.666666666666501</v>
      </c>
      <c r="AG380" s="1">
        <f t="shared" si="70"/>
        <v>0.15591142825419857</v>
      </c>
    </row>
    <row r="381" spans="2:33" ht="15" x14ac:dyDescent="0.25">
      <c r="B381" s="1">
        <v>370</v>
      </c>
      <c r="C381" s="1">
        <v>1.0006327933216967</v>
      </c>
      <c r="D381" s="1">
        <v>1.1956080333306365</v>
      </c>
      <c r="E381" s="1">
        <v>0.83553810178758647</v>
      </c>
      <c r="G381" s="1">
        <v>1.0007811426711604</v>
      </c>
      <c r="H381" s="1">
        <v>4.5111444375986531</v>
      </c>
      <c r="I381" s="1">
        <v>0.18519970026176927</v>
      </c>
      <c r="K381" s="1">
        <v>1.0005919214421426</v>
      </c>
      <c r="L381" s="1">
        <v>5.229759728630123</v>
      </c>
      <c r="M381" s="1">
        <v>0.15697074399005514</v>
      </c>
      <c r="O381" s="1">
        <v>7.5492125244951032E-3</v>
      </c>
      <c r="P381" s="1">
        <v>0.79233786083252611</v>
      </c>
      <c r="R381" s="1">
        <v>0.20653673827509639</v>
      </c>
      <c r="S381" s="2">
        <f t="shared" si="72"/>
        <v>0.86631690818404317</v>
      </c>
      <c r="T381" s="4">
        <f t="shared" si="73"/>
        <v>0.75050498540555988</v>
      </c>
      <c r="U381" s="1">
        <f t="shared" si="76"/>
        <v>0.4274054314301039</v>
      </c>
      <c r="V381" s="6">
        <f>2*sigma/alpha*corel*(B381/12-1/alpha*(1-EXP(-alpha*Output!B381/12)))</f>
        <v>1.6395413264587635</v>
      </c>
      <c r="W381" s="5">
        <f t="shared" si="74"/>
        <v>-0.32309955397545598</v>
      </c>
      <c r="X381" s="1">
        <f t="shared" si="75"/>
        <v>42.537040751472396</v>
      </c>
      <c r="Y381" s="3">
        <f t="shared" si="65"/>
        <v>7.9175697664440298E-2</v>
      </c>
      <c r="Z381" s="1">
        <f t="shared" si="66"/>
        <v>0.15601507052002864</v>
      </c>
      <c r="AA381" s="8">
        <f t="shared" si="71"/>
        <v>30.749999999999833</v>
      </c>
      <c r="AB381" s="1">
        <v>30.83</v>
      </c>
      <c r="AC381" s="1">
        <v>7.6185531210000001E-3</v>
      </c>
      <c r="AD381" s="8">
        <f t="shared" si="67"/>
        <v>0.6934059650489689</v>
      </c>
      <c r="AE381" s="3">
        <f t="shared" si="68"/>
        <v>9.101544007583862E-3</v>
      </c>
      <c r="AF381" s="11">
        <f t="shared" si="69"/>
        <v>30.749999999999833</v>
      </c>
      <c r="AG381" s="1">
        <f t="shared" si="70"/>
        <v>0.15601507052002864</v>
      </c>
    </row>
    <row r="382" spans="2:33" ht="15" x14ac:dyDescent="0.25">
      <c r="B382" s="1">
        <v>371</v>
      </c>
      <c r="C382" s="1">
        <v>1.0006321254683552</v>
      </c>
      <c r="D382" s="1">
        <v>1.1921553526955522</v>
      </c>
      <c r="E382" s="1">
        <v>0.83795624608429398</v>
      </c>
      <c r="G382" s="1">
        <v>1.000561526063199</v>
      </c>
      <c r="H382" s="1">
        <v>4.3933376523582233</v>
      </c>
      <c r="I382" s="1">
        <v>0.19007381111448385</v>
      </c>
      <c r="K382" s="1">
        <v>1.0004830665887747</v>
      </c>
      <c r="L382" s="1">
        <v>5.2415204346584039</v>
      </c>
      <c r="M382" s="1">
        <v>0.15653302998981516</v>
      </c>
      <c r="O382" s="1">
        <v>7.5490356135765255E-3</v>
      </c>
      <c r="P382" s="1">
        <v>0.7918438879905213</v>
      </c>
      <c r="R382" s="1">
        <v>0.2070167568369897</v>
      </c>
      <c r="S382" s="2">
        <f t="shared" si="72"/>
        <v>0.86875304187259728</v>
      </c>
      <c r="T382" s="4">
        <f t="shared" si="73"/>
        <v>0.75473184776289071</v>
      </c>
      <c r="U382" s="1">
        <f t="shared" si="76"/>
        <v>0.43002478154267276</v>
      </c>
      <c r="V382" s="6">
        <f>2*sigma/alpha*corel*(B382/12-1/alpha*(1-EXP(-alpha*Output!B382/12)))</f>
        <v>1.6469284629482055</v>
      </c>
      <c r="W382" s="5">
        <f t="shared" si="74"/>
        <v>-0.32470706622021794</v>
      </c>
      <c r="X382" s="1">
        <f t="shared" si="75"/>
        <v>42.867813884635893</v>
      </c>
      <c r="Y382" s="3">
        <f t="shared" si="65"/>
        <v>7.9252127330335001E-2</v>
      </c>
      <c r="Z382" s="1">
        <f t="shared" si="66"/>
        <v>0.15624279755393189</v>
      </c>
      <c r="AA382" s="8">
        <f t="shared" si="71"/>
        <v>30.833333333333165</v>
      </c>
      <c r="AB382" s="1">
        <v>30.92</v>
      </c>
      <c r="AC382" s="1">
        <v>7.6180837650000003E-3</v>
      </c>
      <c r="AD382" s="8">
        <f t="shared" si="67"/>
        <v>0.69048151423474824</v>
      </c>
      <c r="AE382" s="3">
        <f t="shared" si="68"/>
        <v>9.0637164874328227E-3</v>
      </c>
      <c r="AF382" s="11">
        <f t="shared" si="69"/>
        <v>30.833333333333165</v>
      </c>
      <c r="AG382" s="1">
        <f t="shared" si="70"/>
        <v>0.15624279755393189</v>
      </c>
    </row>
    <row r="383" spans="2:33" ht="15" x14ac:dyDescent="0.25">
      <c r="B383" s="1">
        <v>372</v>
      </c>
      <c r="C383" s="1">
        <v>1.0006264997715089</v>
      </c>
      <c r="D383" s="1">
        <v>1.1945436985859177</v>
      </c>
      <c r="E383" s="1">
        <v>0.8362791410913033</v>
      </c>
      <c r="G383" s="1">
        <v>0.99994900039924484</v>
      </c>
      <c r="H383" s="1">
        <v>4.4715948892228852</v>
      </c>
      <c r="I383" s="1">
        <v>0.18665699387792153</v>
      </c>
      <c r="K383" s="1">
        <v>1.0005665900726781</v>
      </c>
      <c r="L383" s="1">
        <v>5.2331370537602053</v>
      </c>
      <c r="M383" s="1">
        <v>0.15670139749554235</v>
      </c>
      <c r="O383" s="1">
        <v>7.5489040664158836E-3</v>
      </c>
      <c r="P383" s="1">
        <v>0.79134913358614112</v>
      </c>
      <c r="R383" s="1">
        <v>0.20747336389598037</v>
      </c>
      <c r="S383" s="2">
        <f t="shared" si="72"/>
        <v>0.87111820949795127</v>
      </c>
      <c r="T383" s="4">
        <f t="shared" si="73"/>
        <v>0.75884693491891653</v>
      </c>
      <c r="U383" s="1">
        <f t="shared" si="76"/>
        <v>0.43265128606563019</v>
      </c>
      <c r="V383" s="6">
        <f>2*sigma/alpha*corel*(B383/12-1/alpha*(1-EXP(-alpha*Output!B383/12)))</f>
        <v>1.6543256810595333</v>
      </c>
      <c r="W383" s="5">
        <f t="shared" si="74"/>
        <v>-0.32619564885328634</v>
      </c>
      <c r="X383" s="1">
        <f t="shared" si="75"/>
        <v>43.185053916820593</v>
      </c>
      <c r="Y383" s="3">
        <f t="shared" si="65"/>
        <v>7.9309805218926638E-2</v>
      </c>
      <c r="Z383" s="1">
        <f t="shared" si="66"/>
        <v>0.15645744911790291</v>
      </c>
      <c r="AA383" s="8">
        <f t="shared" si="71"/>
        <v>30.916666666666497</v>
      </c>
      <c r="AB383" s="1">
        <v>31</v>
      </c>
      <c r="AC383" s="1">
        <v>7.6176168210000004E-3</v>
      </c>
      <c r="AD383" s="8">
        <f t="shared" si="67"/>
        <v>0.68712754584116831</v>
      </c>
      <c r="AE383" s="3">
        <f t="shared" si="68"/>
        <v>9.0202429708319976E-3</v>
      </c>
      <c r="AF383" s="11">
        <f t="shared" si="69"/>
        <v>30.916666666666497</v>
      </c>
      <c r="AG383" s="1">
        <f t="shared" si="70"/>
        <v>0.15645744911790291</v>
      </c>
    </row>
    <row r="384" spans="2:33" ht="15" x14ac:dyDescent="0.25">
      <c r="B384" s="1">
        <v>373</v>
      </c>
      <c r="C384" s="1">
        <v>1.000632155189185</v>
      </c>
      <c r="D384" s="1">
        <v>1.1965520585212708</v>
      </c>
      <c r="E384" s="1">
        <v>0.83487376933623958</v>
      </c>
      <c r="G384" s="1">
        <v>1.0002137528793897</v>
      </c>
      <c r="H384" s="1">
        <v>4.540591991628526</v>
      </c>
      <c r="I384" s="1">
        <v>0.18373169927936986</v>
      </c>
      <c r="K384" s="1">
        <v>1.0006213516530573</v>
      </c>
      <c r="L384" s="1">
        <v>5.2706839769731424</v>
      </c>
      <c r="M384" s="1">
        <v>0.15550428234840497</v>
      </c>
      <c r="O384" s="1">
        <v>7.5487888474439031E-3</v>
      </c>
      <c r="P384" s="1">
        <v>0.79085430426392012</v>
      </c>
      <c r="R384" s="1">
        <v>0.20798900051516581</v>
      </c>
      <c r="S384" s="2">
        <f t="shared" si="72"/>
        <v>0.87367597355900561</v>
      </c>
      <c r="T384" s="4">
        <f t="shared" si="73"/>
        <v>0.76330970677427623</v>
      </c>
      <c r="U384" s="1">
        <f t="shared" si="76"/>
        <v>0.43528493089935605</v>
      </c>
      <c r="V384" s="6">
        <f>2*sigma/alpha*corel*(B384/12-1/alpha*(1-EXP(-alpha*Output!B384/12)))</f>
        <v>1.6617329472432876</v>
      </c>
      <c r="W384" s="5">
        <f t="shared" si="74"/>
        <v>-0.32802477587492018</v>
      </c>
      <c r="X384" s="1">
        <f t="shared" si="75"/>
        <v>43.545770188402273</v>
      </c>
      <c r="Y384" s="3">
        <f t="shared" si="65"/>
        <v>7.9418588986695654E-2</v>
      </c>
      <c r="Z384" s="1">
        <f t="shared" si="66"/>
        <v>0.1567063516482137</v>
      </c>
      <c r="AA384" s="8">
        <f t="shared" si="71"/>
        <v>30.999999999999829</v>
      </c>
      <c r="AB384" s="1">
        <v>31.08</v>
      </c>
      <c r="AC384" s="1">
        <v>7.6171520160000002E-3</v>
      </c>
      <c r="AD384" s="8">
        <f t="shared" si="67"/>
        <v>0.68363168556097131</v>
      </c>
      <c r="AE384" s="3">
        <f t="shared" si="68"/>
        <v>8.974898808964132E-3</v>
      </c>
      <c r="AF384" s="11">
        <f t="shared" si="69"/>
        <v>30.999999999999829</v>
      </c>
      <c r="AG384" s="1">
        <f t="shared" si="70"/>
        <v>0.1567063516482137</v>
      </c>
    </row>
    <row r="385" spans="2:33" ht="15" x14ac:dyDescent="0.25">
      <c r="B385" s="1">
        <v>374</v>
      </c>
      <c r="C385" s="1">
        <v>1.0006377682603484</v>
      </c>
      <c r="D385" s="1">
        <v>1.1976901702885721</v>
      </c>
      <c r="E385" s="1">
        <v>0.83407871019534219</v>
      </c>
      <c r="G385" s="1">
        <v>1.0005023901815611</v>
      </c>
      <c r="H385" s="1">
        <v>4.5787719508531479</v>
      </c>
      <c r="I385" s="1">
        <v>0.18211151558047631</v>
      </c>
      <c r="K385" s="1">
        <v>1.000806171395801</v>
      </c>
      <c r="L385" s="1">
        <v>5.1160241149402177</v>
      </c>
      <c r="M385" s="1">
        <v>0.16011651835854385</v>
      </c>
      <c r="O385" s="1">
        <v>7.5486503620729043E-3</v>
      </c>
      <c r="P385" s="1">
        <v>0.79036037265370673</v>
      </c>
      <c r="R385" s="1">
        <v>0.20845556430989284</v>
      </c>
      <c r="S385" s="2">
        <f t="shared" si="72"/>
        <v>0.8760772383875346</v>
      </c>
      <c r="T385" s="4">
        <f t="shared" si="73"/>
        <v>0.76751132762072916</v>
      </c>
      <c r="U385" s="1">
        <f t="shared" si="76"/>
        <v>0.43792570192664115</v>
      </c>
      <c r="V385" s="6">
        <f>2*sigma/alpha*corel*(B385/12-1/alpha*(1-EXP(-alpha*Output!B385/12)))</f>
        <v>1.669150228061655</v>
      </c>
      <c r="W385" s="5">
        <f t="shared" si="74"/>
        <v>-0.329585625694088</v>
      </c>
      <c r="X385" s="1">
        <f t="shared" si="75"/>
        <v>43.87440382036791</v>
      </c>
      <c r="Y385" s="3">
        <f t="shared" si="65"/>
        <v>7.9485969286058444E-2</v>
      </c>
      <c r="Z385" s="1">
        <f t="shared" si="66"/>
        <v>0.15692683614432998</v>
      </c>
      <c r="AA385" s="8">
        <f t="shared" si="71"/>
        <v>31.083333333333162</v>
      </c>
      <c r="AB385" s="1">
        <v>31.17</v>
      </c>
      <c r="AC385" s="1">
        <v>7.6166891319999997E-3</v>
      </c>
      <c r="AD385" s="8">
        <f t="shared" si="67"/>
        <v>0.68038769927095466</v>
      </c>
      <c r="AE385" s="3">
        <f t="shared" si="68"/>
        <v>8.9328537305328835E-3</v>
      </c>
      <c r="AF385" s="11">
        <f t="shared" si="69"/>
        <v>31.083333333333162</v>
      </c>
      <c r="AG385" s="1">
        <f t="shared" si="70"/>
        <v>0.15692683614432998</v>
      </c>
    </row>
    <row r="386" spans="2:33" ht="15" x14ac:dyDescent="0.25">
      <c r="B386" s="1">
        <v>375</v>
      </c>
      <c r="C386" s="1">
        <v>1.0006389697488911</v>
      </c>
      <c r="D386" s="1">
        <v>1.2005714693628131</v>
      </c>
      <c r="E386" s="1">
        <v>0.83207525653708825</v>
      </c>
      <c r="G386" s="1">
        <v>1.000427216351969</v>
      </c>
      <c r="H386" s="1">
        <v>4.677994924916077</v>
      </c>
      <c r="I386" s="1">
        <v>0.17816259405985665</v>
      </c>
      <c r="K386" s="1">
        <v>1.0006643114178948</v>
      </c>
      <c r="L386" s="1">
        <v>5.1526628922655435</v>
      </c>
      <c r="M386" s="1">
        <v>0.15889573472058766</v>
      </c>
      <c r="O386" s="1">
        <v>7.5484923561645939E-3</v>
      </c>
      <c r="P386" s="1">
        <v>0.78986724959367027</v>
      </c>
      <c r="R386" s="1">
        <v>0.20880962154804475</v>
      </c>
      <c r="S386" s="2">
        <f t="shared" si="72"/>
        <v>0.87811752038982727</v>
      </c>
      <c r="T386" s="4">
        <f t="shared" si="73"/>
        <v>0.77109037961557869</v>
      </c>
      <c r="U386" s="1">
        <f t="shared" si="76"/>
        <v>0.44057358501317312</v>
      </c>
      <c r="V386" s="6">
        <f>2*sigma/alpha*corel*(B386/12-1/alpha*(1-EXP(-alpha*Output!B386/12)))</f>
        <v>1.6765774901880941</v>
      </c>
      <c r="W386" s="5">
        <f t="shared" si="74"/>
        <v>-0.33051679460240557</v>
      </c>
      <c r="X386" s="1">
        <f t="shared" si="75"/>
        <v>44.12551140590611</v>
      </c>
      <c r="Y386" s="3">
        <f t="shared" si="65"/>
        <v>7.9458018104382966E-2</v>
      </c>
      <c r="Z386" s="1">
        <f t="shared" si="66"/>
        <v>0.15708243742601691</v>
      </c>
      <c r="AA386" s="8">
        <f t="shared" si="71"/>
        <v>31.166666666666494</v>
      </c>
      <c r="AB386" s="1">
        <v>31.25</v>
      </c>
      <c r="AC386" s="1">
        <v>7.6162281620000003E-3</v>
      </c>
      <c r="AD386" s="8">
        <f t="shared" si="67"/>
        <v>0.67735805835406404</v>
      </c>
      <c r="AE386" s="3">
        <f t="shared" si="68"/>
        <v>8.893615631601454E-3</v>
      </c>
      <c r="AF386" s="11">
        <f t="shared" si="69"/>
        <v>31.166666666666494</v>
      </c>
      <c r="AG386" s="1">
        <f t="shared" si="70"/>
        <v>0.15708243742601691</v>
      </c>
    </row>
    <row r="387" spans="2:33" ht="15" x14ac:dyDescent="0.25">
      <c r="B387" s="1">
        <v>376</v>
      </c>
      <c r="C387" s="1">
        <v>1.0006419333517147</v>
      </c>
      <c r="D387" s="1">
        <v>1.2031861649876956</v>
      </c>
      <c r="E387" s="1">
        <v>0.83026532303322398</v>
      </c>
      <c r="G387" s="1">
        <v>1.0005135263239175</v>
      </c>
      <c r="H387" s="1">
        <v>4.7689589327012598</v>
      </c>
      <c r="I387" s="1">
        <v>0.17467974205206269</v>
      </c>
      <c r="K387" s="1">
        <v>1.0007007444258298</v>
      </c>
      <c r="L387" s="1">
        <v>5.297300006696716</v>
      </c>
      <c r="M387" s="1">
        <v>0.1544740827312045</v>
      </c>
      <c r="O387" s="1">
        <v>7.5483473017884141E-3</v>
      </c>
      <c r="P387" s="1">
        <v>0.78937413465182316</v>
      </c>
      <c r="R387" s="1">
        <v>0.20916562260697336</v>
      </c>
      <c r="S387" s="2">
        <f t="shared" si="72"/>
        <v>0.88016623409192318</v>
      </c>
      <c r="T387" s="4">
        <f t="shared" si="73"/>
        <v>0.77469259963555814</v>
      </c>
      <c r="U387" s="1">
        <f t="shared" si="76"/>
        <v>0.44322856600802041</v>
      </c>
      <c r="V387" s="6">
        <f>2*sigma/alpha*corel*(B387/12-1/alpha*(1-EXP(-alpha*Output!B387/12)))</f>
        <v>1.6840147004069683</v>
      </c>
      <c r="W387" s="5">
        <f t="shared" si="74"/>
        <v>-0.33146403362753774</v>
      </c>
      <c r="X387" s="1">
        <f t="shared" si="75"/>
        <v>44.379397725838167</v>
      </c>
      <c r="Y387" s="3">
        <f t="shared" si="65"/>
        <v>7.9432526745826654E-2</v>
      </c>
      <c r="Z387" s="1">
        <f t="shared" si="66"/>
        <v>0.15723940951066465</v>
      </c>
      <c r="AA387" s="8">
        <f t="shared" si="71"/>
        <v>31.249999999999826</v>
      </c>
      <c r="AB387" s="1">
        <v>31.33</v>
      </c>
      <c r="AC387" s="1">
        <v>7.6157691550000003E-3</v>
      </c>
      <c r="AD387" s="8">
        <f t="shared" si="67"/>
        <v>0.67421853211586247</v>
      </c>
      <c r="AE387" s="3">
        <f t="shared" si="68"/>
        <v>8.8529276346725402E-3</v>
      </c>
      <c r="AF387" s="11">
        <f t="shared" si="69"/>
        <v>31.249999999999826</v>
      </c>
      <c r="AG387" s="1">
        <f t="shared" si="70"/>
        <v>0.15723940951066465</v>
      </c>
    </row>
    <row r="388" spans="2:33" ht="15" x14ac:dyDescent="0.25">
      <c r="B388" s="1">
        <v>377</v>
      </c>
      <c r="C388" s="1">
        <v>1.0006387770557508</v>
      </c>
      <c r="D388" s="1">
        <v>1.2060430917835032</v>
      </c>
      <c r="E388" s="1">
        <v>0.82829684054751296</v>
      </c>
      <c r="G388" s="1">
        <v>1.0001080424613995</v>
      </c>
      <c r="H388" s="1">
        <v>4.869562136401739</v>
      </c>
      <c r="I388" s="1">
        <v>0.17098816946712281</v>
      </c>
      <c r="K388" s="1">
        <v>1.0007562854200849</v>
      </c>
      <c r="L388" s="1">
        <v>5.3000525060489787</v>
      </c>
      <c r="M388" s="1">
        <v>0.15431351873430338</v>
      </c>
      <c r="O388" s="1">
        <v>7.5481739909003228E-3</v>
      </c>
      <c r="P388" s="1">
        <v>0.7888820469442589</v>
      </c>
      <c r="R388" s="1">
        <v>0.20954105294932934</v>
      </c>
      <c r="S388" s="2">
        <f t="shared" si="72"/>
        <v>0.88227792279821293</v>
      </c>
      <c r="T388" s="4">
        <f t="shared" si="73"/>
        <v>0.77841433305712937</v>
      </c>
      <c r="U388" s="1">
        <f t="shared" si="76"/>
        <v>0.44589063074411284</v>
      </c>
      <c r="V388" s="6">
        <f>2*sigma/alpha*corel*(B388/12-1/alpha*(1-EXP(-alpha*Output!B388/12)))</f>
        <v>1.6914618256131773</v>
      </c>
      <c r="W388" s="5">
        <f t="shared" si="74"/>
        <v>-0.33252370231301653</v>
      </c>
      <c r="X388" s="1">
        <f t="shared" si="75"/>
        <v>44.648188364842404</v>
      </c>
      <c r="Y388" s="3">
        <f t="shared" si="65"/>
        <v>7.9423896483977574E-2</v>
      </c>
      <c r="Z388" s="1">
        <f t="shared" si="66"/>
        <v>0.15740747774347888</v>
      </c>
      <c r="AA388" s="8">
        <f t="shared" si="71"/>
        <v>31.333333333333158</v>
      </c>
      <c r="AB388" s="1">
        <v>31.42</v>
      </c>
      <c r="AC388" s="1">
        <v>7.6153121580000002E-3</v>
      </c>
      <c r="AD388" s="8">
        <f t="shared" si="67"/>
        <v>0.67138167099677415</v>
      </c>
      <c r="AE388" s="3">
        <f t="shared" si="68"/>
        <v>8.8162068352178793E-3</v>
      </c>
      <c r="AF388" s="11">
        <f t="shared" si="69"/>
        <v>31.333333333333158</v>
      </c>
      <c r="AG388" s="1">
        <f t="shared" si="70"/>
        <v>0.15740747774347888</v>
      </c>
    </row>
    <row r="389" spans="2:33" ht="15" x14ac:dyDescent="0.25">
      <c r="B389" s="1">
        <v>378</v>
      </c>
      <c r="C389" s="1">
        <v>1.0006376570804101</v>
      </c>
      <c r="D389" s="1">
        <v>1.2068476480128552</v>
      </c>
      <c r="E389" s="1">
        <v>0.82774293211987482</v>
      </c>
      <c r="G389" s="1">
        <v>0.99988238992608025</v>
      </c>
      <c r="H389" s="1">
        <v>4.9001641048872937</v>
      </c>
      <c r="I389" s="1">
        <v>0.16983813021221525</v>
      </c>
      <c r="K389" s="1">
        <v>1.000830405112562</v>
      </c>
      <c r="L389" s="1">
        <v>5.324853911372788</v>
      </c>
      <c r="M389" s="1">
        <v>0.15351104485527584</v>
      </c>
      <c r="O389" s="1">
        <v>7.5479370977188636E-3</v>
      </c>
      <c r="P389" s="1">
        <v>0.78839186779482862</v>
      </c>
      <c r="R389" s="1">
        <v>0.2099835154849278</v>
      </c>
      <c r="S389" s="2">
        <f t="shared" si="72"/>
        <v>0.88460476025263413</v>
      </c>
      <c r="T389" s="4">
        <f t="shared" si="73"/>
        <v>0.78252558186162025</v>
      </c>
      <c r="U389" s="1">
        <f t="shared" si="76"/>
        <v>0.44855976503871053</v>
      </c>
      <c r="V389" s="6">
        <f>2*sigma/alpha*corel*(B389/12-1/alpha*(1-EXP(-alpha*Output!B389/12)))</f>
        <v>1.6989188328117826</v>
      </c>
      <c r="W389" s="5">
        <f t="shared" si="74"/>
        <v>-0.33396581682290971</v>
      </c>
      <c r="X389" s="1">
        <f t="shared" si="75"/>
        <v>44.966018120169174</v>
      </c>
      <c r="Y389" s="3">
        <f t="shared" si="65"/>
        <v>7.9472250183429058E-2</v>
      </c>
      <c r="Z389" s="1">
        <f t="shared" si="66"/>
        <v>0.15761371121784096</v>
      </c>
      <c r="AA389" s="8">
        <f t="shared" si="71"/>
        <v>31.41666666666649</v>
      </c>
      <c r="AB389" s="1">
        <v>31.5</v>
      </c>
      <c r="AC389" s="1">
        <v>7.6148572189999996E-3</v>
      </c>
      <c r="AD389" s="8">
        <f t="shared" si="67"/>
        <v>0.66920121281136002</v>
      </c>
      <c r="AE389" s="3">
        <f t="shared" si="68"/>
        <v>8.7880992849297436E-3</v>
      </c>
      <c r="AF389" s="11">
        <f t="shared" si="69"/>
        <v>31.41666666666649</v>
      </c>
      <c r="AG389" s="1">
        <f t="shared" si="70"/>
        <v>0.15761371121784096</v>
      </c>
    </row>
    <row r="390" spans="2:33" ht="15" x14ac:dyDescent="0.25">
      <c r="B390" s="1">
        <v>379</v>
      </c>
      <c r="C390" s="1">
        <v>1.0006370878776205</v>
      </c>
      <c r="D390" s="1">
        <v>1.2084128538415273</v>
      </c>
      <c r="E390" s="1">
        <v>0.82666907374985366</v>
      </c>
      <c r="G390" s="1">
        <v>0.99968136776436367</v>
      </c>
      <c r="H390" s="1">
        <v>4.9554187209658025</v>
      </c>
      <c r="I390" s="1">
        <v>0.16786312988636984</v>
      </c>
      <c r="K390" s="1">
        <v>1.0006187975480474</v>
      </c>
      <c r="L390" s="1">
        <v>5.3337669346100487</v>
      </c>
      <c r="M390" s="1">
        <v>0.1531738160637808</v>
      </c>
      <c r="O390" s="1">
        <v>7.5476673285944235E-3</v>
      </c>
      <c r="P390" s="1">
        <v>0.78790284243504827</v>
      </c>
      <c r="R390" s="1">
        <v>0.21037645811860653</v>
      </c>
      <c r="S390" s="2">
        <f t="shared" si="72"/>
        <v>0.88677215877349247</v>
      </c>
      <c r="T390" s="4">
        <f t="shared" si="73"/>
        <v>0.7863648615758001</v>
      </c>
      <c r="U390" s="1">
        <f t="shared" si="76"/>
        <v>0.45123595469387645</v>
      </c>
      <c r="V390" s="6">
        <f>2*sigma/alpha*corel*(B390/12-1/alpha*(1-EXP(-alpha*Output!B390/12)))</f>
        <v>1.7063856891176497</v>
      </c>
      <c r="W390" s="5">
        <f t="shared" si="74"/>
        <v>-0.33512890688192365</v>
      </c>
      <c r="X390" s="1">
        <f t="shared" si="75"/>
        <v>45.249704022775205</v>
      </c>
      <c r="Y390" s="3">
        <f t="shared" si="65"/>
        <v>7.9478696589488695E-2</v>
      </c>
      <c r="Z390" s="1">
        <f t="shared" si="66"/>
        <v>0.1577913048334032</v>
      </c>
      <c r="AA390" s="8">
        <f t="shared" si="71"/>
        <v>31.499999999999822</v>
      </c>
      <c r="AB390" s="1">
        <v>31.58</v>
      </c>
      <c r="AC390" s="1">
        <v>7.6144043860000002E-3</v>
      </c>
      <c r="AD390" s="8">
        <f t="shared" si="67"/>
        <v>0.66737057405576694</v>
      </c>
      <c r="AE390" s="3">
        <f t="shared" si="68"/>
        <v>8.7645801329229132E-3</v>
      </c>
      <c r="AF390" s="11">
        <f t="shared" si="69"/>
        <v>31.499999999999822</v>
      </c>
      <c r="AG390" s="1">
        <f t="shared" si="70"/>
        <v>0.1577913048334032</v>
      </c>
    </row>
    <row r="391" spans="2:33" ht="15" x14ac:dyDescent="0.25">
      <c r="B391" s="1">
        <v>380</v>
      </c>
      <c r="C391" s="1">
        <v>1.0006407191517819</v>
      </c>
      <c r="D391" s="1">
        <v>1.2069194140014576</v>
      </c>
      <c r="E391" s="1">
        <v>0.82769026875699669</v>
      </c>
      <c r="G391" s="1">
        <v>0.99977882956546094</v>
      </c>
      <c r="H391" s="1">
        <v>4.8985844929161839</v>
      </c>
      <c r="I391" s="1">
        <v>0.16972855697169975</v>
      </c>
      <c r="K391" s="1">
        <v>1.0005390666792842</v>
      </c>
      <c r="L391" s="1">
        <v>5.2772843903952094</v>
      </c>
      <c r="M391" s="1">
        <v>0.15473069788547456</v>
      </c>
      <c r="O391" s="1">
        <v>7.547418016854917E-3</v>
      </c>
      <c r="P391" s="1">
        <v>0.78741364571201966</v>
      </c>
      <c r="R391" s="1">
        <v>0.21083510370581929</v>
      </c>
      <c r="S391" s="2">
        <f t="shared" si="72"/>
        <v>0.88915467023949879</v>
      </c>
      <c r="T391" s="4">
        <f t="shared" si="73"/>
        <v>0.79059602760871184</v>
      </c>
      <c r="U391" s="1">
        <f t="shared" si="76"/>
        <v>0.45391918549694399</v>
      </c>
      <c r="V391" s="6">
        <f>2*sigma/alpha*corel*(B391/12-1/alpha*(1-EXP(-alpha*Output!B391/12)))</f>
        <v>1.7138623617550786</v>
      </c>
      <c r="W391" s="5">
        <f t="shared" si="74"/>
        <v>-0.33667684211176785</v>
      </c>
      <c r="X391" s="1">
        <f t="shared" si="75"/>
        <v>45.583057529197959</v>
      </c>
      <c r="Y391" s="3">
        <f t="shared" si="65"/>
        <v>7.9542003891425295E-2</v>
      </c>
      <c r="Z391" s="1">
        <f t="shared" si="66"/>
        <v>0.15800693132118687</v>
      </c>
      <c r="AA391" s="8">
        <f t="shared" si="71"/>
        <v>31.583333333333155</v>
      </c>
      <c r="AB391" s="1">
        <v>31.67</v>
      </c>
      <c r="AC391" s="1">
        <v>7.6139537069999999E-3</v>
      </c>
      <c r="AD391" s="8">
        <f t="shared" si="67"/>
        <v>0.6653569014508296</v>
      </c>
      <c r="AE391" s="3">
        <f t="shared" si="68"/>
        <v>8.7386517840149728E-3</v>
      </c>
      <c r="AF391" s="11">
        <f t="shared" si="69"/>
        <v>31.583333333333155</v>
      </c>
      <c r="AG391" s="1">
        <f t="shared" si="70"/>
        <v>0.15800693132118687</v>
      </c>
    </row>
    <row r="392" spans="2:33" ht="15" x14ac:dyDescent="0.25">
      <c r="B392" s="1">
        <v>381</v>
      </c>
      <c r="C392" s="1">
        <v>1.0006432273726815</v>
      </c>
      <c r="D392" s="1">
        <v>1.2071324165476485</v>
      </c>
      <c r="E392" s="1">
        <v>0.82754249295446247</v>
      </c>
      <c r="G392" s="1">
        <v>0.99980868271887469</v>
      </c>
      <c r="H392" s="1">
        <v>4.9052605545417087</v>
      </c>
      <c r="I392" s="1">
        <v>0.16941555748415918</v>
      </c>
      <c r="K392" s="1">
        <v>1.0004694707560509</v>
      </c>
      <c r="L392" s="1">
        <v>5.3108727065715495</v>
      </c>
      <c r="M392" s="1">
        <v>0.15366800820404095</v>
      </c>
      <c r="O392" s="1">
        <v>7.5471792565686632E-3</v>
      </c>
      <c r="P392" s="1">
        <v>0.78692452179539674</v>
      </c>
      <c r="R392" s="1">
        <v>0.21116541319646076</v>
      </c>
      <c r="S392" s="2">
        <f t="shared" si="72"/>
        <v>0.89112455397725143</v>
      </c>
      <c r="T392" s="4">
        <f t="shared" si="73"/>
        <v>0.79410297070115532</v>
      </c>
      <c r="U392" s="1">
        <f t="shared" si="76"/>
        <v>0.45660944322097219</v>
      </c>
      <c r="V392" s="6">
        <f>2*sigma/alpha*corel*(B392/12-1/alpha*(1-EXP(-alpha*Output!B392/12)))</f>
        <v>1.7213488180574368</v>
      </c>
      <c r="W392" s="5">
        <f t="shared" si="74"/>
        <v>-0.33749352748018313</v>
      </c>
      <c r="X392" s="1">
        <f t="shared" si="75"/>
        <v>45.824719743410988</v>
      </c>
      <c r="Y392" s="3">
        <f t="shared" si="65"/>
        <v>7.9496803151790141E-2</v>
      </c>
      <c r="Z392" s="1">
        <f t="shared" si="66"/>
        <v>0.15814903473444902</v>
      </c>
      <c r="AA392" s="8">
        <f t="shared" si="71"/>
        <v>31.666666666666487</v>
      </c>
      <c r="AB392" s="1">
        <v>31.75</v>
      </c>
      <c r="AC392" s="1">
        <v>7.6135052300000004E-3</v>
      </c>
      <c r="AD392" s="8">
        <f t="shared" si="67"/>
        <v>0.6632597343133716</v>
      </c>
      <c r="AE392" s="3">
        <f t="shared" si="68"/>
        <v>8.7116211820527176E-3</v>
      </c>
      <c r="AF392" s="11">
        <f t="shared" si="69"/>
        <v>31.666666666666487</v>
      </c>
      <c r="AG392" s="1">
        <f t="shared" si="70"/>
        <v>0.15814903473444902</v>
      </c>
    </row>
    <row r="393" spans="2:33" ht="15" x14ac:dyDescent="0.25">
      <c r="B393" s="1">
        <v>382</v>
      </c>
      <c r="C393" s="1">
        <v>1.000645592596233</v>
      </c>
      <c r="D393" s="1">
        <v>1.2094969541182949</v>
      </c>
      <c r="E393" s="1">
        <v>0.82592294000354649</v>
      </c>
      <c r="G393" s="1">
        <v>0.99984586349573001</v>
      </c>
      <c r="H393" s="1">
        <v>4.9910656026379385</v>
      </c>
      <c r="I393" s="1">
        <v>0.16642246072390288</v>
      </c>
      <c r="K393" s="1">
        <v>1.0004930681022437</v>
      </c>
      <c r="L393" s="1">
        <v>5.3244573645004563</v>
      </c>
      <c r="M393" s="1">
        <v>0.15319547523895022</v>
      </c>
      <c r="O393" s="1">
        <v>7.5469942049624789E-3</v>
      </c>
      <c r="P393" s="1">
        <v>0.78643438841793478</v>
      </c>
      <c r="R393" s="1">
        <v>0.21159627792078189</v>
      </c>
      <c r="S393" s="2">
        <f t="shared" si="72"/>
        <v>0.89342398606616902</v>
      </c>
      <c r="T393" s="4">
        <f t="shared" si="73"/>
        <v>0.79820641887836219</v>
      </c>
      <c r="U393" s="1">
        <f t="shared" si="76"/>
        <v>0.45930671362520537</v>
      </c>
      <c r="V393" s="6">
        <f>2*sigma/alpha*corel*(B393/12-1/alpha*(1-EXP(-alpha*Output!B393/12)))</f>
        <v>1.7288450254668022</v>
      </c>
      <c r="W393" s="5">
        <f t="shared" si="74"/>
        <v>-0.33889970525315682</v>
      </c>
      <c r="X393" s="1">
        <f t="shared" si="75"/>
        <v>46.142134257649943</v>
      </c>
      <c r="Y393" s="3">
        <f t="shared" si="65"/>
        <v>7.9538562604554969E-2</v>
      </c>
      <c r="Z393" s="1">
        <f t="shared" si="66"/>
        <v>0.15834944644644702</v>
      </c>
      <c r="AA393" s="8">
        <f t="shared" si="71"/>
        <v>31.749999999999819</v>
      </c>
      <c r="AB393" s="1">
        <v>31.83</v>
      </c>
      <c r="AC393" s="1">
        <v>7.6130590060000001E-3</v>
      </c>
      <c r="AD393" s="8">
        <f t="shared" si="67"/>
        <v>0.66064801037521259</v>
      </c>
      <c r="AE393" s="3">
        <f t="shared" si="68"/>
        <v>8.6778259547777448E-3</v>
      </c>
      <c r="AF393" s="11">
        <f t="shared" si="69"/>
        <v>31.749999999999819</v>
      </c>
      <c r="AG393" s="1">
        <f t="shared" si="70"/>
        <v>0.15834944644644702</v>
      </c>
    </row>
    <row r="394" spans="2:33" ht="15" x14ac:dyDescent="0.25">
      <c r="B394" s="1">
        <v>383</v>
      </c>
      <c r="C394" s="1">
        <v>1.000647919483854</v>
      </c>
      <c r="D394" s="1">
        <v>1.210905283106404</v>
      </c>
      <c r="E394" s="1">
        <v>0.82496063113986084</v>
      </c>
      <c r="G394" s="1">
        <v>0.99985833072114094</v>
      </c>
      <c r="H394" s="1">
        <v>5.0419316847904962</v>
      </c>
      <c r="I394" s="1">
        <v>0.16466378998557743</v>
      </c>
      <c r="K394" s="1">
        <v>1.0008267936912887</v>
      </c>
      <c r="L394" s="1">
        <v>5.5812322412226258</v>
      </c>
      <c r="M394" s="1">
        <v>0.14607018759986845</v>
      </c>
      <c r="O394" s="1">
        <v>7.5468592868622487E-3</v>
      </c>
      <c r="P394" s="1">
        <v>0.78594332697398184</v>
      </c>
      <c r="R394" s="1">
        <v>0.21224115446947031</v>
      </c>
      <c r="S394" s="2">
        <f t="shared" si="72"/>
        <v>0.89642135767918862</v>
      </c>
      <c r="T394" s="4">
        <f t="shared" si="73"/>
        <v>0.80357125050339984</v>
      </c>
      <c r="U394" s="1">
        <f t="shared" si="76"/>
        <v>0.46201098245552652</v>
      </c>
      <c r="V394" s="6">
        <f>2*sigma/alpha*corel*(B394/12-1/alpha*(1-EXP(-alpha*Output!B394/12)))</f>
        <v>1.7363509515335984</v>
      </c>
      <c r="W394" s="5">
        <f t="shared" si="74"/>
        <v>-0.34156026804787332</v>
      </c>
      <c r="X394" s="1">
        <f t="shared" si="75"/>
        <v>46.620775514336785</v>
      </c>
      <c r="Y394" s="3">
        <f t="shared" si="65"/>
        <v>7.976380957463837E-2</v>
      </c>
      <c r="Z394" s="1">
        <f t="shared" si="66"/>
        <v>0.15867314554643452</v>
      </c>
      <c r="AA394" s="8">
        <f t="shared" si="71"/>
        <v>31.833333333333151</v>
      </c>
      <c r="AB394" s="1">
        <v>31.92</v>
      </c>
      <c r="AC394" s="1">
        <v>7.6126150829999998E-3</v>
      </c>
      <c r="AD394" s="8">
        <f t="shared" si="67"/>
        <v>0.65755796137751021</v>
      </c>
      <c r="AE394" s="3">
        <f t="shared" si="68"/>
        <v>8.6377408316089185E-3</v>
      </c>
      <c r="AF394" s="11">
        <f t="shared" si="69"/>
        <v>31.833333333333151</v>
      </c>
      <c r="AG394" s="1">
        <f t="shared" si="70"/>
        <v>0.15867314554643452</v>
      </c>
    </row>
    <row r="395" spans="2:33" ht="15" x14ac:dyDescent="0.25">
      <c r="B395" s="1">
        <v>384</v>
      </c>
      <c r="C395" s="1">
        <v>1.000652574820035</v>
      </c>
      <c r="D395" s="1">
        <v>1.2092527888844857</v>
      </c>
      <c r="E395" s="1">
        <v>0.82608623927188463</v>
      </c>
      <c r="G395" s="1">
        <v>1.0000743750283416</v>
      </c>
      <c r="H395" s="1">
        <v>4.9785486293242522</v>
      </c>
      <c r="I395" s="1">
        <v>0.16667948753178441</v>
      </c>
      <c r="K395" s="1">
        <v>1.0006100767209065</v>
      </c>
      <c r="L395" s="1">
        <v>5.648630556580688</v>
      </c>
      <c r="M395" s="1">
        <v>0.14425218216318925</v>
      </c>
      <c r="O395" s="1">
        <v>7.5467379540228845E-3</v>
      </c>
      <c r="P395" s="1">
        <v>0.78545224835969929</v>
      </c>
      <c r="R395" s="1">
        <v>0.21255075423566314</v>
      </c>
      <c r="S395" s="2">
        <f t="shared" si="72"/>
        <v>0.89833501064968835</v>
      </c>
      <c r="T395" s="4">
        <f t="shared" si="73"/>
        <v>0.80700579135897565</v>
      </c>
      <c r="U395" s="1">
        <f t="shared" si="76"/>
        <v>0.46472223544490365</v>
      </c>
      <c r="V395" s="6">
        <f>2*sigma/alpha*corel*(B395/12-1/alpha*(1-EXP(-alpha*Output!B395/12)))</f>
        <v>1.7438665639162316</v>
      </c>
      <c r="W395" s="5">
        <f t="shared" si="74"/>
        <v>-0.342283555914072</v>
      </c>
      <c r="X395" s="1">
        <f t="shared" si="75"/>
        <v>46.853365749746217</v>
      </c>
      <c r="Y395" s="3">
        <f t="shared" si="65"/>
        <v>7.9704457504809659E-2</v>
      </c>
      <c r="Z395" s="1">
        <f t="shared" si="66"/>
        <v>0.158804694451921</v>
      </c>
      <c r="AA395" s="8">
        <f t="shared" si="71"/>
        <v>31.916666666666483</v>
      </c>
      <c r="AB395" s="1">
        <v>32</v>
      </c>
      <c r="AC395" s="1">
        <v>7.6121735100000004E-3</v>
      </c>
      <c r="AD395" s="8">
        <f t="shared" si="67"/>
        <v>0.65435555977115878</v>
      </c>
      <c r="AE395" s="3">
        <f t="shared" si="68"/>
        <v>8.5961724192379681E-3</v>
      </c>
      <c r="AF395" s="11">
        <f t="shared" si="69"/>
        <v>31.916666666666483</v>
      </c>
      <c r="AG395" s="1">
        <f t="shared" si="70"/>
        <v>0.158804694451921</v>
      </c>
    </row>
    <row r="396" spans="2:33" ht="15" x14ac:dyDescent="0.25">
      <c r="B396" s="1">
        <v>385</v>
      </c>
      <c r="C396" s="1">
        <v>1.0006541947402416</v>
      </c>
      <c r="D396" s="1">
        <v>1.2050945706970277</v>
      </c>
      <c r="E396" s="1">
        <v>0.82893493218188297</v>
      </c>
      <c r="G396" s="1">
        <v>1.0000482055353555</v>
      </c>
      <c r="H396" s="1">
        <v>4.8252646593182034</v>
      </c>
      <c r="I396" s="1">
        <v>0.17189118935131603</v>
      </c>
      <c r="K396" s="1">
        <v>1.000394596642229</v>
      </c>
      <c r="L396" s="1">
        <v>5.597413877305824</v>
      </c>
      <c r="M396" s="1">
        <v>0.14549289251545477</v>
      </c>
      <c r="O396" s="1">
        <v>7.5466264255573496E-3</v>
      </c>
      <c r="P396" s="1">
        <v>0.78496124554310853</v>
      </c>
      <c r="R396" s="1">
        <v>0.21290545624650653</v>
      </c>
      <c r="S396" s="2">
        <f t="shared" si="72"/>
        <v>0.90039694048724828</v>
      </c>
      <c r="T396" s="4">
        <f t="shared" si="73"/>
        <v>0.81071465043879731</v>
      </c>
      <c r="U396" s="1">
        <f t="shared" si="76"/>
        <v>0.4674404583138343</v>
      </c>
      <c r="V396" s="6">
        <f>2*sigma/alpha*corel*(B396/12-1/alpha*(1-EXP(-alpha*Output!B396/12)))</f>
        <v>1.7513918303807365</v>
      </c>
      <c r="W396" s="5">
        <f t="shared" si="74"/>
        <v>-0.34327419212496302</v>
      </c>
      <c r="X396" s="1">
        <f t="shared" si="75"/>
        <v>47.120894666227969</v>
      </c>
      <c r="Y396" s="3">
        <f t="shared" si="65"/>
        <v>7.9684274136685662E-2</v>
      </c>
      <c r="Z396" s="1">
        <f t="shared" si="66"/>
        <v>0.15896234794952183</v>
      </c>
      <c r="AA396" s="8">
        <f t="shared" si="71"/>
        <v>31.999999999999815</v>
      </c>
      <c r="AB396" s="1">
        <v>32.08</v>
      </c>
      <c r="AC396" s="1">
        <v>7.6117343370000002E-3</v>
      </c>
      <c r="AD396" s="8">
        <f t="shared" si="67"/>
        <v>0.65107911442650535</v>
      </c>
      <c r="AE396" s="3">
        <f t="shared" si="68"/>
        <v>8.5536237288480303E-3</v>
      </c>
      <c r="AF396" s="11">
        <f t="shared" si="69"/>
        <v>31.999999999999815</v>
      </c>
      <c r="AG396" s="1">
        <f t="shared" si="70"/>
        <v>0.15896234794952183</v>
      </c>
    </row>
    <row r="397" spans="2:33" ht="15" x14ac:dyDescent="0.25">
      <c r="B397" s="1">
        <v>386</v>
      </c>
      <c r="C397" s="1">
        <v>1.0006526389582346</v>
      </c>
      <c r="D397" s="1">
        <v>1.2126768186020478</v>
      </c>
      <c r="E397" s="1">
        <v>0.82375028872493794</v>
      </c>
      <c r="G397" s="1">
        <v>0.99977365899100801</v>
      </c>
      <c r="H397" s="1">
        <v>5.1030688148938141</v>
      </c>
      <c r="I397" s="1">
        <v>0.16245503467369504</v>
      </c>
      <c r="K397" s="1">
        <v>1.0002154021493743</v>
      </c>
      <c r="L397" s="1">
        <v>5.6810873189640398</v>
      </c>
      <c r="M397" s="1">
        <v>0.14327181747868584</v>
      </c>
      <c r="O397" s="1">
        <v>7.5465061787714609E-3</v>
      </c>
      <c r="P397" s="1">
        <v>0.7844707842409756</v>
      </c>
      <c r="R397" s="1">
        <v>0.21332347542142144</v>
      </c>
      <c r="S397" s="2">
        <f t="shared" si="72"/>
        <v>0.90266581588226491</v>
      </c>
      <c r="T397" s="4">
        <f t="shared" si="73"/>
        <v>0.81480557516239493</v>
      </c>
      <c r="U397" s="1">
        <f t="shared" si="76"/>
        <v>0.47016563677078516</v>
      </c>
      <c r="V397" s="6">
        <f>2*sigma/alpha*corel*(B397/12-1/alpha*(1-EXP(-alpha*Output!B397/12)))</f>
        <v>1.7589267188004136</v>
      </c>
      <c r="W397" s="5">
        <f t="shared" si="74"/>
        <v>-0.34463993839160978</v>
      </c>
      <c r="X397" s="1">
        <f t="shared" si="75"/>
        <v>47.437495275163784</v>
      </c>
      <c r="Y397" s="3">
        <f t="shared" ref="Y397:Y460" si="77">(-V397+SQRT(X397))/2/B397*12</f>
        <v>7.9718574018282196E-2</v>
      </c>
      <c r="Z397" s="1">
        <f t="shared" ref="Z397:Z460" si="78">S397/SQRT(B397/12)</f>
        <v>0.15915634850453581</v>
      </c>
      <c r="AA397" s="8">
        <f t="shared" si="71"/>
        <v>32.083333333333151</v>
      </c>
      <c r="AB397" s="1">
        <v>32.17</v>
      </c>
      <c r="AC397" s="1">
        <v>7.6112975990000001E-3</v>
      </c>
      <c r="AD397" s="8">
        <f t="shared" ref="AD397:AD460" si="79">(AC397-O397)*10000</f>
        <v>0.64791420228539276</v>
      </c>
      <c r="AE397" s="3">
        <f t="shared" ref="AE397:AE460" si="80">AD397/AC397/10000</f>
        <v>8.5125327693206763E-3</v>
      </c>
      <c r="AF397" s="11">
        <f t="shared" ref="AF397:AF460" si="81">AA397</f>
        <v>32.083333333333151</v>
      </c>
      <c r="AG397" s="1">
        <f t="shared" ref="AG397:AG460" si="82">Z397</f>
        <v>0.15915634850453581</v>
      </c>
    </row>
    <row r="398" spans="2:33" ht="15" x14ac:dyDescent="0.25">
      <c r="B398" s="1">
        <v>387</v>
      </c>
      <c r="C398" s="1">
        <v>1.0006569411834412</v>
      </c>
      <c r="D398" s="1">
        <v>1.2190155894380434</v>
      </c>
      <c r="E398" s="1">
        <v>0.81946512951700479</v>
      </c>
      <c r="G398" s="1">
        <v>0.99997376835303786</v>
      </c>
      <c r="H398" s="1">
        <v>5.3434755595473531</v>
      </c>
      <c r="I398" s="1">
        <v>0.15507101035198065</v>
      </c>
      <c r="K398" s="1">
        <v>1.000131925034399</v>
      </c>
      <c r="L398" s="1">
        <v>5.6796779662598897</v>
      </c>
      <c r="M398" s="1">
        <v>0.14323193462267433</v>
      </c>
      <c r="O398" s="1">
        <v>7.546347842980243E-3</v>
      </c>
      <c r="P398" s="1">
        <v>0.78398160812109441</v>
      </c>
      <c r="R398" s="1">
        <v>0.21377515347090059</v>
      </c>
      <c r="S398" s="2">
        <f t="shared" si="72"/>
        <v>0.90504432623858744</v>
      </c>
      <c r="T398" s="4">
        <f t="shared" si="73"/>
        <v>0.81910523245665867</v>
      </c>
      <c r="U398" s="1">
        <f t="shared" si="76"/>
        <v>0.47289775651262822</v>
      </c>
      <c r="V398" s="6">
        <f>2*sigma/alpha*corel*(B398/12-1/alpha*(1-EXP(-alpha*Output!B398/12)))</f>
        <v>1.7664711971554761</v>
      </c>
      <c r="W398" s="5">
        <f t="shared" si="74"/>
        <v>-0.34620747594403045</v>
      </c>
      <c r="X398" s="1">
        <f t="shared" si="75"/>
        <v>47.781184887159831</v>
      </c>
      <c r="Y398" s="3">
        <f t="shared" si="77"/>
        <v>7.9781742237726119E-2</v>
      </c>
      <c r="Z398" s="1">
        <f t="shared" si="78"/>
        <v>0.15936941946032557</v>
      </c>
      <c r="AA398" s="8">
        <f t="shared" ref="AA398:AA461" si="83">AA397+1/12</f>
        <v>32.166666666666487</v>
      </c>
      <c r="AB398" s="1">
        <v>32.25</v>
      </c>
      <c r="AC398" s="1">
        <v>7.610863275E-3</v>
      </c>
      <c r="AD398" s="8">
        <f t="shared" si="79"/>
        <v>0.64515432019757002</v>
      </c>
      <c r="AE398" s="3">
        <f t="shared" si="80"/>
        <v>8.4767561429826103E-3</v>
      </c>
      <c r="AF398" s="11">
        <f t="shared" si="81"/>
        <v>32.166666666666487</v>
      </c>
      <c r="AG398" s="1">
        <f t="shared" si="82"/>
        <v>0.15936941946032557</v>
      </c>
    </row>
    <row r="399" spans="2:33" ht="15" x14ac:dyDescent="0.25">
      <c r="B399" s="1">
        <v>388</v>
      </c>
      <c r="C399" s="1">
        <v>1.0006546909621699</v>
      </c>
      <c r="D399" s="1">
        <v>1.2203848083739848</v>
      </c>
      <c r="E399" s="1">
        <v>0.81854399127642474</v>
      </c>
      <c r="G399" s="1">
        <v>0.999605002964425</v>
      </c>
      <c r="H399" s="1">
        <v>5.3939581408357249</v>
      </c>
      <c r="I399" s="1">
        <v>0.1535453664039314</v>
      </c>
      <c r="K399" s="1">
        <v>1.0000579604745947</v>
      </c>
      <c r="L399" s="1">
        <v>5.7573359875533185</v>
      </c>
      <c r="M399" s="1">
        <v>0.14122287547028287</v>
      </c>
      <c r="O399" s="1">
        <v>7.5461390962752763E-3</v>
      </c>
      <c r="P399" s="1">
        <v>0.7834940347721967</v>
      </c>
      <c r="R399" s="1">
        <v>0.21412035701667526</v>
      </c>
      <c r="S399" s="2">
        <f t="shared" si="72"/>
        <v>0.90707610895227297</v>
      </c>
      <c r="T399" s="4">
        <f t="shared" si="73"/>
        <v>0.82278706743199581</v>
      </c>
      <c r="U399" s="1">
        <f t="shared" si="76"/>
        <v>0.47563680322507196</v>
      </c>
      <c r="V399" s="6">
        <f>2*sigma/alpha*corel*(B399/12-1/alpha*(1-EXP(-alpha*Output!B399/12)))</f>
        <v>1.77402523353269</v>
      </c>
      <c r="W399" s="5">
        <f t="shared" si="74"/>
        <v>-0.34715026420692385</v>
      </c>
      <c r="X399" s="1">
        <f t="shared" si="75"/>
        <v>48.045266366639531</v>
      </c>
      <c r="Y399" s="3">
        <f t="shared" si="77"/>
        <v>7.9754289363921399E-2</v>
      </c>
      <c r="Z399" s="1">
        <f t="shared" si="78"/>
        <v>0.15952122963443563</v>
      </c>
      <c r="AA399" s="8">
        <f t="shared" si="83"/>
        <v>32.249999999999822</v>
      </c>
      <c r="AB399" s="1">
        <v>32.33</v>
      </c>
      <c r="AC399" s="1">
        <v>7.610431329E-3</v>
      </c>
      <c r="AD399" s="8">
        <f t="shared" si="79"/>
        <v>0.64292232724723686</v>
      </c>
      <c r="AE399" s="3">
        <f t="shared" si="80"/>
        <v>8.447909184822985E-3</v>
      </c>
      <c r="AF399" s="11">
        <f t="shared" si="81"/>
        <v>32.249999999999822</v>
      </c>
      <c r="AG399" s="1">
        <f t="shared" si="82"/>
        <v>0.15952122963443563</v>
      </c>
    </row>
    <row r="400" spans="2:33" ht="15" x14ac:dyDescent="0.25">
      <c r="B400" s="1">
        <v>389</v>
      </c>
      <c r="C400" s="1">
        <v>1.0006556765574317</v>
      </c>
      <c r="D400" s="1">
        <v>1.2154196201117629</v>
      </c>
      <c r="E400" s="1">
        <v>0.82188613316127923</v>
      </c>
      <c r="G400" s="1">
        <v>0.99951064672940959</v>
      </c>
      <c r="H400" s="1">
        <v>5.1974514686759852</v>
      </c>
      <c r="I400" s="1">
        <v>0.15927355976865357</v>
      </c>
      <c r="K400" s="1">
        <v>0.99989273104780307</v>
      </c>
      <c r="L400" s="1">
        <v>5.7366630627494262</v>
      </c>
      <c r="M400" s="1">
        <v>0.14166017838641162</v>
      </c>
      <c r="O400" s="1">
        <v>7.5460489212064944E-3</v>
      </c>
      <c r="P400" s="1">
        <v>0.78300378226105594</v>
      </c>
      <c r="R400" s="1">
        <v>0.21427988982541468</v>
      </c>
      <c r="S400" s="2">
        <f t="shared" si="72"/>
        <v>0.90851041773257712</v>
      </c>
      <c r="T400" s="4">
        <f t="shared" si="73"/>
        <v>0.82539117912862181</v>
      </c>
      <c r="U400" s="1">
        <f t="shared" si="76"/>
        <v>0.47838276258308898</v>
      </c>
      <c r="V400" s="6">
        <f>2*sigma/alpha*corel*(B400/12-1/alpha*(1-EXP(-alpha*Output!B400/12)))</f>
        <v>1.7815887961250225</v>
      </c>
      <c r="W400" s="5">
        <f t="shared" si="74"/>
        <v>-0.34700841654553283</v>
      </c>
      <c r="X400" s="1">
        <f t="shared" si="75"/>
        <v>48.169483317215636</v>
      </c>
      <c r="Y400" s="3">
        <f t="shared" si="77"/>
        <v>7.9570720735957973E-2</v>
      </c>
      <c r="Z400" s="1">
        <f t="shared" si="78"/>
        <v>0.15956797513214357</v>
      </c>
      <c r="AA400" s="8">
        <f t="shared" si="83"/>
        <v>32.333333333333158</v>
      </c>
      <c r="AB400" s="1">
        <v>32.42</v>
      </c>
      <c r="AC400" s="1">
        <v>7.610001727E-3</v>
      </c>
      <c r="AD400" s="8">
        <f t="shared" si="79"/>
        <v>0.6395280579350564</v>
      </c>
      <c r="AE400" s="3">
        <f t="shared" si="80"/>
        <v>8.4037833482485929E-3</v>
      </c>
      <c r="AF400" s="11">
        <f t="shared" si="81"/>
        <v>32.333333333333158</v>
      </c>
      <c r="AG400" s="1">
        <f t="shared" si="82"/>
        <v>0.15956797513214357</v>
      </c>
    </row>
    <row r="401" spans="2:33" ht="15" x14ac:dyDescent="0.25">
      <c r="B401" s="1">
        <v>390</v>
      </c>
      <c r="C401" s="1">
        <v>1.0006615927326439</v>
      </c>
      <c r="D401" s="1">
        <v>1.2122792960755704</v>
      </c>
      <c r="E401" s="1">
        <v>0.82401341831129604</v>
      </c>
      <c r="G401" s="1">
        <v>0.99981761547814163</v>
      </c>
      <c r="H401" s="1">
        <v>5.0746905962671214</v>
      </c>
      <c r="I401" s="1">
        <v>0.16304759701673094</v>
      </c>
      <c r="K401" s="1">
        <v>0.99980053491989718</v>
      </c>
      <c r="L401" s="1">
        <v>5.7910593439400166</v>
      </c>
      <c r="M401" s="1">
        <v>0.14025136706481492</v>
      </c>
      <c r="O401" s="1">
        <v>7.5460247144033352E-3</v>
      </c>
      <c r="P401" s="1">
        <v>0.78251217059080269</v>
      </c>
      <c r="R401" s="1">
        <v>0.21466499782442175</v>
      </c>
      <c r="S401" s="2">
        <f t="shared" si="72"/>
        <v>0.91068373213589959</v>
      </c>
      <c r="T401" s="4">
        <f t="shared" si="73"/>
        <v>0.82934485997697094</v>
      </c>
      <c r="U401" s="1">
        <f t="shared" si="76"/>
        <v>0.48113562025134105</v>
      </c>
      <c r="V401" s="6">
        <f>2*sigma/alpha*corel*(B401/12-1/alpha*(1-EXP(-alpha*Output!B401/12)))</f>
        <v>1.7891618532312892</v>
      </c>
      <c r="W401" s="5">
        <f t="shared" si="74"/>
        <v>-0.34820923972562989</v>
      </c>
      <c r="X401" s="1">
        <f t="shared" si="75"/>
        <v>48.468301301389907</v>
      </c>
      <c r="Y401" s="3">
        <f t="shared" si="77"/>
        <v>7.9580862760769894E-2</v>
      </c>
      <c r="Z401" s="1">
        <f t="shared" si="78"/>
        <v>0.15974449406444904</v>
      </c>
      <c r="AA401" s="8">
        <f t="shared" si="83"/>
        <v>32.416666666666494</v>
      </c>
      <c r="AB401" s="1">
        <v>32.5</v>
      </c>
      <c r="AC401" s="1">
        <v>7.609574432E-3</v>
      </c>
      <c r="AD401" s="8">
        <f t="shared" si="79"/>
        <v>0.63549717596664801</v>
      </c>
      <c r="AE401" s="3">
        <f t="shared" si="80"/>
        <v>8.3512840520257887E-3</v>
      </c>
      <c r="AF401" s="11">
        <f t="shared" si="81"/>
        <v>32.416666666666494</v>
      </c>
      <c r="AG401" s="1">
        <f t="shared" si="82"/>
        <v>0.15974449406444904</v>
      </c>
    </row>
    <row r="402" spans="2:33" ht="15" x14ac:dyDescent="0.25">
      <c r="B402" s="1">
        <v>391</v>
      </c>
      <c r="C402" s="1">
        <v>1.0006650304105809</v>
      </c>
      <c r="D402" s="1">
        <v>1.2141280254831024</v>
      </c>
      <c r="E402" s="1">
        <v>0.82275695520041525</v>
      </c>
      <c r="G402" s="1">
        <v>0.99992287246166944</v>
      </c>
      <c r="H402" s="1">
        <v>5.1398514889785956</v>
      </c>
      <c r="I402" s="1">
        <v>0.16090266651995616</v>
      </c>
      <c r="K402" s="1">
        <v>0.99960565154011416</v>
      </c>
      <c r="L402" s="1">
        <v>5.7040907396626785</v>
      </c>
      <c r="M402" s="1">
        <v>0.14231707837957308</v>
      </c>
      <c r="O402" s="1">
        <v>7.5458867317542708E-3</v>
      </c>
      <c r="P402" s="1">
        <v>0.78202376984595989</v>
      </c>
      <c r="R402" s="1">
        <v>0.21504343368960135</v>
      </c>
      <c r="S402" s="2">
        <f t="shared" si="72"/>
        <v>0.91283170939701552</v>
      </c>
      <c r="T402" s="4">
        <f t="shared" si="73"/>
        <v>0.83326172968067735</v>
      </c>
      <c r="U402" s="1">
        <f t="shared" si="76"/>
        <v>0.48389536188459559</v>
      </c>
      <c r="V402" s="6">
        <f>2*sigma/alpha*corel*(B402/12-1/alpha*(1-EXP(-alpha*Output!B402/12)))</f>
        <v>1.7967443732557982</v>
      </c>
      <c r="W402" s="5">
        <f t="shared" si="74"/>
        <v>-0.34936636779608177</v>
      </c>
      <c r="X402" s="1">
        <f t="shared" si="75"/>
        <v>48.762373612249029</v>
      </c>
      <c r="Y402" s="3">
        <f t="shared" si="77"/>
        <v>7.9584578289314811E-2</v>
      </c>
      <c r="Z402" s="1">
        <f t="shared" si="78"/>
        <v>0.15991638445067241</v>
      </c>
      <c r="AA402" s="8">
        <f t="shared" si="83"/>
        <v>32.499999999999829</v>
      </c>
      <c r="AB402" s="1">
        <v>32.58</v>
      </c>
      <c r="AC402" s="1">
        <v>7.6091494089999996E-3</v>
      </c>
      <c r="AD402" s="8">
        <f t="shared" si="79"/>
        <v>0.63262677245728804</v>
      </c>
      <c r="AE402" s="3">
        <f t="shared" si="80"/>
        <v>8.3140274747270128E-3</v>
      </c>
      <c r="AF402" s="11">
        <f t="shared" si="81"/>
        <v>32.499999999999829</v>
      </c>
      <c r="AG402" s="1">
        <f t="shared" si="82"/>
        <v>0.15991638445067241</v>
      </c>
    </row>
    <row r="403" spans="2:33" ht="15" x14ac:dyDescent="0.25">
      <c r="B403" s="1">
        <v>392</v>
      </c>
      <c r="C403" s="1">
        <v>1.0006656114287675</v>
      </c>
      <c r="D403" s="1">
        <v>1.2180730228465282</v>
      </c>
      <c r="E403" s="1">
        <v>0.82009052386234338</v>
      </c>
      <c r="G403" s="1">
        <v>0.9998082162130959</v>
      </c>
      <c r="H403" s="1">
        <v>5.2917041417801682</v>
      </c>
      <c r="I403" s="1">
        <v>0.15620973559204282</v>
      </c>
      <c r="K403" s="1">
        <v>0.99968477835628589</v>
      </c>
      <c r="L403" s="1">
        <v>5.6549061350153043</v>
      </c>
      <c r="M403" s="1">
        <v>0.14347506268415919</v>
      </c>
      <c r="O403" s="1">
        <v>7.545731294471834E-3</v>
      </c>
      <c r="P403" s="1">
        <v>0.78153613752667817</v>
      </c>
      <c r="R403" s="1">
        <v>0.21540702212498378</v>
      </c>
      <c r="S403" s="2">
        <f t="shared" si="72"/>
        <v>0.91493216920168163</v>
      </c>
      <c r="T403" s="4">
        <f t="shared" si="73"/>
        <v>0.83710087424009461</v>
      </c>
      <c r="U403" s="1">
        <f t="shared" si="76"/>
        <v>0.48666197312814408</v>
      </c>
      <c r="V403" s="6">
        <f>2*sigma/alpha*corel*(B403/12-1/alpha*(1-EXP(-alpha*Output!B403/12)))</f>
        <v>1.8043363247080015</v>
      </c>
      <c r="W403" s="5">
        <f t="shared" si="74"/>
        <v>-0.35043890111195053</v>
      </c>
      <c r="X403" s="1">
        <f t="shared" si="75"/>
        <v>49.046312651288986</v>
      </c>
      <c r="Y403" s="3">
        <f t="shared" si="77"/>
        <v>7.957608582438809E-2</v>
      </c>
      <c r="Z403" s="1">
        <f t="shared" si="78"/>
        <v>0.16007978312870588</v>
      </c>
      <c r="AA403" s="8">
        <f t="shared" si="83"/>
        <v>32.583333333333165</v>
      </c>
      <c r="AB403" s="1">
        <v>32.67</v>
      </c>
      <c r="AC403" s="1">
        <v>7.6087266239999998E-3</v>
      </c>
      <c r="AD403" s="8">
        <f t="shared" si="79"/>
        <v>0.62995329528165755</v>
      </c>
      <c r="AE403" s="3">
        <f t="shared" si="80"/>
        <v>8.2793524647687168E-3</v>
      </c>
      <c r="AF403" s="11">
        <f t="shared" si="81"/>
        <v>32.583333333333165</v>
      </c>
      <c r="AG403" s="1">
        <f t="shared" si="82"/>
        <v>0.16007978312870588</v>
      </c>
    </row>
    <row r="404" spans="2:33" ht="15" x14ac:dyDescent="0.25">
      <c r="B404" s="1">
        <v>393</v>
      </c>
      <c r="C404" s="1">
        <v>1.0006636852258226</v>
      </c>
      <c r="D404" s="1">
        <v>1.2193415084358938</v>
      </c>
      <c r="E404" s="1">
        <v>0.81923562651690796</v>
      </c>
      <c r="G404" s="1">
        <v>0.9994824929864824</v>
      </c>
      <c r="H404" s="1">
        <v>5.3416626283601829</v>
      </c>
      <c r="I404" s="1">
        <v>0.15467390004720039</v>
      </c>
      <c r="K404" s="1">
        <v>0.99975467469060186</v>
      </c>
      <c r="L404" s="1">
        <v>5.6555514232557007</v>
      </c>
      <c r="M404" s="1">
        <v>0.14338335942790753</v>
      </c>
      <c r="O404" s="1">
        <v>7.5455486573859244E-3</v>
      </c>
      <c r="P404" s="1">
        <v>0.7810495252589984</v>
      </c>
      <c r="R404" s="1">
        <v>0.21575310145359705</v>
      </c>
      <c r="S404" s="2">
        <f t="shared" si="72"/>
        <v>0.91697582567437497</v>
      </c>
      <c r="T404" s="4">
        <f t="shared" si="73"/>
        <v>0.84084466487120169</v>
      </c>
      <c r="U404" s="1">
        <f t="shared" si="76"/>
        <v>0.48943543961821234</v>
      </c>
      <c r="V404" s="6">
        <f>2*sigma/alpha*corel*(B404/12-1/alpha*(1-EXP(-alpha*Output!B404/12)))</f>
        <v>1.8119376762021466</v>
      </c>
      <c r="W404" s="5">
        <f t="shared" si="74"/>
        <v>-0.35140922525298934</v>
      </c>
      <c r="X404" s="1">
        <f t="shared" si="75"/>
        <v>49.317726650582443</v>
      </c>
      <c r="Y404" s="3">
        <f t="shared" si="77"/>
        <v>7.9552983418435086E-2</v>
      </c>
      <c r="Z404" s="1">
        <f t="shared" si="78"/>
        <v>0.16023309975036124</v>
      </c>
      <c r="AA404" s="8">
        <f t="shared" si="83"/>
        <v>32.666666666666501</v>
      </c>
      <c r="AB404" s="1">
        <v>32.75</v>
      </c>
      <c r="AC404" s="1">
        <v>7.6083060409999998E-3</v>
      </c>
      <c r="AD404" s="8">
        <f t="shared" si="79"/>
        <v>0.6275738361407549</v>
      </c>
      <c r="AE404" s="3">
        <f t="shared" si="80"/>
        <v>8.2485356498392063E-3</v>
      </c>
      <c r="AF404" s="11">
        <f t="shared" si="81"/>
        <v>32.666666666666501</v>
      </c>
      <c r="AG404" s="1">
        <f t="shared" si="82"/>
        <v>0.16023309975036124</v>
      </c>
    </row>
    <row r="405" spans="2:33" ht="15" x14ac:dyDescent="0.25">
      <c r="B405" s="1">
        <v>394</v>
      </c>
      <c r="C405" s="1">
        <v>1.0006679495084232</v>
      </c>
      <c r="D405" s="1">
        <v>1.2168967676266842</v>
      </c>
      <c r="E405" s="1">
        <v>0.82087970631452278</v>
      </c>
      <c r="G405" s="1">
        <v>0.99963813700791926</v>
      </c>
      <c r="H405" s="1">
        <v>5.2452748544360634</v>
      </c>
      <c r="I405" s="1">
        <v>0.15743999942531389</v>
      </c>
      <c r="K405" s="1">
        <v>0.99952279737007788</v>
      </c>
      <c r="L405" s="1">
        <v>5.5941195938277559</v>
      </c>
      <c r="M405" s="1">
        <v>0.14488213643231965</v>
      </c>
      <c r="O405" s="1">
        <v>7.5453718898759632E-3</v>
      </c>
      <c r="P405" s="1">
        <v>0.78056308930506213</v>
      </c>
      <c r="R405" s="1">
        <v>0.21592786414019363</v>
      </c>
      <c r="S405" s="2">
        <f t="shared" si="72"/>
        <v>0.91846123534850332</v>
      </c>
      <c r="T405" s="4">
        <f t="shared" si="73"/>
        <v>0.8435710408378988</v>
      </c>
      <c r="U405" s="1">
        <f t="shared" si="76"/>
        <v>0.49221574698236914</v>
      </c>
      <c r="V405" s="6">
        <f>2*sigma/alpha*corel*(B405/12-1/alpha*(1-EXP(-alpha*Output!B405/12)))</f>
        <v>1.8195483964569243</v>
      </c>
      <c r="W405" s="5">
        <f t="shared" si="74"/>
        <v>-0.35135529385552966</v>
      </c>
      <c r="X405" s="1">
        <f t="shared" si="75"/>
        <v>49.455418293408528</v>
      </c>
      <c r="Y405" s="3">
        <f t="shared" si="77"/>
        <v>7.9384359070939187E-2</v>
      </c>
      <c r="Z405" s="1">
        <f t="shared" si="78"/>
        <v>0.16028886115476437</v>
      </c>
      <c r="AA405" s="8">
        <f t="shared" si="83"/>
        <v>32.749999999999837</v>
      </c>
      <c r="AB405" s="1">
        <v>32.83</v>
      </c>
      <c r="AC405" s="1">
        <v>7.6078876259999999E-3</v>
      </c>
      <c r="AD405" s="8">
        <f t="shared" si="79"/>
        <v>0.62515736124036692</v>
      </c>
      <c r="AE405" s="3">
        <f t="shared" si="80"/>
        <v>8.2172265413580498E-3</v>
      </c>
      <c r="AF405" s="11">
        <f t="shared" si="81"/>
        <v>32.749999999999837</v>
      </c>
      <c r="AG405" s="1">
        <f t="shared" si="82"/>
        <v>0.16028886115476437</v>
      </c>
    </row>
    <row r="406" spans="2:33" ht="15" x14ac:dyDescent="0.25">
      <c r="B406" s="1">
        <v>395</v>
      </c>
      <c r="C406" s="1">
        <v>1.0006686890212029</v>
      </c>
      <c r="D406" s="1">
        <v>1.219081932133335</v>
      </c>
      <c r="E406" s="1">
        <v>0.81940654452284134</v>
      </c>
      <c r="G406" s="1">
        <v>0.99950569007057088</v>
      </c>
      <c r="H406" s="1">
        <v>5.3261315006298675</v>
      </c>
      <c r="I406" s="1">
        <v>0.15497487071360183</v>
      </c>
      <c r="K406" s="1">
        <v>0.99942524859921411</v>
      </c>
      <c r="L406" s="1">
        <v>5.5665983260129206</v>
      </c>
      <c r="M406" s="1">
        <v>0.1455187705263119</v>
      </c>
      <c r="O406" s="1">
        <v>7.5452404956954013E-3</v>
      </c>
      <c r="P406" s="1">
        <v>0.7800758142100952</v>
      </c>
      <c r="R406" s="1">
        <v>0.21629852890797757</v>
      </c>
      <c r="S406" s="2">
        <f t="shared" si="72"/>
        <v>0.92059059634224205</v>
      </c>
      <c r="T406" s="4">
        <f t="shared" si="73"/>
        <v>0.84748704607376479</v>
      </c>
      <c r="U406" s="1">
        <f t="shared" si="76"/>
        <v>0.49500288083992983</v>
      </c>
      <c r="V406" s="6">
        <f>2*sigma/alpha*corel*(B406/12-1/alpha*(1-EXP(-alpha*Output!B406/12)))</f>
        <v>1.8271684542951223</v>
      </c>
      <c r="W406" s="5">
        <f t="shared" si="74"/>
        <v>-0.35248416523383497</v>
      </c>
      <c r="X406" s="1">
        <f t="shared" si="75"/>
        <v>49.748959649492832</v>
      </c>
      <c r="Y406" s="3">
        <f t="shared" si="77"/>
        <v>7.9384189164457997E-2</v>
      </c>
      <c r="Z406" s="1">
        <f t="shared" si="78"/>
        <v>0.16045697836503847</v>
      </c>
      <c r="AA406" s="8">
        <f t="shared" si="83"/>
        <v>32.833333333333172</v>
      </c>
      <c r="AB406" s="1">
        <v>32.92</v>
      </c>
      <c r="AC406" s="1">
        <v>7.6074713450000001E-3</v>
      </c>
      <c r="AD406" s="8">
        <f t="shared" si="79"/>
        <v>0.6223084930459879</v>
      </c>
      <c r="AE406" s="3">
        <f t="shared" si="80"/>
        <v>8.1802278947129946E-3</v>
      </c>
      <c r="AF406" s="11">
        <f t="shared" si="81"/>
        <v>32.833333333333172</v>
      </c>
      <c r="AG406" s="1">
        <f t="shared" si="82"/>
        <v>0.16045697836503847</v>
      </c>
    </row>
    <row r="407" spans="2:33" ht="15" x14ac:dyDescent="0.25">
      <c r="B407" s="1">
        <v>396</v>
      </c>
      <c r="C407" s="1">
        <v>1.0006696295398085</v>
      </c>
      <c r="D407" s="1">
        <v>1.218291848509772</v>
      </c>
      <c r="E407" s="1">
        <v>0.81993617719742307</v>
      </c>
      <c r="G407" s="1">
        <v>0.99938430113259291</v>
      </c>
      <c r="H407" s="1">
        <v>5.2896041027200456</v>
      </c>
      <c r="I407" s="1">
        <v>0.15596955592639603</v>
      </c>
      <c r="K407" s="1">
        <v>0.99925792408647551</v>
      </c>
      <c r="L407" s="1">
        <v>5.5096572812965743</v>
      </c>
      <c r="M407" s="1">
        <v>0.14694270119459726</v>
      </c>
      <c r="O407" s="1">
        <v>7.5450473179786938E-3</v>
      </c>
      <c r="P407" s="1">
        <v>0.77959044984579218</v>
      </c>
      <c r="R407" s="1">
        <v>0.21653538404149519</v>
      </c>
      <c r="S407" s="2">
        <f t="shared" ref="S407:S470" si="84">optim_vol_implied(P407,R407)</f>
        <v>0.92228053685469669</v>
      </c>
      <c r="T407" s="4">
        <f t="shared" ref="T407:T470" si="85">S407*S407</f>
        <v>0.85060138866098756</v>
      </c>
      <c r="U407" s="1">
        <f t="shared" si="76"/>
        <v>0.4977968268023556</v>
      </c>
      <c r="V407" s="6">
        <f>2*sigma/alpha*corel*(B407/12-1/alpha*(1-EXP(-alpha*Output!B407/12)))</f>
        <v>1.8347978186432825</v>
      </c>
      <c r="W407" s="5">
        <f t="shared" ref="W407:W470" si="86">U407-T407</f>
        <v>-0.35280456185863196</v>
      </c>
      <c r="X407" s="1">
        <f t="shared" ref="X407:X470" si="87">V407*V407-4*W407*B407/12</f>
        <v>49.936685200637562</v>
      </c>
      <c r="Y407" s="3">
        <f t="shared" si="77"/>
        <v>7.9269568827488007E-2</v>
      </c>
      <c r="Z407" s="1">
        <f t="shared" si="78"/>
        <v>0.16054843398922819</v>
      </c>
      <c r="AA407" s="8">
        <f t="shared" si="83"/>
        <v>32.916666666666508</v>
      </c>
      <c r="AB407" s="1">
        <v>33</v>
      </c>
      <c r="AC407" s="1">
        <v>7.6070571639999997E-3</v>
      </c>
      <c r="AD407" s="8">
        <f t="shared" si="79"/>
        <v>0.62009846021305981</v>
      </c>
      <c r="AE407" s="3">
        <f t="shared" si="80"/>
        <v>8.1516208810371946E-3</v>
      </c>
      <c r="AF407" s="11">
        <f t="shared" si="81"/>
        <v>32.916666666666508</v>
      </c>
      <c r="AG407" s="1">
        <f t="shared" si="82"/>
        <v>0.16054843398922819</v>
      </c>
    </row>
    <row r="408" spans="2:33" ht="15" x14ac:dyDescent="0.25">
      <c r="B408" s="1">
        <v>397</v>
      </c>
      <c r="C408" s="1">
        <v>1.0006732963463736</v>
      </c>
      <c r="D408" s="1">
        <v>1.2152861378796704</v>
      </c>
      <c r="E408" s="1">
        <v>0.82196231211582604</v>
      </c>
      <c r="G408" s="1">
        <v>0.99952864086210336</v>
      </c>
      <c r="H408" s="1">
        <v>5.1692352691018284</v>
      </c>
      <c r="I408" s="1">
        <v>0.15952418757791864</v>
      </c>
      <c r="K408" s="1">
        <v>0.99928945980747808</v>
      </c>
      <c r="L408" s="1">
        <v>5.3819664446348812</v>
      </c>
      <c r="M408" s="1">
        <v>0.1503510347806512</v>
      </c>
      <c r="O408" s="1">
        <v>7.5449087831977475E-3</v>
      </c>
      <c r="P408" s="1">
        <v>0.77910400411776359</v>
      </c>
      <c r="R408" s="1">
        <v>0.21682756984176169</v>
      </c>
      <c r="S408" s="2">
        <f t="shared" si="84"/>
        <v>0.92415552599805206</v>
      </c>
      <c r="T408" s="4">
        <f t="shared" si="85"/>
        <v>0.85406343623273628</v>
      </c>
      <c r="U408" s="1">
        <f t="shared" si="76"/>
        <v>0.50059757047365183</v>
      </c>
      <c r="V408" s="6">
        <f>2*sigma/alpha*corel*(B408/12-1/alpha*(1-EXP(-alpha*Output!B408/12)))</f>
        <v>1.8424364585313491</v>
      </c>
      <c r="W408" s="5">
        <f t="shared" si="86"/>
        <v>-0.35346586575908445</v>
      </c>
      <c r="X408" s="1">
        <f t="shared" si="87"/>
        <v>50.169888339177717</v>
      </c>
      <c r="Y408" s="3">
        <f t="shared" si="77"/>
        <v>7.9203537824072426E-2</v>
      </c>
      <c r="Z408" s="1">
        <f t="shared" si="78"/>
        <v>0.16067208682003659</v>
      </c>
      <c r="AA408" s="8">
        <f t="shared" si="83"/>
        <v>32.999999999999844</v>
      </c>
      <c r="AB408" s="1">
        <v>33.08</v>
      </c>
      <c r="AC408" s="1">
        <v>7.6066450480000002E-3</v>
      </c>
      <c r="AD408" s="8">
        <f t="shared" si="79"/>
        <v>0.61736264802252783</v>
      </c>
      <c r="AE408" s="3">
        <f t="shared" si="80"/>
        <v>8.1160964410301982E-3</v>
      </c>
      <c r="AF408" s="11">
        <f t="shared" si="81"/>
        <v>32.999999999999844</v>
      </c>
      <c r="AG408" s="1">
        <f t="shared" si="82"/>
        <v>0.16067208682003659</v>
      </c>
    </row>
    <row r="409" spans="2:33" ht="15" x14ac:dyDescent="0.25">
      <c r="B409" s="1">
        <v>398</v>
      </c>
      <c r="C409" s="1">
        <v>1.0006745985483085</v>
      </c>
      <c r="D409" s="1">
        <v>1.215565522699253</v>
      </c>
      <c r="E409" s="1">
        <v>0.8217716143604662</v>
      </c>
      <c r="G409" s="1">
        <v>0.99945494996749007</v>
      </c>
      <c r="H409" s="1">
        <v>5.1747251561930696</v>
      </c>
      <c r="I409" s="1">
        <v>0.15927785091900418</v>
      </c>
      <c r="K409" s="1">
        <v>0.99935247106206238</v>
      </c>
      <c r="L409" s="1">
        <v>5.3637525373315915</v>
      </c>
      <c r="M409" s="1">
        <v>0.1507807294969849</v>
      </c>
      <c r="O409" s="1">
        <v>7.5447431424745682E-3</v>
      </c>
      <c r="P409" s="1">
        <v>0.77861857988629768</v>
      </c>
      <c r="R409" s="1">
        <v>0.21724320031023364</v>
      </c>
      <c r="S409" s="2">
        <f t="shared" si="84"/>
        <v>0.92643543007371765</v>
      </c>
      <c r="T409" s="4">
        <f t="shared" si="85"/>
        <v>0.85828260609587415</v>
      </c>
      <c r="U409" s="1">
        <f t="shared" si="76"/>
        <v>0.50340509745075757</v>
      </c>
      <c r="V409" s="6">
        <f>2*sigma/alpha*corel*(B409/12-1/alpha*(1-EXP(-alpha*Output!B409/12)))</f>
        <v>1.8500843430923291</v>
      </c>
      <c r="W409" s="5">
        <f t="shared" si="86"/>
        <v>-0.35487750864511658</v>
      </c>
      <c r="X409" s="1">
        <f t="shared" si="87"/>
        <v>50.503228223474174</v>
      </c>
      <c r="Y409" s="3">
        <f t="shared" si="77"/>
        <v>7.9243386815047487E-2</v>
      </c>
      <c r="Z409" s="1">
        <f t="shared" si="78"/>
        <v>0.16086599242996832</v>
      </c>
      <c r="AA409" s="8">
        <f t="shared" si="83"/>
        <v>33.083333333333179</v>
      </c>
      <c r="AB409" s="1">
        <v>33.17</v>
      </c>
      <c r="AC409" s="1">
        <v>7.6062349660000004E-3</v>
      </c>
      <c r="AD409" s="8">
        <f t="shared" si="79"/>
        <v>0.61491823525432199</v>
      </c>
      <c r="AE409" s="3">
        <f t="shared" si="80"/>
        <v>8.0843970506172501E-3</v>
      </c>
      <c r="AF409" s="11">
        <f t="shared" si="81"/>
        <v>33.083333333333179</v>
      </c>
      <c r="AG409" s="1">
        <f t="shared" si="82"/>
        <v>0.16086599242996832</v>
      </c>
    </row>
    <row r="410" spans="2:33" ht="15" x14ac:dyDescent="0.25">
      <c r="B410" s="1">
        <v>399</v>
      </c>
      <c r="C410" s="1">
        <v>1.0006774079057017</v>
      </c>
      <c r="D410" s="1">
        <v>1.2118202495635491</v>
      </c>
      <c r="E410" s="1">
        <v>0.82430960826451161</v>
      </c>
      <c r="G410" s="1">
        <v>0.99950734867830193</v>
      </c>
      <c r="H410" s="1">
        <v>5.0371026895403475</v>
      </c>
      <c r="I410" s="1">
        <v>0.16355043547577869</v>
      </c>
      <c r="K410" s="1">
        <v>0.99912457308075775</v>
      </c>
      <c r="L410" s="1">
        <v>5.4451650827714202</v>
      </c>
      <c r="M410" s="1">
        <v>0.14844675162381238</v>
      </c>
      <c r="O410" s="1">
        <v>7.54455403045957E-3</v>
      </c>
      <c r="P410" s="1">
        <v>0.7781340868538531</v>
      </c>
      <c r="R410" s="1">
        <v>0.21749554318917358</v>
      </c>
      <c r="S410" s="2">
        <f t="shared" si="84"/>
        <v>0.92818019764982651</v>
      </c>
      <c r="T410" s="4">
        <f t="shared" si="85"/>
        <v>0.86151847930927106</v>
      </c>
      <c r="U410" s="1">
        <f t="shared" si="76"/>
        <v>0.50621939332393806</v>
      </c>
      <c r="V410" s="6">
        <f>2*sigma/alpha*corel*(B410/12-1/alpha*(1-EXP(-alpha*Output!B410/12)))</f>
        <v>1.85774144156195</v>
      </c>
      <c r="W410" s="5">
        <f t="shared" si="86"/>
        <v>-0.355299085985333</v>
      </c>
      <c r="X410" s="1">
        <f t="shared" si="87"/>
        <v>50.705981699745962</v>
      </c>
      <c r="Y410" s="3">
        <f t="shared" si="77"/>
        <v>7.9143937347393029E-2</v>
      </c>
      <c r="Z410" s="1">
        <f t="shared" si="78"/>
        <v>0.16096686057940654</v>
      </c>
      <c r="AA410" s="8">
        <f t="shared" si="83"/>
        <v>33.166666666666515</v>
      </c>
      <c r="AB410" s="1">
        <v>33.25</v>
      </c>
      <c r="AC410" s="1">
        <v>7.6058269049999998E-3</v>
      </c>
      <c r="AD410" s="8">
        <f t="shared" si="79"/>
        <v>0.61272874540429889</v>
      </c>
      <c r="AE410" s="3">
        <f t="shared" si="80"/>
        <v>8.0560437813999783E-3</v>
      </c>
      <c r="AF410" s="11">
        <f t="shared" si="81"/>
        <v>33.166666666666515</v>
      </c>
      <c r="AG410" s="1">
        <f t="shared" si="82"/>
        <v>0.16096686057940654</v>
      </c>
    </row>
    <row r="411" spans="2:33" ht="15" x14ac:dyDescent="0.25">
      <c r="B411" s="1">
        <v>400</v>
      </c>
      <c r="C411" s="1">
        <v>1.0006802443644893</v>
      </c>
      <c r="D411" s="1">
        <v>1.2104672174284195</v>
      </c>
      <c r="E411" s="1">
        <v>0.82522920875374861</v>
      </c>
      <c r="G411" s="1">
        <v>0.99958147515805817</v>
      </c>
      <c r="H411" s="1">
        <v>4.9826651049901454</v>
      </c>
      <c r="I411" s="1">
        <v>0.16525729684337595</v>
      </c>
      <c r="K411" s="1">
        <v>0.99924870518234399</v>
      </c>
      <c r="L411" s="1">
        <v>5.6339980265497545</v>
      </c>
      <c r="M411" s="1">
        <v>0.1433947641203506</v>
      </c>
      <c r="O411" s="1">
        <v>7.5444022156972625E-3</v>
      </c>
      <c r="P411" s="1">
        <v>0.77764895299995673</v>
      </c>
      <c r="R411" s="1">
        <v>0.21791221551892165</v>
      </c>
      <c r="S411" s="2">
        <f t="shared" si="84"/>
        <v>0.93046778096155558</v>
      </c>
      <c r="T411" s="4">
        <f t="shared" si="85"/>
        <v>0.86577029140752138</v>
      </c>
      <c r="U411" s="1">
        <f t="shared" si="76"/>
        <v>0.50904044367716583</v>
      </c>
      <c r="V411" s="6">
        <f>2*sigma/alpha*corel*(B411/12-1/alpha*(1-EXP(-alpha*Output!B411/12)))</f>
        <v>1.8654077232783131</v>
      </c>
      <c r="W411" s="5">
        <f t="shared" si="86"/>
        <v>-0.35672984773035554</v>
      </c>
      <c r="X411" s="1">
        <f t="shared" si="87"/>
        <v>51.04372567144712</v>
      </c>
      <c r="Y411" s="3">
        <f t="shared" si="77"/>
        <v>7.9186221880544055E-2</v>
      </c>
      <c r="Z411" s="1">
        <f t="shared" si="78"/>
        <v>0.16116174714312834</v>
      </c>
      <c r="AA411" s="8">
        <f t="shared" si="83"/>
        <v>33.249999999999851</v>
      </c>
      <c r="AB411" s="1">
        <v>33.33</v>
      </c>
      <c r="AC411" s="1">
        <v>7.6054208530000004E-3</v>
      </c>
      <c r="AD411" s="8">
        <f t="shared" si="79"/>
        <v>0.61018637302737844</v>
      </c>
      <c r="AE411" s="3">
        <f t="shared" si="80"/>
        <v>8.0230454674534817E-3</v>
      </c>
      <c r="AF411" s="11">
        <f t="shared" si="81"/>
        <v>33.249999999999851</v>
      </c>
      <c r="AG411" s="1">
        <f t="shared" si="82"/>
        <v>0.16116174714312834</v>
      </c>
    </row>
    <row r="412" spans="2:33" ht="15" x14ac:dyDescent="0.25">
      <c r="B412" s="1">
        <v>401</v>
      </c>
      <c r="C412" s="1">
        <v>1.0006820753605195</v>
      </c>
      <c r="D412" s="1">
        <v>1.2063131706866368</v>
      </c>
      <c r="E412" s="1">
        <v>0.82806915531073322</v>
      </c>
      <c r="G412" s="1">
        <v>0.99956370896686186</v>
      </c>
      <c r="H412" s="1">
        <v>4.8254965868659632</v>
      </c>
      <c r="I412" s="1">
        <v>0.17055724123206764</v>
      </c>
      <c r="K412" s="1">
        <v>0.99932951957909666</v>
      </c>
      <c r="L412" s="1">
        <v>5.7709489585362794</v>
      </c>
      <c r="M412" s="1">
        <v>0.13991824030726888</v>
      </c>
      <c r="O412" s="1">
        <v>7.5443330733194133E-3</v>
      </c>
      <c r="P412" s="1">
        <v>0.77716199425247401</v>
      </c>
      <c r="R412" s="1">
        <v>0.21820684089645476</v>
      </c>
      <c r="S412" s="2">
        <f t="shared" si="84"/>
        <v>0.93236020152516486</v>
      </c>
      <c r="T412" s="4">
        <f t="shared" si="85"/>
        <v>0.86929554538804599</v>
      </c>
      <c r="U412" s="1">
        <f t="shared" si="76"/>
        <v>0.51186823408850524</v>
      </c>
      <c r="V412" s="6">
        <f>2*sigma/alpha*corel*(B412/12-1/alpha*(1-EXP(-alpha*Output!B412/12)))</f>
        <v>1.873083157681557</v>
      </c>
      <c r="W412" s="5">
        <f t="shared" si="86"/>
        <v>-0.35742731129954075</v>
      </c>
      <c r="X412" s="1">
        <f t="shared" si="87"/>
        <v>51.284557792628931</v>
      </c>
      <c r="Y412" s="3">
        <f t="shared" si="77"/>
        <v>7.9125794336427802E-2</v>
      </c>
      <c r="Z412" s="1">
        <f t="shared" si="78"/>
        <v>0.16128803979894454</v>
      </c>
      <c r="AA412" s="8">
        <f t="shared" si="83"/>
        <v>33.333333333333186</v>
      </c>
      <c r="AB412" s="1">
        <v>33.42</v>
      </c>
      <c r="AC412" s="1">
        <v>7.6050168009999999E-3</v>
      </c>
      <c r="AD412" s="8">
        <f t="shared" si="79"/>
        <v>0.60683727680586541</v>
      </c>
      <c r="AE412" s="3">
        <f t="shared" si="80"/>
        <v>7.9794337433425674E-3</v>
      </c>
      <c r="AF412" s="11">
        <f t="shared" si="81"/>
        <v>33.333333333333186</v>
      </c>
      <c r="AG412" s="1">
        <f t="shared" si="82"/>
        <v>0.16128803979894454</v>
      </c>
    </row>
    <row r="413" spans="2:33" ht="15" x14ac:dyDescent="0.25">
      <c r="B413" s="1">
        <v>402</v>
      </c>
      <c r="C413" s="1">
        <v>1.0006817487982316</v>
      </c>
      <c r="D413" s="1">
        <v>1.2066275868248071</v>
      </c>
      <c r="E413" s="1">
        <v>0.82785157414190469</v>
      </c>
      <c r="G413" s="1">
        <v>0.99937011594996517</v>
      </c>
      <c r="H413" s="1">
        <v>4.8357387258418649</v>
      </c>
      <c r="I413" s="1">
        <v>0.17011365618812863</v>
      </c>
      <c r="K413" s="1">
        <v>0.99954996060701451</v>
      </c>
      <c r="L413" s="1">
        <v>5.4693121066834101</v>
      </c>
      <c r="M413" s="1">
        <v>0.14755546794429095</v>
      </c>
      <c r="O413" s="1">
        <v>7.5442131137334334E-3</v>
      </c>
      <c r="P413" s="1">
        <v>0.77667667158057474</v>
      </c>
      <c r="R413" s="1">
        <v>0.21869328811324115</v>
      </c>
      <c r="S413" s="2">
        <f t="shared" si="84"/>
        <v>0.93488271379062349</v>
      </c>
      <c r="T413" s="4">
        <f t="shared" si="85"/>
        <v>0.87400568854452088</v>
      </c>
      <c r="U413" s="1">
        <f t="shared" si="76"/>
        <v>0.51470275013048905</v>
      </c>
      <c r="V413" s="6">
        <f>2*sigma/alpha*corel*(B413/12-1/alpha*(1-EXP(-alpha*Output!B413/12)))</f>
        <v>1.8807677143135186</v>
      </c>
      <c r="W413" s="5">
        <f t="shared" si="86"/>
        <v>-0.35930293841403182</v>
      </c>
      <c r="X413" s="1">
        <f t="shared" si="87"/>
        <v>51.683880942684368</v>
      </c>
      <c r="Y413" s="3">
        <f t="shared" si="77"/>
        <v>7.9229589696237168E-2</v>
      </c>
      <c r="Z413" s="1">
        <f t="shared" si="78"/>
        <v>0.16152313161310705</v>
      </c>
      <c r="AA413" s="8">
        <f t="shared" si="83"/>
        <v>33.416666666666522</v>
      </c>
      <c r="AB413" s="1">
        <v>33.5</v>
      </c>
      <c r="AC413" s="1">
        <v>7.6046147379999996E-3</v>
      </c>
      <c r="AD413" s="8">
        <f t="shared" si="79"/>
        <v>0.60401624266566245</v>
      </c>
      <c r="AE413" s="3">
        <f t="shared" si="80"/>
        <v>7.9427592780922079E-3</v>
      </c>
      <c r="AF413" s="11">
        <f t="shared" si="81"/>
        <v>33.416666666666522</v>
      </c>
      <c r="AG413" s="1">
        <f t="shared" si="82"/>
        <v>0.16152313161310705</v>
      </c>
    </row>
    <row r="414" spans="2:33" ht="15" x14ac:dyDescent="0.25">
      <c r="B414" s="1">
        <v>403</v>
      </c>
      <c r="C414" s="1">
        <v>1.0006846943885899</v>
      </c>
      <c r="D414" s="1">
        <v>1.2086385646285474</v>
      </c>
      <c r="E414" s="1">
        <v>0.82647235565122279</v>
      </c>
      <c r="G414" s="1">
        <v>0.99945338038673359</v>
      </c>
      <c r="H414" s="1">
        <v>4.9078884211089369</v>
      </c>
      <c r="I414" s="1">
        <v>0.16753176218565929</v>
      </c>
      <c r="K414" s="1">
        <v>0.99950415010578431</v>
      </c>
      <c r="L414" s="1">
        <v>5.4613079187886342</v>
      </c>
      <c r="M414" s="1">
        <v>0.14769382889325383</v>
      </c>
      <c r="O414" s="1">
        <v>7.5440527382395432E-3</v>
      </c>
      <c r="P414" s="1">
        <v>0.77619272102829551</v>
      </c>
      <c r="R414" s="1">
        <v>0.21918022693572883</v>
      </c>
      <c r="S414" s="2">
        <f t="shared" si="84"/>
        <v>0.93740729283370694</v>
      </c>
      <c r="T414" s="4">
        <f t="shared" si="85"/>
        <v>0.8787324326578192</v>
      </c>
      <c r="U414" s="1">
        <f t="shared" si="76"/>
        <v>0.51754397737049151</v>
      </c>
      <c r="V414" s="6">
        <f>2*sigma/alpha*corel*(B414/12-1/alpha*(1-EXP(-alpha*Output!B414/12)))</f>
        <v>1.8884613628173912</v>
      </c>
      <c r="W414" s="5">
        <f t="shared" si="86"/>
        <v>-0.36118845528732768</v>
      </c>
      <c r="X414" s="1">
        <f t="shared" si="87"/>
        <v>52.085935479118469</v>
      </c>
      <c r="Y414" s="3">
        <f t="shared" si="77"/>
        <v>7.9333954566990869E-2</v>
      </c>
      <c r="Z414" s="1">
        <f t="shared" si="78"/>
        <v>0.1617582455539727</v>
      </c>
      <c r="AA414" s="8">
        <f t="shared" si="83"/>
        <v>33.499999999999858</v>
      </c>
      <c r="AB414" s="1">
        <v>33.58</v>
      </c>
      <c r="AC414" s="1">
        <v>7.6042146530000002E-3</v>
      </c>
      <c r="AD414" s="8">
        <f t="shared" si="79"/>
        <v>0.60161914760457036</v>
      </c>
      <c r="AE414" s="3">
        <f t="shared" si="80"/>
        <v>7.9116539321680071E-3</v>
      </c>
      <c r="AF414" s="11">
        <f t="shared" si="81"/>
        <v>33.499999999999858</v>
      </c>
      <c r="AG414" s="1">
        <f t="shared" si="82"/>
        <v>0.1617582455539727</v>
      </c>
    </row>
    <row r="415" spans="2:33" ht="15" x14ac:dyDescent="0.25">
      <c r="B415" s="1">
        <v>404</v>
      </c>
      <c r="C415" s="1">
        <v>1.000689373251006</v>
      </c>
      <c r="D415" s="1">
        <v>1.2081853066184198</v>
      </c>
      <c r="E415" s="1">
        <v>0.82678059877146415</v>
      </c>
      <c r="G415" s="1">
        <v>0.99966945425585652</v>
      </c>
      <c r="H415" s="1">
        <v>4.8891680695979547</v>
      </c>
      <c r="I415" s="1">
        <v>0.16809186666325687</v>
      </c>
      <c r="K415" s="1">
        <v>0.999524315731248</v>
      </c>
      <c r="L415" s="1">
        <v>5.4642365342807429</v>
      </c>
      <c r="M415" s="1">
        <v>0.14753567813711516</v>
      </c>
      <c r="O415" s="1">
        <v>7.5438394120765397E-3</v>
      </c>
      <c r="P415" s="1">
        <v>0.77571047559831519</v>
      </c>
      <c r="R415" s="1">
        <v>0.21960099473650768</v>
      </c>
      <c r="S415" s="2">
        <f t="shared" si="84"/>
        <v>0.93971355266352763</v>
      </c>
      <c r="T415" s="4">
        <f t="shared" si="85"/>
        <v>0.8830615610595085</v>
      </c>
      <c r="U415" s="1">
        <f t="shared" si="76"/>
        <v>0.52039190137109959</v>
      </c>
      <c r="V415" s="6">
        <f>2*sigma/alpha*corel*(B415/12-1/alpha*(1-EXP(-alpha*Output!B415/12)))</f>
        <v>1.8961640729373883</v>
      </c>
      <c r="W415" s="5">
        <f t="shared" si="86"/>
        <v>-0.36266965968840892</v>
      </c>
      <c r="X415" s="1">
        <f t="shared" si="87"/>
        <v>52.434952362870902</v>
      </c>
      <c r="Y415" s="3">
        <f t="shared" si="77"/>
        <v>7.9381695972823824E-2</v>
      </c>
      <c r="Z415" s="1">
        <f t="shared" si="78"/>
        <v>0.16195539916470603</v>
      </c>
      <c r="AA415" s="8">
        <f t="shared" si="83"/>
        <v>33.583333333333194</v>
      </c>
      <c r="AB415" s="1">
        <v>33.67</v>
      </c>
      <c r="AC415" s="1">
        <v>7.6038165370000002E-3</v>
      </c>
      <c r="AD415" s="8">
        <f t="shared" si="79"/>
        <v>0.5997712492346059</v>
      </c>
      <c r="AE415" s="3">
        <f t="shared" si="80"/>
        <v>7.8877659174985681E-3</v>
      </c>
      <c r="AF415" s="11">
        <f t="shared" si="81"/>
        <v>33.583333333333194</v>
      </c>
      <c r="AG415" s="1">
        <f t="shared" si="82"/>
        <v>0.16195539916470603</v>
      </c>
    </row>
    <row r="416" spans="2:33" ht="15" x14ac:dyDescent="0.25">
      <c r="B416" s="1">
        <v>405</v>
      </c>
      <c r="C416" s="1">
        <v>1.0006904550130249</v>
      </c>
      <c r="D416" s="1">
        <v>1.2112043266488817</v>
      </c>
      <c r="E416" s="1">
        <v>0.82471797233504629</v>
      </c>
      <c r="G416" s="1">
        <v>0.99960685973777252</v>
      </c>
      <c r="H416" s="1">
        <v>4.9992433648145882</v>
      </c>
      <c r="I416" s="1">
        <v>0.16431121865017562</v>
      </c>
      <c r="K416" s="1">
        <v>0.99969273765667832</v>
      </c>
      <c r="L416" s="1">
        <v>5.4938561226410441</v>
      </c>
      <c r="M416" s="1">
        <v>0.14666119359710189</v>
      </c>
      <c r="O416" s="1">
        <v>7.5436880539665966E-3</v>
      </c>
      <c r="P416" s="1">
        <v>0.77522693602004267</v>
      </c>
      <c r="R416" s="1">
        <v>0.22007930750455593</v>
      </c>
      <c r="S416" s="2">
        <f t="shared" si="84"/>
        <v>0.94221482942318024</v>
      </c>
      <c r="T416" s="4">
        <f t="shared" si="85"/>
        <v>0.88776878478495269</v>
      </c>
      <c r="U416" s="1">
        <f t="shared" si="76"/>
        <v>0.52324650769048153</v>
      </c>
      <c r="V416" s="6">
        <f>2*sigma/alpha*corel*(B416/12-1/alpha*(1-EXP(-alpha*Output!B416/12)))</f>
        <v>1.9038758145184111</v>
      </c>
      <c r="W416" s="5">
        <f t="shared" si="86"/>
        <v>-0.36452227709447116</v>
      </c>
      <c r="X416" s="1">
        <f t="shared" si="87"/>
        <v>52.835250524861749</v>
      </c>
      <c r="Y416" s="3">
        <f t="shared" si="77"/>
        <v>7.9480151518742798E-2</v>
      </c>
      <c r="Z416" s="1">
        <f t="shared" si="78"/>
        <v>0.1621858819069173</v>
      </c>
      <c r="AA416" s="8">
        <f t="shared" si="83"/>
        <v>33.666666666666529</v>
      </c>
      <c r="AB416" s="1">
        <v>33.75</v>
      </c>
      <c r="AC416" s="1">
        <v>7.6034203790000003E-3</v>
      </c>
      <c r="AD416" s="8">
        <f t="shared" si="79"/>
        <v>0.59732325033403677</v>
      </c>
      <c r="AE416" s="3">
        <f t="shared" si="80"/>
        <v>7.8559808686074067E-3</v>
      </c>
      <c r="AF416" s="11">
        <f t="shared" si="81"/>
        <v>33.666666666666529</v>
      </c>
      <c r="AG416" s="1">
        <f t="shared" si="82"/>
        <v>0.1621858819069173</v>
      </c>
    </row>
    <row r="417" spans="2:33" ht="15" x14ac:dyDescent="0.25">
      <c r="B417" s="1">
        <v>406</v>
      </c>
      <c r="C417" s="1">
        <v>1.0006917884853956</v>
      </c>
      <c r="D417" s="1">
        <v>1.213526429830631</v>
      </c>
      <c r="E417" s="1">
        <v>0.82313804791769107</v>
      </c>
      <c r="G417" s="1">
        <v>0.99956235573778518</v>
      </c>
      <c r="H417" s="1">
        <v>5.0840645581839077</v>
      </c>
      <c r="I417" s="1">
        <v>0.16149172241972981</v>
      </c>
      <c r="K417" s="1">
        <v>0.99979492439367834</v>
      </c>
      <c r="L417" s="1">
        <v>5.3417772284712379</v>
      </c>
      <c r="M417" s="1">
        <v>0.1507586564423341</v>
      </c>
      <c r="O417" s="1">
        <v>7.5435438364860764E-3</v>
      </c>
      <c r="P417" s="1">
        <v>0.77474353022909026</v>
      </c>
      <c r="R417" s="1">
        <v>0.22037559828324171</v>
      </c>
      <c r="S417" s="2">
        <f t="shared" si="84"/>
        <v>0.94411782893148843</v>
      </c>
      <c r="T417" s="4">
        <f t="shared" si="85"/>
        <v>0.89135847490630726</v>
      </c>
      <c r="U417" s="1">
        <f t="shared" si="76"/>
        <v>0.52610778188274621</v>
      </c>
      <c r="V417" s="6">
        <f>2*sigma/alpha*corel*(B417/12-1/alpha*(1-EXP(-alpha*Output!B417/12)))</f>
        <v>1.9115965575057072</v>
      </c>
      <c r="W417" s="5">
        <f t="shared" si="86"/>
        <v>-0.36525069302356106</v>
      </c>
      <c r="X417" s="1">
        <f t="shared" si="87"/>
        <v>53.084795187856272</v>
      </c>
      <c r="Y417" s="3">
        <f t="shared" si="77"/>
        <v>7.9423666428733053E-2</v>
      </c>
      <c r="Z417" s="1">
        <f t="shared" si="78"/>
        <v>0.16231318703939593</v>
      </c>
      <c r="AA417" s="8">
        <f t="shared" si="83"/>
        <v>33.749999999999865</v>
      </c>
      <c r="AB417" s="1">
        <v>33.83</v>
      </c>
      <c r="AC417" s="1">
        <v>7.6030261710000003E-3</v>
      </c>
      <c r="AD417" s="8">
        <f t="shared" si="79"/>
        <v>0.59482334513923962</v>
      </c>
      <c r="AE417" s="3">
        <f t="shared" si="80"/>
        <v>7.8235077949364018E-3</v>
      </c>
      <c r="AF417" s="11">
        <f t="shared" si="81"/>
        <v>33.749999999999865</v>
      </c>
      <c r="AG417" s="1">
        <f t="shared" si="82"/>
        <v>0.16231318703939593</v>
      </c>
    </row>
    <row r="418" spans="2:33" ht="15" x14ac:dyDescent="0.25">
      <c r="B418" s="1">
        <v>407</v>
      </c>
      <c r="C418" s="1">
        <v>1.0006934003323691</v>
      </c>
      <c r="D418" s="1">
        <v>1.2125792374184896</v>
      </c>
      <c r="E418" s="1">
        <v>0.8237792140578466</v>
      </c>
      <c r="G418" s="1">
        <v>0.99950908866976773</v>
      </c>
      <c r="H418" s="1">
        <v>5.0416070203096686</v>
      </c>
      <c r="I418" s="1">
        <v>0.1627729217473835</v>
      </c>
      <c r="K418" s="1">
        <v>0.99985864744199726</v>
      </c>
      <c r="L418" s="1">
        <v>5.4218981465448666</v>
      </c>
      <c r="M418" s="1">
        <v>0.14844832391276533</v>
      </c>
      <c r="O418" s="1">
        <v>7.543386431411411E-3</v>
      </c>
      <c r="P418" s="1">
        <v>0.77426079079495846</v>
      </c>
      <c r="R418" s="1">
        <v>0.22075518405158459</v>
      </c>
      <c r="S418" s="2">
        <f t="shared" si="84"/>
        <v>0.94629684100238731</v>
      </c>
      <c r="T418" s="4">
        <f t="shared" si="85"/>
        <v>0.89547771129109754</v>
      </c>
      <c r="U418" s="1">
        <f t="shared" si="76"/>
        <v>0.5289757094983063</v>
      </c>
      <c r="V418" s="6">
        <f>2*sigma/alpha*corel*(B418/12-1/alpha*(1-EXP(-alpha*Output!B418/12)))</f>
        <v>1.9193262719445414</v>
      </c>
      <c r="W418" s="5">
        <f t="shared" si="86"/>
        <v>-0.36650200179279124</v>
      </c>
      <c r="X418" s="1">
        <f t="shared" si="87"/>
        <v>53.405918248065213</v>
      </c>
      <c r="Y418" s="3">
        <f t="shared" si="77"/>
        <v>7.9438953628755415E-2</v>
      </c>
      <c r="Z418" s="1">
        <f t="shared" si="78"/>
        <v>0.16248781874958493</v>
      </c>
      <c r="AA418" s="8">
        <f t="shared" si="83"/>
        <v>33.833333333333201</v>
      </c>
      <c r="AB418" s="1">
        <v>33.92</v>
      </c>
      <c r="AC418" s="1">
        <v>7.6026339030000004E-3</v>
      </c>
      <c r="AD418" s="8">
        <f t="shared" si="79"/>
        <v>0.59247471588589473</v>
      </c>
      <c r="AE418" s="3">
        <f t="shared" si="80"/>
        <v>7.7930191489571018E-3</v>
      </c>
      <c r="AF418" s="11">
        <f t="shared" si="81"/>
        <v>33.833333333333201</v>
      </c>
      <c r="AG418" s="1">
        <f t="shared" si="82"/>
        <v>0.16248781874958493</v>
      </c>
    </row>
    <row r="419" spans="2:33" ht="15" x14ac:dyDescent="0.25">
      <c r="B419" s="1">
        <v>408</v>
      </c>
      <c r="C419" s="1">
        <v>1.000693788491493</v>
      </c>
      <c r="D419" s="1">
        <v>1.2100484855784097</v>
      </c>
      <c r="E419" s="1">
        <v>0.82550027856009145</v>
      </c>
      <c r="G419" s="1">
        <v>0.99937053042264057</v>
      </c>
      <c r="H419" s="1">
        <v>4.9459555988637129</v>
      </c>
      <c r="I419" s="1">
        <v>0.16584056251237916</v>
      </c>
      <c r="K419" s="1">
        <v>0.99978973506739266</v>
      </c>
      <c r="L419" s="1">
        <v>5.2725254383167899</v>
      </c>
      <c r="M419" s="1">
        <v>0.15257360941970127</v>
      </c>
      <c r="O419" s="1">
        <v>7.5431602117505157E-3</v>
      </c>
      <c r="P419" s="1">
        <v>0.77378018286140526</v>
      </c>
      <c r="R419" s="1">
        <v>0.221042001317515</v>
      </c>
      <c r="S419" s="2">
        <f t="shared" si="84"/>
        <v>0.9481674203646413</v>
      </c>
      <c r="T419" s="4">
        <f t="shared" si="85"/>
        <v>0.89902145704093839</v>
      </c>
      <c r="U419" s="1">
        <f t="shared" si="76"/>
        <v>0.53185027608423496</v>
      </c>
      <c r="V419" s="6">
        <f>2*sigma/alpha*corel*(B419/12-1/alpha*(1-EXP(-alpha*Output!B419/12)))</f>
        <v>1.927064927979862</v>
      </c>
      <c r="W419" s="5">
        <f t="shared" si="86"/>
        <v>-0.36717118095670342</v>
      </c>
      <c r="X419" s="1">
        <f t="shared" si="87"/>
        <v>53.648859846761695</v>
      </c>
      <c r="Y419" s="3">
        <f t="shared" si="77"/>
        <v>7.9374606944988657E-2</v>
      </c>
      <c r="Z419" s="1">
        <f t="shared" si="78"/>
        <v>0.1626093710707584</v>
      </c>
      <c r="AA419" s="8">
        <f t="shared" si="83"/>
        <v>33.916666666666536</v>
      </c>
      <c r="AB419" s="1">
        <v>34</v>
      </c>
      <c r="AC419" s="1">
        <v>7.6022435640000002E-3</v>
      </c>
      <c r="AD419" s="8">
        <f t="shared" si="79"/>
        <v>0.59083352249484489</v>
      </c>
      <c r="AE419" s="3">
        <f t="shared" si="80"/>
        <v>7.7718310064768771E-3</v>
      </c>
      <c r="AF419" s="11">
        <f t="shared" si="81"/>
        <v>33.916666666666536</v>
      </c>
      <c r="AG419" s="1">
        <f t="shared" si="82"/>
        <v>0.1626093710707584</v>
      </c>
    </row>
    <row r="420" spans="2:33" ht="15" x14ac:dyDescent="0.25">
      <c r="B420" s="1">
        <v>409</v>
      </c>
      <c r="C420" s="1">
        <v>1.0006943082360058</v>
      </c>
      <c r="D420" s="1">
        <v>1.2113736361515763</v>
      </c>
      <c r="E420" s="1">
        <v>0.82459541603470687</v>
      </c>
      <c r="G420" s="1">
        <v>0.99923728529271816</v>
      </c>
      <c r="H420" s="1">
        <v>4.9917409857273256</v>
      </c>
      <c r="I420" s="1">
        <v>0.16423993244546289</v>
      </c>
      <c r="K420" s="1">
        <v>0.99976359080517663</v>
      </c>
      <c r="L420" s="1">
        <v>5.2783368225436069</v>
      </c>
      <c r="M420" s="1">
        <v>0.15232481631028177</v>
      </c>
      <c r="O420" s="1">
        <v>7.5429514203252598E-3</v>
      </c>
      <c r="P420" s="1">
        <v>0.77329944306262832</v>
      </c>
      <c r="R420" s="1">
        <v>0.22150559726446867</v>
      </c>
      <c r="S420" s="2">
        <f t="shared" si="84"/>
        <v>0.95062538117207662</v>
      </c>
      <c r="T420" s="4">
        <f t="shared" si="85"/>
        <v>0.90368861532855593</v>
      </c>
      <c r="U420" s="1">
        <f t="shared" si="76"/>
        <v>0.5347314671846144</v>
      </c>
      <c r="V420" s="6">
        <f>2*sigma/alpha*corel*(B420/12-1/alpha*(1-EXP(-alpha*Output!B420/12)))</f>
        <v>1.9348124958559678</v>
      </c>
      <c r="W420" s="5">
        <f t="shared" si="86"/>
        <v>-0.36895714814394154</v>
      </c>
      <c r="X420" s="1">
        <f t="shared" si="87"/>
        <v>54.044657257744433</v>
      </c>
      <c r="Y420" s="3">
        <f t="shared" si="77"/>
        <v>7.9462513145237196E-2</v>
      </c>
      <c r="Z420" s="1">
        <f t="shared" si="78"/>
        <v>0.16283148160992336</v>
      </c>
      <c r="AA420" s="8">
        <f t="shared" si="83"/>
        <v>33.999999999999872</v>
      </c>
      <c r="AB420" s="1">
        <v>34.08</v>
      </c>
      <c r="AC420" s="1">
        <v>7.6018551470000001E-3</v>
      </c>
      <c r="AD420" s="8">
        <f t="shared" si="79"/>
        <v>0.58903726674740253</v>
      </c>
      <c r="AE420" s="3">
        <f t="shared" si="80"/>
        <v>7.7485989321943406E-3</v>
      </c>
      <c r="AF420" s="11">
        <f t="shared" si="81"/>
        <v>33.999999999999872</v>
      </c>
      <c r="AG420" s="1">
        <f t="shared" si="82"/>
        <v>0.16283148160992336</v>
      </c>
    </row>
    <row r="421" spans="2:33" ht="15" x14ac:dyDescent="0.25">
      <c r="B421" s="1">
        <v>410</v>
      </c>
      <c r="C421" s="1">
        <v>1.0006972130013154</v>
      </c>
      <c r="D421" s="1">
        <v>1.207442362852003</v>
      </c>
      <c r="E421" s="1">
        <v>0.82727835153628226</v>
      </c>
      <c r="G421" s="1">
        <v>0.99931239053764453</v>
      </c>
      <c r="H421" s="1">
        <v>4.8511391617378727</v>
      </c>
      <c r="I421" s="1">
        <v>0.16891837321392084</v>
      </c>
      <c r="K421" s="1">
        <v>0.99971381344966193</v>
      </c>
      <c r="L421" s="1">
        <v>5.3186456478219872</v>
      </c>
      <c r="M421" s="1">
        <v>0.1510884305544806</v>
      </c>
      <c r="O421" s="1">
        <v>7.5427249276770799E-3</v>
      </c>
      <c r="P421" s="1">
        <v>0.77281949622911894</v>
      </c>
      <c r="R421" s="1">
        <v>0.2218368768268405</v>
      </c>
      <c r="S421" s="2">
        <f t="shared" si="84"/>
        <v>0.9526464104275767</v>
      </c>
      <c r="T421" s="4">
        <f t="shared" si="85"/>
        <v>0.90753518330054694</v>
      </c>
      <c r="U421" s="1">
        <f t="shared" si="76"/>
        <v>0.53761926834088936</v>
      </c>
      <c r="V421" s="6">
        <f>2*sigma/alpha*corel*(B421/12-1/alpha*(1-EXP(-alpha*Output!B421/12)))</f>
        <v>1.942568945916177</v>
      </c>
      <c r="W421" s="5">
        <f t="shared" si="86"/>
        <v>-0.36991591495965759</v>
      </c>
      <c r="X421" s="1">
        <f t="shared" si="87"/>
        <v>54.328749154124424</v>
      </c>
      <c r="Y421" s="3">
        <f t="shared" si="77"/>
        <v>7.9437583722909072E-2</v>
      </c>
      <c r="Z421" s="1">
        <f t="shared" si="78"/>
        <v>0.1629785426517677</v>
      </c>
      <c r="AA421" s="8">
        <f t="shared" si="83"/>
        <v>34.083333333333208</v>
      </c>
      <c r="AB421" s="1">
        <v>34.17</v>
      </c>
      <c r="AC421" s="1">
        <v>7.6014686400000002E-3</v>
      </c>
      <c r="AD421" s="8">
        <f t="shared" si="79"/>
        <v>0.58743712322920261</v>
      </c>
      <c r="AE421" s="3">
        <f t="shared" si="80"/>
        <v>7.7279424680913051E-3</v>
      </c>
      <c r="AF421" s="11">
        <f t="shared" si="81"/>
        <v>34.083333333333208</v>
      </c>
      <c r="AG421" s="1">
        <f t="shared" si="82"/>
        <v>0.1629785426517677</v>
      </c>
    </row>
    <row r="422" spans="2:33" ht="15" x14ac:dyDescent="0.25">
      <c r="B422" s="1">
        <v>411</v>
      </c>
      <c r="C422" s="1">
        <v>1.0006956144560288</v>
      </c>
      <c r="D422" s="1">
        <v>1.2063539750729686</v>
      </c>
      <c r="E422" s="1">
        <v>0.82802288896814014</v>
      </c>
      <c r="G422" s="1">
        <v>0.99902076367873982</v>
      </c>
      <c r="H422" s="1">
        <v>4.8084361380455132</v>
      </c>
      <c r="I422" s="1">
        <v>0.17033605849299413</v>
      </c>
      <c r="K422" s="1">
        <v>0.99967848751541688</v>
      </c>
      <c r="L422" s="1">
        <v>5.3122920206356152</v>
      </c>
      <c r="M422" s="1">
        <v>0.15118761429365141</v>
      </c>
      <c r="O422" s="1">
        <v>7.5424652631077109E-3</v>
      </c>
      <c r="P422" s="1">
        <v>0.77234075391399881</v>
      </c>
      <c r="R422" s="1">
        <v>0.22215888824085622</v>
      </c>
      <c r="S422" s="2">
        <f t="shared" si="84"/>
        <v>0.95463661027410662</v>
      </c>
      <c r="T422" s="4">
        <f t="shared" si="85"/>
        <v>0.91133105767563649</v>
      </c>
      <c r="U422" s="1">
        <f t="shared" si="76"/>
        <v>0.5405136650922131</v>
      </c>
      <c r="V422" s="6">
        <f>2*sigma/alpha*corel*(B422/12-1/alpha*(1-EXP(-alpha*Output!B422/12)))</f>
        <v>1.950334248602501</v>
      </c>
      <c r="W422" s="5">
        <f t="shared" si="86"/>
        <v>-0.37081739258342339</v>
      </c>
      <c r="X422" s="1">
        <f t="shared" si="87"/>
        <v>54.605786465200879</v>
      </c>
      <c r="Y422" s="3">
        <f t="shared" si="77"/>
        <v>7.9404942651218696E-2</v>
      </c>
      <c r="Z422" s="1">
        <f t="shared" si="78"/>
        <v>0.16312021966489082</v>
      </c>
      <c r="AA422" s="8">
        <f t="shared" si="83"/>
        <v>34.166666666666544</v>
      </c>
      <c r="AB422" s="1">
        <v>34.25</v>
      </c>
      <c r="AC422" s="1">
        <v>7.6010840289999996E-3</v>
      </c>
      <c r="AD422" s="8">
        <f t="shared" si="79"/>
        <v>0.58618765892288693</v>
      </c>
      <c r="AE422" s="3">
        <f t="shared" si="80"/>
        <v>7.711895522881174E-3</v>
      </c>
      <c r="AF422" s="11">
        <f t="shared" si="81"/>
        <v>34.166666666666544</v>
      </c>
      <c r="AG422" s="1">
        <f t="shared" si="82"/>
        <v>0.16312021966489082</v>
      </c>
    </row>
    <row r="423" spans="2:33" ht="15" x14ac:dyDescent="0.25">
      <c r="B423" s="1">
        <v>412</v>
      </c>
      <c r="C423" s="1">
        <v>1.0006980221628585</v>
      </c>
      <c r="D423" s="1">
        <v>1.2111597942929382</v>
      </c>
      <c r="E423" s="1">
        <v>0.82473549646826971</v>
      </c>
      <c r="G423" s="1">
        <v>0.99905499128133635</v>
      </c>
      <c r="H423" s="1">
        <v>4.9821617427942844</v>
      </c>
      <c r="I423" s="1">
        <v>0.16431698022815808</v>
      </c>
      <c r="K423" s="1">
        <v>0.99968448500029639</v>
      </c>
      <c r="L423" s="1">
        <v>5.1596815652079178</v>
      </c>
      <c r="M423" s="1">
        <v>0.1555789760028698</v>
      </c>
      <c r="O423" s="1">
        <v>7.5422487399010134E-3</v>
      </c>
      <c r="P423" s="1">
        <v>0.77186119830051092</v>
      </c>
      <c r="R423" s="1">
        <v>0.22244257279211418</v>
      </c>
      <c r="S423" s="2">
        <f t="shared" si="84"/>
        <v>0.95650337751469894</v>
      </c>
      <c r="T423" s="4">
        <f t="shared" si="85"/>
        <v>0.9148987111970267</v>
      </c>
      <c r="U423" s="1">
        <f t="shared" si="76"/>
        <v>0.54341464297578668</v>
      </c>
      <c r="V423" s="6">
        <f>2*sigma/alpha*corel*(B423/12-1/alpha*(1-EXP(-alpha*Output!B423/12)))</f>
        <v>1.9581083744553123</v>
      </c>
      <c r="W423" s="5">
        <f t="shared" si="86"/>
        <v>-0.37148406822124003</v>
      </c>
      <c r="X423" s="1">
        <f t="shared" si="87"/>
        <v>54.851333775162324</v>
      </c>
      <c r="Y423" s="3">
        <f t="shared" si="77"/>
        <v>7.9340683332355333E-2</v>
      </c>
      <c r="Z423" s="1">
        <f t="shared" si="78"/>
        <v>0.16324072799881559</v>
      </c>
      <c r="AA423" s="8">
        <f t="shared" si="83"/>
        <v>34.249999999999879</v>
      </c>
      <c r="AB423" s="1">
        <v>34.33</v>
      </c>
      <c r="AC423" s="1">
        <v>7.6007012989999997E-3</v>
      </c>
      <c r="AD423" s="8">
        <f t="shared" si="79"/>
        <v>0.58452559098986367</v>
      </c>
      <c r="AE423" s="3">
        <f t="shared" si="80"/>
        <v>7.6904165549403682E-3</v>
      </c>
      <c r="AF423" s="11">
        <f t="shared" si="81"/>
        <v>34.249999999999879</v>
      </c>
      <c r="AG423" s="1">
        <f t="shared" si="82"/>
        <v>0.16324072799881559</v>
      </c>
    </row>
    <row r="424" spans="2:33" ht="15" x14ac:dyDescent="0.25">
      <c r="B424" s="1">
        <v>413</v>
      </c>
      <c r="C424" s="1">
        <v>1.0006999544673436</v>
      </c>
      <c r="D424" s="1">
        <v>1.2128578201031495</v>
      </c>
      <c r="E424" s="1">
        <v>0.82357900779607685</v>
      </c>
      <c r="G424" s="1">
        <v>0.99903032219357391</v>
      </c>
      <c r="H424" s="1">
        <v>5.0422511065424569</v>
      </c>
      <c r="I424" s="1">
        <v>0.16228023126675223</v>
      </c>
      <c r="K424" s="1">
        <v>0.99974717567602622</v>
      </c>
      <c r="L424" s="1">
        <v>5.2445213215750748</v>
      </c>
      <c r="M424" s="1">
        <v>0.15298010621332789</v>
      </c>
      <c r="O424" s="1">
        <v>7.5421053068994966E-3</v>
      </c>
      <c r="P424" s="1">
        <v>0.77138002786058024</v>
      </c>
      <c r="R424" s="1">
        <v>0.22286001071010594</v>
      </c>
      <c r="S424" s="2">
        <f t="shared" si="84"/>
        <v>0.95881943838683203</v>
      </c>
      <c r="T424" s="4">
        <f t="shared" si="85"/>
        <v>0.91933471542844003</v>
      </c>
      <c r="U424" s="1">
        <f t="shared" si="76"/>
        <v>0.54632218752719997</v>
      </c>
      <c r="V424" s="6">
        <f>2*sigma/alpha*corel*(B424/12-1/alpha*(1-EXP(-alpha*Output!B424/12)))</f>
        <v>1.9658912941130193</v>
      </c>
      <c r="W424" s="5">
        <f t="shared" si="86"/>
        <v>-0.37301252790124007</v>
      </c>
      <c r="X424" s="1">
        <f t="shared" si="87"/>
        <v>55.216119921340081</v>
      </c>
      <c r="Y424" s="3">
        <f t="shared" si="77"/>
        <v>7.9392693113896351E-2</v>
      </c>
      <c r="Z424" s="1">
        <f t="shared" si="78"/>
        <v>0.16343776969998927</v>
      </c>
      <c r="AA424" s="8">
        <f t="shared" si="83"/>
        <v>34.333333333333215</v>
      </c>
      <c r="AB424" s="1">
        <v>34.42</v>
      </c>
      <c r="AC424" s="1">
        <v>7.6003204370000002E-3</v>
      </c>
      <c r="AD424" s="8">
        <f t="shared" si="79"/>
        <v>0.58215130100503631</v>
      </c>
      <c r="AE424" s="3">
        <f t="shared" si="80"/>
        <v>7.6595625912165245E-3</v>
      </c>
      <c r="AF424" s="11">
        <f t="shared" si="81"/>
        <v>34.333333333333215</v>
      </c>
      <c r="AG424" s="1">
        <f t="shared" si="82"/>
        <v>0.16343776969998927</v>
      </c>
    </row>
    <row r="425" spans="2:33" ht="15" x14ac:dyDescent="0.25">
      <c r="B425" s="1">
        <v>414</v>
      </c>
      <c r="C425" s="1">
        <v>1.0007033788149946</v>
      </c>
      <c r="D425" s="1">
        <v>1.2152994904081631</v>
      </c>
      <c r="E425" s="1">
        <v>0.82192250472340966</v>
      </c>
      <c r="G425" s="1">
        <v>0.99912344980788259</v>
      </c>
      <c r="H425" s="1">
        <v>5.1342513743513436</v>
      </c>
      <c r="I425" s="1">
        <v>0.15929523291671799</v>
      </c>
      <c r="K425" s="1">
        <v>0.99948135258733961</v>
      </c>
      <c r="L425" s="1">
        <v>5.2772764187558767</v>
      </c>
      <c r="M425" s="1">
        <v>0.15194825933130277</v>
      </c>
      <c r="O425" s="1">
        <v>7.5419105747307784E-3</v>
      </c>
      <c r="P425" s="1">
        <v>0.77090054016111476</v>
      </c>
      <c r="R425" s="1">
        <v>0.22307257746672252</v>
      </c>
      <c r="S425" s="2">
        <f t="shared" si="84"/>
        <v>0.96045402670130908</v>
      </c>
      <c r="T425" s="4">
        <f t="shared" si="85"/>
        <v>0.92247193740675892</v>
      </c>
      <c r="U425" s="1">
        <f t="shared" si="76"/>
        <v>0.54923628428077009</v>
      </c>
      <c r="V425" s="6">
        <f>2*sigma/alpha*corel*(B425/12-1/alpha*(1-EXP(-alpha*Output!B425/12)))</f>
        <v>1.9736829783117393</v>
      </c>
      <c r="W425" s="5">
        <f t="shared" si="86"/>
        <v>-0.37323565312598883</v>
      </c>
      <c r="X425" s="1">
        <f t="shared" si="87"/>
        <v>55.401944630263955</v>
      </c>
      <c r="Y425" s="3">
        <f t="shared" si="77"/>
        <v>7.9269062024510312E-2</v>
      </c>
      <c r="Z425" s="1">
        <f t="shared" si="78"/>
        <v>0.16351855254460537</v>
      </c>
      <c r="AA425" s="8">
        <f t="shared" si="83"/>
        <v>34.416666666666551</v>
      </c>
      <c r="AB425" s="1">
        <v>34.5</v>
      </c>
      <c r="AC425" s="1">
        <v>7.5999414259999998E-3</v>
      </c>
      <c r="AD425" s="8">
        <f t="shared" si="79"/>
        <v>0.58030851269221495</v>
      </c>
      <c r="AE425" s="3">
        <f t="shared" si="80"/>
        <v>7.6356971740194424E-3</v>
      </c>
      <c r="AF425" s="11">
        <f t="shared" si="81"/>
        <v>34.416666666666551</v>
      </c>
      <c r="AG425" s="1">
        <f t="shared" si="82"/>
        <v>0.16351855254460537</v>
      </c>
    </row>
    <row r="426" spans="2:33" ht="15" x14ac:dyDescent="0.25">
      <c r="B426" s="1">
        <v>415</v>
      </c>
      <c r="C426" s="1">
        <v>1.0007045040564357</v>
      </c>
      <c r="D426" s="1">
        <v>1.2159977564856737</v>
      </c>
      <c r="E426" s="1">
        <v>0.82144868420087591</v>
      </c>
      <c r="G426" s="1">
        <v>0.99905156869946676</v>
      </c>
      <c r="H426" s="1">
        <v>5.1570645533472703</v>
      </c>
      <c r="I426" s="1">
        <v>0.1585138293815804</v>
      </c>
      <c r="K426" s="1">
        <v>0.99950730219631001</v>
      </c>
      <c r="L426" s="1">
        <v>5.2202754131638995</v>
      </c>
      <c r="M426" s="1">
        <v>0.15352565311996155</v>
      </c>
      <c r="O426" s="1">
        <v>7.541709715555435E-3</v>
      </c>
      <c r="P426" s="1">
        <v>0.77042153876056974</v>
      </c>
      <c r="R426" s="1">
        <v>0.22356254250658245</v>
      </c>
      <c r="S426" s="2">
        <f t="shared" si="84"/>
        <v>0.96301201893496335</v>
      </c>
      <c r="T426" s="4">
        <f t="shared" si="85"/>
        <v>0.92739214861319419</v>
      </c>
      <c r="U426" s="1">
        <f t="shared" si="76"/>
        <v>0.55215691876986872</v>
      </c>
      <c r="V426" s="6">
        <f>2*sigma/alpha*corel*(B426/12-1/alpha*(1-EXP(-alpha*Output!B426/12)))</f>
        <v>1.9814833978849733</v>
      </c>
      <c r="W426" s="5">
        <f t="shared" si="86"/>
        <v>-0.37523522984332547</v>
      </c>
      <c r="X426" s="1">
        <f t="shared" si="87"/>
        <v>55.833816584420475</v>
      </c>
      <c r="Y426" s="3">
        <f t="shared" si="77"/>
        <v>7.9383896808565307E-2</v>
      </c>
      <c r="Z426" s="1">
        <f t="shared" si="78"/>
        <v>0.16375639991803817</v>
      </c>
      <c r="AA426" s="8">
        <f t="shared" si="83"/>
        <v>34.499999999999886</v>
      </c>
      <c r="AB426" s="1">
        <v>34.58</v>
      </c>
      <c r="AC426" s="1">
        <v>7.5995642520000004E-3</v>
      </c>
      <c r="AD426" s="8">
        <f t="shared" si="79"/>
        <v>0.57854536444565396</v>
      </c>
      <c r="AE426" s="3">
        <f t="shared" si="80"/>
        <v>7.6128754920835942E-3</v>
      </c>
      <c r="AF426" s="11">
        <f t="shared" si="81"/>
        <v>34.499999999999886</v>
      </c>
      <c r="AG426" s="1">
        <f t="shared" si="82"/>
        <v>0.16375639991803817</v>
      </c>
    </row>
    <row r="427" spans="2:33" ht="15" x14ac:dyDescent="0.25">
      <c r="B427" s="1">
        <v>416</v>
      </c>
      <c r="C427" s="1">
        <v>1.0007048621278676</v>
      </c>
      <c r="D427" s="1">
        <v>1.2153335787710915</v>
      </c>
      <c r="E427" s="1">
        <v>0.82189575398760073</v>
      </c>
      <c r="G427" s="1">
        <v>0.99892377303008284</v>
      </c>
      <c r="H427" s="1">
        <v>5.1277086156112182</v>
      </c>
      <c r="I427" s="1">
        <v>0.15934417955677962</v>
      </c>
      <c r="K427" s="1">
        <v>0.99969949374108458</v>
      </c>
      <c r="L427" s="1">
        <v>5.1764278682383322</v>
      </c>
      <c r="M427" s="1">
        <v>0.15474237085908976</v>
      </c>
      <c r="O427" s="1">
        <v>7.5414887490732659E-3</v>
      </c>
      <c r="P427" s="1">
        <v>0.76994339745542084</v>
      </c>
      <c r="R427" s="1">
        <v>0.22388668308956061</v>
      </c>
      <c r="S427" s="2">
        <f t="shared" si="84"/>
        <v>0.96501939635397282</v>
      </c>
      <c r="T427" s="4">
        <f t="shared" si="85"/>
        <v>0.93126243533938613</v>
      </c>
      <c r="U427" s="1">
        <f t="shared" si="76"/>
        <v>0.55508407652725511</v>
      </c>
      <c r="V427" s="6">
        <f>2*sigma/alpha*corel*(B427/12-1/alpha*(1-EXP(-alpha*Output!B427/12)))</f>
        <v>1.9892925237632815</v>
      </c>
      <c r="W427" s="5">
        <f t="shared" si="86"/>
        <v>-0.37617835881213102</v>
      </c>
      <c r="X427" s="1">
        <f t="shared" si="87"/>
        <v>56.120683833715994</v>
      </c>
      <c r="Y427" s="3">
        <f t="shared" si="77"/>
        <v>7.9356943816086198E-2</v>
      </c>
      <c r="Z427" s="1">
        <f t="shared" si="78"/>
        <v>0.16390039499935269</v>
      </c>
      <c r="AA427" s="8">
        <f t="shared" si="83"/>
        <v>34.583333333333222</v>
      </c>
      <c r="AB427" s="1">
        <v>34.67</v>
      </c>
      <c r="AC427" s="1">
        <v>7.5991888999999996E-3</v>
      </c>
      <c r="AD427" s="8">
        <f t="shared" si="79"/>
        <v>0.57700150926733729</v>
      </c>
      <c r="AE427" s="3">
        <f t="shared" si="80"/>
        <v>7.592935467985765E-3</v>
      </c>
      <c r="AF427" s="11">
        <f t="shared" si="81"/>
        <v>34.583333333333222</v>
      </c>
      <c r="AG427" s="1">
        <f t="shared" si="82"/>
        <v>0.16390039499935269</v>
      </c>
    </row>
    <row r="428" spans="2:33" ht="15" x14ac:dyDescent="0.25">
      <c r="B428" s="1">
        <v>417</v>
      </c>
      <c r="C428" s="1">
        <v>1.0007115875645523</v>
      </c>
      <c r="D428" s="1">
        <v>1.2199583575264923</v>
      </c>
      <c r="E428" s="1">
        <v>0.81877815587988967</v>
      </c>
      <c r="G428" s="1">
        <v>0.99929420073569541</v>
      </c>
      <c r="H428" s="1">
        <v>5.3003252525048232</v>
      </c>
      <c r="I428" s="1">
        <v>0.15408020158570732</v>
      </c>
      <c r="K428" s="1">
        <v>0.99967117657168125</v>
      </c>
      <c r="L428" s="1">
        <v>5.1288227785291864</v>
      </c>
      <c r="M428" s="1">
        <v>0.15609602334619657</v>
      </c>
      <c r="O428" s="1">
        <v>7.5412150124424294E-3</v>
      </c>
      <c r="P428" s="1">
        <v>0.76946699225198256</v>
      </c>
      <c r="R428" s="1">
        <v>0.22429261300525347</v>
      </c>
      <c r="S428" s="2">
        <f t="shared" si="84"/>
        <v>0.96729813907447681</v>
      </c>
      <c r="T428" s="4">
        <f t="shared" si="85"/>
        <v>0.93566568985694587</v>
      </c>
      <c r="U428" s="1">
        <f t="shared" si="76"/>
        <v>0.55801774308540208</v>
      </c>
      <c r="V428" s="6">
        <f>2*sigma/alpha*corel*(B428/12-1/alpha*(1-EXP(-alpha*Output!B428/12)))</f>
        <v>1.9971103269739632</v>
      </c>
      <c r="W428" s="5">
        <f t="shared" si="86"/>
        <v>-0.37764794677154379</v>
      </c>
      <c r="X428" s="1">
        <f t="shared" si="87"/>
        <v>56.481514259350632</v>
      </c>
      <c r="Y428" s="3">
        <f t="shared" si="77"/>
        <v>7.9400116668192411E-2</v>
      </c>
      <c r="Z428" s="1">
        <f t="shared" si="78"/>
        <v>0.16409031465260165</v>
      </c>
      <c r="AA428" s="8">
        <f t="shared" si="83"/>
        <v>34.666666666666558</v>
      </c>
      <c r="AB428" s="1">
        <v>34.75</v>
      </c>
      <c r="AC428" s="1">
        <v>7.5988153560000004E-3</v>
      </c>
      <c r="AD428" s="8">
        <f t="shared" si="79"/>
        <v>0.57600343557570943</v>
      </c>
      <c r="AE428" s="3">
        <f t="shared" si="80"/>
        <v>7.5801741270222992E-3</v>
      </c>
      <c r="AF428" s="11">
        <f t="shared" si="81"/>
        <v>34.666666666666558</v>
      </c>
      <c r="AG428" s="1">
        <f t="shared" si="82"/>
        <v>0.16409031465260165</v>
      </c>
    </row>
    <row r="429" spans="2:33" ht="15" x14ac:dyDescent="0.25">
      <c r="B429" s="1">
        <v>418</v>
      </c>
      <c r="C429" s="1">
        <v>1.0007130197095131</v>
      </c>
      <c r="D429" s="1">
        <v>1.2201864511805531</v>
      </c>
      <c r="E429" s="1">
        <v>0.81862324717016521</v>
      </c>
      <c r="G429" s="1">
        <v>0.99925531283801683</v>
      </c>
      <c r="H429" s="1">
        <v>5.3130253398851304</v>
      </c>
      <c r="I429" s="1">
        <v>0.15363751927911076</v>
      </c>
      <c r="K429" s="1">
        <v>0.99953872002221045</v>
      </c>
      <c r="L429" s="1">
        <v>5.1178082589081573</v>
      </c>
      <c r="M429" s="1">
        <v>0.15635170470909901</v>
      </c>
      <c r="O429" s="1">
        <v>7.5408632373430151E-3</v>
      </c>
      <c r="P429" s="1">
        <v>0.7689930072910488</v>
      </c>
      <c r="R429" s="1">
        <v>0.22430901111586984</v>
      </c>
      <c r="S429" s="2">
        <f t="shared" si="84"/>
        <v>0.96827586878784477</v>
      </c>
      <c r="T429" s="4">
        <f t="shared" si="85"/>
        <v>0.93755815807685561</v>
      </c>
      <c r="U429" s="1">
        <f t="shared" si="76"/>
        <v>0.56095790397681622</v>
      </c>
      <c r="V429" s="6">
        <f>2*sigma/alpha*corel*(B429/12-1/alpha*(1-EXP(-alpha*Output!B429/12)))</f>
        <v>2.0049367786407304</v>
      </c>
      <c r="W429" s="5">
        <f t="shared" si="86"/>
        <v>-0.37660025410003939</v>
      </c>
      <c r="X429" s="1">
        <f t="shared" si="87"/>
        <v>56.492740224285093</v>
      </c>
      <c r="Y429" s="3">
        <f t="shared" si="77"/>
        <v>7.9108542802894408E-2</v>
      </c>
      <c r="Z429" s="1">
        <f t="shared" si="78"/>
        <v>0.16405957822677714</v>
      </c>
      <c r="AA429" s="8">
        <f t="shared" si="83"/>
        <v>34.749999999999893</v>
      </c>
      <c r="AB429" s="1">
        <v>34.83</v>
      </c>
      <c r="AC429" s="1">
        <v>7.5984436049999996E-3</v>
      </c>
      <c r="AD429" s="8">
        <f t="shared" si="79"/>
        <v>0.57580367656984499</v>
      </c>
      <c r="AE429" s="3">
        <f t="shared" si="80"/>
        <v>7.5779160378442395E-3</v>
      </c>
      <c r="AF429" s="11">
        <f t="shared" si="81"/>
        <v>34.749999999999893</v>
      </c>
      <c r="AG429" s="1">
        <f t="shared" si="82"/>
        <v>0.16405957822677714</v>
      </c>
    </row>
    <row r="430" spans="2:33" ht="15" x14ac:dyDescent="0.25">
      <c r="B430" s="1">
        <v>419</v>
      </c>
      <c r="C430" s="1">
        <v>1.0007125608928111</v>
      </c>
      <c r="D430" s="1">
        <v>1.2185511984494639</v>
      </c>
      <c r="E430" s="1">
        <v>0.81971995302043965</v>
      </c>
      <c r="G430" s="1">
        <v>0.99902437688603662</v>
      </c>
      <c r="H430" s="1">
        <v>5.2499325240149579</v>
      </c>
      <c r="I430" s="1">
        <v>0.15540867787210014</v>
      </c>
      <c r="K430" s="1">
        <v>0.99975067520556737</v>
      </c>
      <c r="L430" s="1">
        <v>5.0494187421576449</v>
      </c>
      <c r="M430" s="1">
        <v>0.15838367768078665</v>
      </c>
      <c r="O430" s="1">
        <v>7.5405426038377792E-3</v>
      </c>
      <c r="P430" s="1">
        <v>0.76851852370111484</v>
      </c>
      <c r="R430" s="1">
        <v>0.22470463108462915</v>
      </c>
      <c r="S430" s="2">
        <f t="shared" si="84"/>
        <v>0.97052067159723565</v>
      </c>
      <c r="T430" s="4">
        <f t="shared" si="85"/>
        <v>0.94191037399754929</v>
      </c>
      <c r="U430" s="1">
        <f t="shared" si="76"/>
        <v>0.56390454473436025</v>
      </c>
      <c r="V430" s="6">
        <f>2*sigma/alpha*corel*(B430/12-1/alpha*(1-EXP(-alpha*Output!B430/12)))</f>
        <v>2.012771849983388</v>
      </c>
      <c r="W430" s="5">
        <f t="shared" si="86"/>
        <v>-0.37800582926318904</v>
      </c>
      <c r="X430" s="1">
        <f t="shared" si="87"/>
        <v>56.846064673844296</v>
      </c>
      <c r="Y430" s="3">
        <f t="shared" si="77"/>
        <v>7.9143595374884204E-2</v>
      </c>
      <c r="Z430" s="1">
        <f t="shared" si="78"/>
        <v>0.16424357957591745</v>
      </c>
      <c r="AA430" s="8">
        <f t="shared" si="83"/>
        <v>34.833333333333229</v>
      </c>
      <c r="AB430" s="1">
        <v>34.92</v>
      </c>
      <c r="AC430" s="1">
        <v>7.598073635E-3</v>
      </c>
      <c r="AD430" s="8">
        <f t="shared" si="79"/>
        <v>0.57531031162220791</v>
      </c>
      <c r="AE430" s="3">
        <f t="shared" si="80"/>
        <v>7.5717917364222526E-3</v>
      </c>
      <c r="AF430" s="11">
        <f t="shared" si="81"/>
        <v>34.833333333333229</v>
      </c>
      <c r="AG430" s="1">
        <f t="shared" si="82"/>
        <v>0.16424357957591745</v>
      </c>
    </row>
    <row r="431" spans="2:33" ht="15" x14ac:dyDescent="0.25">
      <c r="B431" s="1">
        <v>420</v>
      </c>
      <c r="C431" s="1">
        <v>1.0007131586476985</v>
      </c>
      <c r="D431" s="1">
        <v>1.2163549166232721</v>
      </c>
      <c r="E431" s="1">
        <v>0.82119819492004231</v>
      </c>
      <c r="G431" s="1">
        <v>0.99888590342767036</v>
      </c>
      <c r="H431" s="1">
        <v>5.1588618335327316</v>
      </c>
      <c r="I431" s="1">
        <v>0.15807562339780218</v>
      </c>
      <c r="K431" s="1">
        <v>0.99969077347904389</v>
      </c>
      <c r="L431" s="1">
        <v>5.0372098100634393</v>
      </c>
      <c r="M431" s="1">
        <v>0.15868389664574797</v>
      </c>
      <c r="O431" s="1">
        <v>7.5402052380153638E-3</v>
      </c>
      <c r="P431" s="1">
        <v>0.76804482371101535</v>
      </c>
      <c r="R431" s="1">
        <v>0.22496957452127694</v>
      </c>
      <c r="S431" s="2">
        <f t="shared" si="84"/>
        <v>0.972330106647739</v>
      </c>
      <c r="T431" s="4">
        <f t="shared" si="85"/>
        <v>0.94542583629360355</v>
      </c>
      <c r="U431" s="1">
        <f t="shared" si="76"/>
        <v>0.56685765089156881</v>
      </c>
      <c r="V431" s="6">
        <f>2*sigma/alpha*corel*(B431/12-1/alpha*(1-EXP(-alpha*Output!B431/12)))</f>
        <v>2.0206155123175202</v>
      </c>
      <c r="W431" s="5">
        <f t="shared" si="86"/>
        <v>-0.37856818540203474</v>
      </c>
      <c r="X431" s="1">
        <f t="shared" si="87"/>
        <v>57.082433004903059</v>
      </c>
      <c r="Y431" s="3">
        <f t="shared" si="77"/>
        <v>7.9066802995824512E-2</v>
      </c>
      <c r="Z431" s="1">
        <f t="shared" si="78"/>
        <v>0.16435378532679379</v>
      </c>
      <c r="AA431" s="8">
        <f t="shared" si="83"/>
        <v>34.916666666666565</v>
      </c>
      <c r="AB431" s="1">
        <v>35</v>
      </c>
      <c r="AC431" s="1">
        <v>7.5977054299999998E-3</v>
      </c>
      <c r="AD431" s="8">
        <f t="shared" si="79"/>
        <v>0.57500191984635918</v>
      </c>
      <c r="AE431" s="3">
        <f t="shared" si="80"/>
        <v>7.5680996735663017E-3</v>
      </c>
      <c r="AF431" s="11">
        <f t="shared" si="81"/>
        <v>34.916666666666565</v>
      </c>
      <c r="AG431" s="1">
        <f t="shared" si="82"/>
        <v>0.16435378532679379</v>
      </c>
    </row>
    <row r="432" spans="2:33" ht="15" x14ac:dyDescent="0.25">
      <c r="B432" s="1">
        <v>421</v>
      </c>
      <c r="C432" s="1">
        <v>1.0007171473756793</v>
      </c>
      <c r="D432" s="1">
        <v>1.2152347370368934</v>
      </c>
      <c r="E432" s="1">
        <v>0.8219532881134709</v>
      </c>
      <c r="G432" s="1">
        <v>0.99905070631999238</v>
      </c>
      <c r="H432" s="1">
        <v>5.1113585550798275</v>
      </c>
      <c r="I432" s="1">
        <v>0.15946752874702441</v>
      </c>
      <c r="K432" s="1">
        <v>0.99979970054172362</v>
      </c>
      <c r="L432" s="1">
        <v>5.0401467866459448</v>
      </c>
      <c r="M432" s="1">
        <v>0.15850401039097101</v>
      </c>
      <c r="O432" s="1">
        <v>7.5398454442888183E-3</v>
      </c>
      <c r="P432" s="1">
        <v>0.76757206281966905</v>
      </c>
      <c r="R432" s="1">
        <v>0.2253790903101055</v>
      </c>
      <c r="S432" s="2">
        <f t="shared" si="84"/>
        <v>0.97462283940396377</v>
      </c>
      <c r="T432" s="4">
        <f t="shared" si="85"/>
        <v>0.94988967908784461</v>
      </c>
      <c r="U432" s="1">
        <f t="shared" si="76"/>
        <v>0.56981720798295799</v>
      </c>
      <c r="V432" s="6">
        <f>2*sigma/alpha*corel*(B432/12-1/alpha*(1-EXP(-alpha*Output!B432/12)))</f>
        <v>2.0284677370541617</v>
      </c>
      <c r="W432" s="5">
        <f t="shared" si="86"/>
        <v>-0.38007247110488662</v>
      </c>
      <c r="X432" s="1">
        <f t="shared" si="87"/>
        <v>57.451518138655388</v>
      </c>
      <c r="Y432" s="3">
        <f t="shared" si="77"/>
        <v>7.9114635158040028E-2</v>
      </c>
      <c r="Z432" s="1">
        <f t="shared" si="78"/>
        <v>0.1645455567891031</v>
      </c>
      <c r="AA432" s="8">
        <f t="shared" si="83"/>
        <v>34.999999999999901</v>
      </c>
      <c r="AB432" s="1">
        <v>35.08</v>
      </c>
      <c r="AC432" s="1">
        <v>7.5973389770000004E-3</v>
      </c>
      <c r="AD432" s="8">
        <f t="shared" si="79"/>
        <v>0.5749353271118206</v>
      </c>
      <c r="AE432" s="3">
        <f t="shared" si="80"/>
        <v>7.5675881891326142E-3</v>
      </c>
      <c r="AF432" s="11">
        <f t="shared" si="81"/>
        <v>34.999999999999901</v>
      </c>
      <c r="AG432" s="1">
        <f t="shared" si="82"/>
        <v>0.1645455567891031</v>
      </c>
    </row>
    <row r="433" spans="2:33" ht="15" x14ac:dyDescent="0.25">
      <c r="B433" s="1">
        <v>422</v>
      </c>
      <c r="C433" s="1">
        <v>1.0007175552327283</v>
      </c>
      <c r="D433" s="1">
        <v>1.2125002861357976</v>
      </c>
      <c r="E433" s="1">
        <v>0.82380509119818235</v>
      </c>
      <c r="G433" s="1">
        <v>0.99892426146917312</v>
      </c>
      <c r="H433" s="1">
        <v>5.0068255284161207</v>
      </c>
      <c r="I433" s="1">
        <v>0.16271813712803657</v>
      </c>
      <c r="K433" s="1">
        <v>0.99952920752244068</v>
      </c>
      <c r="L433" s="1">
        <v>5.186411965304039</v>
      </c>
      <c r="M433" s="1">
        <v>0.15395278065391171</v>
      </c>
      <c r="O433" s="1">
        <v>7.5394279431201562E-3</v>
      </c>
      <c r="P433" s="1">
        <v>0.76710119566729595</v>
      </c>
      <c r="R433" s="1">
        <v>0.22560583311277113</v>
      </c>
      <c r="S433" s="2">
        <f t="shared" si="84"/>
        <v>0.97630310947774035</v>
      </c>
      <c r="T433" s="4">
        <f t="shared" si="85"/>
        <v>0.95316776157590466</v>
      </c>
      <c r="U433" s="1">
        <f t="shared" si="76"/>
        <v>0.57278320154434104</v>
      </c>
      <c r="V433" s="6">
        <f>2*sigma/alpha*corel*(B433/12-1/alpha*(1-EXP(-alpha*Output!B433/12)))</f>
        <v>2.036328495699486</v>
      </c>
      <c r="W433" s="5">
        <f t="shared" si="86"/>
        <v>-0.38038456003156362</v>
      </c>
      <c r="X433" s="1">
        <f t="shared" si="87"/>
        <v>57.654061853504345</v>
      </c>
      <c r="Y433" s="3">
        <f t="shared" si="77"/>
        <v>7.9005194654598473E-2</v>
      </c>
      <c r="Z433" s="1">
        <f t="shared" si="78"/>
        <v>0.16463382561825943</v>
      </c>
      <c r="AA433" s="8">
        <f t="shared" si="83"/>
        <v>35.083333333333236</v>
      </c>
      <c r="AB433" s="1">
        <v>35.17</v>
      </c>
      <c r="AC433" s="1">
        <v>7.5969742609999997E-3</v>
      </c>
      <c r="AD433" s="8">
        <f t="shared" si="79"/>
        <v>0.57546317879843445</v>
      </c>
      <c r="AE433" s="3">
        <f t="shared" si="80"/>
        <v>7.5748996775287939E-3</v>
      </c>
      <c r="AF433" s="11">
        <f t="shared" si="81"/>
        <v>35.083333333333236</v>
      </c>
      <c r="AG433" s="1">
        <f t="shared" si="82"/>
        <v>0.16463382561825943</v>
      </c>
    </row>
    <row r="434" spans="2:33" ht="15" x14ac:dyDescent="0.25">
      <c r="B434" s="1">
        <v>423</v>
      </c>
      <c r="C434" s="1">
        <v>1.0007220077997179</v>
      </c>
      <c r="D434" s="1">
        <v>1.2139550596635751</v>
      </c>
      <c r="E434" s="1">
        <v>0.82281598187344096</v>
      </c>
      <c r="G434" s="1">
        <v>0.9991395744160676</v>
      </c>
      <c r="H434" s="1">
        <v>5.0604733907775445</v>
      </c>
      <c r="I434" s="1">
        <v>0.16091520576086615</v>
      </c>
      <c r="K434" s="1">
        <v>0.99949284754838175</v>
      </c>
      <c r="L434" s="1">
        <v>5.0953029458127155</v>
      </c>
      <c r="M434" s="1">
        <v>0.15662365479595963</v>
      </c>
      <c r="O434" s="1">
        <v>7.5390779143211083E-3</v>
      </c>
      <c r="P434" s="1">
        <v>0.76662884736027803</v>
      </c>
      <c r="R434" s="1">
        <v>0.22599922419063587</v>
      </c>
      <c r="S434" s="2">
        <f t="shared" si="84"/>
        <v>0.97854590743777048</v>
      </c>
      <c r="T434" s="4">
        <f t="shared" si="85"/>
        <v>0.95755209296320964</v>
      </c>
      <c r="U434" s="1">
        <f t="shared" si="76"/>
        <v>0.57575561711313217</v>
      </c>
      <c r="V434" s="6">
        <f>2*sigma/alpha*corel*(B434/12-1/alpha*(1-EXP(-alpha*Output!B434/12)))</f>
        <v>2.0441977598544909</v>
      </c>
      <c r="W434" s="5">
        <f t="shared" si="86"/>
        <v>-0.38179647585007748</v>
      </c>
      <c r="X434" s="1">
        <f t="shared" si="87"/>
        <v>58.012047576255043</v>
      </c>
      <c r="Y434" s="3">
        <f t="shared" si="77"/>
        <v>7.9040656270510268E-2</v>
      </c>
      <c r="Z434" s="1">
        <f t="shared" si="78"/>
        <v>0.16481686316009969</v>
      </c>
      <c r="AA434" s="8">
        <f t="shared" si="83"/>
        <v>35.166666666666572</v>
      </c>
      <c r="AB434" s="1">
        <v>35.25</v>
      </c>
      <c r="AC434" s="1">
        <v>7.5966112709999999E-3</v>
      </c>
      <c r="AD434" s="8">
        <f t="shared" si="79"/>
        <v>0.57533356678891523</v>
      </c>
      <c r="AE434" s="3">
        <f t="shared" si="80"/>
        <v>7.5735554481410191E-3</v>
      </c>
      <c r="AF434" s="11">
        <f t="shared" si="81"/>
        <v>35.166666666666572</v>
      </c>
      <c r="AG434" s="1">
        <f t="shared" si="82"/>
        <v>0.16481686316009969</v>
      </c>
    </row>
    <row r="435" spans="2:33" ht="15" x14ac:dyDescent="0.25">
      <c r="B435" s="1">
        <v>424</v>
      </c>
      <c r="C435" s="1">
        <v>1.0007181612499816</v>
      </c>
      <c r="D435" s="1">
        <v>1.2142601989883128</v>
      </c>
      <c r="E435" s="1">
        <v>0.82260732580465112</v>
      </c>
      <c r="G435" s="1">
        <v>0.99868488492624352</v>
      </c>
      <c r="H435" s="1">
        <v>5.0731744577683209</v>
      </c>
      <c r="I435" s="1">
        <v>0.16043467584847126</v>
      </c>
      <c r="K435" s="1">
        <v>0.99961891095471178</v>
      </c>
      <c r="L435" s="1">
        <v>5.055144544955283</v>
      </c>
      <c r="M435" s="1">
        <v>0.15778152923589955</v>
      </c>
      <c r="O435" s="1">
        <v>7.5387037892122285E-3</v>
      </c>
      <c r="P435" s="1">
        <v>0.76615748690989116</v>
      </c>
      <c r="R435" s="1">
        <v>0.22639899567597552</v>
      </c>
      <c r="S435" s="2">
        <f t="shared" si="84"/>
        <v>0.98081075872543422</v>
      </c>
      <c r="T435" s="4">
        <f t="shared" si="85"/>
        <v>0.96198974443156193</v>
      </c>
      <c r="U435" s="1">
        <f t="shared" si="76"/>
        <v>0.57873444022865028</v>
      </c>
      <c r="V435" s="6">
        <f>2*sigma/alpha*corel*(B435/12-1/alpha*(1-EXP(-alpha*Output!B435/12)))</f>
        <v>2.0520755012146767</v>
      </c>
      <c r="W435" s="5">
        <f t="shared" si="86"/>
        <v>-0.38325530420291165</v>
      </c>
      <c r="X435" s="1">
        <f t="shared" si="87"/>
        <v>58.377763523363654</v>
      </c>
      <c r="Y435" s="3">
        <f t="shared" si="77"/>
        <v>7.9081963331695884E-2</v>
      </c>
      <c r="Z435" s="1">
        <f t="shared" si="78"/>
        <v>0.1650034085781342</v>
      </c>
      <c r="AA435" s="8">
        <f t="shared" si="83"/>
        <v>35.249999999999908</v>
      </c>
      <c r="AB435" s="1">
        <v>35.33</v>
      </c>
      <c r="AC435" s="1">
        <v>7.5962499950000002E-3</v>
      </c>
      <c r="AD435" s="8">
        <f t="shared" si="79"/>
        <v>0.57546205787771709</v>
      </c>
      <c r="AE435" s="3">
        <f t="shared" si="80"/>
        <v>7.5756071516405784E-3</v>
      </c>
      <c r="AF435" s="11">
        <f t="shared" si="81"/>
        <v>35.249999999999908</v>
      </c>
      <c r="AG435" s="1">
        <f t="shared" si="82"/>
        <v>0.1650034085781342</v>
      </c>
    </row>
    <row r="436" spans="2:33" ht="15" x14ac:dyDescent="0.25">
      <c r="B436" s="1">
        <v>425</v>
      </c>
      <c r="C436" s="1">
        <v>1.0007222681755819</v>
      </c>
      <c r="D436" s="1">
        <v>1.2176380286385007</v>
      </c>
      <c r="E436" s="1">
        <v>0.82032346031210823</v>
      </c>
      <c r="G436" s="1">
        <v>0.998883803564932</v>
      </c>
      <c r="H436" s="1">
        <v>5.2029544180066374</v>
      </c>
      <c r="I436" s="1">
        <v>0.15635717818017475</v>
      </c>
      <c r="K436" s="1">
        <v>0.99926950127542868</v>
      </c>
      <c r="L436" s="1">
        <v>5.0531947023785078</v>
      </c>
      <c r="M436" s="1">
        <v>0.15775951263757926</v>
      </c>
      <c r="O436" s="1">
        <v>7.5381852093652935E-3</v>
      </c>
      <c r="P436" s="1">
        <v>0.76569038136103607</v>
      </c>
      <c r="R436" s="1">
        <v>0.2266243257327859</v>
      </c>
      <c r="S436" s="2">
        <f t="shared" si="84"/>
        <v>0.98248486521444467</v>
      </c>
      <c r="T436" s="4">
        <f t="shared" si="85"/>
        <v>0.96527651037544548</v>
      </c>
      <c r="U436" s="1">
        <f t="shared" si="76"/>
        <v>0.58171965643242052</v>
      </c>
      <c r="V436" s="6">
        <f>2*sigma/alpha*corel*(B436/12-1/alpha*(1-EXP(-alpha*Output!B436/12)))</f>
        <v>2.0599616915697352</v>
      </c>
      <c r="W436" s="5">
        <f t="shared" si="86"/>
        <v>-0.38355685394302497</v>
      </c>
      <c r="X436" s="1">
        <f t="shared" si="87"/>
        <v>58.580663145996709</v>
      </c>
      <c r="Y436" s="3">
        <f t="shared" si="77"/>
        <v>7.8971842971771192E-2</v>
      </c>
      <c r="Z436" s="1">
        <f t="shared" si="78"/>
        <v>0.16509047875424765</v>
      </c>
      <c r="AA436" s="8">
        <f t="shared" si="83"/>
        <v>35.333333333333243</v>
      </c>
      <c r="AB436" s="1">
        <v>35.42</v>
      </c>
      <c r="AC436" s="1">
        <v>7.5958904209999997E-3</v>
      </c>
      <c r="AD436" s="8">
        <f t="shared" si="79"/>
        <v>0.57705211634706199</v>
      </c>
      <c r="AE436" s="3">
        <f t="shared" si="80"/>
        <v>7.5968989066997764E-3</v>
      </c>
      <c r="AF436" s="11">
        <f t="shared" si="81"/>
        <v>35.333333333333243</v>
      </c>
      <c r="AG436" s="1">
        <f t="shared" si="82"/>
        <v>0.16509047875424765</v>
      </c>
    </row>
    <row r="437" spans="2:33" ht="15" x14ac:dyDescent="0.25">
      <c r="B437" s="1">
        <v>426</v>
      </c>
      <c r="C437" s="1">
        <v>1.0007243394294629</v>
      </c>
      <c r="D437" s="1">
        <v>1.2179587807535566</v>
      </c>
      <c r="E437" s="1">
        <v>0.8201055383302629</v>
      </c>
      <c r="G437" s="1">
        <v>0.99887218982943637</v>
      </c>
      <c r="H437" s="1">
        <v>5.2074280669926942</v>
      </c>
      <c r="I437" s="1">
        <v>0.15614726115940916</v>
      </c>
      <c r="K437" s="1">
        <v>0.99937420545587219</v>
      </c>
      <c r="L437" s="1">
        <v>4.9743696163694429</v>
      </c>
      <c r="M437" s="1">
        <v>0.16017526716986752</v>
      </c>
      <c r="O437" s="1">
        <v>7.5375747442495864E-3</v>
      </c>
      <c r="P437" s="1">
        <v>0.76522612283979907</v>
      </c>
      <c r="R437" s="1">
        <v>0.2270270810188493</v>
      </c>
      <c r="S437" s="2">
        <f t="shared" si="84"/>
        <v>0.9847505264143126</v>
      </c>
      <c r="T437" s="4">
        <f t="shared" si="85"/>
        <v>0.96973359927326575</v>
      </c>
      <c r="U437" s="1">
        <f t="shared" si="76"/>
        <v>0.58471125126847268</v>
      </c>
      <c r="V437" s="6">
        <f>2*sigma/alpha*corel*(B437/12-1/alpha*(1-EXP(-alpha*Output!B437/12)))</f>
        <v>2.0678563028032388</v>
      </c>
      <c r="W437" s="5">
        <f t="shared" si="86"/>
        <v>-0.38502234800479307</v>
      </c>
      <c r="X437" s="1">
        <f t="shared" si="87"/>
        <v>58.94920310572369</v>
      </c>
      <c r="Y437" s="3">
        <f t="shared" si="77"/>
        <v>7.9013832913661708E-2</v>
      </c>
      <c r="Z437" s="1">
        <f t="shared" si="78"/>
        <v>0.16527685686794849</v>
      </c>
      <c r="AA437" s="8">
        <f t="shared" si="83"/>
        <v>35.416666666666579</v>
      </c>
      <c r="AB437" s="1">
        <v>35.5</v>
      </c>
      <c r="AC437" s="1">
        <v>7.5955325370000003E-3</v>
      </c>
      <c r="AD437" s="8">
        <f t="shared" si="79"/>
        <v>0.57957792750413895</v>
      </c>
      <c r="AE437" s="3">
        <f t="shared" si="80"/>
        <v>7.6305107598558745E-3</v>
      </c>
      <c r="AF437" s="11">
        <f t="shared" si="81"/>
        <v>35.416666666666579</v>
      </c>
      <c r="AG437" s="1">
        <f t="shared" si="82"/>
        <v>0.16527685686794849</v>
      </c>
    </row>
    <row r="438" spans="2:33" ht="15" x14ac:dyDescent="0.25">
      <c r="B438" s="1">
        <v>427</v>
      </c>
      <c r="C438" s="1">
        <v>1.0007270237471162</v>
      </c>
      <c r="D438" s="1">
        <v>1.2201060397119967</v>
      </c>
      <c r="E438" s="1">
        <v>0.81866034945494082</v>
      </c>
      <c r="G438" s="1">
        <v>0.99894082773019288</v>
      </c>
      <c r="H438" s="1">
        <v>5.2935344368744417</v>
      </c>
      <c r="I438" s="1">
        <v>0.15353299151730981</v>
      </c>
      <c r="K438" s="1">
        <v>0.9993237707186321</v>
      </c>
      <c r="L438" s="1">
        <v>4.9849177343965598</v>
      </c>
      <c r="M438" s="1">
        <v>0.15975030313954744</v>
      </c>
      <c r="O438" s="1">
        <v>7.5369817098409593E-3</v>
      </c>
      <c r="P438" s="1">
        <v>0.76476174928299567</v>
      </c>
      <c r="R438" s="1">
        <v>0.22750342388491465</v>
      </c>
      <c r="S438" s="2">
        <f t="shared" si="84"/>
        <v>0.98726626172942544</v>
      </c>
      <c r="T438" s="4">
        <f t="shared" si="85"/>
        <v>0.97469467154919442</v>
      </c>
      <c r="U438" s="1">
        <f t="shared" si="76"/>
        <v>0.58770921028363388</v>
      </c>
      <c r="V438" s="6">
        <f>2*sigma/alpha*corel*(B438/12-1/alpha*(1-EXP(-alpha*Output!B438/12)))</f>
        <v>2.0757593068923224</v>
      </c>
      <c r="W438" s="5">
        <f t="shared" si="86"/>
        <v>-0.38698546126556055</v>
      </c>
      <c r="X438" s="1">
        <f t="shared" si="87"/>
        <v>59.389707353614881</v>
      </c>
      <c r="Y438" s="3">
        <f t="shared" si="77"/>
        <v>7.9120081641918832E-2</v>
      </c>
      <c r="Z438" s="1">
        <f t="shared" si="78"/>
        <v>0.16550494773581817</v>
      </c>
      <c r="AA438" s="8">
        <f t="shared" si="83"/>
        <v>35.499999999999915</v>
      </c>
      <c r="AB438" s="1">
        <v>35.58</v>
      </c>
      <c r="AC438" s="1">
        <v>7.5951763330000003E-3</v>
      </c>
      <c r="AD438" s="8">
        <f t="shared" si="79"/>
        <v>0.58194623159040992</v>
      </c>
      <c r="AE438" s="3">
        <f t="shared" si="80"/>
        <v>7.662050307666108E-3</v>
      </c>
      <c r="AF438" s="11">
        <f t="shared" si="81"/>
        <v>35.499999999999915</v>
      </c>
      <c r="AG438" s="1">
        <f t="shared" si="82"/>
        <v>0.16550494773581817</v>
      </c>
    </row>
    <row r="439" spans="2:33" ht="15" x14ac:dyDescent="0.25">
      <c r="B439" s="1">
        <v>428</v>
      </c>
      <c r="C439" s="1">
        <v>1.0007262517158584</v>
      </c>
      <c r="D439" s="1">
        <v>1.2154555528061886</v>
      </c>
      <c r="E439" s="1">
        <v>0.82179074724470713</v>
      </c>
      <c r="G439" s="1">
        <v>0.99870638848136772</v>
      </c>
      <c r="H439" s="1">
        <v>5.1161653434379817</v>
      </c>
      <c r="I439" s="1">
        <v>0.15877886244109413</v>
      </c>
      <c r="K439" s="1">
        <v>0.99935091685005484</v>
      </c>
      <c r="L439" s="1">
        <v>5.053346263419729</v>
      </c>
      <c r="M439" s="1">
        <v>0.15750012350456188</v>
      </c>
      <c r="O439" s="1">
        <v>7.5364183912529602E-3</v>
      </c>
      <c r="P439" s="1">
        <v>0.76429692301995189</v>
      </c>
      <c r="R439" s="1">
        <v>0.22776273071613576</v>
      </c>
      <c r="S439" s="2">
        <f t="shared" si="84"/>
        <v>0.98905624886686105</v>
      </c>
      <c r="T439" s="4">
        <f t="shared" si="85"/>
        <v>0.97823226342258618</v>
      </c>
      <c r="U439" s="1">
        <f t="shared" si="76"/>
        <v>0.59071351902782299</v>
      </c>
      <c r="V439" s="6">
        <f>2*sigma/alpha*corel*(B439/12-1/alpha*(1-EXP(-alpha*Output!B439/12)))</f>
        <v>2.0836706759073751</v>
      </c>
      <c r="W439" s="5">
        <f t="shared" si="86"/>
        <v>-0.38751874439476319</v>
      </c>
      <c r="X439" s="1">
        <f t="shared" si="87"/>
        <v>59.627691019289173</v>
      </c>
      <c r="Y439" s="3">
        <f t="shared" si="77"/>
        <v>7.9040553894386467E-2</v>
      </c>
      <c r="Z439" s="1">
        <f t="shared" si="78"/>
        <v>0.16561120978436436</v>
      </c>
      <c r="AA439" s="8">
        <f t="shared" si="83"/>
        <v>35.58333333333325</v>
      </c>
      <c r="AB439" s="1">
        <v>35.67</v>
      </c>
      <c r="AC439" s="1">
        <v>7.5948217949999997E-3</v>
      </c>
      <c r="AD439" s="8">
        <f t="shared" si="79"/>
        <v>0.58403403747039551</v>
      </c>
      <c r="AE439" s="3">
        <f t="shared" si="80"/>
        <v>7.6898978440138053E-3</v>
      </c>
      <c r="AF439" s="11">
        <f t="shared" si="81"/>
        <v>35.58333333333325</v>
      </c>
      <c r="AG439" s="1">
        <f t="shared" si="82"/>
        <v>0.16561120978436436</v>
      </c>
    </row>
    <row r="440" spans="2:33" ht="15" x14ac:dyDescent="0.25">
      <c r="B440" s="1">
        <v>429</v>
      </c>
      <c r="C440" s="1">
        <v>1.0007333956182887</v>
      </c>
      <c r="D440" s="1">
        <v>1.2178154849595015</v>
      </c>
      <c r="E440" s="1">
        <v>0.82019634722592916</v>
      </c>
      <c r="G440" s="1">
        <v>0.99909834068465631</v>
      </c>
      <c r="H440" s="1">
        <v>5.2051058183529717</v>
      </c>
      <c r="I440" s="1">
        <v>0.15599026520924208</v>
      </c>
      <c r="K440" s="1">
        <v>0.99943213446224943</v>
      </c>
      <c r="L440" s="1">
        <v>4.9416789429758134</v>
      </c>
      <c r="M440" s="1">
        <v>0.16097485682282039</v>
      </c>
      <c r="O440" s="1">
        <v>7.5356621659181493E-3</v>
      </c>
      <c r="P440" s="1">
        <v>0.76383771871893746</v>
      </c>
      <c r="R440" s="1">
        <v>0.22814985104227983</v>
      </c>
      <c r="S440" s="2">
        <f t="shared" si="84"/>
        <v>0.99126703534204363</v>
      </c>
      <c r="T440" s="4">
        <f t="shared" si="85"/>
        <v>0.98261033535580433</v>
      </c>
      <c r="U440" s="1">
        <f t="shared" si="76"/>
        <v>0.59372416305433662</v>
      </c>
      <c r="V440" s="6">
        <f>2*sigma/alpha*corel*(B440/12-1/alpha*(1-EXP(-alpha*Output!B440/12)))</f>
        <v>2.091590382011733</v>
      </c>
      <c r="W440" s="5">
        <f t="shared" si="86"/>
        <v>-0.38888617230146771</v>
      </c>
      <c r="X440" s="1">
        <f t="shared" si="87"/>
        <v>59.985472965233875</v>
      </c>
      <c r="Y440" s="3">
        <f t="shared" si="77"/>
        <v>7.906907045559354E-2</v>
      </c>
      <c r="Z440" s="1">
        <f t="shared" si="78"/>
        <v>0.16578782761764008</v>
      </c>
      <c r="AA440" s="8">
        <f t="shared" si="83"/>
        <v>35.666666666666586</v>
      </c>
      <c r="AB440" s="1">
        <v>35.75</v>
      </c>
      <c r="AC440" s="1">
        <v>7.5944689130000003E-3</v>
      </c>
      <c r="AD440" s="8">
        <f t="shared" si="79"/>
        <v>0.5880674708185103</v>
      </c>
      <c r="AE440" s="3">
        <f t="shared" si="80"/>
        <v>7.7433653038183198E-3</v>
      </c>
      <c r="AF440" s="11">
        <f t="shared" si="81"/>
        <v>35.666666666666586</v>
      </c>
      <c r="AG440" s="1">
        <f t="shared" si="82"/>
        <v>0.16578782761764008</v>
      </c>
    </row>
    <row r="441" spans="2:33" ht="15" x14ac:dyDescent="0.25">
      <c r="B441" s="1">
        <v>430</v>
      </c>
      <c r="C441" s="1">
        <v>1.0007375900462043</v>
      </c>
      <c r="D441" s="1">
        <v>1.2190225148648375</v>
      </c>
      <c r="E441" s="1">
        <v>0.81938231656891169</v>
      </c>
      <c r="G441" s="1">
        <v>0.99927505750563272</v>
      </c>
      <c r="H441" s="1">
        <v>5.2500840778624447</v>
      </c>
      <c r="I441" s="1">
        <v>0.15457903840918702</v>
      </c>
      <c r="K441" s="1">
        <v>0.9992339710610959</v>
      </c>
      <c r="L441" s="1">
        <v>4.8805509817377049</v>
      </c>
      <c r="M441" s="1">
        <v>0.16290238967592111</v>
      </c>
      <c r="O441" s="1">
        <v>7.5348566012782923E-3</v>
      </c>
      <c r="P441" s="1">
        <v>0.76338023617988526</v>
      </c>
      <c r="R441" s="1">
        <v>0.22854920544328844</v>
      </c>
      <c r="S441" s="2">
        <f t="shared" si="84"/>
        <v>0.99351815040586966</v>
      </c>
      <c r="T441" s="4">
        <f t="shared" si="85"/>
        <v>0.98707831518590028</v>
      </c>
      <c r="U441" s="1">
        <f t="shared" ref="U441:U504" si="88">sigma*sigma/alpha/alpha*(B441/12+2/alpha*EXP(-alpha*B441/12)-1/2/alpha*EXP(-2*alpha*B441/12)-3/2/alpha)</f>
        <v>0.59674112792013645</v>
      </c>
      <c r="V441" s="6">
        <f>2*sigma/alpha*corel*(B441/12-1/alpha*(1-EXP(-alpha*Output!B441/12)))</f>
        <v>2.0995183974613623</v>
      </c>
      <c r="W441" s="5">
        <f t="shared" si="86"/>
        <v>-0.39033718726576383</v>
      </c>
      <c r="X441" s="1">
        <f t="shared" si="87"/>
        <v>60.356307676038213</v>
      </c>
      <c r="Y441" s="3">
        <f t="shared" si="77"/>
        <v>7.9108099703072754E-2</v>
      </c>
      <c r="Z441" s="1">
        <f t="shared" si="78"/>
        <v>0.16597099622097611</v>
      </c>
      <c r="AA441" s="8">
        <f t="shared" si="83"/>
        <v>35.749999999999922</v>
      </c>
      <c r="AB441" s="1">
        <v>35.83</v>
      </c>
      <c r="AC441" s="1">
        <v>7.594117676E-3</v>
      </c>
      <c r="AD441" s="8">
        <f t="shared" si="79"/>
        <v>0.59261074721707674</v>
      </c>
      <c r="AE441" s="3">
        <f t="shared" si="80"/>
        <v>7.8035497012369018E-3</v>
      </c>
      <c r="AF441" s="11">
        <f t="shared" si="81"/>
        <v>35.749999999999922</v>
      </c>
      <c r="AG441" s="1">
        <f t="shared" si="82"/>
        <v>0.16597099622097611</v>
      </c>
    </row>
    <row r="442" spans="2:33" ht="15" x14ac:dyDescent="0.25">
      <c r="B442" s="1">
        <v>431</v>
      </c>
      <c r="C442" s="1">
        <v>1.0007389878868804</v>
      </c>
      <c r="D442" s="1">
        <v>1.2231655849813239</v>
      </c>
      <c r="E442" s="1">
        <v>0.8166050284357852</v>
      </c>
      <c r="G442" s="1">
        <v>0.99923307072378631</v>
      </c>
      <c r="H442" s="1">
        <v>5.4078248454840701</v>
      </c>
      <c r="I442" s="1">
        <v>0.14999750748179677</v>
      </c>
      <c r="K442" s="1">
        <v>0.99922869986682861</v>
      </c>
      <c r="L442" s="1">
        <v>4.8429467108348838</v>
      </c>
      <c r="M442" s="1">
        <v>0.16408250602675051</v>
      </c>
      <c r="O442" s="1">
        <v>7.5340470104064538E-3</v>
      </c>
      <c r="P442" s="1">
        <v>0.76292324039525494</v>
      </c>
      <c r="R442" s="1">
        <v>0.22881861458836719</v>
      </c>
      <c r="S442" s="2">
        <f t="shared" si="84"/>
        <v>0.99533292435082732</v>
      </c>
      <c r="T442" s="4">
        <f t="shared" si="85"/>
        <v>0.99068763029676976</v>
      </c>
      <c r="U442" s="1">
        <f t="shared" si="88"/>
        <v>0.599764399186133</v>
      </c>
      <c r="V442" s="6">
        <f>2*sigma/alpha*corel*(B442/12-1/alpha*(1-EXP(-alpha*Output!B442/12)))</f>
        <v>2.1074546946045563</v>
      </c>
      <c r="W442" s="5">
        <f t="shared" si="86"/>
        <v>-0.39092323111063676</v>
      </c>
      <c r="X442" s="1">
        <f t="shared" si="87"/>
        <v>60.604002826038929</v>
      </c>
      <c r="Y442" s="3">
        <f t="shared" si="77"/>
        <v>7.9035766810774052E-2</v>
      </c>
      <c r="Z442" s="1">
        <f t="shared" si="78"/>
        <v>0.16608115565434614</v>
      </c>
      <c r="AA442" s="8">
        <f t="shared" si="83"/>
        <v>35.833333333333258</v>
      </c>
      <c r="AB442" s="1">
        <v>35.92</v>
      </c>
      <c r="AC442" s="1">
        <v>7.593768073E-3</v>
      </c>
      <c r="AD442" s="8">
        <f t="shared" si="79"/>
        <v>0.59721062593546226</v>
      </c>
      <c r="AE442" s="3">
        <f t="shared" si="80"/>
        <v>7.864483352591092E-3</v>
      </c>
      <c r="AF442" s="11">
        <f t="shared" si="81"/>
        <v>35.833333333333258</v>
      </c>
      <c r="AG442" s="1">
        <f t="shared" si="82"/>
        <v>0.16608115565434614</v>
      </c>
    </row>
    <row r="443" spans="2:33" ht="15" x14ac:dyDescent="0.25">
      <c r="B443" s="1">
        <v>432</v>
      </c>
      <c r="C443" s="1">
        <v>1.0007426512563697</v>
      </c>
      <c r="D443" s="1">
        <v>1.2235443254948284</v>
      </c>
      <c r="E443" s="1">
        <v>0.8163503486348932</v>
      </c>
      <c r="G443" s="1">
        <v>0.99937377193337829</v>
      </c>
      <c r="H443" s="1">
        <v>5.4222305745326551</v>
      </c>
      <c r="I443" s="1">
        <v>0.14952660591278594</v>
      </c>
      <c r="K443" s="1">
        <v>0.99940670122395336</v>
      </c>
      <c r="L443" s="1">
        <v>4.9068985836604933</v>
      </c>
      <c r="M443" s="1">
        <v>0.1618556503686284</v>
      </c>
      <c r="O443" s="1">
        <v>7.5332252265695567E-3</v>
      </c>
      <c r="P443" s="1">
        <v>0.76246695575338586</v>
      </c>
      <c r="R443" s="1">
        <v>0.22910278521613484</v>
      </c>
      <c r="S443" s="2">
        <f t="shared" si="84"/>
        <v>0.99719797185988379</v>
      </c>
      <c r="T443" s="4">
        <f t="shared" si="85"/>
        <v>0.99440379508146559</v>
      </c>
      <c r="U443" s="1">
        <f t="shared" si="88"/>
        <v>0.60279396241746319</v>
      </c>
      <c r="V443" s="6">
        <f>2*sigma/alpha*corel*(B443/12-1/alpha*(1-EXP(-alpha*Output!B443/12)))</f>
        <v>2.1153992458816302</v>
      </c>
      <c r="W443" s="5">
        <f t="shared" si="86"/>
        <v>-0.3916098326640024</v>
      </c>
      <c r="X443" s="1">
        <f t="shared" si="87"/>
        <v>60.866729873092908</v>
      </c>
      <c r="Y443" s="3">
        <f t="shared" si="77"/>
        <v>7.8976583602262895E-2</v>
      </c>
      <c r="Z443" s="1">
        <f t="shared" si="78"/>
        <v>0.16619966197664729</v>
      </c>
      <c r="AA443" s="8">
        <f t="shared" si="83"/>
        <v>35.916666666666593</v>
      </c>
      <c r="AB443" s="1">
        <v>36</v>
      </c>
      <c r="AC443" s="1">
        <v>7.5934200919999997E-3</v>
      </c>
      <c r="AD443" s="8">
        <f t="shared" si="79"/>
        <v>0.60194865430442979</v>
      </c>
      <c r="AE443" s="3">
        <f t="shared" si="80"/>
        <v>7.9272402555287183E-3</v>
      </c>
      <c r="AF443" s="11">
        <f t="shared" si="81"/>
        <v>35.916666666666593</v>
      </c>
      <c r="AG443" s="1">
        <f t="shared" si="82"/>
        <v>0.16619966197664729</v>
      </c>
    </row>
    <row r="444" spans="2:33" ht="15" x14ac:dyDescent="0.25">
      <c r="B444" s="1">
        <v>433</v>
      </c>
      <c r="C444" s="1">
        <v>1.0007448724421191</v>
      </c>
      <c r="D444" s="1">
        <v>1.2211492178165082</v>
      </c>
      <c r="E444" s="1">
        <v>0.81794958936910211</v>
      </c>
      <c r="G444" s="1">
        <v>0.99939330162264961</v>
      </c>
      <c r="H444" s="1">
        <v>5.3251893081117476</v>
      </c>
      <c r="I444" s="1">
        <v>0.15217776529689778</v>
      </c>
      <c r="K444" s="1">
        <v>0.99928996488037269</v>
      </c>
      <c r="L444" s="1">
        <v>4.7960586102900722</v>
      </c>
      <c r="M444" s="1">
        <v>0.16550914674692493</v>
      </c>
      <c r="O444" s="1">
        <v>7.5324113415291393E-3</v>
      </c>
      <c r="P444" s="1">
        <v>0.76201083118712687</v>
      </c>
      <c r="R444" s="1">
        <v>0.22941857250847633</v>
      </c>
      <c r="S444" s="2">
        <f t="shared" si="84"/>
        <v>0.99917140705622653</v>
      </c>
      <c r="T444" s="4">
        <f t="shared" si="85"/>
        <v>0.99834350067871958</v>
      </c>
      <c r="U444" s="1">
        <f t="shared" si="88"/>
        <v>0.60582980318377055</v>
      </c>
      <c r="V444" s="6">
        <f>2*sigma/alpha*corel*(B444/12-1/alpha*(1-EXP(-alpha*Output!B444/12)))</f>
        <v>2.1233520238246095</v>
      </c>
      <c r="W444" s="5">
        <f t="shared" si="86"/>
        <v>-0.39251369749494902</v>
      </c>
      <c r="X444" s="1">
        <f t="shared" si="87"/>
        <v>61.161434155517703</v>
      </c>
      <c r="Y444" s="3">
        <f t="shared" si="77"/>
        <v>7.894538918619344E-2</v>
      </c>
      <c r="Z444" s="1">
        <f t="shared" si="78"/>
        <v>0.16633616042103858</v>
      </c>
      <c r="AA444" s="8">
        <f t="shared" si="83"/>
        <v>35.999999999999929</v>
      </c>
      <c r="AB444" s="1">
        <v>36.08</v>
      </c>
      <c r="AC444" s="1">
        <v>7.5930737229999998E-3</v>
      </c>
      <c r="AD444" s="8">
        <f t="shared" si="79"/>
        <v>0.60662381470860494</v>
      </c>
      <c r="AE444" s="3">
        <f t="shared" si="80"/>
        <v>7.9891732497090751E-3</v>
      </c>
      <c r="AF444" s="11">
        <f t="shared" si="81"/>
        <v>35.999999999999929</v>
      </c>
      <c r="AG444" s="1">
        <f t="shared" si="82"/>
        <v>0.16633616042103858</v>
      </c>
    </row>
    <row r="445" spans="2:33" ht="15" x14ac:dyDescent="0.25">
      <c r="B445" s="1">
        <v>434</v>
      </c>
      <c r="C445" s="1">
        <v>1.0007498110534156</v>
      </c>
      <c r="D445" s="1">
        <v>1.2224038817198024</v>
      </c>
      <c r="E445" s="1">
        <v>0.81710813868643861</v>
      </c>
      <c r="G445" s="1">
        <v>0.99964096488499432</v>
      </c>
      <c r="H445" s="1">
        <v>5.3774731995721821</v>
      </c>
      <c r="I445" s="1">
        <v>0.15062525471240829</v>
      </c>
      <c r="K445" s="1">
        <v>0.9991502670703295</v>
      </c>
      <c r="L445" s="1">
        <v>4.9032552223182266</v>
      </c>
      <c r="M445" s="1">
        <v>0.16180519566838344</v>
      </c>
      <c r="O445" s="1">
        <v>7.5316041618826296E-3</v>
      </c>
      <c r="P445" s="1">
        <v>0.7615548981016641</v>
      </c>
      <c r="R445" s="1">
        <v>0.22976238860190842</v>
      </c>
      <c r="S445" s="2">
        <f t="shared" si="84"/>
        <v>1.0012413089161336</v>
      </c>
      <c r="T445" s="4">
        <f t="shared" si="85"/>
        <v>1.0024841586800926</v>
      </c>
      <c r="U445" s="1">
        <f t="shared" si="88"/>
        <v>0.60887190705947525</v>
      </c>
      <c r="V445" s="6">
        <f>2*sigma/alpha*corel*(B445/12-1/alpha*(1-EXP(-alpha*Output!B445/12)))</f>
        <v>2.1313130010569257</v>
      </c>
      <c r="W445" s="5">
        <f t="shared" si="86"/>
        <v>-0.3936122516206173</v>
      </c>
      <c r="X445" s="1">
        <f t="shared" si="87"/>
        <v>61.485067509590245</v>
      </c>
      <c r="Y445" s="3">
        <f t="shared" si="77"/>
        <v>7.8939103009335099E-2</v>
      </c>
      <c r="Z445" s="1">
        <f t="shared" si="78"/>
        <v>0.16648860621787673</v>
      </c>
      <c r="AA445" s="8">
        <f t="shared" si="83"/>
        <v>36.083333333333265</v>
      </c>
      <c r="AB445" s="1">
        <v>36.17</v>
      </c>
      <c r="AC445" s="1">
        <v>7.5927289550000001E-3</v>
      </c>
      <c r="AD445" s="8">
        <f t="shared" si="79"/>
        <v>0.61124793117370468</v>
      </c>
      <c r="AE445" s="3">
        <f t="shared" si="80"/>
        <v>8.0504379228654391E-3</v>
      </c>
      <c r="AF445" s="11">
        <f t="shared" si="81"/>
        <v>36.083333333333265</v>
      </c>
      <c r="AG445" s="1">
        <f t="shared" si="82"/>
        <v>0.16648860621787673</v>
      </c>
    </row>
    <row r="446" spans="2:33" ht="15" x14ac:dyDescent="0.25">
      <c r="B446" s="1">
        <v>435</v>
      </c>
      <c r="C446" s="1">
        <v>1.0007525157362109</v>
      </c>
      <c r="D446" s="1">
        <v>1.2204336354302969</v>
      </c>
      <c r="E446" s="1">
        <v>0.81842534108646259</v>
      </c>
      <c r="G446" s="1">
        <v>0.99967410993177652</v>
      </c>
      <c r="H446" s="1">
        <v>5.2929923439385318</v>
      </c>
      <c r="I446" s="1">
        <v>0.1529553165093876</v>
      </c>
      <c r="K446" s="1">
        <v>0.99933569048858828</v>
      </c>
      <c r="L446" s="1">
        <v>4.7871238834670526</v>
      </c>
      <c r="M446" s="1">
        <v>0.16564068587728364</v>
      </c>
      <c r="O446" s="1">
        <v>7.5307082266668542E-3</v>
      </c>
      <c r="P446" s="1">
        <v>0.76110178896165326</v>
      </c>
      <c r="R446" s="1">
        <v>0.23011332864508718</v>
      </c>
      <c r="S446" s="2">
        <f t="shared" si="84"/>
        <v>1.0033319705049377</v>
      </c>
      <c r="T446" s="4">
        <f t="shared" si="85"/>
        <v>1.0066750430373212</v>
      </c>
      <c r="U446" s="1">
        <f t="shared" si="88"/>
        <v>0.61192025962404939</v>
      </c>
      <c r="V446" s="6">
        <f>2*sigma/alpha*corel*(B446/12-1/alpha*(1-EXP(-alpha*Output!B446/12)))</f>
        <v>2.1392821502931176</v>
      </c>
      <c r="W446" s="5">
        <f t="shared" si="86"/>
        <v>-0.39475478341327186</v>
      </c>
      <c r="X446" s="1">
        <f t="shared" si="87"/>
        <v>61.815971713487158</v>
      </c>
      <c r="Y446" s="3">
        <f t="shared" si="77"/>
        <v>7.8938361813761543E-2</v>
      </c>
      <c r="Z446" s="1">
        <f t="shared" si="78"/>
        <v>0.16664436988636205</v>
      </c>
      <c r="AA446" s="8">
        <f t="shared" si="83"/>
        <v>36.1666666666666</v>
      </c>
      <c r="AB446" s="1">
        <v>36.25</v>
      </c>
      <c r="AC446" s="1">
        <v>7.5923857759999996E-3</v>
      </c>
      <c r="AD446" s="8">
        <f t="shared" si="79"/>
        <v>0.61677549333145376</v>
      </c>
      <c r="AE446" s="3">
        <f t="shared" si="80"/>
        <v>8.1236058273160879E-3</v>
      </c>
      <c r="AF446" s="11">
        <f t="shared" si="81"/>
        <v>36.1666666666666</v>
      </c>
      <c r="AG446" s="1">
        <f t="shared" si="82"/>
        <v>0.16664436988636205</v>
      </c>
    </row>
    <row r="447" spans="2:33" ht="15" x14ac:dyDescent="0.25">
      <c r="B447" s="1">
        <v>436</v>
      </c>
      <c r="C447" s="1">
        <v>1.0007534374752383</v>
      </c>
      <c r="D447" s="1">
        <v>1.2169262830179406</v>
      </c>
      <c r="E447" s="1">
        <v>0.82078222606529483</v>
      </c>
      <c r="G447" s="1">
        <v>0.99958094659426167</v>
      </c>
      <c r="H447" s="1">
        <v>5.1525779995847643</v>
      </c>
      <c r="I447" s="1">
        <v>0.15704751210546175</v>
      </c>
      <c r="K447" s="1">
        <v>0.99929760581698157</v>
      </c>
      <c r="L447" s="1">
        <v>4.7982999801099258</v>
      </c>
      <c r="M447" s="1">
        <v>0.16516540345975894</v>
      </c>
      <c r="O447" s="1">
        <v>7.5298812320249084E-3</v>
      </c>
      <c r="P447" s="1">
        <v>0.7606471576916265</v>
      </c>
      <c r="R447" s="1">
        <v>0.23038094387975838</v>
      </c>
      <c r="S447" s="2">
        <f t="shared" si="84"/>
        <v>1.0051460396444141</v>
      </c>
      <c r="T447" s="4">
        <f t="shared" si="85"/>
        <v>1.01031856101285</v>
      </c>
      <c r="U447" s="1">
        <f t="shared" si="88"/>
        <v>0.61497484646228573</v>
      </c>
      <c r="V447" s="6">
        <f>2*sigma/alpha*corel*(B447/12-1/alpha*(1-EXP(-alpha*Output!B447/12)))</f>
        <v>2.1472594443385211</v>
      </c>
      <c r="W447" s="5">
        <f t="shared" si="86"/>
        <v>-0.39534371455056427</v>
      </c>
      <c r="X447" s="1">
        <f t="shared" si="87"/>
        <v>62.067342969316314</v>
      </c>
      <c r="Y447" s="3">
        <f t="shared" si="77"/>
        <v>7.8867296586212401E-2</v>
      </c>
      <c r="Z447" s="1">
        <f t="shared" si="78"/>
        <v>0.16675410901058271</v>
      </c>
      <c r="AA447" s="8">
        <f t="shared" si="83"/>
        <v>36.249999999999936</v>
      </c>
      <c r="AB447" s="1">
        <v>36.33</v>
      </c>
      <c r="AC447" s="1">
        <v>7.5920441760000002E-3</v>
      </c>
      <c r="AD447" s="8">
        <f t="shared" si="79"/>
        <v>0.62162943975091822</v>
      </c>
      <c r="AE447" s="3">
        <f t="shared" si="80"/>
        <v>8.1879059886929475E-3</v>
      </c>
      <c r="AF447" s="11">
        <f t="shared" si="81"/>
        <v>36.249999999999936</v>
      </c>
      <c r="AG447" s="1">
        <f t="shared" si="82"/>
        <v>0.16675410901058271</v>
      </c>
    </row>
    <row r="448" spans="2:33" ht="15" x14ac:dyDescent="0.25">
      <c r="B448" s="1">
        <v>437</v>
      </c>
      <c r="C448" s="1">
        <v>1.0007571077349231</v>
      </c>
      <c r="D448" s="1">
        <v>1.2180368530252956</v>
      </c>
      <c r="E448" s="1">
        <v>0.82003192657940016</v>
      </c>
      <c r="G448" s="1">
        <v>0.99968834907618243</v>
      </c>
      <c r="H448" s="1">
        <v>5.1907145465397759</v>
      </c>
      <c r="I448" s="1">
        <v>0.15581823502652353</v>
      </c>
      <c r="K448" s="1">
        <v>0.99929041145199271</v>
      </c>
      <c r="L448" s="1">
        <v>4.7987596300148327</v>
      </c>
      <c r="M448" s="1">
        <v>0.16506508469031525</v>
      </c>
      <c r="O448" s="1">
        <v>7.5291025768962818E-3</v>
      </c>
      <c r="P448" s="1">
        <v>0.76019156455213066</v>
      </c>
      <c r="R448" s="1">
        <v>0.2306691537552947</v>
      </c>
      <c r="S448" s="2">
        <f t="shared" si="84"/>
        <v>1.0070336851580628</v>
      </c>
      <c r="T448" s="4">
        <f t="shared" si="85"/>
        <v>1.0141168430430283</v>
      </c>
      <c r="U448" s="1">
        <f t="shared" si="88"/>
        <v>0.61803565316455833</v>
      </c>
      <c r="V448" s="6">
        <f>2*sigma/alpha*corel*(B448/12-1/alpha*(1-EXP(-alpha*Output!B448/12)))</f>
        <v>2.1552448560889692</v>
      </c>
      <c r="W448" s="5">
        <f t="shared" si="86"/>
        <v>-0.39608118987846996</v>
      </c>
      <c r="X448" s="1">
        <f t="shared" si="87"/>
        <v>62.340907048661755</v>
      </c>
      <c r="Y448" s="3">
        <f t="shared" si="77"/>
        <v>7.8815299240201697E-2</v>
      </c>
      <c r="Z448" s="1">
        <f t="shared" si="78"/>
        <v>0.16687600815363304</v>
      </c>
      <c r="AA448" s="8">
        <f t="shared" si="83"/>
        <v>36.333333333333272</v>
      </c>
      <c r="AB448" s="1">
        <v>36.42</v>
      </c>
      <c r="AC448" s="1">
        <v>7.5917041439999998E-3</v>
      </c>
      <c r="AD448" s="8">
        <f t="shared" si="79"/>
        <v>0.62601567103717959</v>
      </c>
      <c r="AE448" s="3">
        <f t="shared" si="80"/>
        <v>8.2460493607610166E-3</v>
      </c>
      <c r="AF448" s="11">
        <f t="shared" si="81"/>
        <v>36.333333333333272</v>
      </c>
      <c r="AG448" s="1">
        <f t="shared" si="82"/>
        <v>0.16687600815363304</v>
      </c>
    </row>
    <row r="449" spans="2:33" ht="15" x14ac:dyDescent="0.25">
      <c r="B449" s="1">
        <v>438</v>
      </c>
      <c r="C449" s="1">
        <v>1.0007555780479771</v>
      </c>
      <c r="D449" s="1">
        <v>1.2209233455309196</v>
      </c>
      <c r="E449" s="1">
        <v>0.8180912823807206</v>
      </c>
      <c r="G449" s="1">
        <v>0.99939046679742227</v>
      </c>
      <c r="H449" s="1">
        <v>5.3033360391840434</v>
      </c>
      <c r="I449" s="1">
        <v>0.15243548275734328</v>
      </c>
      <c r="K449" s="1">
        <v>0.99912484903977805</v>
      </c>
      <c r="L449" s="1">
        <v>4.7488278428706714</v>
      </c>
      <c r="M449" s="1">
        <v>0.1667057952234075</v>
      </c>
      <c r="O449" s="1">
        <v>7.5283900184675472E-3</v>
      </c>
      <c r="P449" s="1">
        <v>0.7597345100035201</v>
      </c>
      <c r="R449" s="1">
        <v>0.23099698973813934</v>
      </c>
      <c r="S449" s="2">
        <f t="shared" si="84"/>
        <v>1.0090605963625785</v>
      </c>
      <c r="T449" s="4">
        <f t="shared" si="85"/>
        <v>1.0182032871316025</v>
      </c>
      <c r="U449" s="1">
        <f t="shared" si="88"/>
        <v>0.62110266532709346</v>
      </c>
      <c r="V449" s="6">
        <f>2*sigma/alpha*corel*(B449/12-1/alpha*(1-EXP(-alpha*Output!B449/12)))</f>
        <v>2.1632383585304962</v>
      </c>
      <c r="W449" s="5">
        <f t="shared" si="86"/>
        <v>-0.397100621804509</v>
      </c>
      <c r="X449" s="1">
        <f t="shared" si="87"/>
        <v>62.656290979276029</v>
      </c>
      <c r="Y449" s="3">
        <f t="shared" si="77"/>
        <v>7.8799100403920685E-2</v>
      </c>
      <c r="Z449" s="1">
        <f t="shared" si="78"/>
        <v>0.16702089830125741</v>
      </c>
      <c r="AA449" s="8">
        <f t="shared" si="83"/>
        <v>36.416666666666607</v>
      </c>
      <c r="AB449" s="1">
        <v>36.5</v>
      </c>
      <c r="AC449" s="1">
        <v>7.591365668E-3</v>
      </c>
      <c r="AD449" s="8">
        <f t="shared" si="79"/>
        <v>0.62975649532452838</v>
      </c>
      <c r="AE449" s="3">
        <f t="shared" si="80"/>
        <v>8.2956943831483509E-3</v>
      </c>
      <c r="AF449" s="11">
        <f t="shared" si="81"/>
        <v>36.416666666666607</v>
      </c>
      <c r="AG449" s="1">
        <f t="shared" si="82"/>
        <v>0.16702089830125741</v>
      </c>
    </row>
    <row r="450" spans="2:33" ht="15" x14ac:dyDescent="0.25">
      <c r="B450" s="1">
        <v>439</v>
      </c>
      <c r="C450" s="1">
        <v>1.0007562619032206</v>
      </c>
      <c r="D450" s="1">
        <v>1.2168862411494104</v>
      </c>
      <c r="E450" s="1">
        <v>0.82080341199855278</v>
      </c>
      <c r="G450" s="1">
        <v>0.99928775776403345</v>
      </c>
      <c r="H450" s="1">
        <v>5.147295411924472</v>
      </c>
      <c r="I450" s="1">
        <v>0.15698057369144991</v>
      </c>
      <c r="K450" s="1">
        <v>0.99915976330630962</v>
      </c>
      <c r="L450" s="1">
        <v>4.7140418359883176</v>
      </c>
      <c r="M450" s="1">
        <v>0.16784866110620675</v>
      </c>
      <c r="O450" s="1">
        <v>7.5277546119811569E-3</v>
      </c>
      <c r="P450" s="1">
        <v>0.75927567738438373</v>
      </c>
      <c r="R450" s="1">
        <v>0.23135731940525553</v>
      </c>
      <c r="S450" s="2">
        <f t="shared" si="84"/>
        <v>1.0112035650030713</v>
      </c>
      <c r="T450" s="4">
        <f t="shared" si="85"/>
        <v>1.0225326498749205</v>
      </c>
      <c r="U450" s="1">
        <f t="shared" si="88"/>
        <v>0.62417586855222185</v>
      </c>
      <c r="V450" s="6">
        <f>2*sigma/alpha*corel*(B450/12-1/alpha*(1-EXP(-alpha*Output!B450/12)))</f>
        <v>2.1712399247390293</v>
      </c>
      <c r="W450" s="5">
        <f t="shared" si="86"/>
        <v>-0.39835678132269869</v>
      </c>
      <c r="X450" s="1">
        <f t="shared" si="87"/>
        <v>63.007158477668987</v>
      </c>
      <c r="Y450" s="3">
        <f t="shared" si="77"/>
        <v>7.8812732628961379E-2</v>
      </c>
      <c r="Z450" s="1">
        <f t="shared" si="78"/>
        <v>0.16718486350229284</v>
      </c>
      <c r="AA450" s="8">
        <f t="shared" si="83"/>
        <v>36.499999999999943</v>
      </c>
      <c r="AB450" s="1">
        <v>36.58</v>
      </c>
      <c r="AC450" s="1">
        <v>7.5910287389999997E-3</v>
      </c>
      <c r="AD450" s="8">
        <f t="shared" si="79"/>
        <v>0.63274127018842807</v>
      </c>
      <c r="AE450" s="3">
        <f t="shared" si="80"/>
        <v>8.3353823565128788E-3</v>
      </c>
      <c r="AF450" s="11">
        <f t="shared" si="81"/>
        <v>36.499999999999943</v>
      </c>
      <c r="AG450" s="1">
        <f t="shared" si="82"/>
        <v>0.16718486350229284</v>
      </c>
    </row>
    <row r="451" spans="2:33" ht="15" x14ac:dyDescent="0.25">
      <c r="B451" s="1">
        <v>440</v>
      </c>
      <c r="C451" s="1">
        <v>1.0007584594881973</v>
      </c>
      <c r="D451" s="1">
        <v>1.2171169147848444</v>
      </c>
      <c r="E451" s="1">
        <v>0.82064590010353233</v>
      </c>
      <c r="G451" s="1">
        <v>0.99927039890256952</v>
      </c>
      <c r="H451" s="1">
        <v>5.1552671836918451</v>
      </c>
      <c r="I451" s="1">
        <v>0.15666198113468852</v>
      </c>
      <c r="K451" s="1">
        <v>0.99903425735288498</v>
      </c>
      <c r="L451" s="1">
        <v>4.8618679861951648</v>
      </c>
      <c r="M451" s="1">
        <v>0.16265525546071513</v>
      </c>
      <c r="O451" s="1">
        <v>7.527068841712726E-3</v>
      </c>
      <c r="P451" s="1">
        <v>0.75881860351908748</v>
      </c>
      <c r="R451" s="1">
        <v>0.23176499131417105</v>
      </c>
      <c r="S451" s="2">
        <f t="shared" si="84"/>
        <v>1.0135061945196886</v>
      </c>
      <c r="T451" s="4">
        <f t="shared" si="85"/>
        <v>1.0271948063297809</v>
      </c>
      <c r="U451" s="1">
        <f t="shared" si="88"/>
        <v>0.62725524844864289</v>
      </c>
      <c r="V451" s="6">
        <f>2*sigma/alpha*corel*(B451/12-1/alpha*(1-EXP(-alpha*Output!B451/12)))</f>
        <v>2.1792495278800921</v>
      </c>
      <c r="W451" s="5">
        <f t="shared" si="86"/>
        <v>-0.399939557881138</v>
      </c>
      <c r="X451" s="1">
        <f t="shared" si="87"/>
        <v>63.406930327332518</v>
      </c>
      <c r="Y451" s="3">
        <f t="shared" si="77"/>
        <v>7.8867236528204071E-2</v>
      </c>
      <c r="Z451" s="1">
        <f t="shared" si="78"/>
        <v>0.16737503938459289</v>
      </c>
      <c r="AA451" s="8">
        <f t="shared" si="83"/>
        <v>36.583333333333279</v>
      </c>
      <c r="AB451" s="1">
        <v>36.67</v>
      </c>
      <c r="AC451" s="1">
        <v>7.5906933449999998E-3</v>
      </c>
      <c r="AD451" s="8">
        <f t="shared" si="79"/>
        <v>0.63624503287273804</v>
      </c>
      <c r="AE451" s="3">
        <f t="shared" si="80"/>
        <v>8.3819093191511082E-3</v>
      </c>
      <c r="AF451" s="11">
        <f t="shared" si="81"/>
        <v>36.583333333333279</v>
      </c>
      <c r="AG451" s="1">
        <f t="shared" si="82"/>
        <v>0.16737503938459289</v>
      </c>
    </row>
    <row r="452" spans="2:33" ht="15" x14ac:dyDescent="0.25">
      <c r="B452" s="1">
        <v>441</v>
      </c>
      <c r="C452" s="1">
        <v>1.0007574286917071</v>
      </c>
      <c r="D452" s="1">
        <v>1.2180791169858447</v>
      </c>
      <c r="E452" s="1">
        <v>0.8199956924205416</v>
      </c>
      <c r="G452" s="1">
        <v>0.99901251925050782</v>
      </c>
      <c r="H452" s="1">
        <v>5.1883024955362256</v>
      </c>
      <c r="I452" s="1">
        <v>0.15558914343939251</v>
      </c>
      <c r="K452" s="1">
        <v>0.99908839547634065</v>
      </c>
      <c r="L452" s="1">
        <v>5.0288368825598484</v>
      </c>
      <c r="M452" s="1">
        <v>0.15717755738558895</v>
      </c>
      <c r="O452" s="1">
        <v>7.5263871158667327E-3</v>
      </c>
      <c r="P452" s="1">
        <v>0.7583617787659499</v>
      </c>
      <c r="R452" s="1">
        <v>0.23214828968151247</v>
      </c>
      <c r="S452" s="2">
        <f t="shared" si="84"/>
        <v>1.0157282247485064</v>
      </c>
      <c r="T452" s="4">
        <f t="shared" si="85"/>
        <v>1.0317038265507523</v>
      </c>
      <c r="U452" s="1">
        <f t="shared" si="88"/>
        <v>0.63034079063167558</v>
      </c>
      <c r="V452" s="6">
        <f>2*sigma/alpha*corel*(B452/12-1/alpha*(1-EXP(-alpha*Output!B452/12)))</f>
        <v>2.1872671412085118</v>
      </c>
      <c r="W452" s="5">
        <f t="shared" si="86"/>
        <v>-0.40136303591907674</v>
      </c>
      <c r="X452" s="1">
        <f t="shared" si="87"/>
        <v>63.784503827114733</v>
      </c>
      <c r="Y452" s="3">
        <f t="shared" si="77"/>
        <v>7.8901401242305449E-2</v>
      </c>
      <c r="Z452" s="1">
        <f t="shared" si="78"/>
        <v>0.16755170399487168</v>
      </c>
      <c r="AA452" s="8">
        <f t="shared" si="83"/>
        <v>36.666666666666615</v>
      </c>
      <c r="AB452" s="1">
        <v>36.75</v>
      </c>
      <c r="AC452" s="1">
        <v>7.5903594760000003E-3</v>
      </c>
      <c r="AD452" s="8">
        <f t="shared" si="79"/>
        <v>0.63972360133267636</v>
      </c>
      <c r="AE452" s="3">
        <f t="shared" si="80"/>
        <v>8.428106776173408E-3</v>
      </c>
      <c r="AF452" s="11">
        <f t="shared" si="81"/>
        <v>36.666666666666615</v>
      </c>
      <c r="AG452" s="1">
        <f t="shared" si="82"/>
        <v>0.16755170399487168</v>
      </c>
    </row>
    <row r="453" spans="2:33" ht="15" x14ac:dyDescent="0.25">
      <c r="B453" s="1">
        <v>442</v>
      </c>
      <c r="C453" s="1">
        <v>1.0007601772051058</v>
      </c>
      <c r="D453" s="1">
        <v>1.2163884670122891</v>
      </c>
      <c r="E453" s="1">
        <v>0.82113344023230483</v>
      </c>
      <c r="G453" s="1">
        <v>0.99905634439740276</v>
      </c>
      <c r="H453" s="1">
        <v>5.119834750343828</v>
      </c>
      <c r="I453" s="1">
        <v>0.15759354315389493</v>
      </c>
      <c r="K453" s="1">
        <v>0.99911693043192085</v>
      </c>
      <c r="L453" s="1">
        <v>4.9696804234418428</v>
      </c>
      <c r="M453" s="1">
        <v>0.15895878648074205</v>
      </c>
      <c r="O453" s="1">
        <v>7.5257143250071368E-3</v>
      </c>
      <c r="P453" s="1">
        <v>0.75790506571421412</v>
      </c>
      <c r="R453" s="1">
        <v>0.2326094322351959</v>
      </c>
      <c r="S453" s="2">
        <f t="shared" si="84"/>
        <v>1.0182173978055815</v>
      </c>
      <c r="T453" s="4">
        <f t="shared" si="85"/>
        <v>1.0367666691939699</v>
      </c>
      <c r="U453" s="1">
        <f t="shared" si="88"/>
        <v>0.6334324807235121</v>
      </c>
      <c r="V453" s="6">
        <f>2*sigma/alpha*corel*(B453/12-1/alpha*(1-EXP(-alpha*Output!B453/12)))</f>
        <v>2.1952927380681153</v>
      </c>
      <c r="W453" s="5">
        <f t="shared" si="86"/>
        <v>-0.40333418847045777</v>
      </c>
      <c r="X453" s="1">
        <f t="shared" si="87"/>
        <v>64.243880640462038</v>
      </c>
      <c r="Y453" s="3">
        <f t="shared" si="77"/>
        <v>7.9003646723387597E-2</v>
      </c>
      <c r="Z453" s="1">
        <f t="shared" si="78"/>
        <v>0.16777220085828212</v>
      </c>
      <c r="AA453" s="8">
        <f t="shared" si="83"/>
        <v>36.74999999999995</v>
      </c>
      <c r="AB453" s="1">
        <v>36.83</v>
      </c>
      <c r="AC453" s="1">
        <v>7.590027121E-3</v>
      </c>
      <c r="AD453" s="8">
        <f t="shared" si="79"/>
        <v>0.6431279599286317</v>
      </c>
      <c r="AE453" s="3">
        <f t="shared" si="80"/>
        <v>8.4733288784862529E-3</v>
      </c>
      <c r="AF453" s="11">
        <f t="shared" si="81"/>
        <v>36.74999999999995</v>
      </c>
      <c r="AG453" s="1">
        <f t="shared" si="82"/>
        <v>0.16777220085828212</v>
      </c>
    </row>
    <row r="454" spans="2:33" ht="15" x14ac:dyDescent="0.25">
      <c r="B454" s="1">
        <v>443</v>
      </c>
      <c r="C454" s="1">
        <v>1.0007639833297644</v>
      </c>
      <c r="D454" s="1">
        <v>1.2142788528827113</v>
      </c>
      <c r="E454" s="1">
        <v>0.82255806072878179</v>
      </c>
      <c r="G454" s="1">
        <v>0.99916523159631054</v>
      </c>
      <c r="H454" s="1">
        <v>5.0410732311668998</v>
      </c>
      <c r="I454" s="1">
        <v>0.15997832311564017</v>
      </c>
      <c r="K454" s="1">
        <v>0.99896439344533561</v>
      </c>
      <c r="L454" s="1">
        <v>5.0696252845636227</v>
      </c>
      <c r="M454" s="1">
        <v>0.15574986058543494</v>
      </c>
      <c r="O454" s="1">
        <v>7.5250537321905888E-3</v>
      </c>
      <c r="P454" s="1">
        <v>0.75744837155830524</v>
      </c>
      <c r="R454" s="1">
        <v>0.23296733536710562</v>
      </c>
      <c r="S454" s="2">
        <f t="shared" si="84"/>
        <v>1.0203581365777181</v>
      </c>
      <c r="T454" s="4">
        <f t="shared" si="85"/>
        <v>1.0411307268803534</v>
      </c>
      <c r="U454" s="1">
        <f t="shared" si="88"/>
        <v>0.63653030435346647</v>
      </c>
      <c r="V454" s="6">
        <f>2*sigma/alpha*corel*(B454/12-1/alpha*(1-EXP(-alpha*Output!B454/12)))</f>
        <v>2.2033262918914347</v>
      </c>
      <c r="W454" s="5">
        <f t="shared" si="86"/>
        <v>-0.40460042252688688</v>
      </c>
      <c r="X454" s="1">
        <f t="shared" si="87"/>
        <v>64.600642475010346</v>
      </c>
      <c r="Y454" s="3">
        <f t="shared" si="77"/>
        <v>7.9017510538367794E-2</v>
      </c>
      <c r="Z454" s="1">
        <f t="shared" si="78"/>
        <v>0.16793506701296979</v>
      </c>
      <c r="AA454" s="8">
        <f t="shared" si="83"/>
        <v>36.833333333333286</v>
      </c>
      <c r="AB454" s="1">
        <v>36.92</v>
      </c>
      <c r="AC454" s="1">
        <v>7.5896962699999997E-3</v>
      </c>
      <c r="AD454" s="8">
        <f t="shared" si="79"/>
        <v>0.64642537809410894</v>
      </c>
      <c r="AE454" s="3">
        <f t="shared" si="80"/>
        <v>8.5171442320986189E-3</v>
      </c>
      <c r="AF454" s="11">
        <f t="shared" si="81"/>
        <v>36.833333333333286</v>
      </c>
      <c r="AG454" s="1">
        <f t="shared" si="82"/>
        <v>0.16793506701296979</v>
      </c>
    </row>
    <row r="455" spans="2:33" ht="15" x14ac:dyDescent="0.25">
      <c r="B455" s="1">
        <v>444</v>
      </c>
      <c r="C455" s="1">
        <v>1.0007658894116018</v>
      </c>
      <c r="D455" s="1">
        <v>1.2174061607345987</v>
      </c>
      <c r="E455" s="1">
        <v>0.82044308374849795</v>
      </c>
      <c r="G455" s="1">
        <v>0.99921862582198717</v>
      </c>
      <c r="H455" s="1">
        <v>5.154074020454436</v>
      </c>
      <c r="I455" s="1">
        <v>0.15639514852259265</v>
      </c>
      <c r="K455" s="1">
        <v>0.99900306510062742</v>
      </c>
      <c r="L455" s="1">
        <v>5.0671903805139689</v>
      </c>
      <c r="M455" s="1">
        <v>0.1557380230171049</v>
      </c>
      <c r="O455" s="1">
        <v>7.5243671284597503E-3</v>
      </c>
      <c r="P455" s="1">
        <v>0.75699276447087926</v>
      </c>
      <c r="R455" s="1">
        <v>0.23331075191298026</v>
      </c>
      <c r="S455" s="2">
        <f t="shared" si="84"/>
        <v>1.0224497763650289</v>
      </c>
      <c r="T455" s="4">
        <f t="shared" si="85"/>
        <v>1.0454035451888977</v>
      </c>
      <c r="U455" s="1">
        <f t="shared" si="88"/>
        <v>0.63963424715822237</v>
      </c>
      <c r="V455" s="6">
        <f>2*sigma/alpha*corel*(B455/12-1/alpha*(1-EXP(-alpha*Output!B455/12)))</f>
        <v>2.2113677761994146</v>
      </c>
      <c r="W455" s="5">
        <f t="shared" si="86"/>
        <v>-0.4057692980306753</v>
      </c>
      <c r="X455" s="1">
        <f t="shared" si="87"/>
        <v>64.944003550153084</v>
      </c>
      <c r="Y455" s="3">
        <f t="shared" si="77"/>
        <v>7.9019141506073295E-2</v>
      </c>
      <c r="Z455" s="1">
        <f t="shared" si="78"/>
        <v>0.16808970780499979</v>
      </c>
      <c r="AA455" s="8">
        <f t="shared" si="83"/>
        <v>36.916666666666622</v>
      </c>
      <c r="AB455" s="1">
        <v>37</v>
      </c>
      <c r="AC455" s="1">
        <v>7.589366914E-3</v>
      </c>
      <c r="AD455" s="8">
        <f t="shared" si="79"/>
        <v>0.64999785540249644</v>
      </c>
      <c r="AE455" s="3">
        <f t="shared" si="80"/>
        <v>8.564585989424946E-3</v>
      </c>
      <c r="AF455" s="11">
        <f t="shared" si="81"/>
        <v>36.916666666666622</v>
      </c>
      <c r="AG455" s="1">
        <f t="shared" si="82"/>
        <v>0.16808970780499979</v>
      </c>
    </row>
    <row r="456" spans="2:33" ht="15" x14ac:dyDescent="0.25">
      <c r="B456" s="1">
        <v>445</v>
      </c>
      <c r="C456" s="1">
        <v>1.0007724060018361</v>
      </c>
      <c r="D456" s="1">
        <v>1.2151769376191572</v>
      </c>
      <c r="E456" s="1">
        <v>0.82194620002717711</v>
      </c>
      <c r="G456" s="1">
        <v>0.99958717286160825</v>
      </c>
      <c r="H456" s="1">
        <v>5.0686780896960144</v>
      </c>
      <c r="I456" s="1">
        <v>0.15895309863897641</v>
      </c>
      <c r="K456" s="1">
        <v>0.99915822564673873</v>
      </c>
      <c r="L456" s="1">
        <v>5.2105073925686227</v>
      </c>
      <c r="M456" s="1">
        <v>0.1513753373003735</v>
      </c>
      <c r="O456" s="1">
        <v>7.5237278803086862E-3</v>
      </c>
      <c r="P456" s="1">
        <v>0.7565361894493805</v>
      </c>
      <c r="R456" s="1">
        <v>0.23359360345564459</v>
      </c>
      <c r="S456" s="2">
        <f t="shared" si="84"/>
        <v>1.0243392305844565</v>
      </c>
      <c r="T456" s="4">
        <f t="shared" si="85"/>
        <v>1.0492708593143565</v>
      </c>
      <c r="U456" s="1">
        <f t="shared" si="88"/>
        <v>0.64274429478207873</v>
      </c>
      <c r="V456" s="6">
        <f>2*sigma/alpha*corel*(B456/12-1/alpha*(1-EXP(-alpha*Output!B456/12)))</f>
        <v>2.2194171646011158</v>
      </c>
      <c r="W456" s="5">
        <f t="shared" si="86"/>
        <v>-0.40652656453227776</v>
      </c>
      <c r="X456" s="1">
        <f t="shared" si="87"/>
        <v>65.227252956147254</v>
      </c>
      <c r="Y456" s="3">
        <f t="shared" si="77"/>
        <v>7.8969733708310841E-2</v>
      </c>
      <c r="Z456" s="1">
        <f t="shared" si="78"/>
        <v>0.16821101188934265</v>
      </c>
      <c r="AA456" s="8">
        <f t="shared" si="83"/>
        <v>36.999999999999957</v>
      </c>
      <c r="AB456" s="1">
        <v>37.08</v>
      </c>
      <c r="AC456" s="1">
        <v>7.5890390400000004E-3</v>
      </c>
      <c r="AD456" s="8">
        <f t="shared" si="79"/>
        <v>0.6531115969131418</v>
      </c>
      <c r="AE456" s="3">
        <f t="shared" si="80"/>
        <v>8.6059854676033103E-3</v>
      </c>
      <c r="AF456" s="11">
        <f t="shared" si="81"/>
        <v>36.999999999999957</v>
      </c>
      <c r="AG456" s="1">
        <f t="shared" si="82"/>
        <v>0.16821101188934265</v>
      </c>
    </row>
    <row r="457" spans="2:33" ht="15" x14ac:dyDescent="0.25">
      <c r="B457" s="1">
        <v>446</v>
      </c>
      <c r="C457" s="1">
        <v>1.0007767476005638</v>
      </c>
      <c r="D457" s="1">
        <v>1.2140644760477528</v>
      </c>
      <c r="E457" s="1">
        <v>0.82269737901785611</v>
      </c>
      <c r="G457" s="1">
        <v>0.99979256666024208</v>
      </c>
      <c r="H457" s="1">
        <v>5.0246019721406023</v>
      </c>
      <c r="I457" s="1">
        <v>0.16026984731471852</v>
      </c>
      <c r="K457" s="1">
        <v>0.99907020112968759</v>
      </c>
      <c r="L457" s="1">
        <v>5.2375920962595428</v>
      </c>
      <c r="M457" s="1">
        <v>0.15051334614264036</v>
      </c>
      <c r="O457" s="1">
        <v>7.5230169953902186E-3</v>
      </c>
      <c r="P457" s="1">
        <v>0.75608198342726551</v>
      </c>
      <c r="R457" s="1">
        <v>0.23393586144782935</v>
      </c>
      <c r="S457" s="2">
        <f t="shared" si="84"/>
        <v>1.0264286620151595</v>
      </c>
      <c r="T457" s="4">
        <f t="shared" si="85"/>
        <v>1.0535557982062305</v>
      </c>
      <c r="U457" s="1">
        <f t="shared" si="88"/>
        <v>0.64586043287718642</v>
      </c>
      <c r="V457" s="6">
        <f>2*sigma/alpha*corel*(B457/12-1/alpha*(1-EXP(-alpha*Output!B457/12)))</f>
        <v>2.2274744307934209</v>
      </c>
      <c r="W457" s="5">
        <f t="shared" si="86"/>
        <v>-0.40769536532904405</v>
      </c>
      <c r="X457" s="1">
        <f t="shared" si="87"/>
        <v>65.572353318756356</v>
      </c>
      <c r="Y457" s="3">
        <f t="shared" si="77"/>
        <v>7.8971318832407336E-2</v>
      </c>
      <c r="Z457" s="1">
        <f t="shared" si="78"/>
        <v>0.16836505806386684</v>
      </c>
      <c r="AA457" s="8">
        <f t="shared" si="83"/>
        <v>37.083333333333293</v>
      </c>
      <c r="AB457" s="1">
        <v>37.17</v>
      </c>
      <c r="AC457" s="1">
        <v>7.5887126400000001E-3</v>
      </c>
      <c r="AD457" s="8">
        <f t="shared" si="79"/>
        <v>0.65695644609781512</v>
      </c>
      <c r="AE457" s="3">
        <f t="shared" si="80"/>
        <v>8.6570209897658627E-3</v>
      </c>
      <c r="AF457" s="11">
        <f t="shared" si="81"/>
        <v>37.083333333333293</v>
      </c>
      <c r="AG457" s="1">
        <f t="shared" si="82"/>
        <v>0.16836505806386684</v>
      </c>
    </row>
    <row r="458" spans="2:33" ht="15" x14ac:dyDescent="0.25">
      <c r="B458" s="1">
        <v>447</v>
      </c>
      <c r="C458" s="1">
        <v>1.0007840306955498</v>
      </c>
      <c r="D458" s="1">
        <v>1.2173893242527667</v>
      </c>
      <c r="E458" s="1">
        <v>0.82044850669539737</v>
      </c>
      <c r="G458" s="1">
        <v>1.0002275324407277</v>
      </c>
      <c r="H458" s="1">
        <v>5.1433554421320142</v>
      </c>
      <c r="I458" s="1">
        <v>0.15649365252831887</v>
      </c>
      <c r="K458" s="1">
        <v>0.9989603325689389</v>
      </c>
      <c r="L458" s="1">
        <v>5.3336153482839315</v>
      </c>
      <c r="M458" s="1">
        <v>0.14772534940478105</v>
      </c>
      <c r="O458" s="1">
        <v>7.5222165468623514E-3</v>
      </c>
      <c r="P458" s="1">
        <v>0.75563066059128425</v>
      </c>
      <c r="R458" s="1">
        <v>0.2342953510297881</v>
      </c>
      <c r="S458" s="2">
        <f t="shared" si="84"/>
        <v>1.0285734631961587</v>
      </c>
      <c r="T458" s="4">
        <f t="shared" si="85"/>
        <v>1.0579633691913397</v>
      </c>
      <c r="U458" s="1">
        <f t="shared" si="88"/>
        <v>0.64898264710379383</v>
      </c>
      <c r="V458" s="6">
        <f>2*sigma/alpha*corel*(B458/12-1/alpha*(1-EXP(-alpha*Output!B458/12)))</f>
        <v>2.2355395485607459</v>
      </c>
      <c r="W458" s="5">
        <f t="shared" si="86"/>
        <v>-0.40898072208754588</v>
      </c>
      <c r="X458" s="1">
        <f t="shared" si="87"/>
        <v>65.935764664223527</v>
      </c>
      <c r="Y458" s="3">
        <f t="shared" si="77"/>
        <v>7.8987174255740963E-2</v>
      </c>
      <c r="Z458" s="1">
        <f t="shared" si="78"/>
        <v>0.16852804272982194</v>
      </c>
      <c r="AA458" s="8">
        <f t="shared" si="83"/>
        <v>37.166666666666629</v>
      </c>
      <c r="AB458" s="1">
        <v>37.25</v>
      </c>
      <c r="AC458" s="1">
        <v>7.588387704E-3</v>
      </c>
      <c r="AD458" s="8">
        <f t="shared" si="79"/>
        <v>0.66171157137648662</v>
      </c>
      <c r="AE458" s="3">
        <f t="shared" si="80"/>
        <v>8.7200548678829943E-3</v>
      </c>
      <c r="AF458" s="11">
        <f t="shared" si="81"/>
        <v>37.166666666666629</v>
      </c>
      <c r="AG458" s="1">
        <f t="shared" si="82"/>
        <v>0.16852804272982194</v>
      </c>
    </row>
    <row r="459" spans="2:33" ht="15" x14ac:dyDescent="0.25">
      <c r="B459" s="1">
        <v>448</v>
      </c>
      <c r="C459" s="1">
        <v>1.0007839227387603</v>
      </c>
      <c r="D459" s="1">
        <v>1.2174543035784362</v>
      </c>
      <c r="E459" s="1">
        <v>0.82040273333847247</v>
      </c>
      <c r="G459" s="1">
        <v>1.000063850143124</v>
      </c>
      <c r="H459" s="1">
        <v>5.142849383830761</v>
      </c>
      <c r="I459" s="1">
        <v>0.15643331033902122</v>
      </c>
      <c r="K459" s="1">
        <v>0.99888018025519476</v>
      </c>
      <c r="L459" s="1">
        <v>5.2358649608963885</v>
      </c>
      <c r="M459" s="1">
        <v>0.1503963542617274</v>
      </c>
      <c r="O459" s="1">
        <v>7.5213708515766142E-3</v>
      </c>
      <c r="P459" s="1">
        <v>0.7551809835673482</v>
      </c>
      <c r="R459" s="1">
        <v>0.23463654870342948</v>
      </c>
      <c r="S459" s="2">
        <f t="shared" si="84"/>
        <v>1.0306548438532481</v>
      </c>
      <c r="T459" s="4">
        <f t="shared" si="85"/>
        <v>1.0622494071581632</v>
      </c>
      <c r="U459" s="1">
        <f t="shared" si="88"/>
        <v>0.65211092313047914</v>
      </c>
      <c r="V459" s="6">
        <f>2*sigma/alpha*corel*(B459/12-1/alpha*(1-EXP(-alpha*Output!B459/12)))</f>
        <v>2.2436124917747455</v>
      </c>
      <c r="W459" s="5">
        <f t="shared" si="86"/>
        <v>-0.41013848402768405</v>
      </c>
      <c r="X459" s="1">
        <f t="shared" si="87"/>
        <v>66.281143961381829</v>
      </c>
      <c r="Y459" s="3">
        <f t="shared" si="77"/>
        <v>7.8987197408367321E-2</v>
      </c>
      <c r="Z459" s="1">
        <f t="shared" si="78"/>
        <v>0.16868049419037145</v>
      </c>
      <c r="AA459" s="8">
        <f t="shared" si="83"/>
        <v>37.249999999999964</v>
      </c>
      <c r="AB459" s="1">
        <v>37.33</v>
      </c>
      <c r="AC459" s="1">
        <v>7.5880642209999998E-3</v>
      </c>
      <c r="AD459" s="8">
        <f t="shared" si="79"/>
        <v>0.66693369423385596</v>
      </c>
      <c r="AE459" s="3">
        <f t="shared" si="80"/>
        <v>8.7892468330475395E-3</v>
      </c>
      <c r="AF459" s="11">
        <f t="shared" si="81"/>
        <v>37.249999999999964</v>
      </c>
      <c r="AG459" s="1">
        <f t="shared" si="82"/>
        <v>0.16868049419037145</v>
      </c>
    </row>
    <row r="460" spans="2:33" ht="15" x14ac:dyDescent="0.25">
      <c r="B460" s="1">
        <v>449</v>
      </c>
      <c r="C460" s="1">
        <v>1.000788954579197</v>
      </c>
      <c r="D460" s="1">
        <v>1.216723655119619</v>
      </c>
      <c r="E460" s="1">
        <v>0.82089340051333692</v>
      </c>
      <c r="G460" s="1">
        <v>1.0003138679971435</v>
      </c>
      <c r="H460" s="1">
        <v>5.1144771509621885</v>
      </c>
      <c r="I460" s="1">
        <v>0.15722498908031499</v>
      </c>
      <c r="K460" s="1">
        <v>0.99886547256441038</v>
      </c>
      <c r="L460" s="1">
        <v>5.098398495002832</v>
      </c>
      <c r="M460" s="1">
        <v>0.15437879701391927</v>
      </c>
      <c r="O460" s="1">
        <v>7.5205698910108193E-3</v>
      </c>
      <c r="P460" s="1">
        <v>0.75473041723874168</v>
      </c>
      <c r="R460" s="1">
        <v>0.23500030408389208</v>
      </c>
      <c r="S460" s="2">
        <f t="shared" si="84"/>
        <v>1.0328175774284596</v>
      </c>
      <c r="T460" s="4">
        <f t="shared" si="85"/>
        <v>1.0667121482451922</v>
      </c>
      <c r="U460" s="1">
        <f t="shared" si="88"/>
        <v>0.65524524663438388</v>
      </c>
      <c r="V460" s="6">
        <f>2*sigma/alpha*corel*(B460/12-1/alpha*(1-EXP(-alpha*Output!B460/12)))</f>
        <v>2.2516932343940228</v>
      </c>
      <c r="W460" s="5">
        <f t="shared" si="86"/>
        <v>-0.41146690161080834</v>
      </c>
      <c r="X460" s="1">
        <f t="shared" si="87"/>
        <v>66.653002029566792</v>
      </c>
      <c r="Y460" s="3">
        <f t="shared" si="77"/>
        <v>7.9008050075139682E-2</v>
      </c>
      <c r="Z460" s="1">
        <f t="shared" si="78"/>
        <v>0.16884611527519391</v>
      </c>
      <c r="AA460" s="8">
        <f t="shared" si="83"/>
        <v>37.3333333333333</v>
      </c>
      <c r="AB460" s="1">
        <v>37.42</v>
      </c>
      <c r="AC460" s="1">
        <v>7.5877421830000003E-3</v>
      </c>
      <c r="AD460" s="8">
        <f t="shared" si="79"/>
        <v>0.67172291989180988</v>
      </c>
      <c r="AE460" s="3">
        <f t="shared" si="80"/>
        <v>8.8527377932894873E-3</v>
      </c>
      <c r="AF460" s="11">
        <f t="shared" si="81"/>
        <v>37.3333333333333</v>
      </c>
      <c r="AG460" s="1">
        <f t="shared" si="82"/>
        <v>0.16884611527519391</v>
      </c>
    </row>
    <row r="461" spans="2:33" ht="15" x14ac:dyDescent="0.25">
      <c r="B461" s="1">
        <v>450</v>
      </c>
      <c r="C461" s="1">
        <v>1.0007889176838791</v>
      </c>
      <c r="D461" s="1">
        <v>1.2153108945726314</v>
      </c>
      <c r="E461" s="1">
        <v>0.82184566732581199</v>
      </c>
      <c r="G461" s="1">
        <v>1.0001541856197529</v>
      </c>
      <c r="H461" s="1">
        <v>5.0595851948487462</v>
      </c>
      <c r="I461" s="1">
        <v>0.15885382477961069</v>
      </c>
      <c r="K461" s="1">
        <v>0.99871240449289678</v>
      </c>
      <c r="L461" s="1">
        <v>5.080596582988675</v>
      </c>
      <c r="M461" s="1">
        <v>0.15482851893857272</v>
      </c>
      <c r="O461" s="1">
        <v>7.519768729490485E-3</v>
      </c>
      <c r="P461" s="1">
        <v>0.7542802261086804</v>
      </c>
      <c r="R461" s="1">
        <v>0.23523224115773345</v>
      </c>
      <c r="S461" s="2">
        <f t="shared" si="84"/>
        <v>1.0345306544299204</v>
      </c>
      <c r="T461" s="4">
        <f t="shared" si="85"/>
        <v>1.0702536749551994</v>
      </c>
      <c r="U461" s="1">
        <f t="shared" si="88"/>
        <v>0.65838560330144968</v>
      </c>
      <c r="V461" s="6">
        <f>2*sigma/alpha*corel*(B461/12-1/alpha*(1-EXP(-alpha*Output!B461/12)))</f>
        <v>2.2597817504638429</v>
      </c>
      <c r="W461" s="5">
        <f t="shared" si="86"/>
        <v>-0.41186807165374972</v>
      </c>
      <c r="X461" s="1">
        <f t="shared" si="87"/>
        <v>66.886824307791883</v>
      </c>
      <c r="Y461" s="3">
        <f t="shared" ref="Y461:Y524" si="89">(-V461+SQRT(X461))/2/B461*12</f>
        <v>7.8915397250048452E-2</v>
      </c>
      <c r="Z461" s="1">
        <f t="shared" ref="Z461:Z524" si="90">S461/SQRT(B461/12)</f>
        <v>0.16893814844139057</v>
      </c>
      <c r="AA461" s="8">
        <f t="shared" si="83"/>
        <v>37.416666666666636</v>
      </c>
      <c r="AB461" s="1">
        <v>37.5</v>
      </c>
      <c r="AC461" s="1">
        <v>7.5874215790000003E-3</v>
      </c>
      <c r="AD461" s="8">
        <f t="shared" ref="AD461:AD524" si="91">(AC461-O461)*10000</f>
        <v>0.67652849509515323</v>
      </c>
      <c r="AE461" s="3">
        <f t="shared" ref="AE461:AE524" si="92">AD461/AC461/10000</f>
        <v>8.9164479402015478E-3</v>
      </c>
      <c r="AF461" s="11">
        <f t="shared" ref="AF461:AF524" si="93">AA461</f>
        <v>37.416666666666636</v>
      </c>
      <c r="AG461" s="1">
        <f t="shared" ref="AG461:AG524" si="94">Z461</f>
        <v>0.16893814844139057</v>
      </c>
    </row>
    <row r="462" spans="2:33" ht="15" x14ac:dyDescent="0.25">
      <c r="B462" s="1">
        <v>451</v>
      </c>
      <c r="C462" s="1">
        <v>1.0007903828133318</v>
      </c>
      <c r="D462" s="1">
        <v>1.2185537097868249</v>
      </c>
      <c r="E462" s="1">
        <v>0.81965657695581606</v>
      </c>
      <c r="G462" s="1">
        <v>1.0001297358087509</v>
      </c>
      <c r="H462" s="1">
        <v>5.1824648399698772</v>
      </c>
      <c r="I462" s="1">
        <v>0.15501224157559992</v>
      </c>
      <c r="K462" s="1">
        <v>0.99864121586445509</v>
      </c>
      <c r="L462" s="1">
        <v>5.2072648046021541</v>
      </c>
      <c r="M462" s="1">
        <v>0.15098432180019183</v>
      </c>
      <c r="O462" s="1">
        <v>7.5188329432881798E-3</v>
      </c>
      <c r="P462" s="1">
        <v>0.75383421829430941</v>
      </c>
      <c r="R462" s="1">
        <v>0.23555641594104201</v>
      </c>
      <c r="S462" s="2">
        <f t="shared" si="84"/>
        <v>1.0365530333763762</v>
      </c>
      <c r="T462" s="4">
        <f t="shared" si="85"/>
        <v>1.0744421910017667</v>
      </c>
      <c r="U462" s="1">
        <f t="shared" si="88"/>
        <v>0.66153197882663939</v>
      </c>
      <c r="V462" s="6">
        <f>2*sigma/alpha*corel*(B462/12-1/alpha*(1-EXP(-alpha*Output!B462/12)))</f>
        <v>2.2678780141158428</v>
      </c>
      <c r="W462" s="5">
        <f t="shared" si="86"/>
        <v>-0.41291021217512736</v>
      </c>
      <c r="X462" s="1">
        <f t="shared" si="87"/>
        <v>67.217439250570834</v>
      </c>
      <c r="Y462" s="3">
        <f t="shared" si="89"/>
        <v>7.8901280022437029E-2</v>
      </c>
      <c r="Z462" s="1">
        <f t="shared" si="90"/>
        <v>0.16908063841935109</v>
      </c>
      <c r="AA462" s="8">
        <f t="shared" ref="AA462:AA525" si="95">AA461+1/12</f>
        <v>37.499999999999972</v>
      </c>
      <c r="AB462" s="1">
        <v>37.58</v>
      </c>
      <c r="AC462" s="1">
        <v>7.5871024000000002E-3</v>
      </c>
      <c r="AD462" s="8">
        <f t="shared" si="91"/>
        <v>0.68269456711820409</v>
      </c>
      <c r="AE462" s="3">
        <f t="shared" si="92"/>
        <v>8.9980934897913607E-3</v>
      </c>
      <c r="AF462" s="11">
        <f t="shared" si="93"/>
        <v>37.499999999999972</v>
      </c>
      <c r="AG462" s="1">
        <f t="shared" si="94"/>
        <v>0.16908063841935109</v>
      </c>
    </row>
    <row r="463" spans="2:33" ht="15" x14ac:dyDescent="0.25">
      <c r="B463" s="1">
        <v>452</v>
      </c>
      <c r="C463" s="1">
        <v>1.0007918862210883</v>
      </c>
      <c r="D463" s="1">
        <v>1.2128904480721467</v>
      </c>
      <c r="E463" s="1">
        <v>0.8234817318711547</v>
      </c>
      <c r="G463" s="1">
        <v>1.0000712398639562</v>
      </c>
      <c r="H463" s="1">
        <v>4.9677424359261053</v>
      </c>
      <c r="I463" s="1">
        <v>0.16163412644787103</v>
      </c>
      <c r="K463" s="1">
        <v>0.99872130889567934</v>
      </c>
      <c r="L463" s="1">
        <v>5.2526220043819682</v>
      </c>
      <c r="M463" s="1">
        <v>0.14959967851037911</v>
      </c>
      <c r="O463" s="1">
        <v>7.5178081900335548E-3</v>
      </c>
      <c r="P463" s="1">
        <v>0.75339111638620004</v>
      </c>
      <c r="R463" s="1">
        <v>0.235755241094908</v>
      </c>
      <c r="S463" s="2">
        <f t="shared" si="84"/>
        <v>1.0381417985150672</v>
      </c>
      <c r="T463" s="4">
        <f t="shared" si="85"/>
        <v>1.0777383938240983</v>
      </c>
      <c r="U463" s="1">
        <f t="shared" si="88"/>
        <v>0.66468435891416977</v>
      </c>
      <c r="V463" s="6">
        <f>2*sigma/alpha*corel*(B463/12-1/alpha*(1-EXP(-alpha*Output!B463/12)))</f>
        <v>2.2759819995677404</v>
      </c>
      <c r="W463" s="5">
        <f t="shared" si="86"/>
        <v>-0.41305403490992854</v>
      </c>
      <c r="X463" s="1">
        <f t="shared" si="87"/>
        <v>67.413568655452266</v>
      </c>
      <c r="Y463" s="3">
        <f t="shared" si="89"/>
        <v>7.8777804875915167E-2</v>
      </c>
      <c r="Z463" s="1">
        <f t="shared" si="90"/>
        <v>0.16915236838378386</v>
      </c>
      <c r="AA463" s="8">
        <f t="shared" si="95"/>
        <v>37.583333333333307</v>
      </c>
      <c r="AB463" s="1">
        <v>37.67</v>
      </c>
      <c r="AC463" s="1">
        <v>7.5867846360000001E-3</v>
      </c>
      <c r="AD463" s="8">
        <f t="shared" si="91"/>
        <v>0.68976445966445299</v>
      </c>
      <c r="AE463" s="3">
        <f t="shared" si="92"/>
        <v>9.0916573061986805E-3</v>
      </c>
      <c r="AF463" s="11">
        <f t="shared" si="93"/>
        <v>37.583333333333307</v>
      </c>
      <c r="AG463" s="1">
        <f t="shared" si="94"/>
        <v>0.16915236838378386</v>
      </c>
    </row>
    <row r="464" spans="2:33" ht="15" x14ac:dyDescent="0.25">
      <c r="B464" s="1">
        <v>453</v>
      </c>
      <c r="C464" s="1">
        <v>1.0007895124676665</v>
      </c>
      <c r="D464" s="1">
        <v>1.2120430103679669</v>
      </c>
      <c r="E464" s="1">
        <v>0.82405548070356482</v>
      </c>
      <c r="G464" s="1">
        <v>0.99973775020947375</v>
      </c>
      <c r="H464" s="1">
        <v>4.9363390253710513</v>
      </c>
      <c r="I464" s="1">
        <v>0.16258366933385829</v>
      </c>
      <c r="K464" s="1">
        <v>0.99881671553038598</v>
      </c>
      <c r="L464" s="1">
        <v>5.3465808463995579</v>
      </c>
      <c r="M464" s="1">
        <v>0.14689134129152528</v>
      </c>
      <c r="O464" s="1">
        <v>7.5167927397765261E-3</v>
      </c>
      <c r="P464" s="1">
        <v>0.75294813910350022</v>
      </c>
      <c r="R464" s="1">
        <v>0.2360415273301476</v>
      </c>
      <c r="S464" s="2">
        <f t="shared" si="84"/>
        <v>1.0400320649048147</v>
      </c>
      <c r="T464" s="4">
        <f t="shared" si="85"/>
        <v>1.0816666960301726</v>
      </c>
      <c r="U464" s="1">
        <f t="shared" si="88"/>
        <v>0.66784272927773447</v>
      </c>
      <c r="V464" s="6">
        <f>2*sigma/alpha*corel*(B464/12-1/alpha*(1-EXP(-alpha*Output!B464/12)))</f>
        <v>2.284093681123057</v>
      </c>
      <c r="W464" s="5">
        <f t="shared" si="86"/>
        <v>-0.41382396675243815</v>
      </c>
      <c r="X464" s="1">
        <f t="shared" si="87"/>
        <v>67.704502923764437</v>
      </c>
      <c r="Y464" s="3">
        <f t="shared" si="89"/>
        <v>7.873087312246442E-2</v>
      </c>
      <c r="Z464" s="1">
        <f t="shared" si="90"/>
        <v>0.16927321823429511</v>
      </c>
      <c r="AA464" s="8">
        <f t="shared" si="95"/>
        <v>37.666666666666643</v>
      </c>
      <c r="AB464" s="1">
        <v>37.75</v>
      </c>
      <c r="AC464" s="1">
        <v>7.586468279E-3</v>
      </c>
      <c r="AD464" s="8">
        <f t="shared" si="91"/>
        <v>0.69675539223473981</v>
      </c>
      <c r="AE464" s="3">
        <f t="shared" si="92"/>
        <v>9.1841864568710969E-3</v>
      </c>
      <c r="AF464" s="11">
        <f t="shared" si="93"/>
        <v>37.666666666666643</v>
      </c>
      <c r="AG464" s="1">
        <f t="shared" si="94"/>
        <v>0.16927321823429511</v>
      </c>
    </row>
    <row r="465" spans="2:33" ht="15" x14ac:dyDescent="0.25">
      <c r="B465" s="1">
        <v>454</v>
      </c>
      <c r="C465" s="1">
        <v>1.0007926666303222</v>
      </c>
      <c r="D465" s="1">
        <v>1.2172871378609531</v>
      </c>
      <c r="E465" s="1">
        <v>0.8205034028780479</v>
      </c>
      <c r="G465" s="1">
        <v>0.99988566336527951</v>
      </c>
      <c r="H465" s="1">
        <v>5.1301122455549901</v>
      </c>
      <c r="I465" s="1">
        <v>0.15636689052465769</v>
      </c>
      <c r="K465" s="1">
        <v>0.99897062339186715</v>
      </c>
      <c r="L465" s="1">
        <v>5.3685074717198171</v>
      </c>
      <c r="M465" s="1">
        <v>0.14621483147754996</v>
      </c>
      <c r="O465" s="1">
        <v>7.5157178193633357E-3</v>
      </c>
      <c r="P465" s="1">
        <v>0.75250724274189984</v>
      </c>
      <c r="R465" s="1">
        <v>0.23632509338540891</v>
      </c>
      <c r="S465" s="2">
        <f t="shared" si="84"/>
        <v>1.0419107505670173</v>
      </c>
      <c r="T465" s="4">
        <f t="shared" si="85"/>
        <v>1.0855780121471255</v>
      </c>
      <c r="U465" s="1">
        <f t="shared" si="88"/>
        <v>0.67100707564072248</v>
      </c>
      <c r="V465" s="6">
        <f>2*sigma/alpha*corel*(B465/12-1/alpha*(1-EXP(-alpha*Output!B465/12)))</f>
        <v>2.292213033170821</v>
      </c>
      <c r="W465" s="5">
        <f t="shared" si="86"/>
        <v>-0.41457093650640298</v>
      </c>
      <c r="X465" s="1">
        <f t="shared" si="87"/>
        <v>67.992642314073834</v>
      </c>
      <c r="Y465" s="3">
        <f t="shared" si="89"/>
        <v>7.8681305032034632E-2</v>
      </c>
      <c r="Z465" s="1">
        <f t="shared" si="90"/>
        <v>0.16939212481997307</v>
      </c>
      <c r="AA465" s="8">
        <f t="shared" si="95"/>
        <v>37.749999999999979</v>
      </c>
      <c r="AB465" s="1">
        <v>37.83</v>
      </c>
      <c r="AC465" s="1">
        <v>7.5861533179999996E-3</v>
      </c>
      <c r="AD465" s="8">
        <f t="shared" si="91"/>
        <v>0.70435498636663851</v>
      </c>
      <c r="AE465" s="3">
        <f t="shared" si="92"/>
        <v>9.2847449404348907E-3</v>
      </c>
      <c r="AF465" s="11">
        <f t="shared" si="93"/>
        <v>37.749999999999979</v>
      </c>
      <c r="AG465" s="1">
        <f t="shared" si="94"/>
        <v>0.16939212481997307</v>
      </c>
    </row>
    <row r="466" spans="2:33" ht="15" x14ac:dyDescent="0.25">
      <c r="B466" s="1">
        <v>455</v>
      </c>
      <c r="C466" s="1">
        <v>1.0007961311771079</v>
      </c>
      <c r="D466" s="1">
        <v>1.2197434108428031</v>
      </c>
      <c r="E466" s="1">
        <v>0.81884909354318514</v>
      </c>
      <c r="G466" s="1">
        <v>1.000037432919912</v>
      </c>
      <c r="H466" s="1">
        <v>5.2221073108663791</v>
      </c>
      <c r="I466" s="1">
        <v>0.15353791582694801</v>
      </c>
      <c r="K466" s="1">
        <v>0.99873716671307178</v>
      </c>
      <c r="L466" s="1">
        <v>5.1409486489875746</v>
      </c>
      <c r="M466" s="1">
        <v>0.15260791392581965</v>
      </c>
      <c r="O466" s="1">
        <v>7.5145915217302295E-3</v>
      </c>
      <c r="P466" s="1">
        <v>0.75206820435414057</v>
      </c>
      <c r="R466" s="1">
        <v>0.23665747633908615</v>
      </c>
      <c r="S466" s="2">
        <f t="shared" si="84"/>
        <v>1.0439554593748028</v>
      </c>
      <c r="T466" s="4">
        <f t="shared" si="85"/>
        <v>1.0898430011584557</v>
      </c>
      <c r="U466" s="1">
        <f t="shared" si="88"/>
        <v>0.67417738373644021</v>
      </c>
      <c r="V466" s="6">
        <f>2*sigma/alpha*corel*(B466/12-1/alpha*(1-EXP(-alpha*Output!B466/12)))</f>
        <v>2.3003400301852914</v>
      </c>
      <c r="W466" s="5">
        <f t="shared" si="86"/>
        <v>-0.41566561742201547</v>
      </c>
      <c r="X466" s="1">
        <f t="shared" si="87"/>
        <v>68.334182896811882</v>
      </c>
      <c r="Y466" s="3">
        <f t="shared" si="89"/>
        <v>7.8673967489740634E-2</v>
      </c>
      <c r="Z466" s="1">
        <f t="shared" si="90"/>
        <v>0.16953793710690465</v>
      </c>
      <c r="AA466" s="8">
        <f t="shared" si="95"/>
        <v>37.833333333333314</v>
      </c>
      <c r="AB466" s="1">
        <v>37.92</v>
      </c>
      <c r="AC466" s="1">
        <v>7.5858397440000001E-3</v>
      </c>
      <c r="AD466" s="8">
        <f t="shared" si="91"/>
        <v>0.71248222269770611</v>
      </c>
      <c r="AE466" s="3">
        <f t="shared" si="92"/>
        <v>9.3922656784470298E-3</v>
      </c>
      <c r="AF466" s="11">
        <f t="shared" si="93"/>
        <v>37.833333333333314</v>
      </c>
      <c r="AG466" s="1">
        <f t="shared" si="94"/>
        <v>0.16953793710690465</v>
      </c>
    </row>
    <row r="467" spans="2:33" ht="15" x14ac:dyDescent="0.25">
      <c r="B467" s="1">
        <v>456</v>
      </c>
      <c r="C467" s="1">
        <v>1.0007946653978959</v>
      </c>
      <c r="D467" s="1">
        <v>1.2185175218930655</v>
      </c>
      <c r="E467" s="1">
        <v>0.81967087977916075</v>
      </c>
      <c r="G467" s="1">
        <v>0.99977587662390632</v>
      </c>
      <c r="H467" s="1">
        <v>5.172005711102301</v>
      </c>
      <c r="I467" s="1">
        <v>0.15495022166691358</v>
      </c>
      <c r="K467" s="1">
        <v>0.99871437490092785</v>
      </c>
      <c r="L467" s="1">
        <v>5.2100368291520232</v>
      </c>
      <c r="M467" s="1">
        <v>0.15050217279803402</v>
      </c>
      <c r="O467" s="1">
        <v>7.5135420144374528E-3</v>
      </c>
      <c r="P467" s="1">
        <v>0.75162736993281698</v>
      </c>
      <c r="R467" s="1">
        <v>0.23702133998016661</v>
      </c>
      <c r="S467" s="2">
        <f t="shared" si="84"/>
        <v>1.0461144754050966</v>
      </c>
      <c r="T467" s="4">
        <f t="shared" si="85"/>
        <v>1.0943554956520805</v>
      </c>
      <c r="U467" s="1">
        <f t="shared" si="88"/>
        <v>0.67735363930832859</v>
      </c>
      <c r="V467" s="6">
        <f>2*sigma/alpha*corel*(B467/12-1/alpha*(1-EXP(-alpha*Output!B467/12)))</f>
        <v>2.3084746467256707</v>
      </c>
      <c r="W467" s="5">
        <f t="shared" si="86"/>
        <v>-0.41700185634375186</v>
      </c>
      <c r="X467" s="1">
        <f t="shared" si="87"/>
        <v>68.713337358825498</v>
      </c>
      <c r="Y467" s="3">
        <f t="shared" si="89"/>
        <v>7.8695739393297229E-2</v>
      </c>
      <c r="Z467" s="1">
        <f t="shared" si="90"/>
        <v>0.16970217686567693</v>
      </c>
      <c r="AA467" s="8">
        <f t="shared" si="95"/>
        <v>37.91666666666665</v>
      </c>
      <c r="AB467" s="1">
        <v>38</v>
      </c>
      <c r="AC467" s="1">
        <v>7.5855275500000003E-3</v>
      </c>
      <c r="AD467" s="8">
        <f t="shared" si="91"/>
        <v>0.71985535562547542</v>
      </c>
      <c r="AE467" s="3">
        <f t="shared" si="92"/>
        <v>9.489852233487377E-3</v>
      </c>
      <c r="AF467" s="11">
        <f t="shared" si="93"/>
        <v>37.91666666666665</v>
      </c>
      <c r="AG467" s="1">
        <f t="shared" si="94"/>
        <v>0.16970217686567693</v>
      </c>
    </row>
    <row r="468" spans="2:33" ht="15" x14ac:dyDescent="0.25">
      <c r="B468" s="1">
        <v>457</v>
      </c>
      <c r="C468" s="1">
        <v>1.0007937933344586</v>
      </c>
      <c r="D468" s="1">
        <v>1.2151105897614378</v>
      </c>
      <c r="E468" s="1">
        <v>0.82196704949541211</v>
      </c>
      <c r="G468" s="1">
        <v>0.99955741710791368</v>
      </c>
      <c r="H468" s="1">
        <v>5.0431424313157152</v>
      </c>
      <c r="I468" s="1">
        <v>0.15883262979033128</v>
      </c>
      <c r="K468" s="1">
        <v>0.99861867907757063</v>
      </c>
      <c r="L468" s="1">
        <v>5.18928680003562</v>
      </c>
      <c r="M468" s="1">
        <v>0.15102260035089396</v>
      </c>
      <c r="O468" s="1">
        <v>7.5125035251610885E-3</v>
      </c>
      <c r="P468" s="1">
        <v>0.75118661010819177</v>
      </c>
      <c r="R468" s="1">
        <v>0.23742102523951045</v>
      </c>
      <c r="S468" s="2">
        <f t="shared" si="84"/>
        <v>1.04839919126793</v>
      </c>
      <c r="T468" s="4">
        <f t="shared" si="85"/>
        <v>1.0991408642512497</v>
      </c>
      <c r="U468" s="1">
        <f t="shared" si="88"/>
        <v>0.68053582811017543</v>
      </c>
      <c r="V468" s="6">
        <f>2*sigma/alpha*corel*(B468/12-1/alpha*(1-EXP(-alpha*Output!B468/12)))</f>
        <v>2.3166168574358239</v>
      </c>
      <c r="W468" s="5">
        <f t="shared" si="86"/>
        <v>-0.41860503614107425</v>
      </c>
      <c r="X468" s="1">
        <f t="shared" si="87"/>
        <v>69.134214169646143</v>
      </c>
      <c r="Y468" s="3">
        <f t="shared" si="89"/>
        <v>7.8749433143047026E-2</v>
      </c>
      <c r="Z468" s="1">
        <f t="shared" si="90"/>
        <v>0.16988662953569947</v>
      </c>
      <c r="AA468" s="8">
        <f t="shared" si="95"/>
        <v>37.999999999999986</v>
      </c>
      <c r="AB468" s="1">
        <v>38.08</v>
      </c>
      <c r="AC468" s="1">
        <v>7.5852167240000002E-3</v>
      </c>
      <c r="AD468" s="8">
        <f t="shared" si="91"/>
        <v>0.72713198838911774</v>
      </c>
      <c r="AE468" s="3">
        <f t="shared" si="92"/>
        <v>9.5861728787318135E-3</v>
      </c>
      <c r="AF468" s="11">
        <f t="shared" si="93"/>
        <v>37.999999999999986</v>
      </c>
      <c r="AG468" s="1">
        <f t="shared" si="94"/>
        <v>0.16988662953569947</v>
      </c>
    </row>
    <row r="469" spans="2:33" ht="15" x14ac:dyDescent="0.25">
      <c r="B469" s="1">
        <v>458</v>
      </c>
      <c r="C469" s="1">
        <v>1.0007931188283457</v>
      </c>
      <c r="D469" s="1">
        <v>1.2150271725544288</v>
      </c>
      <c r="E469" s="1">
        <v>0.8220214496896191</v>
      </c>
      <c r="G469" s="1">
        <v>0.99933861439043792</v>
      </c>
      <c r="H469" s="1">
        <v>5.0362228938849309</v>
      </c>
      <c r="I469" s="1">
        <v>0.1589738817800721</v>
      </c>
      <c r="K469" s="1">
        <v>0.99872557191401601</v>
      </c>
      <c r="L469" s="1">
        <v>5.2210270734799371</v>
      </c>
      <c r="M469" s="1">
        <v>0.15002493236541331</v>
      </c>
      <c r="O469" s="1">
        <v>7.5115078228914361E-3</v>
      </c>
      <c r="P469" s="1">
        <v>0.75074501269298011</v>
      </c>
      <c r="R469" s="1">
        <v>0.2377240545354595</v>
      </c>
      <c r="S469" s="2">
        <f t="shared" si="84"/>
        <v>1.0503551861447551</v>
      </c>
      <c r="T469" s="4">
        <f t="shared" si="85"/>
        <v>1.1032460170611831</v>
      </c>
      <c r="U469" s="1">
        <f t="shared" si="88"/>
        <v>0.68372393590632896</v>
      </c>
      <c r="V469" s="6">
        <f>2*sigma/alpha*corel*(B469/12-1/alpha*(1-EXP(-alpha*Output!B469/12)))</f>
        <v>2.3247666370439926</v>
      </c>
      <c r="W469" s="5">
        <f t="shared" si="86"/>
        <v>-0.41952208115485412</v>
      </c>
      <c r="X469" s="1">
        <f t="shared" si="87"/>
        <v>69.45157763968723</v>
      </c>
      <c r="Y469" s="3">
        <f t="shared" si="89"/>
        <v>7.8720454284024327E-2</v>
      </c>
      <c r="Z469" s="1">
        <f t="shared" si="90"/>
        <v>0.17001767314206589</v>
      </c>
      <c r="AA469" s="8">
        <f t="shared" si="95"/>
        <v>38.083333333333321</v>
      </c>
      <c r="AB469" s="1">
        <v>38.17</v>
      </c>
      <c r="AC469" s="1">
        <v>7.5849072590000004E-3</v>
      </c>
      <c r="AD469" s="8">
        <f t="shared" si="91"/>
        <v>0.73399436108564231</v>
      </c>
      <c r="AE469" s="3">
        <f t="shared" si="92"/>
        <v>9.6770380443967716E-3</v>
      </c>
      <c r="AF469" s="11">
        <f t="shared" si="93"/>
        <v>38.083333333333321</v>
      </c>
      <c r="AG469" s="1">
        <f t="shared" si="94"/>
        <v>0.17001767314206589</v>
      </c>
    </row>
    <row r="470" spans="2:33" ht="15" x14ac:dyDescent="0.25">
      <c r="B470" s="1">
        <v>459</v>
      </c>
      <c r="C470" s="1">
        <v>1.0007947966171018</v>
      </c>
      <c r="D470" s="1">
        <v>1.2156125003718639</v>
      </c>
      <c r="E470" s="1">
        <v>0.82162360387037781</v>
      </c>
      <c r="G470" s="1">
        <v>0.99931553109225502</v>
      </c>
      <c r="H470" s="1">
        <v>5.0558031299590462</v>
      </c>
      <c r="I470" s="1">
        <v>0.1582815618094976</v>
      </c>
      <c r="K470" s="1">
        <v>0.99888227648444594</v>
      </c>
      <c r="L470" s="1">
        <v>5.1702062114977174</v>
      </c>
      <c r="M470" s="1">
        <v>0.15141904832655997</v>
      </c>
      <c r="O470" s="1">
        <v>7.5104882919654822E-3</v>
      </c>
      <c r="P470" s="1">
        <v>0.75030448325305388</v>
      </c>
      <c r="R470" s="1">
        <v>0.2380919463932934</v>
      </c>
      <c r="S470" s="2">
        <f t="shared" si="84"/>
        <v>1.0525348802156775</v>
      </c>
      <c r="T470" s="4">
        <f t="shared" si="85"/>
        <v>1.1078296740706306</v>
      </c>
      <c r="U470" s="1">
        <f t="shared" si="88"/>
        <v>0.68691794847190613</v>
      </c>
      <c r="V470" s="6">
        <f>2*sigma/alpha*corel*(B470/12-1/alpha*(1-EXP(-alpha*Output!B470/12)))</f>
        <v>2.332923960362522</v>
      </c>
      <c r="W470" s="5">
        <f t="shared" si="86"/>
        <v>-0.42091172559872447</v>
      </c>
      <c r="X470" s="1">
        <f t="shared" si="87"/>
        <v>69.842028221438397</v>
      </c>
      <c r="Y470" s="3">
        <f t="shared" si="89"/>
        <v>7.8748109192736948E-2</v>
      </c>
      <c r="Z470" s="1">
        <f t="shared" si="90"/>
        <v>0.17018480336376748</v>
      </c>
      <c r="AA470" s="8">
        <f t="shared" si="95"/>
        <v>38.166666666666657</v>
      </c>
      <c r="AB470" s="1">
        <v>38.25</v>
      </c>
      <c r="AC470" s="1">
        <v>7.5845991460000003E-3</v>
      </c>
      <c r="AD470" s="8">
        <f t="shared" si="91"/>
        <v>0.74110854034518081</v>
      </c>
      <c r="AE470" s="3">
        <f t="shared" si="92"/>
        <v>9.7712288557270689E-3</v>
      </c>
      <c r="AF470" s="11">
        <f t="shared" si="93"/>
        <v>38.166666666666657</v>
      </c>
      <c r="AG470" s="1">
        <f t="shared" si="94"/>
        <v>0.17018480336376748</v>
      </c>
    </row>
    <row r="471" spans="2:33" ht="15" x14ac:dyDescent="0.25">
      <c r="B471" s="1">
        <v>460</v>
      </c>
      <c r="C471" s="1">
        <v>1.0008012226135103</v>
      </c>
      <c r="D471" s="1">
        <v>1.2123441171131026</v>
      </c>
      <c r="E471" s="1">
        <v>0.82383659078283578</v>
      </c>
      <c r="G471" s="1">
        <v>0.99964579071199844</v>
      </c>
      <c r="H471" s="1">
        <v>4.9324347653654916</v>
      </c>
      <c r="I471" s="1">
        <v>0.16216192438683</v>
      </c>
      <c r="K471" s="1">
        <v>0.99891482121579578</v>
      </c>
      <c r="L471" s="1">
        <v>5.3115466692204336</v>
      </c>
      <c r="M471" s="1">
        <v>0.14731304809299076</v>
      </c>
      <c r="O471" s="1">
        <v>7.5094599538607773E-3</v>
      </c>
      <c r="P471" s="1">
        <v>0.74986459289020002</v>
      </c>
      <c r="R471" s="1">
        <v>0.23824026569152296</v>
      </c>
      <c r="S471" s="2">
        <f t="shared" ref="S471:S534" si="96">optim_vol_implied(P471,R471)</f>
        <v>1.0539577091886991</v>
      </c>
      <c r="T471" s="4">
        <f t="shared" ref="T471:T534" si="97">S471*S471</f>
        <v>1.1108268527582905</v>
      </c>
      <c r="U471" s="1">
        <f t="shared" si="88"/>
        <v>0.69011785159300176</v>
      </c>
      <c r="V471" s="6">
        <f>2*sigma/alpha*corel*(B471/12-1/alpha*(1-EXP(-alpha*Output!B471/12)))</f>
        <v>2.3410888022875724</v>
      </c>
      <c r="W471" s="5">
        <f t="shared" ref="W471:W534" si="98">U471-T471</f>
        <v>-0.42070900116528875</v>
      </c>
      <c r="X471" s="1">
        <f t="shared" ref="X471:X534" si="99">V471*V471-4*W471*B471/12</f>
        <v>69.989410292207197</v>
      </c>
      <c r="Y471" s="3">
        <f t="shared" si="89"/>
        <v>7.8585372822138108E-2</v>
      </c>
      <c r="Z471" s="1">
        <f t="shared" si="90"/>
        <v>0.1702295268485636</v>
      </c>
      <c r="AA471" s="8">
        <f t="shared" si="95"/>
        <v>38.249999999999993</v>
      </c>
      <c r="AB471" s="1">
        <v>38.33</v>
      </c>
      <c r="AC471" s="1">
        <v>7.5842923750000001E-3</v>
      </c>
      <c r="AD471" s="8">
        <f t="shared" si="91"/>
        <v>0.74832421139222827</v>
      </c>
      <c r="AE471" s="3">
        <f t="shared" si="92"/>
        <v>9.8667637584610966E-3</v>
      </c>
      <c r="AF471" s="11">
        <f t="shared" si="93"/>
        <v>38.249999999999993</v>
      </c>
      <c r="AG471" s="1">
        <f t="shared" si="94"/>
        <v>0.1702295268485636</v>
      </c>
    </row>
    <row r="472" spans="2:33" ht="15" x14ac:dyDescent="0.25">
      <c r="B472" s="1">
        <v>461</v>
      </c>
      <c r="C472" s="1">
        <v>1.0008018549213751</v>
      </c>
      <c r="D472" s="1">
        <v>1.2101324062853824</v>
      </c>
      <c r="E472" s="1">
        <v>0.82534023090197928</v>
      </c>
      <c r="G472" s="1">
        <v>0.99954965303310184</v>
      </c>
      <c r="H472" s="1">
        <v>4.8515171296512358</v>
      </c>
      <c r="I472" s="1">
        <v>0.16478680266789109</v>
      </c>
      <c r="K472" s="1">
        <v>0.99869575623846019</v>
      </c>
      <c r="L472" s="1">
        <v>5.1950029254832915</v>
      </c>
      <c r="M472" s="1">
        <v>0.150535344619013</v>
      </c>
      <c r="O472" s="1">
        <v>7.5084384281921763E-3</v>
      </c>
      <c r="P472" s="1">
        <v>0.74942489273824231</v>
      </c>
      <c r="R472" s="1">
        <v>0.23855499672646663</v>
      </c>
      <c r="S472" s="2">
        <f t="shared" si="96"/>
        <v>1.0559564141275606</v>
      </c>
      <c r="T472" s="4">
        <f t="shared" si="97"/>
        <v>1.1150439485371362</v>
      </c>
      <c r="U472" s="1">
        <f t="shared" si="88"/>
        <v>0.69332363106689243</v>
      </c>
      <c r="V472" s="6">
        <f>2*sigma/alpha*corel*(B472/12-1/alpha*(1-EXP(-alpha*Output!B472/12)))</f>
        <v>2.349261137798845</v>
      </c>
      <c r="W472" s="5">
        <f t="shared" si="98"/>
        <v>-0.42172031747024374</v>
      </c>
      <c r="X472" s="1">
        <f t="shared" si="99"/>
        <v>70.32338334483272</v>
      </c>
      <c r="Y472" s="3">
        <f t="shared" si="89"/>
        <v>7.856801791780739E-2</v>
      </c>
      <c r="Z472" s="1">
        <f t="shared" si="90"/>
        <v>0.17036726554122675</v>
      </c>
      <c r="AA472" s="8">
        <f t="shared" si="95"/>
        <v>38.333333333333329</v>
      </c>
      <c r="AB472" s="1">
        <v>38.42</v>
      </c>
      <c r="AC472" s="1">
        <v>7.5839869379999997E-3</v>
      </c>
      <c r="AD472" s="8">
        <f t="shared" si="91"/>
        <v>0.75548509807823494</v>
      </c>
      <c r="AE472" s="3">
        <f t="shared" si="92"/>
        <v>9.9615822687250909E-3</v>
      </c>
      <c r="AF472" s="11">
        <f t="shared" si="93"/>
        <v>38.333333333333329</v>
      </c>
      <c r="AG472" s="1">
        <f t="shared" si="94"/>
        <v>0.17036726554122675</v>
      </c>
    </row>
    <row r="473" spans="2:33" ht="15" x14ac:dyDescent="0.25">
      <c r="B473" s="1">
        <v>462</v>
      </c>
      <c r="C473" s="1">
        <v>1.000802595935691</v>
      </c>
      <c r="D473" s="1">
        <v>1.2132457975093485</v>
      </c>
      <c r="E473" s="1">
        <v>0.82322021802345469</v>
      </c>
      <c r="G473" s="1">
        <v>0.99946646654850924</v>
      </c>
      <c r="H473" s="1">
        <v>4.9633203831623494</v>
      </c>
      <c r="I473" s="1">
        <v>0.16099687335910015</v>
      </c>
      <c r="K473" s="1">
        <v>0.99888591377567093</v>
      </c>
      <c r="L473" s="1">
        <v>5.117934194010374</v>
      </c>
      <c r="M473" s="1">
        <v>0.152719845417809</v>
      </c>
      <c r="O473" s="1">
        <v>7.5073950919769435E-3</v>
      </c>
      <c r="P473" s="1">
        <v>0.74898620686043482</v>
      </c>
      <c r="R473" s="1">
        <v>0.23893983048897299</v>
      </c>
      <c r="S473" s="2">
        <f t="shared" si="96"/>
        <v>1.058197658524817</v>
      </c>
      <c r="T473" s="4">
        <f t="shared" si="97"/>
        <v>1.119782284507405</v>
      </c>
      <c r="U473" s="1">
        <f t="shared" si="88"/>
        <v>0.69653527270224025</v>
      </c>
      <c r="V473" s="6">
        <f>2*sigma/alpha*corel*(B473/12-1/alpha*(1-EXP(-alpha*Output!B473/12)))</f>
        <v>2.3574409419593061</v>
      </c>
      <c r="W473" s="5">
        <f t="shared" si="98"/>
        <v>-0.42324701180516477</v>
      </c>
      <c r="X473" s="1">
        <f t="shared" si="99"/>
        <v>70.737567612821366</v>
      </c>
      <c r="Y473" s="3">
        <f t="shared" si="89"/>
        <v>7.861197295447217E-2</v>
      </c>
      <c r="Z473" s="1">
        <f t="shared" si="90"/>
        <v>0.17054399474343704</v>
      </c>
      <c r="AA473" s="8">
        <f t="shared" si="95"/>
        <v>38.416666666666664</v>
      </c>
      <c r="AB473" s="1">
        <v>38.5</v>
      </c>
      <c r="AC473" s="1">
        <v>7.5836828270000002E-3</v>
      </c>
      <c r="AD473" s="8">
        <f t="shared" si="91"/>
        <v>0.76287735023056713</v>
      </c>
      <c r="AE473" s="3">
        <f t="shared" si="92"/>
        <v>1.0059457490950354E-2</v>
      </c>
      <c r="AF473" s="11">
        <f t="shared" si="93"/>
        <v>38.416666666666664</v>
      </c>
      <c r="AG473" s="1">
        <f t="shared" si="94"/>
        <v>0.17054399474343704</v>
      </c>
    </row>
    <row r="474" spans="2:33" ht="15" x14ac:dyDescent="0.25">
      <c r="B474" s="1">
        <v>463</v>
      </c>
      <c r="C474" s="1">
        <v>1.0008022005641741</v>
      </c>
      <c r="D474" s="1">
        <v>1.2138463412803875</v>
      </c>
      <c r="E474" s="1">
        <v>0.82281087834689104</v>
      </c>
      <c r="G474" s="1">
        <v>0.99930589172638884</v>
      </c>
      <c r="H474" s="1">
        <v>4.9829548878405463</v>
      </c>
      <c r="I474" s="1">
        <v>0.16028487762847124</v>
      </c>
      <c r="K474" s="1">
        <v>0.99907522598512366</v>
      </c>
      <c r="L474" s="1">
        <v>5.0680431204630727</v>
      </c>
      <c r="M474" s="1">
        <v>0.15414083341517124</v>
      </c>
      <c r="O474" s="1">
        <v>7.506303986141152E-3</v>
      </c>
      <c r="P474" s="1">
        <v>0.74854928759608086</v>
      </c>
      <c r="R474" s="1">
        <v>0.23942080784784112</v>
      </c>
      <c r="S474" s="2">
        <f t="shared" si="96"/>
        <v>1.0607706496625064</v>
      </c>
      <c r="T474" s="4">
        <f t="shared" si="97"/>
        <v>1.125234371185416</v>
      </c>
      <c r="U474" s="1">
        <f t="shared" si="88"/>
        <v>0.6997527623192914</v>
      </c>
      <c r="V474" s="6">
        <f>2*sigma/alpha*corel*(B474/12-1/alpha*(1-EXP(-alpha*Output!B474/12)))</f>
        <v>2.3656281899149034</v>
      </c>
      <c r="W474" s="5">
        <f t="shared" si="98"/>
        <v>-0.42548160886612463</v>
      </c>
      <c r="X474" s="1">
        <f t="shared" si="99"/>
        <v>71.262191701258629</v>
      </c>
      <c r="Y474" s="3">
        <f t="shared" si="89"/>
        <v>7.8739509217938264E-2</v>
      </c>
      <c r="Z474" s="1">
        <f t="shared" si="90"/>
        <v>0.17077394942373922</v>
      </c>
      <c r="AA474" s="8">
        <f t="shared" si="95"/>
        <v>38.5</v>
      </c>
      <c r="AB474" s="1">
        <v>38.58</v>
      </c>
      <c r="AC474" s="1">
        <v>7.5833800319999997E-3</v>
      </c>
      <c r="AD474" s="8">
        <f t="shared" si="91"/>
        <v>0.77076045858847675</v>
      </c>
      <c r="AE474" s="3">
        <f t="shared" si="92"/>
        <v>1.0163811589766793E-2</v>
      </c>
      <c r="AF474" s="11">
        <f t="shared" si="93"/>
        <v>38.5</v>
      </c>
      <c r="AG474" s="1">
        <f t="shared" si="94"/>
        <v>0.17077394942373922</v>
      </c>
    </row>
    <row r="475" spans="2:33" ht="15" x14ac:dyDescent="0.25">
      <c r="B475" s="1">
        <v>464</v>
      </c>
      <c r="C475" s="1">
        <v>1.0008021040627879</v>
      </c>
      <c r="D475" s="1">
        <v>1.2079958538922446</v>
      </c>
      <c r="E475" s="1">
        <v>0.82679379231148498</v>
      </c>
      <c r="G475" s="1">
        <v>0.99913049922694586</v>
      </c>
      <c r="H475" s="1">
        <v>4.7667548216286599</v>
      </c>
      <c r="I475" s="1">
        <v>0.1674736335095687</v>
      </c>
      <c r="K475" s="1">
        <v>0.99926376018315066</v>
      </c>
      <c r="L475" s="1">
        <v>4.9789145302244453</v>
      </c>
      <c r="M475" s="1">
        <v>0.15681398198066976</v>
      </c>
      <c r="O475" s="1">
        <v>7.5050820415969947E-3</v>
      </c>
      <c r="P475" s="1">
        <v>0.74811654403691019</v>
      </c>
      <c r="R475" s="1">
        <v>0.23987812232841255</v>
      </c>
      <c r="S475" s="2">
        <f t="shared" si="96"/>
        <v>1.0632561942063516</v>
      </c>
      <c r="T475" s="4">
        <f t="shared" si="97"/>
        <v>1.1305137345181751</v>
      </c>
      <c r="U475" s="1">
        <f t="shared" si="88"/>
        <v>0.70297608575007597</v>
      </c>
      <c r="V475" s="6">
        <f>2*sigma/alpha*corel*(B475/12-1/alpha*(1-EXP(-alpha*Output!B475/12)))</f>
        <v>2.3738228568942943</v>
      </c>
      <c r="W475" s="5">
        <f t="shared" si="98"/>
        <v>-0.42753764876809908</v>
      </c>
      <c r="X475" s="1">
        <f t="shared" si="99"/>
        <v>71.760857965379785</v>
      </c>
      <c r="Y475" s="3">
        <f t="shared" si="89"/>
        <v>7.8845110569045571E-2</v>
      </c>
      <c r="Z475" s="1">
        <f t="shared" si="90"/>
        <v>0.17098954403288377</v>
      </c>
      <c r="AA475" s="8">
        <f t="shared" si="95"/>
        <v>38.583333333333336</v>
      </c>
      <c r="AB475" s="1">
        <v>38.67</v>
      </c>
      <c r="AC475" s="1">
        <v>7.583078545E-3</v>
      </c>
      <c r="AD475" s="8">
        <f t="shared" si="91"/>
        <v>0.77996503403005357</v>
      </c>
      <c r="AE475" s="3">
        <f t="shared" si="92"/>
        <v>1.0285598776295592E-2</v>
      </c>
      <c r="AF475" s="11">
        <f t="shared" si="93"/>
        <v>38.583333333333336</v>
      </c>
      <c r="AG475" s="1">
        <f t="shared" si="94"/>
        <v>0.17098954403288377</v>
      </c>
    </row>
    <row r="476" spans="2:33" ht="15" x14ac:dyDescent="0.25">
      <c r="B476" s="1">
        <v>465</v>
      </c>
      <c r="C476" s="1">
        <v>1.0008064345048833</v>
      </c>
      <c r="D476" s="1">
        <v>1.2076675670110206</v>
      </c>
      <c r="E476" s="1">
        <v>0.82701646862440314</v>
      </c>
      <c r="G476" s="1">
        <v>0.99932263724144754</v>
      </c>
      <c r="H476" s="1">
        <v>4.7513493541728549</v>
      </c>
      <c r="I476" s="1">
        <v>0.16793531907673126</v>
      </c>
      <c r="K476" s="1">
        <v>0.99938378681714757</v>
      </c>
      <c r="L476" s="1">
        <v>4.8675671171227943</v>
      </c>
      <c r="M476" s="1">
        <v>0.16031713341084064</v>
      </c>
      <c r="O476" s="1">
        <v>7.5037725938659604E-3</v>
      </c>
      <c r="P476" s="1">
        <v>0.74768673813576725</v>
      </c>
      <c r="R476" s="1">
        <v>0.24029762131287763</v>
      </c>
      <c r="S476" s="2">
        <f t="shared" si="96"/>
        <v>1.0656075387108743</v>
      </c>
      <c r="T476" s="4">
        <f t="shared" si="97"/>
        <v>1.1355194265574475</v>
      </c>
      <c r="U476" s="1">
        <f t="shared" si="88"/>
        <v>0.7062052288386047</v>
      </c>
      <c r="V476" s="6">
        <f>2*sigma/alpha*corel*(B476/12-1/alpha*(1-EXP(-alpha*Output!B476/12)))</f>
        <v>2.3820249182085722</v>
      </c>
      <c r="W476" s="5">
        <f t="shared" si="98"/>
        <v>-0.42931419771884283</v>
      </c>
      <c r="X476" s="1">
        <f t="shared" si="99"/>
        <v>72.217743357387207</v>
      </c>
      <c r="Y476" s="3">
        <f t="shared" si="89"/>
        <v>7.8917128005102644E-2</v>
      </c>
      <c r="Z476" s="1">
        <f t="shared" si="90"/>
        <v>0.17118331442335841</v>
      </c>
      <c r="AA476" s="8">
        <f t="shared" si="95"/>
        <v>38.666666666666671</v>
      </c>
      <c r="AB476" s="1">
        <v>38.75</v>
      </c>
      <c r="AC476" s="1">
        <v>7.582778357E-3</v>
      </c>
      <c r="AD476" s="8">
        <f t="shared" si="91"/>
        <v>0.79005763134039519</v>
      </c>
      <c r="AE476" s="3">
        <f t="shared" si="92"/>
        <v>1.0419104899869028E-2</v>
      </c>
      <c r="AF476" s="11">
        <f t="shared" si="93"/>
        <v>38.666666666666671</v>
      </c>
      <c r="AG476" s="1">
        <f t="shared" si="94"/>
        <v>0.17118331442335841</v>
      </c>
    </row>
    <row r="477" spans="2:33" ht="15" x14ac:dyDescent="0.25">
      <c r="B477" s="1">
        <v>466</v>
      </c>
      <c r="C477" s="1">
        <v>1.0008119844081482</v>
      </c>
      <c r="D477" s="1">
        <v>1.2041726551986807</v>
      </c>
      <c r="E477" s="1">
        <v>0.82941466107767881</v>
      </c>
      <c r="G477" s="1">
        <v>0.99960698661417247</v>
      </c>
      <c r="H477" s="1">
        <v>4.6902928868165352</v>
      </c>
      <c r="I477" s="1">
        <v>0.17003909845456569</v>
      </c>
      <c r="K477" s="1">
        <v>0.99938607885072273</v>
      </c>
      <c r="L477" s="1">
        <v>4.8945235805840763</v>
      </c>
      <c r="M477" s="1">
        <v>0.1593506706975803</v>
      </c>
      <c r="O477" s="1">
        <v>7.5024059502967026E-3</v>
      </c>
      <c r="P477" s="1">
        <v>0.74725900198684048</v>
      </c>
      <c r="R477" s="1">
        <v>0.24069569910266164</v>
      </c>
      <c r="S477" s="2">
        <f t="shared" si="96"/>
        <v>1.0678830257423335</v>
      </c>
      <c r="T477" s="4">
        <f t="shared" si="97"/>
        <v>1.1403741566686014</v>
      </c>
      <c r="U477" s="1">
        <f t="shared" si="88"/>
        <v>0.70944017744106125</v>
      </c>
      <c r="V477" s="6">
        <f>2*sigma/alpha*corel*(B477/12-1/alpha*(1-EXP(-alpha*Output!B477/12)))</f>
        <v>2.3902343492509872</v>
      </c>
      <c r="W477" s="5">
        <f t="shared" si="98"/>
        <v>-0.43093397922754018</v>
      </c>
      <c r="X477" s="1">
        <f t="shared" si="99"/>
        <v>72.651631684350519</v>
      </c>
      <c r="Y477" s="3">
        <f t="shared" si="89"/>
        <v>7.8970278566441052E-2</v>
      </c>
      <c r="Z477" s="1">
        <f t="shared" si="90"/>
        <v>0.17136469330535331</v>
      </c>
      <c r="AA477" s="8">
        <f t="shared" si="95"/>
        <v>38.750000000000007</v>
      </c>
      <c r="AB477" s="1">
        <v>38.83</v>
      </c>
      <c r="AC477" s="1">
        <v>7.5824794609999999E-3</v>
      </c>
      <c r="AD477" s="8">
        <f t="shared" si="91"/>
        <v>0.80073510703297313</v>
      </c>
      <c r="AE477" s="3">
        <f t="shared" si="92"/>
        <v>1.0560333346783241E-2</v>
      </c>
      <c r="AF477" s="11">
        <f t="shared" si="93"/>
        <v>38.750000000000007</v>
      </c>
      <c r="AG477" s="1">
        <f t="shared" si="94"/>
        <v>0.17136469330535331</v>
      </c>
    </row>
    <row r="478" spans="2:33" ht="15" x14ac:dyDescent="0.25">
      <c r="B478" s="1">
        <v>467</v>
      </c>
      <c r="C478" s="1">
        <v>1.0008087401647723</v>
      </c>
      <c r="D478" s="1">
        <v>1.2032038274455772</v>
      </c>
      <c r="E478" s="1">
        <v>0.83008041894793649</v>
      </c>
      <c r="G478" s="1">
        <v>0.99918455509571635</v>
      </c>
      <c r="H478" s="1">
        <v>4.6730769630265883</v>
      </c>
      <c r="I478" s="1">
        <v>0.17058293031624505</v>
      </c>
      <c r="K478" s="1">
        <v>0.99946718325290163</v>
      </c>
      <c r="L478" s="1">
        <v>4.9320477069305086</v>
      </c>
      <c r="M478" s="1">
        <v>0.15805249348229902</v>
      </c>
      <c r="O478" s="1">
        <v>7.5009425166296948E-3</v>
      </c>
      <c r="P478" s="1">
        <v>0.74683449377771705</v>
      </c>
      <c r="R478" s="1">
        <v>0.24119317382381705</v>
      </c>
      <c r="S478" s="2">
        <f t="shared" si="96"/>
        <v>1.0704997290045724</v>
      </c>
      <c r="T478" s="4">
        <f t="shared" si="97"/>
        <v>1.1459696697988628</v>
      </c>
      <c r="U478" s="1">
        <f t="shared" si="88"/>
        <v>0.7126809174259936</v>
      </c>
      <c r="V478" s="6">
        <f>2*sigma/alpha*corel*(B478/12-1/alpha*(1-EXP(-alpha*Output!B478/12)))</f>
        <v>2.3984511254966758</v>
      </c>
      <c r="W478" s="5">
        <f t="shared" si="98"/>
        <v>-0.43328875237286923</v>
      </c>
      <c r="X478" s="1">
        <f t="shared" si="99"/>
        <v>73.201183587439573</v>
      </c>
      <c r="Y478" s="3">
        <f t="shared" si="89"/>
        <v>7.9109009399159699E-2</v>
      </c>
      <c r="Z478" s="1">
        <f t="shared" si="90"/>
        <v>0.17160057724396877</v>
      </c>
      <c r="AA478" s="8">
        <f t="shared" si="95"/>
        <v>38.833333333333343</v>
      </c>
      <c r="AB478" s="1">
        <v>38.92</v>
      </c>
      <c r="AC478" s="1">
        <v>7.5821818480000004E-3</v>
      </c>
      <c r="AD478" s="8">
        <f t="shared" si="91"/>
        <v>0.81239331370305634</v>
      </c>
      <c r="AE478" s="3">
        <f t="shared" si="92"/>
        <v>1.0714505797791521E-2</v>
      </c>
      <c r="AF478" s="11">
        <f t="shared" si="93"/>
        <v>38.833333333333343</v>
      </c>
      <c r="AG478" s="1">
        <f t="shared" si="94"/>
        <v>0.17160057724396877</v>
      </c>
    </row>
    <row r="479" spans="2:33" ht="15" x14ac:dyDescent="0.25">
      <c r="B479" s="1">
        <v>468</v>
      </c>
      <c r="C479" s="1">
        <v>1.0008085485439449</v>
      </c>
      <c r="D479" s="1">
        <v>1.2007984216476724</v>
      </c>
      <c r="E479" s="1">
        <v>0.83174111172141896</v>
      </c>
      <c r="G479" s="1">
        <v>0.99902535023048333</v>
      </c>
      <c r="H479" s="1">
        <v>4.5875244580407077</v>
      </c>
      <c r="I479" s="1">
        <v>0.17368001873968503</v>
      </c>
      <c r="K479" s="1">
        <v>0.99961156349805869</v>
      </c>
      <c r="L479" s="1">
        <v>5.1531123722884233</v>
      </c>
      <c r="M479" s="1">
        <v>0.15119390667693763</v>
      </c>
      <c r="O479" s="1">
        <v>7.4994997069512195E-3</v>
      </c>
      <c r="P479" s="1">
        <v>0.74640980841571403</v>
      </c>
      <c r="R479" s="1">
        <v>0.24157992332628309</v>
      </c>
      <c r="S479" s="2">
        <f t="shared" si="96"/>
        <v>1.0727350922204149</v>
      </c>
      <c r="T479" s="4">
        <f t="shared" si="97"/>
        <v>1.1507605780811421</v>
      </c>
      <c r="U479" s="1">
        <f t="shared" si="88"/>
        <v>0.71592743467450459</v>
      </c>
      <c r="V479" s="6">
        <f>2*sigma/alpha*corel*(B479/12-1/alpha*(1-EXP(-alpha*Output!B479/12)))</f>
        <v>2.4066752225023897</v>
      </c>
      <c r="W479" s="5">
        <f t="shared" si="98"/>
        <v>-0.43483314340663748</v>
      </c>
      <c r="X479" s="1">
        <f t="shared" si="99"/>
        <v>73.626055998042389</v>
      </c>
      <c r="Y479" s="3">
        <f t="shared" si="89"/>
        <v>7.9152403370454927E-2</v>
      </c>
      <c r="Z479" s="1">
        <f t="shared" si="90"/>
        <v>0.17177508983918491</v>
      </c>
      <c r="AA479" s="8">
        <f t="shared" si="95"/>
        <v>38.916666666666679</v>
      </c>
      <c r="AB479" s="1">
        <v>39</v>
      </c>
      <c r="AC479" s="1">
        <v>7.5818855099999997E-3</v>
      </c>
      <c r="AD479" s="8">
        <f t="shared" si="91"/>
        <v>0.82385803048780171</v>
      </c>
      <c r="AE479" s="3">
        <f t="shared" si="92"/>
        <v>1.0866136522388634E-2</v>
      </c>
      <c r="AF479" s="11">
        <f t="shared" si="93"/>
        <v>38.916666666666679</v>
      </c>
      <c r="AG479" s="1">
        <f t="shared" si="94"/>
        <v>0.17177508983918491</v>
      </c>
    </row>
    <row r="480" spans="2:33" ht="15" x14ac:dyDescent="0.25">
      <c r="B480" s="1">
        <v>469</v>
      </c>
      <c r="C480" s="1">
        <v>1.0008086042199962</v>
      </c>
      <c r="D480" s="1">
        <v>1.201744121737421</v>
      </c>
      <c r="E480" s="1">
        <v>0.8310844777407399</v>
      </c>
      <c r="G480" s="1">
        <v>0.99886899565608689</v>
      </c>
      <c r="H480" s="1">
        <v>4.6160496207481572</v>
      </c>
      <c r="I480" s="1">
        <v>0.17252320816865446</v>
      </c>
      <c r="K480" s="1">
        <v>0.99962890065723109</v>
      </c>
      <c r="L480" s="1">
        <v>5.1911014977674279</v>
      </c>
      <c r="M480" s="1">
        <v>0.15000696225104054</v>
      </c>
      <c r="O480" s="1">
        <v>7.4979955952769982E-3</v>
      </c>
      <c r="P480" s="1">
        <v>0.7459873312344133</v>
      </c>
      <c r="R480" s="1">
        <v>0.24203603869381604</v>
      </c>
      <c r="S480" s="2">
        <f t="shared" si="96"/>
        <v>1.0752098300944002</v>
      </c>
      <c r="T480" s="4">
        <f t="shared" si="97"/>
        <v>1.1560761787316289</v>
      </c>
      <c r="U480" s="1">
        <f t="shared" si="88"/>
        <v>0.71917971508043976</v>
      </c>
      <c r="V480" s="6">
        <f>2*sigma/alpha*corel*(B480/12-1/alpha*(1-EXP(-alpha*Output!B480/12)))</f>
        <v>2.4149066159062209</v>
      </c>
      <c r="W480" s="5">
        <f t="shared" si="98"/>
        <v>-0.43689646365118917</v>
      </c>
      <c r="X480" s="1">
        <f t="shared" si="99"/>
        <v>74.133254447683541</v>
      </c>
      <c r="Y480" s="3">
        <f t="shared" si="89"/>
        <v>7.9255783687795928E-2</v>
      </c>
      <c r="Z480" s="1">
        <f t="shared" si="90"/>
        <v>0.17198771553778258</v>
      </c>
      <c r="AA480" s="8">
        <f t="shared" si="95"/>
        <v>39.000000000000014</v>
      </c>
      <c r="AB480" s="1">
        <v>39.08</v>
      </c>
      <c r="AC480" s="1">
        <v>7.581590438E-3</v>
      </c>
      <c r="AD480" s="8">
        <f t="shared" si="91"/>
        <v>0.83594842723001828</v>
      </c>
      <c r="AE480" s="3">
        <f t="shared" si="92"/>
        <v>1.102602988206969E-2</v>
      </c>
      <c r="AF480" s="11">
        <f t="shared" si="93"/>
        <v>39.000000000000014</v>
      </c>
      <c r="AG480" s="1">
        <f t="shared" si="94"/>
        <v>0.17198771553778258</v>
      </c>
    </row>
    <row r="481" spans="2:33" ht="15" x14ac:dyDescent="0.25">
      <c r="B481" s="1">
        <v>470</v>
      </c>
      <c r="C481" s="1">
        <v>1.0008181944672807</v>
      </c>
      <c r="D481" s="1">
        <v>1.2052021229009722</v>
      </c>
      <c r="E481" s="1">
        <v>0.82869780341195376</v>
      </c>
      <c r="G481" s="1">
        <v>0.99953529708419597</v>
      </c>
      <c r="H481" s="1">
        <v>4.7376843538893665</v>
      </c>
      <c r="I481" s="1">
        <v>0.16801250773745663</v>
      </c>
      <c r="K481" s="1">
        <v>0.99946815685086454</v>
      </c>
      <c r="L481" s="1">
        <v>5.061794154324291</v>
      </c>
      <c r="M481" s="1">
        <v>0.15375686966587862</v>
      </c>
      <c r="O481" s="1">
        <v>7.4965140931578479E-3</v>
      </c>
      <c r="P481" s="1">
        <v>0.74556461985437616</v>
      </c>
      <c r="R481" s="1">
        <v>0.2424792060002659</v>
      </c>
      <c r="S481" s="2">
        <f t="shared" si="96"/>
        <v>1.0776429969178472</v>
      </c>
      <c r="T481" s="4">
        <f t="shared" si="97"/>
        <v>1.161314428806079</v>
      </c>
      <c r="U481" s="1">
        <f t="shared" si="88"/>
        <v>0.7224377445505703</v>
      </c>
      <c r="V481" s="6">
        <f>2*sigma/alpha*corel*(B481/12-1/alpha*(1-EXP(-alpha*Output!B481/12)))</f>
        <v>2.423145281427332</v>
      </c>
      <c r="W481" s="5">
        <f t="shared" si="98"/>
        <v>-0.43887668425550874</v>
      </c>
      <c r="X481" s="1">
        <f t="shared" si="99"/>
        <v>74.628980254933239</v>
      </c>
      <c r="Y481" s="3">
        <f t="shared" si="89"/>
        <v>7.9348868475009965E-2</v>
      </c>
      <c r="Z481" s="1">
        <f t="shared" si="90"/>
        <v>0.17219344110913828</v>
      </c>
      <c r="AA481" s="8">
        <f t="shared" si="95"/>
        <v>39.08333333333335</v>
      </c>
      <c r="AB481" s="1">
        <v>39.17</v>
      </c>
      <c r="AC481" s="1">
        <v>7.5812966239999996E-3</v>
      </c>
      <c r="AD481" s="8">
        <f t="shared" si="91"/>
        <v>0.84782530842151749</v>
      </c>
      <c r="AE481" s="3">
        <f t="shared" si="92"/>
        <v>1.118311748596631E-2</v>
      </c>
      <c r="AF481" s="11">
        <f t="shared" si="93"/>
        <v>39.08333333333335</v>
      </c>
      <c r="AG481" s="1">
        <f t="shared" si="94"/>
        <v>0.17219344110913828</v>
      </c>
    </row>
    <row r="482" spans="2:33" ht="15" x14ac:dyDescent="0.25">
      <c r="B482" s="1">
        <v>471</v>
      </c>
      <c r="C482" s="1">
        <v>1.0008197919799942</v>
      </c>
      <c r="D482" s="1">
        <v>1.208195440965725</v>
      </c>
      <c r="E482" s="1">
        <v>0.82664259335305323</v>
      </c>
      <c r="G482" s="1">
        <v>0.99952282656527081</v>
      </c>
      <c r="H482" s="1">
        <v>4.8455622644666407</v>
      </c>
      <c r="I482" s="1">
        <v>0.16419249386153378</v>
      </c>
      <c r="K482" s="1">
        <v>0.99921935783319604</v>
      </c>
      <c r="L482" s="1">
        <v>4.9818853122484761</v>
      </c>
      <c r="M482" s="1">
        <v>0.15613968715682988</v>
      </c>
      <c r="O482" s="1">
        <v>7.4951385711749269E-3</v>
      </c>
      <c r="P482" s="1">
        <v>0.74513923241344404</v>
      </c>
      <c r="R482" s="1">
        <v>0.24278496506587888</v>
      </c>
      <c r="S482" s="2">
        <f t="shared" si="96"/>
        <v>1.0796057080284001</v>
      </c>
      <c r="T482" s="4">
        <f t="shared" si="97"/>
        <v>1.1655484848075031</v>
      </c>
      <c r="U482" s="1">
        <f t="shared" si="88"/>
        <v>0.72570150900477826</v>
      </c>
      <c r="V482" s="6">
        <f>2*sigma/alpha*corel*(B482/12-1/alpha*(1-EXP(-alpha*Output!B482/12)))</f>
        <v>2.4313911948656886</v>
      </c>
      <c r="W482" s="5">
        <f t="shared" si="98"/>
        <v>-0.4398469758027248</v>
      </c>
      <c r="X482" s="1">
        <f t="shared" si="99"/>
        <v>74.967638343498194</v>
      </c>
      <c r="Y482" s="3">
        <f t="shared" si="89"/>
        <v>7.9324767392068951E-2</v>
      </c>
      <c r="Z482" s="1">
        <f t="shared" si="90"/>
        <v>0.17232383119476943</v>
      </c>
      <c r="AA482" s="8">
        <f t="shared" si="95"/>
        <v>39.166666666666686</v>
      </c>
      <c r="AB482" s="1">
        <v>39.25</v>
      </c>
      <c r="AC482" s="1">
        <v>7.5810040609999999E-3</v>
      </c>
      <c r="AD482" s="8">
        <f t="shared" si="91"/>
        <v>0.85865489825072938</v>
      </c>
      <c r="AE482" s="3">
        <f t="shared" si="92"/>
        <v>1.1326400716074348E-2</v>
      </c>
      <c r="AF482" s="11">
        <f t="shared" si="93"/>
        <v>39.166666666666686</v>
      </c>
      <c r="AG482" s="1">
        <f t="shared" si="94"/>
        <v>0.17232383119476943</v>
      </c>
    </row>
    <row r="483" spans="2:33" ht="15" x14ac:dyDescent="0.25">
      <c r="B483" s="1">
        <v>472</v>
      </c>
      <c r="C483" s="1">
        <v>1.0008228557090981</v>
      </c>
      <c r="D483" s="1">
        <v>1.2046576439853927</v>
      </c>
      <c r="E483" s="1">
        <v>0.82906813608790075</v>
      </c>
      <c r="G483" s="1">
        <v>0.99961616363998962</v>
      </c>
      <c r="H483" s="1">
        <v>4.7190336988268342</v>
      </c>
      <c r="I483" s="1">
        <v>0.16851328251477599</v>
      </c>
      <c r="K483" s="1">
        <v>0.99909674878158894</v>
      </c>
      <c r="L483" s="1">
        <v>5.0163356313071743</v>
      </c>
      <c r="M483" s="1">
        <v>0.15497961728546567</v>
      </c>
      <c r="O483" s="1">
        <v>7.4938734542364296E-3</v>
      </c>
      <c r="P483" s="1">
        <v>0.74471102442099846</v>
      </c>
      <c r="R483" s="1">
        <v>0.24290012033277655</v>
      </c>
      <c r="S483" s="2">
        <f t="shared" si="96"/>
        <v>1.0809115259879751</v>
      </c>
      <c r="T483" s="4">
        <f t="shared" si="97"/>
        <v>1.168369727013653</v>
      </c>
      <c r="U483" s="1">
        <f t="shared" si="88"/>
        <v>0.72897099437623503</v>
      </c>
      <c r="V483" s="6">
        <f>2*sigma/alpha*corel*(B483/12-1/alpha*(1-EXP(-alpha*Output!B483/12)))</f>
        <v>2.4396443321017887</v>
      </c>
      <c r="W483" s="5">
        <f t="shared" si="98"/>
        <v>-0.43939873263741802</v>
      </c>
      <c r="X483" s="1">
        <f t="shared" si="99"/>
        <v>75.083931735443485</v>
      </c>
      <c r="Y483" s="3">
        <f t="shared" si="89"/>
        <v>7.9137129048104396E-2</v>
      </c>
      <c r="Z483" s="1">
        <f t="shared" si="90"/>
        <v>0.1723493982976658</v>
      </c>
      <c r="AA483" s="8">
        <f t="shared" si="95"/>
        <v>39.250000000000021</v>
      </c>
      <c r="AB483" s="1">
        <v>39.33</v>
      </c>
      <c r="AC483" s="1">
        <v>7.5807127400000004E-3</v>
      </c>
      <c r="AD483" s="8">
        <f t="shared" si="91"/>
        <v>0.86839285763570806</v>
      </c>
      <c r="AE483" s="3">
        <f t="shared" si="92"/>
        <v>1.1455293023485651E-2</v>
      </c>
      <c r="AF483" s="11">
        <f t="shared" si="93"/>
        <v>39.250000000000021</v>
      </c>
      <c r="AG483" s="1">
        <f t="shared" si="94"/>
        <v>0.1723493982976658</v>
      </c>
    </row>
    <row r="484" spans="2:33" ht="15" x14ac:dyDescent="0.25">
      <c r="B484" s="1">
        <v>473</v>
      </c>
      <c r="C484" s="1">
        <v>1.0008276576971791</v>
      </c>
      <c r="D484" s="1">
        <v>1.2062137355756952</v>
      </c>
      <c r="E484" s="1">
        <v>0.82799647155358824</v>
      </c>
      <c r="G484" s="1">
        <v>0.99986247215134749</v>
      </c>
      <c r="H484" s="1">
        <v>4.7679970544645176</v>
      </c>
      <c r="I484" s="1">
        <v>0.16670206374029914</v>
      </c>
      <c r="K484" s="1">
        <v>0.99913164116027797</v>
      </c>
      <c r="L484" s="1">
        <v>5.0215647156480756</v>
      </c>
      <c r="M484" s="1">
        <v>0.15473251701431581</v>
      </c>
      <c r="O484" s="1">
        <v>7.4926355959495355E-3</v>
      </c>
      <c r="P484" s="1">
        <v>0.74428241974927778</v>
      </c>
      <c r="R484" s="1">
        <v>0.24322767864115363</v>
      </c>
      <c r="S484" s="2">
        <f t="shared" si="96"/>
        <v>1.0829609460591942</v>
      </c>
      <c r="T484" s="4">
        <f t="shared" si="97"/>
        <v>1.1728044106894251</v>
      </c>
      <c r="U484" s="1">
        <f t="shared" si="88"/>
        <v>0.73224618661158347</v>
      </c>
      <c r="V484" s="6">
        <f>2*sigma/alpha*corel*(B484/12-1/alpha*(1-EXP(-alpha*Output!B484/12)))</f>
        <v>2.4479046690963924</v>
      </c>
      <c r="W484" s="5">
        <f t="shared" si="98"/>
        <v>-0.44055822407784162</v>
      </c>
      <c r="X484" s="1">
        <f t="shared" si="99"/>
        <v>75.453583931923617</v>
      </c>
      <c r="Y484" s="3">
        <f t="shared" si="89"/>
        <v>7.9135275782356476E-2</v>
      </c>
      <c r="Z484" s="1">
        <f t="shared" si="90"/>
        <v>0.17249354510871256</v>
      </c>
      <c r="AA484" s="8">
        <f t="shared" si="95"/>
        <v>39.333333333333357</v>
      </c>
      <c r="AB484" s="1">
        <v>39.42</v>
      </c>
      <c r="AC484" s="1">
        <v>7.5804226539999998E-3</v>
      </c>
      <c r="AD484" s="8">
        <f t="shared" si="91"/>
        <v>0.87787058050464373</v>
      </c>
      <c r="AE484" s="3">
        <f t="shared" si="92"/>
        <v>1.158076034245153E-2</v>
      </c>
      <c r="AF484" s="11">
        <f t="shared" si="93"/>
        <v>39.333333333333357</v>
      </c>
      <c r="AG484" s="1">
        <f t="shared" si="94"/>
        <v>0.17249354510871256</v>
      </c>
    </row>
    <row r="485" spans="2:33" ht="15" x14ac:dyDescent="0.25">
      <c r="B485" s="1">
        <v>474</v>
      </c>
      <c r="C485" s="1">
        <v>1.0008273079685073</v>
      </c>
      <c r="D485" s="1">
        <v>1.2068027275684243</v>
      </c>
      <c r="E485" s="1">
        <v>0.82759024163891859</v>
      </c>
      <c r="G485" s="1">
        <v>0.9996731264927694</v>
      </c>
      <c r="H485" s="1">
        <v>4.7872333570486605</v>
      </c>
      <c r="I485" s="1">
        <v>0.16595184795458287</v>
      </c>
      <c r="K485" s="1">
        <v>0.99897283041017793</v>
      </c>
      <c r="L485" s="1">
        <v>5.3050131841686401</v>
      </c>
      <c r="M485" s="1">
        <v>0.14638899192493626</v>
      </c>
      <c r="O485" s="1">
        <v>7.4914024735404233E-3</v>
      </c>
      <c r="P485" s="1">
        <v>0.74385407606670073</v>
      </c>
      <c r="R485" s="1">
        <v>0.24358622018578971</v>
      </c>
      <c r="S485" s="2">
        <f t="shared" si="96"/>
        <v>1.0851204096697133</v>
      </c>
      <c r="T485" s="4">
        <f t="shared" si="97"/>
        <v>1.1774863034817664</v>
      </c>
      <c r="U485" s="1">
        <f t="shared" si="88"/>
        <v>0.73552707167111109</v>
      </c>
      <c r="V485" s="6">
        <f>2*sigma/alpha*corel*(B485/12-1/alpha*(1-EXP(-alpha*Output!B485/12)))</f>
        <v>2.4561721818902607</v>
      </c>
      <c r="W485" s="5">
        <f t="shared" si="98"/>
        <v>-0.44195923181065533</v>
      </c>
      <c r="X485" s="1">
        <f t="shared" si="99"/>
        <v>75.862340413175104</v>
      </c>
      <c r="Y485" s="3">
        <f t="shared" si="89"/>
        <v>7.9161098834777233E-2</v>
      </c>
      <c r="Z485" s="1">
        <f t="shared" si="90"/>
        <v>0.17265508922409853</v>
      </c>
      <c r="AA485" s="8">
        <f t="shared" si="95"/>
        <v>39.416666666666693</v>
      </c>
      <c r="AB485" s="1">
        <v>39.5</v>
      </c>
      <c r="AC485" s="1">
        <v>7.5801337939999996E-3</v>
      </c>
      <c r="AD485" s="8">
        <f t="shared" si="91"/>
        <v>0.88731320459576291</v>
      </c>
      <c r="AE485" s="3">
        <f t="shared" si="92"/>
        <v>1.170577233475891E-2</v>
      </c>
      <c r="AF485" s="11">
        <f t="shared" si="93"/>
        <v>39.416666666666693</v>
      </c>
      <c r="AG485" s="1">
        <f t="shared" si="94"/>
        <v>0.17265508922409853</v>
      </c>
    </row>
    <row r="486" spans="2:33" ht="15" x14ac:dyDescent="0.25">
      <c r="B486" s="1">
        <v>475</v>
      </c>
      <c r="C486" s="1">
        <v>1.0008341531088902</v>
      </c>
      <c r="D486" s="1">
        <v>1.2075232409715073</v>
      </c>
      <c r="E486" s="1">
        <v>0.82709430812773177</v>
      </c>
      <c r="G486" s="1">
        <v>1.0000679529620133</v>
      </c>
      <c r="H486" s="1">
        <v>4.8091283278053085</v>
      </c>
      <c r="I486" s="1">
        <v>0.16511634225104257</v>
      </c>
      <c r="K486" s="1">
        <v>0.99927105929964943</v>
      </c>
      <c r="L486" s="1">
        <v>5.3404070865754942</v>
      </c>
      <c r="M486" s="1">
        <v>0.14533995423627891</v>
      </c>
      <c r="O486" s="1">
        <v>7.490111810422917E-3</v>
      </c>
      <c r="P486" s="1">
        <v>0.74342782495911797</v>
      </c>
      <c r="R486" s="1">
        <v>0.24392724974742316</v>
      </c>
      <c r="S486" s="2">
        <f t="shared" si="96"/>
        <v>1.0872166897056343</v>
      </c>
      <c r="T486" s="4">
        <f t="shared" si="97"/>
        <v>1.1820401303744776</v>
      </c>
      <c r="U486" s="1">
        <f t="shared" si="88"/>
        <v>0.73881363552892809</v>
      </c>
      <c r="V486" s="6">
        <f>2*sigma/alpha*corel*(B486/12-1/alpha*(1-EXP(-alpha*Output!B486/12)))</f>
        <v>2.4644468466038836</v>
      </c>
      <c r="W486" s="5">
        <f t="shared" si="98"/>
        <v>-0.44322649484554955</v>
      </c>
      <c r="X486" s="1">
        <f t="shared" si="99"/>
        <v>76.251026610281173</v>
      </c>
      <c r="Y486" s="3">
        <f t="shared" si="89"/>
        <v>7.9171408863390885E-2</v>
      </c>
      <c r="Z486" s="1">
        <f t="shared" si="90"/>
        <v>0.17280644215875096</v>
      </c>
      <c r="AA486" s="8">
        <f t="shared" si="95"/>
        <v>39.500000000000028</v>
      </c>
      <c r="AB486" s="1">
        <v>39.58</v>
      </c>
      <c r="AC486" s="1">
        <v>7.5798461530000001E-3</v>
      </c>
      <c r="AD486" s="8">
        <f t="shared" si="91"/>
        <v>0.89734342577083193</v>
      </c>
      <c r="AE486" s="3">
        <f t="shared" si="92"/>
        <v>1.1838544050339012E-2</v>
      </c>
      <c r="AF486" s="11">
        <f t="shared" si="93"/>
        <v>39.500000000000028</v>
      </c>
      <c r="AG486" s="1">
        <f t="shared" si="94"/>
        <v>0.17280644215875096</v>
      </c>
    </row>
    <row r="487" spans="2:33" ht="15" x14ac:dyDescent="0.25">
      <c r="B487" s="1">
        <v>476</v>
      </c>
      <c r="C487" s="1">
        <v>1.0008365596751814</v>
      </c>
      <c r="D487" s="1">
        <v>1.205558663062005</v>
      </c>
      <c r="E487" s="1">
        <v>0.82844001123143307</v>
      </c>
      <c r="G487" s="1">
        <v>1.0000943601344066</v>
      </c>
      <c r="H487" s="1">
        <v>4.7382125299170408</v>
      </c>
      <c r="I487" s="1">
        <v>0.16750648341053986</v>
      </c>
      <c r="K487" s="1">
        <v>0.99947685793795249</v>
      </c>
      <c r="L487" s="1">
        <v>5.1817160180196185</v>
      </c>
      <c r="M487" s="1">
        <v>0.14971675896618378</v>
      </c>
      <c r="O487" s="1">
        <v>7.4888254124846976E-3</v>
      </c>
      <c r="P487" s="1">
        <v>0.74300185222885495</v>
      </c>
      <c r="R487" s="1">
        <v>0.24437596850324436</v>
      </c>
      <c r="S487" s="2">
        <f t="shared" si="96"/>
        <v>1.0896917835126472</v>
      </c>
      <c r="T487" s="4">
        <f t="shared" si="97"/>
        <v>1.187428183054974</v>
      </c>
      <c r="U487" s="1">
        <f t="shared" si="88"/>
        <v>0.74210586417313484</v>
      </c>
      <c r="V487" s="6">
        <f>2*sigma/alpha*corel*(B487/12-1/alpha*(1-EXP(-alpha*Output!B487/12)))</f>
        <v>2.4727286394372157</v>
      </c>
      <c r="W487" s="5">
        <f t="shared" si="98"/>
        <v>-0.44532231888183915</v>
      </c>
      <c r="X487" s="1">
        <f t="shared" si="99"/>
        <v>76.772194853544846</v>
      </c>
      <c r="Y487" s="3">
        <f t="shared" si="89"/>
        <v>7.9276206682736786E-2</v>
      </c>
      <c r="Z487" s="1">
        <f t="shared" si="90"/>
        <v>0.17301781491712587</v>
      </c>
      <c r="AA487" s="8">
        <f t="shared" si="95"/>
        <v>39.583333333333364</v>
      </c>
      <c r="AB487" s="1">
        <v>39.67</v>
      </c>
      <c r="AC487" s="1">
        <v>7.5795597229999997E-3</v>
      </c>
      <c r="AD487" s="8">
        <f t="shared" si="91"/>
        <v>0.90734310515302141</v>
      </c>
      <c r="AE487" s="3">
        <f t="shared" si="92"/>
        <v>1.197092098106582E-2</v>
      </c>
      <c r="AF487" s="11">
        <f t="shared" si="93"/>
        <v>39.583333333333364</v>
      </c>
      <c r="AG487" s="1">
        <f t="shared" si="94"/>
        <v>0.17301781491712587</v>
      </c>
    </row>
    <row r="488" spans="2:33" ht="15" x14ac:dyDescent="0.25">
      <c r="B488" s="1">
        <v>477</v>
      </c>
      <c r="C488" s="1">
        <v>1.0008359090253047</v>
      </c>
      <c r="D488" s="1">
        <v>1.2007285402056469</v>
      </c>
      <c r="E488" s="1">
        <v>0.83177040150746862</v>
      </c>
      <c r="G488" s="1">
        <v>0.99987988351924673</v>
      </c>
      <c r="H488" s="1">
        <v>4.5673331034279316</v>
      </c>
      <c r="I488" s="1">
        <v>0.17368935514623771</v>
      </c>
      <c r="K488" s="1">
        <v>0.99941221043102446</v>
      </c>
      <c r="L488" s="1">
        <v>5.0863342016849566</v>
      </c>
      <c r="M488" s="1">
        <v>0.15244353779492517</v>
      </c>
      <c r="O488" s="1">
        <v>7.4875097665713652E-3</v>
      </c>
      <c r="P488" s="1">
        <v>0.74257714610740366</v>
      </c>
      <c r="R488" s="1">
        <v>0.24468010986766198</v>
      </c>
      <c r="S488" s="2">
        <f t="shared" si="96"/>
        <v>1.0916606457824709</v>
      </c>
      <c r="T488" s="4">
        <f t="shared" si="97"/>
        <v>1.1917229655502015</v>
      </c>
      <c r="U488" s="1">
        <f t="shared" si="88"/>
        <v>0.74540374360600037</v>
      </c>
      <c r="V488" s="6">
        <f>2*sigma/alpha*corel*(B488/12-1/alpha*(1-EXP(-alpha*Output!B488/12)))</f>
        <v>2.4810175366694169</v>
      </c>
      <c r="W488" s="5">
        <f t="shared" si="98"/>
        <v>-0.44631922194420115</v>
      </c>
      <c r="X488" s="1">
        <f t="shared" si="99"/>
        <v>77.120204306389155</v>
      </c>
      <c r="Y488" s="3">
        <f t="shared" si="89"/>
        <v>7.9255263594203998E-2</v>
      </c>
      <c r="Z488" s="1">
        <f t="shared" si="90"/>
        <v>0.17314864124077636</v>
      </c>
      <c r="AA488" s="8">
        <f t="shared" si="95"/>
        <v>39.6666666666667</v>
      </c>
      <c r="AB488" s="1">
        <v>39.75</v>
      </c>
      <c r="AC488" s="1">
        <v>7.5792744969999997E-3</v>
      </c>
      <c r="AD488" s="8">
        <f t="shared" si="91"/>
        <v>0.917647304286345</v>
      </c>
      <c r="AE488" s="3">
        <f t="shared" si="92"/>
        <v>1.2107323790021917E-2</v>
      </c>
      <c r="AF488" s="11">
        <f t="shared" si="93"/>
        <v>39.6666666666667</v>
      </c>
      <c r="AG488" s="1">
        <f t="shared" si="94"/>
        <v>0.17314864124077636</v>
      </c>
    </row>
    <row r="489" spans="2:33" ht="15" x14ac:dyDescent="0.25">
      <c r="B489" s="1">
        <v>478</v>
      </c>
      <c r="C489" s="1">
        <v>1.0008414680860591</v>
      </c>
      <c r="D489" s="1">
        <v>1.2023452915292794</v>
      </c>
      <c r="E489" s="1">
        <v>0.83064980486430029</v>
      </c>
      <c r="G489" s="1">
        <v>1.0002196910499326</v>
      </c>
      <c r="H489" s="1">
        <v>4.6202222567729487</v>
      </c>
      <c r="I489" s="1">
        <v>0.17161796620505954</v>
      </c>
      <c r="K489" s="1">
        <v>0.99936879446860449</v>
      </c>
      <c r="L489" s="1">
        <v>5.1240397554044055</v>
      </c>
      <c r="M489" s="1">
        <v>0.15124313658824742</v>
      </c>
      <c r="O489" s="1">
        <v>7.4862013839667157E-3</v>
      </c>
      <c r="P489" s="1">
        <v>0.74215263076563009</v>
      </c>
      <c r="R489" s="1">
        <v>0.24505520422751109</v>
      </c>
      <c r="S489" s="2">
        <f t="shared" si="96"/>
        <v>1.093880113658978</v>
      </c>
      <c r="T489" s="4">
        <f t="shared" si="97"/>
        <v>1.1965737030585786</v>
      </c>
      <c r="U489" s="1">
        <f t="shared" si="88"/>
        <v>0.74870725984412356</v>
      </c>
      <c r="V489" s="6">
        <f>2*sigma/alpha*corel*(B489/12-1/alpha*(1-EXP(-alpha*Output!B489/12)))</f>
        <v>2.4893135146585816</v>
      </c>
      <c r="W489" s="5">
        <f t="shared" si="98"/>
        <v>-0.44786644321445501</v>
      </c>
      <c r="X489" s="1">
        <f t="shared" si="99"/>
        <v>77.556735059765018</v>
      </c>
      <c r="Y489" s="3">
        <f t="shared" si="89"/>
        <v>7.9296861859931053E-2</v>
      </c>
      <c r="Z489" s="1">
        <f t="shared" si="90"/>
        <v>0.1733190906673443</v>
      </c>
      <c r="AA489" s="8">
        <f t="shared" si="95"/>
        <v>39.750000000000036</v>
      </c>
      <c r="AB489" s="1">
        <v>39.83</v>
      </c>
      <c r="AC489" s="1">
        <v>7.5789904670000002E-3</v>
      </c>
      <c r="AD489" s="8">
        <f t="shared" si="91"/>
        <v>0.92789083033284481</v>
      </c>
      <c r="AE489" s="3">
        <f t="shared" si="92"/>
        <v>1.2242934390444389E-2</v>
      </c>
      <c r="AF489" s="11">
        <f t="shared" si="93"/>
        <v>39.750000000000036</v>
      </c>
      <c r="AG489" s="1">
        <f t="shared" si="94"/>
        <v>0.1733190906673443</v>
      </c>
    </row>
    <row r="490" spans="2:33" ht="15" x14ac:dyDescent="0.25">
      <c r="B490" s="1">
        <v>479</v>
      </c>
      <c r="C490" s="1">
        <v>1.0008425347055478</v>
      </c>
      <c r="D490" s="1">
        <v>1.2002079547129099</v>
      </c>
      <c r="E490" s="1">
        <v>0.8321268780027935</v>
      </c>
      <c r="G490" s="1">
        <v>1.000140583115811</v>
      </c>
      <c r="H490" s="1">
        <v>4.504994858649586</v>
      </c>
      <c r="I490" s="1">
        <v>0.17592236188871724</v>
      </c>
      <c r="K490" s="1">
        <v>0.99942417281422335</v>
      </c>
      <c r="L490" s="1">
        <v>5.0472665614070999</v>
      </c>
      <c r="M490" s="1">
        <v>0.15345588452711406</v>
      </c>
      <c r="O490" s="1">
        <v>7.4848702048735255E-3</v>
      </c>
      <c r="P490" s="1">
        <v>0.74172919479768917</v>
      </c>
      <c r="R490" s="1">
        <v>0.24543615197300256</v>
      </c>
      <c r="S490" s="2">
        <f t="shared" si="96"/>
        <v>1.0961204401591169</v>
      </c>
      <c r="T490" s="4">
        <f t="shared" si="97"/>
        <v>1.2014800193346162</v>
      </c>
      <c r="U490" s="1">
        <f t="shared" si="88"/>
        <v>0.7520163989186015</v>
      </c>
      <c r="V490" s="6">
        <f>2*sigma/alpha*corel*(B490/12-1/alpha*(1-EXP(-alpha*Output!B490/12)))</f>
        <v>2.4976165498414806</v>
      </c>
      <c r="W490" s="5">
        <f t="shared" si="98"/>
        <v>-0.44946362041601473</v>
      </c>
      <c r="X490" s="1">
        <f t="shared" si="99"/>
        <v>78.00244648979907</v>
      </c>
      <c r="Y490" s="3">
        <f t="shared" si="89"/>
        <v>7.934383491370782E-2</v>
      </c>
      <c r="Z490" s="1">
        <f t="shared" si="90"/>
        <v>0.17349267479867964</v>
      </c>
      <c r="AA490" s="8">
        <f t="shared" si="95"/>
        <v>39.833333333333371</v>
      </c>
      <c r="AB490" s="1">
        <v>39.92</v>
      </c>
      <c r="AC490" s="1">
        <v>7.5787076250000002E-3</v>
      </c>
      <c r="AD490" s="8">
        <f t="shared" si="91"/>
        <v>0.93837420126474669</v>
      </c>
      <c r="AE490" s="3">
        <f t="shared" si="92"/>
        <v>1.2381717935249503E-2</v>
      </c>
      <c r="AF490" s="11">
        <f t="shared" si="93"/>
        <v>39.833333333333371</v>
      </c>
      <c r="AG490" s="1">
        <f t="shared" si="94"/>
        <v>0.17349267479867964</v>
      </c>
    </row>
    <row r="491" spans="2:33" ht="15" x14ac:dyDescent="0.25">
      <c r="B491" s="1">
        <v>480</v>
      </c>
      <c r="C491" s="1">
        <v>1.0008439125878597</v>
      </c>
      <c r="D491" s="1">
        <v>1.200344567132188</v>
      </c>
      <c r="E491" s="1">
        <v>0.83203001575930757</v>
      </c>
      <c r="G491" s="1">
        <v>1.0001233139786987</v>
      </c>
      <c r="H491" s="1">
        <v>4.4579573906631556</v>
      </c>
      <c r="I491" s="1">
        <v>0.17769252543802216</v>
      </c>
      <c r="K491" s="1">
        <v>0.9994131009808267</v>
      </c>
      <c r="L491" s="1">
        <v>5.2049995545352976</v>
      </c>
      <c r="M491" s="1">
        <v>0.14872998047944183</v>
      </c>
      <c r="O491" s="1">
        <v>7.4835962880588774E-3</v>
      </c>
      <c r="P491" s="1">
        <v>0.74130446693685448</v>
      </c>
      <c r="R491" s="1">
        <v>0.24583909301056522</v>
      </c>
      <c r="S491" s="2">
        <f t="shared" si="96"/>
        <v>1.0984434550955939</v>
      </c>
      <c r="T491" s="4">
        <f t="shared" si="97"/>
        <v>1.206578024042346</v>
      </c>
      <c r="U491" s="1">
        <f t="shared" si="88"/>
        <v>0.75533114687519953</v>
      </c>
      <c r="V491" s="6">
        <f>2*sigma/alpha*corel*(B491/12-1/alpha*(1-EXP(-alpha*Output!B491/12)))</f>
        <v>2.5059266187332985</v>
      </c>
      <c r="W491" s="5">
        <f t="shared" si="98"/>
        <v>-0.45124687716714651</v>
      </c>
      <c r="X491" s="1">
        <f t="shared" si="99"/>
        <v>78.479168565219553</v>
      </c>
      <c r="Y491" s="3">
        <f t="shared" si="89"/>
        <v>7.9411503634063005E-2</v>
      </c>
      <c r="Z491" s="1">
        <f t="shared" si="90"/>
        <v>0.17367915995034824</v>
      </c>
      <c r="AA491" s="8">
        <f t="shared" si="95"/>
        <v>39.916666666666707</v>
      </c>
      <c r="AB491" s="1">
        <v>40</v>
      </c>
      <c r="AC491" s="1">
        <v>7.5784259649999998E-3</v>
      </c>
      <c r="AD491" s="8">
        <f t="shared" si="91"/>
        <v>0.94829676941122343</v>
      </c>
      <c r="AE491" s="3">
        <f t="shared" si="92"/>
        <v>1.2513109896313719E-2</v>
      </c>
      <c r="AF491" s="11">
        <f t="shared" si="93"/>
        <v>39.916666666666707</v>
      </c>
      <c r="AG491" s="1">
        <f t="shared" si="94"/>
        <v>0.17367915995034824</v>
      </c>
    </row>
    <row r="492" spans="2:33" ht="15" x14ac:dyDescent="0.25">
      <c r="B492" s="1">
        <v>481</v>
      </c>
      <c r="C492" s="1">
        <v>1.0008447594444856</v>
      </c>
      <c r="D492" s="1">
        <v>1.1992506142237878</v>
      </c>
      <c r="E492" s="1">
        <v>0.8327868276010636</v>
      </c>
      <c r="G492" s="1">
        <v>1.0000336756917816</v>
      </c>
      <c r="H492" s="1">
        <v>4.479088000323622</v>
      </c>
      <c r="I492" s="1">
        <v>0.17676863259307307</v>
      </c>
      <c r="K492" s="1">
        <v>0.99955946492742576</v>
      </c>
      <c r="L492" s="1">
        <v>5.2793482880341074</v>
      </c>
      <c r="M492" s="1">
        <v>0.14655084612202496</v>
      </c>
      <c r="O492" s="1">
        <v>7.4823039173268924E-3</v>
      </c>
      <c r="P492" s="1">
        <v>0.7408806876114945</v>
      </c>
      <c r="R492" s="1">
        <v>0.24630588948359369</v>
      </c>
      <c r="S492" s="2">
        <f t="shared" si="96"/>
        <v>1.1009918042289091</v>
      </c>
      <c r="T492" s="4">
        <f t="shared" si="97"/>
        <v>1.2121829529792285</v>
      </c>
      <c r="U492" s="1">
        <f t="shared" si="88"/>
        <v>0.75865148977450492</v>
      </c>
      <c r="V492" s="6">
        <f>2*sigma/alpha*corel*(B492/12-1/alpha*(1-EXP(-alpha*Output!B492/12)))</f>
        <v>2.5142436979273706</v>
      </c>
      <c r="W492" s="5">
        <f t="shared" si="98"/>
        <v>-0.45353146320472359</v>
      </c>
      <c r="X492" s="1">
        <f t="shared" si="99"/>
        <v>79.037632639724848</v>
      </c>
      <c r="Y492" s="3">
        <f t="shared" si="89"/>
        <v>7.9535145139895208E-2</v>
      </c>
      <c r="Z492" s="1">
        <f t="shared" si="90"/>
        <v>0.17390103666308704</v>
      </c>
      <c r="AA492" s="8">
        <f t="shared" si="95"/>
        <v>40.000000000000043</v>
      </c>
      <c r="AB492" s="1">
        <v>40.08</v>
      </c>
      <c r="AC492" s="1">
        <v>7.5781454780000004E-3</v>
      </c>
      <c r="AD492" s="8">
        <f t="shared" si="91"/>
        <v>0.95841560673107917</v>
      </c>
      <c r="AE492" s="3">
        <f t="shared" si="92"/>
        <v>1.2647099603899675E-2</v>
      </c>
      <c r="AF492" s="11">
        <f t="shared" si="93"/>
        <v>40.000000000000043</v>
      </c>
      <c r="AG492" s="1">
        <f t="shared" si="94"/>
        <v>0.17390103666308704</v>
      </c>
    </row>
    <row r="493" spans="2:33" ht="15" x14ac:dyDescent="0.25">
      <c r="B493" s="1">
        <v>482</v>
      </c>
      <c r="C493" s="1">
        <v>1.0008451452655198</v>
      </c>
      <c r="D493" s="1">
        <v>1.1990670986049228</v>
      </c>
      <c r="E493" s="1">
        <v>0.83291211583740132</v>
      </c>
      <c r="G493" s="1">
        <v>0.99992429832169527</v>
      </c>
      <c r="H493" s="1">
        <v>4.456853111858277</v>
      </c>
      <c r="I493" s="1">
        <v>0.17756452318175037</v>
      </c>
      <c r="K493" s="1">
        <v>0.99950951492348894</v>
      </c>
      <c r="L493" s="1">
        <v>5.1965289061162441</v>
      </c>
      <c r="M493" s="1">
        <v>0.1488196827435716</v>
      </c>
      <c r="O493" s="1">
        <v>7.4811151579727581E-3</v>
      </c>
      <c r="P493" s="1">
        <v>0.74045422846537301</v>
      </c>
      <c r="R493" s="1">
        <v>0.24665974953837705</v>
      </c>
      <c r="S493" s="2">
        <f t="shared" si="96"/>
        <v>1.1031516135831143</v>
      </c>
      <c r="T493" s="4">
        <f t="shared" si="97"/>
        <v>1.2169434825510288</v>
      </c>
      <c r="U493" s="1">
        <f t="shared" si="88"/>
        <v>0.76197741369209426</v>
      </c>
      <c r="V493" s="6">
        <f>2*sigma/alpha*corel*(B493/12-1/alpha*(1-EXP(-alpha*Output!B493/12)))</f>
        <v>2.5225677640949256</v>
      </c>
      <c r="W493" s="5">
        <f t="shared" si="98"/>
        <v>-0.45496606885893454</v>
      </c>
      <c r="X493" s="1">
        <f t="shared" si="99"/>
        <v>79.461229854453023</v>
      </c>
      <c r="Y493" s="3">
        <f t="shared" si="89"/>
        <v>7.9562677581342875E-2</v>
      </c>
      <c r="Z493" s="1">
        <f t="shared" si="90"/>
        <v>0.17406133434310914</v>
      </c>
      <c r="AA493" s="8">
        <f t="shared" si="95"/>
        <v>40.083333333333378</v>
      </c>
      <c r="AB493" s="1">
        <v>40.17</v>
      </c>
      <c r="AC493" s="1">
        <v>7.5778661569999997E-3</v>
      </c>
      <c r="AD493" s="8">
        <f t="shared" si="91"/>
        <v>0.96750999027241624</v>
      </c>
      <c r="AE493" s="3">
        <f t="shared" si="92"/>
        <v>1.2767578236766372E-2</v>
      </c>
      <c r="AF493" s="11">
        <f t="shared" si="93"/>
        <v>40.083333333333378</v>
      </c>
      <c r="AG493" s="1">
        <f t="shared" si="94"/>
        <v>0.17406133434310914</v>
      </c>
    </row>
    <row r="494" spans="2:33" ht="15" x14ac:dyDescent="0.25">
      <c r="B494" s="1">
        <v>483</v>
      </c>
      <c r="C494" s="1">
        <v>1.0008488248576399</v>
      </c>
      <c r="D494" s="1">
        <v>1.2015442534657659</v>
      </c>
      <c r="E494" s="1">
        <v>0.83119277997258667</v>
      </c>
      <c r="G494" s="1">
        <v>1.0000821006021536</v>
      </c>
      <c r="H494" s="1">
        <v>4.470182901653895</v>
      </c>
      <c r="I494" s="1">
        <v>0.17694934048563182</v>
      </c>
      <c r="K494" s="1">
        <v>0.99967363480889737</v>
      </c>
      <c r="L494" s="1">
        <v>5.3513393486361087</v>
      </c>
      <c r="M494" s="1">
        <v>0.14443026231744549</v>
      </c>
      <c r="O494" s="1">
        <v>7.4799746550082303E-3</v>
      </c>
      <c r="P494" s="1">
        <v>0.74002672404322056</v>
      </c>
      <c r="R494" s="1">
        <v>0.24698457875004601</v>
      </c>
      <c r="S494" s="2">
        <f t="shared" si="96"/>
        <v>1.1052139313009033</v>
      </c>
      <c r="T494" s="4">
        <f t="shared" si="97"/>
        <v>1.2214978339415978</v>
      </c>
      <c r="U494" s="1">
        <f t="shared" si="88"/>
        <v>0.76530890471869073</v>
      </c>
      <c r="V494" s="6">
        <f>2*sigma/alpha*corel*(B494/12-1/alpha*(1-EXP(-alpha*Output!B494/12)))</f>
        <v>2.5308987939848264</v>
      </c>
      <c r="W494" s="5">
        <f t="shared" si="98"/>
        <v>-0.4561889292229071</v>
      </c>
      <c r="X494" s="1">
        <f t="shared" si="99"/>
        <v>79.851866310281892</v>
      </c>
      <c r="Y494" s="3">
        <f t="shared" si="89"/>
        <v>7.9566314957447495E-2</v>
      </c>
      <c r="Z494" s="1">
        <f t="shared" si="90"/>
        <v>0.17420612007573366</v>
      </c>
      <c r="AA494" s="8">
        <f t="shared" si="95"/>
        <v>40.166666666666714</v>
      </c>
      <c r="AB494" s="1">
        <v>40.25</v>
      </c>
      <c r="AC494" s="1">
        <v>7.5775879959999997E-3</v>
      </c>
      <c r="AD494" s="8">
        <f t="shared" si="91"/>
        <v>0.97613340991769415</v>
      </c>
      <c r="AE494" s="3">
        <f t="shared" si="92"/>
        <v>1.2881848556994233E-2</v>
      </c>
      <c r="AF494" s="11">
        <f t="shared" si="93"/>
        <v>40.166666666666714</v>
      </c>
      <c r="AG494" s="1">
        <f t="shared" si="94"/>
        <v>0.17420612007573366</v>
      </c>
    </row>
    <row r="495" spans="2:33" ht="15" x14ac:dyDescent="0.25">
      <c r="B495" s="1">
        <v>484</v>
      </c>
      <c r="C495" s="1">
        <v>1.0008522027965903</v>
      </c>
      <c r="D495" s="1">
        <v>1.2038201110368092</v>
      </c>
      <c r="E495" s="1">
        <v>0.82961921622805801</v>
      </c>
      <c r="G495" s="1">
        <v>1.000220317624618</v>
      </c>
      <c r="H495" s="1">
        <v>4.5426024578654376</v>
      </c>
      <c r="I495" s="1">
        <v>0.17404406949408355</v>
      </c>
      <c r="K495" s="1">
        <v>0.99951916673645991</v>
      </c>
      <c r="L495" s="1">
        <v>5.2579051121749352</v>
      </c>
      <c r="M495" s="1">
        <v>0.14692358011741041</v>
      </c>
      <c r="O495" s="1">
        <v>7.4788573993502571E-3</v>
      </c>
      <c r="P495" s="1">
        <v>0.73959891354962959</v>
      </c>
      <c r="R495" s="1">
        <v>0.24729198027358607</v>
      </c>
      <c r="S495" s="2">
        <f t="shared" si="96"/>
        <v>1.1072178290172603</v>
      </c>
      <c r="T495" s="4">
        <f t="shared" si="97"/>
        <v>1.2259313208936951</v>
      </c>
      <c r="U495" s="1">
        <f t="shared" si="88"/>
        <v>0.76864594896031857</v>
      </c>
      <c r="V495" s="6">
        <f>2*sigma/alpha*corel*(B495/12-1/alpha*(1-EXP(-alpha*Output!B495/12)))</f>
        <v>2.5392367644233094</v>
      </c>
      <c r="W495" s="5">
        <f t="shared" si="98"/>
        <v>-0.45728537193337648</v>
      </c>
      <c r="X495" s="1">
        <f t="shared" si="99"/>
        <v>80.223096684383705</v>
      </c>
      <c r="Y495" s="3">
        <f t="shared" si="89"/>
        <v>7.9555759669102916E-2</v>
      </c>
      <c r="Z495" s="1">
        <f t="shared" si="90"/>
        <v>0.17434159408218225</v>
      </c>
      <c r="AA495" s="8">
        <f t="shared" si="95"/>
        <v>40.25000000000005</v>
      </c>
      <c r="AB495" s="1">
        <v>40.33</v>
      </c>
      <c r="AC495" s="1">
        <v>7.5773109859999998E-3</v>
      </c>
      <c r="AD495" s="8">
        <f t="shared" si="91"/>
        <v>0.98453586649742753</v>
      </c>
      <c r="AE495" s="3">
        <f t="shared" si="92"/>
        <v>1.2993209178249077E-2</v>
      </c>
      <c r="AF495" s="11">
        <f t="shared" si="93"/>
        <v>40.25000000000005</v>
      </c>
      <c r="AG495" s="1">
        <f t="shared" si="94"/>
        <v>0.17434159408218225</v>
      </c>
    </row>
    <row r="496" spans="2:33" ht="15" x14ac:dyDescent="0.25">
      <c r="B496" s="1">
        <v>485</v>
      </c>
      <c r="C496" s="1">
        <v>1.000853841582471</v>
      </c>
      <c r="D496" s="1">
        <v>1.2032640210929682</v>
      </c>
      <c r="E496" s="1">
        <v>0.8300004508312272</v>
      </c>
      <c r="G496" s="1">
        <v>1.0002137696634019</v>
      </c>
      <c r="H496" s="1">
        <v>4.6697578830844462</v>
      </c>
      <c r="I496" s="1">
        <v>0.16922297072252687</v>
      </c>
      <c r="K496" s="1">
        <v>0.99968078566815866</v>
      </c>
      <c r="L496" s="1">
        <v>5.1381088713109628</v>
      </c>
      <c r="M496" s="1">
        <v>0.15026763316114292</v>
      </c>
      <c r="O496" s="1">
        <v>7.4777560157314286E-3</v>
      </c>
      <c r="P496" s="1">
        <v>0.73917101383986472</v>
      </c>
      <c r="R496" s="1">
        <v>0.24741512455986006</v>
      </c>
      <c r="S496" s="2">
        <f t="shared" si="96"/>
        <v>1.1085740214556716</v>
      </c>
      <c r="T496" s="4">
        <f t="shared" si="97"/>
        <v>1.2289363610463999</v>
      </c>
      <c r="U496" s="1">
        <f t="shared" si="88"/>
        <v>0.77198853253846123</v>
      </c>
      <c r="V496" s="6">
        <f>2*sigma/alpha*corel*(B496/12-1/alpha*(1-EXP(-alpha*Output!B496/12)))</f>
        <v>2.5475816523137271</v>
      </c>
      <c r="W496" s="5">
        <f t="shared" si="98"/>
        <v>-0.45694782850793869</v>
      </c>
      <c r="X496" s="1">
        <f t="shared" si="99"/>
        <v>80.36340455065563</v>
      </c>
      <c r="Y496" s="3">
        <f t="shared" si="89"/>
        <v>7.938534645115021E-2</v>
      </c>
      <c r="Z496" s="1">
        <f t="shared" si="90"/>
        <v>0.17437509240322305</v>
      </c>
      <c r="AA496" s="8">
        <f t="shared" si="95"/>
        <v>40.333333333333385</v>
      </c>
      <c r="AB496" s="1">
        <v>40.42</v>
      </c>
      <c r="AC496" s="1">
        <v>7.5770351210000001E-3</v>
      </c>
      <c r="AD496" s="8">
        <f t="shared" si="91"/>
        <v>0.99279105268571499</v>
      </c>
      <c r="AE496" s="3">
        <f t="shared" si="92"/>
        <v>1.3102632320314342E-2</v>
      </c>
      <c r="AF496" s="11">
        <f t="shared" si="93"/>
        <v>40.333333333333385</v>
      </c>
      <c r="AG496" s="1">
        <f t="shared" si="94"/>
        <v>0.17437509240322305</v>
      </c>
    </row>
    <row r="497" spans="2:33" ht="15" x14ac:dyDescent="0.25">
      <c r="B497" s="1">
        <v>486</v>
      </c>
      <c r="C497" s="1">
        <v>1.0008568851478672</v>
      </c>
      <c r="D497" s="1">
        <v>1.2031320690905156</v>
      </c>
      <c r="E497" s="1">
        <v>0.83008930030739358</v>
      </c>
      <c r="G497" s="1">
        <v>1.0003321681031183</v>
      </c>
      <c r="H497" s="1">
        <v>4.6582450781144518</v>
      </c>
      <c r="I497" s="1">
        <v>0.16955908374731671</v>
      </c>
      <c r="K497" s="1">
        <v>0.99993937976004355</v>
      </c>
      <c r="L497" s="1">
        <v>5.4274221559428781</v>
      </c>
      <c r="M497" s="1">
        <v>0.14218156754872996</v>
      </c>
      <c r="O497" s="1">
        <v>7.4766576675514927E-3</v>
      </c>
      <c r="P497" s="1">
        <v>0.73874340648325232</v>
      </c>
      <c r="R497" s="1">
        <v>0.2477256074061274</v>
      </c>
      <c r="S497" s="2">
        <f t="shared" si="96"/>
        <v>1.1105923563220836</v>
      </c>
      <c r="T497" s="4">
        <f t="shared" si="97"/>
        <v>1.2334153819210381</v>
      </c>
      <c r="U497" s="1">
        <f t="shared" si="88"/>
        <v>0.77533664159021232</v>
      </c>
      <c r="V497" s="6">
        <f>2*sigma/alpha*corel*(B497/12-1/alpha*(1-EXP(-alpha*Output!B497/12)))</f>
        <v>2.5559334346362959</v>
      </c>
      <c r="W497" s="5">
        <f t="shared" si="98"/>
        <v>-0.45807874033082574</v>
      </c>
      <c r="X497" s="1">
        <f t="shared" si="99"/>
        <v>80.741551655885459</v>
      </c>
      <c r="Y497" s="3">
        <f t="shared" si="89"/>
        <v>7.9378973486819202E-2</v>
      </c>
      <c r="Z497" s="1">
        <f t="shared" si="90"/>
        <v>0.17451275250873152</v>
      </c>
      <c r="AA497" s="8">
        <f t="shared" si="95"/>
        <v>40.416666666666721</v>
      </c>
      <c r="AB497" s="1">
        <v>40.5</v>
      </c>
      <c r="AC497" s="1">
        <v>7.5767603940000003E-3</v>
      </c>
      <c r="AD497" s="8">
        <f t="shared" si="91"/>
        <v>1.001027264485076</v>
      </c>
      <c r="AE497" s="3">
        <f t="shared" si="92"/>
        <v>1.3211811017249333E-2</v>
      </c>
      <c r="AF497" s="11">
        <f t="shared" si="93"/>
        <v>40.416666666666721</v>
      </c>
      <c r="AG497" s="1">
        <f t="shared" si="94"/>
        <v>0.17451275250873152</v>
      </c>
    </row>
    <row r="498" spans="2:33" ht="15" x14ac:dyDescent="0.25">
      <c r="B498" s="1">
        <v>487</v>
      </c>
      <c r="C498" s="1">
        <v>1.0008589325186572</v>
      </c>
      <c r="D498" s="1">
        <v>1.1985866882247489</v>
      </c>
      <c r="E498" s="1">
        <v>0.83323504171282925</v>
      </c>
      <c r="G498" s="1">
        <v>1.0003447036495399</v>
      </c>
      <c r="H498" s="1">
        <v>4.4377526290442901</v>
      </c>
      <c r="I498" s="1">
        <v>0.17789757140326889</v>
      </c>
      <c r="K498" s="1">
        <v>0.99967512719994389</v>
      </c>
      <c r="L498" s="1">
        <v>5.5063971395060962</v>
      </c>
      <c r="M498" s="1">
        <v>0.14006782893115913</v>
      </c>
      <c r="O498" s="1">
        <v>7.4754703522690591E-3</v>
      </c>
      <c r="P498" s="1">
        <v>0.73831884740602571</v>
      </c>
      <c r="R498" s="1">
        <v>0.24798221445459701</v>
      </c>
      <c r="S498" s="2">
        <f t="shared" si="96"/>
        <v>1.1124159875385951</v>
      </c>
      <c r="T498" s="4">
        <f t="shared" si="97"/>
        <v>1.2374693293314676</v>
      </c>
      <c r="U498" s="1">
        <f t="shared" si="88"/>
        <v>0.77869026226842797</v>
      </c>
      <c r="V498" s="6">
        <f>2*sigma/alpha*corel*(B498/12-1/alpha*(1-EXP(-alpha*Output!B498/12)))</f>
        <v>2.564292088447834</v>
      </c>
      <c r="W498" s="5">
        <f t="shared" si="98"/>
        <v>-0.45877906706303961</v>
      </c>
      <c r="X498" s="1">
        <f t="shared" si="99"/>
        <v>81.050729134776248</v>
      </c>
      <c r="Y498" s="3">
        <f t="shared" si="89"/>
        <v>7.9324752636871748E-2</v>
      </c>
      <c r="Z498" s="1">
        <f t="shared" si="90"/>
        <v>0.17461975087674914</v>
      </c>
      <c r="AA498" s="8">
        <f t="shared" si="95"/>
        <v>40.500000000000057</v>
      </c>
      <c r="AB498" s="1">
        <v>40.58</v>
      </c>
      <c r="AC498" s="1">
        <v>7.5764867979999997E-3</v>
      </c>
      <c r="AD498" s="8">
        <f t="shared" si="91"/>
        <v>1.0101644573094064</v>
      </c>
      <c r="AE498" s="3">
        <f t="shared" si="92"/>
        <v>1.3332887448257207E-2</v>
      </c>
      <c r="AF498" s="11">
        <f t="shared" si="93"/>
        <v>40.500000000000057</v>
      </c>
      <c r="AG498" s="1">
        <f t="shared" si="94"/>
        <v>0.17461975087674914</v>
      </c>
    </row>
    <row r="499" spans="2:33" ht="15" x14ac:dyDescent="0.25">
      <c r="B499" s="1">
        <v>488</v>
      </c>
      <c r="C499" s="1">
        <v>1.0008629367102126</v>
      </c>
      <c r="D499" s="1">
        <v>1.201827163866702</v>
      </c>
      <c r="E499" s="1">
        <v>0.8309862061768547</v>
      </c>
      <c r="G499" s="1">
        <v>1.0005059931315181</v>
      </c>
      <c r="H499" s="1">
        <v>4.5065989511236637</v>
      </c>
      <c r="I499" s="1">
        <v>0.17509506697520758</v>
      </c>
      <c r="K499" s="1">
        <v>0.99990325850320139</v>
      </c>
      <c r="L499" s="1">
        <v>5.2490913193497137</v>
      </c>
      <c r="M499" s="1">
        <v>0.14685455663322416</v>
      </c>
      <c r="O499" s="1">
        <v>7.4742539415961085E-3</v>
      </c>
      <c r="P499" s="1">
        <v>0.73789555143044616</v>
      </c>
      <c r="R499" s="1">
        <v>0.24817733008875595</v>
      </c>
      <c r="S499" s="2">
        <f t="shared" si="96"/>
        <v>1.1140213568198509</v>
      </c>
      <c r="T499" s="4">
        <f t="shared" si="97"/>
        <v>1.2410435834507416</v>
      </c>
      <c r="U499" s="1">
        <f t="shared" si="88"/>
        <v>0.78204938074187424</v>
      </c>
      <c r="V499" s="6">
        <f>2*sigma/alpha*corel*(B499/12-1/alpha*(1-EXP(-alpha*Output!B499/12)))</f>
        <v>2.5726575908815104</v>
      </c>
      <c r="W499" s="5">
        <f t="shared" si="98"/>
        <v>-0.45899420270886737</v>
      </c>
      <c r="X499" s="1">
        <f t="shared" si="99"/>
        <v>81.28162405389601</v>
      </c>
      <c r="Y499" s="3">
        <f t="shared" si="89"/>
        <v>7.9216900991939218E-2</v>
      </c>
      <c r="Z499" s="1">
        <f t="shared" si="90"/>
        <v>0.17469248743669979</v>
      </c>
      <c r="AA499" s="8">
        <f t="shared" si="95"/>
        <v>40.583333333333393</v>
      </c>
      <c r="AB499" s="1">
        <v>40.67</v>
      </c>
      <c r="AC499" s="1">
        <v>7.5762143250000004E-3</v>
      </c>
      <c r="AD499" s="8">
        <f t="shared" si="91"/>
        <v>1.0196038340389186</v>
      </c>
      <c r="AE499" s="3">
        <f t="shared" si="92"/>
        <v>1.3457959216840379E-2</v>
      </c>
      <c r="AF499" s="11">
        <f t="shared" si="93"/>
        <v>40.583333333333393</v>
      </c>
      <c r="AG499" s="1">
        <f t="shared" si="94"/>
        <v>0.17469248743669979</v>
      </c>
    </row>
    <row r="500" spans="2:33" ht="15" x14ac:dyDescent="0.25">
      <c r="B500" s="1">
        <v>489</v>
      </c>
      <c r="C500" s="1">
        <v>1.0008635638905645</v>
      </c>
      <c r="D500" s="1">
        <v>1.2040977326747371</v>
      </c>
      <c r="E500" s="1">
        <v>0.82941702254304295</v>
      </c>
      <c r="G500" s="1">
        <v>1.0004015887577171</v>
      </c>
      <c r="H500" s="1">
        <v>4.5251729587197262</v>
      </c>
      <c r="I500" s="1">
        <v>0.17429195835289599</v>
      </c>
      <c r="K500" s="1">
        <v>0.99997883792946962</v>
      </c>
      <c r="L500" s="1">
        <v>5.462783703643403</v>
      </c>
      <c r="M500" s="1">
        <v>0.14103518019297842</v>
      </c>
      <c r="O500" s="1">
        <v>7.4729956264041894E-3</v>
      </c>
      <c r="P500" s="1">
        <v>0.73747390696834281</v>
      </c>
      <c r="R500" s="1">
        <v>0.24855116947523007</v>
      </c>
      <c r="S500" s="2">
        <f t="shared" si="96"/>
        <v>1.1162574365817697</v>
      </c>
      <c r="T500" s="4">
        <f t="shared" si="97"/>
        <v>1.2460306647241035</v>
      </c>
      <c r="U500" s="1">
        <f t="shared" si="88"/>
        <v>0.78541398319537903</v>
      </c>
      <c r="V500" s="6">
        <f>2*sigma/alpha*corel*(B500/12-1/alpha*(1-EXP(-alpha*Output!B500/12)))</f>
        <v>2.5810299191465917</v>
      </c>
      <c r="W500" s="5">
        <f t="shared" si="98"/>
        <v>-0.46061668152872448</v>
      </c>
      <c r="X500" s="1">
        <f t="shared" si="99"/>
        <v>81.742234532711947</v>
      </c>
      <c r="Y500" s="3">
        <f t="shared" si="89"/>
        <v>7.9265169317119494E-2</v>
      </c>
      <c r="Z500" s="1">
        <f t="shared" si="90"/>
        <v>0.17486406041588815</v>
      </c>
      <c r="AA500" s="8">
        <f t="shared" si="95"/>
        <v>40.666666666666728</v>
      </c>
      <c r="AB500" s="1">
        <v>40.75</v>
      </c>
      <c r="AC500" s="1">
        <v>7.5759429689999996E-3</v>
      </c>
      <c r="AD500" s="8">
        <f t="shared" si="91"/>
        <v>1.0294734259581015</v>
      </c>
      <c r="AE500" s="3">
        <f t="shared" si="92"/>
        <v>1.3588716680822489E-2</v>
      </c>
      <c r="AF500" s="11">
        <f t="shared" si="93"/>
        <v>40.666666666666728</v>
      </c>
      <c r="AG500" s="1">
        <f t="shared" si="94"/>
        <v>0.17486406041588815</v>
      </c>
    </row>
    <row r="501" spans="2:33" ht="15" x14ac:dyDescent="0.25">
      <c r="B501" s="1">
        <v>490</v>
      </c>
      <c r="C501" s="1">
        <v>1.0008583592237517</v>
      </c>
      <c r="D501" s="1">
        <v>1.2026635084680579</v>
      </c>
      <c r="E501" s="1">
        <v>0.83040393614261709</v>
      </c>
      <c r="G501" s="1">
        <v>0.9998556085908058</v>
      </c>
      <c r="H501" s="1">
        <v>4.6164570254482475</v>
      </c>
      <c r="I501" s="1">
        <v>0.17076286989830888</v>
      </c>
      <c r="K501" s="1">
        <v>0.99986076235690202</v>
      </c>
      <c r="L501" s="1">
        <v>5.4736787775928804</v>
      </c>
      <c r="M501" s="1">
        <v>0.14068122069229469</v>
      </c>
      <c r="O501" s="1">
        <v>7.4718599079102391E-3</v>
      </c>
      <c r="P501" s="1">
        <v>0.73704896831438149</v>
      </c>
      <c r="R501" s="1">
        <v>0.2488122302941346</v>
      </c>
      <c r="S501" s="2">
        <f t="shared" si="96"/>
        <v>1.1181037458705945</v>
      </c>
      <c r="T501" s="4">
        <f t="shared" si="97"/>
        <v>1.2501559865298548</v>
      </c>
      <c r="U501" s="1">
        <f t="shared" si="88"/>
        <v>0.78878405582997191</v>
      </c>
      <c r="V501" s="6">
        <f>2*sigma/alpha*corel*(B501/12-1/alpha*(1-EXP(-alpha*Output!B501/12)))</f>
        <v>2.589409050528185</v>
      </c>
      <c r="W501" s="5">
        <f t="shared" si="98"/>
        <v>-0.46137193069988292</v>
      </c>
      <c r="X501" s="1">
        <f t="shared" si="99"/>
        <v>82.062454578604829</v>
      </c>
      <c r="Y501" s="3">
        <f t="shared" si="89"/>
        <v>7.9217435613629789E-2</v>
      </c>
      <c r="Z501" s="1">
        <f t="shared" si="90"/>
        <v>0.17497446949838522</v>
      </c>
      <c r="AA501" s="8">
        <f t="shared" si="95"/>
        <v>40.750000000000064</v>
      </c>
      <c r="AB501" s="1">
        <v>40.83</v>
      </c>
      <c r="AC501" s="1">
        <v>7.575672722E-3</v>
      </c>
      <c r="AD501" s="8">
        <f t="shared" si="91"/>
        <v>1.0381281408976089</v>
      </c>
      <c r="AE501" s="3">
        <f t="shared" si="92"/>
        <v>1.3703444947969453E-2</v>
      </c>
      <c r="AF501" s="11">
        <f t="shared" si="93"/>
        <v>40.750000000000064</v>
      </c>
      <c r="AG501" s="1">
        <f t="shared" si="94"/>
        <v>0.17497446949838522</v>
      </c>
    </row>
    <row r="502" spans="2:33" ht="15" x14ac:dyDescent="0.25">
      <c r="B502" s="1">
        <v>491</v>
      </c>
      <c r="C502" s="1">
        <v>1.0008584714408129</v>
      </c>
      <c r="D502" s="1">
        <v>1.206152223002934</v>
      </c>
      <c r="E502" s="1">
        <v>0.82799985090707506</v>
      </c>
      <c r="G502" s="1">
        <v>0.99968671812336818</v>
      </c>
      <c r="H502" s="1">
        <v>4.5947768039874006</v>
      </c>
      <c r="I502" s="1">
        <v>0.17148554959942139</v>
      </c>
      <c r="K502" s="1">
        <v>0.99989475009636952</v>
      </c>
      <c r="L502" s="1">
        <v>5.3325939407372465</v>
      </c>
      <c r="M502" s="1">
        <v>0.1443234917805041</v>
      </c>
      <c r="O502" s="1">
        <v>7.4708088279413255E-3</v>
      </c>
      <c r="P502" s="1">
        <v>0.73662186292764464</v>
      </c>
      <c r="R502" s="1">
        <v>0.24914174174621029</v>
      </c>
      <c r="S502" s="2">
        <f t="shared" si="96"/>
        <v>1.1201995099448439</v>
      </c>
      <c r="T502" s="4">
        <f t="shared" si="97"/>
        <v>1.2548469420806683</v>
      </c>
      <c r="U502" s="1">
        <f t="shared" si="88"/>
        <v>0.79215958486303251</v>
      </c>
      <c r="V502" s="6">
        <f>2*sigma/alpha*corel*(B502/12-1/alpha*(1-EXP(-alpha*Output!B502/12)))</f>
        <v>2.5977949623869874</v>
      </c>
      <c r="W502" s="5">
        <f t="shared" si="98"/>
        <v>-0.46268735721763576</v>
      </c>
      <c r="X502" s="1">
        <f t="shared" si="99"/>
        <v>82.475036131222936</v>
      </c>
      <c r="Y502" s="3">
        <f t="shared" si="89"/>
        <v>7.9231549248695521E-2</v>
      </c>
      <c r="Z502" s="1">
        <f t="shared" si="90"/>
        <v>0.17512383343392968</v>
      </c>
      <c r="AA502" s="8">
        <f t="shared" si="95"/>
        <v>40.8333333333334</v>
      </c>
      <c r="AB502" s="1">
        <v>40.92</v>
      </c>
      <c r="AC502" s="1">
        <v>7.5754035790000004E-3</v>
      </c>
      <c r="AD502" s="8">
        <f t="shared" si="91"/>
        <v>1.0459475105867484</v>
      </c>
      <c r="AE502" s="3">
        <f t="shared" si="92"/>
        <v>1.3807152314448968E-2</v>
      </c>
      <c r="AF502" s="11">
        <f t="shared" si="93"/>
        <v>40.8333333333334</v>
      </c>
      <c r="AG502" s="1">
        <f t="shared" si="94"/>
        <v>0.17512383343392968</v>
      </c>
    </row>
    <row r="503" spans="2:33" ht="15" x14ac:dyDescent="0.25">
      <c r="B503" s="1">
        <v>492</v>
      </c>
      <c r="C503" s="1">
        <v>1.0008576125249931</v>
      </c>
      <c r="D503" s="1">
        <v>1.2052276033933949</v>
      </c>
      <c r="E503" s="1">
        <v>0.82863286736672459</v>
      </c>
      <c r="G503" s="1">
        <v>0.99948197554035745</v>
      </c>
      <c r="H503" s="1">
        <v>4.5616436418855999</v>
      </c>
      <c r="I503" s="1">
        <v>0.1726475025755414</v>
      </c>
      <c r="K503" s="1">
        <v>0.99982654323349163</v>
      </c>
      <c r="L503" s="1">
        <v>5.3815078960956892</v>
      </c>
      <c r="M503" s="1">
        <v>0.14293191855768231</v>
      </c>
      <c r="O503" s="1">
        <v>7.4697675414996442E-3</v>
      </c>
      <c r="P503" s="1">
        <v>0.73619483839895949</v>
      </c>
      <c r="R503" s="1">
        <v>0.24937181067993305</v>
      </c>
      <c r="S503" s="2">
        <f t="shared" si="96"/>
        <v>1.1219446084678555</v>
      </c>
      <c r="T503" s="4">
        <f t="shared" si="97"/>
        <v>1.2587597044700896</v>
      </c>
      <c r="U503" s="1">
        <f t="shared" si="88"/>
        <v>0.79554055652843081</v>
      </c>
      <c r="V503" s="6">
        <f>2*sigma/alpha*corel*(B503/12-1/alpha*(1-EXP(-alpha*Output!B503/12)))</f>
        <v>2.6061876321590374</v>
      </c>
      <c r="W503" s="5">
        <f t="shared" si="98"/>
        <v>-0.46321914794165875</v>
      </c>
      <c r="X503" s="1">
        <f t="shared" si="99"/>
        <v>82.760154236450774</v>
      </c>
      <c r="Y503" s="3">
        <f t="shared" si="89"/>
        <v>7.9159428992221809E-2</v>
      </c>
      <c r="Z503" s="1">
        <f t="shared" si="90"/>
        <v>0.17521831013506423</v>
      </c>
      <c r="AA503" s="8">
        <f t="shared" si="95"/>
        <v>40.916666666666735</v>
      </c>
      <c r="AB503" s="1">
        <v>41</v>
      </c>
      <c r="AC503" s="1">
        <v>7.5751355330000002E-3</v>
      </c>
      <c r="AD503" s="8">
        <f t="shared" si="91"/>
        <v>1.0536799150035607</v>
      </c>
      <c r="AE503" s="3">
        <f t="shared" si="92"/>
        <v>1.3909716999958008E-2</v>
      </c>
      <c r="AF503" s="11">
        <f t="shared" si="93"/>
        <v>40.916666666666735</v>
      </c>
      <c r="AG503" s="1">
        <f t="shared" si="94"/>
        <v>0.17521831013506423</v>
      </c>
    </row>
    <row r="504" spans="2:33" ht="15" x14ac:dyDescent="0.25">
      <c r="B504" s="1">
        <v>493</v>
      </c>
      <c r="C504" s="1">
        <v>1.0008628389724472</v>
      </c>
      <c r="D504" s="1">
        <v>1.2030482266998972</v>
      </c>
      <c r="E504" s="1">
        <v>0.83013176109957432</v>
      </c>
      <c r="G504" s="1">
        <v>0.99970859596406625</v>
      </c>
      <c r="H504" s="1">
        <v>4.5025615014676248</v>
      </c>
      <c r="I504" s="1">
        <v>0.17482828843722764</v>
      </c>
      <c r="K504" s="1">
        <v>0.99986863554193206</v>
      </c>
      <c r="L504" s="1">
        <v>5.4777794942060583</v>
      </c>
      <c r="M504" s="1">
        <v>0.14034726833547784</v>
      </c>
      <c r="O504" s="1">
        <v>7.4686859152086251E-3</v>
      </c>
      <c r="P504" s="1">
        <v>0.73576940849639427</v>
      </c>
      <c r="R504" s="1">
        <v>0.24967501080462187</v>
      </c>
      <c r="S504" s="2">
        <f t="shared" si="96"/>
        <v>1.1239478496278148</v>
      </c>
      <c r="T504" s="4">
        <f t="shared" si="97"/>
        <v>1.263258768682989</v>
      </c>
      <c r="U504" s="1">
        <f t="shared" si="88"/>
        <v>0.79892695707666705</v>
      </c>
      <c r="V504" s="6">
        <f>2*sigma/alpha*corel*(B504/12-1/alpha*(1-EXP(-alpha*Output!B504/12)))</f>
        <v>2.6145870373554589</v>
      </c>
      <c r="W504" s="5">
        <f t="shared" si="98"/>
        <v>-0.46433181160632198</v>
      </c>
      <c r="X504" s="1">
        <f t="shared" si="99"/>
        <v>83.141259749879438</v>
      </c>
      <c r="Y504" s="3">
        <f t="shared" si="89"/>
        <v>7.9151268340139316E-2</v>
      </c>
      <c r="Z504" s="1">
        <f t="shared" si="90"/>
        <v>0.1753530499829653</v>
      </c>
      <c r="AA504" s="8">
        <f t="shared" si="95"/>
        <v>41.000000000000071</v>
      </c>
      <c r="AB504" s="1">
        <v>41.08</v>
      </c>
      <c r="AC504" s="1">
        <v>7.5748685759999997E-3</v>
      </c>
      <c r="AD504" s="8">
        <f t="shared" si="91"/>
        <v>1.0618266079137455</v>
      </c>
      <c r="AE504" s="3">
        <f t="shared" si="92"/>
        <v>1.4017756179665044E-2</v>
      </c>
      <c r="AF504" s="11">
        <f t="shared" si="93"/>
        <v>41.000000000000071</v>
      </c>
      <c r="AG504" s="1">
        <f t="shared" si="94"/>
        <v>0.1753530499829653</v>
      </c>
    </row>
    <row r="505" spans="2:33" ht="15" x14ac:dyDescent="0.25">
      <c r="B505" s="1">
        <v>494</v>
      </c>
      <c r="C505" s="1">
        <v>1.0008616908419949</v>
      </c>
      <c r="D505" s="1">
        <v>1.203386908218939</v>
      </c>
      <c r="E505" s="1">
        <v>0.82989591203387447</v>
      </c>
      <c r="G505" s="1">
        <v>0.99948961195897734</v>
      </c>
      <c r="H505" s="1">
        <v>4.6366320352116208</v>
      </c>
      <c r="I505" s="1">
        <v>0.16969085200450096</v>
      </c>
      <c r="K505" s="1">
        <v>1.0000350272713863</v>
      </c>
      <c r="L505" s="1">
        <v>5.3748400375875196</v>
      </c>
      <c r="M505" s="1">
        <v>0.14295971931894022</v>
      </c>
      <c r="O505" s="1">
        <v>7.4675831536295655E-3</v>
      </c>
      <c r="P505" s="1">
        <v>0.73534499680204812</v>
      </c>
      <c r="R505" s="1">
        <v>0.25005037497833477</v>
      </c>
      <c r="S505" s="2">
        <f t="shared" si="96"/>
        <v>1.1262077140429125</v>
      </c>
      <c r="T505" s="4">
        <f t="shared" si="97"/>
        <v>1.2683438151697626</v>
      </c>
      <c r="U505" s="1">
        <f t="shared" ref="U505:U568" si="100">sigma*sigma/alpha/alpha*(B505/12+2/alpha*EXP(-alpha*B505/12)-1/2/alpha*EXP(-2*alpha*B505/12)-3/2/alpha)</f>
        <v>0.80231877277500985</v>
      </c>
      <c r="V505" s="6">
        <f>2*sigma/alpha*corel*(B505/12-1/alpha*(1-EXP(-alpha*Output!B505/12)))</f>
        <v>2.6229931555622139</v>
      </c>
      <c r="W505" s="5">
        <f t="shared" si="98"/>
        <v>-0.46602504239475273</v>
      </c>
      <c r="X505" s="1">
        <f t="shared" si="99"/>
        <v>83.618883408462182</v>
      </c>
      <c r="Y505" s="3">
        <f t="shared" si="89"/>
        <v>7.9206594930870927E-2</v>
      </c>
      <c r="Z505" s="1">
        <f t="shared" si="90"/>
        <v>0.1755276935947678</v>
      </c>
      <c r="AA505" s="8">
        <f t="shared" si="95"/>
        <v>41.083333333333407</v>
      </c>
      <c r="AB505" s="1">
        <v>41.17</v>
      </c>
      <c r="AC505" s="1">
        <v>7.5746027020000004E-3</v>
      </c>
      <c r="AD505" s="8">
        <f t="shared" si="91"/>
        <v>1.0701954837043486</v>
      </c>
      <c r="AE505" s="3">
        <f t="shared" si="92"/>
        <v>1.4128734216274788E-2</v>
      </c>
      <c r="AF505" s="11">
        <f t="shared" si="93"/>
        <v>41.083333333333407</v>
      </c>
      <c r="AG505" s="1">
        <f t="shared" si="94"/>
        <v>0.1755276935947678</v>
      </c>
    </row>
    <row r="506" spans="2:33" ht="15" x14ac:dyDescent="0.25">
      <c r="B506" s="1">
        <v>495</v>
      </c>
      <c r="C506" s="1">
        <v>1.0008679894819799</v>
      </c>
      <c r="D506" s="1">
        <v>1.2050740712483421</v>
      </c>
      <c r="E506" s="1">
        <v>0.82873179888234838</v>
      </c>
      <c r="G506" s="1">
        <v>0.9998699608460101</v>
      </c>
      <c r="H506" s="1">
        <v>4.6721262404652117</v>
      </c>
      <c r="I506" s="1">
        <v>0.16832018253830452</v>
      </c>
      <c r="K506" s="1">
        <v>1.0001660325783863</v>
      </c>
      <c r="L506" s="1">
        <v>5.3372063442157707</v>
      </c>
      <c r="M506" s="1">
        <v>0.14389014918137638</v>
      </c>
      <c r="O506" s="1">
        <v>7.4664649959779493E-3</v>
      </c>
      <c r="P506" s="1">
        <v>0.73492143173322966</v>
      </c>
      <c r="R506" s="1">
        <v>0.25034331920041619</v>
      </c>
      <c r="S506" s="2">
        <f t="shared" si="96"/>
        <v>1.1281751818309547</v>
      </c>
      <c r="T506" s="4">
        <f t="shared" si="97"/>
        <v>1.2727792408993077</v>
      </c>
      <c r="U506" s="1">
        <f t="shared" si="100"/>
        <v>0.80571598990763782</v>
      </c>
      <c r="V506" s="6">
        <f>2*sigma/alpha*corel*(B506/12-1/alpha*(1-EXP(-alpha*Output!B506/12)))</f>
        <v>2.6314059644398564</v>
      </c>
      <c r="W506" s="5">
        <f t="shared" si="98"/>
        <v>-0.4670632509916699</v>
      </c>
      <c r="X506" s="1">
        <f t="shared" si="99"/>
        <v>83.989733763315186</v>
      </c>
      <c r="Y506" s="3">
        <f t="shared" si="89"/>
        <v>7.9190125324009278E-2</v>
      </c>
      <c r="Z506" s="1">
        <f t="shared" si="90"/>
        <v>0.17565663757692648</v>
      </c>
      <c r="AA506" s="8">
        <f t="shared" si="95"/>
        <v>41.166666666666742</v>
      </c>
      <c r="AB506" s="1">
        <v>41.25</v>
      </c>
      <c r="AC506" s="1">
        <v>7.5743379040000003E-3</v>
      </c>
      <c r="AD506" s="8">
        <f t="shared" si="91"/>
        <v>1.0787290802205096</v>
      </c>
      <c r="AE506" s="3">
        <f t="shared" si="92"/>
        <v>1.4241892742213599E-2</v>
      </c>
      <c r="AF506" s="11">
        <f t="shared" si="93"/>
        <v>41.166666666666742</v>
      </c>
      <c r="AG506" s="1">
        <f t="shared" si="94"/>
        <v>0.17565663757692648</v>
      </c>
    </row>
    <row r="507" spans="2:33" ht="15" x14ac:dyDescent="0.25">
      <c r="B507" s="1">
        <v>496</v>
      </c>
      <c r="C507" s="1">
        <v>1.0008714653396995</v>
      </c>
      <c r="D507" s="1">
        <v>1.2056967409704105</v>
      </c>
      <c r="E507" s="1">
        <v>0.82830158743304194</v>
      </c>
      <c r="G507" s="1">
        <v>1.0000071954919034</v>
      </c>
      <c r="H507" s="1">
        <v>4.6626779909305549</v>
      </c>
      <c r="I507" s="1">
        <v>0.16857960716509887</v>
      </c>
      <c r="K507" s="1">
        <v>1.0004520593989463</v>
      </c>
      <c r="L507" s="1">
        <v>5.2779159102304174</v>
      </c>
      <c r="M507" s="1">
        <v>0.14542752945744772</v>
      </c>
      <c r="O507" s="1">
        <v>7.4653525303183827E-3</v>
      </c>
      <c r="P507" s="1">
        <v>0.73449807471769069</v>
      </c>
      <c r="R507" s="1">
        <v>0.25057488682814733</v>
      </c>
      <c r="S507" s="2">
        <f t="shared" si="96"/>
        <v>1.1299258396112679</v>
      </c>
      <c r="T507" s="4">
        <f t="shared" si="97"/>
        <v>1.2767324030212288</v>
      </c>
      <c r="U507" s="1">
        <f t="shared" si="100"/>
        <v>0.80911859477576709</v>
      </c>
      <c r="V507" s="6">
        <f>2*sigma/alpha*corel*(B507/12-1/alpha*(1-EXP(-alpha*Output!B507/12)))</f>
        <v>2.6398254417232785</v>
      </c>
      <c r="W507" s="5">
        <f t="shared" si="98"/>
        <v>-0.46761380824546173</v>
      </c>
      <c r="X507" s="1">
        <f t="shared" si="99"/>
        <v>84.280827992685829</v>
      </c>
      <c r="Y507" s="3">
        <f t="shared" si="89"/>
        <v>7.9120567594308938E-2</v>
      </c>
      <c r="Z507" s="1">
        <f t="shared" si="90"/>
        <v>0.17575177714569043</v>
      </c>
      <c r="AA507" s="8">
        <f t="shared" si="95"/>
        <v>41.250000000000078</v>
      </c>
      <c r="AB507" s="1">
        <v>41.33</v>
      </c>
      <c r="AC507" s="1">
        <v>7.5740741769999998E-3</v>
      </c>
      <c r="AD507" s="8">
        <f t="shared" si="91"/>
        <v>1.087216466816171</v>
      </c>
      <c r="AE507" s="3">
        <f t="shared" si="92"/>
        <v>1.4354447044071654E-2</v>
      </c>
      <c r="AF507" s="11">
        <f t="shared" si="93"/>
        <v>41.250000000000078</v>
      </c>
      <c r="AG507" s="1">
        <f t="shared" si="94"/>
        <v>0.17575177714569043</v>
      </c>
    </row>
    <row r="508" spans="2:33" ht="15" x14ac:dyDescent="0.25">
      <c r="B508" s="1">
        <v>497</v>
      </c>
      <c r="C508" s="1">
        <v>1.0008738849510492</v>
      </c>
      <c r="D508" s="1">
        <v>1.2055676276327458</v>
      </c>
      <c r="E508" s="1">
        <v>0.82838807008945814</v>
      </c>
      <c r="G508" s="1">
        <v>1.0000490298270448</v>
      </c>
      <c r="H508" s="1">
        <v>4.5603560258904228</v>
      </c>
      <c r="I508" s="1">
        <v>0.17227862973318678</v>
      </c>
      <c r="K508" s="1">
        <v>1.0002285398105097</v>
      </c>
      <c r="L508" s="1">
        <v>5.0874541557327619</v>
      </c>
      <c r="M508" s="1">
        <v>0.15079493748567804</v>
      </c>
      <c r="O508" s="1">
        <v>7.4642645341429599E-3</v>
      </c>
      <c r="P508" s="1">
        <v>0.7340743537417167</v>
      </c>
      <c r="R508" s="1">
        <v>0.25089938373079468</v>
      </c>
      <c r="S508" s="2">
        <f t="shared" si="96"/>
        <v>1.1320103839102875</v>
      </c>
      <c r="T508" s="4">
        <f t="shared" si="97"/>
        <v>1.2814475092807165</v>
      </c>
      <c r="U508" s="1">
        <f t="shared" si="100"/>
        <v>0.81252657369778891</v>
      </c>
      <c r="V508" s="6">
        <f>2*sigma/alpha*corel*(B508/12-1/alpha*(1-EXP(-alpha*Output!B508/12)))</f>
        <v>2.6482515652214653</v>
      </c>
      <c r="W508" s="5">
        <f t="shared" si="98"/>
        <v>-0.46892093558292758</v>
      </c>
      <c r="X508" s="1">
        <f t="shared" si="99"/>
        <v>84.697804680936287</v>
      </c>
      <c r="Y508" s="3">
        <f t="shared" si="89"/>
        <v>7.9133474333941911E-2</v>
      </c>
      <c r="Z508" s="1">
        <f t="shared" si="90"/>
        <v>0.17589878486744662</v>
      </c>
      <c r="AA508" s="8">
        <f t="shared" si="95"/>
        <v>41.333333333333414</v>
      </c>
      <c r="AB508" s="1">
        <v>41.42</v>
      </c>
      <c r="AC508" s="1">
        <v>7.5738115129999999E-3</v>
      </c>
      <c r="AD508" s="8">
        <f t="shared" si="91"/>
        <v>1.0954697885703999</v>
      </c>
      <c r="AE508" s="3">
        <f t="shared" si="92"/>
        <v>1.4463916704159996E-2</v>
      </c>
      <c r="AF508" s="11">
        <f t="shared" si="93"/>
        <v>41.333333333333414</v>
      </c>
      <c r="AG508" s="1">
        <f t="shared" si="94"/>
        <v>0.17589878486744662</v>
      </c>
    </row>
    <row r="509" spans="2:33" ht="15" x14ac:dyDescent="0.25">
      <c r="B509" s="1">
        <v>498</v>
      </c>
      <c r="C509" s="1">
        <v>1.0008804091384829</v>
      </c>
      <c r="D509" s="1">
        <v>1.2020186069843639</v>
      </c>
      <c r="E509" s="1">
        <v>0.8308316902217372</v>
      </c>
      <c r="G509" s="1">
        <v>1.0004055551134468</v>
      </c>
      <c r="H509" s="1">
        <v>4.4750443802829816</v>
      </c>
      <c r="I509" s="1">
        <v>0.17547793163580158</v>
      </c>
      <c r="K509" s="1">
        <v>1.0001539015738694</v>
      </c>
      <c r="L509" s="1">
        <v>5.186283874962581</v>
      </c>
      <c r="M509" s="1">
        <v>0.1478337166794331</v>
      </c>
      <c r="O509" s="1">
        <v>7.4631165554896479E-3</v>
      </c>
      <c r="P509" s="1">
        <v>0.7336528364987539</v>
      </c>
      <c r="R509" s="1">
        <v>0.25121865281020245</v>
      </c>
      <c r="S509" s="2">
        <f t="shared" si="96"/>
        <v>1.1340738733842957</v>
      </c>
      <c r="T509" s="4">
        <f t="shared" si="97"/>
        <v>1.2861235502928594</v>
      </c>
      <c r="U509" s="1">
        <f t="shared" si="100"/>
        <v>0.81593991300940294</v>
      </c>
      <c r="V509" s="6">
        <f>2*sigma/alpha*corel*(B509/12-1/alpha*(1-EXP(-alpha*Output!B509/12)))</f>
        <v>2.6566843128172515</v>
      </c>
      <c r="W509" s="5">
        <f t="shared" si="98"/>
        <v>-0.47018363728345647</v>
      </c>
      <c r="X509" s="1">
        <f t="shared" si="99"/>
        <v>85.108455327023037</v>
      </c>
      <c r="Y509" s="3">
        <f t="shared" si="89"/>
        <v>7.9141446811918176E-2</v>
      </c>
      <c r="Z509" s="1">
        <f t="shared" si="90"/>
        <v>0.17604240660340764</v>
      </c>
      <c r="AA509" s="8">
        <f t="shared" si="95"/>
        <v>41.41666666666675</v>
      </c>
      <c r="AB509" s="1">
        <v>41.5</v>
      </c>
      <c r="AC509" s="1">
        <v>7.5735499059999996E-3</v>
      </c>
      <c r="AD509" s="8">
        <f t="shared" si="91"/>
        <v>1.104333505103517</v>
      </c>
      <c r="AE509" s="3">
        <f t="shared" si="92"/>
        <v>1.4581451483255296E-2</v>
      </c>
      <c r="AF509" s="11">
        <f t="shared" si="93"/>
        <v>41.41666666666675</v>
      </c>
      <c r="AG509" s="1">
        <f t="shared" si="94"/>
        <v>0.17604240660340764</v>
      </c>
    </row>
    <row r="510" spans="2:33" ht="15" x14ac:dyDescent="0.25">
      <c r="B510" s="1">
        <v>499</v>
      </c>
      <c r="C510" s="1">
        <v>1.0008857248120622</v>
      </c>
      <c r="D510" s="1">
        <v>1.2020497344574421</v>
      </c>
      <c r="E510" s="1">
        <v>0.83080793321613677</v>
      </c>
      <c r="G510" s="1">
        <v>1.0006999102246268</v>
      </c>
      <c r="H510" s="1">
        <v>4.4689033260492552</v>
      </c>
      <c r="I510" s="1">
        <v>0.17563399788573783</v>
      </c>
      <c r="K510" s="1">
        <v>1.0000100287710727</v>
      </c>
      <c r="L510" s="1">
        <v>5.2486941621607368</v>
      </c>
      <c r="M510" s="1">
        <v>0.1460011974231053</v>
      </c>
      <c r="O510" s="1">
        <v>7.4619249650760911E-3</v>
      </c>
      <c r="P510" s="1">
        <v>0.73323303132007622</v>
      </c>
      <c r="R510" s="1">
        <v>0.25149623043043506</v>
      </c>
      <c r="S510" s="2">
        <f t="shared" si="96"/>
        <v>1.135987131416669</v>
      </c>
      <c r="T510" s="4">
        <f t="shared" si="97"/>
        <v>1.2904667627442723</v>
      </c>
      <c r="U510" s="1">
        <f t="shared" si="100"/>
        <v>0.81935859906374242</v>
      </c>
      <c r="V510" s="6">
        <f>2*sigma/alpha*corel*(B510/12-1/alpha*(1-EXP(-alpha*Output!B510/12)))</f>
        <v>2.6651236624670713</v>
      </c>
      <c r="W510" s="5">
        <f t="shared" si="98"/>
        <v>-0.47110816368052988</v>
      </c>
      <c r="X510" s="1">
        <f t="shared" si="99"/>
        <v>85.463875361770036</v>
      </c>
      <c r="Y510" s="3">
        <f t="shared" si="89"/>
        <v>7.9112750367451218E-2</v>
      </c>
      <c r="Z510" s="1">
        <f t="shared" si="90"/>
        <v>0.17616262044925884</v>
      </c>
      <c r="AA510" s="8">
        <f t="shared" si="95"/>
        <v>41.500000000000085</v>
      </c>
      <c r="AB510" s="1">
        <v>41.58</v>
      </c>
      <c r="AC510" s="1">
        <v>7.5732893499999999E-3</v>
      </c>
      <c r="AD510" s="8">
        <f t="shared" si="91"/>
        <v>1.1136438492390881</v>
      </c>
      <c r="AE510" s="3">
        <f t="shared" si="92"/>
        <v>1.4704889748324328E-2</v>
      </c>
      <c r="AF510" s="11">
        <f t="shared" si="93"/>
        <v>41.500000000000085</v>
      </c>
      <c r="AG510" s="1">
        <f t="shared" si="94"/>
        <v>0.17616262044925884</v>
      </c>
    </row>
    <row r="511" spans="2:33" ht="15" x14ac:dyDescent="0.25">
      <c r="B511" s="1">
        <v>500</v>
      </c>
      <c r="C511" s="1">
        <v>1.0008896986586271</v>
      </c>
      <c r="D511" s="1">
        <v>1.204662558390009</v>
      </c>
      <c r="E511" s="1">
        <v>0.82900373021173879</v>
      </c>
      <c r="G511" s="1">
        <v>1.0008515166039689</v>
      </c>
      <c r="H511" s="1">
        <v>4.6514775065641301</v>
      </c>
      <c r="I511" s="1">
        <v>0.16865853107769796</v>
      </c>
      <c r="K511" s="1">
        <v>1.0000754477603706</v>
      </c>
      <c r="L511" s="1">
        <v>5.3575116620139251</v>
      </c>
      <c r="M511" s="1">
        <v>0.14296805788372205</v>
      </c>
      <c r="O511" s="1">
        <v>7.4607339871189081E-3</v>
      </c>
      <c r="P511" s="1">
        <v>0.73281359319400263</v>
      </c>
      <c r="R511" s="1">
        <v>0.25195326728711309</v>
      </c>
      <c r="S511" s="2">
        <f t="shared" si="96"/>
        <v>1.1385430547946187</v>
      </c>
      <c r="T511" s="4">
        <f t="shared" si="97"/>
        <v>1.2962802876210622</v>
      </c>
      <c r="U511" s="1">
        <f t="shared" si="100"/>
        <v>0.82278261823150656</v>
      </c>
      <c r="V511" s="6">
        <f>2*sigma/alpha*corel*(B511/12-1/alpha*(1-EXP(-alpha*Output!B511/12)))</f>
        <v>2.6735695922007134</v>
      </c>
      <c r="W511" s="5">
        <f t="shared" si="98"/>
        <v>-0.47349766938955562</v>
      </c>
      <c r="X511" s="1">
        <f t="shared" si="99"/>
        <v>86.064252595932885</v>
      </c>
      <c r="Y511" s="3">
        <f t="shared" si="89"/>
        <v>7.9242150291364277E-2</v>
      </c>
      <c r="Z511" s="1">
        <f t="shared" si="90"/>
        <v>0.17638233160638708</v>
      </c>
      <c r="AA511" s="8">
        <f t="shared" si="95"/>
        <v>41.583333333333421</v>
      </c>
      <c r="AB511" s="1">
        <v>41.67</v>
      </c>
      <c r="AC511" s="1">
        <v>7.5730298380000003E-3</v>
      </c>
      <c r="AD511" s="8">
        <f t="shared" si="91"/>
        <v>1.1229585088109224</v>
      </c>
      <c r="AE511" s="3">
        <f t="shared" si="92"/>
        <v>1.4828391447451239E-2</v>
      </c>
      <c r="AF511" s="11">
        <f t="shared" si="93"/>
        <v>41.583333333333421</v>
      </c>
      <c r="AG511" s="1">
        <f t="shared" si="94"/>
        <v>0.17638233160638708</v>
      </c>
    </row>
    <row r="512" spans="2:33" ht="15" x14ac:dyDescent="0.25">
      <c r="B512" s="1">
        <v>501</v>
      </c>
      <c r="C512" s="1">
        <v>1.0008944959966197</v>
      </c>
      <c r="D512" s="1">
        <v>1.2057739888361836</v>
      </c>
      <c r="E512" s="1">
        <v>0.82823734563256157</v>
      </c>
      <c r="G512" s="1">
        <v>1.0011108640997497</v>
      </c>
      <c r="H512" s="1">
        <v>4.7039313531183655</v>
      </c>
      <c r="I512" s="1">
        <v>0.16669706500166973</v>
      </c>
      <c r="K512" s="1">
        <v>1.0001823672030847</v>
      </c>
      <c r="L512" s="1">
        <v>5.2888391333515576</v>
      </c>
      <c r="M512" s="1">
        <v>0.14473948943969331</v>
      </c>
      <c r="O512" s="1">
        <v>7.4596525680039492E-3</v>
      </c>
      <c r="P512" s="1">
        <v>0.73239119035586597</v>
      </c>
      <c r="R512" s="1">
        <v>0.25238326910129788</v>
      </c>
      <c r="S512" s="2">
        <f t="shared" si="96"/>
        <v>1.1410121166820983</v>
      </c>
      <c r="T512" s="4">
        <f t="shared" si="97"/>
        <v>1.3019086504153623</v>
      </c>
      <c r="U512" s="1">
        <f t="shared" si="100"/>
        <v>0.82621195690108484</v>
      </c>
      <c r="V512" s="6">
        <f>2*sigma/alpha*corel*(B512/12-1/alpha*(1-EXP(-alpha*Output!B512/12)))</f>
        <v>2.6820220801210839</v>
      </c>
      <c r="W512" s="5">
        <f t="shared" si="98"/>
        <v>-0.47569669351427746</v>
      </c>
      <c r="X512" s="1">
        <f t="shared" si="99"/>
        <v>86.634590255141362</v>
      </c>
      <c r="Y512" s="3">
        <f t="shared" si="89"/>
        <v>7.9350279560497727E-2</v>
      </c>
      <c r="Z512" s="1">
        <f t="shared" si="90"/>
        <v>0.1765883368983118</v>
      </c>
      <c r="AA512" s="8">
        <f t="shared" si="95"/>
        <v>41.666666666666757</v>
      </c>
      <c r="AB512" s="1">
        <v>41.75</v>
      </c>
      <c r="AC512" s="1">
        <v>7.5727713640000001E-3</v>
      </c>
      <c r="AD512" s="8">
        <f t="shared" si="91"/>
        <v>1.1311879599605092</v>
      </c>
      <c r="AE512" s="3">
        <f t="shared" si="92"/>
        <v>1.4937569161773908E-2</v>
      </c>
      <c r="AF512" s="11">
        <f t="shared" si="93"/>
        <v>41.666666666666757</v>
      </c>
      <c r="AG512" s="1">
        <f t="shared" si="94"/>
        <v>0.1765883368983118</v>
      </c>
    </row>
    <row r="513" spans="2:33" ht="15" x14ac:dyDescent="0.25">
      <c r="B513" s="1">
        <v>502</v>
      </c>
      <c r="C513" s="1">
        <v>1.0008988157520013</v>
      </c>
      <c r="D513" s="1">
        <v>1.2062096221166994</v>
      </c>
      <c r="E513" s="1">
        <v>0.82793597187739687</v>
      </c>
      <c r="G513" s="1">
        <v>1.0013131416041696</v>
      </c>
      <c r="H513" s="1">
        <v>4.718022566898342</v>
      </c>
      <c r="I513" s="1">
        <v>0.16611873027512067</v>
      </c>
      <c r="K513" s="1">
        <v>1.0003360162271826</v>
      </c>
      <c r="L513" s="1">
        <v>5.4146797149578694</v>
      </c>
      <c r="M513" s="1">
        <v>0.14130420841042426</v>
      </c>
      <c r="O513" s="1">
        <v>7.4585534855167029E-3</v>
      </c>
      <c r="P513" s="1">
        <v>0.73196970378872295</v>
      </c>
      <c r="R513" s="1">
        <v>0.25277768861529604</v>
      </c>
      <c r="S513" s="2">
        <f t="shared" si="96"/>
        <v>1.1433548948704544</v>
      </c>
      <c r="T513" s="4">
        <f t="shared" si="97"/>
        <v>1.3072604156242278</v>
      </c>
      <c r="U513" s="1">
        <f t="shared" si="100"/>
        <v>0.82964660147868274</v>
      </c>
      <c r="V513" s="6">
        <f>2*sigma/alpha*corel*(B513/12-1/alpha*(1-EXP(-alpha*Output!B513/12)))</f>
        <v>2.6904811044039514</v>
      </c>
      <c r="W513" s="5">
        <f t="shared" si="98"/>
        <v>-0.47761381414554505</v>
      </c>
      <c r="X513" s="1">
        <f t="shared" si="99"/>
        <v>87.159400140175904</v>
      </c>
      <c r="Y513" s="3">
        <f t="shared" si="89"/>
        <v>7.9427555172835188E-2</v>
      </c>
      <c r="Z513" s="1">
        <f t="shared" si="90"/>
        <v>0.17677458234465993</v>
      </c>
      <c r="AA513" s="8">
        <f t="shared" si="95"/>
        <v>41.750000000000092</v>
      </c>
      <c r="AB513" s="1">
        <v>41.83</v>
      </c>
      <c r="AC513" s="1">
        <v>7.5725139220000001E-3</v>
      </c>
      <c r="AD513" s="8">
        <f t="shared" si="91"/>
        <v>1.1396043648329717</v>
      </c>
      <c r="AE513" s="3">
        <f t="shared" si="92"/>
        <v>1.5049221124865059E-2</v>
      </c>
      <c r="AF513" s="11">
        <f t="shared" si="93"/>
        <v>41.750000000000092</v>
      </c>
      <c r="AG513" s="1">
        <f t="shared" si="94"/>
        <v>0.17677458234465993</v>
      </c>
    </row>
    <row r="514" spans="2:33" ht="15" x14ac:dyDescent="0.25">
      <c r="B514" s="1">
        <v>503</v>
      </c>
      <c r="C514" s="1">
        <v>1.0008958928829566</v>
      </c>
      <c r="D514" s="1">
        <v>1.2087581346845491</v>
      </c>
      <c r="E514" s="1">
        <v>0.82618812596389513</v>
      </c>
      <c r="G514" s="1">
        <v>1.0009557178273787</v>
      </c>
      <c r="H514" s="1">
        <v>4.8059876395116143</v>
      </c>
      <c r="I514" s="1">
        <v>0.16299926784839189</v>
      </c>
      <c r="K514" s="1">
        <v>1.0002172156016595</v>
      </c>
      <c r="L514" s="1">
        <v>5.3405736551227996</v>
      </c>
      <c r="M514" s="1">
        <v>0.14318452635799003</v>
      </c>
      <c r="O514" s="1">
        <v>7.4575249489947735E-3</v>
      </c>
      <c r="P514" s="1">
        <v>0.73154643056601176</v>
      </c>
      <c r="R514" s="1">
        <v>0.25298801019713729</v>
      </c>
      <c r="S514" s="2">
        <f t="shared" si="96"/>
        <v>1.1450447502977876</v>
      </c>
      <c r="T514" s="4">
        <f t="shared" si="97"/>
        <v>1.3111274801845227</v>
      </c>
      <c r="U514" s="1">
        <f t="shared" si="100"/>
        <v>0.83308653838844515</v>
      </c>
      <c r="V514" s="6">
        <f>2*sigma/alpha*corel*(B514/12-1/alpha*(1-EXP(-alpha*Output!B514/12)))</f>
        <v>2.6989466432977141</v>
      </c>
      <c r="W514" s="5">
        <f t="shared" si="98"/>
        <v>-0.47804094179607759</v>
      </c>
      <c r="X514" s="1">
        <f t="shared" si="99"/>
        <v>87.435844224510333</v>
      </c>
      <c r="Y514" s="3">
        <f t="shared" si="89"/>
        <v>7.9345132298613189E-2</v>
      </c>
      <c r="Z514" s="1">
        <f t="shared" si="90"/>
        <v>0.17685978408071767</v>
      </c>
      <c r="AA514" s="8">
        <f t="shared" si="95"/>
        <v>41.833333333333428</v>
      </c>
      <c r="AB514" s="1">
        <v>41.92</v>
      </c>
      <c r="AC514" s="1">
        <v>7.5722575060000004E-3</v>
      </c>
      <c r="AD514" s="8">
        <f t="shared" si="91"/>
        <v>1.1473255700522687</v>
      </c>
      <c r="AE514" s="3">
        <f t="shared" si="92"/>
        <v>1.5151697748566615E-2</v>
      </c>
      <c r="AF514" s="11">
        <f t="shared" si="93"/>
        <v>41.833333333333428</v>
      </c>
      <c r="AG514" s="1">
        <f t="shared" si="94"/>
        <v>0.17685978408071767</v>
      </c>
    </row>
    <row r="515" spans="2:33" ht="15" x14ac:dyDescent="0.25">
      <c r="B515" s="1">
        <v>504</v>
      </c>
      <c r="C515" s="1">
        <v>1.0008968116414114</v>
      </c>
      <c r="D515" s="1">
        <v>1.2071236394426212</v>
      </c>
      <c r="E515" s="1">
        <v>0.82730456288193666</v>
      </c>
      <c r="G515" s="1">
        <v>1.0008973692951026</v>
      </c>
      <c r="H515" s="1">
        <v>4.7454525721493059</v>
      </c>
      <c r="I515" s="1">
        <v>0.16499863470648615</v>
      </c>
      <c r="K515" s="1">
        <v>1.0003968334425479</v>
      </c>
      <c r="L515" s="1">
        <v>5.5710254755743414</v>
      </c>
      <c r="M515" s="1">
        <v>0.13718666994103693</v>
      </c>
      <c r="O515" s="1">
        <v>7.4564927902545115E-3</v>
      </c>
      <c r="P515" s="1">
        <v>0.73112363866717733</v>
      </c>
      <c r="R515" s="1">
        <v>0.25334418382690055</v>
      </c>
      <c r="S515" s="2">
        <f t="shared" si="96"/>
        <v>1.147258460235608</v>
      </c>
      <c r="T515" s="4">
        <f t="shared" si="97"/>
        <v>1.316201974582178</v>
      </c>
      <c r="U515" s="1">
        <f t="shared" si="100"/>
        <v>0.83653175407257896</v>
      </c>
      <c r="V515" s="6">
        <f>2*sigma/alpha*corel*(B515/12-1/alpha*(1-EXP(-alpha*Output!B515/12)))</f>
        <v>2.7074186751231561</v>
      </c>
      <c r="W515" s="5">
        <f t="shared" si="98"/>
        <v>-0.47967022050959907</v>
      </c>
      <c r="X515" s="1">
        <f t="shared" si="99"/>
        <v>87.914712928018261</v>
      </c>
      <c r="Y515" s="3">
        <f t="shared" si="89"/>
        <v>7.9391261028100388E-2</v>
      </c>
      <c r="Z515" s="1">
        <f t="shared" si="90"/>
        <v>0.17702582368670572</v>
      </c>
      <c r="AA515" s="8">
        <f t="shared" si="95"/>
        <v>41.916666666666764</v>
      </c>
      <c r="AB515" s="1">
        <v>42</v>
      </c>
      <c r="AC515" s="1">
        <v>7.5720021090000004E-3</v>
      </c>
      <c r="AD515" s="8">
        <f t="shared" si="91"/>
        <v>1.1550931874548895</v>
      </c>
      <c r="AE515" s="3">
        <f t="shared" si="92"/>
        <v>1.5254792204586923E-2</v>
      </c>
      <c r="AF515" s="11">
        <f t="shared" si="93"/>
        <v>41.916666666666764</v>
      </c>
      <c r="AG515" s="1">
        <f t="shared" si="94"/>
        <v>0.17702582368670572</v>
      </c>
    </row>
    <row r="516" spans="2:33" ht="15" x14ac:dyDescent="0.25">
      <c r="B516" s="1">
        <v>505</v>
      </c>
      <c r="C516" s="1">
        <v>1.0008935121467843</v>
      </c>
      <c r="D516" s="1">
        <v>1.2062260600451495</v>
      </c>
      <c r="E516" s="1">
        <v>0.82791791579899365</v>
      </c>
      <c r="G516" s="1">
        <v>1.0004798309463738</v>
      </c>
      <c r="H516" s="1">
        <v>4.5684258006063514</v>
      </c>
      <c r="I516" s="1">
        <v>0.17130936094093835</v>
      </c>
      <c r="K516" s="1">
        <v>1.0001713184062129</v>
      </c>
      <c r="L516" s="1">
        <v>5.7139421416685323</v>
      </c>
      <c r="M516" s="1">
        <v>0.13368976433741314</v>
      </c>
      <c r="O516" s="1">
        <v>7.455513018884437E-3</v>
      </c>
      <c r="P516" s="1">
        <v>0.73069960588993321</v>
      </c>
      <c r="R516" s="1">
        <v>0.25360214860750108</v>
      </c>
      <c r="S516" s="2">
        <f t="shared" si="96"/>
        <v>1.149125030484514</v>
      </c>
      <c r="T516" s="4">
        <f t="shared" si="97"/>
        <v>1.3204883356860351</v>
      </c>
      <c r="U516" s="1">
        <f t="shared" si="100"/>
        <v>0.83998223499147029</v>
      </c>
      <c r="V516" s="6">
        <f>2*sigma/alpha*corel*(B516/12-1/alpha*(1-EXP(-alpha*Output!B516/12)))</f>
        <v>2.7158971782732024</v>
      </c>
      <c r="W516" s="5">
        <f t="shared" si="98"/>
        <v>-0.48050610069456479</v>
      </c>
      <c r="X516" s="1">
        <f t="shared" si="99"/>
        <v>88.26129109987076</v>
      </c>
      <c r="Y516" s="3">
        <f t="shared" si="89"/>
        <v>7.9352683736331142E-2</v>
      </c>
      <c r="Z516" s="1">
        <f t="shared" si="90"/>
        <v>0.17713819647372836</v>
      </c>
      <c r="AA516" s="8">
        <f t="shared" si="95"/>
        <v>42.000000000000099</v>
      </c>
      <c r="AB516" s="1">
        <v>42.08</v>
      </c>
      <c r="AC516" s="1">
        <v>7.5717477259999999E-3</v>
      </c>
      <c r="AD516" s="8">
        <f t="shared" si="91"/>
        <v>1.1623470711556294</v>
      </c>
      <c r="AE516" s="3">
        <f t="shared" si="92"/>
        <v>1.5351106682600394E-2</v>
      </c>
      <c r="AF516" s="11">
        <f t="shared" si="93"/>
        <v>42.000000000000099</v>
      </c>
      <c r="AG516" s="1">
        <f t="shared" si="94"/>
        <v>0.17713819647372836</v>
      </c>
    </row>
    <row r="517" spans="2:33" ht="15" x14ac:dyDescent="0.25">
      <c r="B517" s="1">
        <v>506</v>
      </c>
      <c r="C517" s="1">
        <v>1.0008945610367406</v>
      </c>
      <c r="D517" s="1">
        <v>1.2088815406208724</v>
      </c>
      <c r="E517" s="1">
        <v>0.8260970139753232</v>
      </c>
      <c r="G517" s="1">
        <v>1.0004274424884041</v>
      </c>
      <c r="H517" s="1">
        <v>4.8091721005443908</v>
      </c>
      <c r="I517" s="1">
        <v>0.16265485566301183</v>
      </c>
      <c r="K517" s="1">
        <v>1.0002359997773587</v>
      </c>
      <c r="L517" s="1">
        <v>5.6743004438165512</v>
      </c>
      <c r="M517" s="1">
        <v>0.13454729467629398</v>
      </c>
      <c r="O517" s="1">
        <v>7.454541655636371E-3</v>
      </c>
      <c r="P517" s="1">
        <v>0.73027567937749061</v>
      </c>
      <c r="R517" s="1">
        <v>0.2539544108348627</v>
      </c>
      <c r="S517" s="2">
        <f t="shared" si="96"/>
        <v>1.1513322719774244</v>
      </c>
      <c r="T517" s="4">
        <f t="shared" si="97"/>
        <v>1.3255660004966978</v>
      </c>
      <c r="U517" s="1">
        <f t="shared" si="100"/>
        <v>0.84343796762380485</v>
      </c>
      <c r="V517" s="6">
        <f>2*sigma/alpha*corel*(B517/12-1/alpha*(1-EXP(-alpha*Output!B517/12)))</f>
        <v>2.7243821312126819</v>
      </c>
      <c r="W517" s="5">
        <f t="shared" si="98"/>
        <v>-0.48212803287289296</v>
      </c>
      <c r="X517" s="1">
        <f t="shared" si="99"/>
        <v>88.741186208098895</v>
      </c>
      <c r="Y517" s="3">
        <f t="shared" si="89"/>
        <v>7.9397690636889076E-2</v>
      </c>
      <c r="Z517" s="1">
        <f t="shared" si="90"/>
        <v>0.17730298316121576</v>
      </c>
      <c r="AA517" s="8">
        <f t="shared" si="95"/>
        <v>42.083333333333435</v>
      </c>
      <c r="AB517" s="1">
        <v>42.17</v>
      </c>
      <c r="AC517" s="1">
        <v>7.5714943509999997E-3</v>
      </c>
      <c r="AD517" s="8">
        <f t="shared" si="91"/>
        <v>1.1695269536362869</v>
      </c>
      <c r="AE517" s="3">
        <f t="shared" si="92"/>
        <v>1.5446448209815049E-2</v>
      </c>
      <c r="AF517" s="11">
        <f t="shared" si="93"/>
        <v>42.083333333333435</v>
      </c>
      <c r="AG517" s="1">
        <f t="shared" si="94"/>
        <v>0.17730298316121576</v>
      </c>
    </row>
    <row r="518" spans="2:33" ht="15" x14ac:dyDescent="0.25">
      <c r="B518" s="1">
        <v>507</v>
      </c>
      <c r="C518" s="1">
        <v>1.0008935525331255</v>
      </c>
      <c r="D518" s="1">
        <v>1.2080135151850355</v>
      </c>
      <c r="E518" s="1">
        <v>0.82668834273537872</v>
      </c>
      <c r="G518" s="1">
        <v>1.0001913616322109</v>
      </c>
      <c r="H518" s="1">
        <v>4.7732226252765173</v>
      </c>
      <c r="I518" s="1">
        <v>0.16380054417668238</v>
      </c>
      <c r="K518" s="1">
        <v>1.0003083047395163</v>
      </c>
      <c r="L518" s="1">
        <v>5.6521689099324126</v>
      </c>
      <c r="M518" s="1">
        <v>0.13500256184584725</v>
      </c>
      <c r="O518" s="1">
        <v>7.4535439456365352E-3</v>
      </c>
      <c r="P518" s="1">
        <v>0.7298529294065802</v>
      </c>
      <c r="R518" s="1">
        <v>0.25426298355833049</v>
      </c>
      <c r="S518" s="2">
        <f t="shared" si="96"/>
        <v>1.1533824471763741</v>
      </c>
      <c r="T518" s="4">
        <f t="shared" si="97"/>
        <v>1.3302910694545613</v>
      </c>
      <c r="U518" s="1">
        <f t="shared" si="100"/>
        <v>0.84689893846668607</v>
      </c>
      <c r="V518" s="6">
        <f>2*sigma/alpha*corel*(B518/12-1/alpha*(1-EXP(-alpha*Output!B518/12)))</f>
        <v>2.7328735124780912</v>
      </c>
      <c r="W518" s="5">
        <f t="shared" si="98"/>
        <v>-0.48339213098787526</v>
      </c>
      <c r="X518" s="1">
        <f t="shared" si="99"/>
        <v>89.161867772155261</v>
      </c>
      <c r="Y518" s="3">
        <f t="shared" si="89"/>
        <v>7.9404528960461074E-2</v>
      </c>
      <c r="Z518" s="1">
        <f t="shared" si="90"/>
        <v>0.17744345341174986</v>
      </c>
      <c r="AA518" s="8">
        <f t="shared" si="95"/>
        <v>42.166666666666771</v>
      </c>
      <c r="AB518" s="1">
        <v>42.25</v>
      </c>
      <c r="AC518" s="1">
        <v>7.5712419770000003E-3</v>
      </c>
      <c r="AD518" s="8">
        <f t="shared" si="91"/>
        <v>1.1769803136346506</v>
      </c>
      <c r="AE518" s="3">
        <f t="shared" si="92"/>
        <v>1.5545406119763362E-2</v>
      </c>
      <c r="AF518" s="11">
        <f t="shared" si="93"/>
        <v>42.166666666666771</v>
      </c>
      <c r="AG518" s="1">
        <f t="shared" si="94"/>
        <v>0.17744345341174986</v>
      </c>
    </row>
    <row r="519" spans="2:33" ht="15" x14ac:dyDescent="0.25">
      <c r="B519" s="1">
        <v>508</v>
      </c>
      <c r="C519" s="1">
        <v>1.0008929616056303</v>
      </c>
      <c r="D519" s="1">
        <v>1.208843843367245</v>
      </c>
      <c r="E519" s="1">
        <v>0.82611823703123066</v>
      </c>
      <c r="G519" s="1">
        <v>1.0000263746775397</v>
      </c>
      <c r="H519" s="1">
        <v>4.8065307375937545</v>
      </c>
      <c r="I519" s="1">
        <v>0.16258668797496081</v>
      </c>
      <c r="K519" s="1">
        <v>1.0003692480885742</v>
      </c>
      <c r="L519" s="1">
        <v>5.6006185865803753</v>
      </c>
      <c r="M519" s="1">
        <v>0.13617403261282099</v>
      </c>
      <c r="O519" s="1">
        <v>7.4525586531183421E-3</v>
      </c>
      <c r="P519" s="1">
        <v>0.72943016201301736</v>
      </c>
      <c r="R519" s="1">
        <v>0.25463991464500635</v>
      </c>
      <c r="S519" s="2">
        <f t="shared" si="96"/>
        <v>1.1556811367516031</v>
      </c>
      <c r="T519" s="4">
        <f t="shared" si="97"/>
        <v>1.3355988898434776</v>
      </c>
      <c r="U519" s="1">
        <f t="shared" si="100"/>
        <v>0.85036513403574743</v>
      </c>
      <c r="V519" s="6">
        <f>2*sigma/alpha*corel*(B519/12-1/alpha*(1-EXP(-alpha*Output!B519/12)))</f>
        <v>2.7413713006773492</v>
      </c>
      <c r="W519" s="5">
        <f t="shared" si="98"/>
        <v>-0.4852337558077302</v>
      </c>
      <c r="X519" s="1">
        <f t="shared" si="99"/>
        <v>89.68136592495307</v>
      </c>
      <c r="Y519" s="3">
        <f t="shared" si="89"/>
        <v>7.9472283063082919E-2</v>
      </c>
      <c r="Z519" s="1">
        <f t="shared" si="90"/>
        <v>0.17762201461261151</v>
      </c>
      <c r="AA519" s="8">
        <f t="shared" si="95"/>
        <v>42.250000000000107</v>
      </c>
      <c r="AB519" s="1">
        <v>42.33</v>
      </c>
      <c r="AC519" s="1">
        <v>7.5709905990000003E-3</v>
      </c>
      <c r="AD519" s="8">
        <f t="shared" si="91"/>
        <v>1.1843194588165815</v>
      </c>
      <c r="AE519" s="3">
        <f t="shared" si="92"/>
        <v>1.5642859984174463E-2</v>
      </c>
      <c r="AF519" s="11">
        <f t="shared" si="93"/>
        <v>42.250000000000107</v>
      </c>
      <c r="AG519" s="1">
        <f t="shared" si="94"/>
        <v>0.17762201461261151</v>
      </c>
    </row>
    <row r="520" spans="2:33" ht="15" x14ac:dyDescent="0.25">
      <c r="B520" s="1">
        <v>509</v>
      </c>
      <c r="C520" s="1">
        <v>1.0008927461047461</v>
      </c>
      <c r="D520" s="1">
        <v>1.2093116893477736</v>
      </c>
      <c r="E520" s="1">
        <v>0.82579636167099268</v>
      </c>
      <c r="G520" s="1">
        <v>0.9998500175927586</v>
      </c>
      <c r="H520" s="1">
        <v>4.8172952579474542</v>
      </c>
      <c r="I520" s="1">
        <v>0.16214483465340643</v>
      </c>
      <c r="K520" s="1">
        <v>1.000465088723981</v>
      </c>
      <c r="L520" s="1">
        <v>5.6066407816268518</v>
      </c>
      <c r="M520" s="1">
        <v>0.13595684079162018</v>
      </c>
      <c r="O520" s="1">
        <v>7.451485959619383E-3</v>
      </c>
      <c r="P520" s="1">
        <v>0.72901046184687346</v>
      </c>
      <c r="R520" s="1">
        <v>0.25504488821017929</v>
      </c>
      <c r="S520" s="2">
        <f t="shared" si="96"/>
        <v>1.1580768765689495</v>
      </c>
      <c r="T520" s="4">
        <f t="shared" si="97"/>
        <v>1.3411420520436941</v>
      </c>
      <c r="U520" s="1">
        <f t="shared" si="100"/>
        <v>0.85383654086527017</v>
      </c>
      <c r="V520" s="6">
        <f>2*sigma/alpha*corel*(B520/12-1/alpha*(1-EXP(-alpha*Output!B520/12)))</f>
        <v>2.7498754744895639</v>
      </c>
      <c r="W520" s="5">
        <f t="shared" si="98"/>
        <v>-0.48730551117842391</v>
      </c>
      <c r="X520" s="1">
        <f t="shared" si="99"/>
        <v>90.241316855138464</v>
      </c>
      <c r="Y520" s="3">
        <f t="shared" si="89"/>
        <v>7.9563860592061261E-2</v>
      </c>
      <c r="Z520" s="1">
        <f t="shared" si="90"/>
        <v>0.17781529800709589</v>
      </c>
      <c r="AA520" s="8">
        <f t="shared" si="95"/>
        <v>42.333333333333442</v>
      </c>
      <c r="AB520" s="1">
        <v>42.42</v>
      </c>
      <c r="AC520" s="1">
        <v>7.5707402100000003E-3</v>
      </c>
      <c r="AD520" s="8">
        <f t="shared" si="91"/>
        <v>1.1925425038061734</v>
      </c>
      <c r="AE520" s="3">
        <f t="shared" si="92"/>
        <v>1.5751993473913872E-2</v>
      </c>
      <c r="AF520" s="11">
        <f t="shared" si="93"/>
        <v>42.333333333333442</v>
      </c>
      <c r="AG520" s="1">
        <f t="shared" si="94"/>
        <v>0.17781529800709589</v>
      </c>
    </row>
    <row r="521" spans="2:33" ht="15" x14ac:dyDescent="0.25">
      <c r="B521" s="1">
        <v>510</v>
      </c>
      <c r="C521" s="1">
        <v>1.0008952953129913</v>
      </c>
      <c r="D521" s="1">
        <v>1.2162789199242299</v>
      </c>
      <c r="E521" s="1">
        <v>0.82106367191641638</v>
      </c>
      <c r="G521" s="1">
        <v>0.99992624429341903</v>
      </c>
      <c r="H521" s="1">
        <v>5.0699356978304353</v>
      </c>
      <c r="I521" s="1">
        <v>0.15399038555773664</v>
      </c>
      <c r="K521" s="1">
        <v>1.0003778982400711</v>
      </c>
      <c r="L521" s="1">
        <v>5.4696737787502707</v>
      </c>
      <c r="M521" s="1">
        <v>0.13928472649259177</v>
      </c>
      <c r="O521" s="1">
        <v>7.4503371215401647E-3</v>
      </c>
      <c r="P521" s="1">
        <v>0.72859349125745121</v>
      </c>
      <c r="R521" s="1">
        <v>0.25530685995187835</v>
      </c>
      <c r="S521" s="2">
        <f t="shared" si="96"/>
        <v>1.1599537957292558</v>
      </c>
      <c r="T521" s="4">
        <f t="shared" si="97"/>
        <v>1.3454928082267081</v>
      </c>
      <c r="U521" s="1">
        <f t="shared" si="100"/>
        <v>0.85731314550829074</v>
      </c>
      <c r="V521" s="6">
        <f>2*sigma/alpha*corel*(B521/12-1/alpha*(1-EXP(-alpha*Output!B521/12)))</f>
        <v>2.7583860126647957</v>
      </c>
      <c r="W521" s="5">
        <f t="shared" si="98"/>
        <v>-0.4881796627184174</v>
      </c>
      <c r="X521" s="1">
        <f t="shared" si="99"/>
        <v>90.599236056995736</v>
      </c>
      <c r="Y521" s="3">
        <f t="shared" si="89"/>
        <v>7.9529142175240014E-2</v>
      </c>
      <c r="Z521" s="1">
        <f t="shared" si="90"/>
        <v>0.17792879000099074</v>
      </c>
      <c r="AA521" s="8">
        <f t="shared" si="95"/>
        <v>42.416666666666778</v>
      </c>
      <c r="AB521" s="1">
        <v>42.5</v>
      </c>
      <c r="AC521" s="1">
        <v>7.5704908049999999E-3</v>
      </c>
      <c r="AD521" s="8">
        <f t="shared" si="91"/>
        <v>1.2015368345983517</v>
      </c>
      <c r="AE521" s="3">
        <f t="shared" si="92"/>
        <v>1.5871320176556923E-2</v>
      </c>
      <c r="AF521" s="11">
        <f t="shared" si="93"/>
        <v>42.416666666666778</v>
      </c>
      <c r="AG521" s="1">
        <f t="shared" si="94"/>
        <v>0.17792879000099074</v>
      </c>
    </row>
    <row r="522" spans="2:33" ht="15" x14ac:dyDescent="0.25">
      <c r="B522" s="1">
        <v>511</v>
      </c>
      <c r="C522" s="1">
        <v>1.0009020762125289</v>
      </c>
      <c r="D522" s="1">
        <v>1.2227945193403074</v>
      </c>
      <c r="E522" s="1">
        <v>0.8166864158485172</v>
      </c>
      <c r="G522" s="1">
        <v>1.0003356588161936</v>
      </c>
      <c r="H522" s="1">
        <v>5.3149026176664247</v>
      </c>
      <c r="I522" s="1">
        <v>0.14682175735370809</v>
      </c>
      <c r="K522" s="1">
        <v>1.0003815789512183</v>
      </c>
      <c r="L522" s="1">
        <v>5.4729462793793688</v>
      </c>
      <c r="M522" s="1">
        <v>0.13912889362768863</v>
      </c>
      <c r="O522" s="1">
        <v>7.4491766022168771E-3</v>
      </c>
      <c r="P522" s="1">
        <v>0.72817726080247436</v>
      </c>
      <c r="R522" s="1">
        <v>0.2555900707446887</v>
      </c>
      <c r="S522" s="2">
        <f t="shared" si="96"/>
        <v>1.1619078118826518</v>
      </c>
      <c r="T522" s="4">
        <f t="shared" si="97"/>
        <v>1.3500297633139318</v>
      </c>
      <c r="U522" s="1">
        <f t="shared" si="100"/>
        <v>0.86079493453671629</v>
      </c>
      <c r="V522" s="6">
        <f>2*sigma/alpha*corel*(B522/12-1/alpha*(1-EXP(-alpha*Output!B522/12)))</f>
        <v>2.7669028940238198</v>
      </c>
      <c r="W522" s="5">
        <f t="shared" si="98"/>
        <v>-0.48923482877721547</v>
      </c>
      <c r="X522" s="1">
        <f t="shared" si="99"/>
        <v>90.988750793343087</v>
      </c>
      <c r="Y522" s="3">
        <f t="shared" si="89"/>
        <v>7.9513496868311301E-2</v>
      </c>
      <c r="Z522" s="1">
        <f t="shared" si="90"/>
        <v>0.17805404509334818</v>
      </c>
      <c r="AA522" s="8">
        <f t="shared" si="95"/>
        <v>42.500000000000114</v>
      </c>
      <c r="AB522" s="1">
        <v>42.58</v>
      </c>
      <c r="AC522" s="1">
        <v>7.5702423790000003E-3</v>
      </c>
      <c r="AD522" s="8">
        <f t="shared" si="91"/>
        <v>1.2106577678312314</v>
      </c>
      <c r="AE522" s="3">
        <f t="shared" si="92"/>
        <v>1.5992325043510093E-2</v>
      </c>
      <c r="AF522" s="11">
        <f t="shared" si="93"/>
        <v>42.500000000000114</v>
      </c>
      <c r="AG522" s="1">
        <f t="shared" si="94"/>
        <v>0.17805404509334818</v>
      </c>
    </row>
    <row r="523" spans="2:33" ht="15" x14ac:dyDescent="0.25">
      <c r="B523" s="1">
        <v>512</v>
      </c>
      <c r="C523" s="1">
        <v>1.0009027065352283</v>
      </c>
      <c r="D523" s="1">
        <v>1.224183263014383</v>
      </c>
      <c r="E523" s="1">
        <v>0.81575768500511614</v>
      </c>
      <c r="G523" s="1">
        <v>1.0002257895940765</v>
      </c>
      <c r="H523" s="1">
        <v>5.3669562900160326</v>
      </c>
      <c r="I523" s="1">
        <v>0.14532734561287627</v>
      </c>
      <c r="K523" s="1">
        <v>1.0003341734834594</v>
      </c>
      <c r="L523" s="1">
        <v>5.5231095106923584</v>
      </c>
      <c r="M523" s="1">
        <v>0.13779316234841785</v>
      </c>
      <c r="O523" s="1">
        <v>7.4480296920140954E-3</v>
      </c>
      <c r="P523" s="1">
        <v>0.72776098631613306</v>
      </c>
      <c r="R523" s="1">
        <v>0.25586291144120998</v>
      </c>
      <c r="S523" s="2">
        <f t="shared" si="96"/>
        <v>1.1638266906710586</v>
      </c>
      <c r="T523" s="4">
        <f t="shared" si="97"/>
        <v>1.354492565918348</v>
      </c>
      <c r="U523" s="1">
        <f t="shared" si="100"/>
        <v>0.86428189454142856</v>
      </c>
      <c r="V523" s="6">
        <f>2*sigma/alpha*corel*(B523/12-1/alpha*(1-EXP(-alpha*Output!B523/12)))</f>
        <v>2.7754260974578893</v>
      </c>
      <c r="W523" s="5">
        <f t="shared" si="98"/>
        <v>-0.49021067137691943</v>
      </c>
      <c r="X523" s="1">
        <f t="shared" si="99"/>
        <v>91.365611270777919</v>
      </c>
      <c r="Y523" s="3">
        <f t="shared" si="89"/>
        <v>7.9489569665401147E-2</v>
      </c>
      <c r="Z523" s="1">
        <f t="shared" si="90"/>
        <v>0.17817384632350305</v>
      </c>
      <c r="AA523" s="8">
        <f t="shared" si="95"/>
        <v>42.583333333333449</v>
      </c>
      <c r="AB523" s="1">
        <v>42.67</v>
      </c>
      <c r="AC523" s="1">
        <v>7.5699949250000002E-3</v>
      </c>
      <c r="AD523" s="8">
        <f t="shared" si="91"/>
        <v>1.219652329859048</v>
      </c>
      <c r="AE523" s="3">
        <f t="shared" si="92"/>
        <v>1.6111666413819267E-2</v>
      </c>
      <c r="AF523" s="11">
        <f t="shared" si="93"/>
        <v>42.583333333333449</v>
      </c>
      <c r="AG523" s="1">
        <f t="shared" si="94"/>
        <v>0.17817384632350305</v>
      </c>
    </row>
    <row r="524" spans="2:33" ht="15" x14ac:dyDescent="0.25">
      <c r="B524" s="1">
        <v>513</v>
      </c>
      <c r="C524" s="1">
        <v>1.000904906771245</v>
      </c>
      <c r="D524" s="1">
        <v>1.2254725068543757</v>
      </c>
      <c r="E524" s="1">
        <v>0.81489721325513143</v>
      </c>
      <c r="G524" s="1">
        <v>1.0002752118771703</v>
      </c>
      <c r="H524" s="1">
        <v>5.4120367461780585</v>
      </c>
      <c r="I524" s="1">
        <v>0.14404703762061752</v>
      </c>
      <c r="K524" s="1">
        <v>1.0004842515179888</v>
      </c>
      <c r="L524" s="1">
        <v>5.634823826606552</v>
      </c>
      <c r="M524" s="1">
        <v>0.13498932727973703</v>
      </c>
      <c r="O524" s="1">
        <v>7.4468426187639537E-3</v>
      </c>
      <c r="P524" s="1">
        <v>0.72734633766414258</v>
      </c>
      <c r="R524" s="1">
        <v>0.25627463793576682</v>
      </c>
      <c r="S524" s="2">
        <f t="shared" si="96"/>
        <v>1.1662462762763919</v>
      </c>
      <c r="T524" s="4">
        <f t="shared" si="97"/>
        <v>1.3601303769285502</v>
      </c>
      <c r="U524" s="1">
        <f t="shared" si="100"/>
        <v>0.86777401213239758</v>
      </c>
      <c r="V524" s="6">
        <f>2*sigma/alpha*corel*(B524/12-1/alpha*(1-EXP(-alpha*Output!B524/12)))</f>
        <v>2.7839556019285068</v>
      </c>
      <c r="W524" s="5">
        <f t="shared" si="98"/>
        <v>-0.49235636479615263</v>
      </c>
      <c r="X524" s="1">
        <f t="shared" si="99"/>
        <v>91.943347173651219</v>
      </c>
      <c r="Y524" s="3">
        <f t="shared" si="89"/>
        <v>7.9587763241990961E-2</v>
      </c>
      <c r="Z524" s="1">
        <f t="shared" si="90"/>
        <v>0.17837016356383892</v>
      </c>
      <c r="AA524" s="8">
        <f t="shared" si="95"/>
        <v>42.666666666666785</v>
      </c>
      <c r="AB524" s="1">
        <v>42.75</v>
      </c>
      <c r="AC524" s="1">
        <v>7.5697484369999998E-3</v>
      </c>
      <c r="AD524" s="8">
        <f t="shared" si="91"/>
        <v>1.2290581823604616</v>
      </c>
      <c r="AE524" s="3">
        <f t="shared" si="92"/>
        <v>1.6236446859356334E-2</v>
      </c>
      <c r="AF524" s="11">
        <f t="shared" si="93"/>
        <v>42.666666666666785</v>
      </c>
      <c r="AG524" s="1">
        <f t="shared" si="94"/>
        <v>0.17837016356383892</v>
      </c>
    </row>
    <row r="525" spans="2:33" ht="15" x14ac:dyDescent="0.25">
      <c r="B525" s="1">
        <v>514</v>
      </c>
      <c r="C525" s="1">
        <v>1.0009053379892521</v>
      </c>
      <c r="D525" s="1">
        <v>1.221308637401467</v>
      </c>
      <c r="E525" s="1">
        <v>0.81767320753951078</v>
      </c>
      <c r="G525" s="1">
        <v>1.0001667414574502</v>
      </c>
      <c r="H525" s="1">
        <v>5.2442057442530388</v>
      </c>
      <c r="I525" s="1">
        <v>0.14858501501714327</v>
      </c>
      <c r="K525" s="1">
        <v>1.0002755673662287</v>
      </c>
      <c r="L525" s="1">
        <v>5.7757625429986126</v>
      </c>
      <c r="M525" s="1">
        <v>0.1316231613591525</v>
      </c>
      <c r="O525" s="1">
        <v>7.445629901949375E-3</v>
      </c>
      <c r="P525" s="1">
        <v>0.72693286754451369</v>
      </c>
      <c r="R525" s="1">
        <v>0.25664649476558021</v>
      </c>
      <c r="S525" s="2">
        <f t="shared" si="96"/>
        <v>1.1685219806856659</v>
      </c>
      <c r="T525" s="4">
        <f t="shared" si="97"/>
        <v>1.3654436193455519</v>
      </c>
      <c r="U525" s="1">
        <f t="shared" si="100"/>
        <v>0.87127127393878245</v>
      </c>
      <c r="V525" s="6">
        <f>2*sigma/alpha*corel*(B525/12-1/alpha*(1-EXP(-alpha*Output!B525/12)))</f>
        <v>2.7924913864671823</v>
      </c>
      <c r="W525" s="5">
        <f t="shared" si="98"/>
        <v>-0.49417234540676946</v>
      </c>
      <c r="X525" s="1">
        <f t="shared" si="99"/>
        <v>92.466203323186576</v>
      </c>
      <c r="Y525" s="3">
        <f t="shared" ref="Y525:Y588" si="101">(-V525+SQRT(X525))/2/B525*12</f>
        <v>7.9651091186224432E-2</v>
      </c>
      <c r="Z525" s="1">
        <f t="shared" ref="Z525:Z588" si="102">S525/SQRT(B525/12)</f>
        <v>0.1785442834482141</v>
      </c>
      <c r="AA525" s="8">
        <f t="shared" si="95"/>
        <v>42.750000000000121</v>
      </c>
      <c r="AB525" s="1">
        <v>42.83</v>
      </c>
      <c r="AC525" s="1">
        <v>7.5695029109999999E-3</v>
      </c>
      <c r="AD525" s="8">
        <f t="shared" ref="AD525:AD588" si="103">(AC525-O525)*10000</f>
        <v>1.2387300905062486</v>
      </c>
      <c r="AE525" s="3">
        <f t="shared" ref="AE525:AE588" si="104">AD525/AC525/10000</f>
        <v>1.6364748188498961E-2</v>
      </c>
      <c r="AF525" s="11">
        <f t="shared" ref="AF525:AF588" si="105">AA525</f>
        <v>42.750000000000121</v>
      </c>
      <c r="AG525" s="1">
        <f t="shared" ref="AG525:AG588" si="106">Z525</f>
        <v>0.1785442834482141</v>
      </c>
    </row>
    <row r="526" spans="2:33" ht="15" x14ac:dyDescent="0.25">
      <c r="B526" s="1">
        <v>515</v>
      </c>
      <c r="C526" s="1">
        <v>1.0009069010243401</v>
      </c>
      <c r="D526" s="1">
        <v>1.2204958320861241</v>
      </c>
      <c r="E526" s="1">
        <v>0.81821546563650249</v>
      </c>
      <c r="G526" s="1">
        <v>1.0001336093142674</v>
      </c>
      <c r="H526" s="1">
        <v>5.2112469488038773</v>
      </c>
      <c r="I526" s="1">
        <v>0.14945234891639406</v>
      </c>
      <c r="K526" s="1">
        <v>1.0003689536690565</v>
      </c>
      <c r="L526" s="1">
        <v>5.7851554250438415</v>
      </c>
      <c r="M526" s="1">
        <v>0.13133899943411956</v>
      </c>
      <c r="O526" s="1">
        <v>7.444426765519813E-3</v>
      </c>
      <c r="P526" s="1">
        <v>0.72651948059699334</v>
      </c>
      <c r="R526" s="1">
        <v>0.2570571302102449</v>
      </c>
      <c r="S526" s="2">
        <f t="shared" si="96"/>
        <v>1.1709407966375036</v>
      </c>
      <c r="T526" s="4">
        <f t="shared" si="97"/>
        <v>1.3711023492300716</v>
      </c>
      <c r="U526" s="1">
        <f t="shared" si="100"/>
        <v>0.87477366660903977</v>
      </c>
      <c r="V526" s="6">
        <f>2*sigma/alpha*corel*(B526/12-1/alpha*(1-EXP(-alpha*Output!B526/12)))</f>
        <v>2.801033430175206</v>
      </c>
      <c r="W526" s="5">
        <f t="shared" si="98"/>
        <v>-0.4963286826210318</v>
      </c>
      <c r="X526" s="1">
        <f t="shared" si="99"/>
        <v>93.048878793569543</v>
      </c>
      <c r="Y526" s="3">
        <f t="shared" si="101"/>
        <v>7.9749334896817903E-2</v>
      </c>
      <c r="Z526" s="1">
        <f t="shared" si="102"/>
        <v>0.17874007917753093</v>
      </c>
      <c r="AA526" s="8">
        <f t="shared" ref="AA526:AA589" si="107">AA525+1/12</f>
        <v>42.833333333333456</v>
      </c>
      <c r="AB526" s="1">
        <v>42.92</v>
      </c>
      <c r="AC526" s="1">
        <v>7.5692583400000001E-3</v>
      </c>
      <c r="AD526" s="8">
        <f t="shared" si="103"/>
        <v>1.2483157448018711</v>
      </c>
      <c r="AE526" s="3">
        <f t="shared" si="104"/>
        <v>1.6491916231807079E-2</v>
      </c>
      <c r="AF526" s="11">
        <f t="shared" si="105"/>
        <v>42.833333333333456</v>
      </c>
      <c r="AG526" s="1">
        <f t="shared" si="106"/>
        <v>0.17874007917753093</v>
      </c>
    </row>
    <row r="527" spans="2:33" ht="15" x14ac:dyDescent="0.25">
      <c r="B527" s="1">
        <v>516</v>
      </c>
      <c r="C527" s="1">
        <v>1.0009093736468839</v>
      </c>
      <c r="D527" s="1">
        <v>1.2188551130300136</v>
      </c>
      <c r="E527" s="1">
        <v>0.81931458791460443</v>
      </c>
      <c r="G527" s="1">
        <v>1.0001776717126003</v>
      </c>
      <c r="H527" s="1">
        <v>5.1488905229080908</v>
      </c>
      <c r="I527" s="1">
        <v>0.1511890729320495</v>
      </c>
      <c r="K527" s="1">
        <v>1.0001080119505714</v>
      </c>
      <c r="L527" s="1">
        <v>5.8781512909077298</v>
      </c>
      <c r="M527" s="1">
        <v>0.12919418549216086</v>
      </c>
      <c r="O527" s="1">
        <v>7.4433740357193181E-3</v>
      </c>
      <c r="P527" s="1">
        <v>0.72610177826464739</v>
      </c>
      <c r="R527" s="1">
        <v>0.25729134571534473</v>
      </c>
      <c r="S527" s="2">
        <f t="shared" si="96"/>
        <v>1.1727327065168136</v>
      </c>
      <c r="T527" s="4">
        <f t="shared" si="97"/>
        <v>1.3753020009342509</v>
      </c>
      <c r="U527" s="1">
        <f t="shared" si="100"/>
        <v>0.87828117681102524</v>
      </c>
      <c r="V527" s="6">
        <f>2*sigma/alpha*corel*(B527/12-1/alpha*(1-EXP(-alpha*Output!B527/12)))</f>
        <v>2.8095817122234163</v>
      </c>
      <c r="W527" s="5">
        <f t="shared" si="98"/>
        <v>-0.49702082412322568</v>
      </c>
      <c r="X527" s="1">
        <f t="shared" si="99"/>
        <v>93.381331146855075</v>
      </c>
      <c r="Y527" s="3">
        <f t="shared" si="101"/>
        <v>7.969558048990226E-2</v>
      </c>
      <c r="Z527" s="1">
        <f t="shared" si="102"/>
        <v>0.17884006112610012</v>
      </c>
      <c r="AA527" s="8">
        <f t="shared" si="107"/>
        <v>42.916666666666792</v>
      </c>
      <c r="AB527" s="1">
        <v>43</v>
      </c>
      <c r="AC527" s="1">
        <v>7.5690147189999999E-3</v>
      </c>
      <c r="AD527" s="8">
        <f t="shared" si="103"/>
        <v>1.2564068328068181</v>
      </c>
      <c r="AE527" s="3">
        <f t="shared" si="104"/>
        <v>1.6599344557395861E-2</v>
      </c>
      <c r="AF527" s="11">
        <f t="shared" si="105"/>
        <v>42.916666666666792</v>
      </c>
      <c r="AG527" s="1">
        <f t="shared" si="106"/>
        <v>0.17884006112610012</v>
      </c>
    </row>
    <row r="528" spans="2:33" ht="15" x14ac:dyDescent="0.25">
      <c r="B528" s="1">
        <v>517</v>
      </c>
      <c r="C528" s="1">
        <v>1.0009121178211504</v>
      </c>
      <c r="D528" s="1">
        <v>1.2162011372673573</v>
      </c>
      <c r="E528" s="1">
        <v>0.82110018419554442</v>
      </c>
      <c r="G528" s="1">
        <v>1.0002641713664187</v>
      </c>
      <c r="H528" s="1">
        <v>5.0454724904419672</v>
      </c>
      <c r="I528" s="1">
        <v>0.1542133175505136</v>
      </c>
      <c r="K528" s="1">
        <v>1.000034111424333</v>
      </c>
      <c r="L528" s="1">
        <v>5.8591140276992313</v>
      </c>
      <c r="M528" s="1">
        <v>0.12953888496518684</v>
      </c>
      <c r="O528" s="1">
        <v>7.4423848987284153E-3</v>
      </c>
      <c r="P528" s="1">
        <v>0.72568245518899976</v>
      </c>
      <c r="R528" s="1">
        <v>0.25775462036877461</v>
      </c>
      <c r="S528" s="2">
        <f t="shared" si="96"/>
        <v>1.1753615911201283</v>
      </c>
      <c r="T528" s="4">
        <f t="shared" si="97"/>
        <v>1.3814748698804395</v>
      </c>
      <c r="U528" s="1">
        <f t="shared" si="100"/>
        <v>0.881793791232095</v>
      </c>
      <c r="V528" s="6">
        <f>2*sigma/alpha*corel*(B528/12-1/alpha*(1-EXP(-alpha*Output!B528/12)))</f>
        <v>2.8181362118519639</v>
      </c>
      <c r="W528" s="5">
        <f t="shared" si="98"/>
        <v>-0.49968107864834455</v>
      </c>
      <c r="X528" s="1">
        <f t="shared" si="99"/>
        <v>94.053597595616054</v>
      </c>
      <c r="Y528" s="3">
        <f t="shared" si="101"/>
        <v>7.9845112503189972E-2</v>
      </c>
      <c r="Z528" s="1">
        <f t="shared" si="102"/>
        <v>0.17906753120606364</v>
      </c>
      <c r="AA528" s="8">
        <f t="shared" si="107"/>
        <v>43.000000000000128</v>
      </c>
      <c r="AB528" s="1">
        <v>43.08</v>
      </c>
      <c r="AC528" s="1">
        <v>7.5687720420000004E-3</v>
      </c>
      <c r="AD528" s="8">
        <f t="shared" si="103"/>
        <v>1.2638714327158507</v>
      </c>
      <c r="AE528" s="3">
        <f t="shared" si="104"/>
        <v>1.6698500439734219E-2</v>
      </c>
      <c r="AF528" s="11">
        <f t="shared" si="105"/>
        <v>43.000000000000128</v>
      </c>
      <c r="AG528" s="1">
        <f t="shared" si="106"/>
        <v>0.17906753120606364</v>
      </c>
    </row>
    <row r="529" spans="2:33" ht="15" x14ac:dyDescent="0.25">
      <c r="B529" s="1">
        <v>518</v>
      </c>
      <c r="C529" s="1">
        <v>1.0009140400775456</v>
      </c>
      <c r="D529" s="1">
        <v>1.2157530904777911</v>
      </c>
      <c r="E529" s="1">
        <v>0.82140048278164157</v>
      </c>
      <c r="G529" s="1">
        <v>1.0002699044277752</v>
      </c>
      <c r="H529" s="1">
        <v>5.0245042607154433</v>
      </c>
      <c r="I529" s="1">
        <v>0.15478189625762728</v>
      </c>
      <c r="K529" s="1">
        <v>1.0002350260249031</v>
      </c>
      <c r="L529" s="1">
        <v>5.9257765408721452</v>
      </c>
      <c r="M529" s="1">
        <v>0.12802211388903209</v>
      </c>
      <c r="O529" s="1">
        <v>7.4413591564460348E-3</v>
      </c>
      <c r="P529" s="1">
        <v>0.72526463984653244</v>
      </c>
      <c r="R529" s="1">
        <v>0.2581957856344978</v>
      </c>
      <c r="S529" s="2">
        <f t="shared" si="96"/>
        <v>1.1779102608002379</v>
      </c>
      <c r="T529" s="4">
        <f t="shared" si="97"/>
        <v>1.3874725824984844</v>
      </c>
      <c r="U529" s="1">
        <f t="shared" si="100"/>
        <v>0.88531149657920638</v>
      </c>
      <c r="V529" s="6">
        <f>2*sigma/alpha*corel*(B529/12-1/alpha*(1-EXP(-alpha*Output!B529/12)))</f>
        <v>2.8266969083700837</v>
      </c>
      <c r="W529" s="5">
        <f t="shared" si="98"/>
        <v>-0.50216108591927799</v>
      </c>
      <c r="X529" s="1">
        <f t="shared" si="99"/>
        <v>94.69669624718432</v>
      </c>
      <c r="Y529" s="3">
        <f t="shared" si="101"/>
        <v>7.9975202820862276E-2</v>
      </c>
      <c r="Z529" s="1">
        <f t="shared" si="102"/>
        <v>0.17928252003020784</v>
      </c>
      <c r="AA529" s="8">
        <f t="shared" si="107"/>
        <v>43.083333333333464</v>
      </c>
      <c r="AB529" s="1">
        <v>43.17</v>
      </c>
      <c r="AC529" s="1">
        <v>7.568530304E-3</v>
      </c>
      <c r="AD529" s="8">
        <f t="shared" si="103"/>
        <v>1.2717114755396528</v>
      </c>
      <c r="AE529" s="3">
        <f t="shared" si="104"/>
        <v>1.680262117557418E-2</v>
      </c>
      <c r="AF529" s="11">
        <f t="shared" si="105"/>
        <v>43.083333333333464</v>
      </c>
      <c r="AG529" s="1">
        <f t="shared" si="106"/>
        <v>0.17928252003020784</v>
      </c>
    </row>
    <row r="530" spans="2:33" ht="15" x14ac:dyDescent="0.25">
      <c r="B530" s="1">
        <v>519</v>
      </c>
      <c r="C530" s="1">
        <v>1.0009115846311134</v>
      </c>
      <c r="D530" s="1">
        <v>1.2150196644129123</v>
      </c>
      <c r="E530" s="1">
        <v>0.82189399628724358</v>
      </c>
      <c r="G530" s="1">
        <v>0.99993745529224631</v>
      </c>
      <c r="H530" s="1">
        <v>4.9916726945408243</v>
      </c>
      <c r="I530" s="1">
        <v>0.15572449754871057</v>
      </c>
      <c r="K530" s="1">
        <v>1.0000602125832732</v>
      </c>
      <c r="L530" s="1">
        <v>5.7546347876343447</v>
      </c>
      <c r="M530" s="1">
        <v>0.13175920043254241</v>
      </c>
      <c r="O530" s="1">
        <v>7.440271514150075E-3</v>
      </c>
      <c r="P530" s="1">
        <v>0.72484912952688185</v>
      </c>
      <c r="R530" s="1">
        <v>0.25853628609034424</v>
      </c>
      <c r="S530" s="2">
        <f t="shared" si="96"/>
        <v>1.1800909584143515</v>
      </c>
      <c r="T530" s="4">
        <f t="shared" si="97"/>
        <v>1.3926146701313027</v>
      </c>
      <c r="U530" s="1">
        <f t="shared" si="100"/>
        <v>0.88883427957901828</v>
      </c>
      <c r="V530" s="6">
        <f>2*sigma/alpha*corel*(B530/12-1/alpha*(1-EXP(-alpha*Output!B530/12)))</f>
        <v>2.8352637811558683</v>
      </c>
      <c r="W530" s="5">
        <f t="shared" si="98"/>
        <v>-0.50378039055228441</v>
      </c>
      <c r="X530" s="1">
        <f t="shared" si="99"/>
        <v>95.192728274279474</v>
      </c>
      <c r="Y530" s="3">
        <f t="shared" si="101"/>
        <v>8.0016327239719687E-2</v>
      </c>
      <c r="Z530" s="1">
        <f t="shared" si="102"/>
        <v>0.179441308300021</v>
      </c>
      <c r="AA530" s="8">
        <f t="shared" si="107"/>
        <v>43.166666666666799</v>
      </c>
      <c r="AB530" s="1">
        <v>43.25</v>
      </c>
      <c r="AC530" s="1">
        <v>7.5682894989999999E-3</v>
      </c>
      <c r="AD530" s="8">
        <f t="shared" si="103"/>
        <v>1.2801798484992495</v>
      </c>
      <c r="AE530" s="3">
        <f t="shared" si="104"/>
        <v>1.6915048620542331E-2</v>
      </c>
      <c r="AF530" s="11">
        <f t="shared" si="105"/>
        <v>43.166666666666799</v>
      </c>
      <c r="AG530" s="1">
        <f t="shared" si="106"/>
        <v>0.179441308300021</v>
      </c>
    </row>
    <row r="531" spans="2:33" ht="15" x14ac:dyDescent="0.25">
      <c r="B531" s="1">
        <v>520</v>
      </c>
      <c r="C531" s="1">
        <v>1.0009105562826812</v>
      </c>
      <c r="D531" s="1">
        <v>1.2175426510928373</v>
      </c>
      <c r="E531" s="1">
        <v>0.82018856024936992</v>
      </c>
      <c r="G531" s="1">
        <v>0.99967046673113602</v>
      </c>
      <c r="H531" s="1">
        <v>5.0862822828044374</v>
      </c>
      <c r="I531" s="1">
        <v>0.15275387467880816</v>
      </c>
      <c r="K531" s="1">
        <v>1.0001604054039648</v>
      </c>
      <c r="L531" s="1">
        <v>5.9030517869540642</v>
      </c>
      <c r="M531" s="1">
        <v>0.12837420224424403</v>
      </c>
      <c r="O531" s="1">
        <v>7.4391107773927947E-3</v>
      </c>
      <c r="P531" s="1">
        <v>0.72443628317263964</v>
      </c>
      <c r="R531" s="1">
        <v>0.25884432013564218</v>
      </c>
      <c r="S531" s="2">
        <f t="shared" si="96"/>
        <v>1.1821500715550279</v>
      </c>
      <c r="T531" s="4">
        <f t="shared" si="97"/>
        <v>1.3974787916775577</v>
      </c>
      <c r="U531" s="1">
        <f t="shared" si="100"/>
        <v>0.89236212697798711</v>
      </c>
      <c r="V531" s="6">
        <f>2*sigma/alpha*corel*(B531/12-1/alpha*(1-EXP(-alpha*Output!B531/12)))</f>
        <v>2.843836809656032</v>
      </c>
      <c r="W531" s="5">
        <f t="shared" si="98"/>
        <v>-0.50511666469957062</v>
      </c>
      <c r="X531" s="1">
        <f t="shared" si="99"/>
        <v>95.640963014546841</v>
      </c>
      <c r="Y531" s="3">
        <f t="shared" si="101"/>
        <v>8.0028265026608397E-2</v>
      </c>
      <c r="Z531" s="1">
        <f t="shared" si="102"/>
        <v>0.17958148728968251</v>
      </c>
      <c r="AA531" s="8">
        <f t="shared" si="107"/>
        <v>43.250000000000135</v>
      </c>
      <c r="AB531" s="1">
        <v>43.33</v>
      </c>
      <c r="AC531" s="1">
        <v>7.568049623E-3</v>
      </c>
      <c r="AD531" s="8">
        <f t="shared" si="103"/>
        <v>1.2893884560720523</v>
      </c>
      <c r="AE531" s="3">
        <f t="shared" si="104"/>
        <v>1.7037262178533845E-2</v>
      </c>
      <c r="AF531" s="11">
        <f t="shared" si="105"/>
        <v>43.250000000000135</v>
      </c>
      <c r="AG531" s="1">
        <f t="shared" si="106"/>
        <v>0.17958148728968251</v>
      </c>
    </row>
    <row r="532" spans="2:33" ht="15" x14ac:dyDescent="0.25">
      <c r="B532" s="1">
        <v>521</v>
      </c>
      <c r="C532" s="1">
        <v>1.0009125566490384</v>
      </c>
      <c r="D532" s="1">
        <v>1.215473011078035</v>
      </c>
      <c r="E532" s="1">
        <v>0.82158281227138219</v>
      </c>
      <c r="G532" s="1">
        <v>0.99964188730953996</v>
      </c>
      <c r="H532" s="1">
        <v>5.0064334250013216</v>
      </c>
      <c r="I532" s="1">
        <v>0.15511503766883575</v>
      </c>
      <c r="K532" s="1">
        <v>0.99995749433562797</v>
      </c>
      <c r="L532" s="1">
        <v>5.9459594823832704</v>
      </c>
      <c r="M532" s="1">
        <v>0.12738217711478403</v>
      </c>
      <c r="O532" s="1">
        <v>7.4380430312753262E-3</v>
      </c>
      <c r="P532" s="1">
        <v>0.72402088889971528</v>
      </c>
      <c r="R532" s="1">
        <v>0.25919613755065557</v>
      </c>
      <c r="S532" s="2">
        <f t="shared" si="96"/>
        <v>1.1843769359223029</v>
      </c>
      <c r="T532" s="4">
        <f t="shared" si="97"/>
        <v>1.4027487263447027</v>
      </c>
      <c r="U532" s="1">
        <f t="shared" si="100"/>
        <v>0.89589502554246048</v>
      </c>
      <c r="V532" s="6">
        <f>2*sigma/alpha*corel*(B532/12-1/alpha*(1-EXP(-alpha*Output!B532/12)))</f>
        <v>2.8524159733856864</v>
      </c>
      <c r="W532" s="5">
        <f t="shared" si="98"/>
        <v>-0.50685370080224224</v>
      </c>
      <c r="X532" s="1">
        <f t="shared" si="99"/>
        <v>96.159869591215212</v>
      </c>
      <c r="Y532" s="3">
        <f t="shared" si="101"/>
        <v>8.0080974068642563E-2</v>
      </c>
      <c r="Z532" s="1">
        <f t="shared" si="102"/>
        <v>0.17974702160985342</v>
      </c>
      <c r="AA532" s="8">
        <f t="shared" si="107"/>
        <v>43.333333333333471</v>
      </c>
      <c r="AB532" s="1">
        <v>43.42</v>
      </c>
      <c r="AC532" s="1">
        <v>7.5678106689999998E-3</v>
      </c>
      <c r="AD532" s="8">
        <f t="shared" si="103"/>
        <v>1.2976763772467366</v>
      </c>
      <c r="AE532" s="3">
        <f t="shared" si="104"/>
        <v>1.7147315571231246E-2</v>
      </c>
      <c r="AF532" s="11">
        <f t="shared" si="105"/>
        <v>43.333333333333471</v>
      </c>
      <c r="AG532" s="1">
        <f t="shared" si="106"/>
        <v>0.17974702160985342</v>
      </c>
    </row>
    <row r="533" spans="2:33" ht="15" x14ac:dyDescent="0.25">
      <c r="B533" s="1">
        <v>522</v>
      </c>
      <c r="C533" s="1">
        <v>1.000917425185234</v>
      </c>
      <c r="D533" s="1">
        <v>1.215982514555457</v>
      </c>
      <c r="E533" s="1">
        <v>0.82123624127712913</v>
      </c>
      <c r="G533" s="1">
        <v>0.99987412999686798</v>
      </c>
      <c r="H533" s="1">
        <v>5.023704727588135</v>
      </c>
      <c r="I533" s="1">
        <v>0.15450690539623735</v>
      </c>
      <c r="K533" s="1">
        <v>0.99998304597884025</v>
      </c>
      <c r="L533" s="1">
        <v>5.9535483186057414</v>
      </c>
      <c r="M533" s="1">
        <v>0.12715461386300791</v>
      </c>
      <c r="O533" s="1">
        <v>7.436924182532223E-3</v>
      </c>
      <c r="P533" s="1">
        <v>0.72360747013824267</v>
      </c>
      <c r="R533" s="1">
        <v>0.25958513430161451</v>
      </c>
      <c r="S533" s="2">
        <f t="shared" si="96"/>
        <v>1.186737628550836</v>
      </c>
      <c r="T533" s="4">
        <f t="shared" si="97"/>
        <v>1.408346199018462</v>
      </c>
      <c r="U533" s="1">
        <f t="shared" si="100"/>
        <v>0.89943296205877843</v>
      </c>
      <c r="V533" s="6">
        <f>2*sigma/alpha*corel*(B533/12-1/alpha*(1-EXP(-alpha*Output!B533/12)))</f>
        <v>2.8610012519281152</v>
      </c>
      <c r="W533" s="5">
        <f t="shared" si="98"/>
        <v>-0.5089132369596836</v>
      </c>
      <c r="X533" s="1">
        <f t="shared" si="99"/>
        <v>96.73623139451918</v>
      </c>
      <c r="Y533" s="3">
        <f t="shared" si="101"/>
        <v>8.0166167954849085E-2</v>
      </c>
      <c r="Z533" s="1">
        <f t="shared" si="102"/>
        <v>0.17993269488917121</v>
      </c>
      <c r="AA533" s="8">
        <f t="shared" si="107"/>
        <v>43.416666666666806</v>
      </c>
      <c r="AB533" s="1">
        <v>43.5</v>
      </c>
      <c r="AC533" s="1">
        <v>7.5675726319999999E-3</v>
      </c>
      <c r="AD533" s="8">
        <f t="shared" si="103"/>
        <v>1.3064844946777694</v>
      </c>
      <c r="AE533" s="3">
        <f t="shared" si="104"/>
        <v>1.7264247840228317E-2</v>
      </c>
      <c r="AF533" s="11">
        <f t="shared" si="105"/>
        <v>43.416666666666806</v>
      </c>
      <c r="AG533" s="1">
        <f t="shared" si="106"/>
        <v>0.17993269488917121</v>
      </c>
    </row>
    <row r="534" spans="2:33" ht="15" x14ac:dyDescent="0.25">
      <c r="B534" s="1">
        <v>523</v>
      </c>
      <c r="C534" s="1">
        <v>1.0009197780937547</v>
      </c>
      <c r="D534" s="1">
        <v>1.2120119237318991</v>
      </c>
      <c r="E534" s="1">
        <v>0.82392430295964281</v>
      </c>
      <c r="G534" s="1">
        <v>0.99992595981666965</v>
      </c>
      <c r="H534" s="1">
        <v>4.8769866986709518</v>
      </c>
      <c r="I534" s="1">
        <v>0.15907798397239187</v>
      </c>
      <c r="K534" s="1">
        <v>1.0000040962704926</v>
      </c>
      <c r="L534" s="1">
        <v>5.9959230416930192</v>
      </c>
      <c r="M534" s="1">
        <v>0.12618260618972632</v>
      </c>
      <c r="O534" s="1">
        <v>7.4358419190924891E-3</v>
      </c>
      <c r="P534" s="1">
        <v>0.72319326915857984</v>
      </c>
      <c r="R534" s="1">
        <v>0.25984723180539737</v>
      </c>
      <c r="S534" s="2">
        <f t="shared" si="96"/>
        <v>1.1886398900936841</v>
      </c>
      <c r="T534" s="4">
        <f t="shared" si="97"/>
        <v>1.4128647883219254</v>
      </c>
      <c r="U534" s="1">
        <f t="shared" si="100"/>
        <v>0.90297592333336052</v>
      </c>
      <c r="V534" s="6">
        <f>2*sigma/alpha*corel*(B534/12-1/alpha*(1-EXP(-alpha*Output!B534/12)))</f>
        <v>2.8695926249345418</v>
      </c>
      <c r="W534" s="5">
        <f t="shared" si="98"/>
        <v>-0.50988886498856489</v>
      </c>
      <c r="X534" s="1">
        <f t="shared" si="99"/>
        <v>97.125187296085187</v>
      </c>
      <c r="Y534" s="3">
        <f t="shared" si="101"/>
        <v>8.0140939384379814E-2</v>
      </c>
      <c r="Z534" s="1">
        <f t="shared" si="102"/>
        <v>0.18004873708083496</v>
      </c>
      <c r="AA534" s="8">
        <f t="shared" si="107"/>
        <v>43.500000000000142</v>
      </c>
      <c r="AB534" s="1">
        <v>43.58</v>
      </c>
      <c r="AC534" s="1">
        <v>7.5673355080000003E-3</v>
      </c>
      <c r="AD534" s="8">
        <f t="shared" si="103"/>
        <v>1.3149358890751119</v>
      </c>
      <c r="AE534" s="3">
        <f t="shared" si="104"/>
        <v>1.737647138395006E-2</v>
      </c>
      <c r="AF534" s="11">
        <f t="shared" si="105"/>
        <v>43.500000000000142</v>
      </c>
      <c r="AG534" s="1">
        <f t="shared" si="106"/>
        <v>0.18004873708083496</v>
      </c>
    </row>
    <row r="535" spans="2:33" ht="15" x14ac:dyDescent="0.25">
      <c r="B535" s="1">
        <v>524</v>
      </c>
      <c r="C535" s="1">
        <v>1.0009226997115923</v>
      </c>
      <c r="D535" s="1">
        <v>1.2127139593369858</v>
      </c>
      <c r="E535" s="1">
        <v>0.82344499737226595</v>
      </c>
      <c r="G535" s="1">
        <v>1.0000281510447242</v>
      </c>
      <c r="H535" s="1">
        <v>4.9014958049907218</v>
      </c>
      <c r="I535" s="1">
        <v>0.15820589506714391</v>
      </c>
      <c r="K535" s="1">
        <v>0.99999851887510549</v>
      </c>
      <c r="L535" s="1">
        <v>6.1507884046991377</v>
      </c>
      <c r="M535" s="1">
        <v>0.12294279649308257</v>
      </c>
      <c r="O535" s="1">
        <v>7.4348388731780785E-3</v>
      </c>
      <c r="P535" s="1">
        <v>0.72277693543592236</v>
      </c>
      <c r="R535" s="1">
        <v>0.26016293379612393</v>
      </c>
      <c r="S535" s="2">
        <f t="shared" ref="S535:S598" si="108">optim_vol_implied(P535,R535)</f>
        <v>1.1907450333506369</v>
      </c>
      <c r="T535" s="4">
        <f t="shared" ref="T535:T598" si="109">S535*S535</f>
        <v>1.4178737344492094</v>
      </c>
      <c r="U535" s="1">
        <f t="shared" si="100"/>
        <v>0.90652389619279949</v>
      </c>
      <c r="V535" s="6">
        <f>2*sigma/alpha*corel*(B535/12-1/alpha*(1-EXP(-alpha*Output!B535/12)))</f>
        <v>2.878190072123906</v>
      </c>
      <c r="W535" s="5">
        <f t="shared" ref="W535:W598" si="110">U535-T535</f>
        <v>-0.51134983825640989</v>
      </c>
      <c r="X535" s="1">
        <f t="shared" ref="X535:X598" si="111">V535*V535-4*W535*B535/12</f>
        <v>97.599749840058891</v>
      </c>
      <c r="Y535" s="3">
        <f t="shared" si="101"/>
        <v>8.0164906433597111E-2</v>
      </c>
      <c r="Z535" s="1">
        <f t="shared" si="102"/>
        <v>0.18019542409631015</v>
      </c>
      <c r="AA535" s="8">
        <f t="shared" si="107"/>
        <v>43.583333333333478</v>
      </c>
      <c r="AB535" s="1">
        <v>43.67</v>
      </c>
      <c r="AC535" s="1">
        <v>7.5670992899999996E-3</v>
      </c>
      <c r="AD535" s="8">
        <f t="shared" si="103"/>
        <v>1.3226041682192109</v>
      </c>
      <c r="AE535" s="3">
        <f t="shared" si="104"/>
        <v>1.7478350917993716E-2</v>
      </c>
      <c r="AF535" s="11">
        <f t="shared" si="105"/>
        <v>43.583333333333478</v>
      </c>
      <c r="AG535" s="1">
        <f t="shared" si="106"/>
        <v>0.18019542409631015</v>
      </c>
    </row>
    <row r="536" spans="2:33" ht="15" x14ac:dyDescent="0.25">
      <c r="B536" s="1">
        <v>525</v>
      </c>
      <c r="C536" s="1">
        <v>1.0009233992650897</v>
      </c>
      <c r="D536" s="1">
        <v>1.2116732266452572</v>
      </c>
      <c r="E536" s="1">
        <v>0.8241499269899133</v>
      </c>
      <c r="G536" s="1">
        <v>0.99990910171283942</v>
      </c>
      <c r="H536" s="1">
        <v>4.8602576203503309</v>
      </c>
      <c r="I536" s="1">
        <v>0.15947097652315179</v>
      </c>
      <c r="K536" s="1">
        <v>1.0003167557779644</v>
      </c>
      <c r="L536" s="1">
        <v>6.2051434771109726</v>
      </c>
      <c r="M536" s="1">
        <v>0.12179897793949826</v>
      </c>
      <c r="O536" s="1">
        <v>7.4338603399640175E-3</v>
      </c>
      <c r="P536" s="1">
        <v>0.72236018747019182</v>
      </c>
      <c r="R536" s="1">
        <v>0.2605523441246741</v>
      </c>
      <c r="S536" s="2">
        <f t="shared" si="108"/>
        <v>1.1931232049839762</v>
      </c>
      <c r="T536" s="4">
        <f t="shared" si="109"/>
        <v>1.4235429822712353</v>
      </c>
      <c r="U536" s="1">
        <f t="shared" si="100"/>
        <v>0.91007686748395455</v>
      </c>
      <c r="V536" s="6">
        <f>2*sigma/alpha*corel*(B536/12-1/alpha*(1-EXP(-alpha*Output!B536/12)))</f>
        <v>2.8867935732826413</v>
      </c>
      <c r="W536" s="5">
        <f t="shared" si="110"/>
        <v>-0.51346611478728077</v>
      </c>
      <c r="X536" s="1">
        <f t="shared" si="111"/>
        <v>98.190147222520096</v>
      </c>
      <c r="Y536" s="3">
        <f t="shared" si="101"/>
        <v>8.0254863935145346E-2</v>
      </c>
      <c r="Z536" s="1">
        <f t="shared" si="102"/>
        <v>0.18038327336273952</v>
      </c>
      <c r="AA536" s="8">
        <f t="shared" si="107"/>
        <v>43.666666666666814</v>
      </c>
      <c r="AB536" s="1">
        <v>43.75</v>
      </c>
      <c r="AC536" s="1">
        <v>7.5668639739999996E-3</v>
      </c>
      <c r="AD536" s="8">
        <f t="shared" si="103"/>
        <v>1.3300363403598217</v>
      </c>
      <c r="AE536" s="3">
        <f t="shared" si="104"/>
        <v>1.7577114441727399E-2</v>
      </c>
      <c r="AF536" s="11">
        <f t="shared" si="105"/>
        <v>43.666666666666814</v>
      </c>
      <c r="AG536" s="1">
        <f t="shared" si="106"/>
        <v>0.18038327336273952</v>
      </c>
    </row>
    <row r="537" spans="2:33" ht="15" x14ac:dyDescent="0.25">
      <c r="B537" s="1">
        <v>526</v>
      </c>
      <c r="C537" s="1">
        <v>1.0009268661222528</v>
      </c>
      <c r="D537" s="1">
        <v>1.2106334215961538</v>
      </c>
      <c r="E537" s="1">
        <v>0.82485543206501488</v>
      </c>
      <c r="G537" s="1">
        <v>1.000007384858294</v>
      </c>
      <c r="H537" s="1">
        <v>4.818125863367313</v>
      </c>
      <c r="I537" s="1">
        <v>0.16078756084131179</v>
      </c>
      <c r="K537" s="1">
        <v>1.0002202809087273</v>
      </c>
      <c r="L537" s="1">
        <v>6.3486319240349411</v>
      </c>
      <c r="M537" s="1">
        <v>0.11898051614125135</v>
      </c>
      <c r="O537" s="1">
        <v>7.4329791956698268E-3</v>
      </c>
      <c r="P537" s="1">
        <v>0.72194071565374573</v>
      </c>
      <c r="R537" s="1">
        <v>0.26082005200901875</v>
      </c>
      <c r="S537" s="2">
        <f t="shared" si="108"/>
        <v>1.1950652062785621</v>
      </c>
      <c r="T537" s="4">
        <f t="shared" si="109"/>
        <v>1.4281808472576221</v>
      </c>
      <c r="U537" s="1">
        <f t="shared" si="100"/>
        <v>0.91363482407403662</v>
      </c>
      <c r="V537" s="6">
        <f>2*sigma/alpha*corel*(B537/12-1/alpha*(1-EXP(-alpha*Output!B537/12)))</f>
        <v>2.895403108264444</v>
      </c>
      <c r="W537" s="5">
        <f t="shared" si="110"/>
        <v>-0.51454602318358544</v>
      </c>
      <c r="X537" s="1">
        <f t="shared" si="111"/>
        <v>98.600428557536048</v>
      </c>
      <c r="Y537" s="3">
        <f t="shared" si="101"/>
        <v>8.0239981836761134E-2</v>
      </c>
      <c r="Z537" s="1">
        <f t="shared" si="102"/>
        <v>0.18050504857485397</v>
      </c>
      <c r="AA537" s="8">
        <f t="shared" si="107"/>
        <v>43.750000000000149</v>
      </c>
      <c r="AB537" s="1">
        <v>43.83</v>
      </c>
      <c r="AC537" s="1">
        <v>7.5666295539999996E-3</v>
      </c>
      <c r="AD537" s="8">
        <f t="shared" si="103"/>
        <v>1.3365035833017274</v>
      </c>
      <c r="AE537" s="3">
        <f t="shared" si="104"/>
        <v>1.766312958449515E-2</v>
      </c>
      <c r="AF537" s="11">
        <f t="shared" si="105"/>
        <v>43.750000000000149</v>
      </c>
      <c r="AG537" s="1">
        <f t="shared" si="106"/>
        <v>0.18050504857485397</v>
      </c>
    </row>
    <row r="538" spans="2:33" ht="15" x14ac:dyDescent="0.25">
      <c r="B538" s="1">
        <v>527</v>
      </c>
      <c r="C538" s="1">
        <v>1.0009299795354811</v>
      </c>
      <c r="D538" s="1">
        <v>1.2126351426772102</v>
      </c>
      <c r="E538" s="1">
        <v>0.82349147365280118</v>
      </c>
      <c r="G538" s="1">
        <v>1.0000974984849478</v>
      </c>
      <c r="H538" s="1">
        <v>4.8917924190586257</v>
      </c>
      <c r="I538" s="1">
        <v>0.15828953757379804</v>
      </c>
      <c r="K538" s="1">
        <v>1.0001891697698848</v>
      </c>
      <c r="L538" s="1">
        <v>6.3144384625402363</v>
      </c>
      <c r="M538" s="1">
        <v>0.11956442908588678</v>
      </c>
      <c r="O538" s="1">
        <v>7.4321987976189831E-3</v>
      </c>
      <c r="P538" s="1">
        <v>0.72151840106240461</v>
      </c>
      <c r="R538" s="1">
        <v>0.26104922965860883</v>
      </c>
      <c r="S538" s="2">
        <f t="shared" si="108"/>
        <v>1.1968748466689718</v>
      </c>
      <c r="T538" s="4">
        <f t="shared" si="109"/>
        <v>1.4325093985888748</v>
      </c>
      <c r="U538" s="1">
        <f t="shared" si="100"/>
        <v>0.91719775285069671</v>
      </c>
      <c r="V538" s="6">
        <f>2*sigma/alpha*corel*(B538/12-1/alpha*(1-EXP(-alpha*Output!B538/12)))</f>
        <v>2.9040186569900537</v>
      </c>
      <c r="W538" s="5">
        <f t="shared" si="110"/>
        <v>-0.51531164573817811</v>
      </c>
      <c r="X538" s="1">
        <f t="shared" si="111"/>
        <v>98.956403461486261</v>
      </c>
      <c r="Y538" s="3">
        <f t="shared" si="101"/>
        <v>8.0193525590219097E-2</v>
      </c>
      <c r="Z538" s="1">
        <f t="shared" si="102"/>
        <v>0.18060678236168429</v>
      </c>
      <c r="AA538" s="8">
        <f t="shared" si="107"/>
        <v>43.833333333333485</v>
      </c>
      <c r="AB538" s="1">
        <v>43.92</v>
      </c>
      <c r="AC538" s="1">
        <v>7.5663960260000003E-3</v>
      </c>
      <c r="AD538" s="8">
        <f t="shared" si="103"/>
        <v>1.3419722838101718</v>
      </c>
      <c r="AE538" s="3">
        <f t="shared" si="104"/>
        <v>1.7735950896553977E-2</v>
      </c>
      <c r="AF538" s="11">
        <f t="shared" si="105"/>
        <v>43.833333333333485</v>
      </c>
      <c r="AG538" s="1">
        <f t="shared" si="106"/>
        <v>0.18060678236168429</v>
      </c>
    </row>
    <row r="539" spans="2:33" ht="15" x14ac:dyDescent="0.25">
      <c r="B539" s="1">
        <v>528</v>
      </c>
      <c r="C539" s="1">
        <v>1.0009282980419216</v>
      </c>
      <c r="D539" s="1">
        <v>1.2153921790175519</v>
      </c>
      <c r="E539" s="1">
        <v>0.821621086011323</v>
      </c>
      <c r="G539" s="1">
        <v>0.99983004031015899</v>
      </c>
      <c r="H539" s="1">
        <v>4.9908325177310946</v>
      </c>
      <c r="I539" s="1">
        <v>0.15507324486634941</v>
      </c>
      <c r="K539" s="1">
        <v>1.0000584222693538</v>
      </c>
      <c r="L539" s="1">
        <v>6.419063757895727</v>
      </c>
      <c r="M539" s="1">
        <v>0.11755257992002036</v>
      </c>
      <c r="O539" s="1">
        <v>7.4314750975496956E-3</v>
      </c>
      <c r="P539" s="1">
        <v>0.72109462837826155</v>
      </c>
      <c r="R539" s="1">
        <v>0.26140280764984791</v>
      </c>
      <c r="S539" s="2">
        <f t="shared" si="108"/>
        <v>1.1991460198449688</v>
      </c>
      <c r="T539" s="4">
        <f t="shared" si="109"/>
        <v>1.4379511769100304</v>
      </c>
      <c r="U539" s="1">
        <f t="shared" si="100"/>
        <v>0.92076564072211697</v>
      </c>
      <c r="V539" s="6">
        <f>2*sigma/alpha*corel*(B539/12-1/alpha*(1-EXP(-alpha*Output!B539/12)))</f>
        <v>2.9126401994470328</v>
      </c>
      <c r="W539" s="5">
        <f t="shared" si="110"/>
        <v>-0.51718553618791341</v>
      </c>
      <c r="X539" s="1">
        <f t="shared" si="111"/>
        <v>99.50812730050761</v>
      </c>
      <c r="Y539" s="3">
        <f t="shared" si="101"/>
        <v>8.0258361916226442E-2</v>
      </c>
      <c r="Z539" s="1">
        <f t="shared" si="102"/>
        <v>0.18077806439426508</v>
      </c>
      <c r="AA539" s="8">
        <f t="shared" si="107"/>
        <v>43.916666666666821</v>
      </c>
      <c r="AB539" s="1">
        <v>44</v>
      </c>
      <c r="AC539" s="1">
        <v>7.5661633840000001E-3</v>
      </c>
      <c r="AD539" s="8">
        <f t="shared" si="103"/>
        <v>1.3468828645030444</v>
      </c>
      <c r="AE539" s="3">
        <f t="shared" si="104"/>
        <v>1.780139809498785E-2</v>
      </c>
      <c r="AF539" s="11">
        <f t="shared" si="105"/>
        <v>43.916666666666821</v>
      </c>
      <c r="AG539" s="1">
        <f t="shared" si="106"/>
        <v>0.18077806439426508</v>
      </c>
    </row>
    <row r="540" spans="2:33" ht="15" x14ac:dyDescent="0.25">
      <c r="B540" s="1">
        <v>529</v>
      </c>
      <c r="C540" s="1">
        <v>1.0009306130990898</v>
      </c>
      <c r="D540" s="1">
        <v>1.2146257944606798</v>
      </c>
      <c r="E540" s="1">
        <v>0.82213714072412269</v>
      </c>
      <c r="G540" s="1">
        <v>0.99989126204600876</v>
      </c>
      <c r="H540" s="1">
        <v>4.9559113423643932</v>
      </c>
      <c r="I540" s="1">
        <v>0.1560903234536537</v>
      </c>
      <c r="K540" s="1">
        <v>0.99998269896190539</v>
      </c>
      <c r="L540" s="1">
        <v>6.2046354781830191</v>
      </c>
      <c r="M540" s="1">
        <v>0.12154900213307479</v>
      </c>
      <c r="O540" s="1">
        <v>7.4308372620648499E-3</v>
      </c>
      <c r="P540" s="1">
        <v>0.72066846363807691</v>
      </c>
      <c r="R540" s="1">
        <v>0.26177806020701744</v>
      </c>
      <c r="S540" s="2">
        <f t="shared" si="108"/>
        <v>1.201505151910143</v>
      </c>
      <c r="T540" s="4">
        <f t="shared" si="109"/>
        <v>1.4436146300666157</v>
      </c>
      <c r="U540" s="1">
        <f t="shared" si="100"/>
        <v>0.92433847461709107</v>
      </c>
      <c r="V540" s="6">
        <f>2*sigma/alpha*corel*(B540/12-1/alpha*(1-EXP(-alpha*Output!B540/12)))</f>
        <v>2.9212677156895372</v>
      </c>
      <c r="W540" s="5">
        <f t="shared" si="110"/>
        <v>-0.51927615544952466</v>
      </c>
      <c r="X540" s="1">
        <f t="shared" si="111"/>
        <v>100.09950047766282</v>
      </c>
      <c r="Y540" s="3">
        <f t="shared" si="101"/>
        <v>8.0344492301691162E-2</v>
      </c>
      <c r="Z540" s="1">
        <f t="shared" si="102"/>
        <v>0.18096243205775039</v>
      </c>
      <c r="AA540" s="8">
        <f t="shared" si="107"/>
        <v>44.000000000000156</v>
      </c>
      <c r="AB540" s="1">
        <v>44.08</v>
      </c>
      <c r="AC540" s="1">
        <v>7.5659316239999998E-3</v>
      </c>
      <c r="AD540" s="8">
        <f t="shared" si="103"/>
        <v>1.3509436193514992</v>
      </c>
      <c r="AE540" s="3">
        <f t="shared" si="104"/>
        <v>1.785561496572546E-2</v>
      </c>
      <c r="AF540" s="11">
        <f t="shared" si="105"/>
        <v>44.000000000000156</v>
      </c>
      <c r="AG540" s="1">
        <f t="shared" si="106"/>
        <v>0.18096243205775039</v>
      </c>
    </row>
    <row r="541" spans="2:33" ht="15" x14ac:dyDescent="0.25">
      <c r="B541" s="1">
        <v>530</v>
      </c>
      <c r="C541" s="1">
        <v>1.000929914050382</v>
      </c>
      <c r="D541" s="1">
        <v>1.2109105273843634</v>
      </c>
      <c r="E541" s="1">
        <v>0.82465721878181009</v>
      </c>
      <c r="G541" s="1">
        <v>0.99967256562627094</v>
      </c>
      <c r="H541" s="1">
        <v>4.8208119446560573</v>
      </c>
      <c r="I541" s="1">
        <v>0.16038692294449464</v>
      </c>
      <c r="K541" s="1">
        <v>1.0000780567446179</v>
      </c>
      <c r="L541" s="1">
        <v>6.3614372387218863</v>
      </c>
      <c r="M541" s="1">
        <v>0.11849165018030856</v>
      </c>
      <c r="O541" s="1">
        <v>7.4302490304364501E-3</v>
      </c>
      <c r="P541" s="1">
        <v>0.72024104939354572</v>
      </c>
      <c r="R541" s="1">
        <v>0.26200568864452511</v>
      </c>
      <c r="S541" s="2">
        <f t="shared" si="108"/>
        <v>1.2033278714561757</v>
      </c>
      <c r="T541" s="4">
        <f t="shared" si="109"/>
        <v>1.4479979662232505</v>
      </c>
      <c r="U541" s="1">
        <f t="shared" si="100"/>
        <v>0.92791624148510765</v>
      </c>
      <c r="V541" s="6">
        <f>2*sigma/alpha*corel*(B541/12-1/alpha*(1-EXP(-alpha*Output!B541/12)))</f>
        <v>2.9299011858380983</v>
      </c>
      <c r="W541" s="5">
        <f t="shared" si="110"/>
        <v>-0.52008172473814285</v>
      </c>
      <c r="X541" s="1">
        <f t="shared" si="111"/>
        <v>100.46542566251406</v>
      </c>
      <c r="Y541" s="3">
        <f t="shared" si="101"/>
        <v>8.0301997160231384E-2</v>
      </c>
      <c r="Z541" s="1">
        <f t="shared" si="102"/>
        <v>0.18106589853586982</v>
      </c>
      <c r="AA541" s="8">
        <f t="shared" si="107"/>
        <v>44.083333333333492</v>
      </c>
      <c r="AB541" s="1">
        <v>44.17</v>
      </c>
      <c r="AC541" s="1">
        <v>7.5657007400000004E-3</v>
      </c>
      <c r="AD541" s="8">
        <f t="shared" si="103"/>
        <v>1.3545170956355026</v>
      </c>
      <c r="AE541" s="3">
        <f t="shared" si="104"/>
        <v>1.7903392457411717E-2</v>
      </c>
      <c r="AF541" s="11">
        <f t="shared" si="105"/>
        <v>44.083333333333492</v>
      </c>
      <c r="AG541" s="1">
        <f t="shared" si="106"/>
        <v>0.18106589853586982</v>
      </c>
    </row>
    <row r="542" spans="2:33" ht="15" x14ac:dyDescent="0.25">
      <c r="B542" s="1">
        <v>531</v>
      </c>
      <c r="C542" s="1">
        <v>1.0009282443476855</v>
      </c>
      <c r="D542" s="1">
        <v>1.2116565439582243</v>
      </c>
      <c r="E542" s="1">
        <v>0.8241471040552274</v>
      </c>
      <c r="G542" s="1">
        <v>0.99939828679103271</v>
      </c>
      <c r="H542" s="1">
        <v>4.8441808729515872</v>
      </c>
      <c r="I542" s="1">
        <v>0.15953590121413869</v>
      </c>
      <c r="K542" s="1">
        <v>0.99998614020581167</v>
      </c>
      <c r="L542" s="1">
        <v>6.5708589755333522</v>
      </c>
      <c r="M542" s="1">
        <v>0.11465180840979312</v>
      </c>
      <c r="O542" s="1">
        <v>7.4296381498496419E-3</v>
      </c>
      <c r="P542" s="1">
        <v>0.71981468061924458</v>
      </c>
      <c r="R542" s="1">
        <v>0.26234211742735691</v>
      </c>
      <c r="S542" s="2">
        <f t="shared" si="108"/>
        <v>1.2055503173576543</v>
      </c>
      <c r="T542" s="4">
        <f t="shared" si="109"/>
        <v>1.453351567681141</v>
      </c>
      <c r="U542" s="1">
        <f t="shared" si="100"/>
        <v>0.93149892829643832</v>
      </c>
      <c r="V542" s="6">
        <f>2*sigma/alpha*corel*(B542/12-1/alpha*(1-EXP(-alpha*Output!B542/12)))</f>
        <v>2.9385405900794042</v>
      </c>
      <c r="W542" s="5">
        <f t="shared" si="110"/>
        <v>-0.52185263938470272</v>
      </c>
      <c r="X542" s="1">
        <f t="shared" si="111"/>
        <v>101.00293797063658</v>
      </c>
      <c r="Y542" s="3">
        <f t="shared" si="101"/>
        <v>8.0355719768145581E-2</v>
      </c>
      <c r="Z542" s="1">
        <f t="shared" si="102"/>
        <v>0.18122942151988614</v>
      </c>
      <c r="AA542" s="8">
        <f t="shared" si="107"/>
        <v>44.166666666666828</v>
      </c>
      <c r="AB542" s="1">
        <v>44.25</v>
      </c>
      <c r="AC542" s="1">
        <v>7.5654707269999996E-3</v>
      </c>
      <c r="AD542" s="8">
        <f t="shared" si="103"/>
        <v>1.3583257715035768</v>
      </c>
      <c r="AE542" s="3">
        <f t="shared" si="104"/>
        <v>1.7954279654482323E-2</v>
      </c>
      <c r="AF542" s="11">
        <f t="shared" si="105"/>
        <v>44.166666666666828</v>
      </c>
      <c r="AG542" s="1">
        <f t="shared" si="106"/>
        <v>0.18122942151988614</v>
      </c>
    </row>
    <row r="543" spans="2:33" ht="15" x14ac:dyDescent="0.25">
      <c r="B543" s="1">
        <v>532</v>
      </c>
      <c r="C543" s="1">
        <v>1.0009302125406743</v>
      </c>
      <c r="D543" s="1">
        <v>1.2111963079643016</v>
      </c>
      <c r="E543" s="1">
        <v>0.82445788831093814</v>
      </c>
      <c r="G543" s="1">
        <v>0.99941719651402905</v>
      </c>
      <c r="H543" s="1">
        <v>4.8264935605301718</v>
      </c>
      <c r="I543" s="1">
        <v>0.16004299951751921</v>
      </c>
      <c r="K543" s="1">
        <v>0.99994276580257246</v>
      </c>
      <c r="L543" s="1">
        <v>6.3231753645899431</v>
      </c>
      <c r="M543" s="1">
        <v>0.11908283928516822</v>
      </c>
      <c r="O543" s="1">
        <v>7.4289981736989294E-3</v>
      </c>
      <c r="P543" s="1">
        <v>0.71938956543283494</v>
      </c>
      <c r="R543" s="1">
        <v>0.2625984872029104</v>
      </c>
      <c r="S543" s="2">
        <f t="shared" si="108"/>
        <v>1.2074779927933512</v>
      </c>
      <c r="T543" s="4">
        <f t="shared" si="109"/>
        <v>1.4580031030802603</v>
      </c>
      <c r="U543" s="1">
        <f t="shared" si="100"/>
        <v>0.9350865220422131</v>
      </c>
      <c r="V543" s="6">
        <f>2*sigma/alpha*corel*(B543/12-1/alpha*(1-EXP(-alpha*Output!B543/12)))</f>
        <v>2.9471859086660768</v>
      </c>
      <c r="W543" s="5">
        <f t="shared" si="110"/>
        <v>-0.52291658103804717</v>
      </c>
      <c r="X543" s="1">
        <f t="shared" si="111"/>
        <v>101.41644515098692</v>
      </c>
      <c r="Y543" s="3">
        <f t="shared" si="101"/>
        <v>8.0338954735196422E-2</v>
      </c>
      <c r="Z543" s="1">
        <f t="shared" si="102"/>
        <v>0.18134852643295551</v>
      </c>
      <c r="AA543" s="8">
        <f t="shared" si="107"/>
        <v>44.250000000000163</v>
      </c>
      <c r="AB543" s="1">
        <v>44.33</v>
      </c>
      <c r="AC543" s="1">
        <v>7.5652415799999997E-3</v>
      </c>
      <c r="AD543" s="8">
        <f t="shared" si="103"/>
        <v>1.3624340630107035</v>
      </c>
      <c r="AE543" s="3">
        <f t="shared" si="104"/>
        <v>1.8009128308771119E-2</v>
      </c>
      <c r="AF543" s="11">
        <f t="shared" si="105"/>
        <v>44.250000000000163</v>
      </c>
      <c r="AG543" s="1">
        <f t="shared" si="106"/>
        <v>0.18134852643295551</v>
      </c>
    </row>
    <row r="544" spans="2:33" ht="15" x14ac:dyDescent="0.25">
      <c r="B544" s="1">
        <v>533</v>
      </c>
      <c r="C544" s="1">
        <v>1.0009289243180466</v>
      </c>
      <c r="D544" s="1">
        <v>1.2084451436642645</v>
      </c>
      <c r="E544" s="1">
        <v>0.82633247250209219</v>
      </c>
      <c r="G544" s="1">
        <v>0.99916869908193362</v>
      </c>
      <c r="H544" s="1">
        <v>4.7271942309197303</v>
      </c>
      <c r="I544" s="1">
        <v>0.16332572604282314</v>
      </c>
      <c r="K544" s="1">
        <v>0.99990201890314512</v>
      </c>
      <c r="L544" s="1">
        <v>6.3423046421660771</v>
      </c>
      <c r="M544" s="1">
        <v>0.11865450359537331</v>
      </c>
      <c r="O544" s="1">
        <v>7.4283930857571637E-3</v>
      </c>
      <c r="P544" s="1">
        <v>0.71896366388195942</v>
      </c>
      <c r="R544" s="1">
        <v>0.26300099192016468</v>
      </c>
      <c r="S544" s="2">
        <f t="shared" si="108"/>
        <v>1.2099481269499306</v>
      </c>
      <c r="T544" s="4">
        <f t="shared" si="109"/>
        <v>1.4639744699096453</v>
      </c>
      <c r="U544" s="1">
        <f t="shared" si="100"/>
        <v>0.93867900973450435</v>
      </c>
      <c r="V544" s="6">
        <f>2*sigma/alpha*corel*(B544/12-1/alpha*(1-EXP(-alpha*Output!B544/12)))</f>
        <v>2.955837121916451</v>
      </c>
      <c r="W544" s="5">
        <f t="shared" si="110"/>
        <v>-0.52529546017514095</v>
      </c>
      <c r="X544" s="1">
        <f t="shared" si="111"/>
        <v>102.06446651574937</v>
      </c>
      <c r="Y544" s="3">
        <f t="shared" si="101"/>
        <v>8.0452445183033711E-2</v>
      </c>
      <c r="Z544" s="1">
        <f t="shared" si="102"/>
        <v>0.18154896196056899</v>
      </c>
      <c r="AA544" s="8">
        <f t="shared" si="107"/>
        <v>44.333333333333499</v>
      </c>
      <c r="AB544" s="1">
        <v>44.42</v>
      </c>
      <c r="AC544" s="1">
        <v>7.5650132949999999E-3</v>
      </c>
      <c r="AD544" s="8">
        <f t="shared" si="103"/>
        <v>1.3662020924283622</v>
      </c>
      <c r="AE544" s="3">
        <f t="shared" si="104"/>
        <v>1.8059480388902108E-2</v>
      </c>
      <c r="AF544" s="11">
        <f t="shared" si="105"/>
        <v>44.333333333333499</v>
      </c>
      <c r="AG544" s="1">
        <f t="shared" si="106"/>
        <v>0.18154896196056899</v>
      </c>
    </row>
    <row r="545" spans="2:33" ht="15" x14ac:dyDescent="0.25">
      <c r="B545" s="1">
        <v>534</v>
      </c>
      <c r="C545" s="1">
        <v>1.0009288288050584</v>
      </c>
      <c r="D545" s="1">
        <v>1.2090219808215323</v>
      </c>
      <c r="E545" s="1">
        <v>0.82593582819796152</v>
      </c>
      <c r="G545" s="1">
        <v>0.99906875735137879</v>
      </c>
      <c r="H545" s="1">
        <v>4.7486468283971224</v>
      </c>
      <c r="I545" s="1">
        <v>0.16250914398353222</v>
      </c>
      <c r="K545" s="1">
        <v>0.99978206953966653</v>
      </c>
      <c r="L545" s="1">
        <v>6.441587713178615</v>
      </c>
      <c r="M545" s="1">
        <v>0.11676847048150239</v>
      </c>
      <c r="O545" s="1">
        <v>7.4278138550899538E-3</v>
      </c>
      <c r="P545" s="1">
        <v>0.71853726015704189</v>
      </c>
      <c r="R545" s="1">
        <v>0.26320029349793961</v>
      </c>
      <c r="S545" s="2">
        <f t="shared" si="108"/>
        <v>1.2116733668616357</v>
      </c>
      <c r="T545" s="4">
        <f t="shared" si="109"/>
        <v>1.4681523479618122</v>
      </c>
      <c r="U545" s="1">
        <f t="shared" si="100"/>
        <v>0.9422763784064041</v>
      </c>
      <c r="V545" s="6">
        <f>2*sigma/alpha*corel*(B545/12-1/alpha*(1-EXP(-alpha*Output!B545/12)))</f>
        <v>2.9644942102143608</v>
      </c>
      <c r="W545" s="5">
        <f t="shared" si="110"/>
        <v>-0.52587596955540805</v>
      </c>
      <c r="X545" s="1">
        <f t="shared" si="111"/>
        <v>102.3941485032571</v>
      </c>
      <c r="Y545" s="3">
        <f t="shared" si="101"/>
        <v>8.0387698565130269E-2</v>
      </c>
      <c r="Z545" s="1">
        <f t="shared" si="102"/>
        <v>0.18163751703502076</v>
      </c>
      <c r="AA545" s="8">
        <f t="shared" si="107"/>
        <v>44.416666666666835</v>
      </c>
      <c r="AB545" s="1">
        <v>44.5</v>
      </c>
      <c r="AC545" s="1">
        <v>7.5647858660000001E-3</v>
      </c>
      <c r="AD545" s="8">
        <f t="shared" si="103"/>
        <v>1.3697201091004627</v>
      </c>
      <c r="AE545" s="3">
        <f t="shared" si="104"/>
        <v>1.8106528504087369E-2</v>
      </c>
      <c r="AF545" s="11">
        <f t="shared" si="105"/>
        <v>44.416666666666835</v>
      </c>
      <c r="AG545" s="1">
        <f t="shared" si="106"/>
        <v>0.18163751703502076</v>
      </c>
    </row>
    <row r="546" spans="2:33" ht="15" x14ac:dyDescent="0.25">
      <c r="B546" s="1">
        <v>535</v>
      </c>
      <c r="C546" s="1">
        <v>1.0009334883770853</v>
      </c>
      <c r="D546" s="1">
        <v>1.2109459035137642</v>
      </c>
      <c r="E546" s="1">
        <v>0.82462120720036525</v>
      </c>
      <c r="G546" s="1">
        <v>0.99934863113258487</v>
      </c>
      <c r="H546" s="1">
        <v>4.8138881869106527</v>
      </c>
      <c r="I546" s="1">
        <v>0.1602290664075918</v>
      </c>
      <c r="K546" s="1">
        <v>0.99963157361527599</v>
      </c>
      <c r="L546" s="1">
        <v>6.4711343450183998</v>
      </c>
      <c r="M546" s="1">
        <v>0.1161692645413915</v>
      </c>
      <c r="O546" s="1">
        <v>7.4272370536961931E-3</v>
      </c>
      <c r="P546" s="1">
        <v>0.71811110087432173</v>
      </c>
      <c r="R546" s="1">
        <v>0.26337099755475524</v>
      </c>
      <c r="S546" s="2">
        <f t="shared" si="108"/>
        <v>1.2132944124051368</v>
      </c>
      <c r="T546" s="4">
        <f t="shared" si="109"/>
        <v>1.4720833311735262</v>
      </c>
      <c r="U546" s="1">
        <f t="shared" si="100"/>
        <v>0.94587861511210169</v>
      </c>
      <c r="V546" s="6">
        <f>2*sigma/alpha*corel*(B546/12-1/alpha*(1-EXP(-alpha*Output!B546/12)))</f>
        <v>2.9731571540089172</v>
      </c>
      <c r="W546" s="5">
        <f t="shared" si="110"/>
        <v>-0.52620471606142449</v>
      </c>
      <c r="X546" s="1">
        <f t="shared" si="111"/>
        <v>102.67950449338845</v>
      </c>
      <c r="Y546" s="3">
        <f t="shared" si="101"/>
        <v>8.0298307612797645E-2</v>
      </c>
      <c r="Z546" s="1">
        <f t="shared" si="102"/>
        <v>0.18171046073449038</v>
      </c>
      <c r="AA546" s="8">
        <f t="shared" si="107"/>
        <v>44.500000000000171</v>
      </c>
      <c r="AB546" s="1">
        <v>44.58</v>
      </c>
      <c r="AC546" s="1">
        <v>7.5645592899999999E-3</v>
      </c>
      <c r="AD546" s="8">
        <f t="shared" si="103"/>
        <v>1.3732223630380687</v>
      </c>
      <c r="AE546" s="3">
        <f t="shared" si="104"/>
        <v>1.8153369025124908E-2</v>
      </c>
      <c r="AF546" s="11">
        <f t="shared" si="105"/>
        <v>44.500000000000171</v>
      </c>
      <c r="AG546" s="1">
        <f t="shared" si="106"/>
        <v>0.18171046073449038</v>
      </c>
    </row>
    <row r="547" spans="2:33" ht="15" x14ac:dyDescent="0.25">
      <c r="B547" s="1">
        <v>536</v>
      </c>
      <c r="C547" s="1">
        <v>1.0009349183482663</v>
      </c>
      <c r="D547" s="1">
        <v>1.2099346277288439</v>
      </c>
      <c r="E547" s="1">
        <v>0.82530803408115416</v>
      </c>
      <c r="G547" s="1">
        <v>0.99933573661835384</v>
      </c>
      <c r="H547" s="1">
        <v>4.7853605477675076</v>
      </c>
      <c r="I547" s="1">
        <v>0.1611062027260311</v>
      </c>
      <c r="K547" s="1">
        <v>0.99984216320772312</v>
      </c>
      <c r="L547" s="1">
        <v>6.4342744973155188</v>
      </c>
      <c r="M547" s="1">
        <v>0.11677685647149967</v>
      </c>
      <c r="O547" s="1">
        <v>7.4266421103321625E-3</v>
      </c>
      <c r="P547" s="1">
        <v>0.71768584490752074</v>
      </c>
      <c r="R547" s="1">
        <v>0.26368242204209735</v>
      </c>
      <c r="S547" s="2">
        <f t="shared" si="108"/>
        <v>1.2154348803341894</v>
      </c>
      <c r="T547" s="4">
        <f t="shared" si="109"/>
        <v>1.4772819483329853</v>
      </c>
      <c r="U547" s="1">
        <f t="shared" si="100"/>
        <v>0.94948570692695977</v>
      </c>
      <c r="V547" s="6">
        <f>2*sigma/alpha*corel*(B547/12-1/alpha*(1-EXP(-alpha*Output!B547/12)))</f>
        <v>2.9818259338142914</v>
      </c>
      <c r="W547" s="5">
        <f t="shared" si="110"/>
        <v>-0.52779624140602555</v>
      </c>
      <c r="X547" s="1">
        <f t="shared" si="111"/>
        <v>103.19088103077738</v>
      </c>
      <c r="Y547" s="3">
        <f t="shared" si="101"/>
        <v>8.0333566923163763E-2</v>
      </c>
      <c r="Z547" s="1">
        <f t="shared" si="102"/>
        <v>0.18186114608463264</v>
      </c>
      <c r="AA547" s="8">
        <f t="shared" si="107"/>
        <v>44.583333333333506</v>
      </c>
      <c r="AB547" s="1">
        <v>44.67</v>
      </c>
      <c r="AC547" s="1">
        <v>7.5643335599999998E-3</v>
      </c>
      <c r="AD547" s="8">
        <f t="shared" si="103"/>
        <v>1.3769144966783737</v>
      </c>
      <c r="AE547" s="3">
        <f t="shared" si="104"/>
        <v>1.8202720514064345E-2</v>
      </c>
      <c r="AF547" s="11">
        <f t="shared" si="105"/>
        <v>44.583333333333506</v>
      </c>
      <c r="AG547" s="1">
        <f t="shared" si="106"/>
        <v>0.18186114608463264</v>
      </c>
    </row>
    <row r="548" spans="2:33" ht="15" x14ac:dyDescent="0.25">
      <c r="B548" s="1">
        <v>537</v>
      </c>
      <c r="C548" s="1">
        <v>1.0009418458841428</v>
      </c>
      <c r="D548" s="1">
        <v>1.2178347771760618</v>
      </c>
      <c r="E548" s="1">
        <v>0.81995183415200124</v>
      </c>
      <c r="G548" s="1">
        <v>0.99974965203823773</v>
      </c>
      <c r="H548" s="1">
        <v>5.070514882153331</v>
      </c>
      <c r="I548" s="1">
        <v>0.15197231804071834</v>
      </c>
      <c r="K548" s="1">
        <v>0.99956903244050488</v>
      </c>
      <c r="L548" s="1">
        <v>6.7345052829510124</v>
      </c>
      <c r="M548" s="1">
        <v>0.11150907421454742</v>
      </c>
      <c r="O548" s="1">
        <v>7.425961716768641E-3</v>
      </c>
      <c r="P548" s="1">
        <v>0.71726365463000286</v>
      </c>
      <c r="R548" s="1">
        <v>0.26396642213316174</v>
      </c>
      <c r="S548" s="2">
        <f t="shared" si="108"/>
        <v>1.2174694530701939</v>
      </c>
      <c r="T548" s="4">
        <f t="shared" si="109"/>
        <v>1.4822318691590373</v>
      </c>
      <c r="U548" s="1">
        <f t="shared" si="100"/>
        <v>0.9530976409475902</v>
      </c>
      <c r="V548" s="6">
        <f>2*sigma/alpha*corel*(B548/12-1/alpha*(1-EXP(-alpha*Output!B548/12)))</f>
        <v>2.990500530209502</v>
      </c>
      <c r="W548" s="5">
        <f t="shared" si="110"/>
        <v>-0.52913422821144707</v>
      </c>
      <c r="X548" s="1">
        <f t="shared" si="111"/>
        <v>103.65812027103235</v>
      </c>
      <c r="Y548" s="3">
        <f t="shared" si="101"/>
        <v>8.0343716938845011E-2</v>
      </c>
      <c r="Z548" s="1">
        <f t="shared" si="102"/>
        <v>0.1819958787156338</v>
      </c>
      <c r="AA548" s="8">
        <f t="shared" si="107"/>
        <v>44.666666666666842</v>
      </c>
      <c r="AB548" s="1">
        <v>44.75</v>
      </c>
      <c r="AC548" s="1">
        <v>7.5641086730000003E-3</v>
      </c>
      <c r="AD548" s="8">
        <f t="shared" si="103"/>
        <v>1.3814695623135931</v>
      </c>
      <c r="AE548" s="3">
        <f t="shared" si="104"/>
        <v>1.8263481158655649E-2</v>
      </c>
      <c r="AF548" s="11">
        <f t="shared" si="105"/>
        <v>44.666666666666842</v>
      </c>
      <c r="AG548" s="1">
        <f t="shared" si="106"/>
        <v>0.1819958787156338</v>
      </c>
    </row>
    <row r="549" spans="2:33" ht="15" x14ac:dyDescent="0.25">
      <c r="B549" s="1">
        <v>538</v>
      </c>
      <c r="C549" s="1">
        <v>1.0009473267581805</v>
      </c>
      <c r="D549" s="1">
        <v>1.2180782657583211</v>
      </c>
      <c r="E549" s="1">
        <v>0.81978553623764916</v>
      </c>
      <c r="G549" s="1">
        <v>1.0000667303358808</v>
      </c>
      <c r="H549" s="1">
        <v>5.0793639199962684</v>
      </c>
      <c r="I549" s="1">
        <v>0.15163408725143707</v>
      </c>
      <c r="K549" s="1">
        <v>0.99936988461523013</v>
      </c>
      <c r="L549" s="1">
        <v>6.6912093949557789</v>
      </c>
      <c r="M549" s="1">
        <v>0.11216768519235271</v>
      </c>
      <c r="O549" s="1">
        <v>7.4252639388444792E-3</v>
      </c>
      <c r="P549" s="1">
        <v>0.71684235270769037</v>
      </c>
      <c r="R549" s="1">
        <v>0.26440552176331522</v>
      </c>
      <c r="S549" s="2">
        <f t="shared" si="108"/>
        <v>1.2200784381640102</v>
      </c>
      <c r="T549" s="4">
        <f t="shared" si="109"/>
        <v>1.4885913952727303</v>
      </c>
      <c r="U549" s="1">
        <f t="shared" si="100"/>
        <v>0.95671440429192822</v>
      </c>
      <c r="V549" s="6">
        <f>2*sigma/alpha*corel*(B549/12-1/alpha*(1-EXP(-alpha*Output!B549/12)))</f>
        <v>2.9991809238381939</v>
      </c>
      <c r="W549" s="5">
        <f t="shared" si="110"/>
        <v>-0.5318769909808021</v>
      </c>
      <c r="X549" s="1">
        <f t="shared" si="111"/>
        <v>104.37835992980541</v>
      </c>
      <c r="Y549" s="3">
        <f t="shared" si="101"/>
        <v>8.0491359296719703E-2</v>
      </c>
      <c r="Z549" s="1">
        <f t="shared" si="102"/>
        <v>0.18221630566635047</v>
      </c>
      <c r="AA549" s="8">
        <f t="shared" si="107"/>
        <v>44.750000000000178</v>
      </c>
      <c r="AB549" s="1">
        <v>44.83</v>
      </c>
      <c r="AC549" s="1">
        <v>7.563884624E-3</v>
      </c>
      <c r="AD549" s="8">
        <f t="shared" si="103"/>
        <v>1.3862068515552075</v>
      </c>
      <c r="AE549" s="3">
        <f t="shared" si="104"/>
        <v>1.8326652513403114E-2</v>
      </c>
      <c r="AF549" s="11">
        <f t="shared" si="105"/>
        <v>44.750000000000178</v>
      </c>
      <c r="AG549" s="1">
        <f t="shared" si="106"/>
        <v>0.18221630566635047</v>
      </c>
    </row>
    <row r="550" spans="2:33" ht="15" x14ac:dyDescent="0.25">
      <c r="B550" s="1">
        <v>539</v>
      </c>
      <c r="C550" s="1">
        <v>1.0009475404872641</v>
      </c>
      <c r="D550" s="1">
        <v>1.2224644960615088</v>
      </c>
      <c r="E550" s="1">
        <v>0.81684173777172731</v>
      </c>
      <c r="G550" s="1">
        <v>0.99997285613654407</v>
      </c>
      <c r="H550" s="1">
        <v>5.2471065637845378</v>
      </c>
      <c r="I550" s="1">
        <v>0.14671546900703761</v>
      </c>
      <c r="K550" s="1">
        <v>0.99904830563561575</v>
      </c>
      <c r="L550" s="1">
        <v>6.5941754803570714</v>
      </c>
      <c r="M550" s="1">
        <v>0.11376203933162918</v>
      </c>
      <c r="O550" s="1">
        <v>7.4246081759292096E-3</v>
      </c>
      <c r="P550" s="1">
        <v>0.71642002955364492</v>
      </c>
      <c r="R550" s="1">
        <v>0.264716065502066</v>
      </c>
      <c r="S550" s="2">
        <f t="shared" si="108"/>
        <v>1.2222171132127453</v>
      </c>
      <c r="T550" s="4">
        <f t="shared" si="109"/>
        <v>1.4938146718300966</v>
      </c>
      <c r="U550" s="1">
        <f t="shared" si="100"/>
        <v>0.96033598409930221</v>
      </c>
      <c r="V550" s="6">
        <f>2*sigma/alpha*corel*(B550/12-1/alpha*(1-EXP(-alpha*Output!B550/12)))</f>
        <v>3.0078670954084257</v>
      </c>
      <c r="W550" s="5">
        <f t="shared" si="110"/>
        <v>-0.53347868773079443</v>
      </c>
      <c r="X550" s="1">
        <f t="shared" si="111"/>
        <v>104.89560202594011</v>
      </c>
      <c r="Y550" s="3">
        <f t="shared" si="101"/>
        <v>8.0526771475026779E-2</v>
      </c>
      <c r="Z550" s="1">
        <f t="shared" si="102"/>
        <v>0.18236630583172669</v>
      </c>
      <c r="AA550" s="8">
        <f t="shared" si="107"/>
        <v>44.833333333333513</v>
      </c>
      <c r="AB550" s="1">
        <v>44.92</v>
      </c>
      <c r="AC550" s="1">
        <v>7.5636614069999998E-3</v>
      </c>
      <c r="AD550" s="8">
        <f t="shared" si="103"/>
        <v>1.390532310707902</v>
      </c>
      <c r="AE550" s="3">
        <f t="shared" si="104"/>
        <v>1.8384380736834616E-2</v>
      </c>
      <c r="AF550" s="11">
        <f t="shared" si="105"/>
        <v>44.833333333333513</v>
      </c>
      <c r="AG550" s="1">
        <f t="shared" si="106"/>
        <v>0.18236630583172669</v>
      </c>
    </row>
    <row r="551" spans="2:33" ht="15" x14ac:dyDescent="0.25">
      <c r="B551" s="1">
        <v>540</v>
      </c>
      <c r="C551" s="1">
        <v>1.0009505942642623</v>
      </c>
      <c r="D551" s="1">
        <v>1.222880277664572</v>
      </c>
      <c r="E551" s="1">
        <v>0.81656161691209739</v>
      </c>
      <c r="G551" s="1">
        <v>1.0001013815320461</v>
      </c>
      <c r="H551" s="1">
        <v>5.2591094434684464</v>
      </c>
      <c r="I551" s="1">
        <v>0.1463097268898792</v>
      </c>
      <c r="K551" s="1">
        <v>0.99904867594817526</v>
      </c>
      <c r="L551" s="1">
        <v>6.4178134900596389</v>
      </c>
      <c r="M551" s="1">
        <v>0.11682327076602131</v>
      </c>
      <c r="O551" s="1">
        <v>7.4239120625716401E-3</v>
      </c>
      <c r="P551" s="1">
        <v>0.7159993335516398</v>
      </c>
      <c r="R551" s="1">
        <v>0.26509822450792925</v>
      </c>
      <c r="S551" s="2">
        <f t="shared" si="108"/>
        <v>1.2246202127270884</v>
      </c>
      <c r="T551" s="4">
        <f t="shared" si="109"/>
        <v>1.4996946654197394</v>
      </c>
      <c r="U551" s="1">
        <f t="shared" si="100"/>
        <v>0.96396236753051046</v>
      </c>
      <c r="V551" s="6">
        <f>2*sigma/alpha*corel*(B551/12-1/alpha*(1-EXP(-alpha*Output!B551/12)))</f>
        <v>3.0165590256924579</v>
      </c>
      <c r="W551" s="5">
        <f t="shared" si="110"/>
        <v>-0.53573229788922894</v>
      </c>
      <c r="X551" s="1">
        <f t="shared" si="111"/>
        <v>105.53144197554785</v>
      </c>
      <c r="Y551" s="3">
        <f t="shared" si="101"/>
        <v>8.0625452486612903E-2</v>
      </c>
      <c r="Z551" s="1">
        <f t="shared" si="102"/>
        <v>0.18255560281853483</v>
      </c>
      <c r="AA551" s="8">
        <f t="shared" si="107"/>
        <v>44.916666666666849</v>
      </c>
      <c r="AB551" s="1">
        <v>45</v>
      </c>
      <c r="AC551" s="1">
        <v>7.5634390190000003E-3</v>
      </c>
      <c r="AD551" s="8">
        <f t="shared" si="103"/>
        <v>1.3952695642836017</v>
      </c>
      <c r="AE551" s="3">
        <f t="shared" si="104"/>
        <v>1.8447554885794231E-2</v>
      </c>
      <c r="AF551" s="11">
        <f t="shared" si="105"/>
        <v>44.916666666666849</v>
      </c>
      <c r="AG551" s="1">
        <f t="shared" si="106"/>
        <v>0.18255560281853483</v>
      </c>
    </row>
    <row r="552" spans="2:33" ht="15" x14ac:dyDescent="0.25">
      <c r="B552" s="1">
        <v>541</v>
      </c>
      <c r="C552" s="1">
        <v>1.0009534126422035</v>
      </c>
      <c r="D552" s="1">
        <v>1.2220135784797044</v>
      </c>
      <c r="E552" s="1">
        <v>0.8171383545184272</v>
      </c>
      <c r="G552" s="1">
        <v>1.0001766252584052</v>
      </c>
      <c r="H552" s="1">
        <v>5.2231342340629778</v>
      </c>
      <c r="I552" s="1">
        <v>0.14724611220497424</v>
      </c>
      <c r="K552" s="1">
        <v>0.99913537955641252</v>
      </c>
      <c r="L552" s="1">
        <v>6.5109106004387103</v>
      </c>
      <c r="M552" s="1">
        <v>0.11509336443880175</v>
      </c>
      <c r="O552" s="1">
        <v>7.4232408577658291E-3</v>
      </c>
      <c r="P552" s="1">
        <v>0.71557816404482322</v>
      </c>
      <c r="R552" s="1">
        <v>0.26537326434541852</v>
      </c>
      <c r="S552" s="2">
        <f t="shared" si="108"/>
        <v>1.2266299606223383</v>
      </c>
      <c r="T552" s="4">
        <f t="shared" si="109"/>
        <v>1.5046210602963592</v>
      </c>
      <c r="U552" s="1">
        <f t="shared" si="100"/>
        <v>0.96759354176788648</v>
      </c>
      <c r="V552" s="6">
        <f>2*sigma/alpha*corel*(B552/12-1/alpha*(1-EXP(-alpha*Output!B552/12)))</f>
        <v>3.0252566955265343</v>
      </c>
      <c r="W552" s="5">
        <f t="shared" si="110"/>
        <v>-0.53702751852847275</v>
      </c>
      <c r="X552" s="1">
        <f t="shared" si="111"/>
        <v>105.99614058179606</v>
      </c>
      <c r="Y552" s="3">
        <f t="shared" si="101"/>
        <v>8.06305288041122E-2</v>
      </c>
      <c r="Z552" s="1">
        <f t="shared" si="102"/>
        <v>0.18268612276810994</v>
      </c>
      <c r="AA552" s="8">
        <f t="shared" si="107"/>
        <v>45.000000000000185</v>
      </c>
      <c r="AB552" s="1">
        <v>45.08</v>
      </c>
      <c r="AC552" s="1">
        <v>7.5632174539999996E-3</v>
      </c>
      <c r="AD552" s="8">
        <f t="shared" si="103"/>
        <v>1.3997659623417054</v>
      </c>
      <c r="AE552" s="3">
        <f t="shared" si="104"/>
        <v>1.8507546171390374E-2</v>
      </c>
      <c r="AF552" s="11">
        <f t="shared" si="105"/>
        <v>45.000000000000185</v>
      </c>
      <c r="AG552" s="1">
        <f t="shared" si="106"/>
        <v>0.18268612276810994</v>
      </c>
    </row>
    <row r="553" spans="2:33" ht="15" x14ac:dyDescent="0.25">
      <c r="B553" s="1">
        <v>542</v>
      </c>
      <c r="C553" s="1">
        <v>1.0009485473442372</v>
      </c>
      <c r="D553" s="1">
        <v>1.2185076584526418</v>
      </c>
      <c r="E553" s="1">
        <v>0.81948703403439394</v>
      </c>
      <c r="G553" s="1">
        <v>0.99968872631884864</v>
      </c>
      <c r="H553" s="1">
        <v>5.0897400138290187</v>
      </c>
      <c r="I553" s="1">
        <v>0.15103202277965486</v>
      </c>
      <c r="K553" s="1">
        <v>0.99900722464681291</v>
      </c>
      <c r="L553" s="1">
        <v>6.6340533862183966</v>
      </c>
      <c r="M553" s="1">
        <v>0.11289412154409047</v>
      </c>
      <c r="O553" s="1">
        <v>7.42261603490477E-3</v>
      </c>
      <c r="P553" s="1">
        <v>0.71515582408948175</v>
      </c>
      <c r="R553" s="1">
        <v>0.26563249466275823</v>
      </c>
      <c r="S553" s="2">
        <f t="shared" si="108"/>
        <v>1.2285861478669775</v>
      </c>
      <c r="T553" s="4">
        <f t="shared" si="109"/>
        <v>1.5094239227306188</v>
      </c>
      <c r="U553" s="1">
        <f t="shared" si="100"/>
        <v>0.97122949401537007</v>
      </c>
      <c r="V553" s="6">
        <f>2*sigma/alpha*corel*(B553/12-1/alpha*(1-EXP(-alpha*Output!B553/12)))</f>
        <v>3.0339600858106719</v>
      </c>
      <c r="W553" s="5">
        <f t="shared" si="110"/>
        <v>-0.5381944287152487</v>
      </c>
      <c r="X553" s="1">
        <f t="shared" si="111"/>
        <v>106.43870725684722</v>
      </c>
      <c r="Y553" s="3">
        <f t="shared" si="101"/>
        <v>8.0623102184071274E-2</v>
      </c>
      <c r="Z553" s="1">
        <f t="shared" si="102"/>
        <v>0.18280858797948824</v>
      </c>
      <c r="AA553" s="8">
        <f t="shared" si="107"/>
        <v>45.08333333333352</v>
      </c>
      <c r="AB553" s="1">
        <v>45.17</v>
      </c>
      <c r="AC553" s="1">
        <v>7.562996709E-3</v>
      </c>
      <c r="AD553" s="8">
        <f t="shared" si="103"/>
        <v>1.4038067409523001</v>
      </c>
      <c r="AE553" s="3">
        <f t="shared" si="104"/>
        <v>1.8561514634559656E-2</v>
      </c>
      <c r="AF553" s="11">
        <f t="shared" si="105"/>
        <v>45.08333333333352</v>
      </c>
      <c r="AG553" s="1">
        <f t="shared" si="106"/>
        <v>0.18280858797948824</v>
      </c>
    </row>
    <row r="554" spans="2:33" ht="15" x14ac:dyDescent="0.25">
      <c r="B554" s="1">
        <v>543</v>
      </c>
      <c r="C554" s="1">
        <v>1.0009466304032113</v>
      </c>
      <c r="D554" s="1">
        <v>1.2178852789812373</v>
      </c>
      <c r="E554" s="1">
        <v>0.81990340188442556</v>
      </c>
      <c r="G554" s="1">
        <v>0.9993518111493267</v>
      </c>
      <c r="H554" s="1">
        <v>5.066637201730658</v>
      </c>
      <c r="I554" s="1">
        <v>0.1516472161188461</v>
      </c>
      <c r="K554" s="1">
        <v>0.99871757593363497</v>
      </c>
      <c r="L554" s="1">
        <v>6.5464047708933304</v>
      </c>
      <c r="M554" s="1">
        <v>0.1143503952256175</v>
      </c>
      <c r="O554" s="1">
        <v>7.4219821555941545E-3</v>
      </c>
      <c r="P554" s="1">
        <v>0.71473410073397103</v>
      </c>
      <c r="R554" s="1">
        <v>0.26592267641238032</v>
      </c>
      <c r="S554" s="2">
        <f t="shared" si="108"/>
        <v>1.2306583134330038</v>
      </c>
      <c r="T554" s="4">
        <f t="shared" si="109"/>
        <v>1.5145198844217653</v>
      </c>
      <c r="U554" s="1">
        <f t="shared" si="100"/>
        <v>0.97487021149857656</v>
      </c>
      <c r="V554" s="6">
        <f>2*sigma/alpha*corel*(B554/12-1/alpha*(1-EXP(-alpha*Output!B554/12)))</f>
        <v>3.0426691775084502</v>
      </c>
      <c r="W554" s="5">
        <f t="shared" si="110"/>
        <v>-0.53964967292318877</v>
      </c>
      <c r="X554" s="1">
        <f t="shared" si="111"/>
        <v>106.93442652285711</v>
      </c>
      <c r="Y554" s="3">
        <f t="shared" si="101"/>
        <v>8.0643548683584365E-2</v>
      </c>
      <c r="Z554" s="1">
        <f t="shared" si="102"/>
        <v>0.18294822408103245</v>
      </c>
      <c r="AA554" s="8">
        <f t="shared" si="107"/>
        <v>45.166666666666856</v>
      </c>
      <c r="AB554" s="1">
        <v>45.25</v>
      </c>
      <c r="AC554" s="1">
        <v>7.5627767779999997E-3</v>
      </c>
      <c r="AD554" s="8">
        <f t="shared" si="103"/>
        <v>1.4079462240584526</v>
      </c>
      <c r="AE554" s="3">
        <f t="shared" si="104"/>
        <v>1.8616789380246503E-2</v>
      </c>
      <c r="AF554" s="11">
        <f t="shared" si="105"/>
        <v>45.166666666666856</v>
      </c>
      <c r="AG554" s="1">
        <f t="shared" si="106"/>
        <v>0.18294822408103245</v>
      </c>
    </row>
    <row r="555" spans="2:33" ht="15" x14ac:dyDescent="0.25">
      <c r="B555" s="1">
        <v>544</v>
      </c>
      <c r="C555" s="1">
        <v>1.0009463255271642</v>
      </c>
      <c r="D555" s="1">
        <v>1.2169943511763941</v>
      </c>
      <c r="E555" s="1">
        <v>0.82050120715835739</v>
      </c>
      <c r="G555" s="1">
        <v>0.99924574500107322</v>
      </c>
      <c r="H555" s="1">
        <v>5.0304205449210269</v>
      </c>
      <c r="I555" s="1">
        <v>0.15266502947982408</v>
      </c>
      <c r="K555" s="1">
        <v>0.99878712014734305</v>
      </c>
      <c r="L555" s="1">
        <v>6.6178770601161014</v>
      </c>
      <c r="M555" s="1">
        <v>0.1130529885212333</v>
      </c>
      <c r="O555" s="1">
        <v>7.4212786662126414E-3</v>
      </c>
      <c r="P555" s="1">
        <v>0.71431495566012415</v>
      </c>
      <c r="R555" s="1">
        <v>0.26629633388877749</v>
      </c>
      <c r="S555" s="2">
        <f t="shared" si="108"/>
        <v>1.2330376719945291</v>
      </c>
      <c r="T555" s="4">
        <f t="shared" si="109"/>
        <v>1.520381900557688</v>
      </c>
      <c r="U555" s="1">
        <f t="shared" si="100"/>
        <v>0.97851568146486079</v>
      </c>
      <c r="V555" s="6">
        <f>2*sigma/alpha*corel*(B555/12-1/alpha*(1-EXP(-alpha*Output!B555/12)))</f>
        <v>3.0513839516467955</v>
      </c>
      <c r="W555" s="5">
        <f t="shared" si="110"/>
        <v>-0.54186621909282717</v>
      </c>
      <c r="X555" s="1">
        <f t="shared" si="111"/>
        <v>107.56935174920028</v>
      </c>
      <c r="Y555" s="3">
        <f t="shared" si="101"/>
        <v>8.0737286295387803E-2</v>
      </c>
      <c r="Z555" s="1">
        <f t="shared" si="102"/>
        <v>0.1831333831984592</v>
      </c>
      <c r="AA555" s="8">
        <f t="shared" si="107"/>
        <v>45.250000000000192</v>
      </c>
      <c r="AB555" s="1">
        <v>45.33</v>
      </c>
      <c r="AC555" s="1">
        <v>7.5625576569999997E-3</v>
      </c>
      <c r="AD555" s="8">
        <f t="shared" si="103"/>
        <v>1.4127899078735831</v>
      </c>
      <c r="AE555" s="3">
        <f t="shared" si="104"/>
        <v>1.8681377014902977E-2</v>
      </c>
      <c r="AF555" s="11">
        <f t="shared" si="105"/>
        <v>45.250000000000192</v>
      </c>
      <c r="AG555" s="1">
        <f t="shared" si="106"/>
        <v>0.1831333831984592</v>
      </c>
    </row>
    <row r="556" spans="2:33" ht="15" x14ac:dyDescent="0.25">
      <c r="B556" s="1">
        <v>545</v>
      </c>
      <c r="C556" s="1">
        <v>1.0009493218975263</v>
      </c>
      <c r="D556" s="1">
        <v>1.2149633888024194</v>
      </c>
      <c r="E556" s="1">
        <v>0.82187034528507774</v>
      </c>
      <c r="G556" s="1">
        <v>0.99928560731445881</v>
      </c>
      <c r="H556" s="1">
        <v>4.9446070528188226</v>
      </c>
      <c r="I556" s="1">
        <v>0.15523930287107887</v>
      </c>
      <c r="K556" s="1">
        <v>0.99893461497936065</v>
      </c>
      <c r="L556" s="1">
        <v>6.5913743754457217</v>
      </c>
      <c r="M556" s="1">
        <v>0.11344640104954329</v>
      </c>
      <c r="O556" s="1">
        <v>7.4205910133763233E-3</v>
      </c>
      <c r="P556" s="1">
        <v>0.71389562662597772</v>
      </c>
      <c r="R556" s="1">
        <v>0.26648236393279162</v>
      </c>
      <c r="S556" s="2">
        <f t="shared" si="108"/>
        <v>1.2347214949651766</v>
      </c>
      <c r="T556" s="4">
        <f t="shared" si="109"/>
        <v>1.5245371701290407</v>
      </c>
      <c r="U556" s="1">
        <f t="shared" si="100"/>
        <v>0.98216589118338549</v>
      </c>
      <c r="V556" s="6">
        <f>2*sigma/alpha*corel*(B556/12-1/alpha*(1-EXP(-alpha*Output!B556/12)))</f>
        <v>3.0601043893157729</v>
      </c>
      <c r="W556" s="5">
        <f t="shared" si="110"/>
        <v>-0.54237127894565518</v>
      </c>
      <c r="X556" s="1">
        <f t="shared" si="111"/>
        <v>107.89502121530369</v>
      </c>
      <c r="Y556" s="3">
        <f t="shared" si="101"/>
        <v>8.0665854319171837E-2</v>
      </c>
      <c r="Z556" s="1">
        <f t="shared" si="102"/>
        <v>0.18321514921513404</v>
      </c>
      <c r="AA556" s="8">
        <f t="shared" si="107"/>
        <v>45.333333333333528</v>
      </c>
      <c r="AB556" s="1">
        <v>45.42</v>
      </c>
      <c r="AC556" s="1">
        <v>7.5623393419999999E-3</v>
      </c>
      <c r="AD556" s="8">
        <f t="shared" si="103"/>
        <v>1.4174832862367659</v>
      </c>
      <c r="AE556" s="3">
        <f t="shared" si="104"/>
        <v>1.8743978842159264E-2</v>
      </c>
      <c r="AF556" s="11">
        <f t="shared" si="105"/>
        <v>45.333333333333528</v>
      </c>
      <c r="AG556" s="1">
        <f t="shared" si="106"/>
        <v>0.18321514921513404</v>
      </c>
    </row>
    <row r="557" spans="2:33" ht="15" x14ac:dyDescent="0.25">
      <c r="B557" s="1">
        <v>546</v>
      </c>
      <c r="C557" s="1">
        <v>1.0009499975270661</v>
      </c>
      <c r="D557" s="1">
        <v>1.2185232390516179</v>
      </c>
      <c r="E557" s="1">
        <v>0.81946686595423712</v>
      </c>
      <c r="G557" s="1">
        <v>0.9992228358214772</v>
      </c>
      <c r="H557" s="1">
        <v>5.0760120718533592</v>
      </c>
      <c r="I557" s="1">
        <v>0.15114731187497391</v>
      </c>
      <c r="K557" s="1">
        <v>0.99882541444641859</v>
      </c>
      <c r="L557" s="1">
        <v>6.7487845421505375</v>
      </c>
      <c r="M557" s="1">
        <v>0.11073935053912658</v>
      </c>
      <c r="O557" s="1">
        <v>7.4199726443560047E-3</v>
      </c>
      <c r="P557" s="1">
        <v>0.71347437635413558</v>
      </c>
      <c r="R557" s="1">
        <v>0.26677752122195419</v>
      </c>
      <c r="S557" s="2">
        <f t="shared" si="108"/>
        <v>1.2368186643390813</v>
      </c>
      <c r="T557" s="4">
        <f t="shared" si="109"/>
        <v>1.5297204084575089</v>
      </c>
      <c r="U557" s="1">
        <f t="shared" si="100"/>
        <v>0.98582082794518389</v>
      </c>
      <c r="V557" s="6">
        <f>2*sigma/alpha*corel*(B557/12-1/alpha*(1-EXP(-alpha*Output!B557/12)))</f>
        <v>3.0688304716683774</v>
      </c>
      <c r="W557" s="5">
        <f t="shared" si="110"/>
        <v>-0.54389958051232501</v>
      </c>
      <c r="X557" s="1">
        <f t="shared" si="111"/>
        <v>108.40744411708351</v>
      </c>
      <c r="Y557" s="3">
        <f t="shared" si="101"/>
        <v>8.0692956965791388E-2</v>
      </c>
      <c r="Z557" s="1">
        <f t="shared" si="102"/>
        <v>0.18335819795500796</v>
      </c>
      <c r="AA557" s="8">
        <f t="shared" si="107"/>
        <v>45.416666666666863</v>
      </c>
      <c r="AB557" s="1">
        <v>45.5</v>
      </c>
      <c r="AC557" s="1">
        <v>7.5621218279999999E-3</v>
      </c>
      <c r="AD557" s="8">
        <f t="shared" si="103"/>
        <v>1.4214918364399525</v>
      </c>
      <c r="AE557" s="3">
        <f t="shared" si="104"/>
        <v>1.8797526260111878E-2</v>
      </c>
      <c r="AF557" s="11">
        <f t="shared" si="105"/>
        <v>45.416666666666863</v>
      </c>
      <c r="AG557" s="1">
        <f t="shared" si="106"/>
        <v>0.18335819795500796</v>
      </c>
    </row>
    <row r="558" spans="2:33" ht="15" x14ac:dyDescent="0.25">
      <c r="B558" s="1">
        <v>547</v>
      </c>
      <c r="C558" s="1">
        <v>1.0009525759574565</v>
      </c>
      <c r="D558" s="1">
        <v>1.2159908714917818</v>
      </c>
      <c r="E558" s="1">
        <v>0.82117101114799329</v>
      </c>
      <c r="G558" s="1">
        <v>0.99928764030938799</v>
      </c>
      <c r="H558" s="1">
        <v>4.9866146288956346</v>
      </c>
      <c r="I558" s="1">
        <v>0.15378248389200147</v>
      </c>
      <c r="K558" s="1">
        <v>0.99878105777038007</v>
      </c>
      <c r="L558" s="1">
        <v>6.6600157463492646</v>
      </c>
      <c r="M558" s="1">
        <v>0.11215584499274064</v>
      </c>
      <c r="O558" s="1">
        <v>7.4194268259428243E-3</v>
      </c>
      <c r="P558" s="1">
        <v>0.71305109000481115</v>
      </c>
      <c r="R558" s="1">
        <v>0.26698130230520528</v>
      </c>
      <c r="S558" s="2">
        <f t="shared" si="108"/>
        <v>1.2385821872589811</v>
      </c>
      <c r="T558" s="4">
        <f t="shared" si="109"/>
        <v>1.5340858345952417</v>
      </c>
      <c r="U558" s="1">
        <f t="shared" si="100"/>
        <v>0.98948047906322367</v>
      </c>
      <c r="V558" s="6">
        <f>2*sigma/alpha*corel*(B558/12-1/alpha*(1-EXP(-alpha*Output!B558/12)))</f>
        <v>3.0775621799203203</v>
      </c>
      <c r="W558" s="5">
        <f t="shared" si="110"/>
        <v>-0.54460535553201805</v>
      </c>
      <c r="X558" s="1">
        <f t="shared" si="111"/>
        <v>108.77109879661387</v>
      </c>
      <c r="Y558" s="3">
        <f t="shared" si="101"/>
        <v>8.0641055080734575E-2</v>
      </c>
      <c r="Z558" s="1">
        <f t="shared" si="102"/>
        <v>0.18345172075650992</v>
      </c>
      <c r="AA558" s="8">
        <f t="shared" si="107"/>
        <v>45.500000000000199</v>
      </c>
      <c r="AB558" s="1">
        <v>45.58</v>
      </c>
      <c r="AC558" s="1">
        <v>7.5619051109999998E-3</v>
      </c>
      <c r="AD558" s="8">
        <f t="shared" si="103"/>
        <v>1.4247828505717548</v>
      </c>
      <c r="AE558" s="3">
        <f t="shared" si="104"/>
        <v>1.88415859450442E-2</v>
      </c>
      <c r="AF558" s="11">
        <f t="shared" si="105"/>
        <v>45.500000000000199</v>
      </c>
      <c r="AG558" s="1">
        <f t="shared" si="106"/>
        <v>0.18345172075650992</v>
      </c>
    </row>
    <row r="559" spans="2:33" ht="15" x14ac:dyDescent="0.25">
      <c r="B559" s="1">
        <v>548</v>
      </c>
      <c r="C559" s="1">
        <v>1.0009568499606858</v>
      </c>
      <c r="D559" s="1">
        <v>1.2199217853601769</v>
      </c>
      <c r="E559" s="1">
        <v>0.8185225431753993</v>
      </c>
      <c r="G559" s="1">
        <v>0.99950729830118212</v>
      </c>
      <c r="H559" s="1">
        <v>5.1297821598327022</v>
      </c>
      <c r="I559" s="1">
        <v>0.14941815092354863</v>
      </c>
      <c r="K559" s="1">
        <v>0.99880755625684048</v>
      </c>
      <c r="L559" s="1">
        <v>6.7271722074575093</v>
      </c>
      <c r="M559" s="1">
        <v>0.11097534775795484</v>
      </c>
      <c r="O559" s="1">
        <v>7.4189462516479447E-3</v>
      </c>
      <c r="P559" s="1">
        <v>0.71262599634912249</v>
      </c>
      <c r="R559" s="1">
        <v>0.26727030206533536</v>
      </c>
      <c r="S559" s="2">
        <f t="shared" si="108"/>
        <v>1.2406703730778605</v>
      </c>
      <c r="T559" s="4">
        <f t="shared" si="109"/>
        <v>1.5392629746331576</v>
      </c>
      <c r="U559" s="1">
        <f t="shared" si="100"/>
        <v>0.9931448318724696</v>
      </c>
      <c r="V559" s="6">
        <f>2*sigma/alpha*corel*(B559/12-1/alpha*(1-EXP(-alpha*Output!B559/12)))</f>
        <v>3.0862994953498246</v>
      </c>
      <c r="W559" s="5">
        <f t="shared" si="110"/>
        <v>-0.54611814276068804</v>
      </c>
      <c r="X559" s="1">
        <f t="shared" si="111"/>
        <v>109.28282531928227</v>
      </c>
      <c r="Y559" s="3">
        <f t="shared" si="101"/>
        <v>8.0666530454799157E-2</v>
      </c>
      <c r="Z559" s="1">
        <f t="shared" si="102"/>
        <v>0.18359326920019861</v>
      </c>
      <c r="AA559" s="8">
        <f t="shared" si="107"/>
        <v>45.583333333333535</v>
      </c>
      <c r="AB559" s="1">
        <v>45.67</v>
      </c>
      <c r="AC559" s="1">
        <v>7.561689186E-3</v>
      </c>
      <c r="AD559" s="8">
        <f t="shared" si="103"/>
        <v>1.4274293435205532</v>
      </c>
      <c r="AE559" s="3">
        <f t="shared" si="104"/>
        <v>1.8877122669407654E-2</v>
      </c>
      <c r="AF559" s="11">
        <f t="shared" si="105"/>
        <v>45.583333333333535</v>
      </c>
      <c r="AG559" s="1">
        <f t="shared" si="106"/>
        <v>0.18359326920019861</v>
      </c>
    </row>
    <row r="560" spans="2:33" ht="15" x14ac:dyDescent="0.25">
      <c r="B560" s="1">
        <v>549</v>
      </c>
      <c r="C560" s="1">
        <v>1.0009596319600884</v>
      </c>
      <c r="D560" s="1">
        <v>1.2168167575276585</v>
      </c>
      <c r="E560" s="1">
        <v>0.82060877194260851</v>
      </c>
      <c r="G560" s="1">
        <v>0.99963176727052649</v>
      </c>
      <c r="H560" s="1">
        <v>5.0120817219816827</v>
      </c>
      <c r="I560" s="1">
        <v>0.15285291917929922</v>
      </c>
      <c r="K560" s="1">
        <v>0.99885764277433908</v>
      </c>
      <c r="L560" s="1">
        <v>6.7657182844940795</v>
      </c>
      <c r="M560" s="1">
        <v>0.11028826430835383</v>
      </c>
      <c r="O560" s="1">
        <v>7.4185352194528244E-3</v>
      </c>
      <c r="P560" s="1">
        <v>0.71219894726127475</v>
      </c>
      <c r="R560" s="1">
        <v>0.26760838651810975</v>
      </c>
      <c r="S560" s="2">
        <f t="shared" si="108"/>
        <v>1.2429493740522075</v>
      </c>
      <c r="T560" s="4">
        <f t="shared" si="109"/>
        <v>1.5449231464567745</v>
      </c>
      <c r="U560" s="1">
        <f t="shared" si="100"/>
        <v>0.99681387372994612</v>
      </c>
      <c r="V560" s="6">
        <f>2*sigma/alpha*corel*(B560/12-1/alpha*(1-EXP(-alpha*Output!B560/12)))</f>
        <v>3.095042399297415</v>
      </c>
      <c r="W560" s="5">
        <f t="shared" si="110"/>
        <v>-0.54810927272682841</v>
      </c>
      <c r="X560" s="1">
        <f t="shared" si="111"/>
        <v>109.8832843624583</v>
      </c>
      <c r="Y560" s="3">
        <f t="shared" si="101"/>
        <v>8.0737490775371346E-2</v>
      </c>
      <c r="Z560" s="1">
        <f t="shared" si="102"/>
        <v>0.18376292320381271</v>
      </c>
      <c r="AA560" s="8">
        <f t="shared" si="107"/>
        <v>45.66666666666687</v>
      </c>
      <c r="AB560" s="1">
        <v>45.75</v>
      </c>
      <c r="AC560" s="1">
        <v>7.5614740500000001E-3</v>
      </c>
      <c r="AD560" s="8">
        <f t="shared" si="103"/>
        <v>1.4293883054717575</v>
      </c>
      <c r="AE560" s="3">
        <f t="shared" si="104"/>
        <v>1.8903566897406167E-2</v>
      </c>
      <c r="AF560" s="11">
        <f t="shared" si="105"/>
        <v>45.66666666666687</v>
      </c>
      <c r="AG560" s="1">
        <f t="shared" si="106"/>
        <v>0.18376292320381271</v>
      </c>
    </row>
    <row r="561" spans="2:33" ht="15" x14ac:dyDescent="0.25">
      <c r="B561" s="1">
        <v>550</v>
      </c>
      <c r="C561" s="1">
        <v>1.000955478195904</v>
      </c>
      <c r="D561" s="1">
        <v>1.220710195598709</v>
      </c>
      <c r="E561" s="1">
        <v>0.81798900828007326</v>
      </c>
      <c r="G561" s="1">
        <v>0.99917383064557252</v>
      </c>
      <c r="H561" s="1">
        <v>5.1546312098844762</v>
      </c>
      <c r="I561" s="1">
        <v>0.14855383925440616</v>
      </c>
      <c r="K561" s="1">
        <v>0.99888394582612405</v>
      </c>
      <c r="L561" s="1">
        <v>6.9091153587149954</v>
      </c>
      <c r="M561" s="1">
        <v>0.10794048092011144</v>
      </c>
      <c r="O561" s="1">
        <v>7.4181116704917774E-3</v>
      </c>
      <c r="P561" s="1">
        <v>0.71177261118080426</v>
      </c>
      <c r="R561" s="1">
        <v>0.26803460431117504</v>
      </c>
      <c r="S561" s="2">
        <f t="shared" si="108"/>
        <v>1.2455596047110606</v>
      </c>
      <c r="T561" s="4">
        <f t="shared" si="109"/>
        <v>1.5514187288879737</v>
      </c>
      <c r="U561" s="1">
        <f t="shared" si="100"/>
        <v>1.0004875920147929</v>
      </c>
      <c r="V561" s="6">
        <f>2*sigma/alpha*corel*(B561/12-1/alpha*(1-EXP(-alpha*Output!B561/12)))</f>
        <v>3.1037908731657105</v>
      </c>
      <c r="W561" s="5">
        <f t="shared" si="110"/>
        <v>-0.55093113687318085</v>
      </c>
      <c r="X561" s="1">
        <f t="shared" si="111"/>
        <v>110.63755954442992</v>
      </c>
      <c r="Y561" s="3">
        <f t="shared" si="101"/>
        <v>8.0887070758581231E-2</v>
      </c>
      <c r="Z561" s="1">
        <f t="shared" si="102"/>
        <v>0.18398134661701532</v>
      </c>
      <c r="AA561" s="8">
        <f t="shared" si="107"/>
        <v>45.750000000000206</v>
      </c>
      <c r="AB561" s="1">
        <v>45.83</v>
      </c>
      <c r="AC561" s="1">
        <v>7.5612596970000001E-3</v>
      </c>
      <c r="AD561" s="8">
        <f t="shared" si="103"/>
        <v>1.4314802650822276</v>
      </c>
      <c r="AE561" s="3">
        <f t="shared" si="104"/>
        <v>1.8931769605138423E-2</v>
      </c>
      <c r="AF561" s="11">
        <f t="shared" si="105"/>
        <v>45.750000000000206</v>
      </c>
      <c r="AG561" s="1">
        <f t="shared" si="106"/>
        <v>0.18398134661701532</v>
      </c>
    </row>
    <row r="562" spans="2:33" ht="15" x14ac:dyDescent="0.25">
      <c r="B562" s="1">
        <v>551</v>
      </c>
      <c r="C562" s="1">
        <v>1.0009526881108297</v>
      </c>
      <c r="D562" s="1">
        <v>1.2218932399661733</v>
      </c>
      <c r="E562" s="1">
        <v>0.81719458060886496</v>
      </c>
      <c r="G562" s="1">
        <v>0.99881822196046055</v>
      </c>
      <c r="H562" s="1">
        <v>5.1967642929964457</v>
      </c>
      <c r="I562" s="1">
        <v>0.14727806053060161</v>
      </c>
      <c r="K562" s="1">
        <v>0.99888919336979887</v>
      </c>
      <c r="L562" s="1">
        <v>6.8991246233279124</v>
      </c>
      <c r="M562" s="1">
        <v>0.1080376743206834</v>
      </c>
      <c r="O562" s="1">
        <v>7.4176698461681555E-3</v>
      </c>
      <c r="P562" s="1">
        <v>0.71134717745065712</v>
      </c>
      <c r="R562" s="1">
        <v>0.26837987446020989</v>
      </c>
      <c r="S562" s="2">
        <f t="shared" si="108"/>
        <v>1.2478679830922095</v>
      </c>
      <c r="T562" s="4">
        <f t="shared" si="109"/>
        <v>1.5571745032266189</v>
      </c>
      <c r="U562" s="1">
        <f t="shared" si="100"/>
        <v>1.0041659741283282</v>
      </c>
      <c r="V562" s="6">
        <f>2*sigma/alpha*corel*(B562/12-1/alpha*(1-EXP(-alpha*Output!B562/12)))</f>
        <v>3.1125448984192174</v>
      </c>
      <c r="W562" s="5">
        <f t="shared" si="110"/>
        <v>-0.55300852909829068</v>
      </c>
      <c r="X562" s="1">
        <f t="shared" si="111"/>
        <v>111.2571689223949</v>
      </c>
      <c r="Y562" s="3">
        <f t="shared" si="101"/>
        <v>8.0965224941753344E-2</v>
      </c>
      <c r="Z562" s="1">
        <f t="shared" si="102"/>
        <v>0.18415497911165532</v>
      </c>
      <c r="AA562" s="8">
        <f t="shared" si="107"/>
        <v>45.833333333333542</v>
      </c>
      <c r="AB562" s="1">
        <v>45.92</v>
      </c>
      <c r="AC562" s="1">
        <v>7.5610461239999996E-3</v>
      </c>
      <c r="AD562" s="8">
        <f t="shared" si="103"/>
        <v>1.4337627783184408</v>
      </c>
      <c r="AE562" s="3">
        <f t="shared" si="104"/>
        <v>1.8962492157896547E-2</v>
      </c>
      <c r="AF562" s="11">
        <f t="shared" si="105"/>
        <v>45.833333333333542</v>
      </c>
      <c r="AG562" s="1">
        <f t="shared" si="106"/>
        <v>0.18415497911165532</v>
      </c>
    </row>
    <row r="563" spans="2:33" ht="15" x14ac:dyDescent="0.25">
      <c r="B563" s="1">
        <v>552</v>
      </c>
      <c r="C563" s="1">
        <v>1.0009494542858526</v>
      </c>
      <c r="D563" s="1">
        <v>1.2202269032538076</v>
      </c>
      <c r="E563" s="1">
        <v>0.81830808486436224</v>
      </c>
      <c r="G563" s="1">
        <v>0.9983865505885906</v>
      </c>
      <c r="H563" s="1">
        <v>5.1266062346180679</v>
      </c>
      <c r="I563" s="1">
        <v>0.14922126216431711</v>
      </c>
      <c r="K563" s="1">
        <v>0.99879495755247616</v>
      </c>
      <c r="L563" s="1">
        <v>6.8730315900885177</v>
      </c>
      <c r="M563" s="1">
        <v>0.10838815933618332</v>
      </c>
      <c r="O563" s="1">
        <v>7.4171881919102428E-3</v>
      </c>
      <c r="P563" s="1">
        <v>0.71092335289322517</v>
      </c>
      <c r="R563" s="1">
        <v>0.26868847665141449</v>
      </c>
      <c r="S563" s="2">
        <f t="shared" si="108"/>
        <v>1.250038001739217</v>
      </c>
      <c r="T563" s="4">
        <f t="shared" si="109"/>
        <v>1.5625950057921747</v>
      </c>
      <c r="U563" s="1">
        <f t="shared" si="100"/>
        <v>1.007849007494106</v>
      </c>
      <c r="V563" s="6">
        <f>2*sigma/alpha*corel*(B563/12-1/alpha*(1-EXP(-alpha*Output!B563/12)))</f>
        <v>3.1213044565841268</v>
      </c>
      <c r="W563" s="5">
        <f t="shared" si="110"/>
        <v>-0.5547459982980687</v>
      </c>
      <c r="X563" s="1">
        <f t="shared" si="111"/>
        <v>111.81580519753658</v>
      </c>
      <c r="Y563" s="3">
        <f t="shared" si="101"/>
        <v>8.1010813264348558E-2</v>
      </c>
      <c r="Z563" s="1">
        <f t="shared" si="102"/>
        <v>0.18430804824438884</v>
      </c>
      <c r="AA563" s="8">
        <f t="shared" si="107"/>
        <v>45.916666666666877</v>
      </c>
      <c r="AB563" s="1">
        <v>46</v>
      </c>
      <c r="AC563" s="1">
        <v>7.5608333259999999E-3</v>
      </c>
      <c r="AD563" s="8">
        <f t="shared" si="103"/>
        <v>1.4364513408975705</v>
      </c>
      <c r="AE563" s="3">
        <f t="shared" si="104"/>
        <v>1.8998584930551749E-2</v>
      </c>
      <c r="AF563" s="11">
        <f t="shared" si="105"/>
        <v>45.916666666666877</v>
      </c>
      <c r="AG563" s="1">
        <f t="shared" si="106"/>
        <v>0.18430804824438884</v>
      </c>
    </row>
    <row r="564" spans="2:33" ht="15" x14ac:dyDescent="0.25">
      <c r="B564" s="1">
        <v>553</v>
      </c>
      <c r="C564" s="1">
        <v>1.0009485804683727</v>
      </c>
      <c r="D564" s="1">
        <v>1.2195771515008285</v>
      </c>
      <c r="E564" s="1">
        <v>0.81874159350150333</v>
      </c>
      <c r="G564" s="1">
        <v>0.99817546645153266</v>
      </c>
      <c r="H564" s="1">
        <v>5.100311736483123</v>
      </c>
      <c r="I564" s="1">
        <v>0.14991791769955581</v>
      </c>
      <c r="K564" s="1">
        <v>0.99887052289372025</v>
      </c>
      <c r="L564" s="1">
        <v>6.8610129209070063</v>
      </c>
      <c r="M564" s="1">
        <v>0.10852076343743443</v>
      </c>
      <c r="O564" s="1">
        <v>7.416805717482414E-3</v>
      </c>
      <c r="P564" s="1">
        <v>0.710496590530173</v>
      </c>
      <c r="R564" s="1">
        <v>0.26899433407087275</v>
      </c>
      <c r="S564" s="2">
        <f t="shared" si="108"/>
        <v>1.2522075199699552</v>
      </c>
      <c r="T564" s="4">
        <f t="shared" si="109"/>
        <v>1.5680236730693056</v>
      </c>
      <c r="U564" s="1">
        <f t="shared" si="100"/>
        <v>1.0115366795579708</v>
      </c>
      <c r="V564" s="6">
        <f>2*sigma/alpha*corel*(B564/12-1/alpha*(1-EXP(-alpha*Output!B564/12)))</f>
        <v>3.1300695292481047</v>
      </c>
      <c r="W564" s="5">
        <f t="shared" si="110"/>
        <v>-0.55648699351133479</v>
      </c>
      <c r="X564" s="1">
        <f t="shared" si="111"/>
        <v>112.37643772851683</v>
      </c>
      <c r="Y564" s="3">
        <f t="shared" si="101"/>
        <v>8.105648253470478E-2</v>
      </c>
      <c r="Z564" s="1">
        <f t="shared" si="102"/>
        <v>0.18446091769537332</v>
      </c>
      <c r="AA564" s="8">
        <f t="shared" si="107"/>
        <v>46.000000000000213</v>
      </c>
      <c r="AB564" s="1">
        <v>46.08</v>
      </c>
      <c r="AC564" s="1">
        <v>7.5606212990000001E-3</v>
      </c>
      <c r="AD564" s="8">
        <f t="shared" si="103"/>
        <v>1.4381558151758609</v>
      </c>
      <c r="AE564" s="3">
        <f t="shared" si="104"/>
        <v>1.9021661822502305E-2</v>
      </c>
      <c r="AF564" s="11">
        <f t="shared" si="105"/>
        <v>46.000000000000213</v>
      </c>
      <c r="AG564" s="1">
        <f t="shared" si="106"/>
        <v>0.18446091769537332</v>
      </c>
    </row>
    <row r="565" spans="2:33" ht="15" x14ac:dyDescent="0.25">
      <c r="B565" s="1">
        <v>554</v>
      </c>
      <c r="C565" s="1">
        <v>1.0009525691257182</v>
      </c>
      <c r="D565" s="1">
        <v>1.2211245867884282</v>
      </c>
      <c r="E565" s="1">
        <v>0.81770160546632364</v>
      </c>
      <c r="G565" s="1">
        <v>0.99840726581446415</v>
      </c>
      <c r="H565" s="1">
        <v>5.1580771893581421</v>
      </c>
      <c r="I565" s="1">
        <v>0.14816718043804367</v>
      </c>
      <c r="K565" s="1">
        <v>0.99886748028493</v>
      </c>
      <c r="L565" s="1">
        <v>6.9918533974275086</v>
      </c>
      <c r="M565" s="1">
        <v>0.10643385531202307</v>
      </c>
      <c r="O565" s="1">
        <v>7.4164774150331011E-3</v>
      </c>
      <c r="P565" s="1">
        <v>0.71006835377321509</v>
      </c>
      <c r="R565" s="1">
        <v>0.26929489641306537</v>
      </c>
      <c r="S565" s="2">
        <f t="shared" si="108"/>
        <v>1.2543634528934897</v>
      </c>
      <c r="T565" s="4">
        <f t="shared" si="109"/>
        <v>1.5734276719548781</v>
      </c>
      <c r="U565" s="1">
        <f t="shared" si="100"/>
        <v>1.0152289777881145</v>
      </c>
      <c r="V565" s="6">
        <f>2*sigma/alpha*corel*(B565/12-1/alpha*(1-EXP(-alpha*Output!B565/12)))</f>
        <v>3.1388400980600886</v>
      </c>
      <c r="W565" s="5">
        <f t="shared" si="110"/>
        <v>-0.5581986941667636</v>
      </c>
      <c r="X565" s="1">
        <f t="shared" si="111"/>
        <v>112.93300935065221</v>
      </c>
      <c r="Y565" s="3">
        <f t="shared" si="101"/>
        <v>8.1099143744843477E-2</v>
      </c>
      <c r="Z565" s="1">
        <f t="shared" si="102"/>
        <v>0.18461166219531533</v>
      </c>
      <c r="AA565" s="8">
        <f t="shared" si="107"/>
        <v>46.083333333333549</v>
      </c>
      <c r="AB565" s="1">
        <v>46.17</v>
      </c>
      <c r="AC565" s="1">
        <v>7.5604100390000003E-3</v>
      </c>
      <c r="AD565" s="8">
        <f t="shared" si="103"/>
        <v>1.4393262396689925</v>
      </c>
      <c r="AE565" s="3">
        <f t="shared" si="104"/>
        <v>1.9037674309254383E-2</v>
      </c>
      <c r="AF565" s="11">
        <f t="shared" si="105"/>
        <v>46.083333333333549</v>
      </c>
      <c r="AG565" s="1">
        <f t="shared" si="106"/>
        <v>0.18461166219531533</v>
      </c>
    </row>
    <row r="566" spans="2:33" ht="15" x14ac:dyDescent="0.25">
      <c r="B566" s="1">
        <v>555</v>
      </c>
      <c r="C566" s="1">
        <v>1.0009518204313999</v>
      </c>
      <c r="D566" s="1">
        <v>1.2154465890664703</v>
      </c>
      <c r="E566" s="1">
        <v>0.82151904748964144</v>
      </c>
      <c r="G566" s="1">
        <v>0.99819641555686789</v>
      </c>
      <c r="H566" s="1">
        <v>4.9440916090741718</v>
      </c>
      <c r="I566" s="1">
        <v>0.15450514037048751</v>
      </c>
      <c r="K566" s="1">
        <v>0.99894924614173319</v>
      </c>
      <c r="L566" s="1">
        <v>6.9040442758053242</v>
      </c>
      <c r="M566" s="1">
        <v>0.10773317463661067</v>
      </c>
      <c r="O566" s="1">
        <v>7.4161458046220069E-3</v>
      </c>
      <c r="P566" s="1">
        <v>0.70964052252651921</v>
      </c>
      <c r="R566" s="1">
        <v>0.26962292480839084</v>
      </c>
      <c r="S566" s="2">
        <f t="shared" si="108"/>
        <v>1.2566245104152365</v>
      </c>
      <c r="T566" s="4">
        <f t="shared" si="109"/>
        <v>1.5791051601763328</v>
      </c>
      <c r="U566" s="1">
        <f t="shared" si="100"/>
        <v>1.0189258896751339</v>
      </c>
      <c r="V566" s="6">
        <f>2*sigma/alpha*corel*(B566/12-1/alpha*(1-EXP(-alpha*Output!B566/12)))</f>
        <v>3.1476161447300863</v>
      </c>
      <c r="W566" s="5">
        <f t="shared" si="110"/>
        <v>-0.56017927050119898</v>
      </c>
      <c r="X566" s="1">
        <f t="shared" si="111"/>
        <v>113.54065243728731</v>
      </c>
      <c r="Y566" s="3">
        <f t="shared" si="101"/>
        <v>8.1166805126581421E-2</v>
      </c>
      <c r="Z566" s="1">
        <f t="shared" si="102"/>
        <v>0.18477774290775084</v>
      </c>
      <c r="AA566" s="8">
        <f t="shared" si="107"/>
        <v>46.166666666666885</v>
      </c>
      <c r="AB566" s="1">
        <v>46.25</v>
      </c>
      <c r="AC566" s="1">
        <v>7.5601995410000001E-3</v>
      </c>
      <c r="AD566" s="8">
        <f t="shared" si="103"/>
        <v>1.4405373637799319</v>
      </c>
      <c r="AE566" s="3">
        <f t="shared" si="104"/>
        <v>1.9054224110986756E-2</v>
      </c>
      <c r="AF566" s="11">
        <f t="shared" si="105"/>
        <v>46.166666666666885</v>
      </c>
      <c r="AG566" s="1">
        <f t="shared" si="106"/>
        <v>0.18477774290775084</v>
      </c>
    </row>
    <row r="567" spans="2:33" ht="15" x14ac:dyDescent="0.25">
      <c r="B567" s="1">
        <v>556</v>
      </c>
      <c r="C567" s="1">
        <v>1.0009533019379211</v>
      </c>
      <c r="D567" s="1">
        <v>1.2157576583859047</v>
      </c>
      <c r="E567" s="1">
        <v>0.82130636885522235</v>
      </c>
      <c r="G567" s="1">
        <v>0.99816976217430764</v>
      </c>
      <c r="H567" s="1">
        <v>4.9247248528953929</v>
      </c>
      <c r="I567" s="1">
        <v>0.15503760746234763</v>
      </c>
      <c r="K567" s="1">
        <v>0.99903795312451016</v>
      </c>
      <c r="L567" s="1">
        <v>6.9567631131674519</v>
      </c>
      <c r="M567" s="1">
        <v>0.10685672243628934</v>
      </c>
      <c r="O567" s="1">
        <v>7.4158657663868279E-3</v>
      </c>
      <c r="P567" s="1">
        <v>0.70921129358421031</v>
      </c>
      <c r="R567" s="1">
        <v>0.26997225312871048</v>
      </c>
      <c r="S567" s="2">
        <f t="shared" si="108"/>
        <v>1.2589721275561223</v>
      </c>
      <c r="T567" s="4">
        <f t="shared" si="109"/>
        <v>1.5850108179631892</v>
      </c>
      <c r="U567" s="1">
        <f t="shared" si="100"/>
        <v>1.0226274027320783</v>
      </c>
      <c r="V567" s="6">
        <f>2*sigma/alpha*corel*(B567/12-1/alpha*(1-EXP(-alpha*Output!B567/12)))</f>
        <v>3.15639765102897</v>
      </c>
      <c r="W567" s="5">
        <f t="shared" si="110"/>
        <v>-0.56238341523111091</v>
      </c>
      <c r="X567" s="1">
        <f t="shared" si="111"/>
        <v>114.19123908758708</v>
      </c>
      <c r="Y567" s="3">
        <f t="shared" si="101"/>
        <v>8.1255026321447876E-2</v>
      </c>
      <c r="Z567" s="1">
        <f t="shared" si="102"/>
        <v>0.18495639100811059</v>
      </c>
      <c r="AA567" s="8">
        <f t="shared" si="107"/>
        <v>46.25000000000022</v>
      </c>
      <c r="AB567" s="1">
        <v>46.33</v>
      </c>
      <c r="AC567" s="1">
        <v>7.5599898019999999E-3</v>
      </c>
      <c r="AD567" s="8">
        <f t="shared" si="103"/>
        <v>1.4412403561317195</v>
      </c>
      <c r="AE567" s="3">
        <f t="shared" si="104"/>
        <v>1.9064051591054242E-2</v>
      </c>
      <c r="AF567" s="11">
        <f t="shared" si="105"/>
        <v>46.25000000000022</v>
      </c>
      <c r="AG567" s="1">
        <f t="shared" si="106"/>
        <v>0.18495639100811059</v>
      </c>
    </row>
    <row r="568" spans="2:33" ht="15" x14ac:dyDescent="0.25">
      <c r="B568" s="1">
        <v>557</v>
      </c>
      <c r="C568" s="1">
        <v>1.0009576146111361</v>
      </c>
      <c r="D568" s="1">
        <v>1.2165029188236258</v>
      </c>
      <c r="E568" s="1">
        <v>0.82080073153536826</v>
      </c>
      <c r="G568" s="1">
        <v>0.99841186688654071</v>
      </c>
      <c r="H568" s="1">
        <v>4.9776171335238981</v>
      </c>
      <c r="I568" s="1">
        <v>0.1533158747134743</v>
      </c>
      <c r="K568" s="1">
        <v>0.9989306363257392</v>
      </c>
      <c r="L568" s="1">
        <v>7.0173489866832339</v>
      </c>
      <c r="M568" s="1">
        <v>0.10588099764582429</v>
      </c>
      <c r="O568" s="1">
        <v>7.4157549725662377E-3</v>
      </c>
      <c r="P568" s="1">
        <v>0.70877678934045163</v>
      </c>
      <c r="R568" s="1">
        <v>0.27029388754905853</v>
      </c>
      <c r="S568" s="2">
        <f t="shared" si="108"/>
        <v>1.2612312137265758</v>
      </c>
      <c r="T568" s="4">
        <f t="shared" si="109"/>
        <v>1.5907041744782113</v>
      </c>
      <c r="U568" s="1">
        <f t="shared" si="100"/>
        <v>1.0263335044945086</v>
      </c>
      <c r="V568" s="6">
        <f>2*sigma/alpha*corel*(B568/12-1/alpha*(1-EXP(-alpha*Output!B568/12)))</f>
        <v>3.1651845987882723</v>
      </c>
      <c r="W568" s="5">
        <f t="shared" si="110"/>
        <v>-0.56437066998370278</v>
      </c>
      <c r="X568" s="1">
        <f t="shared" si="111"/>
        <v>114.80321460471396</v>
      </c>
      <c r="Y568" s="3">
        <f t="shared" si="101"/>
        <v>8.1322530712723301E-2</v>
      </c>
      <c r="Z568" s="1">
        <f t="shared" si="102"/>
        <v>0.18512187306804131</v>
      </c>
      <c r="AA568" s="8">
        <f t="shared" si="107"/>
        <v>46.333333333333556</v>
      </c>
      <c r="AB568" s="1">
        <v>46.42</v>
      </c>
      <c r="AC568" s="1">
        <v>7.5597808179999997E-3</v>
      </c>
      <c r="AD568" s="8">
        <f t="shared" si="103"/>
        <v>1.4402584543376193</v>
      </c>
      <c r="AE568" s="3">
        <f t="shared" si="104"/>
        <v>1.9051590105738692E-2</v>
      </c>
      <c r="AF568" s="11">
        <f t="shared" si="105"/>
        <v>46.333333333333556</v>
      </c>
      <c r="AG568" s="1">
        <f t="shared" si="106"/>
        <v>0.18512187306804131</v>
      </c>
    </row>
    <row r="569" spans="2:33" ht="15" x14ac:dyDescent="0.25">
      <c r="B569" s="1">
        <v>558</v>
      </c>
      <c r="C569" s="1">
        <v>1.0009607819980622</v>
      </c>
      <c r="D569" s="1">
        <v>1.2186344941228509</v>
      </c>
      <c r="E569" s="1">
        <v>0.8193625427958221</v>
      </c>
      <c r="G569" s="1">
        <v>0.99847844154470966</v>
      </c>
      <c r="H569" s="1">
        <v>5.0667129672725526</v>
      </c>
      <c r="I569" s="1">
        <v>0.15054692686756208</v>
      </c>
      <c r="K569" s="1">
        <v>0.99895095471925832</v>
      </c>
      <c r="L569" s="1">
        <v>7.0773159226244369</v>
      </c>
      <c r="M569" s="1">
        <v>0.10492336800968742</v>
      </c>
      <c r="O569" s="1">
        <v>7.4156192151368962E-3</v>
      </c>
      <c r="P569" s="1">
        <v>0.70834338662941221</v>
      </c>
      <c r="R569" s="1">
        <v>0.27054357524804984</v>
      </c>
      <c r="S569" s="2">
        <f t="shared" si="108"/>
        <v>1.2632191159699298</v>
      </c>
      <c r="T569" s="4">
        <f t="shared" si="109"/>
        <v>1.5957225349518509</v>
      </c>
      <c r="U569" s="1">
        <f t="shared" ref="U569:U632" si="112">sigma*sigma/alpha/alpha*(B569/12+2/alpha*EXP(-alpha*B569/12)-1/2/alpha*EXP(-2*alpha*B569/12)-3/2/alpha)</f>
        <v>1.0300441825205455</v>
      </c>
      <c r="V569" s="6">
        <f>2*sigma/alpha*corel*(B569/12-1/alpha*(1-EXP(-alpha*Output!B569/12)))</f>
        <v>3.1739769698999916</v>
      </c>
      <c r="W569" s="5">
        <f t="shared" si="110"/>
        <v>-0.56567835243130538</v>
      </c>
      <c r="X569" s="1">
        <f t="shared" si="111"/>
        <v>115.29030335767833</v>
      </c>
      <c r="Y569" s="3">
        <f t="shared" si="101"/>
        <v>8.1326400616334726E-2</v>
      </c>
      <c r="Z569" s="1">
        <f t="shared" si="102"/>
        <v>0.18524743899681451</v>
      </c>
      <c r="AA569" s="8">
        <f t="shared" si="107"/>
        <v>46.416666666666892</v>
      </c>
      <c r="AB569" s="1">
        <v>46.5</v>
      </c>
      <c r="AC569" s="1">
        <v>7.5595725839999999E-3</v>
      </c>
      <c r="AD569" s="8">
        <f t="shared" si="103"/>
        <v>1.4395336886310375</v>
      </c>
      <c r="AE569" s="3">
        <f t="shared" si="104"/>
        <v>1.904252750582542E-2</v>
      </c>
      <c r="AF569" s="11">
        <f t="shared" si="105"/>
        <v>46.416666666666892</v>
      </c>
      <c r="AG569" s="1">
        <f t="shared" si="106"/>
        <v>0.18524743899681451</v>
      </c>
    </row>
    <row r="570" spans="2:33" ht="15" x14ac:dyDescent="0.25">
      <c r="B570" s="1">
        <v>559</v>
      </c>
      <c r="C570" s="1">
        <v>1.0009642520087261</v>
      </c>
      <c r="D570" s="1">
        <v>1.2213382932148178</v>
      </c>
      <c r="E570" s="1">
        <v>0.81754615440086009</v>
      </c>
      <c r="G570" s="1">
        <v>0.99861164713921968</v>
      </c>
      <c r="H570" s="1">
        <v>5.165277599964206</v>
      </c>
      <c r="I570" s="1">
        <v>0.14760263500893137</v>
      </c>
      <c r="K570" s="1">
        <v>0.99891816304183556</v>
      </c>
      <c r="L570" s="1">
        <v>7.1627652491927112</v>
      </c>
      <c r="M570" s="1">
        <v>0.10361989135838162</v>
      </c>
      <c r="O570" s="1">
        <v>7.4155231169091215E-3</v>
      </c>
      <c r="P570" s="1">
        <v>0.70790895711959823</v>
      </c>
      <c r="R570" s="1">
        <v>0.2709397541186801</v>
      </c>
      <c r="S570" s="2">
        <f t="shared" si="108"/>
        <v>1.2657653546133101</v>
      </c>
      <c r="T570" s="4">
        <f t="shared" si="109"/>
        <v>1.6021619329393586</v>
      </c>
      <c r="U570" s="1">
        <f t="shared" si="112"/>
        <v>1.0337594243909192</v>
      </c>
      <c r="V570" s="6">
        <f>2*sigma/alpha*corel*(B570/12-1/alpha*(1-EXP(-alpha*Output!B570/12)))</f>
        <v>3.1827747463163814</v>
      </c>
      <c r="W570" s="5">
        <f t="shared" si="110"/>
        <v>-0.56840250854843943</v>
      </c>
      <c r="X570" s="1">
        <f t="shared" si="111"/>
        <v>116.04238917864852</v>
      </c>
      <c r="Y570" s="3">
        <f t="shared" si="101"/>
        <v>8.1461780569856534E-2</v>
      </c>
      <c r="Z570" s="1">
        <f t="shared" si="102"/>
        <v>0.18545473385699363</v>
      </c>
      <c r="AA570" s="8">
        <f t="shared" si="107"/>
        <v>46.500000000000227</v>
      </c>
      <c r="AB570" s="1">
        <v>46.58</v>
      </c>
      <c r="AC570" s="1">
        <v>7.5593650970000002E-3</v>
      </c>
      <c r="AD570" s="8">
        <f t="shared" si="103"/>
        <v>1.438419800908787</v>
      </c>
      <c r="AE570" s="3">
        <f t="shared" si="104"/>
        <v>1.9028314976870696E-2</v>
      </c>
      <c r="AF570" s="11">
        <f t="shared" si="105"/>
        <v>46.500000000000227</v>
      </c>
      <c r="AG570" s="1">
        <f t="shared" si="106"/>
        <v>0.18545473385699363</v>
      </c>
    </row>
    <row r="571" spans="2:33" ht="15" x14ac:dyDescent="0.25">
      <c r="B571" s="1">
        <v>560</v>
      </c>
      <c r="C571" s="1">
        <v>1.0009706640347185</v>
      </c>
      <c r="D571" s="1">
        <v>1.2277658019494002</v>
      </c>
      <c r="E571" s="1">
        <v>0.81326372159933047</v>
      </c>
      <c r="G571" s="1">
        <v>0.99902624568709364</v>
      </c>
      <c r="H571" s="1">
        <v>5.4145513806257863</v>
      </c>
      <c r="I571" s="1">
        <v>0.14073913485543102</v>
      </c>
      <c r="K571" s="1">
        <v>0.99878178921094574</v>
      </c>
      <c r="L571" s="1">
        <v>7.0814278546160514</v>
      </c>
      <c r="M571" s="1">
        <v>0.10474977929369741</v>
      </c>
      <c r="O571" s="1">
        <v>7.4153412767541498E-3</v>
      </c>
      <c r="P571" s="1">
        <v>0.70747763619560355</v>
      </c>
      <c r="R571" s="1">
        <v>0.27112530069261426</v>
      </c>
      <c r="S571" s="2">
        <f t="shared" si="108"/>
        <v>1.2675111339849547</v>
      </c>
      <c r="T571" s="4">
        <f t="shared" si="109"/>
        <v>1.606584474775826</v>
      </c>
      <c r="U571" s="1">
        <f t="shared" si="112"/>
        <v>1.0374792177090213</v>
      </c>
      <c r="V571" s="6">
        <f>2*sigma/alpha*corel*(B571/12-1/alpha*(1-EXP(-alpha*Output!B571/12)))</f>
        <v>3.1915779100497543</v>
      </c>
      <c r="W571" s="5">
        <f t="shared" si="110"/>
        <v>-0.5691052570668047</v>
      </c>
      <c r="X571" s="1">
        <f t="shared" si="111"/>
        <v>116.41915087505443</v>
      </c>
      <c r="Y571" s="3">
        <f t="shared" si="101"/>
        <v>8.1409208025081156E-2</v>
      </c>
      <c r="Z571" s="1">
        <f t="shared" si="102"/>
        <v>0.18554463121784931</v>
      </c>
      <c r="AA571" s="8">
        <f t="shared" si="107"/>
        <v>46.583333333333563</v>
      </c>
      <c r="AB571" s="1">
        <v>46.67</v>
      </c>
      <c r="AC571" s="1">
        <v>7.5591583520000002E-3</v>
      </c>
      <c r="AD571" s="8">
        <f t="shared" si="103"/>
        <v>1.4381707524585043</v>
      </c>
      <c r="AE571" s="3">
        <f t="shared" si="104"/>
        <v>1.9025540747906061E-2</v>
      </c>
      <c r="AF571" s="11">
        <f t="shared" si="105"/>
        <v>46.583333333333563</v>
      </c>
      <c r="AG571" s="1">
        <f t="shared" si="106"/>
        <v>0.18554463121784931</v>
      </c>
    </row>
    <row r="572" spans="2:33" ht="15" x14ac:dyDescent="0.25">
      <c r="B572" s="1">
        <v>561</v>
      </c>
      <c r="C572" s="1">
        <v>1.000971591814213</v>
      </c>
      <c r="D572" s="1">
        <v>1.2260906271028689</v>
      </c>
      <c r="E572" s="1">
        <v>0.81437237972185905</v>
      </c>
      <c r="G572" s="1">
        <v>0.99894218007690083</v>
      </c>
      <c r="H572" s="1">
        <v>5.3521356558511091</v>
      </c>
      <c r="I572" s="1">
        <v>0.14231144260055448</v>
      </c>
      <c r="K572" s="1">
        <v>0.99886543183168608</v>
      </c>
      <c r="L572" s="1">
        <v>6.7558499987792784</v>
      </c>
      <c r="M572" s="1">
        <v>0.10974510635094185</v>
      </c>
      <c r="O572" s="1">
        <v>7.4151136307058999E-3</v>
      </c>
      <c r="P572" s="1">
        <v>0.70704811358806163</v>
      </c>
      <c r="R572" s="1">
        <v>0.2713346835261542</v>
      </c>
      <c r="S572" s="2">
        <f t="shared" si="108"/>
        <v>1.2693447794088175</v>
      </c>
      <c r="T572" s="4">
        <f t="shared" si="109"/>
        <v>1.6112361690124195</v>
      </c>
      <c r="U572" s="1">
        <f t="shared" si="112"/>
        <v>1.0412035501009536</v>
      </c>
      <c r="V572" s="6">
        <f>2*sigma/alpha*corel*(B572/12-1/alpha*(1-EXP(-alpha*Output!B572/12)))</f>
        <v>3.2003864431722855</v>
      </c>
      <c r="W572" s="5">
        <f t="shared" si="110"/>
        <v>-0.57003261891146595</v>
      </c>
      <c r="X572" s="1">
        <f t="shared" si="111"/>
        <v>116.83857312208509</v>
      </c>
      <c r="Y572" s="3">
        <f t="shared" si="101"/>
        <v>8.1377570561745022E-2</v>
      </c>
      <c r="Z572" s="1">
        <f t="shared" si="102"/>
        <v>0.18564736677828078</v>
      </c>
      <c r="AA572" s="8">
        <f t="shared" si="107"/>
        <v>46.666666666666899</v>
      </c>
      <c r="AB572" s="1">
        <v>46.75</v>
      </c>
      <c r="AC572" s="1">
        <v>7.5589523449999998E-3</v>
      </c>
      <c r="AD572" s="8">
        <f t="shared" si="103"/>
        <v>1.4383871429409987</v>
      </c>
      <c r="AE572" s="3">
        <f t="shared" si="104"/>
        <v>1.9028921962875516E-2</v>
      </c>
      <c r="AF572" s="11">
        <f t="shared" si="105"/>
        <v>46.666666666666899</v>
      </c>
      <c r="AG572" s="1">
        <f t="shared" si="106"/>
        <v>0.18564736677828078</v>
      </c>
    </row>
    <row r="573" spans="2:33" ht="15" x14ac:dyDescent="0.25">
      <c r="B573" s="1">
        <v>562</v>
      </c>
      <c r="C573" s="1">
        <v>1.0009795789553491</v>
      </c>
      <c r="D573" s="1">
        <v>1.2246977921771647</v>
      </c>
      <c r="E573" s="1">
        <v>0.81529606510649777</v>
      </c>
      <c r="G573" s="1">
        <v>0.99945250113446271</v>
      </c>
      <c r="H573" s="1">
        <v>5.2995180701011764</v>
      </c>
      <c r="I573" s="1">
        <v>0.14365479642930071</v>
      </c>
      <c r="K573" s="1">
        <v>0.9988056633648057</v>
      </c>
      <c r="L573" s="1">
        <v>6.7505008123769557</v>
      </c>
      <c r="M573" s="1">
        <v>0.10977189717675762</v>
      </c>
      <c r="O573" s="1">
        <v>7.4149213313370391E-3</v>
      </c>
      <c r="P573" s="1">
        <v>0.70661770882346486</v>
      </c>
      <c r="R573" s="1">
        <v>0.27157569657183794</v>
      </c>
      <c r="S573" s="2">
        <f t="shared" si="108"/>
        <v>1.2713025637291395</v>
      </c>
      <c r="T573" s="4">
        <f t="shared" si="109"/>
        <v>1.6162102085442829</v>
      </c>
      <c r="U573" s="1">
        <f t="shared" si="112"/>
        <v>1.0449324092155741</v>
      </c>
      <c r="V573" s="6">
        <f>2*sigma/alpha*corel*(B573/12-1/alpha*(1-EXP(-alpha*Output!B573/12)))</f>
        <v>3.2092003278158074</v>
      </c>
      <c r="W573" s="5">
        <f t="shared" si="110"/>
        <v>-0.57127779932870881</v>
      </c>
      <c r="X573" s="1">
        <f t="shared" si="111"/>
        <v>117.31834115163122</v>
      </c>
      <c r="Y573" s="3">
        <f t="shared" si="101"/>
        <v>8.1375361147779324E-2</v>
      </c>
      <c r="Z573" s="1">
        <f t="shared" si="102"/>
        <v>0.18576820642122746</v>
      </c>
      <c r="AA573" s="8">
        <f t="shared" si="107"/>
        <v>46.750000000000234</v>
      </c>
      <c r="AB573" s="1">
        <v>46.83</v>
      </c>
      <c r="AC573" s="1">
        <v>7.5587470730000004E-3</v>
      </c>
      <c r="AD573" s="8">
        <f t="shared" si="103"/>
        <v>1.4382574166296129</v>
      </c>
      <c r="AE573" s="3">
        <f t="shared" si="104"/>
        <v>1.9027722488123698E-2</v>
      </c>
      <c r="AF573" s="11">
        <f t="shared" si="105"/>
        <v>46.750000000000234</v>
      </c>
      <c r="AG573" s="1">
        <f t="shared" si="106"/>
        <v>0.18576820642122746</v>
      </c>
    </row>
    <row r="574" spans="2:33" ht="15" x14ac:dyDescent="0.25">
      <c r="B574" s="1">
        <v>563</v>
      </c>
      <c r="C574" s="1">
        <v>1.0009798201512963</v>
      </c>
      <c r="D574" s="1">
        <v>1.2325954515743323</v>
      </c>
      <c r="E574" s="1">
        <v>0.81006970636463838</v>
      </c>
      <c r="G574" s="1">
        <v>0.99936804556769421</v>
      </c>
      <c r="H574" s="1">
        <v>5.6168677213162423</v>
      </c>
      <c r="I574" s="1">
        <v>0.13547273084241454</v>
      </c>
      <c r="K574" s="1">
        <v>0.99884990600278734</v>
      </c>
      <c r="L574" s="1">
        <v>6.723672283700294</v>
      </c>
      <c r="M574" s="1">
        <v>0.11014938502638164</v>
      </c>
      <c r="O574" s="1">
        <v>7.4147626726425667E-3</v>
      </c>
      <c r="P574" s="1">
        <v>0.70618647411358959</v>
      </c>
      <c r="R574" s="1">
        <v>0.27178847353786822</v>
      </c>
      <c r="S574" s="2">
        <f t="shared" si="108"/>
        <v>1.2731577115073842</v>
      </c>
      <c r="T574" s="4">
        <f t="shared" si="109"/>
        <v>1.6209305583707199</v>
      </c>
      <c r="U574" s="1">
        <f t="shared" si="112"/>
        <v>1.048665782724544</v>
      </c>
      <c r="V574" s="6">
        <f>2*sigma/alpha*corel*(B574/12-1/alpha*(1-EXP(-alpha*Output!B574/12)))</f>
        <v>3.2180195461716128</v>
      </c>
      <c r="W574" s="5">
        <f t="shared" si="110"/>
        <v>-0.57226477564617584</v>
      </c>
      <c r="X574" s="1">
        <f t="shared" si="111"/>
        <v>117.75067269580822</v>
      </c>
      <c r="Y574" s="3">
        <f t="shared" si="101"/>
        <v>8.1349328494594891E-2</v>
      </c>
      <c r="Z574" s="1">
        <f t="shared" si="102"/>
        <v>0.18587399378033478</v>
      </c>
      <c r="AA574" s="8">
        <f t="shared" si="107"/>
        <v>46.83333333333357</v>
      </c>
      <c r="AB574" s="1">
        <v>46.92</v>
      </c>
      <c r="AC574" s="1">
        <v>7.5585425309999997E-3</v>
      </c>
      <c r="AD574" s="8">
        <f t="shared" si="103"/>
        <v>1.4377985835743301</v>
      </c>
      <c r="AE574" s="3">
        <f t="shared" si="104"/>
        <v>1.902216700742846E-2</v>
      </c>
      <c r="AF574" s="11">
        <f t="shared" si="105"/>
        <v>46.83333333333357</v>
      </c>
      <c r="AG574" s="1">
        <f t="shared" si="106"/>
        <v>0.18587399378033478</v>
      </c>
    </row>
    <row r="575" spans="2:33" ht="15" x14ac:dyDescent="0.25">
      <c r="B575" s="1">
        <v>564</v>
      </c>
      <c r="C575" s="1">
        <v>1.0009777900031933</v>
      </c>
      <c r="D575" s="1">
        <v>1.2358725575234817</v>
      </c>
      <c r="E575" s="1">
        <v>0.80791920540194928</v>
      </c>
      <c r="G575" s="1">
        <v>0.99906584327300063</v>
      </c>
      <c r="H575" s="1">
        <v>5.7550953617282676</v>
      </c>
      <c r="I575" s="1">
        <v>0.13215485685741013</v>
      </c>
      <c r="K575" s="1">
        <v>0.99851285343850349</v>
      </c>
      <c r="L575" s="1">
        <v>6.5668517236304016</v>
      </c>
      <c r="M575" s="1">
        <v>0.11271987576311711</v>
      </c>
      <c r="O575" s="1">
        <v>7.4146537642931064E-3</v>
      </c>
      <c r="P575" s="1">
        <v>0.70575387099767861</v>
      </c>
      <c r="R575" s="1">
        <v>0.27201549843132894</v>
      </c>
      <c r="S575" s="2">
        <f t="shared" si="108"/>
        <v>1.2750724905124684</v>
      </c>
      <c r="T575" s="4">
        <f t="shared" si="109"/>
        <v>1.6258098560616687</v>
      </c>
      <c r="U575" s="1">
        <f t="shared" si="112"/>
        <v>1.0524036583223739</v>
      </c>
      <c r="V575" s="6">
        <f>2*sigma/alpha*corel*(B575/12-1/alpha*(1-EXP(-alpha*Output!B575/12)))</f>
        <v>3.2268440804902623</v>
      </c>
      <c r="W575" s="5">
        <f t="shared" si="110"/>
        <v>-0.5734061977392948</v>
      </c>
      <c r="X575" s="1">
        <f t="shared" si="111"/>
        <v>118.21288789478247</v>
      </c>
      <c r="Y575" s="3">
        <f t="shared" si="101"/>
        <v>8.1337563347353717E-2</v>
      </c>
      <c r="Z575" s="1">
        <f t="shared" si="102"/>
        <v>0.18598843798780046</v>
      </c>
      <c r="AA575" s="8">
        <f t="shared" si="107"/>
        <v>46.916666666666906</v>
      </c>
      <c r="AB575" s="1">
        <v>47</v>
      </c>
      <c r="AC575" s="1">
        <v>7.5583387160000001E-3</v>
      </c>
      <c r="AD575" s="8">
        <f t="shared" si="103"/>
        <v>1.4368495170689368</v>
      </c>
      <c r="AE575" s="3">
        <f t="shared" si="104"/>
        <v>1.9010123402214259E-2</v>
      </c>
      <c r="AF575" s="11">
        <f t="shared" si="105"/>
        <v>46.916666666666906</v>
      </c>
      <c r="AG575" s="1">
        <f t="shared" si="106"/>
        <v>0.18598843798780046</v>
      </c>
    </row>
    <row r="576" spans="2:33" ht="15" x14ac:dyDescent="0.25">
      <c r="B576" s="1">
        <v>565</v>
      </c>
      <c r="C576" s="1">
        <v>1.0009800527897974</v>
      </c>
      <c r="D576" s="1">
        <v>1.2377679809307793</v>
      </c>
      <c r="E576" s="1">
        <v>0.80667954163552269</v>
      </c>
      <c r="G576" s="1">
        <v>0.9990980384979572</v>
      </c>
      <c r="H576" s="1">
        <v>5.8326829275179222</v>
      </c>
      <c r="I576" s="1">
        <v>0.13033373878197968</v>
      </c>
      <c r="K576" s="1">
        <v>0.99836196493451967</v>
      </c>
      <c r="L576" s="1">
        <v>6.5022904047493686</v>
      </c>
      <c r="M576" s="1">
        <v>0.11378169698915247</v>
      </c>
      <c r="O576" s="1">
        <v>7.4145190019722015E-3</v>
      </c>
      <c r="P576" s="1">
        <v>0.7053224042750903</v>
      </c>
      <c r="R576" s="1">
        <v>0.27215814628048229</v>
      </c>
      <c r="S576" s="2">
        <f t="shared" si="108"/>
        <v>1.2766663135148668</v>
      </c>
      <c r="T576" s="4">
        <f t="shared" si="109"/>
        <v>1.6298768760636402</v>
      </c>
      <c r="U576" s="1">
        <f t="shared" si="112"/>
        <v>1.0561460237264688</v>
      </c>
      <c r="V576" s="6">
        <f>2*sigma/alpha*corel*(B576/12-1/alpha*(1-EXP(-alpha*Output!B576/12)))</f>
        <v>3.2356739130813779</v>
      </c>
      <c r="W576" s="5">
        <f t="shared" si="110"/>
        <v>-0.57373085233717136</v>
      </c>
      <c r="X576" s="1">
        <f t="shared" si="111"/>
        <v>118.5222295286293</v>
      </c>
      <c r="Y576" s="3">
        <f t="shared" si="101"/>
        <v>8.1250806410371759E-2</v>
      </c>
      <c r="Z576" s="1">
        <f t="shared" si="102"/>
        <v>0.18605605070755285</v>
      </c>
      <c r="AA576" s="8">
        <f t="shared" si="107"/>
        <v>47.000000000000242</v>
      </c>
      <c r="AB576" s="1">
        <v>47.08</v>
      </c>
      <c r="AC576" s="1">
        <v>7.5581356239999998E-3</v>
      </c>
      <c r="AD576" s="8">
        <f t="shared" si="103"/>
        <v>1.4361662202779826</v>
      </c>
      <c r="AE576" s="3">
        <f t="shared" si="104"/>
        <v>1.9001593669708706E-2</v>
      </c>
      <c r="AF576" s="11">
        <f t="shared" si="105"/>
        <v>47.000000000000242</v>
      </c>
      <c r="AG576" s="1">
        <f t="shared" si="106"/>
        <v>0.18605605070755285</v>
      </c>
    </row>
    <row r="577" spans="2:33" ht="15" x14ac:dyDescent="0.25">
      <c r="B577" s="1">
        <v>566</v>
      </c>
      <c r="C577" s="1">
        <v>1.000983683024804</v>
      </c>
      <c r="D577" s="1">
        <v>1.242489674411513</v>
      </c>
      <c r="E577" s="1">
        <v>0.80361153572235522</v>
      </c>
      <c r="G577" s="1">
        <v>0.99927125293936536</v>
      </c>
      <c r="H577" s="1">
        <v>6.0309109439499169</v>
      </c>
      <c r="I577" s="1">
        <v>0.12598878096018692</v>
      </c>
      <c r="K577" s="1">
        <v>0.99854188892853579</v>
      </c>
      <c r="L577" s="1">
        <v>6.5203917991750879</v>
      </c>
      <c r="M577" s="1">
        <v>0.1133997916236186</v>
      </c>
      <c r="O577" s="1">
        <v>7.4144403614993092E-3</v>
      </c>
      <c r="P577" s="1">
        <v>0.70488935126299024</v>
      </c>
      <c r="R577" s="1">
        <v>0.27228726049765811</v>
      </c>
      <c r="S577" s="2">
        <f t="shared" si="108"/>
        <v>1.2782143238150134</v>
      </c>
      <c r="T577" s="4">
        <f t="shared" si="109"/>
        <v>1.6338318576058719</v>
      </c>
      <c r="U577" s="1">
        <f t="shared" si="112"/>
        <v>1.059892866677171</v>
      </c>
      <c r="V577" s="6">
        <f>2*sigma/alpha*corel*(B577/12-1/alpha*(1-EXP(-alpha*Output!B577/12)))</f>
        <v>3.2445090263134535</v>
      </c>
      <c r="W577" s="5">
        <f t="shared" si="110"/>
        <v>-0.57393899092870093</v>
      </c>
      <c r="X577" s="1">
        <f t="shared" si="111"/>
        <v>118.80999511037771</v>
      </c>
      <c r="Y577" s="3">
        <f t="shared" si="101"/>
        <v>8.1153612184366897E-2</v>
      </c>
      <c r="Z577" s="1">
        <f t="shared" si="102"/>
        <v>0.186117018792542</v>
      </c>
      <c r="AA577" s="8">
        <f t="shared" si="107"/>
        <v>47.083333333333577</v>
      </c>
      <c r="AB577" s="1">
        <v>47.17</v>
      </c>
      <c r="AC577" s="1">
        <v>7.5579332509999996E-3</v>
      </c>
      <c r="AD577" s="8">
        <f t="shared" si="103"/>
        <v>1.4349288950069039</v>
      </c>
      <c r="AE577" s="3">
        <f t="shared" si="104"/>
        <v>1.8985731248910499E-2</v>
      </c>
      <c r="AF577" s="11">
        <f t="shared" si="105"/>
        <v>47.083333333333577</v>
      </c>
      <c r="AG577" s="1">
        <f t="shared" si="106"/>
        <v>0.186117018792542</v>
      </c>
    </row>
    <row r="578" spans="2:33" ht="15" x14ac:dyDescent="0.25">
      <c r="B578" s="1">
        <v>567</v>
      </c>
      <c r="C578" s="1">
        <v>1.0009886397343626</v>
      </c>
      <c r="D578" s="1">
        <v>1.2393019146450146</v>
      </c>
      <c r="E578" s="1">
        <v>0.80567611913581916</v>
      </c>
      <c r="G578" s="1">
        <v>0.99953102432344898</v>
      </c>
      <c r="H578" s="1">
        <v>5.8905127512365203</v>
      </c>
      <c r="I578" s="1">
        <v>0.12892918991959934</v>
      </c>
      <c r="K578" s="1">
        <v>0.99861920912456903</v>
      </c>
      <c r="L578" s="1">
        <v>6.6425543561297129</v>
      </c>
      <c r="M578" s="1">
        <v>0.11125963882610732</v>
      </c>
      <c r="O578" s="1">
        <v>7.4143356511436036E-3</v>
      </c>
      <c r="P578" s="1">
        <v>0.70445744112092146</v>
      </c>
      <c r="R578" s="1">
        <v>0.27259906420581231</v>
      </c>
      <c r="S578" s="2">
        <f t="shared" si="108"/>
        <v>1.2804564094658522</v>
      </c>
      <c r="T578" s="4">
        <f t="shared" si="109"/>
        <v>1.6395686165421821</v>
      </c>
      <c r="U578" s="1">
        <f t="shared" si="112"/>
        <v>1.0636441749378052</v>
      </c>
      <c r="V578" s="6">
        <f>2*sigma/alpha*corel*(B578/12-1/alpha*(1-EXP(-alpha*Output!B578/12)))</f>
        <v>3.2533494026136589</v>
      </c>
      <c r="W578" s="5">
        <f t="shared" si="110"/>
        <v>-0.57592444160437695</v>
      </c>
      <c r="X578" s="1">
        <f t="shared" si="111"/>
        <v>119.43400179871389</v>
      </c>
      <c r="Y578" s="3">
        <f t="shared" si="101"/>
        <v>8.1219439656620124E-2</v>
      </c>
      <c r="Z578" s="1">
        <f t="shared" si="102"/>
        <v>0.18627899747519483</v>
      </c>
      <c r="AA578" s="8">
        <f t="shared" si="107"/>
        <v>47.166666666666913</v>
      </c>
      <c r="AB578" s="1">
        <v>47.25</v>
      </c>
      <c r="AC578" s="1">
        <v>7.5577315929999996E-3</v>
      </c>
      <c r="AD578" s="8">
        <f t="shared" si="103"/>
        <v>1.4339594185639597</v>
      </c>
      <c r="AE578" s="3">
        <f t="shared" si="104"/>
        <v>1.8973410221290454E-2</v>
      </c>
      <c r="AF578" s="11">
        <f t="shared" si="105"/>
        <v>47.166666666666913</v>
      </c>
      <c r="AG578" s="1">
        <f t="shared" si="106"/>
        <v>0.18627899747519483</v>
      </c>
    </row>
    <row r="579" spans="2:33" ht="15" x14ac:dyDescent="0.25">
      <c r="B579" s="1">
        <v>568</v>
      </c>
      <c r="C579" s="1">
        <v>1.0009986175228622</v>
      </c>
      <c r="D579" s="1">
        <v>1.2462792069706849</v>
      </c>
      <c r="E579" s="1">
        <v>0.80116306834421003</v>
      </c>
      <c r="G579" s="1">
        <v>1.0002523058015667</v>
      </c>
      <c r="H579" s="1">
        <v>6.1935926685787432</v>
      </c>
      <c r="I579" s="1">
        <v>0.12256071271103537</v>
      </c>
      <c r="K579" s="1">
        <v>0.99843533106009708</v>
      </c>
      <c r="L579" s="1">
        <v>6.7758638882769997</v>
      </c>
      <c r="M579" s="1">
        <v>0.10901569977318477</v>
      </c>
      <c r="O579" s="1">
        <v>7.4142602043325376E-3</v>
      </c>
      <c r="P579" s="1">
        <v>0.7040248327372195</v>
      </c>
      <c r="R579" s="1">
        <v>0.27284122219807755</v>
      </c>
      <c r="S579" s="2">
        <f t="shared" si="108"/>
        <v>1.2824378863275936</v>
      </c>
      <c r="T579" s="4">
        <f t="shared" si="109"/>
        <v>1.6446469322883859</v>
      </c>
      <c r="U579" s="1">
        <f t="shared" si="112"/>
        <v>1.0673999362947155</v>
      </c>
      <c r="V579" s="6">
        <f>2*sigma/alpha*corel*(B579/12-1/alpha*(1-EXP(-alpha*Output!B579/12)))</f>
        <v>3.2621950244676392</v>
      </c>
      <c r="W579" s="5">
        <f t="shared" si="110"/>
        <v>-0.57724699599367035</v>
      </c>
      <c r="X579" s="1">
        <f t="shared" si="111"/>
        <v>119.93401428579634</v>
      </c>
      <c r="Y579" s="3">
        <f t="shared" si="101"/>
        <v>8.1224407283176592E-2</v>
      </c>
      <c r="Z579" s="1">
        <f t="shared" si="102"/>
        <v>0.18640295585036903</v>
      </c>
      <c r="AA579" s="8">
        <f t="shared" si="107"/>
        <v>47.250000000000249</v>
      </c>
      <c r="AB579" s="1">
        <v>47.33</v>
      </c>
      <c r="AC579" s="1">
        <v>7.5575306459999998E-3</v>
      </c>
      <c r="AD579" s="8">
        <f t="shared" si="103"/>
        <v>1.4327044166746219</v>
      </c>
      <c r="AE579" s="3">
        <f t="shared" si="104"/>
        <v>1.8957308726666088E-2</v>
      </c>
      <c r="AF579" s="11">
        <f t="shared" si="105"/>
        <v>47.250000000000249</v>
      </c>
      <c r="AG579" s="1">
        <f t="shared" si="106"/>
        <v>0.18640295585036903</v>
      </c>
    </row>
    <row r="580" spans="2:33" ht="15" x14ac:dyDescent="0.25">
      <c r="B580" s="1">
        <v>569</v>
      </c>
      <c r="C580" s="1">
        <v>1.0009988359945077</v>
      </c>
      <c r="D580" s="1">
        <v>1.2473781831310917</v>
      </c>
      <c r="E580" s="1">
        <v>0.80045474383650117</v>
      </c>
      <c r="G580" s="1">
        <v>1.0001627003228473</v>
      </c>
      <c r="H580" s="1">
        <v>6.2409209663875265</v>
      </c>
      <c r="I580" s="1">
        <v>0.12157234562588522</v>
      </c>
      <c r="K580" s="1">
        <v>0.99875608832053031</v>
      </c>
      <c r="L580" s="1">
        <v>6.740466681623535</v>
      </c>
      <c r="M580" s="1">
        <v>0.109522363369701</v>
      </c>
      <c r="O580" s="1">
        <v>7.414235175842776E-3</v>
      </c>
      <c r="P580" s="1">
        <v>0.70359081681170543</v>
      </c>
      <c r="R580" s="1">
        <v>0.27295612954724247</v>
      </c>
      <c r="S580" s="2">
        <f t="shared" si="108"/>
        <v>1.2839401276447304</v>
      </c>
      <c r="T580" s="4">
        <f t="shared" si="109"/>
        <v>1.6485022513763667</v>
      </c>
      <c r="U580" s="1">
        <f t="shared" si="112"/>
        <v>1.0711601385573108</v>
      </c>
      <c r="V580" s="6">
        <f>2*sigma/alpha*corel*(B580/12-1/alpha*(1-EXP(-alpha*Output!B580/12)))</f>
        <v>3.2710458744193236</v>
      </c>
      <c r="W580" s="5">
        <f t="shared" si="110"/>
        <v>-0.5773421128190559</v>
      </c>
      <c r="X580" s="1">
        <f t="shared" si="111"/>
        <v>120.20229517723661</v>
      </c>
      <c r="Y580" s="3">
        <f t="shared" si="101"/>
        <v>8.1117415010735161E-2</v>
      </c>
      <c r="Z580" s="1">
        <f t="shared" si="102"/>
        <v>0.18645724461979571</v>
      </c>
      <c r="AA580" s="8">
        <f t="shared" si="107"/>
        <v>47.333333333333584</v>
      </c>
      <c r="AB580" s="1">
        <v>47.42</v>
      </c>
      <c r="AC580" s="1">
        <v>7.5573304069999998E-3</v>
      </c>
      <c r="AD580" s="8">
        <f t="shared" si="103"/>
        <v>1.4309523115722378</v>
      </c>
      <c r="AE580" s="3">
        <f t="shared" si="104"/>
        <v>1.8934626839218437E-2</v>
      </c>
      <c r="AF580" s="11">
        <f t="shared" si="105"/>
        <v>47.333333333333584</v>
      </c>
      <c r="AG580" s="1">
        <f t="shared" si="106"/>
        <v>0.18645724461979571</v>
      </c>
    </row>
    <row r="581" spans="2:33" ht="15" x14ac:dyDescent="0.25">
      <c r="B581" s="1">
        <v>570</v>
      </c>
      <c r="C581" s="1">
        <v>1.0010012711083338</v>
      </c>
      <c r="D581" s="1">
        <v>1.241167762873622</v>
      </c>
      <c r="E581" s="1">
        <v>0.80445747873471907</v>
      </c>
      <c r="G581" s="1">
        <v>1.0001908246025706</v>
      </c>
      <c r="H581" s="1">
        <v>5.9685919184434688</v>
      </c>
      <c r="I581" s="1">
        <v>0.12705774745452927</v>
      </c>
      <c r="K581" s="1">
        <v>0.99873557668346813</v>
      </c>
      <c r="L581" s="1">
        <v>6.8139653206741659</v>
      </c>
      <c r="M581" s="1">
        <v>0.10828808237244927</v>
      </c>
      <c r="O581" s="1">
        <v>7.4144013537482643E-3</v>
      </c>
      <c r="P581" s="1">
        <v>0.70315068512356316</v>
      </c>
      <c r="R581" s="1">
        <v>0.27322953906945902</v>
      </c>
      <c r="S581" s="2">
        <f t="shared" si="108"/>
        <v>1.2860638505779367</v>
      </c>
      <c r="T581" s="4">
        <f t="shared" si="109"/>
        <v>1.6539602277633496</v>
      </c>
      <c r="U581" s="1">
        <f t="shared" si="112"/>
        <v>1.074924769558105</v>
      </c>
      <c r="V581" s="6">
        <f>2*sigma/alpha*corel*(B581/12-1/alpha*(1-EXP(-alpha*Output!B581/12)))</f>
        <v>3.2799019350707348</v>
      </c>
      <c r="W581" s="5">
        <f t="shared" si="110"/>
        <v>-0.5790354582052446</v>
      </c>
      <c r="X581" s="1">
        <f t="shared" si="111"/>
        <v>120.77449376267722</v>
      </c>
      <c r="Y581" s="3">
        <f t="shared" si="101"/>
        <v>8.115624211712319E-2</v>
      </c>
      <c r="Z581" s="1">
        <f t="shared" si="102"/>
        <v>0.18660175594386477</v>
      </c>
      <c r="AA581" s="8">
        <f t="shared" si="107"/>
        <v>47.41666666666692</v>
      </c>
      <c r="AB581" s="1">
        <v>47.5</v>
      </c>
      <c r="AC581" s="1">
        <v>7.5571308720000004E-3</v>
      </c>
      <c r="AD581" s="8">
        <f t="shared" si="103"/>
        <v>1.427295182517361</v>
      </c>
      <c r="AE581" s="3">
        <f t="shared" si="104"/>
        <v>1.8886733691560728E-2</v>
      </c>
      <c r="AF581" s="11">
        <f t="shared" si="105"/>
        <v>47.41666666666692</v>
      </c>
      <c r="AG581" s="1">
        <f t="shared" si="106"/>
        <v>0.18660175594386477</v>
      </c>
    </row>
    <row r="582" spans="2:33" ht="15" x14ac:dyDescent="0.25">
      <c r="B582" s="1">
        <v>571</v>
      </c>
      <c r="C582" s="1">
        <v>1.0010018693006841</v>
      </c>
      <c r="D582" s="1">
        <v>1.2398624475167797</v>
      </c>
      <c r="E582" s="1">
        <v>0.8053019035306066</v>
      </c>
      <c r="G582" s="1">
        <v>1.0001189820544594</v>
      </c>
      <c r="H582" s="1">
        <v>5.9116173341423801</v>
      </c>
      <c r="I582" s="1">
        <v>0.12822015034394887</v>
      </c>
      <c r="K582" s="1">
        <v>0.99886274405337427</v>
      </c>
      <c r="L582" s="1">
        <v>6.7851399770407577</v>
      </c>
      <c r="M582" s="1">
        <v>0.10869092598844751</v>
      </c>
      <c r="O582" s="1">
        <v>7.4146740766055201E-3</v>
      </c>
      <c r="P582" s="1">
        <v>0.70270724672867857</v>
      </c>
      <c r="R582" s="1">
        <v>0.27347564181557643</v>
      </c>
      <c r="S582" s="2">
        <f t="shared" si="108"/>
        <v>1.2880941802267876</v>
      </c>
      <c r="T582" s="4">
        <f t="shared" si="109"/>
        <v>1.6591866171341199</v>
      </c>
      <c r="U582" s="1">
        <f t="shared" si="112"/>
        <v>1.0786938171527538</v>
      </c>
      <c r="V582" s="6">
        <f>2*sigma/alpha*corel*(B582/12-1/alpha*(1-EXP(-alpha*Output!B582/12)))</f>
        <v>3.2887631890817883</v>
      </c>
      <c r="W582" s="5">
        <f t="shared" si="110"/>
        <v>-0.58049279998136605</v>
      </c>
      <c r="X582" s="1">
        <f t="shared" si="111"/>
        <v>121.30309291031274</v>
      </c>
      <c r="Y582" s="3">
        <f t="shared" si="101"/>
        <v>8.1173434094968064E-2</v>
      </c>
      <c r="Z582" s="1">
        <f t="shared" si="102"/>
        <v>0.18673261836885563</v>
      </c>
      <c r="AA582" s="8">
        <f t="shared" si="107"/>
        <v>47.500000000000256</v>
      </c>
      <c r="AB582" s="1">
        <v>47.58</v>
      </c>
      <c r="AC582" s="1">
        <v>7.556932037E-3</v>
      </c>
      <c r="AD582" s="8">
        <f t="shared" si="103"/>
        <v>1.4225796039447989</v>
      </c>
      <c r="AE582" s="3">
        <f t="shared" si="104"/>
        <v>1.8824829930712779E-2</v>
      </c>
      <c r="AF582" s="11">
        <f t="shared" si="105"/>
        <v>47.500000000000256</v>
      </c>
      <c r="AG582" s="1">
        <f t="shared" si="106"/>
        <v>0.18673261836885563</v>
      </c>
    </row>
    <row r="583" spans="2:33" ht="15" x14ac:dyDescent="0.25">
      <c r="B583" s="1">
        <v>572</v>
      </c>
      <c r="C583" s="1">
        <v>1.0010055697164386</v>
      </c>
      <c r="D583" s="1">
        <v>1.2380201339419978</v>
      </c>
      <c r="E583" s="1">
        <v>0.80649777527963662</v>
      </c>
      <c r="G583" s="1">
        <v>1.0002775960453516</v>
      </c>
      <c r="H583" s="1">
        <v>5.8311150631710973</v>
      </c>
      <c r="I583" s="1">
        <v>0.1299273378573147</v>
      </c>
      <c r="K583" s="1">
        <v>0.99883682067453694</v>
      </c>
      <c r="L583" s="1">
        <v>6.7919912752591394</v>
      </c>
      <c r="M583" s="1">
        <v>0.10851643360923106</v>
      </c>
      <c r="O583" s="1">
        <v>7.4149317843016874E-3</v>
      </c>
      <c r="P583" s="1">
        <v>0.70226455869187077</v>
      </c>
      <c r="R583" s="1">
        <v>0.2738220057549664</v>
      </c>
      <c r="S583" s="2">
        <f t="shared" si="108"/>
        <v>1.2905086638271472</v>
      </c>
      <c r="T583" s="4">
        <f t="shared" si="109"/>
        <v>1.6654126114129288</v>
      </c>
      <c r="U583" s="1">
        <f t="shared" si="112"/>
        <v>1.0824672692200932</v>
      </c>
      <c r="V583" s="6">
        <f>2*sigma/alpha*corel*(B583/12-1/alpha*(1-EXP(-alpha*Output!B583/12)))</f>
        <v>3.2976296191701056</v>
      </c>
      <c r="W583" s="5">
        <f t="shared" si="110"/>
        <v>-0.58294534219283567</v>
      </c>
      <c r="X583" s="1">
        <f t="shared" si="111"/>
        <v>122.02260634999531</v>
      </c>
      <c r="Y583" s="3">
        <f t="shared" si="101"/>
        <v>8.1280643622344523E-2</v>
      </c>
      <c r="Z583" s="1">
        <f t="shared" si="102"/>
        <v>0.1869190362524854</v>
      </c>
      <c r="AA583" s="8">
        <f t="shared" si="107"/>
        <v>47.583333333333591</v>
      </c>
      <c r="AB583" s="1">
        <v>47.67</v>
      </c>
      <c r="AC583" s="1">
        <v>7.5567338980000003E-3</v>
      </c>
      <c r="AD583" s="8">
        <f t="shared" si="103"/>
        <v>1.4180211369831281</v>
      </c>
      <c r="AE583" s="3">
        <f t="shared" si="104"/>
        <v>1.8765000278207863E-2</v>
      </c>
      <c r="AF583" s="11">
        <f t="shared" si="105"/>
        <v>47.583333333333591</v>
      </c>
      <c r="AG583" s="1">
        <f t="shared" si="106"/>
        <v>0.1869190362524854</v>
      </c>
    </row>
    <row r="584" spans="2:33" ht="15" x14ac:dyDescent="0.25">
      <c r="B584" s="1">
        <v>573</v>
      </c>
      <c r="C584" s="1">
        <v>1.0010128329919532</v>
      </c>
      <c r="D584" s="1">
        <v>1.2359047594514843</v>
      </c>
      <c r="E584" s="1">
        <v>0.80787565899888181</v>
      </c>
      <c r="G584" s="1">
        <v>1.000748694904078</v>
      </c>
      <c r="H584" s="1">
        <v>5.7374131263850323</v>
      </c>
      <c r="I584" s="1">
        <v>0.13198530549231369</v>
      </c>
      <c r="K584" s="1">
        <v>0.99911171145047117</v>
      </c>
      <c r="L584" s="1">
        <v>6.8076037308778847</v>
      </c>
      <c r="M584" s="1">
        <v>0.10821611632983176</v>
      </c>
      <c r="O584" s="1">
        <v>7.4151799421359769E-3</v>
      </c>
      <c r="P584" s="1">
        <v>0.70182243942842615</v>
      </c>
      <c r="R584" s="1">
        <v>0.27407764618264735</v>
      </c>
      <c r="S584" s="2">
        <f t="shared" si="108"/>
        <v>1.2925778437503397</v>
      </c>
      <c r="T584" s="4">
        <f t="shared" si="109"/>
        <v>1.6707574821542774</v>
      </c>
      <c r="U584" s="1">
        <f t="shared" si="112"/>
        <v>1.0862451136621782</v>
      </c>
      <c r="V584" s="6">
        <f>2*sigma/alpha*corel*(B584/12-1/alpha*(1-EXP(-alpha*Output!B584/12)))</f>
        <v>3.30650120811082</v>
      </c>
      <c r="W584" s="5">
        <f t="shared" si="110"/>
        <v>-0.5845123684920992</v>
      </c>
      <c r="X584" s="1">
        <f t="shared" si="111"/>
        <v>122.57481262122926</v>
      </c>
      <c r="Y584" s="3">
        <f t="shared" si="101"/>
        <v>8.1307327501098037E-2</v>
      </c>
      <c r="Z584" s="1">
        <f t="shared" si="102"/>
        <v>0.18705530062027628</v>
      </c>
      <c r="AA584" s="8">
        <f t="shared" si="107"/>
        <v>47.666666666666927</v>
      </c>
      <c r="AB584" s="1">
        <v>47.75</v>
      </c>
      <c r="AC584" s="1">
        <v>7.5565364519999999E-3</v>
      </c>
      <c r="AD584" s="8">
        <f t="shared" si="103"/>
        <v>1.4135650986402299</v>
      </c>
      <c r="AE584" s="3">
        <f t="shared" si="104"/>
        <v>1.8706521269623459E-2</v>
      </c>
      <c r="AF584" s="11">
        <f t="shared" si="105"/>
        <v>47.666666666666927</v>
      </c>
      <c r="AG584" s="1">
        <f t="shared" si="106"/>
        <v>0.18705530062027628</v>
      </c>
    </row>
    <row r="585" spans="2:33" ht="15" x14ac:dyDescent="0.25">
      <c r="B585" s="1">
        <v>574</v>
      </c>
      <c r="C585" s="1">
        <v>1.0010095888477866</v>
      </c>
      <c r="D585" s="1">
        <v>1.2360902923871417</v>
      </c>
      <c r="E585" s="1">
        <v>0.80775187795670067</v>
      </c>
      <c r="G585" s="1">
        <v>1.0003733855513017</v>
      </c>
      <c r="H585" s="1">
        <v>5.7448349997057786</v>
      </c>
      <c r="I585" s="1">
        <v>0.13175093213434891</v>
      </c>
      <c r="K585" s="1">
        <v>0.99885059924146691</v>
      </c>
      <c r="L585" s="1">
        <v>6.8017631585111529</v>
      </c>
      <c r="M585" s="1">
        <v>0.10824764383104482</v>
      </c>
      <c r="O585" s="1">
        <v>7.4154233096189147E-3</v>
      </c>
      <c r="P585" s="1">
        <v>0.70138073021102798</v>
      </c>
      <c r="R585" s="1">
        <v>0.27443464521834632</v>
      </c>
      <c r="S585" s="2">
        <f t="shared" si="108"/>
        <v>1.2950371027639827</v>
      </c>
      <c r="T585" s="4">
        <f t="shared" si="109"/>
        <v>1.6771210975353301</v>
      </c>
      <c r="U585" s="1">
        <f t="shared" si="112"/>
        <v>1.0900273384043189</v>
      </c>
      <c r="V585" s="6">
        <f>2*sigma/alpha*corel*(B585/12-1/alpha*(1-EXP(-alpha*Output!B585/12)))</f>
        <v>3.3153779387363862</v>
      </c>
      <c r="W585" s="5">
        <f t="shared" si="110"/>
        <v>-0.58709375913101125</v>
      </c>
      <c r="X585" s="1">
        <f t="shared" si="111"/>
        <v>123.32233679039342</v>
      </c>
      <c r="Y585" s="3">
        <f t="shared" si="101"/>
        <v>8.1425238231626465E-2</v>
      </c>
      <c r="Z585" s="1">
        <f t="shared" si="102"/>
        <v>0.18724787076297617</v>
      </c>
      <c r="AA585" s="8">
        <f t="shared" si="107"/>
        <v>47.750000000000263</v>
      </c>
      <c r="AB585" s="1">
        <v>47.83</v>
      </c>
      <c r="AC585" s="1">
        <v>7.5563396960000003E-3</v>
      </c>
      <c r="AD585" s="8">
        <f t="shared" si="103"/>
        <v>1.4091638638108559</v>
      </c>
      <c r="AE585" s="3">
        <f t="shared" si="104"/>
        <v>1.8648762767465396E-2</v>
      </c>
      <c r="AF585" s="11">
        <f t="shared" si="105"/>
        <v>47.750000000000263</v>
      </c>
      <c r="AG585" s="1">
        <f t="shared" si="106"/>
        <v>0.18724787076297617</v>
      </c>
    </row>
    <row r="586" spans="2:33" ht="15" x14ac:dyDescent="0.25">
      <c r="B586" s="1">
        <v>575</v>
      </c>
      <c r="C586" s="1">
        <v>1.001016295292229</v>
      </c>
      <c r="D586" s="1">
        <v>1.2334248235360328</v>
      </c>
      <c r="E586" s="1">
        <v>0.80949492302570736</v>
      </c>
      <c r="G586" s="1">
        <v>1.0007488396291253</v>
      </c>
      <c r="H586" s="1">
        <v>5.6360951346819448</v>
      </c>
      <c r="I586" s="1">
        <v>0.13422780567736833</v>
      </c>
      <c r="K586" s="1">
        <v>0.99848439165170566</v>
      </c>
      <c r="L586" s="1">
        <v>7.1825794419548066</v>
      </c>
      <c r="M586" s="1">
        <v>0.10245792358206073</v>
      </c>
      <c r="O586" s="1">
        <v>7.4158179194104626E-3</v>
      </c>
      <c r="P586" s="1">
        <v>0.70093419085560615</v>
      </c>
      <c r="R586" s="1">
        <v>0.27476639690336979</v>
      </c>
      <c r="S586" s="2">
        <f t="shared" si="108"/>
        <v>1.2974149848030538</v>
      </c>
      <c r="T586" s="4">
        <f t="shared" si="109"/>
        <v>1.6832856427915084</v>
      </c>
      <c r="U586" s="1">
        <f t="shared" si="112"/>
        <v>1.0938139313951152</v>
      </c>
      <c r="V586" s="6">
        <f>2*sigma/alpha*corel*(B586/12-1/alpha*(1-EXP(-alpha*Output!B586/12)))</f>
        <v>3.3242597939363856</v>
      </c>
      <c r="W586" s="5">
        <f t="shared" si="110"/>
        <v>-0.58947171139639321</v>
      </c>
      <c r="X586" s="1">
        <f t="shared" si="111"/>
        <v>124.03278119522402</v>
      </c>
      <c r="Y586" s="3">
        <f t="shared" si="101"/>
        <v>8.1524251341631146E-2</v>
      </c>
      <c r="Z586" s="1">
        <f t="shared" si="102"/>
        <v>0.18742849170213111</v>
      </c>
      <c r="AA586" s="8">
        <f t="shared" si="107"/>
        <v>47.833333333333599</v>
      </c>
      <c r="AB586" s="1">
        <v>47.92</v>
      </c>
      <c r="AC586" s="1">
        <v>7.5561436250000001E-3</v>
      </c>
      <c r="AD586" s="8">
        <f t="shared" si="103"/>
        <v>1.403257055895375</v>
      </c>
      <c r="AE586" s="3">
        <f t="shared" si="104"/>
        <v>1.8571074420192415E-2</v>
      </c>
      <c r="AF586" s="11">
        <f t="shared" si="105"/>
        <v>47.833333333333599</v>
      </c>
      <c r="AG586" s="1">
        <f t="shared" si="106"/>
        <v>0.18742849170213111</v>
      </c>
    </row>
    <row r="587" spans="2:33" ht="15" x14ac:dyDescent="0.25">
      <c r="B587" s="1">
        <v>576</v>
      </c>
      <c r="C587" s="1">
        <v>1.0010153934696633</v>
      </c>
      <c r="D587" s="1">
        <v>1.2318132285584515</v>
      </c>
      <c r="E587" s="1">
        <v>0.81055145455214739</v>
      </c>
      <c r="G587" s="1">
        <v>1.0005286748067848</v>
      </c>
      <c r="H587" s="1">
        <v>5.5653306069244701</v>
      </c>
      <c r="I587" s="1">
        <v>0.13586868887512688</v>
      </c>
      <c r="K587" s="1">
        <v>0.99841544891007272</v>
      </c>
      <c r="L587" s="1">
        <v>7.1900621964667915</v>
      </c>
      <c r="M587" s="1">
        <v>0.10229390362388255</v>
      </c>
      <c r="O587" s="1">
        <v>7.4161776295522397E-3</v>
      </c>
      <c r="P587" s="1">
        <v>0.70048906316946946</v>
      </c>
      <c r="R587" s="1">
        <v>0.27500241719071333</v>
      </c>
      <c r="S587" s="2">
        <f t="shared" si="108"/>
        <v>1.2994250719716585</v>
      </c>
      <c r="T587" s="4">
        <f t="shared" si="109"/>
        <v>1.6885055176685497</v>
      </c>
      <c r="U587" s="1">
        <f t="shared" si="112"/>
        <v>1.0976048806064926</v>
      </c>
      <c r="V587" s="6">
        <f>2*sigma/alpha*corel*(B587/12-1/alpha*(1-EXP(-alpha*Output!B587/12)))</f>
        <v>3.3331467566573445</v>
      </c>
      <c r="W587" s="5">
        <f t="shared" si="110"/>
        <v>-0.59090063706205709</v>
      </c>
      <c r="X587" s="1">
        <f t="shared" si="111"/>
        <v>124.56278961733034</v>
      </c>
      <c r="Y587" s="3">
        <f t="shared" si="101"/>
        <v>8.1537743342880706E-2</v>
      </c>
      <c r="Z587" s="1">
        <f t="shared" si="102"/>
        <v>0.18755585377364647</v>
      </c>
      <c r="AA587" s="8">
        <f t="shared" si="107"/>
        <v>47.916666666666934</v>
      </c>
      <c r="AB587" s="1">
        <v>48</v>
      </c>
      <c r="AC587" s="1">
        <v>7.5559482359999998E-3</v>
      </c>
      <c r="AD587" s="8">
        <f t="shared" si="103"/>
        <v>1.3977060644776007</v>
      </c>
      <c r="AE587" s="3">
        <f t="shared" si="104"/>
        <v>1.8498089463057577E-2</v>
      </c>
      <c r="AF587" s="11">
        <f t="shared" si="105"/>
        <v>47.916666666666934</v>
      </c>
      <c r="AG587" s="1">
        <f t="shared" si="106"/>
        <v>0.18755585377364647</v>
      </c>
    </row>
    <row r="588" spans="2:33" ht="15" x14ac:dyDescent="0.25">
      <c r="B588" s="1">
        <v>577</v>
      </c>
      <c r="C588" s="1">
        <v>1.0010168209942536</v>
      </c>
      <c r="D588" s="1">
        <v>1.2355837962048224</v>
      </c>
      <c r="E588" s="1">
        <v>0.80807539990767718</v>
      </c>
      <c r="G588" s="1">
        <v>1.0005419512932201</v>
      </c>
      <c r="H588" s="1">
        <v>5.7162614076106673</v>
      </c>
      <c r="I588" s="1">
        <v>0.13221715789692798</v>
      </c>
      <c r="K588" s="1">
        <v>0.99853253671899889</v>
      </c>
      <c r="L588" s="1">
        <v>7.2431636816506488</v>
      </c>
      <c r="M588" s="1">
        <v>0.10148645940696412</v>
      </c>
      <c r="O588" s="1">
        <v>7.4164412175429578E-3</v>
      </c>
      <c r="P588" s="1">
        <v>0.70004741171552876</v>
      </c>
      <c r="R588" s="1">
        <v>0.27537339548456741</v>
      </c>
      <c r="S588" s="2">
        <f t="shared" si="108"/>
        <v>1.301947909686701</v>
      </c>
      <c r="T588" s="4">
        <f t="shared" si="109"/>
        <v>1.6950683595375702</v>
      </c>
      <c r="U588" s="1">
        <f t="shared" si="112"/>
        <v>1.1014001740337358</v>
      </c>
      <c r="V588" s="6">
        <f>2*sigma/alpha*corel*(B588/12-1/alpha*(1-EXP(-alpha*Output!B588/12)))</f>
        <v>3.3420388099025344</v>
      </c>
      <c r="W588" s="5">
        <f t="shared" si="110"/>
        <v>-0.59366818550383438</v>
      </c>
      <c r="X588" s="1">
        <f t="shared" si="111"/>
        <v>125.35140441879889</v>
      </c>
      <c r="Y588" s="3">
        <f t="shared" si="101"/>
        <v>8.1670766013322793E-2</v>
      </c>
      <c r="Z588" s="1">
        <f t="shared" si="102"/>
        <v>0.18775708113281034</v>
      </c>
      <c r="AA588" s="8">
        <f t="shared" si="107"/>
        <v>48.00000000000027</v>
      </c>
      <c r="AB588" s="1">
        <v>48.08</v>
      </c>
      <c r="AC588" s="1">
        <v>7.5557535250000002E-3</v>
      </c>
      <c r="AD588" s="8">
        <f t="shared" si="103"/>
        <v>1.3931230745704242</v>
      </c>
      <c r="AE588" s="3">
        <f t="shared" si="104"/>
        <v>1.8437910526871298E-2</v>
      </c>
      <c r="AF588" s="11">
        <f t="shared" si="105"/>
        <v>48.00000000000027</v>
      </c>
      <c r="AG588" s="1">
        <f t="shared" si="106"/>
        <v>0.18775708113281034</v>
      </c>
    </row>
    <row r="589" spans="2:33" ht="15" x14ac:dyDescent="0.25">
      <c r="B589" s="1">
        <v>578</v>
      </c>
      <c r="C589" s="1">
        <v>1.0010131652869172</v>
      </c>
      <c r="D589" s="1">
        <v>1.2366028581346646</v>
      </c>
      <c r="E589" s="1">
        <v>0.80740694124050083</v>
      </c>
      <c r="G589" s="1">
        <v>1.000111329609876</v>
      </c>
      <c r="H589" s="1">
        <v>5.759042287572564</v>
      </c>
      <c r="I589" s="1">
        <v>0.13117140631241675</v>
      </c>
      <c r="K589" s="1">
        <v>0.99852982616721864</v>
      </c>
      <c r="L589" s="1">
        <v>7.3187389827569502</v>
      </c>
      <c r="M589" s="1">
        <v>0.10038698420497473</v>
      </c>
      <c r="O589" s="1">
        <v>7.4167238492050206E-3</v>
      </c>
      <c r="P589" s="1">
        <v>0.69960536625642744</v>
      </c>
      <c r="R589" s="1">
        <v>0.27560727064033952</v>
      </c>
      <c r="S589" s="2">
        <f t="shared" si="108"/>
        <v>1.3039477475546184</v>
      </c>
      <c r="T589" s="4">
        <f t="shared" si="109"/>
        <v>1.7002797283527629</v>
      </c>
      <c r="U589" s="1">
        <f t="shared" si="112"/>
        <v>1.1051997996955203</v>
      </c>
      <c r="V589" s="6">
        <f>2*sigma/alpha*corel*(B589/12-1/alpha*(1-EXP(-alpha*Output!B589/12)))</f>
        <v>3.3509359367317915</v>
      </c>
      <c r="W589" s="5">
        <f t="shared" si="110"/>
        <v>-0.59507992865724257</v>
      </c>
      <c r="X589" s="1">
        <f t="shared" si="111"/>
        <v>125.8808379067093</v>
      </c>
      <c r="Y589" s="3">
        <f t="shared" ref="Y589:Y652" si="113">(-V589+SQRT(X589))/2/B589*12</f>
        <v>8.1682287887830579E-2</v>
      </c>
      <c r="Z589" s="1">
        <f t="shared" ref="Z589:Z652" si="114">S589/SQRT(B589/12)</f>
        <v>0.18788274310354511</v>
      </c>
      <c r="AA589" s="8">
        <f t="shared" si="107"/>
        <v>48.083333333333606</v>
      </c>
      <c r="AB589" s="1">
        <v>48.17</v>
      </c>
      <c r="AC589" s="1">
        <v>7.5555594899999997E-3</v>
      </c>
      <c r="AD589" s="8">
        <f t="shared" ref="AD589:AD652" si="115">(AC589-O589)*10000</f>
        <v>1.3883564079497905</v>
      </c>
      <c r="AE589" s="3">
        <f t="shared" ref="AE589:AE652" si="116">AD589/AC589/10000</f>
        <v>1.8375295830670383E-2</v>
      </c>
      <c r="AF589" s="11">
        <f t="shared" ref="AF589:AF652" si="117">AA589</f>
        <v>48.083333333333606</v>
      </c>
      <c r="AG589" s="1">
        <f t="shared" ref="AG589:AG652" si="118">Z589</f>
        <v>0.18788274310354511</v>
      </c>
    </row>
    <row r="590" spans="2:33" ht="15" x14ac:dyDescent="0.25">
      <c r="B590" s="1">
        <v>579</v>
      </c>
      <c r="C590" s="1">
        <v>1.0010189192960737</v>
      </c>
      <c r="D590" s="1">
        <v>1.2401314131816894</v>
      </c>
      <c r="E590" s="1">
        <v>0.80510708464628855</v>
      </c>
      <c r="G590" s="1">
        <v>1.000402258986602</v>
      </c>
      <c r="H590" s="1">
        <v>5.9051486585596136</v>
      </c>
      <c r="I590" s="1">
        <v>0.12786395944486323</v>
      </c>
      <c r="K590" s="1">
        <v>0.99874892964544792</v>
      </c>
      <c r="L590" s="1">
        <v>7.4560590117140757</v>
      </c>
      <c r="M590" s="1">
        <v>9.8488279714269503E-2</v>
      </c>
      <c r="O590" s="1">
        <v>7.4169976677188115E-3</v>
      </c>
      <c r="P590" s="1">
        <v>0.69916386430143196</v>
      </c>
      <c r="R590" s="1">
        <v>0.27579160713246897</v>
      </c>
      <c r="S590" s="2">
        <f t="shared" si="108"/>
        <v>1.3057579730568498</v>
      </c>
      <c r="T590" s="4">
        <f t="shared" si="109"/>
        <v>1.7050038842015329</v>
      </c>
      <c r="U590" s="1">
        <f t="shared" si="112"/>
        <v>1.1090037456339483</v>
      </c>
      <c r="V590" s="6">
        <f>2*sigma/alpha*corel*(B590/12-1/alpha*(1-EXP(-alpha*Output!B590/12)))</f>
        <v>3.3598381202613239</v>
      </c>
      <c r="W590" s="5">
        <f t="shared" si="110"/>
        <v>-0.5960001385675846</v>
      </c>
      <c r="X590" s="1">
        <f t="shared" si="111"/>
        <v>126.31653893790497</v>
      </c>
      <c r="Y590" s="3">
        <f t="shared" si="113"/>
        <v>8.1649999592781658E-2</v>
      </c>
      <c r="Z590" s="1">
        <f t="shared" si="114"/>
        <v>0.18798103113440201</v>
      </c>
      <c r="AA590" s="8">
        <f t="shared" ref="AA590:AA653" si="119">AA589+1/12</f>
        <v>48.166666666666941</v>
      </c>
      <c r="AB590" s="1">
        <v>48.25</v>
      </c>
      <c r="AC590" s="1">
        <v>7.5553661249999999E-3</v>
      </c>
      <c r="AD590" s="8">
        <f t="shared" si="115"/>
        <v>1.3836845728118843</v>
      </c>
      <c r="AE590" s="3">
        <f t="shared" si="116"/>
        <v>1.831393144844962E-2</v>
      </c>
      <c r="AF590" s="11">
        <f t="shared" si="117"/>
        <v>48.166666666666941</v>
      </c>
      <c r="AG590" s="1">
        <f t="shared" si="118"/>
        <v>0.18798103113440201</v>
      </c>
    </row>
    <row r="591" spans="2:33" ht="15" x14ac:dyDescent="0.25">
      <c r="B591" s="1">
        <v>580</v>
      </c>
      <c r="C591" s="1">
        <v>1.0010231281817659</v>
      </c>
      <c r="D591" s="1">
        <v>1.2370096276702207</v>
      </c>
      <c r="E591" s="1">
        <v>0.80713635041421128</v>
      </c>
      <c r="G591" s="1">
        <v>1.0005863083977879</v>
      </c>
      <c r="H591" s="1">
        <v>5.7709176980213091</v>
      </c>
      <c r="I591" s="1">
        <v>0.13077467302704876</v>
      </c>
      <c r="K591" s="1">
        <v>0.99860763715182566</v>
      </c>
      <c r="L591" s="1">
        <v>7.5174502504444911</v>
      </c>
      <c r="M591" s="1">
        <v>9.7629810406915762E-2</v>
      </c>
      <c r="O591" s="1">
        <v>7.4172039921209885E-3</v>
      </c>
      <c r="P591" s="1">
        <v>0.6987248884665066</v>
      </c>
      <c r="R591" s="1">
        <v>0.27602030593237825</v>
      </c>
      <c r="S591" s="2">
        <f t="shared" si="108"/>
        <v>1.3077351301179065</v>
      </c>
      <c r="T591" s="4">
        <f t="shared" si="109"/>
        <v>1.710171170544498</v>
      </c>
      <c r="U591" s="1">
        <f t="shared" si="112"/>
        <v>1.1128119999145745</v>
      </c>
      <c r="V591" s="6">
        <f>2*sigma/alpha*corel*(B591/12-1/alpha*(1-EXP(-alpha*Output!B591/12)))</f>
        <v>3.3687453436635266</v>
      </c>
      <c r="W591" s="5">
        <f t="shared" si="110"/>
        <v>-0.5973591706299235</v>
      </c>
      <c r="X591" s="1">
        <f t="shared" si="111"/>
        <v>126.83788484557324</v>
      </c>
      <c r="Y591" s="3">
        <f t="shared" si="113"/>
        <v>8.1656765505648182E-2</v>
      </c>
      <c r="Z591" s="1">
        <f t="shared" si="114"/>
        <v>0.18810330088642496</v>
      </c>
      <c r="AA591" s="8">
        <f t="shared" si="119"/>
        <v>48.250000000000277</v>
      </c>
      <c r="AB591" s="1">
        <v>48.33</v>
      </c>
      <c r="AC591" s="1">
        <v>7.5551734289999997E-3</v>
      </c>
      <c r="AD591" s="8">
        <f t="shared" si="115"/>
        <v>1.379694368790112</v>
      </c>
      <c r="AE591" s="3">
        <f t="shared" si="116"/>
        <v>1.8261584353500778E-2</v>
      </c>
      <c r="AF591" s="11">
        <f t="shared" si="117"/>
        <v>48.250000000000277</v>
      </c>
      <c r="AG591" s="1">
        <f t="shared" si="118"/>
        <v>0.18810330088642496</v>
      </c>
    </row>
    <row r="592" spans="2:33" ht="15" x14ac:dyDescent="0.25">
      <c r="B592" s="1">
        <v>581</v>
      </c>
      <c r="C592" s="1">
        <v>1.0010274168139917</v>
      </c>
      <c r="D592" s="1">
        <v>1.2400491607489519</v>
      </c>
      <c r="E592" s="1">
        <v>0.80515540180502232</v>
      </c>
      <c r="G592" s="1">
        <v>1.0008299033550627</v>
      </c>
      <c r="H592" s="1">
        <v>5.8968494575157813</v>
      </c>
      <c r="I592" s="1">
        <v>0.12791987324360105</v>
      </c>
      <c r="K592" s="1">
        <v>0.99856572236241714</v>
      </c>
      <c r="L592" s="1">
        <v>7.343957764473882</v>
      </c>
      <c r="M592" s="1">
        <v>9.9886802200284425E-2</v>
      </c>
      <c r="O592" s="1">
        <v>7.4174422669517105E-3</v>
      </c>
      <c r="P592" s="1">
        <v>0.69828508403270706</v>
      </c>
      <c r="R592" s="1">
        <v>0.27622324349810062</v>
      </c>
      <c r="S592" s="2">
        <f t="shared" si="108"/>
        <v>1.3096174552931956</v>
      </c>
      <c r="T592" s="4">
        <f t="shared" si="109"/>
        <v>1.7150978792086253</v>
      </c>
      <c r="U592" s="1">
        <f t="shared" si="112"/>
        <v>1.1166245506264421</v>
      </c>
      <c r="V592" s="6">
        <f>2*sigma/alpha*corel*(B592/12-1/alpha*(1-EXP(-alpha*Output!B592/12)))</f>
        <v>3.3776575901667902</v>
      </c>
      <c r="W592" s="5">
        <f t="shared" si="110"/>
        <v>-0.59847332858218327</v>
      </c>
      <c r="X592" s="1">
        <f t="shared" si="111"/>
        <v>127.31290543182749</v>
      </c>
      <c r="Y592" s="3">
        <f t="shared" si="113"/>
        <v>8.1641767355462178E-2</v>
      </c>
      <c r="Z592" s="1">
        <f t="shared" si="114"/>
        <v>0.18821187090229732</v>
      </c>
      <c r="AA592" s="8">
        <f t="shared" si="119"/>
        <v>48.333333333333613</v>
      </c>
      <c r="AB592" s="1">
        <v>48.42</v>
      </c>
      <c r="AC592" s="1">
        <v>7.5549813979999998E-3</v>
      </c>
      <c r="AD592" s="8">
        <f t="shared" si="115"/>
        <v>1.375391310482893</v>
      </c>
      <c r="AE592" s="3">
        <f t="shared" si="116"/>
        <v>1.8205091952271317E-2</v>
      </c>
      <c r="AF592" s="11">
        <f t="shared" si="117"/>
        <v>48.333333333333613</v>
      </c>
      <c r="AG592" s="1">
        <f t="shared" si="118"/>
        <v>0.18821187090229732</v>
      </c>
    </row>
    <row r="593" spans="2:33" ht="15" x14ac:dyDescent="0.25">
      <c r="B593" s="1">
        <v>582</v>
      </c>
      <c r="C593" s="1">
        <v>1.0010334730483079</v>
      </c>
      <c r="D593" s="1">
        <v>1.2342896517790596</v>
      </c>
      <c r="E593" s="1">
        <v>0.80890990021611486</v>
      </c>
      <c r="G593" s="1">
        <v>1.001130316390189</v>
      </c>
      <c r="H593" s="1">
        <v>5.6534943437048835</v>
      </c>
      <c r="I593" s="1">
        <v>0.13336155011157932</v>
      </c>
      <c r="K593" s="1">
        <v>0.99879313543564363</v>
      </c>
      <c r="L593" s="1">
        <v>7.5681268717507564</v>
      </c>
      <c r="M593" s="1">
        <v>9.6875095755773133E-2</v>
      </c>
      <c r="O593" s="1">
        <v>7.4178214114513858E-3</v>
      </c>
      <c r="P593" s="1">
        <v>0.69784076092639424</v>
      </c>
      <c r="R593" s="1">
        <v>0.27636908293456375</v>
      </c>
      <c r="S593" s="2">
        <f t="shared" si="108"/>
        <v>1.311292874204063</v>
      </c>
      <c r="T593" s="4">
        <f t="shared" si="109"/>
        <v>1.7194890019383526</v>
      </c>
      <c r="U593" s="1">
        <f t="shared" si="112"/>
        <v>1.1204413858821085</v>
      </c>
      <c r="V593" s="6">
        <f>2*sigma/alpha*corel*(B593/12-1/alpha*(1-EXP(-alpha*Output!B593/12)))</f>
        <v>3.3865748430553215</v>
      </c>
      <c r="W593" s="5">
        <f t="shared" si="110"/>
        <v>-0.59904761605624413</v>
      </c>
      <c r="X593" s="1">
        <f t="shared" si="111"/>
        <v>127.68412668252653</v>
      </c>
      <c r="Y593" s="3">
        <f t="shared" si="113"/>
        <v>8.1579023429402625E-2</v>
      </c>
      <c r="Z593" s="1">
        <f t="shared" si="114"/>
        <v>0.18829068347442207</v>
      </c>
      <c r="AA593" s="8">
        <f t="shared" si="119"/>
        <v>48.416666666666949</v>
      </c>
      <c r="AB593" s="1">
        <v>48.5</v>
      </c>
      <c r="AC593" s="1">
        <v>7.5547900269999999E-3</v>
      </c>
      <c r="AD593" s="8">
        <f t="shared" si="115"/>
        <v>1.3696861554861415</v>
      </c>
      <c r="AE593" s="3">
        <f t="shared" si="116"/>
        <v>1.8130036051181193E-2</v>
      </c>
      <c r="AF593" s="11">
        <f t="shared" si="117"/>
        <v>48.416666666666949</v>
      </c>
      <c r="AG593" s="1">
        <f t="shared" si="118"/>
        <v>0.18829068347442207</v>
      </c>
    </row>
    <row r="594" spans="2:33" ht="15" x14ac:dyDescent="0.25">
      <c r="B594" s="1">
        <v>583</v>
      </c>
      <c r="C594" s="1">
        <v>1.0010375124324993</v>
      </c>
      <c r="D594" s="1">
        <v>1.2348566050964684</v>
      </c>
      <c r="E594" s="1">
        <v>0.80853594508951965</v>
      </c>
      <c r="G594" s="1">
        <v>1.0013145133015857</v>
      </c>
      <c r="H594" s="1">
        <v>5.676600277341346</v>
      </c>
      <c r="I594" s="1">
        <v>0.13275436706496335</v>
      </c>
      <c r="K594" s="1">
        <v>0.99886936282663508</v>
      </c>
      <c r="L594" s="1">
        <v>7.739284964778121</v>
      </c>
      <c r="M594" s="1">
        <v>9.4681322863873207E-2</v>
      </c>
      <c r="O594" s="1">
        <v>7.4181609336700146E-3</v>
      </c>
      <c r="P594" s="1">
        <v>0.69739801895427556</v>
      </c>
      <c r="R594" s="1">
        <v>0.27670451512213962</v>
      </c>
      <c r="S594" s="2">
        <f t="shared" si="108"/>
        <v>1.313699385635313</v>
      </c>
      <c r="T594" s="4">
        <f t="shared" si="109"/>
        <v>1.7258060758185987</v>
      </c>
      <c r="U594" s="1">
        <f t="shared" si="112"/>
        <v>1.1242624938176773</v>
      </c>
      <c r="V594" s="6">
        <f>2*sigma/alpha*corel*(B594/12-1/alpha*(1-EXP(-alpha*Output!B594/12)))</f>
        <v>3.3954970856689513</v>
      </c>
      <c r="W594" s="5">
        <f t="shared" si="110"/>
        <v>-0.6015435820009214</v>
      </c>
      <c r="X594" s="1">
        <f t="shared" si="111"/>
        <v>128.42936989429873</v>
      </c>
      <c r="Y594" s="3">
        <f t="shared" si="113"/>
        <v>8.1686152738942655E-2</v>
      </c>
      <c r="Z594" s="1">
        <f t="shared" si="114"/>
        <v>0.1884743882934187</v>
      </c>
      <c r="AA594" s="8">
        <f t="shared" si="119"/>
        <v>48.500000000000284</v>
      </c>
      <c r="AB594" s="1">
        <v>48.58</v>
      </c>
      <c r="AC594" s="1">
        <v>7.554599314E-3</v>
      </c>
      <c r="AD594" s="8">
        <f t="shared" si="115"/>
        <v>1.3643838032998539</v>
      </c>
      <c r="AE594" s="3">
        <f t="shared" si="116"/>
        <v>1.8060306663404514E-2</v>
      </c>
      <c r="AF594" s="11">
        <f t="shared" si="117"/>
        <v>48.500000000000284</v>
      </c>
      <c r="AG594" s="1">
        <f t="shared" si="118"/>
        <v>0.1884743882934187</v>
      </c>
    </row>
    <row r="595" spans="2:33" ht="15" x14ac:dyDescent="0.25">
      <c r="B595" s="1">
        <v>584</v>
      </c>
      <c r="C595" s="1">
        <v>1.0010427253491283</v>
      </c>
      <c r="D595" s="1">
        <v>1.2386828518364978</v>
      </c>
      <c r="E595" s="1">
        <v>0.80603584537257056</v>
      </c>
      <c r="G595" s="1">
        <v>1.0015419299350365</v>
      </c>
      <c r="H595" s="1">
        <v>5.8389674640557407</v>
      </c>
      <c r="I595" s="1">
        <v>0.12900026632017655</v>
      </c>
      <c r="K595" s="1">
        <v>0.99904050901264785</v>
      </c>
      <c r="L595" s="1">
        <v>7.5745363472107705</v>
      </c>
      <c r="M595" s="1">
        <v>9.668839229626032E-2</v>
      </c>
      <c r="O595" s="1">
        <v>7.4185205357310781E-3</v>
      </c>
      <c r="P595" s="1">
        <v>0.69695483736134578</v>
      </c>
      <c r="R595" s="1">
        <v>0.27697443787214138</v>
      </c>
      <c r="S595" s="2">
        <f t="shared" si="108"/>
        <v>1.3158568351082904</v>
      </c>
      <c r="T595" s="4">
        <f t="shared" si="109"/>
        <v>1.7314792105012067</v>
      </c>
      <c r="U595" s="1">
        <f t="shared" si="112"/>
        <v>1.1280878625928223</v>
      </c>
      <c r="V595" s="6">
        <f>2*sigma/alpha*corel*(B595/12-1/alpha*(1-EXP(-alpha*Output!B595/12)))</f>
        <v>3.4044243014029525</v>
      </c>
      <c r="W595" s="5">
        <f t="shared" si="110"/>
        <v>-0.60339134790838433</v>
      </c>
      <c r="X595" s="1">
        <f t="shared" si="111"/>
        <v>129.05028721681512</v>
      </c>
      <c r="Y595" s="3">
        <f t="shared" si="113"/>
        <v>8.1735677525093364E-2</v>
      </c>
      <c r="Z595" s="1">
        <f t="shared" si="114"/>
        <v>0.18862221486825356</v>
      </c>
      <c r="AA595" s="8">
        <f t="shared" si="119"/>
        <v>48.58333333333362</v>
      </c>
      <c r="AB595" s="1">
        <v>48.67</v>
      </c>
      <c r="AC595" s="1">
        <v>7.5544092559999996E-3</v>
      </c>
      <c r="AD595" s="8">
        <f t="shared" si="115"/>
        <v>1.3588872026892158</v>
      </c>
      <c r="AE595" s="3">
        <f t="shared" si="116"/>
        <v>1.7988000869954668E-2</v>
      </c>
      <c r="AF595" s="11">
        <f t="shared" si="117"/>
        <v>48.58333333333362</v>
      </c>
      <c r="AG595" s="1">
        <f t="shared" si="118"/>
        <v>0.18862221486825356</v>
      </c>
    </row>
    <row r="596" spans="2:33" ht="15" x14ac:dyDescent="0.25">
      <c r="B596" s="1">
        <v>585</v>
      </c>
      <c r="C596" s="1">
        <v>1.0010466743875945</v>
      </c>
      <c r="D596" s="1">
        <v>1.2365669142288895</v>
      </c>
      <c r="E596" s="1">
        <v>0.80741251467159414</v>
      </c>
      <c r="G596" s="1">
        <v>1.0017157878498946</v>
      </c>
      <c r="H596" s="1">
        <v>5.7516954564468739</v>
      </c>
      <c r="I596" s="1">
        <v>0.13089417169030451</v>
      </c>
      <c r="K596" s="1">
        <v>0.9989512964231011</v>
      </c>
      <c r="L596" s="1">
        <v>7.8452229426332432</v>
      </c>
      <c r="M596" s="1">
        <v>9.3304407202511624E-2</v>
      </c>
      <c r="O596" s="1">
        <v>7.4189946501726362E-3</v>
      </c>
      <c r="P596" s="1">
        <v>0.69650800740449892</v>
      </c>
      <c r="R596" s="1">
        <v>0.27706975111731291</v>
      </c>
      <c r="S596" s="2">
        <f t="shared" si="108"/>
        <v>1.317349805565079</v>
      </c>
      <c r="T596" s="4">
        <f t="shared" si="109"/>
        <v>1.7354105102223514</v>
      </c>
      <c r="U596" s="1">
        <f t="shared" si="112"/>
        <v>1.1319174803908201</v>
      </c>
      <c r="V596" s="6">
        <f>2*sigma/alpha*corel*(B596/12-1/alpha*(1-EXP(-alpha*Output!B596/12)))</f>
        <v>3.4133564737078546</v>
      </c>
      <c r="W596" s="5">
        <f t="shared" si="110"/>
        <v>-0.6034930298315313</v>
      </c>
      <c r="X596" s="1">
        <f t="shared" si="111"/>
        <v>129.33214323375194</v>
      </c>
      <c r="Y596" s="3">
        <f t="shared" si="113"/>
        <v>8.1631513935094213E-2</v>
      </c>
      <c r="Z596" s="1">
        <f t="shared" si="114"/>
        <v>0.18867475801562159</v>
      </c>
      <c r="AA596" s="8">
        <f t="shared" si="119"/>
        <v>48.666666666666956</v>
      </c>
      <c r="AB596" s="1">
        <v>48.75</v>
      </c>
      <c r="AC596" s="1">
        <v>7.5542198480000001E-3</v>
      </c>
      <c r="AD596" s="8">
        <f t="shared" si="115"/>
        <v>1.3522519782736397</v>
      </c>
      <c r="AE596" s="3">
        <f t="shared" si="116"/>
        <v>1.7900617211076431E-2</v>
      </c>
      <c r="AF596" s="11">
        <f t="shared" si="117"/>
        <v>48.666666666666956</v>
      </c>
      <c r="AG596" s="1">
        <f t="shared" si="118"/>
        <v>0.18867475801562159</v>
      </c>
    </row>
    <row r="597" spans="2:33" ht="15" x14ac:dyDescent="0.25">
      <c r="B597" s="1">
        <v>586</v>
      </c>
      <c r="C597" s="1">
        <v>1.0010457246990434</v>
      </c>
      <c r="D597" s="1">
        <v>1.2357822329029251</v>
      </c>
      <c r="E597" s="1">
        <v>0.8079226192930008</v>
      </c>
      <c r="G597" s="1">
        <v>1.0014999115171461</v>
      </c>
      <c r="H597" s="1">
        <v>5.7154671496074334</v>
      </c>
      <c r="I597" s="1">
        <v>0.13166004125676764</v>
      </c>
      <c r="K597" s="1">
        <v>0.99856241861565898</v>
      </c>
      <c r="L597" s="1">
        <v>8.1128892717745451</v>
      </c>
      <c r="M597" s="1">
        <v>9.0175317041474828E-2</v>
      </c>
      <c r="O597" s="1">
        <v>7.4195004841990549E-3</v>
      </c>
      <c r="P597" s="1">
        <v>0.69606033073649998</v>
      </c>
      <c r="R597" s="1">
        <v>0.27718108310608314</v>
      </c>
      <c r="S597" s="2">
        <f t="shared" si="108"/>
        <v>1.3189086791237805</v>
      </c>
      <c r="T597" s="4">
        <f t="shared" si="109"/>
        <v>1.7395201038680355</v>
      </c>
      <c r="U597" s="1">
        <f t="shared" si="112"/>
        <v>1.1357513354185715</v>
      </c>
      <c r="V597" s="6">
        <f>2*sigma/alpha*corel*(B597/12-1/alpha*(1-EXP(-alpha*Output!B597/12)))</f>
        <v>3.4222935860892618</v>
      </c>
      <c r="W597" s="5">
        <f t="shared" si="110"/>
        <v>-0.60376876844946392</v>
      </c>
      <c r="X597" s="1">
        <f t="shared" si="111"/>
        <v>129.64825949318299</v>
      </c>
      <c r="Y597" s="3">
        <f t="shared" si="113"/>
        <v>8.1542921932608925E-2</v>
      </c>
      <c r="Z597" s="1">
        <f t="shared" si="114"/>
        <v>0.18873677991547061</v>
      </c>
      <c r="AA597" s="8">
        <f t="shared" si="119"/>
        <v>48.750000000000291</v>
      </c>
      <c r="AB597" s="1">
        <v>48.83</v>
      </c>
      <c r="AC597" s="1">
        <v>7.5540310879999998E-3</v>
      </c>
      <c r="AD597" s="8">
        <f t="shared" si="115"/>
        <v>1.345306038009449</v>
      </c>
      <c r="AE597" s="3">
        <f t="shared" si="116"/>
        <v>1.7809114396504705E-2</v>
      </c>
      <c r="AF597" s="11">
        <f t="shared" si="117"/>
        <v>48.750000000000291</v>
      </c>
      <c r="AG597" s="1">
        <f t="shared" si="118"/>
        <v>0.18873677991547061</v>
      </c>
    </row>
    <row r="598" spans="2:33" ht="15" x14ac:dyDescent="0.25">
      <c r="B598" s="1">
        <v>587</v>
      </c>
      <c r="C598" s="1">
        <v>1.001046681236003</v>
      </c>
      <c r="D598" s="1">
        <v>1.2372063280068302</v>
      </c>
      <c r="E598" s="1">
        <v>0.80699007617232987</v>
      </c>
      <c r="G598" s="1">
        <v>1.0014970253801347</v>
      </c>
      <c r="H598" s="1">
        <v>5.7739947996549539</v>
      </c>
      <c r="I598" s="1">
        <v>0.13026233442477397</v>
      </c>
      <c r="K598" s="1">
        <v>0.99852680455494325</v>
      </c>
      <c r="L598" s="1">
        <v>8.2406115783976812</v>
      </c>
      <c r="M598" s="1">
        <v>8.8731132135887514E-2</v>
      </c>
      <c r="O598" s="1">
        <v>7.4199722812209983E-3</v>
      </c>
      <c r="P598" s="1">
        <v>0.69561404134636706</v>
      </c>
      <c r="R598" s="1">
        <v>0.27740760866961134</v>
      </c>
      <c r="S598" s="2">
        <f t="shared" si="108"/>
        <v>1.3209129421639376</v>
      </c>
      <c r="T598" s="4">
        <f t="shared" si="109"/>
        <v>1.7448110007761901</v>
      </c>
      <c r="U598" s="1">
        <f t="shared" si="112"/>
        <v>1.13958941590663</v>
      </c>
      <c r="V598" s="6">
        <f>2*sigma/alpha*corel*(B598/12-1/alpha*(1-EXP(-alpha*Output!B598/12)))</f>
        <v>3.431235622107665</v>
      </c>
      <c r="W598" s="5">
        <f t="shared" si="110"/>
        <v>-0.60522158486956013</v>
      </c>
      <c r="X598" s="1">
        <f t="shared" si="111"/>
        <v>130.1950680005645</v>
      </c>
      <c r="Y598" s="3">
        <f t="shared" si="113"/>
        <v>8.1557782487417463E-2</v>
      </c>
      <c r="Z598" s="1">
        <f t="shared" si="114"/>
        <v>0.18886251459624132</v>
      </c>
      <c r="AA598" s="8">
        <f t="shared" si="119"/>
        <v>48.833333333333627</v>
      </c>
      <c r="AB598" s="1">
        <v>48.92</v>
      </c>
      <c r="AC598" s="1">
        <v>7.5538429720000003E-3</v>
      </c>
      <c r="AD598" s="8">
        <f t="shared" si="115"/>
        <v>1.3387069077900204</v>
      </c>
      <c r="AE598" s="3">
        <f t="shared" si="116"/>
        <v>1.7722196671975252E-2</v>
      </c>
      <c r="AF598" s="11">
        <f t="shared" si="117"/>
        <v>48.833333333333627</v>
      </c>
      <c r="AG598" s="1">
        <f t="shared" si="118"/>
        <v>0.18886251459624132</v>
      </c>
    </row>
    <row r="599" spans="2:33" ht="15" x14ac:dyDescent="0.25">
      <c r="B599" s="1">
        <v>588</v>
      </c>
      <c r="C599" s="1">
        <v>1.0010475071897682</v>
      </c>
      <c r="D599" s="1">
        <v>1.2352371875572898</v>
      </c>
      <c r="E599" s="1">
        <v>0.80827394470566849</v>
      </c>
      <c r="G599" s="1">
        <v>1.0014040417863166</v>
      </c>
      <c r="H599" s="1">
        <v>5.6852530926689351</v>
      </c>
      <c r="I599" s="1">
        <v>0.13223151260309965</v>
      </c>
      <c r="K599" s="1">
        <v>0.9987313568079994</v>
      </c>
      <c r="L599" s="1">
        <v>8.1575981264696082</v>
      </c>
      <c r="M599" s="1">
        <v>8.9584885271435682E-2</v>
      </c>
      <c r="O599" s="1">
        <v>7.4204526707852807E-3</v>
      </c>
      <c r="P599" s="1">
        <v>0.69516769074855889</v>
      </c>
      <c r="R599" s="1">
        <v>0.27750514007761973</v>
      </c>
      <c r="S599" s="2">
        <f t="shared" ref="S599:S662" si="120">optim_vol_implied(P599,R599)</f>
        <v>1.3224187846877251</v>
      </c>
      <c r="T599" s="4">
        <f t="shared" ref="T599:T662" si="121">S599*S599</f>
        <v>1.74879144209496</v>
      </c>
      <c r="U599" s="1">
        <f t="shared" si="112"/>
        <v>1.1434317101092262</v>
      </c>
      <c r="V599" s="6">
        <f>2*sigma/alpha*corel*(B599/12-1/alpha*(1-EXP(-alpha*Output!B599/12)))</f>
        <v>3.4401825653782656</v>
      </c>
      <c r="W599" s="5">
        <f t="shared" ref="W599:W662" si="122">U599-T599</f>
        <v>-0.60535973198573378</v>
      </c>
      <c r="X599" s="1">
        <f t="shared" ref="X599:X662" si="123">V599*V599-4*W599*B599/12</f>
        <v>130.48536355233642</v>
      </c>
      <c r="Y599" s="3">
        <f t="shared" si="113"/>
        <v>8.1457514852482912E-2</v>
      </c>
      <c r="Z599" s="1">
        <f t="shared" si="114"/>
        <v>0.1889169692411036</v>
      </c>
      <c r="AA599" s="8">
        <f t="shared" si="119"/>
        <v>48.916666666666963</v>
      </c>
      <c r="AB599" s="1">
        <v>49</v>
      </c>
      <c r="AC599" s="1">
        <v>7.5536554969999996E-3</v>
      </c>
      <c r="AD599" s="8">
        <f t="shared" si="115"/>
        <v>1.3320282621471884</v>
      </c>
      <c r="AE599" s="3">
        <f t="shared" si="116"/>
        <v>1.7634220446990402E-2</v>
      </c>
      <c r="AF599" s="11">
        <f t="shared" si="117"/>
        <v>48.916666666666963</v>
      </c>
      <c r="AG599" s="1">
        <f t="shared" si="118"/>
        <v>0.1889169692411036</v>
      </c>
    </row>
    <row r="600" spans="2:33" ht="15" x14ac:dyDescent="0.25">
      <c r="B600" s="1">
        <v>589</v>
      </c>
      <c r="C600" s="1">
        <v>1.0010507532429</v>
      </c>
      <c r="D600" s="1">
        <v>1.2324311305172739</v>
      </c>
      <c r="E600" s="1">
        <v>0.81011166458988548</v>
      </c>
      <c r="G600" s="1">
        <v>1.0015074142945188</v>
      </c>
      <c r="H600" s="1">
        <v>5.5635177067629655</v>
      </c>
      <c r="I600" s="1">
        <v>0.13505940009812106</v>
      </c>
      <c r="K600" s="1">
        <v>0.99847893962100187</v>
      </c>
      <c r="L600" s="1">
        <v>7.91244787131326</v>
      </c>
      <c r="M600" s="1">
        <v>9.2310498289655471E-2</v>
      </c>
      <c r="O600" s="1">
        <v>7.4209124757579521E-3</v>
      </c>
      <c r="P600" s="1">
        <v>0.69472227285459587</v>
      </c>
      <c r="R600" s="1">
        <v>0.27759059106335221</v>
      </c>
      <c r="S600" s="2">
        <f t="shared" si="120"/>
        <v>1.3238769729754065</v>
      </c>
      <c r="T600" s="4">
        <f t="shared" si="121"/>
        <v>1.7526502395745251</v>
      </c>
      <c r="U600" s="1">
        <f t="shared" si="112"/>
        <v>1.1472782063042923</v>
      </c>
      <c r="V600" s="6">
        <f>2*sigma/alpha*corel*(B600/12-1/alpha*(1-EXP(-alpha*Output!B600/12)))</f>
        <v>3.4491343995707879</v>
      </c>
      <c r="W600" s="5">
        <f t="shared" si="122"/>
        <v>-0.60537203327023281</v>
      </c>
      <c r="X600" s="1">
        <f t="shared" si="123"/>
        <v>130.75123730502492</v>
      </c>
      <c r="Y600" s="3">
        <f t="shared" si="113"/>
        <v>8.1346516094074686E-2</v>
      </c>
      <c r="Z600" s="1">
        <f t="shared" si="114"/>
        <v>0.18896466587403785</v>
      </c>
      <c r="AA600" s="8">
        <f t="shared" si="119"/>
        <v>49.000000000000298</v>
      </c>
      <c r="AB600" s="1">
        <v>49.08</v>
      </c>
      <c r="AC600" s="1">
        <v>7.5534686599999998E-3</v>
      </c>
      <c r="AD600" s="8">
        <f t="shared" si="115"/>
        <v>1.3255618424204765</v>
      </c>
      <c r="AE600" s="3">
        <f t="shared" si="116"/>
        <v>1.7549048021342772E-2</v>
      </c>
      <c r="AF600" s="11">
        <f t="shared" si="117"/>
        <v>49.000000000000298</v>
      </c>
      <c r="AG600" s="1">
        <f t="shared" si="118"/>
        <v>0.18896466587403785</v>
      </c>
    </row>
    <row r="601" spans="2:33" ht="15" x14ac:dyDescent="0.25">
      <c r="B601" s="1">
        <v>590</v>
      </c>
      <c r="C601" s="1">
        <v>1.0010547004968899</v>
      </c>
      <c r="D601" s="1">
        <v>1.2346259599654272</v>
      </c>
      <c r="E601" s="1">
        <v>0.80866890992017082</v>
      </c>
      <c r="G601" s="1">
        <v>1.0016685245537809</v>
      </c>
      <c r="H601" s="1">
        <v>5.5764387779668505</v>
      </c>
      <c r="I601" s="1">
        <v>0.13468116741564906</v>
      </c>
      <c r="K601" s="1">
        <v>0.99864944020467816</v>
      </c>
      <c r="L601" s="1">
        <v>7.6609822892872312</v>
      </c>
      <c r="M601" s="1">
        <v>9.5294541371996416E-2</v>
      </c>
      <c r="O601" s="1">
        <v>7.4213376892860311E-3</v>
      </c>
      <c r="P601" s="1">
        <v>0.69427826793988201</v>
      </c>
      <c r="R601" s="1">
        <v>0.27774485241418057</v>
      </c>
      <c r="S601" s="2">
        <f t="shared" si="120"/>
        <v>1.3256009773643498</v>
      </c>
      <c r="T601" s="4">
        <f t="shared" si="121"/>
        <v>1.7572179511893193</v>
      </c>
      <c r="U601" s="1">
        <f t="shared" si="112"/>
        <v>1.1511288927934826</v>
      </c>
      <c r="V601" s="6">
        <f>2*sigma/alpha*corel*(B601/12-1/alpha*(1-EXP(-alpha*Output!B601/12)))</f>
        <v>3.4580911084092998</v>
      </c>
      <c r="W601" s="5">
        <f t="shared" si="122"/>
        <v>-0.60608905839583671</v>
      </c>
      <c r="X601" s="1">
        <f t="shared" si="123"/>
        <v>131.15590893190733</v>
      </c>
      <c r="Y601" s="3">
        <f t="shared" si="113"/>
        <v>8.1297365307217428E-2</v>
      </c>
      <c r="Z601" s="1">
        <f t="shared" si="114"/>
        <v>0.18905032696582269</v>
      </c>
      <c r="AA601" s="8">
        <f t="shared" si="119"/>
        <v>49.083333333333634</v>
      </c>
      <c r="AB601" s="1">
        <v>49.17</v>
      </c>
      <c r="AC601" s="1">
        <v>7.553282457E-3</v>
      </c>
      <c r="AD601" s="8">
        <f t="shared" si="115"/>
        <v>1.3194476771396895</v>
      </c>
      <c r="AE601" s="3">
        <f t="shared" si="116"/>
        <v>1.7468533510446072E-2</v>
      </c>
      <c r="AF601" s="11">
        <f t="shared" si="117"/>
        <v>49.083333333333634</v>
      </c>
      <c r="AG601" s="1">
        <f t="shared" si="118"/>
        <v>0.18905032696582269</v>
      </c>
    </row>
    <row r="602" spans="2:33" ht="15" x14ac:dyDescent="0.25">
      <c r="B602" s="1">
        <v>591</v>
      </c>
      <c r="C602" s="1">
        <v>1.0010569250250028</v>
      </c>
      <c r="D602" s="1">
        <v>1.2342502490529828</v>
      </c>
      <c r="E602" s="1">
        <v>0.80891247060053717</v>
      </c>
      <c r="G602" s="1">
        <v>1.0017370871196167</v>
      </c>
      <c r="H602" s="1">
        <v>5.610612223036644</v>
      </c>
      <c r="I602" s="1">
        <v>0.13379598313444335</v>
      </c>
      <c r="K602" s="1">
        <v>0.99864844464957303</v>
      </c>
      <c r="L602" s="1">
        <v>7.457778813836466</v>
      </c>
      <c r="M602" s="1">
        <v>9.7834704826082711E-2</v>
      </c>
      <c r="O602" s="1">
        <v>7.4217362485968445E-3</v>
      </c>
      <c r="P602" s="1">
        <v>0.69383540843361891</v>
      </c>
      <c r="R602" s="1">
        <v>0.27806059340419181</v>
      </c>
      <c r="S602" s="2">
        <f t="shared" si="120"/>
        <v>1.3279532548442459</v>
      </c>
      <c r="T602" s="4">
        <f t="shared" si="121"/>
        <v>1.7634598470514267</v>
      </c>
      <c r="U602" s="1">
        <f t="shared" si="112"/>
        <v>1.154983757902202</v>
      </c>
      <c r="V602" s="6">
        <f>2*sigma/alpha*corel*(B602/12-1/alpha*(1-EXP(-alpha*Output!B602/12)))</f>
        <v>3.4670526756720341</v>
      </c>
      <c r="W602" s="5">
        <f t="shared" si="122"/>
        <v>-0.60847608914922469</v>
      </c>
      <c r="X602" s="1">
        <f t="shared" si="123"/>
        <v>131.89024381828187</v>
      </c>
      <c r="Y602" s="3">
        <f t="shared" si="113"/>
        <v>8.1393858876927461E-2</v>
      </c>
      <c r="Z602" s="1">
        <f t="shared" si="114"/>
        <v>0.18922550385899062</v>
      </c>
      <c r="AA602" s="8">
        <f t="shared" si="119"/>
        <v>49.16666666666697</v>
      </c>
      <c r="AB602" s="1">
        <v>49.25</v>
      </c>
      <c r="AC602" s="1">
        <v>7.5530968860000004E-3</v>
      </c>
      <c r="AD602" s="8">
        <f t="shared" si="115"/>
        <v>1.3136063740315593</v>
      </c>
      <c r="AE602" s="3">
        <f t="shared" si="116"/>
        <v>1.7391626161533648E-2</v>
      </c>
      <c r="AF602" s="11">
        <f t="shared" si="117"/>
        <v>49.16666666666697</v>
      </c>
      <c r="AG602" s="1">
        <f t="shared" si="118"/>
        <v>0.18922550385899062</v>
      </c>
    </row>
    <row r="603" spans="2:33" ht="15" x14ac:dyDescent="0.25">
      <c r="B603" s="1">
        <v>592</v>
      </c>
      <c r="C603" s="1">
        <v>1.0010525453560073</v>
      </c>
      <c r="D603" s="1">
        <v>1.2380907984710854</v>
      </c>
      <c r="E603" s="1">
        <v>0.80640063140931439</v>
      </c>
      <c r="G603" s="1">
        <v>1.0012215172463328</v>
      </c>
      <c r="H603" s="1">
        <v>5.713891949123191</v>
      </c>
      <c r="I603" s="1">
        <v>0.13131393655747342</v>
      </c>
      <c r="K603" s="1">
        <v>0.99858714839818608</v>
      </c>
      <c r="L603" s="1">
        <v>7.3832246730166462</v>
      </c>
      <c r="M603" s="1">
        <v>9.8773036897445571E-2</v>
      </c>
      <c r="O603" s="1">
        <v>7.4221695377380131E-3</v>
      </c>
      <c r="P603" s="1">
        <v>0.6933915973392043</v>
      </c>
      <c r="R603" s="1">
        <v>0.27810041182949097</v>
      </c>
      <c r="S603" s="2">
        <f t="shared" si="120"/>
        <v>1.3292352066789663</v>
      </c>
      <c r="T603" s="4">
        <f t="shared" si="121"/>
        <v>1.7668662346748742</v>
      </c>
      <c r="U603" s="1">
        <f t="shared" si="112"/>
        <v>1.1588427899796212</v>
      </c>
      <c r="V603" s="6">
        <f>2*sigma/alpha*corel*(B603/12-1/alpha*(1-EXP(-alpha*Output!B603/12)))</f>
        <v>3.4760190851912038</v>
      </c>
      <c r="W603" s="5">
        <f t="shared" si="122"/>
        <v>-0.60802344469525305</v>
      </c>
      <c r="X603" s="1">
        <f t="shared" si="123"/>
        <v>132.06600176714343</v>
      </c>
      <c r="Y603" s="3">
        <f t="shared" si="113"/>
        <v>8.1243022369748452E-2</v>
      </c>
      <c r="Z603" s="1">
        <f t="shared" si="114"/>
        <v>0.18924813369825996</v>
      </c>
      <c r="AA603" s="8">
        <f t="shared" si="119"/>
        <v>49.250000000000306</v>
      </c>
      <c r="AB603" s="1">
        <v>49.33</v>
      </c>
      <c r="AC603" s="1">
        <v>7.5529119420000004E-3</v>
      </c>
      <c r="AD603" s="8">
        <f t="shared" si="115"/>
        <v>1.3074240426198727</v>
      </c>
      <c r="AE603" s="3">
        <f t="shared" si="116"/>
        <v>1.7310198406386673E-2</v>
      </c>
      <c r="AF603" s="11">
        <f t="shared" si="117"/>
        <v>49.250000000000306</v>
      </c>
      <c r="AG603" s="1">
        <f t="shared" si="118"/>
        <v>0.18924813369825996</v>
      </c>
    </row>
    <row r="604" spans="2:33" ht="15" x14ac:dyDescent="0.25">
      <c r="B604" s="1">
        <v>593</v>
      </c>
      <c r="C604" s="1">
        <v>1.0010509780405998</v>
      </c>
      <c r="D604" s="1">
        <v>1.2338574776631883</v>
      </c>
      <c r="E604" s="1">
        <v>0.80916475186733938</v>
      </c>
      <c r="G604" s="1">
        <v>1.0009839323203851</v>
      </c>
      <c r="H604" s="1">
        <v>5.5410841619650117</v>
      </c>
      <c r="I604" s="1">
        <v>0.13534356499174291</v>
      </c>
      <c r="K604" s="1">
        <v>0.99868294737334717</v>
      </c>
      <c r="L604" s="1">
        <v>7.285268598138682</v>
      </c>
      <c r="M604" s="1">
        <v>0.10004441888386727</v>
      </c>
      <c r="O604" s="1">
        <v>7.422575956832652E-3</v>
      </c>
      <c r="P604" s="1">
        <v>0.69294894020343523</v>
      </c>
      <c r="R604" s="1">
        <v>0.27830364890019954</v>
      </c>
      <c r="S604" s="2">
        <f t="shared" si="120"/>
        <v>1.3311533302098459</v>
      </c>
      <c r="T604" s="4">
        <f t="shared" si="121"/>
        <v>1.7719691885287632</v>
      </c>
      <c r="U604" s="1">
        <f t="shared" si="112"/>
        <v>1.1627059773987023</v>
      </c>
      <c r="V604" s="6">
        <f>2*sigma/alpha*corel*(B604/12-1/alpha*(1-EXP(-alpha*Output!B604/12)))</f>
        <v>3.484990320852825</v>
      </c>
      <c r="W604" s="5">
        <f t="shared" si="122"/>
        <v>-0.60926321113006088</v>
      </c>
      <c r="X604" s="1">
        <f t="shared" si="123"/>
        <v>132.57618560314657</v>
      </c>
      <c r="Y604" s="3">
        <f t="shared" si="113"/>
        <v>8.1239624903240854E-2</v>
      </c>
      <c r="Z604" s="1">
        <f t="shared" si="114"/>
        <v>0.18936135794437631</v>
      </c>
      <c r="AA604" s="8">
        <f t="shared" si="119"/>
        <v>49.333333333333641</v>
      </c>
      <c r="AB604" s="1">
        <v>49.42</v>
      </c>
      <c r="AC604" s="1">
        <v>7.5527276239999996E-3</v>
      </c>
      <c r="AD604" s="8">
        <f t="shared" si="115"/>
        <v>1.3015166716734763</v>
      </c>
      <c r="AE604" s="3">
        <f t="shared" si="116"/>
        <v>1.7232405780630813E-2</v>
      </c>
      <c r="AF604" s="11">
        <f t="shared" si="117"/>
        <v>49.333333333333641</v>
      </c>
      <c r="AG604" s="1">
        <f t="shared" si="118"/>
        <v>0.18936135794437631</v>
      </c>
    </row>
    <row r="605" spans="2:33" ht="15" x14ac:dyDescent="0.25">
      <c r="B605" s="1">
        <v>594</v>
      </c>
      <c r="C605" s="1">
        <v>1.0010467236883391</v>
      </c>
      <c r="D605" s="1">
        <v>1.2373539726288167</v>
      </c>
      <c r="E605" s="1">
        <v>0.8068756186438556</v>
      </c>
      <c r="G605" s="1">
        <v>1.0005385336551151</v>
      </c>
      <c r="H605" s="1">
        <v>5.687371371127103</v>
      </c>
      <c r="I605" s="1">
        <v>0.13179844387510034</v>
      </c>
      <c r="K605" s="1">
        <v>0.99851280208881099</v>
      </c>
      <c r="L605" s="1">
        <v>7.3287749155611781</v>
      </c>
      <c r="M605" s="1">
        <v>9.9396744604382858E-2</v>
      </c>
      <c r="O605" s="1">
        <v>7.4229854092825072E-3</v>
      </c>
      <c r="P605" s="1">
        <v>0.69250641476881336</v>
      </c>
      <c r="R605" s="1">
        <v>0.2784510009801251</v>
      </c>
      <c r="S605" s="2">
        <f t="shared" si="120"/>
        <v>1.3328552230227697</v>
      </c>
      <c r="T605" s="4">
        <f t="shared" si="121"/>
        <v>1.7765030455390771</v>
      </c>
      <c r="U605" s="1">
        <f t="shared" si="112"/>
        <v>1.1665733085562184</v>
      </c>
      <c r="V605" s="6">
        <f>2*sigma/alpha*corel*(B605/12-1/alpha*(1-EXP(-alpha*Output!B605/12)))</f>
        <v>3.4939663665965401</v>
      </c>
      <c r="W605" s="5">
        <f t="shared" si="122"/>
        <v>-0.60992973698285868</v>
      </c>
      <c r="X605" s="1">
        <f t="shared" si="123"/>
        <v>132.97388889351384</v>
      </c>
      <c r="Y605" s="3">
        <f t="shared" si="113"/>
        <v>8.1186506186552113E-2</v>
      </c>
      <c r="Z605" s="1">
        <f t="shared" si="114"/>
        <v>0.18944379223118094</v>
      </c>
      <c r="AA605" s="8">
        <f t="shared" si="119"/>
        <v>49.416666666666977</v>
      </c>
      <c r="AB605" s="1">
        <v>49.5</v>
      </c>
      <c r="AC605" s="1">
        <v>7.5525439270000003E-3</v>
      </c>
      <c r="AD605" s="8">
        <f t="shared" si="115"/>
        <v>1.2955851771749312</v>
      </c>
      <c r="AE605" s="3">
        <f t="shared" si="116"/>
        <v>1.7154288537710762E-2</v>
      </c>
      <c r="AF605" s="11">
        <f t="shared" si="117"/>
        <v>49.416666666666977</v>
      </c>
      <c r="AG605" s="1">
        <f t="shared" si="118"/>
        <v>0.18944379223118094</v>
      </c>
    </row>
    <row r="606" spans="2:33" ht="15" x14ac:dyDescent="0.25">
      <c r="B606" s="1">
        <v>595</v>
      </c>
      <c r="C606" s="1">
        <v>1.001044566323984</v>
      </c>
      <c r="D606" s="1">
        <v>1.2346425927801099</v>
      </c>
      <c r="E606" s="1">
        <v>0.80864496738464853</v>
      </c>
      <c r="G606" s="1">
        <v>1.0002259780059364</v>
      </c>
      <c r="H606" s="1">
        <v>5.5708510043808577</v>
      </c>
      <c r="I606" s="1">
        <v>0.13448995147480611</v>
      </c>
      <c r="K606" s="1">
        <v>0.99826934471070283</v>
      </c>
      <c r="L606" s="1">
        <v>7.3505578118654471</v>
      </c>
      <c r="M606" s="1">
        <v>9.905172053897679E-2</v>
      </c>
      <c r="O606" s="1">
        <v>7.4234122068357021E-3</v>
      </c>
      <c r="P606" s="1">
        <v>0.6920635295140064</v>
      </c>
      <c r="R606" s="1">
        <v>0.27862152452002403</v>
      </c>
      <c r="S606" s="2">
        <f t="shared" si="120"/>
        <v>1.3346506775791498</v>
      </c>
      <c r="T606" s="4">
        <f t="shared" si="121"/>
        <v>1.7812924311624836</v>
      </c>
      <c r="U606" s="1">
        <f t="shared" si="112"/>
        <v>1.1704447718727713</v>
      </c>
      <c r="V606" s="6">
        <f>2*sigma/alpha*corel*(B606/12-1/alpha*(1-EXP(-alpha*Output!B606/12)))</f>
        <v>3.5029472064154339</v>
      </c>
      <c r="W606" s="5">
        <f t="shared" si="122"/>
        <v>-0.6108476592897123</v>
      </c>
      <c r="X606" s="1">
        <f t="shared" si="123"/>
        <v>133.42209155672663</v>
      </c>
      <c r="Y606" s="3">
        <f t="shared" si="113"/>
        <v>8.1155303009615432E-2</v>
      </c>
      <c r="Z606" s="1">
        <f t="shared" si="114"/>
        <v>0.18953950908039369</v>
      </c>
      <c r="AA606" s="8">
        <f t="shared" si="119"/>
        <v>49.500000000000313</v>
      </c>
      <c r="AB606" s="1">
        <v>49.58</v>
      </c>
      <c r="AC606" s="1">
        <v>7.5523608480000002E-3</v>
      </c>
      <c r="AD606" s="8">
        <f t="shared" si="115"/>
        <v>1.2894864116429812</v>
      </c>
      <c r="AE606" s="3">
        <f t="shared" si="116"/>
        <v>1.7073951279545391E-2</v>
      </c>
      <c r="AF606" s="11">
        <f t="shared" si="117"/>
        <v>49.500000000000313</v>
      </c>
      <c r="AG606" s="1">
        <f t="shared" si="118"/>
        <v>0.18953950908039369</v>
      </c>
    </row>
    <row r="607" spans="2:33" ht="15" x14ac:dyDescent="0.25">
      <c r="B607" s="1">
        <v>596</v>
      </c>
      <c r="C607" s="1">
        <v>1.0010457785563618</v>
      </c>
      <c r="D607" s="1">
        <v>1.2334935040961059</v>
      </c>
      <c r="E607" s="1">
        <v>0.80939565319012907</v>
      </c>
      <c r="G607" s="1">
        <v>1.0001904940044135</v>
      </c>
      <c r="H607" s="1">
        <v>5.5243980159476909</v>
      </c>
      <c r="I607" s="1">
        <v>0.13555512044285084</v>
      </c>
      <c r="K607" s="1">
        <v>0.99849202801041992</v>
      </c>
      <c r="L607" s="1">
        <v>7.2906059935255065</v>
      </c>
      <c r="M607" s="1">
        <v>9.9811781897129595E-2</v>
      </c>
      <c r="O607" s="1">
        <v>7.4238985325981114E-3</v>
      </c>
      <c r="P607" s="1">
        <v>0.69161883348388331</v>
      </c>
      <c r="R607" s="1">
        <v>0.27884126005507565</v>
      </c>
      <c r="S607" s="2">
        <f t="shared" si="120"/>
        <v>1.3366456011854451</v>
      </c>
      <c r="T607" s="4">
        <f t="shared" si="121"/>
        <v>1.7866214631683999</v>
      </c>
      <c r="U607" s="1">
        <f t="shared" si="112"/>
        <v>1.1743203557928115</v>
      </c>
      <c r="V607" s="6">
        <f>2*sigma/alpha*corel*(B607/12-1/alpha*(1-EXP(-alpha*Output!B607/12)))</f>
        <v>3.5119328243558594</v>
      </c>
      <c r="W607" s="5">
        <f t="shared" si="122"/>
        <v>-0.6123011073755884</v>
      </c>
      <c r="X607" s="1">
        <f t="shared" si="123"/>
        <v>133.97749216140502</v>
      </c>
      <c r="Y607" s="3">
        <f t="shared" si="113"/>
        <v>8.1170454836093628E-2</v>
      </c>
      <c r="Z607" s="1">
        <f t="shared" si="114"/>
        <v>0.18966350261678475</v>
      </c>
      <c r="AA607" s="8">
        <f t="shared" si="119"/>
        <v>49.583333333333648</v>
      </c>
      <c r="AB607" s="1">
        <v>49.67</v>
      </c>
      <c r="AC607" s="1">
        <v>7.5521783850000003E-3</v>
      </c>
      <c r="AD607" s="8">
        <f t="shared" si="115"/>
        <v>1.2827985240188891</v>
      </c>
      <c r="AE607" s="3">
        <f t="shared" si="116"/>
        <v>1.6985808049327332E-2</v>
      </c>
      <c r="AF607" s="11">
        <f t="shared" si="117"/>
        <v>49.583333333333648</v>
      </c>
      <c r="AG607" s="1">
        <f t="shared" si="118"/>
        <v>0.18966350261678475</v>
      </c>
    </row>
    <row r="608" spans="2:33" ht="15" x14ac:dyDescent="0.25">
      <c r="B608" s="1">
        <v>597</v>
      </c>
      <c r="C608" s="1">
        <v>1.0010424477899407</v>
      </c>
      <c r="D608" s="1">
        <v>1.2337093214393018</v>
      </c>
      <c r="E608" s="1">
        <v>0.80925143313912473</v>
      </c>
      <c r="G608" s="1">
        <v>0.999848575133092</v>
      </c>
      <c r="H608" s="1">
        <v>5.530266636125357</v>
      </c>
      <c r="I608" s="1">
        <v>0.13534565645308497</v>
      </c>
      <c r="K608" s="1">
        <v>0.99822817608967196</v>
      </c>
      <c r="L608" s="1">
        <v>7.1146503657261144</v>
      </c>
      <c r="M608" s="1">
        <v>0.10222724301072131</v>
      </c>
      <c r="O608" s="1">
        <v>7.4244044703266924E-3</v>
      </c>
      <c r="P608" s="1">
        <v>0.69117369280209473</v>
      </c>
      <c r="R608" s="1">
        <v>0.27900469690076718</v>
      </c>
      <c r="S608" s="2">
        <f t="shared" si="120"/>
        <v>1.3384236772438924</v>
      </c>
      <c r="T608" s="4">
        <f t="shared" si="121"/>
        <v>1.7913779398070631</v>
      </c>
      <c r="U608" s="1">
        <f t="shared" si="112"/>
        <v>1.1782000487846584</v>
      </c>
      <c r="V608" s="6">
        <f>2*sigma/alpha*corel*(B608/12-1/alpha*(1-EXP(-alpha*Output!B608/12)))</f>
        <v>3.520923204517262</v>
      </c>
      <c r="W608" s="5">
        <f t="shared" si="122"/>
        <v>-0.61317789102240461</v>
      </c>
      <c r="X608" s="1">
        <f t="shared" si="123"/>
        <v>134.4193005255666</v>
      </c>
      <c r="Y608" s="3">
        <f t="shared" si="113"/>
        <v>8.1135784691455992E-2</v>
      </c>
      <c r="Z608" s="1">
        <f t="shared" si="114"/>
        <v>0.18975667782726771</v>
      </c>
      <c r="AA608" s="8">
        <f t="shared" si="119"/>
        <v>49.666666666666984</v>
      </c>
      <c r="AB608" s="1">
        <v>49.75</v>
      </c>
      <c r="AC608" s="1">
        <v>7.5519965350000001E-3</v>
      </c>
      <c r="AD608" s="8">
        <f t="shared" si="115"/>
        <v>1.2759206467330766</v>
      </c>
      <c r="AE608" s="3">
        <f t="shared" si="116"/>
        <v>1.6895143434186927E-2</v>
      </c>
      <c r="AF608" s="11">
        <f t="shared" si="117"/>
        <v>49.666666666666984</v>
      </c>
      <c r="AG608" s="1">
        <f t="shared" si="118"/>
        <v>0.18975667782726771</v>
      </c>
    </row>
    <row r="609" spans="2:33" ht="15" x14ac:dyDescent="0.25">
      <c r="B609" s="1">
        <v>598</v>
      </c>
      <c r="C609" s="1">
        <v>1.0010463265402787</v>
      </c>
      <c r="D609" s="1">
        <v>1.2364996334331053</v>
      </c>
      <c r="E609" s="1">
        <v>0.80742263128603498</v>
      </c>
      <c r="G609" s="1">
        <v>1.0000694767788261</v>
      </c>
      <c r="H609" s="1">
        <v>5.6478942214793468</v>
      </c>
      <c r="I609" s="1">
        <v>0.1324626208597911</v>
      </c>
      <c r="K609" s="1">
        <v>0.99840464690845832</v>
      </c>
      <c r="L609" s="1">
        <v>7.2347336404632623</v>
      </c>
      <c r="M609" s="1">
        <v>0.10047737241012733</v>
      </c>
      <c r="O609" s="1">
        <v>7.4249293487881583E-3</v>
      </c>
      <c r="P609" s="1">
        <v>0.69072812841340703</v>
      </c>
      <c r="R609" s="1">
        <v>0.27922822082608711</v>
      </c>
      <c r="S609" s="2">
        <f t="shared" si="120"/>
        <v>1.3404406886722702</v>
      </c>
      <c r="T609" s="4">
        <f t="shared" si="121"/>
        <v>1.7967812398481899</v>
      </c>
      <c r="U609" s="1">
        <f t="shared" si="112"/>
        <v>1.1820838393405149</v>
      </c>
      <c r="V609" s="6">
        <f>2*sigma/alpha*corel*(B609/12-1/alpha*(1-EXP(-alpha*Output!B609/12)))</f>
        <v>3.5299183310519986</v>
      </c>
      <c r="W609" s="5">
        <f t="shared" si="122"/>
        <v>-0.61469740050767507</v>
      </c>
      <c r="X609" s="1">
        <f t="shared" si="123"/>
        <v>134.99000525842683</v>
      </c>
      <c r="Y609" s="3">
        <f t="shared" si="113"/>
        <v>8.1156537736585127E-2</v>
      </c>
      <c r="Z609" s="1">
        <f t="shared" si="114"/>
        <v>0.1898836771106828</v>
      </c>
      <c r="AA609" s="8">
        <f t="shared" si="119"/>
        <v>49.75000000000032</v>
      </c>
      <c r="AB609" s="1">
        <v>49.83</v>
      </c>
      <c r="AC609" s="1">
        <v>7.551815293E-3</v>
      </c>
      <c r="AD609" s="8">
        <f t="shared" si="115"/>
        <v>1.2688594421184172</v>
      </c>
      <c r="AE609" s="3">
        <f t="shared" si="116"/>
        <v>1.6802045506787759E-2</v>
      </c>
      <c r="AF609" s="11">
        <f t="shared" si="117"/>
        <v>49.75000000000032</v>
      </c>
      <c r="AG609" s="1">
        <f t="shared" si="118"/>
        <v>0.1898836771106828</v>
      </c>
    </row>
    <row r="610" spans="2:33" ht="15" x14ac:dyDescent="0.25">
      <c r="B610" s="1">
        <v>599</v>
      </c>
      <c r="C610" s="1">
        <v>1.0010531832259091</v>
      </c>
      <c r="D610" s="1">
        <v>1.2383326716676917</v>
      </c>
      <c r="E610" s="1">
        <v>0.80622481815529001</v>
      </c>
      <c r="G610" s="1">
        <v>1.0005173360092012</v>
      </c>
      <c r="H610" s="1">
        <v>5.7169020875627954</v>
      </c>
      <c r="I610" s="1">
        <v>0.13080027159398647</v>
      </c>
      <c r="K610" s="1">
        <v>0.99839925567846988</v>
      </c>
      <c r="L610" s="1">
        <v>7.0029355790469721</v>
      </c>
      <c r="M610" s="1">
        <v>0.10374504654834706</v>
      </c>
      <c r="O610" s="1">
        <v>7.4254195447543345E-3</v>
      </c>
      <c r="P610" s="1">
        <v>0.69028398591402207</v>
      </c>
      <c r="R610" s="1">
        <v>0.27932127750606528</v>
      </c>
      <c r="S610" s="2">
        <f t="shared" si="120"/>
        <v>1.3419445180226452</v>
      </c>
      <c r="T610" s="4">
        <f t="shared" si="121"/>
        <v>1.8008150894510297</v>
      </c>
      <c r="U610" s="1">
        <f t="shared" si="112"/>
        <v>1.1859717159764847</v>
      </c>
      <c r="V610" s="6">
        <f>2*sigma/alpha*corel*(B610/12-1/alpha*(1-EXP(-alpha*Output!B610/12)))</f>
        <v>3.5389181881651632</v>
      </c>
      <c r="W610" s="5">
        <f t="shared" si="122"/>
        <v>-0.6148433734745451</v>
      </c>
      <c r="X610" s="1">
        <f t="shared" si="123"/>
        <v>135.28766884627706</v>
      </c>
      <c r="Y610" s="3">
        <f t="shared" si="113"/>
        <v>8.1059144162553345E-2</v>
      </c>
      <c r="Z610" s="1">
        <f t="shared" si="114"/>
        <v>0.18993796137416086</v>
      </c>
      <c r="AA610" s="8">
        <f t="shared" si="119"/>
        <v>49.833333333333655</v>
      </c>
      <c r="AB610" s="1">
        <v>49.92</v>
      </c>
      <c r="AC610" s="1">
        <v>7.5516346579999998E-3</v>
      </c>
      <c r="AD610" s="8">
        <f t="shared" si="115"/>
        <v>1.2621511324566528</v>
      </c>
      <c r="AE610" s="3">
        <f t="shared" si="116"/>
        <v>1.6713614861115715E-2</v>
      </c>
      <c r="AF610" s="11">
        <f t="shared" si="117"/>
        <v>49.833333333333655</v>
      </c>
      <c r="AG610" s="1">
        <f t="shared" si="118"/>
        <v>0.18993796137416086</v>
      </c>
    </row>
    <row r="611" spans="2:33" ht="15" x14ac:dyDescent="0.25">
      <c r="B611" s="1">
        <v>600</v>
      </c>
      <c r="C611" s="1">
        <v>1.0010554783216421</v>
      </c>
      <c r="D611" s="1">
        <v>1.2388832918408741</v>
      </c>
      <c r="E611" s="1">
        <v>0.80586386048626923</v>
      </c>
      <c r="G611" s="1">
        <v>1.0005870432758701</v>
      </c>
      <c r="H611" s="1">
        <v>5.7376976939023212</v>
      </c>
      <c r="I611" s="1">
        <v>0.13026304837211183</v>
      </c>
      <c r="K611" s="1">
        <v>0.99838617055821088</v>
      </c>
      <c r="L611" s="1">
        <v>7.1897315961320052</v>
      </c>
      <c r="M611" s="1">
        <v>0.10099440571979414</v>
      </c>
      <c r="O611" s="1">
        <v>7.4260912443683338E-3</v>
      </c>
      <c r="P611" s="1">
        <v>0.68983381224549201</v>
      </c>
      <c r="R611" s="1">
        <v>0.2794852541623567</v>
      </c>
      <c r="S611" s="2">
        <f t="shared" si="120"/>
        <v>1.3437441854013199</v>
      </c>
      <c r="T611" s="4">
        <f t="shared" si="121"/>
        <v>1.8056484357998568</v>
      </c>
      <c r="U611" s="1">
        <f t="shared" si="112"/>
        <v>1.1898636672325913</v>
      </c>
      <c r="V611" s="6">
        <f>2*sigma/alpha*corel*(B611/12-1/alpha*(1-EXP(-alpha*Output!B611/12)))</f>
        <v>3.5479227601144148</v>
      </c>
      <c r="W611" s="5">
        <f t="shared" si="122"/>
        <v>-0.61578476856726549</v>
      </c>
      <c r="X611" s="1">
        <f t="shared" si="123"/>
        <v>135.74470962519098</v>
      </c>
      <c r="Y611" s="3">
        <f t="shared" si="113"/>
        <v>8.1030304036911541E-2</v>
      </c>
      <c r="Z611" s="1">
        <f t="shared" si="114"/>
        <v>0.19003412513545331</v>
      </c>
      <c r="AA611" s="8">
        <f t="shared" si="119"/>
        <v>49.916666666666991</v>
      </c>
      <c r="AB611" s="1">
        <v>50</v>
      </c>
      <c r="AC611" s="1">
        <v>7.5514546260000001E-3</v>
      </c>
      <c r="AD611" s="8">
        <f t="shared" si="115"/>
        <v>1.2536338163166623</v>
      </c>
      <c r="AE611" s="3">
        <f t="shared" si="116"/>
        <v>1.6601222922009547E-2</v>
      </c>
      <c r="AF611" s="11">
        <f t="shared" si="117"/>
        <v>49.916666666666991</v>
      </c>
      <c r="AG611" s="1">
        <f t="shared" si="118"/>
        <v>0.19003412513545331</v>
      </c>
    </row>
    <row r="612" spans="2:33" ht="15" x14ac:dyDescent="0.25">
      <c r="B612" s="1">
        <v>601</v>
      </c>
      <c r="C612" s="1">
        <v>1.0010530073202608</v>
      </c>
      <c r="D612" s="1">
        <v>1.2362203516604711</v>
      </c>
      <c r="E612" s="1">
        <v>0.80759712858709665</v>
      </c>
      <c r="G612" s="1">
        <v>1.0002712187902216</v>
      </c>
      <c r="H612" s="1">
        <v>5.6250048881424641</v>
      </c>
      <c r="I612" s="1">
        <v>0.13280838434660802</v>
      </c>
      <c r="K612" s="1">
        <v>0.99818047055873571</v>
      </c>
      <c r="L612" s="1">
        <v>7.1097206821015124</v>
      </c>
      <c r="M612" s="1">
        <v>0.10207966002907405</v>
      </c>
      <c r="O612" s="1">
        <v>7.4268075882275107E-3</v>
      </c>
      <c r="P612" s="1">
        <v>0.68938231357035606</v>
      </c>
      <c r="R612" s="1">
        <v>0.27968328063569869</v>
      </c>
      <c r="S612" s="2">
        <f t="shared" si="120"/>
        <v>1.3456834334958365</v>
      </c>
      <c r="T612" s="4">
        <f t="shared" si="121"/>
        <v>1.8108639031851435</v>
      </c>
      <c r="U612" s="1">
        <f t="shared" si="112"/>
        <v>1.1937596816727885</v>
      </c>
      <c r="V612" s="6">
        <f>2*sigma/alpha*corel*(B612/12-1/alpha*(1-EXP(-alpha*Output!B612/12)))</f>
        <v>3.5569320312097963</v>
      </c>
      <c r="W612" s="5">
        <f t="shared" si="122"/>
        <v>-0.617104221512355</v>
      </c>
      <c r="X612" s="1">
        <f t="shared" si="123"/>
        <v>136.27831118428804</v>
      </c>
      <c r="Y612" s="3">
        <f t="shared" si="113"/>
        <v>8.1033924994561579E-2</v>
      </c>
      <c r="Z612" s="1">
        <f t="shared" si="114"/>
        <v>0.19014998388049703</v>
      </c>
      <c r="AA612" s="8">
        <f t="shared" si="119"/>
        <v>50.000000000000327</v>
      </c>
      <c r="AB612" s="1">
        <v>50.08</v>
      </c>
      <c r="AC612" s="1">
        <v>7.5512751939999997E-3</v>
      </c>
      <c r="AD612" s="8">
        <f t="shared" si="115"/>
        <v>1.244676057724891</v>
      </c>
      <c r="AE612" s="3">
        <f t="shared" si="116"/>
        <v>1.6482991623903081E-2</v>
      </c>
      <c r="AF612" s="11">
        <f t="shared" si="117"/>
        <v>50.000000000000327</v>
      </c>
      <c r="AG612" s="1">
        <f t="shared" si="118"/>
        <v>0.19014998388049703</v>
      </c>
    </row>
    <row r="613" spans="2:33" ht="15" x14ac:dyDescent="0.25">
      <c r="B613" s="1">
        <v>602</v>
      </c>
      <c r="C613" s="1">
        <v>1.0010519429596638</v>
      </c>
      <c r="D613" s="1">
        <v>1.2336016628007558</v>
      </c>
      <c r="E613" s="1">
        <v>0.8093088442138705</v>
      </c>
      <c r="G613" s="1">
        <v>1.0000804118730287</v>
      </c>
      <c r="H613" s="1">
        <v>5.512839256981926</v>
      </c>
      <c r="I613" s="1">
        <v>0.13544487116182191</v>
      </c>
      <c r="K613" s="1">
        <v>0.99789018603099522</v>
      </c>
      <c r="L613" s="1">
        <v>7.1888464804359966</v>
      </c>
      <c r="M613" s="1">
        <v>0.10090584710752527</v>
      </c>
      <c r="O613" s="1">
        <v>7.4275008248567125E-3</v>
      </c>
      <c r="P613" s="1">
        <v>0.68893182676884246</v>
      </c>
      <c r="R613" s="1">
        <v>0.27994425633106806</v>
      </c>
      <c r="S613" s="2">
        <f t="shared" si="120"/>
        <v>1.3478704565857413</v>
      </c>
      <c r="T613" s="4">
        <f t="shared" si="121"/>
        <v>1.8167547677366549</v>
      </c>
      <c r="U613" s="1">
        <f t="shared" si="112"/>
        <v>1.1976597478849791</v>
      </c>
      <c r="V613" s="6">
        <f>2*sigma/alpha*corel*(B613/12-1/alpha*(1-EXP(-alpha*Output!B613/12)))</f>
        <v>3.5659459858135638</v>
      </c>
      <c r="W613" s="5">
        <f t="shared" si="122"/>
        <v>-0.61909501985167581</v>
      </c>
      <c r="X613" s="1">
        <f t="shared" si="123"/>
        <v>136.94770475730948</v>
      </c>
      <c r="Y613" s="3">
        <f t="shared" si="113"/>
        <v>8.1094881424875281E-2</v>
      </c>
      <c r="Z613" s="1">
        <f t="shared" si="114"/>
        <v>0.19030076392969544</v>
      </c>
      <c r="AA613" s="8">
        <f t="shared" si="119"/>
        <v>50.083333333333663</v>
      </c>
      <c r="AB613" s="1">
        <v>50.17</v>
      </c>
      <c r="AC613" s="1">
        <v>7.5510963599999996E-3</v>
      </c>
      <c r="AD613" s="8">
        <f t="shared" si="115"/>
        <v>1.2359553514328709</v>
      </c>
      <c r="AE613" s="3">
        <f t="shared" si="116"/>
        <v>1.6367892720585954E-2</v>
      </c>
      <c r="AF613" s="11">
        <f t="shared" si="117"/>
        <v>50.083333333333663</v>
      </c>
      <c r="AG613" s="1">
        <f t="shared" si="118"/>
        <v>0.19030076392969544</v>
      </c>
    </row>
    <row r="614" spans="2:33" ht="15" x14ac:dyDescent="0.25">
      <c r="B614" s="1">
        <v>603</v>
      </c>
      <c r="C614" s="1">
        <v>1.001053542069692</v>
      </c>
      <c r="D614" s="1">
        <v>1.2335968005216522</v>
      </c>
      <c r="E614" s="1">
        <v>0.80930937790529645</v>
      </c>
      <c r="G614" s="1">
        <v>1.0000964316591441</v>
      </c>
      <c r="H614" s="1">
        <v>5.5126925328888721</v>
      </c>
      <c r="I614" s="1">
        <v>0.13538283906205431</v>
      </c>
      <c r="K614" s="1">
        <v>0.9979616464425195</v>
      </c>
      <c r="L614" s="1">
        <v>7.2101587654082833</v>
      </c>
      <c r="M614" s="1">
        <v>0.10055210549026766</v>
      </c>
      <c r="O614" s="1">
        <v>7.4281200517939405E-3</v>
      </c>
      <c r="P614" s="1">
        <v>0.68848411525636888</v>
      </c>
      <c r="R614" s="1">
        <v>0.28022986276254591</v>
      </c>
      <c r="S614" s="2">
        <f t="shared" si="120"/>
        <v>1.3501504479721083</v>
      </c>
      <c r="T614" s="4">
        <f t="shared" si="121"/>
        <v>1.8229062321592846</v>
      </c>
      <c r="U614" s="1">
        <f t="shared" si="112"/>
        <v>1.2015638544810288</v>
      </c>
      <c r="V614" s="6">
        <f>2*sigma/alpha*corel*(B614/12-1/alpha*(1-EXP(-alpha*Output!B614/12)))</f>
        <v>3.5749646083400153</v>
      </c>
      <c r="W614" s="5">
        <f t="shared" si="122"/>
        <v>-0.62134237767825584</v>
      </c>
      <c r="X614" s="1">
        <f t="shared" si="123"/>
        <v>137.67018986421311</v>
      </c>
      <c r="Y614" s="3">
        <f t="shared" si="113"/>
        <v>8.1177407634301799E-2</v>
      </c>
      <c r="Z614" s="1">
        <f t="shared" si="114"/>
        <v>0.19046453984532979</v>
      </c>
      <c r="AA614" s="8">
        <f t="shared" si="119"/>
        <v>50.166666666666998</v>
      </c>
      <c r="AB614" s="1">
        <v>50.25</v>
      </c>
      <c r="AC614" s="1">
        <v>7.5509181190000002E-3</v>
      </c>
      <c r="AD614" s="8">
        <f t="shared" si="115"/>
        <v>1.2279806720605964</v>
      </c>
      <c r="AE614" s="3">
        <f t="shared" si="116"/>
        <v>1.6262667038736515E-2</v>
      </c>
      <c r="AF614" s="11">
        <f t="shared" si="117"/>
        <v>50.166666666666998</v>
      </c>
      <c r="AG614" s="1">
        <f t="shared" si="118"/>
        <v>0.19046453984532979</v>
      </c>
    </row>
    <row r="615" spans="2:33" ht="15" x14ac:dyDescent="0.25">
      <c r="B615" s="1">
        <v>604</v>
      </c>
      <c r="C615" s="1">
        <v>1.0010556972176827</v>
      </c>
      <c r="D615" s="1">
        <v>1.2396057456083198</v>
      </c>
      <c r="E615" s="1">
        <v>0.80538363135762969</v>
      </c>
      <c r="G615" s="1">
        <v>1.0000880562929186</v>
      </c>
      <c r="H615" s="1">
        <v>5.7601099944608061</v>
      </c>
      <c r="I615" s="1">
        <v>0.12950487083856482</v>
      </c>
      <c r="K615" s="1">
        <v>0.99780586121102766</v>
      </c>
      <c r="L615" s="1">
        <v>7.0125108004282106</v>
      </c>
      <c r="M615" s="1">
        <v>0.10332986004675153</v>
      </c>
      <c r="O615" s="1">
        <v>7.4288536779671122E-3</v>
      </c>
      <c r="P615" s="1">
        <v>0.6880326619179542</v>
      </c>
      <c r="R615" s="1">
        <v>0.28045661388917564</v>
      </c>
      <c r="S615" s="2">
        <f t="shared" si="120"/>
        <v>1.3522111087573447</v>
      </c>
      <c r="T615" s="4">
        <f t="shared" si="121"/>
        <v>1.8284748826467676</v>
      </c>
      <c r="U615" s="1">
        <f t="shared" si="112"/>
        <v>1.2054719900967763</v>
      </c>
      <c r="V615" s="6">
        <f>2*sigma/alpha*corel*(B615/12-1/alpha*(1-EXP(-alpha*Output!B615/12)))</f>
        <v>3.583987883255312</v>
      </c>
      <c r="W615" s="5">
        <f t="shared" si="122"/>
        <v>-0.62300289254999131</v>
      </c>
      <c r="X615" s="1">
        <f t="shared" si="123"/>
        <v>138.27621818071916</v>
      </c>
      <c r="Y615" s="3">
        <f t="shared" si="113"/>
        <v>8.1209632357431741E-2</v>
      </c>
      <c r="Z615" s="1">
        <f t="shared" si="114"/>
        <v>0.19059726007808592</v>
      </c>
      <c r="AA615" s="8">
        <f t="shared" si="119"/>
        <v>50.250000000000334</v>
      </c>
      <c r="AB615" s="1">
        <v>50.33</v>
      </c>
      <c r="AC615" s="1">
        <v>7.5507404689999997E-3</v>
      </c>
      <c r="AD615" s="8">
        <f t="shared" si="115"/>
        <v>1.2188679103288751</v>
      </c>
      <c r="AE615" s="3">
        <f t="shared" si="116"/>
        <v>1.6142362664072585E-2</v>
      </c>
      <c r="AF615" s="11">
        <f t="shared" si="117"/>
        <v>50.250000000000334</v>
      </c>
      <c r="AG615" s="1">
        <f t="shared" si="118"/>
        <v>0.19059726007808592</v>
      </c>
    </row>
    <row r="616" spans="2:33" ht="15" x14ac:dyDescent="0.25">
      <c r="B616" s="1">
        <v>605</v>
      </c>
      <c r="C616" s="1">
        <v>1.0010609792774383</v>
      </c>
      <c r="D616" s="1">
        <v>1.2415875579046849</v>
      </c>
      <c r="E616" s="1">
        <v>0.80409543634907121</v>
      </c>
      <c r="G616" s="1">
        <v>1.0003877138090804</v>
      </c>
      <c r="H616" s="1">
        <v>5.8428006835869546</v>
      </c>
      <c r="I616" s="1">
        <v>0.12761017327259563</v>
      </c>
      <c r="K616" s="1">
        <v>0.99785309209751527</v>
      </c>
      <c r="L616" s="1">
        <v>7.0653890789309886</v>
      </c>
      <c r="M616" s="1">
        <v>0.10250068676986471</v>
      </c>
      <c r="O616" s="1">
        <v>7.4296566123848483E-3</v>
      </c>
      <c r="P616" s="1">
        <v>0.68757901793043974</v>
      </c>
      <c r="R616" s="1">
        <v>0.28061976813571571</v>
      </c>
      <c r="S616" s="2">
        <f t="shared" si="120"/>
        <v>1.3540290235202803</v>
      </c>
      <c r="T616" s="4">
        <f t="shared" si="121"/>
        <v>1.8333945965352838</v>
      </c>
      <c r="U616" s="1">
        <f t="shared" si="112"/>
        <v>1.2093841433920489</v>
      </c>
      <c r="V616" s="6">
        <f>2*sigma/alpha*corel*(B616/12-1/alpha*(1-EXP(-alpha*Output!B616/12)))</f>
        <v>3.5930157950773074</v>
      </c>
      <c r="W616" s="5">
        <f t="shared" si="122"/>
        <v>-0.62401045314323489</v>
      </c>
      <c r="X616" s="1">
        <f t="shared" si="123"/>
        <v>138.75187055422739</v>
      </c>
      <c r="Y616" s="3">
        <f t="shared" si="113"/>
        <v>8.1186273665948328E-2</v>
      </c>
      <c r="Z616" s="1">
        <f t="shared" si="114"/>
        <v>0.19069570394092861</v>
      </c>
      <c r="AA616" s="8">
        <f t="shared" si="119"/>
        <v>50.33333333333367</v>
      </c>
      <c r="AB616" s="1">
        <v>50.42</v>
      </c>
      <c r="AC616" s="1">
        <v>7.5505634079999998E-3</v>
      </c>
      <c r="AD616" s="8">
        <f t="shared" si="115"/>
        <v>1.209067956151515</v>
      </c>
      <c r="AE616" s="3">
        <f t="shared" si="116"/>
        <v>1.601295017098299E-2</v>
      </c>
      <c r="AF616" s="11">
        <f t="shared" si="117"/>
        <v>50.33333333333367</v>
      </c>
      <c r="AG616" s="1">
        <f t="shared" si="118"/>
        <v>0.19069570394092861</v>
      </c>
    </row>
    <row r="617" spans="2:33" ht="15" x14ac:dyDescent="0.25">
      <c r="B617" s="1">
        <v>606</v>
      </c>
      <c r="C617" s="1">
        <v>1.0010633716849715</v>
      </c>
      <c r="D617" s="1">
        <v>1.2474358978519429</v>
      </c>
      <c r="E617" s="1">
        <v>0.80032296460468355</v>
      </c>
      <c r="G617" s="1">
        <v>1.0004721806489916</v>
      </c>
      <c r="H617" s="1">
        <v>6.0917800475136747</v>
      </c>
      <c r="I617" s="1">
        <v>0.12233525838282745</v>
      </c>
      <c r="K617" s="1">
        <v>0.99792301582193343</v>
      </c>
      <c r="L617" s="1">
        <v>7.1284857778935091</v>
      </c>
      <c r="M617" s="1">
        <v>0.10154049341242793</v>
      </c>
      <c r="O617" s="1">
        <v>7.4305178273198266E-3</v>
      </c>
      <c r="P617" s="1">
        <v>0.68712355877170805</v>
      </c>
      <c r="R617" s="1">
        <v>0.28074276847985752</v>
      </c>
      <c r="S617" s="2">
        <f t="shared" si="120"/>
        <v>1.3556951949061273</v>
      </c>
      <c r="T617" s="4">
        <f t="shared" si="121"/>
        <v>1.8379094614915625</v>
      </c>
      <c r="U617" s="1">
        <f t="shared" si="112"/>
        <v>1.2133003030506742</v>
      </c>
      <c r="V617" s="6">
        <f>2*sigma/alpha*corel*(B617/12-1/alpha*(1-EXP(-alpha*Output!B617/12)))</f>
        <v>3.6020483283753801</v>
      </c>
      <c r="W617" s="5">
        <f t="shared" si="122"/>
        <v>-0.62460915844088838</v>
      </c>
      <c r="X617" s="1">
        <f t="shared" si="123"/>
        <v>139.14580216501133</v>
      </c>
      <c r="Y617" s="3">
        <f t="shared" si="113"/>
        <v>8.1128312501434069E-2</v>
      </c>
      <c r="Z617" s="1">
        <f t="shared" si="114"/>
        <v>0.19077276210772115</v>
      </c>
      <c r="AA617" s="8">
        <f t="shared" si="119"/>
        <v>50.416666666667005</v>
      </c>
      <c r="AB617" s="1">
        <v>50.5</v>
      </c>
      <c r="AC617" s="1">
        <v>7.5503869330000003E-3</v>
      </c>
      <c r="AD617" s="8">
        <f t="shared" si="115"/>
        <v>1.1986910568017368</v>
      </c>
      <c r="AE617" s="3">
        <f t="shared" si="116"/>
        <v>1.5875889109241453E-2</v>
      </c>
      <c r="AF617" s="11">
        <f t="shared" si="117"/>
        <v>50.416666666667005</v>
      </c>
      <c r="AG617" s="1">
        <f t="shared" si="118"/>
        <v>0.19077276210772115</v>
      </c>
    </row>
    <row r="618" spans="2:33" ht="15" x14ac:dyDescent="0.25">
      <c r="B618" s="1">
        <v>607</v>
      </c>
      <c r="C618" s="1">
        <v>1.0010651289506984</v>
      </c>
      <c r="D618" s="1">
        <v>1.2461022388866088</v>
      </c>
      <c r="E618" s="1">
        <v>0.8011768750198428</v>
      </c>
      <c r="G618" s="1">
        <v>1.0004633093270856</v>
      </c>
      <c r="H618" s="1">
        <v>6.0307038768877756</v>
      </c>
      <c r="I618" s="1">
        <v>0.12351432798436376</v>
      </c>
      <c r="K618" s="1">
        <v>0.9977725901532305</v>
      </c>
      <c r="L618" s="1">
        <v>7.1153157906828159</v>
      </c>
      <c r="M618" s="1">
        <v>0.10167185670514912</v>
      </c>
      <c r="O618" s="1">
        <v>7.4313653519767747E-3</v>
      </c>
      <c r="P618" s="1">
        <v>0.68666877827002581</v>
      </c>
      <c r="R618" s="1">
        <v>0.28091595215828402</v>
      </c>
      <c r="S618" s="2">
        <f t="shared" si="120"/>
        <v>1.3575602134117972</v>
      </c>
      <c r="T618" s="4">
        <f t="shared" si="121"/>
        <v>1.8429697330386845</v>
      </c>
      <c r="U618" s="1">
        <f t="shared" si="112"/>
        <v>1.2172204577804919</v>
      </c>
      <c r="V618" s="6">
        <f>2*sigma/alpha*corel*(B618/12-1/alpha*(1-EXP(-alpha*Output!B618/12)))</f>
        <v>3.6110854677702555</v>
      </c>
      <c r="W618" s="5">
        <f t="shared" si="122"/>
        <v>-0.62574927525819257</v>
      </c>
      <c r="X618" s="1">
        <f t="shared" si="123"/>
        <v>139.64987494944916</v>
      </c>
      <c r="Y618" s="3">
        <f t="shared" si="113"/>
        <v>8.1116336269070999E-2</v>
      </c>
      <c r="Z618" s="1">
        <f t="shared" si="114"/>
        <v>0.19087778159474411</v>
      </c>
      <c r="AA618" s="8">
        <f t="shared" si="119"/>
        <v>50.500000000000341</v>
      </c>
      <c r="AB618" s="1">
        <v>50.58</v>
      </c>
      <c r="AC618" s="1">
        <v>7.5502110389999997E-3</v>
      </c>
      <c r="AD618" s="8">
        <f t="shared" si="115"/>
        <v>1.18845687023225</v>
      </c>
      <c r="AE618" s="3">
        <f t="shared" si="116"/>
        <v>1.5740710611840819E-2</v>
      </c>
      <c r="AF618" s="11">
        <f t="shared" si="117"/>
        <v>50.500000000000341</v>
      </c>
      <c r="AG618" s="1">
        <f t="shared" si="118"/>
        <v>0.19087778159474411</v>
      </c>
    </row>
    <row r="619" spans="2:33" ht="15" x14ac:dyDescent="0.25">
      <c r="B619" s="1">
        <v>608</v>
      </c>
      <c r="C619" s="1">
        <v>1.0010626230067088</v>
      </c>
      <c r="D619" s="1">
        <v>1.2496397121203058</v>
      </c>
      <c r="E619" s="1">
        <v>0.798906263982743</v>
      </c>
      <c r="G619" s="1">
        <v>1.000163256862828</v>
      </c>
      <c r="H619" s="1">
        <v>6.1852234633897156</v>
      </c>
      <c r="I619" s="1">
        <v>0.12037032500113162</v>
      </c>
      <c r="K619" s="1">
        <v>0.99763676965612613</v>
      </c>
      <c r="L619" s="1">
        <v>7.2115875369582163</v>
      </c>
      <c r="M619" s="1">
        <v>0.10026545495226234</v>
      </c>
      <c r="O619" s="1">
        <v>7.4321978803906117E-3</v>
      </c>
      <c r="P619" s="1">
        <v>0.68621472323175259</v>
      </c>
      <c r="R619" s="1">
        <v>0.28093551727004806</v>
      </c>
      <c r="S619" s="2">
        <f t="shared" si="120"/>
        <v>1.3588172599502675</v>
      </c>
      <c r="T619" s="4">
        <f t="shared" si="121"/>
        <v>1.8463843459387528</v>
      </c>
      <c r="U619" s="1">
        <f t="shared" si="112"/>
        <v>1.2211445963133611</v>
      </c>
      <c r="V619" s="6">
        <f>2*sigma/alpha*corel*(B619/12-1/alpha*(1-EXP(-alpha*Output!B619/12)))</f>
        <v>3.6201271979338374</v>
      </c>
      <c r="W619" s="5">
        <f t="shared" si="122"/>
        <v>-0.62523974962539164</v>
      </c>
      <c r="X619" s="1">
        <f t="shared" si="123"/>
        <v>139.82057685329966</v>
      </c>
      <c r="Y619" s="3">
        <f t="shared" si="113"/>
        <v>8.0964946634713111E-2</v>
      </c>
      <c r="Z619" s="1">
        <f t="shared" si="114"/>
        <v>0.19089734493026023</v>
      </c>
      <c r="AA619" s="8">
        <f t="shared" si="119"/>
        <v>50.583333333333677</v>
      </c>
      <c r="AB619" s="1">
        <v>50.67</v>
      </c>
      <c r="AC619" s="1">
        <v>7.5500357259999998E-3</v>
      </c>
      <c r="AD619" s="8">
        <f t="shared" si="115"/>
        <v>1.1783784560938804</v>
      </c>
      <c r="AE619" s="3">
        <f t="shared" si="116"/>
        <v>1.5607587816252414E-2</v>
      </c>
      <c r="AF619" s="11">
        <f t="shared" si="117"/>
        <v>50.583333333333677</v>
      </c>
      <c r="AG619" s="1">
        <f t="shared" si="118"/>
        <v>0.19089734493026023</v>
      </c>
    </row>
    <row r="620" spans="2:33" ht="15" x14ac:dyDescent="0.25">
      <c r="B620" s="1">
        <v>609</v>
      </c>
      <c r="C620" s="1">
        <v>1.0010631353338941</v>
      </c>
      <c r="D620" s="1">
        <v>1.2518789920474909</v>
      </c>
      <c r="E620" s="1">
        <v>0.79747458894559153</v>
      </c>
      <c r="G620" s="1">
        <v>1.0000263665466642</v>
      </c>
      <c r="H620" s="1">
        <v>6.2812977245488666</v>
      </c>
      <c r="I620" s="1">
        <v>0.11847178476627465</v>
      </c>
      <c r="K620" s="1">
        <v>0.99754495219193551</v>
      </c>
      <c r="L620" s="1">
        <v>7.1297866864139028</v>
      </c>
      <c r="M620" s="1">
        <v>0.10135892935714814</v>
      </c>
      <c r="O620" s="1">
        <v>7.433135809985102E-3</v>
      </c>
      <c r="P620" s="1">
        <v>0.68575720508121807</v>
      </c>
      <c r="R620" s="1">
        <v>0.28118031583967107</v>
      </c>
      <c r="S620" s="2">
        <f t="shared" si="120"/>
        <v>1.3609775471698791</v>
      </c>
      <c r="T620" s="4">
        <f t="shared" si="121"/>
        <v>1.8522598839005404</v>
      </c>
      <c r="U620" s="1">
        <f t="shared" si="112"/>
        <v>1.2250727074051766</v>
      </c>
      <c r="V620" s="6">
        <f>2*sigma/alpha*corel*(B620/12-1/alpha*(1-EXP(-alpha*Output!B620/12)))</f>
        <v>3.6291735035890409</v>
      </c>
      <c r="W620" s="5">
        <f t="shared" si="122"/>
        <v>-0.62718717649536382</v>
      </c>
      <c r="X620" s="1">
        <f t="shared" si="123"/>
        <v>140.48989714771162</v>
      </c>
      <c r="Y620" s="3">
        <f t="shared" si="113"/>
        <v>8.1021378490412577E-2</v>
      </c>
      <c r="Z620" s="1">
        <f t="shared" si="114"/>
        <v>0.19104379524725137</v>
      </c>
      <c r="AA620" s="8">
        <f t="shared" si="119"/>
        <v>50.666666666667012</v>
      </c>
      <c r="AB620" s="1">
        <v>50.75</v>
      </c>
      <c r="AC620" s="1">
        <v>7.5498609890000002E-3</v>
      </c>
      <c r="AD620" s="8">
        <f t="shared" si="115"/>
        <v>1.1672517901489821</v>
      </c>
      <c r="AE620" s="3">
        <f t="shared" si="116"/>
        <v>1.5460573272138985E-2</v>
      </c>
      <c r="AF620" s="11">
        <f t="shared" si="117"/>
        <v>50.666666666667012</v>
      </c>
      <c r="AG620" s="1">
        <f t="shared" si="118"/>
        <v>0.19104379524725137</v>
      </c>
    </row>
    <row r="621" spans="2:33" ht="15" x14ac:dyDescent="0.25">
      <c r="B621" s="1">
        <v>610</v>
      </c>
      <c r="C621" s="1">
        <v>1.0010656379852565</v>
      </c>
      <c r="D621" s="1">
        <v>1.2518173846491396</v>
      </c>
      <c r="E621" s="1">
        <v>0.79751118869299786</v>
      </c>
      <c r="G621" s="1">
        <v>1.0001093707302375</v>
      </c>
      <c r="H621" s="1">
        <v>6.2800044443066776</v>
      </c>
      <c r="I621" s="1">
        <v>0.1184387565351455</v>
      </c>
      <c r="K621" s="1">
        <v>0.99749387309273196</v>
      </c>
      <c r="L621" s="1">
        <v>7.0084124507186463</v>
      </c>
      <c r="M621" s="1">
        <v>0.10305539734070805</v>
      </c>
      <c r="O621" s="1">
        <v>7.4341534122710513E-3</v>
      </c>
      <c r="P621" s="1">
        <v>0.68529710936495081</v>
      </c>
      <c r="R621" s="1">
        <v>0.28135212988357372</v>
      </c>
      <c r="S621" s="2">
        <f t="shared" si="120"/>
        <v>1.3628579001821162</v>
      </c>
      <c r="T621" s="4">
        <f t="shared" si="121"/>
        <v>1.857381656088807</v>
      </c>
      <c r="U621" s="1">
        <f t="shared" si="112"/>
        <v>1.2290047798358721</v>
      </c>
      <c r="V621" s="6">
        <f>2*sigma/alpha*corel*(B621/12-1/alpha*(1-EXP(-alpha*Output!B621/12)))</f>
        <v>3.6382243695096177</v>
      </c>
      <c r="W621" s="5">
        <f t="shared" si="122"/>
        <v>-0.62837687625293492</v>
      </c>
      <c r="X621" s="1">
        <f t="shared" si="123"/>
        <v>141.00664140099042</v>
      </c>
      <c r="Y621" s="3">
        <f t="shared" si="113"/>
        <v>8.1013744599987933E-2</v>
      </c>
      <c r="Z621" s="1">
        <f t="shared" si="114"/>
        <v>0.19115087111916565</v>
      </c>
      <c r="AA621" s="8">
        <f t="shared" si="119"/>
        <v>50.750000000000348</v>
      </c>
      <c r="AB621" s="1">
        <v>50.83</v>
      </c>
      <c r="AC621" s="1">
        <v>7.5496868260000001E-3</v>
      </c>
      <c r="AD621" s="8">
        <f t="shared" si="115"/>
        <v>1.1553341372894881</v>
      </c>
      <c r="AE621" s="3">
        <f t="shared" si="116"/>
        <v>1.5303073675992609E-2</v>
      </c>
      <c r="AF621" s="11">
        <f t="shared" si="117"/>
        <v>50.750000000000348</v>
      </c>
      <c r="AG621" s="1">
        <f t="shared" si="118"/>
        <v>0.19115087111916565</v>
      </c>
    </row>
    <row r="622" spans="2:33" ht="15" x14ac:dyDescent="0.25">
      <c r="B622" s="1">
        <v>611</v>
      </c>
      <c r="C622" s="1">
        <v>1.0010688339419802</v>
      </c>
      <c r="D622" s="1">
        <v>1.2495937656113127</v>
      </c>
      <c r="E622" s="1">
        <v>0.79892768174921569</v>
      </c>
      <c r="G622" s="1">
        <v>1.0002481596347652</v>
      </c>
      <c r="H622" s="1">
        <v>6.1767215028992437</v>
      </c>
      <c r="I622" s="1">
        <v>0.12036085054465631</v>
      </c>
      <c r="K622" s="1">
        <v>0.99749042933023113</v>
      </c>
      <c r="L622" s="1">
        <v>7.0645364560421386</v>
      </c>
      <c r="M622" s="1">
        <v>0.10218666198524259</v>
      </c>
      <c r="O622" s="1">
        <v>7.4352780039196389E-3</v>
      </c>
      <c r="P622" s="1">
        <v>0.68483347552338059</v>
      </c>
      <c r="R622" s="1">
        <v>0.28145524735482769</v>
      </c>
      <c r="S622" s="2">
        <f t="shared" si="120"/>
        <v>1.3644770245382605</v>
      </c>
      <c r="T622" s="4">
        <f t="shared" si="121"/>
        <v>1.8617975504927846</v>
      </c>
      <c r="U622" s="1">
        <f t="shared" si="112"/>
        <v>1.2329408024094333</v>
      </c>
      <c r="V622" s="6">
        <f>2*sigma/alpha*corel*(B622/12-1/alpha*(1-EXP(-alpha*Output!B622/12)))</f>
        <v>3.6472797805199897</v>
      </c>
      <c r="W622" s="5">
        <f t="shared" si="122"/>
        <v>-0.62885674808335135</v>
      </c>
      <c r="X622" s="1">
        <f t="shared" si="123"/>
        <v>141.37980749036581</v>
      </c>
      <c r="Y622" s="3">
        <f t="shared" si="113"/>
        <v>8.0946425514523523E-2</v>
      </c>
      <c r="Z622" s="1">
        <f t="shared" si="114"/>
        <v>0.19122129067236457</v>
      </c>
      <c r="AA622" s="8">
        <f t="shared" si="119"/>
        <v>50.833333333333684</v>
      </c>
      <c r="AB622" s="1">
        <v>50.92</v>
      </c>
      <c r="AC622" s="1">
        <v>7.5495132330000003E-3</v>
      </c>
      <c r="AD622" s="8">
        <f t="shared" si="115"/>
        <v>1.142352290803613</v>
      </c>
      <c r="AE622" s="3">
        <f t="shared" si="116"/>
        <v>1.5131469480843188E-2</v>
      </c>
      <c r="AF622" s="11">
        <f t="shared" si="117"/>
        <v>50.833333333333684</v>
      </c>
      <c r="AG622" s="1">
        <f t="shared" si="118"/>
        <v>0.19122129067236457</v>
      </c>
    </row>
    <row r="623" spans="2:33" ht="15" x14ac:dyDescent="0.25">
      <c r="B623" s="1">
        <v>612</v>
      </c>
      <c r="C623" s="1">
        <v>1.0010727767520884</v>
      </c>
      <c r="D623" s="1">
        <v>1.2494753611887799</v>
      </c>
      <c r="E623" s="1">
        <v>0.79900072951388679</v>
      </c>
      <c r="G623" s="1">
        <v>1.0004433462756608</v>
      </c>
      <c r="H623" s="1">
        <v>6.1695222558154361</v>
      </c>
      <c r="I623" s="1">
        <v>0.12044290152090346</v>
      </c>
      <c r="K623" s="1">
        <v>0.99762865567066594</v>
      </c>
      <c r="L623" s="1">
        <v>7.0193860827659789</v>
      </c>
      <c r="M623" s="1">
        <v>0.1027894452387129</v>
      </c>
      <c r="O623" s="1">
        <v>7.4364146038612515E-3</v>
      </c>
      <c r="P623" s="1">
        <v>0.68436960795404189</v>
      </c>
      <c r="R623" s="1">
        <v>0.28171663308964595</v>
      </c>
      <c r="S623" s="2">
        <f t="shared" si="120"/>
        <v>1.3667281114675662</v>
      </c>
      <c r="T623" s="4">
        <f t="shared" si="121"/>
        <v>1.8679457306757001</v>
      </c>
      <c r="U623" s="1">
        <f t="shared" si="112"/>
        <v>1.2368807639539052</v>
      </c>
      <c r="V623" s="6">
        <f>2*sigma/alpha*corel*(B623/12-1/alpha*(1-EXP(-alpha*Output!B623/12)))</f>
        <v>3.656339721495081</v>
      </c>
      <c r="W623" s="5">
        <f t="shared" si="122"/>
        <v>-0.63106496672179491</v>
      </c>
      <c r="X623" s="1">
        <f t="shared" si="123"/>
        <v>142.10607337022887</v>
      </c>
      <c r="Y623" s="3">
        <f t="shared" si="113"/>
        <v>8.1024367403949749E-2</v>
      </c>
      <c r="Z623" s="1">
        <f t="shared" si="114"/>
        <v>0.19138021547692466</v>
      </c>
      <c r="AA623" s="8">
        <f t="shared" si="119"/>
        <v>50.91666666666702</v>
      </c>
      <c r="AB623" s="1">
        <v>51</v>
      </c>
      <c r="AC623" s="1">
        <v>7.5493402099999999E-3</v>
      </c>
      <c r="AD623" s="8">
        <f t="shared" si="115"/>
        <v>1.129256061387484</v>
      </c>
      <c r="AE623" s="3">
        <f t="shared" si="116"/>
        <v>1.495834112617749E-2</v>
      </c>
      <c r="AF623" s="11">
        <f t="shared" si="117"/>
        <v>50.91666666666702</v>
      </c>
      <c r="AG623" s="1">
        <f t="shared" si="118"/>
        <v>0.19138021547692466</v>
      </c>
    </row>
    <row r="624" spans="2:33" ht="15" x14ac:dyDescent="0.25">
      <c r="B624" s="1">
        <v>613</v>
      </c>
      <c r="C624" s="1">
        <v>1.0010748651148678</v>
      </c>
      <c r="D624" s="1">
        <v>1.2451113834892409</v>
      </c>
      <c r="E624" s="1">
        <v>0.80179846305242397</v>
      </c>
      <c r="G624" s="1">
        <v>1.0004525611966795</v>
      </c>
      <c r="H624" s="1">
        <v>5.9747467108839434</v>
      </c>
      <c r="I624" s="1">
        <v>0.12430904200445098</v>
      </c>
      <c r="K624" s="1">
        <v>0.99785608153677441</v>
      </c>
      <c r="L624" s="1">
        <v>7.1842486142990092</v>
      </c>
      <c r="M624" s="1">
        <v>0.10037873481418728</v>
      </c>
      <c r="O624" s="1">
        <v>7.4375951717315378E-3</v>
      </c>
      <c r="P624" s="1">
        <v>0.68390438895747052</v>
      </c>
      <c r="R624" s="1">
        <v>0.28198276275510969</v>
      </c>
      <c r="S624" s="2">
        <f t="shared" si="120"/>
        <v>1.3690048861856627</v>
      </c>
      <c r="T624" s="4">
        <f t="shared" si="121"/>
        <v>1.8741743784002194</v>
      </c>
      <c r="U624" s="1">
        <f t="shared" si="112"/>
        <v>1.2408246533213974</v>
      </c>
      <c r="V624" s="6">
        <f>2*sigma/alpha*corel*(B624/12-1/alpha*(1-EXP(-alpha*Output!B624/12)))</f>
        <v>3.6654041773601471</v>
      </c>
      <c r="W624" s="5">
        <f t="shared" si="122"/>
        <v>-0.63334972507882203</v>
      </c>
      <c r="X624" s="1">
        <f t="shared" si="123"/>
        <v>142.8496482745152</v>
      </c>
      <c r="Y624" s="3">
        <f t="shared" si="113"/>
        <v>8.110833661650918E-2</v>
      </c>
      <c r="Z624" s="1">
        <f t="shared" si="114"/>
        <v>0.19154260252502511</v>
      </c>
      <c r="AA624" s="8">
        <f t="shared" si="119"/>
        <v>51.000000000000355</v>
      </c>
      <c r="AB624" s="1">
        <v>51.08</v>
      </c>
      <c r="AC624" s="1">
        <v>7.5491677509999999E-3</v>
      </c>
      <c r="AD624" s="8">
        <f t="shared" si="115"/>
        <v>1.1157257926846207</v>
      </c>
      <c r="AE624" s="3">
        <f t="shared" si="116"/>
        <v>1.4779454232379802E-2</v>
      </c>
      <c r="AF624" s="11">
        <f t="shared" si="117"/>
        <v>51.000000000000355</v>
      </c>
      <c r="AG624" s="1">
        <f t="shared" si="118"/>
        <v>0.19154260252502511</v>
      </c>
    </row>
    <row r="625" spans="2:33" ht="15" x14ac:dyDescent="0.25">
      <c r="B625" s="1">
        <v>614</v>
      </c>
      <c r="C625" s="1">
        <v>1.0010796676268208</v>
      </c>
      <c r="D625" s="1">
        <v>1.2493353206437154</v>
      </c>
      <c r="E625" s="1">
        <v>0.79908495459402573</v>
      </c>
      <c r="G625" s="1">
        <v>1.0007226086320542</v>
      </c>
      <c r="H625" s="1">
        <v>6.1612251680502288</v>
      </c>
      <c r="I625" s="1">
        <v>0.12048822596413188</v>
      </c>
      <c r="K625" s="1">
        <v>0.99792785537886841</v>
      </c>
      <c r="L625" s="1">
        <v>7.0363949172553326</v>
      </c>
      <c r="M625" s="1">
        <v>0.10243361285131103</v>
      </c>
      <c r="O625" s="1">
        <v>7.4388493637348625E-3</v>
      </c>
      <c r="P625" s="1">
        <v>0.68343677715128537</v>
      </c>
      <c r="R625" s="1">
        <v>0.2821821132866591</v>
      </c>
      <c r="S625" s="2">
        <f t="shared" si="120"/>
        <v>1.3710250844702119</v>
      </c>
      <c r="T625" s="4">
        <f t="shared" si="121"/>
        <v>1.8797097822465516</v>
      </c>
      <c r="U625" s="1">
        <f t="shared" si="112"/>
        <v>1.2447724593880944</v>
      </c>
      <c r="V625" s="6">
        <f>2*sigma/alpha*corel*(B625/12-1/alpha*(1-EXP(-alpha*Output!B625/12)))</f>
        <v>3.6744731330906086</v>
      </c>
      <c r="W625" s="5">
        <f t="shared" si="122"/>
        <v>-0.63493732285845716</v>
      </c>
      <c r="X625" s="1">
        <f t="shared" si="123"/>
        <v>143.45225821750228</v>
      </c>
      <c r="Y625" s="3">
        <f t="shared" si="113"/>
        <v>8.1133705684217156E-2</v>
      </c>
      <c r="Z625" s="1">
        <f t="shared" si="114"/>
        <v>0.19166898288862824</v>
      </c>
      <c r="AA625" s="8">
        <f t="shared" si="119"/>
        <v>51.083333333333691</v>
      </c>
      <c r="AB625" s="1">
        <v>51.17</v>
      </c>
      <c r="AC625" s="1">
        <v>7.5489958560000002E-3</v>
      </c>
      <c r="AD625" s="8">
        <f t="shared" si="115"/>
        <v>1.1014649226513771</v>
      </c>
      <c r="AE625" s="3">
        <f t="shared" si="116"/>
        <v>1.4590879948303643E-2</v>
      </c>
      <c r="AF625" s="11">
        <f t="shared" si="117"/>
        <v>51.083333333333691</v>
      </c>
      <c r="AG625" s="1">
        <f t="shared" si="118"/>
        <v>0.19166898288862824</v>
      </c>
    </row>
    <row r="626" spans="2:33" ht="15" x14ac:dyDescent="0.25">
      <c r="B626" s="1">
        <v>615</v>
      </c>
      <c r="C626" s="1">
        <v>1.0010859219334571</v>
      </c>
      <c r="D626" s="1">
        <v>1.2474543294197622</v>
      </c>
      <c r="E626" s="1">
        <v>0.80028718705491619</v>
      </c>
      <c r="G626" s="1">
        <v>1.0011171335241269</v>
      </c>
      <c r="H626" s="1">
        <v>6.0757483326534976</v>
      </c>
      <c r="I626" s="1">
        <v>0.12212410235146004</v>
      </c>
      <c r="K626" s="1">
        <v>0.99808463311979478</v>
      </c>
      <c r="L626" s="1">
        <v>6.9361273262643435</v>
      </c>
      <c r="M626" s="1">
        <v>0.10385273904348097</v>
      </c>
      <c r="O626" s="1">
        <v>7.440139246052955E-3</v>
      </c>
      <c r="P626" s="1">
        <v>0.6829680930692269</v>
      </c>
      <c r="R626" s="1">
        <v>0.2824362431547851</v>
      </c>
      <c r="S626" s="2">
        <f t="shared" si="120"/>
        <v>1.3732694545136679</v>
      </c>
      <c r="T626" s="4">
        <f t="shared" si="121"/>
        <v>1.8858689947002669</v>
      </c>
      <c r="U626" s="1">
        <f t="shared" si="112"/>
        <v>1.248724171054262</v>
      </c>
      <c r="V626" s="6">
        <f>2*sigma/alpha*corel*(B626/12-1/alpha*(1-EXP(-alpha*Output!B626/12)))</f>
        <v>3.683546573711888</v>
      </c>
      <c r="W626" s="5">
        <f t="shared" si="122"/>
        <v>-0.63714482364600489</v>
      </c>
      <c r="X626" s="1">
        <f t="shared" si="123"/>
        <v>144.18320420813558</v>
      </c>
      <c r="Y626" s="3">
        <f t="shared" si="113"/>
        <v>8.1210580571395713E-2</v>
      </c>
      <c r="Z626" s="1">
        <f t="shared" si="114"/>
        <v>0.19182659825746168</v>
      </c>
      <c r="AA626" s="8">
        <f t="shared" si="119"/>
        <v>51.166666666667027</v>
      </c>
      <c r="AB626" s="1">
        <v>51.25</v>
      </c>
      <c r="AC626" s="1">
        <v>7.5488245199999996E-3</v>
      </c>
      <c r="AD626" s="8">
        <f t="shared" si="115"/>
        <v>1.0868527394704459</v>
      </c>
      <c r="AE626" s="3">
        <f t="shared" si="116"/>
        <v>1.439764213078364E-2</v>
      </c>
      <c r="AF626" s="11">
        <f t="shared" si="117"/>
        <v>51.166666666667027</v>
      </c>
      <c r="AG626" s="1">
        <f t="shared" si="118"/>
        <v>0.19182659825746168</v>
      </c>
    </row>
    <row r="627" spans="2:33" ht="15" x14ac:dyDescent="0.25">
      <c r="B627" s="1">
        <v>616</v>
      </c>
      <c r="C627" s="1">
        <v>1.0010927258083921</v>
      </c>
      <c r="D627" s="1">
        <v>1.252748408550072</v>
      </c>
      <c r="E627" s="1">
        <v>0.79690252458270372</v>
      </c>
      <c r="G627" s="1">
        <v>1.0015805063791228</v>
      </c>
      <c r="H627" s="1">
        <v>6.309342551572068</v>
      </c>
      <c r="I627" s="1">
        <v>0.11754563923393017</v>
      </c>
      <c r="K627" s="1">
        <v>0.99814870641216413</v>
      </c>
      <c r="L627" s="1">
        <v>6.8526957438158309</v>
      </c>
      <c r="M627" s="1">
        <v>0.10506077832104246</v>
      </c>
      <c r="O627" s="1">
        <v>7.4414261729667582E-3</v>
      </c>
      <c r="P627" s="1">
        <v>0.68249968721764398</v>
      </c>
      <c r="R627" s="1">
        <v>0.28251045976079658</v>
      </c>
      <c r="S627" s="2">
        <f t="shared" si="120"/>
        <v>1.3747977133189691</v>
      </c>
      <c r="T627" s="4">
        <f t="shared" si="121"/>
        <v>1.8900687525470663</v>
      </c>
      <c r="U627" s="1">
        <f t="shared" si="112"/>
        <v>1.2526797772442495</v>
      </c>
      <c r="V627" s="6">
        <f>2*sigma/alpha*corel*(B627/12-1/alpha*(1-EXP(-alpha*Output!B627/12)))</f>
        <v>3.6926244842992366</v>
      </c>
      <c r="W627" s="5">
        <f t="shared" si="122"/>
        <v>-0.6373889753028168</v>
      </c>
      <c r="X627" s="1">
        <f t="shared" si="123"/>
        <v>144.51267851089125</v>
      </c>
      <c r="Y627" s="3">
        <f t="shared" si="113"/>
        <v>8.1123877995154997E-2</v>
      </c>
      <c r="Z627" s="1">
        <f t="shared" si="114"/>
        <v>0.19188413471028362</v>
      </c>
      <c r="AA627" s="8">
        <f t="shared" si="119"/>
        <v>51.250000000000362</v>
      </c>
      <c r="AB627" s="1">
        <v>51.33</v>
      </c>
      <c r="AC627" s="1">
        <v>7.5486537420000003E-3</v>
      </c>
      <c r="AD627" s="8">
        <f t="shared" si="115"/>
        <v>1.0722756903324207</v>
      </c>
      <c r="AE627" s="3">
        <f t="shared" si="116"/>
        <v>1.4204859925769009E-2</v>
      </c>
      <c r="AF627" s="11">
        <f t="shared" si="117"/>
        <v>51.250000000000362</v>
      </c>
      <c r="AG627" s="1">
        <f t="shared" si="118"/>
        <v>0.19188413471028362</v>
      </c>
    </row>
    <row r="628" spans="2:33" ht="15" x14ac:dyDescent="0.25">
      <c r="B628" s="1">
        <v>617</v>
      </c>
      <c r="C628" s="1">
        <v>1.0010965242347416</v>
      </c>
      <c r="D628" s="1">
        <v>1.2494540216985743</v>
      </c>
      <c r="E628" s="1">
        <v>0.79900100342036406</v>
      </c>
      <c r="G628" s="1">
        <v>1.0017504923725158</v>
      </c>
      <c r="H628" s="1">
        <v>6.1585847247168415</v>
      </c>
      <c r="I628" s="1">
        <v>0.12036471030345813</v>
      </c>
      <c r="K628" s="1">
        <v>0.99793460542473511</v>
      </c>
      <c r="L628" s="1">
        <v>6.625086269937972</v>
      </c>
      <c r="M628" s="1">
        <v>0.10861261085250713</v>
      </c>
      <c r="O628" s="1">
        <v>7.4428003594493534E-3</v>
      </c>
      <c r="P628" s="1">
        <v>0.68202839633654944</v>
      </c>
      <c r="R628" s="1">
        <v>0.28257510936521274</v>
      </c>
      <c r="S628" s="2">
        <f t="shared" si="120"/>
        <v>1.3762971318708102</v>
      </c>
      <c r="T628" s="4">
        <f t="shared" si="121"/>
        <v>1.8941937951958181</v>
      </c>
      <c r="U628" s="1">
        <f t="shared" si="112"/>
        <v>1.2566392669064963</v>
      </c>
      <c r="V628" s="6">
        <f>2*sigma/alpha*corel*(B628/12-1/alpha*(1-EXP(-alpha*Output!B628/12)))</f>
        <v>3.7017068499775716</v>
      </c>
      <c r="W628" s="5">
        <f t="shared" si="122"/>
        <v>-0.6375545282893218</v>
      </c>
      <c r="X628" s="1">
        <f t="shared" si="123"/>
        <v>144.82634825467471</v>
      </c>
      <c r="Y628" s="3">
        <f t="shared" si="113"/>
        <v>8.1030875907059846E-2</v>
      </c>
      <c r="Z628" s="1">
        <f t="shared" si="114"/>
        <v>0.19193768210687678</v>
      </c>
      <c r="AA628" s="8">
        <f t="shared" si="119"/>
        <v>51.333333333333698</v>
      </c>
      <c r="AB628" s="1">
        <v>51.42</v>
      </c>
      <c r="AC628" s="1">
        <v>7.5484835179999996E-3</v>
      </c>
      <c r="AD628" s="8">
        <f t="shared" si="115"/>
        <v>1.0568315855064621</v>
      </c>
      <c r="AE628" s="3">
        <f t="shared" si="116"/>
        <v>1.4000581480854498E-2</v>
      </c>
      <c r="AF628" s="11">
        <f t="shared" si="117"/>
        <v>51.333333333333698</v>
      </c>
      <c r="AG628" s="1">
        <f t="shared" si="118"/>
        <v>0.19193768210687678</v>
      </c>
    </row>
    <row r="629" spans="2:33" ht="15" x14ac:dyDescent="0.25">
      <c r="B629" s="1">
        <v>618</v>
      </c>
      <c r="C629" s="1">
        <v>1.0010962586077257</v>
      </c>
      <c r="D629" s="1">
        <v>1.2560992946209815</v>
      </c>
      <c r="E629" s="1">
        <v>0.79477129146858017</v>
      </c>
      <c r="G629" s="1">
        <v>1.001634472365567</v>
      </c>
      <c r="H629" s="1">
        <v>6.4541884039689359</v>
      </c>
      <c r="I629" s="1">
        <v>0.11479630793005922</v>
      </c>
      <c r="K629" s="1">
        <v>0.99803387585700254</v>
      </c>
      <c r="L629" s="1">
        <v>6.6579294302747325</v>
      </c>
      <c r="M629" s="1">
        <v>0.10802037080448894</v>
      </c>
      <c r="O629" s="1">
        <v>7.4441651915610751E-3</v>
      </c>
      <c r="P629" s="1">
        <v>0.68155760314151348</v>
      </c>
      <c r="R629" s="1">
        <v>0.28274431709384346</v>
      </c>
      <c r="S629" s="2">
        <f t="shared" si="120"/>
        <v>1.3782153914187087</v>
      </c>
      <c r="T629" s="4">
        <f t="shared" si="121"/>
        <v>1.8994776651434246</v>
      </c>
      <c r="U629" s="1">
        <f t="shared" si="112"/>
        <v>1.2606026290135417</v>
      </c>
      <c r="V629" s="6">
        <f>2*sigma/alpha*corel*(B629/12-1/alpha*(1-EXP(-alpha*Output!B629/12)))</f>
        <v>3.7107936559213148</v>
      </c>
      <c r="W629" s="5">
        <f t="shared" si="122"/>
        <v>-0.63887503612988294</v>
      </c>
      <c r="X629" s="1">
        <f t="shared" si="123"/>
        <v>145.37824699958179</v>
      </c>
      <c r="Y629" s="3">
        <f t="shared" si="113"/>
        <v>8.1033947043001403E-2</v>
      </c>
      <c r="Z629" s="1">
        <f t="shared" si="114"/>
        <v>0.19204963280125173</v>
      </c>
      <c r="AA629" s="8">
        <f t="shared" si="119"/>
        <v>51.416666666667034</v>
      </c>
      <c r="AB629" s="1">
        <v>51.5</v>
      </c>
      <c r="AC629" s="1">
        <v>7.5483138449999997E-3</v>
      </c>
      <c r="AD629" s="8">
        <f t="shared" si="115"/>
        <v>1.0414865343892459</v>
      </c>
      <c r="AE629" s="3">
        <f t="shared" si="116"/>
        <v>1.3797605078107955E-2</v>
      </c>
      <c r="AF629" s="11">
        <f t="shared" si="117"/>
        <v>51.416666666667034</v>
      </c>
      <c r="AG629" s="1">
        <f t="shared" si="118"/>
        <v>0.19204963280125173</v>
      </c>
    </row>
    <row r="630" spans="2:33" ht="15" x14ac:dyDescent="0.25">
      <c r="B630" s="1">
        <v>619</v>
      </c>
      <c r="C630" s="1">
        <v>1.0010929916861795</v>
      </c>
      <c r="D630" s="1">
        <v>1.2556165562391155</v>
      </c>
      <c r="E630" s="1">
        <v>0.79507417389078605</v>
      </c>
      <c r="G630" s="1">
        <v>1.0012815296837361</v>
      </c>
      <c r="H630" s="1">
        <v>6.4269883380642563</v>
      </c>
      <c r="I630" s="1">
        <v>0.1152262716955631</v>
      </c>
      <c r="K630" s="1">
        <v>0.99806450750203557</v>
      </c>
      <c r="L630" s="1">
        <v>6.5701852119521122</v>
      </c>
      <c r="M630" s="1">
        <v>0.10940974485162541</v>
      </c>
      <c r="O630" s="1">
        <v>7.4455182707247308E-3</v>
      </c>
      <c r="P630" s="1">
        <v>0.68108739291252962</v>
      </c>
      <c r="R630" s="1">
        <v>0.28283414370363164</v>
      </c>
      <c r="S630" s="2">
        <f t="shared" si="120"/>
        <v>1.3798167037178859</v>
      </c>
      <c r="T630" s="4">
        <f t="shared" si="121"/>
        <v>1.9038941358588921</v>
      </c>
      <c r="U630" s="1">
        <f t="shared" si="112"/>
        <v>1.2645698525620208</v>
      </c>
      <c r="V630" s="6">
        <f>2*sigma/alpha*corel*(B630/12-1/alpha*(1-EXP(-alpha*Output!B630/12)))</f>
        <v>3.7198848873542216</v>
      </c>
      <c r="W630" s="5">
        <f t="shared" si="122"/>
        <v>-0.6393242832968713</v>
      </c>
      <c r="X630" s="1">
        <f t="shared" si="123"/>
        <v>145.7514540287541</v>
      </c>
      <c r="Y630" s="3">
        <f t="shared" si="113"/>
        <v>8.0964831662648604E-2</v>
      </c>
      <c r="Z630" s="1">
        <f t="shared" si="114"/>
        <v>0.19211739826934318</v>
      </c>
      <c r="AA630" s="8">
        <f t="shared" si="119"/>
        <v>51.500000000000369</v>
      </c>
      <c r="AB630" s="1">
        <v>51.58</v>
      </c>
      <c r="AC630" s="1">
        <v>7.5481447220000003E-3</v>
      </c>
      <c r="AD630" s="8">
        <f t="shared" si="115"/>
        <v>1.0262645127526953</v>
      </c>
      <c r="AE630" s="3">
        <f t="shared" si="116"/>
        <v>1.359624848953307E-2</v>
      </c>
      <c r="AF630" s="11">
        <f t="shared" si="117"/>
        <v>51.500000000000369</v>
      </c>
      <c r="AG630" s="1">
        <f t="shared" si="118"/>
        <v>0.19211739826934318</v>
      </c>
    </row>
    <row r="631" spans="2:33" ht="15" x14ac:dyDescent="0.25">
      <c r="B631" s="1">
        <v>620</v>
      </c>
      <c r="C631" s="1">
        <v>1.0010948719584229</v>
      </c>
      <c r="D631" s="1">
        <v>1.2577830631844555</v>
      </c>
      <c r="E631" s="1">
        <v>0.79370199555437526</v>
      </c>
      <c r="G631" s="1">
        <v>1.0013463662060329</v>
      </c>
      <c r="H631" s="1">
        <v>6.5248144046489855</v>
      </c>
      <c r="I631" s="1">
        <v>0.1134436833421742</v>
      </c>
      <c r="K631" s="1">
        <v>0.99818789124428742</v>
      </c>
      <c r="L631" s="1">
        <v>6.5601571555125151</v>
      </c>
      <c r="M631" s="1">
        <v>0.10951834287149748</v>
      </c>
      <c r="O631" s="1">
        <v>7.4468240987670842E-3</v>
      </c>
      <c r="P631" s="1">
        <v>0.680619015194456</v>
      </c>
      <c r="R631" s="1">
        <v>0.28315200962632592</v>
      </c>
      <c r="S631" s="2">
        <f t="shared" si="120"/>
        <v>1.382329536144266</v>
      </c>
      <c r="T631" s="4">
        <f t="shared" si="121"/>
        <v>1.9108349464968217</v>
      </c>
      <c r="U631" s="1">
        <f t="shared" si="112"/>
        <v>1.268540926572673</v>
      </c>
      <c r="V631" s="6">
        <f>2*sigma/alpha*corel*(B631/12-1/alpha*(1-EXP(-alpha*Output!B631/12)))</f>
        <v>3.7289805295492191</v>
      </c>
      <c r="W631" s="5">
        <f t="shared" si="122"/>
        <v>-0.6422940199241487</v>
      </c>
      <c r="X631" s="1">
        <f t="shared" si="123"/>
        <v>146.64605990741455</v>
      </c>
      <c r="Y631" s="3">
        <f t="shared" si="113"/>
        <v>8.1104226613384803E-2</v>
      </c>
      <c r="Z631" s="1">
        <f t="shared" si="114"/>
        <v>0.19231199180046227</v>
      </c>
      <c r="AA631" s="8">
        <f t="shared" si="119"/>
        <v>51.583333333333705</v>
      </c>
      <c r="AB631" s="1">
        <v>51.67</v>
      </c>
      <c r="AC631" s="1">
        <v>7.5479761459999999E-3</v>
      </c>
      <c r="AD631" s="8">
        <f t="shared" si="115"/>
        <v>1.0115204723291569</v>
      </c>
      <c r="AE631" s="3">
        <f t="shared" si="116"/>
        <v>1.3401214481383934E-2</v>
      </c>
      <c r="AF631" s="11">
        <f t="shared" si="117"/>
        <v>51.583333333333705</v>
      </c>
      <c r="AG631" s="1">
        <f t="shared" si="118"/>
        <v>0.19231199180046227</v>
      </c>
    </row>
    <row r="632" spans="2:33" ht="15" x14ac:dyDescent="0.25">
      <c r="B632" s="1">
        <v>621</v>
      </c>
      <c r="C632" s="1">
        <v>1.001098244284331</v>
      </c>
      <c r="D632" s="1">
        <v>1.2640753045623265</v>
      </c>
      <c r="E632" s="1">
        <v>0.78974848251815599</v>
      </c>
      <c r="G632" s="1">
        <v>1.0015446022259704</v>
      </c>
      <c r="H632" s="1">
        <v>6.8240773934967791</v>
      </c>
      <c r="I632" s="1">
        <v>0.10841615391363237</v>
      </c>
      <c r="K632" s="1">
        <v>0.99825064633378346</v>
      </c>
      <c r="L632" s="1">
        <v>6.675071440170381</v>
      </c>
      <c r="M632" s="1">
        <v>0.10757505085711225</v>
      </c>
      <c r="O632" s="1">
        <v>7.4481922652997624E-3</v>
      </c>
      <c r="P632" s="1">
        <v>0.68014861737441734</v>
      </c>
      <c r="R632" s="1">
        <v>0.28318221241337366</v>
      </c>
      <c r="S632" s="2">
        <f t="shared" si="120"/>
        <v>1.3836967731296077</v>
      </c>
      <c r="T632" s="4">
        <f t="shared" si="121"/>
        <v>1.9146167599692892</v>
      </c>
      <c r="U632" s="1">
        <f t="shared" si="112"/>
        <v>1.2725158400903465</v>
      </c>
      <c r="V632" s="6">
        <f>2*sigma/alpha*corel*(B632/12-1/alpha*(1-EXP(-alpha*Output!B632/12)))</f>
        <v>3.7380805678282463</v>
      </c>
      <c r="W632" s="5">
        <f t="shared" si="122"/>
        <v>-0.64210091987894269</v>
      </c>
      <c r="X632" s="1">
        <f t="shared" si="123"/>
        <v>146.8881367465163</v>
      </c>
      <c r="Y632" s="3">
        <f t="shared" si="113"/>
        <v>8.0982232312780136E-2</v>
      </c>
      <c r="Z632" s="1">
        <f t="shared" si="114"/>
        <v>0.19234714792119018</v>
      </c>
      <c r="AA632" s="8">
        <f t="shared" si="119"/>
        <v>51.666666666667041</v>
      </c>
      <c r="AB632" s="1">
        <v>51.75</v>
      </c>
      <c r="AC632" s="1">
        <v>7.5478081129999996E-3</v>
      </c>
      <c r="AD632" s="8">
        <f t="shared" si="115"/>
        <v>0.99615847700237214</v>
      </c>
      <c r="AE632" s="3">
        <f t="shared" si="116"/>
        <v>1.3197983601181306E-2</v>
      </c>
      <c r="AF632" s="11">
        <f t="shared" si="117"/>
        <v>51.666666666667041</v>
      </c>
      <c r="AG632" s="1">
        <f t="shared" si="118"/>
        <v>0.19234714792119018</v>
      </c>
    </row>
    <row r="633" spans="2:33" ht="15" x14ac:dyDescent="0.25">
      <c r="B633" s="1">
        <v>622</v>
      </c>
      <c r="C633" s="1">
        <v>1.0011025062432293</v>
      </c>
      <c r="D633" s="1">
        <v>1.2639305542818811</v>
      </c>
      <c r="E633" s="1">
        <v>0.78983625386867495</v>
      </c>
      <c r="G633" s="1">
        <v>1.0017573843464325</v>
      </c>
      <c r="H633" s="1">
        <v>6.8169025859657202</v>
      </c>
      <c r="I633" s="1">
        <v>0.10847766000779406</v>
      </c>
      <c r="K633" s="1">
        <v>0.99870486305195616</v>
      </c>
      <c r="L633" s="1">
        <v>6.8370542618997776</v>
      </c>
      <c r="M633" s="1">
        <v>0.10497020698648284</v>
      </c>
      <c r="O633" s="1">
        <v>7.4496841369146583E-3</v>
      </c>
      <c r="P633" s="1">
        <v>0.67967403156032946</v>
      </c>
      <c r="R633" s="1">
        <v>0.28326338572799353</v>
      </c>
      <c r="S633" s="2">
        <f t="shared" si="120"/>
        <v>1.3852814299392537</v>
      </c>
      <c r="T633" s="4">
        <f t="shared" si="121"/>
        <v>1.9190046401345435</v>
      </c>
      <c r="U633" s="1">
        <f t="shared" ref="U633:U696" si="124">sigma*sigma/alpha/alpha*(B633/12+2/alpha*EXP(-alpha*B633/12)-1/2/alpha*EXP(-2*alpha*B633/12)-3/2/alpha)</f>
        <v>1.2764945821839939</v>
      </c>
      <c r="V633" s="6">
        <f>2*sigma/alpha*corel*(B633/12-1/alpha*(1-EXP(-alpha*Output!B633/12)))</f>
        <v>3.7471849875620835</v>
      </c>
      <c r="W633" s="5">
        <f t="shared" si="122"/>
        <v>-0.64251005795054961</v>
      </c>
      <c r="X633" s="1">
        <f t="shared" si="123"/>
        <v>147.25514734609126</v>
      </c>
      <c r="Y633" s="3">
        <f t="shared" si="113"/>
        <v>8.0910175589679931E-2</v>
      </c>
      <c r="Z633" s="1">
        <f t="shared" si="114"/>
        <v>0.19241257120797953</v>
      </c>
      <c r="AA633" s="8">
        <f t="shared" si="119"/>
        <v>51.750000000000377</v>
      </c>
      <c r="AB633" s="1">
        <v>51.83</v>
      </c>
      <c r="AC633" s="1">
        <v>7.5476406219999997E-3</v>
      </c>
      <c r="AD633" s="8">
        <f t="shared" si="115"/>
        <v>0.97956485085341427</v>
      </c>
      <c r="AE633" s="3">
        <f t="shared" si="116"/>
        <v>1.297842464833528E-2</v>
      </c>
      <c r="AF633" s="11">
        <f t="shared" si="117"/>
        <v>51.750000000000377</v>
      </c>
      <c r="AG633" s="1">
        <f t="shared" si="118"/>
        <v>0.19241257120797953</v>
      </c>
    </row>
    <row r="634" spans="2:33" ht="15" x14ac:dyDescent="0.25">
      <c r="B634" s="1">
        <v>623</v>
      </c>
      <c r="C634" s="1">
        <v>1.0010994836265377</v>
      </c>
      <c r="D634" s="1">
        <v>1.2644913887406495</v>
      </c>
      <c r="E634" s="1">
        <v>0.78948326468198204</v>
      </c>
      <c r="G634" s="1">
        <v>1.0014151660139279</v>
      </c>
      <c r="H634" s="1">
        <v>6.8441891026565207</v>
      </c>
      <c r="I634" s="1">
        <v>0.10799281209978015</v>
      </c>
      <c r="K634" s="1">
        <v>0.99879624779377729</v>
      </c>
      <c r="L634" s="1">
        <v>6.9680997425110993</v>
      </c>
      <c r="M634" s="1">
        <v>0.1029426159321956</v>
      </c>
      <c r="O634" s="1">
        <v>7.451209334075292E-3</v>
      </c>
      <c r="P634" s="1">
        <v>0.67919843290012338</v>
      </c>
      <c r="R634" s="1">
        <v>0.28348491002567311</v>
      </c>
      <c r="S634" s="2">
        <f t="shared" si="120"/>
        <v>1.3874351943945882</v>
      </c>
      <c r="T634" s="4">
        <f t="shared" si="121"/>
        <v>1.9249764186447487</v>
      </c>
      <c r="U634" s="1">
        <f t="shared" si="124"/>
        <v>1.2804771419466801</v>
      </c>
      <c r="V634" s="6">
        <f>2*sigma/alpha*corel*(B634/12-1/alpha*(1-EXP(-alpha*Output!B634/12)))</f>
        <v>3.7562937741701954</v>
      </c>
      <c r="W634" s="5">
        <f t="shared" si="122"/>
        <v>-0.64449927669806861</v>
      </c>
      <c r="X634" s="1">
        <f t="shared" si="123"/>
        <v>147.95075937883536</v>
      </c>
      <c r="Y634" s="3">
        <f t="shared" si="113"/>
        <v>8.0968288998430005E-2</v>
      </c>
      <c r="Z634" s="1">
        <f t="shared" si="114"/>
        <v>0.192556997976918</v>
      </c>
      <c r="AA634" s="8">
        <f t="shared" si="119"/>
        <v>51.833333333333712</v>
      </c>
      <c r="AB634" s="1">
        <v>51.92</v>
      </c>
      <c r="AC634" s="1">
        <v>7.5474736690000002E-3</v>
      </c>
      <c r="AD634" s="8">
        <f t="shared" si="115"/>
        <v>0.96264334924708184</v>
      </c>
      <c r="AE634" s="3">
        <f t="shared" si="116"/>
        <v>1.2754510866344326E-2</v>
      </c>
      <c r="AF634" s="11">
        <f t="shared" si="117"/>
        <v>51.833333333333712</v>
      </c>
      <c r="AG634" s="1">
        <f t="shared" si="118"/>
        <v>0.192556997976918</v>
      </c>
    </row>
    <row r="635" spans="2:33" ht="15" x14ac:dyDescent="0.25">
      <c r="B635" s="1">
        <v>624</v>
      </c>
      <c r="C635" s="1">
        <v>1.0010966505315388</v>
      </c>
      <c r="D635" s="1">
        <v>1.2661798230907884</v>
      </c>
      <c r="E635" s="1">
        <v>0.78842782189876726</v>
      </c>
      <c r="G635" s="1">
        <v>1.0010164729186153</v>
      </c>
      <c r="H635" s="1">
        <v>6.9263568569522249</v>
      </c>
      <c r="I635" s="1">
        <v>0.10665996570567134</v>
      </c>
      <c r="K635" s="1">
        <v>0.99919033946850944</v>
      </c>
      <c r="L635" s="1">
        <v>6.9760694961117515</v>
      </c>
      <c r="M635" s="1">
        <v>0.10276946310059754</v>
      </c>
      <c r="O635" s="1">
        <v>7.4526470460803277E-3</v>
      </c>
      <c r="P635" s="1">
        <v>0.67872608217946029</v>
      </c>
      <c r="R635" s="1">
        <v>0.28364267721038666</v>
      </c>
      <c r="S635" s="2">
        <f t="shared" si="120"/>
        <v>1.3893266983633474</v>
      </c>
      <c r="T635" s="4">
        <f t="shared" si="121"/>
        <v>1.9302286747851998</v>
      </c>
      <c r="U635" s="1">
        <f t="shared" si="124"/>
        <v>1.2844635084955831</v>
      </c>
      <c r="V635" s="6">
        <f>2*sigma/alpha*corel*(B635/12-1/alpha*(1-EXP(-alpha*Output!B635/12)))</f>
        <v>3.7654069131205703</v>
      </c>
      <c r="W635" s="5">
        <f t="shared" si="122"/>
        <v>-0.64576516628961667</v>
      </c>
      <c r="X635" s="1">
        <f t="shared" si="123"/>
        <v>148.49744380961644</v>
      </c>
      <c r="Y635" s="3">
        <f t="shared" si="113"/>
        <v>8.0966786650194023E-2</v>
      </c>
      <c r="Z635" s="1">
        <f t="shared" si="114"/>
        <v>0.19266494805077464</v>
      </c>
      <c r="AA635" s="8">
        <f t="shared" si="119"/>
        <v>51.916666666667048</v>
      </c>
      <c r="AB635" s="1">
        <v>52</v>
      </c>
      <c r="AC635" s="1">
        <v>7.5473072520000004E-3</v>
      </c>
      <c r="AD635" s="8">
        <f t="shared" si="115"/>
        <v>0.94660205919672691</v>
      </c>
      <c r="AE635" s="3">
        <f t="shared" si="116"/>
        <v>1.2542248878841946E-2</v>
      </c>
      <c r="AF635" s="11">
        <f t="shared" si="117"/>
        <v>51.916666666667048</v>
      </c>
      <c r="AG635" s="1">
        <f t="shared" si="118"/>
        <v>0.19266494805077464</v>
      </c>
    </row>
    <row r="636" spans="2:33" ht="15" x14ac:dyDescent="0.25">
      <c r="B636" s="1">
        <v>625</v>
      </c>
      <c r="C636" s="1">
        <v>1.0010943459604227</v>
      </c>
      <c r="D636" s="1">
        <v>1.2674411356670123</v>
      </c>
      <c r="E636" s="1">
        <v>0.78764052736097734</v>
      </c>
      <c r="G636" s="1">
        <v>1.0006815980280148</v>
      </c>
      <c r="H636" s="1">
        <v>6.9843707568468281</v>
      </c>
      <c r="I636" s="1">
        <v>0.10572275406040872</v>
      </c>
      <c r="K636" s="1">
        <v>0.99898700686024811</v>
      </c>
      <c r="L636" s="1">
        <v>6.8770439650444803</v>
      </c>
      <c r="M636" s="1">
        <v>0.10419333503332354</v>
      </c>
      <c r="O636" s="1">
        <v>7.4541046426320557E-3</v>
      </c>
      <c r="P636" s="1">
        <v>0.67825319499865966</v>
      </c>
      <c r="R636" s="1">
        <v>0.28382408672018677</v>
      </c>
      <c r="S636" s="2">
        <f t="shared" si="120"/>
        <v>1.3913174694638928</v>
      </c>
      <c r="T636" s="4">
        <f t="shared" si="121"/>
        <v>1.9357643008354102</v>
      </c>
      <c r="U636" s="1">
        <f t="shared" si="124"/>
        <v>1.2884536709719918</v>
      </c>
      <c r="V636" s="6">
        <f>2*sigma/alpha*corel*(B636/12-1/alpha*(1-EXP(-alpha*Output!B636/12)))</f>
        <v>3.7745243899295513</v>
      </c>
      <c r="W636" s="5">
        <f t="shared" si="122"/>
        <v>-0.64731062986341836</v>
      </c>
      <c r="X636" s="1">
        <f t="shared" si="123"/>
        <v>149.10341559171854</v>
      </c>
      <c r="Y636" s="3">
        <f t="shared" si="113"/>
        <v>8.0988158963750029E-2</v>
      </c>
      <c r="Z636" s="1">
        <f t="shared" si="114"/>
        <v>0.1927866037255698</v>
      </c>
      <c r="AA636" s="8">
        <f t="shared" si="119"/>
        <v>52.000000000000384</v>
      </c>
      <c r="AB636" s="1">
        <v>52.08</v>
      </c>
      <c r="AC636" s="1">
        <v>7.5471413679999997E-3</v>
      </c>
      <c r="AD636" s="8">
        <f t="shared" si="115"/>
        <v>0.93036725367943995</v>
      </c>
      <c r="AE636" s="3">
        <f t="shared" si="116"/>
        <v>1.232741257006543E-2</v>
      </c>
      <c r="AF636" s="11">
        <f t="shared" si="117"/>
        <v>52.000000000000384</v>
      </c>
      <c r="AG636" s="1">
        <f t="shared" si="118"/>
        <v>0.1927866037255698</v>
      </c>
    </row>
    <row r="637" spans="2:33" ht="15" x14ac:dyDescent="0.25">
      <c r="B637" s="1">
        <v>626</v>
      </c>
      <c r="C637" s="1">
        <v>1.0010952791975014</v>
      </c>
      <c r="D637" s="1">
        <v>1.2702195808916914</v>
      </c>
      <c r="E637" s="1">
        <v>0.78591498591576092</v>
      </c>
      <c r="G637" s="1">
        <v>1.0007146514052156</v>
      </c>
      <c r="H637" s="1">
        <v>7.1224808675555238</v>
      </c>
      <c r="I637" s="1">
        <v>0.10362246287103642</v>
      </c>
      <c r="K637" s="1">
        <v>0.99901229189685337</v>
      </c>
      <c r="L637" s="1">
        <v>7.1434404470470128</v>
      </c>
      <c r="M637" s="1">
        <v>0.10025429640837162</v>
      </c>
      <c r="O637" s="1">
        <v>7.4556080457772039E-3</v>
      </c>
      <c r="P637" s="1">
        <v>0.67777885302941021</v>
      </c>
      <c r="R637" s="1">
        <v>0.28398421197794049</v>
      </c>
      <c r="S637" s="2">
        <f t="shared" si="120"/>
        <v>1.3932289977287764</v>
      </c>
      <c r="T637" s="4">
        <f t="shared" si="121"/>
        <v>1.9410870401123308</v>
      </c>
      <c r="U637" s="1">
        <f t="shared" si="124"/>
        <v>1.2924476185413067</v>
      </c>
      <c r="V637" s="6">
        <f>2*sigma/alpha*corel*(B637/12-1/alpha*(1-EXP(-alpha*Output!B637/12)))</f>
        <v>3.783646190161682</v>
      </c>
      <c r="W637" s="5">
        <f t="shared" si="122"/>
        <v>-0.64863942157102406</v>
      </c>
      <c r="X637" s="1">
        <f t="shared" si="123"/>
        <v>149.66540446014534</v>
      </c>
      <c r="Y637" s="3">
        <f t="shared" si="113"/>
        <v>8.0991710147112067E-2</v>
      </c>
      <c r="Z637" s="1">
        <f t="shared" si="114"/>
        <v>0.19289721675593263</v>
      </c>
      <c r="AA637" s="8">
        <f t="shared" si="119"/>
        <v>52.083333333333719</v>
      </c>
      <c r="AB637" s="1">
        <v>52.17</v>
      </c>
      <c r="AC637" s="1">
        <v>7.5469760149999999E-3</v>
      </c>
      <c r="AD637" s="8">
        <f t="shared" si="115"/>
        <v>0.91367969222795953</v>
      </c>
      <c r="AE637" s="3">
        <f t="shared" si="116"/>
        <v>1.2106566794593949E-2</v>
      </c>
      <c r="AF637" s="11">
        <f t="shared" si="117"/>
        <v>52.083333333333719</v>
      </c>
      <c r="AG637" s="1">
        <f t="shared" si="118"/>
        <v>0.19289721675593263</v>
      </c>
    </row>
    <row r="638" spans="2:33" ht="15" x14ac:dyDescent="0.25">
      <c r="B638" s="1">
        <v>627</v>
      </c>
      <c r="C638" s="1">
        <v>1.0010985081277992</v>
      </c>
      <c r="D638" s="1">
        <v>1.2685272235710225</v>
      </c>
      <c r="E638" s="1">
        <v>0.78696080007441738</v>
      </c>
      <c r="G638" s="1">
        <v>1.000833565652268</v>
      </c>
      <c r="H638" s="1">
        <v>7.0338205488700272</v>
      </c>
      <c r="I638" s="1">
        <v>0.10487775058849479</v>
      </c>
      <c r="K638" s="1">
        <v>0.99879109511182274</v>
      </c>
      <c r="L638" s="1">
        <v>7.2613406617949003</v>
      </c>
      <c r="M638" s="1">
        <v>9.8574729310138567E-2</v>
      </c>
      <c r="O638" s="1">
        <v>7.4571579388698801E-3</v>
      </c>
      <c r="P638" s="1">
        <v>0.67730302784616148</v>
      </c>
      <c r="R638" s="1">
        <v>0.28403498653193743</v>
      </c>
      <c r="S638" s="2">
        <f t="shared" si="120"/>
        <v>1.3947054198025211</v>
      </c>
      <c r="T638" s="4">
        <f t="shared" si="121"/>
        <v>1.9452032080265265</v>
      </c>
      <c r="U638" s="1">
        <f t="shared" si="124"/>
        <v>1.296445340393042</v>
      </c>
      <c r="V638" s="6">
        <f>2*sigma/alpha*corel*(B638/12-1/alpha*(1-EXP(-alpha*Output!B638/12)))</f>
        <v>3.7927722994295459</v>
      </c>
      <c r="W638" s="5">
        <f t="shared" si="122"/>
        <v>-0.64875786763348442</v>
      </c>
      <c r="X638" s="1">
        <f t="shared" si="123"/>
        <v>149.97551605071834</v>
      </c>
      <c r="Y638" s="3">
        <f t="shared" si="113"/>
        <v>8.0896428905749926E-2</v>
      </c>
      <c r="Z638" s="1">
        <f t="shared" si="114"/>
        <v>0.19294758234196188</v>
      </c>
      <c r="AA638" s="8">
        <f t="shared" si="119"/>
        <v>52.166666666667055</v>
      </c>
      <c r="AB638" s="1">
        <v>52.25</v>
      </c>
      <c r="AC638" s="1">
        <v>7.5468111910000002E-3</v>
      </c>
      <c r="AD638" s="8">
        <f t="shared" si="115"/>
        <v>0.89653252130120031</v>
      </c>
      <c r="AE638" s="3">
        <f t="shared" si="116"/>
        <v>1.1879620393449966E-2</v>
      </c>
      <c r="AF638" s="11">
        <f t="shared" si="117"/>
        <v>52.166666666667055</v>
      </c>
      <c r="AG638" s="1">
        <f t="shared" si="118"/>
        <v>0.19294758234196188</v>
      </c>
    </row>
    <row r="639" spans="2:33" ht="15" x14ac:dyDescent="0.25">
      <c r="B639" s="1">
        <v>628</v>
      </c>
      <c r="C639" s="1">
        <v>1.0010988617993972</v>
      </c>
      <c r="D639" s="1">
        <v>1.2697243280731256</v>
      </c>
      <c r="E639" s="1">
        <v>0.7862161612389188</v>
      </c>
      <c r="G639" s="1">
        <v>1.0007260498619084</v>
      </c>
      <c r="H639" s="1">
        <v>7.0943553986525529</v>
      </c>
      <c r="I639" s="1">
        <v>0.10393244670082379</v>
      </c>
      <c r="K639" s="1">
        <v>0.99889544838701261</v>
      </c>
      <c r="L639" s="1">
        <v>7.3508250162567874</v>
      </c>
      <c r="M639" s="1">
        <v>9.7322078984928048E-2</v>
      </c>
      <c r="O639" s="1">
        <v>7.4586114055992777E-3</v>
      </c>
      <c r="P639" s="1">
        <v>0.67683077736565023</v>
      </c>
      <c r="R639" s="1">
        <v>0.28409834701408704</v>
      </c>
      <c r="S639" s="2">
        <f t="shared" si="120"/>
        <v>1.3962248892974427</v>
      </c>
      <c r="T639" s="4">
        <f t="shared" si="121"/>
        <v>1.9494439414936562</v>
      </c>
      <c r="U639" s="1">
        <f t="shared" si="124"/>
        <v>1.3004468257408233</v>
      </c>
      <c r="V639" s="6">
        <f>2*sigma/alpha*corel*(B639/12-1/alpha*(1-EXP(-alpha*Output!B639/12)))</f>
        <v>3.801902703393603</v>
      </c>
      <c r="W639" s="5">
        <f t="shared" si="122"/>
        <v>-0.64899711575283292</v>
      </c>
      <c r="X639" s="1">
        <f t="shared" si="123"/>
        <v>150.31119373033127</v>
      </c>
      <c r="Y639" s="3">
        <f t="shared" si="113"/>
        <v>8.081124706010416E-2</v>
      </c>
      <c r="Z639" s="1">
        <f t="shared" si="114"/>
        <v>0.19300394082774064</v>
      </c>
      <c r="AA639" s="8">
        <f t="shared" si="119"/>
        <v>52.250000000000391</v>
      </c>
      <c r="AB639" s="1">
        <v>52.33</v>
      </c>
      <c r="AC639" s="1">
        <v>7.5466468919999996E-3</v>
      </c>
      <c r="AD639" s="8">
        <f t="shared" si="115"/>
        <v>0.88035486400721985</v>
      </c>
      <c r="AE639" s="3">
        <f t="shared" si="116"/>
        <v>1.166551021408542E-2</v>
      </c>
      <c r="AF639" s="11">
        <f t="shared" si="117"/>
        <v>52.250000000000391</v>
      </c>
      <c r="AG639" s="1">
        <f t="shared" si="118"/>
        <v>0.19300394082774064</v>
      </c>
    </row>
    <row r="640" spans="2:33" ht="15" x14ac:dyDescent="0.25">
      <c r="B640" s="1">
        <v>629</v>
      </c>
      <c r="C640" s="1">
        <v>1.0010963364049059</v>
      </c>
      <c r="D640" s="1">
        <v>1.2714541682550293</v>
      </c>
      <c r="E640" s="1">
        <v>0.78514381066316719</v>
      </c>
      <c r="G640" s="1">
        <v>1.0004024334395707</v>
      </c>
      <c r="H640" s="1">
        <v>7.1754313974223303</v>
      </c>
      <c r="I640" s="1">
        <v>0.10270829461920998</v>
      </c>
      <c r="K640" s="1">
        <v>0.99909513038878484</v>
      </c>
      <c r="L640" s="1">
        <v>7.0945699210262916</v>
      </c>
      <c r="M640" s="1">
        <v>0.10078386535356601</v>
      </c>
      <c r="O640" s="1">
        <v>7.4601871956963654E-3</v>
      </c>
      <c r="P640" s="1">
        <v>0.6763543556668915</v>
      </c>
      <c r="R640" s="1">
        <v>0.28421217871970939</v>
      </c>
      <c r="S640" s="2">
        <f t="shared" si="120"/>
        <v>1.3979615822574265</v>
      </c>
      <c r="T640" s="4">
        <f t="shared" si="121"/>
        <v>1.9542965854676875</v>
      </c>
      <c r="U640" s="1">
        <f t="shared" si="124"/>
        <v>1.3044520638223847</v>
      </c>
      <c r="V640" s="6">
        <f>2*sigma/alpha*corel*(B640/12-1/alpha*(1-EXP(-alpha*Output!B640/12)))</f>
        <v>3.8110373877620298</v>
      </c>
      <c r="W640" s="5">
        <f t="shared" si="122"/>
        <v>-0.64984452164530282</v>
      </c>
      <c r="X640" s="1">
        <f t="shared" si="123"/>
        <v>150.77474067588517</v>
      </c>
      <c r="Y640" s="3">
        <f t="shared" si="113"/>
        <v>8.0775827474603074E-2</v>
      </c>
      <c r="Z640" s="1">
        <f t="shared" si="114"/>
        <v>0.19309033539818823</v>
      </c>
      <c r="AA640" s="8">
        <f t="shared" si="119"/>
        <v>52.333333333333727</v>
      </c>
      <c r="AB640" s="1">
        <v>52.42</v>
      </c>
      <c r="AC640" s="1">
        <v>7.5464831169999996E-3</v>
      </c>
      <c r="AD640" s="8">
        <f t="shared" si="115"/>
        <v>0.86295921303634193</v>
      </c>
      <c r="AE640" s="3">
        <f t="shared" si="116"/>
        <v>1.1435250031797586E-2</v>
      </c>
      <c r="AF640" s="11">
        <f t="shared" si="117"/>
        <v>52.333333333333727</v>
      </c>
      <c r="AG640" s="1">
        <f t="shared" si="118"/>
        <v>0.19309033539818823</v>
      </c>
    </row>
    <row r="641" spans="2:33" ht="15" x14ac:dyDescent="0.25">
      <c r="B641" s="1">
        <v>630</v>
      </c>
      <c r="C641" s="1">
        <v>1.0010983761120795</v>
      </c>
      <c r="D641" s="1">
        <v>1.2699956402969637</v>
      </c>
      <c r="E641" s="1">
        <v>0.78604281562004552</v>
      </c>
      <c r="G641" s="1">
        <v>1.0004048095945783</v>
      </c>
      <c r="H641" s="1">
        <v>7.1004272943627891</v>
      </c>
      <c r="I641" s="1">
        <v>0.10374292543251296</v>
      </c>
      <c r="K641" s="1">
        <v>0.99947825634059417</v>
      </c>
      <c r="L641" s="1">
        <v>7.129597810601207</v>
      </c>
      <c r="M641" s="1">
        <v>0.10023435543440107</v>
      </c>
      <c r="O641" s="1">
        <v>7.4617886663160514E-3</v>
      </c>
      <c r="P641" s="1">
        <v>0.67587718057793211</v>
      </c>
      <c r="R641" s="1">
        <v>0.28431865539709145</v>
      </c>
      <c r="S641" s="2">
        <f t="shared" si="120"/>
        <v>1.3996727508727631</v>
      </c>
      <c r="T641" s="4">
        <f t="shared" si="121"/>
        <v>1.9590838095357279</v>
      </c>
      <c r="U641" s="1">
        <f t="shared" si="124"/>
        <v>1.3084610438995701</v>
      </c>
      <c r="V641" s="6">
        <f>2*sigma/alpha*corel*(B641/12-1/alpha*(1-EXP(-alpha*Output!B641/12)))</f>
        <v>3.8201763382905685</v>
      </c>
      <c r="W641" s="5">
        <f t="shared" si="122"/>
        <v>-0.65062276563615784</v>
      </c>
      <c r="X641" s="1">
        <f t="shared" si="123"/>
        <v>151.22452803922829</v>
      </c>
      <c r="Y641" s="3">
        <f t="shared" si="113"/>
        <v>8.0734875351284624E-2</v>
      </c>
      <c r="Z641" s="1">
        <f t="shared" si="114"/>
        <v>0.19317319194545299</v>
      </c>
      <c r="AA641" s="8">
        <f t="shared" si="119"/>
        <v>52.416666666667062</v>
      </c>
      <c r="AB641" s="1">
        <v>52.5</v>
      </c>
      <c r="AC641" s="1">
        <v>7.5463198629999997E-3</v>
      </c>
      <c r="AD641" s="8">
        <f t="shared" si="115"/>
        <v>0.84531196683948306</v>
      </c>
      <c r="AE641" s="3">
        <f t="shared" si="116"/>
        <v>1.1201645069195805E-2</v>
      </c>
      <c r="AF641" s="11">
        <f t="shared" si="117"/>
        <v>52.416666666667062</v>
      </c>
      <c r="AG641" s="1">
        <f t="shared" si="118"/>
        <v>0.19317319194545299</v>
      </c>
    </row>
    <row r="642" spans="2:33" ht="15" x14ac:dyDescent="0.25">
      <c r="B642" s="1">
        <v>631</v>
      </c>
      <c r="C642" s="1">
        <v>1.0010937060495508</v>
      </c>
      <c r="D642" s="1">
        <v>1.2700060129747894</v>
      </c>
      <c r="E642" s="1">
        <v>0.78603369766483988</v>
      </c>
      <c r="G642" s="1">
        <v>0.99994152408019821</v>
      </c>
      <c r="H642" s="1">
        <v>7.0987981277912375</v>
      </c>
      <c r="I642" s="1">
        <v>0.10371643674093207</v>
      </c>
      <c r="K642" s="1">
        <v>0.99972040760166681</v>
      </c>
      <c r="L642" s="1">
        <v>6.9610877629984191</v>
      </c>
      <c r="M642" s="1">
        <v>0.1026071107097053</v>
      </c>
      <c r="O642" s="1">
        <v>7.4633943248497512E-3</v>
      </c>
      <c r="P642" s="1">
        <v>0.67540001313584597</v>
      </c>
      <c r="R642" s="1">
        <v>0.28436611298084508</v>
      </c>
      <c r="S642" s="2">
        <f t="shared" si="120"/>
        <v>1.4011468044501403</v>
      </c>
      <c r="T642" s="4">
        <f t="shared" si="121"/>
        <v>1.9632123676208397</v>
      </c>
      <c r="U642" s="1">
        <f t="shared" si="124"/>
        <v>1.3124737552583281</v>
      </c>
      <c r="V642" s="6">
        <f>2*sigma/alpha*corel*(B642/12-1/alpha*(1-EXP(-alpha*Output!B642/12)))</f>
        <v>3.8293195407823579</v>
      </c>
      <c r="W642" s="5">
        <f t="shared" si="122"/>
        <v>-0.65073861236251163</v>
      </c>
      <c r="X642" s="1">
        <f t="shared" si="123"/>
        <v>151.53570961233257</v>
      </c>
      <c r="Y642" s="3">
        <f t="shared" si="113"/>
        <v>8.0640233939919551E-2</v>
      </c>
      <c r="Z642" s="1">
        <f t="shared" si="114"/>
        <v>0.19322333961555246</v>
      </c>
      <c r="AA642" s="8">
        <f t="shared" si="119"/>
        <v>52.500000000000398</v>
      </c>
      <c r="AB642" s="1">
        <v>52.58</v>
      </c>
      <c r="AC642" s="1">
        <v>7.5461571259999999E-3</v>
      </c>
      <c r="AD642" s="8">
        <f t="shared" si="115"/>
        <v>0.82762801150248688</v>
      </c>
      <c r="AE642" s="3">
        <f t="shared" si="116"/>
        <v>1.0967542786127866E-2</v>
      </c>
      <c r="AF642" s="11">
        <f t="shared" si="117"/>
        <v>52.500000000000398</v>
      </c>
      <c r="AG642" s="1">
        <f t="shared" si="118"/>
        <v>0.19322333961555246</v>
      </c>
    </row>
    <row r="643" spans="2:33" ht="15" x14ac:dyDescent="0.25">
      <c r="B643" s="1">
        <v>632</v>
      </c>
      <c r="C643" s="1">
        <v>1.0010969093603936</v>
      </c>
      <c r="D643" s="1">
        <v>1.2756349323896379</v>
      </c>
      <c r="E643" s="1">
        <v>0.78256252204290977</v>
      </c>
      <c r="G643" s="1">
        <v>1.0000951032279259</v>
      </c>
      <c r="H643" s="1">
        <v>7.3852267069341284</v>
      </c>
      <c r="I643" s="1">
        <v>9.9645575273180409E-2</v>
      </c>
      <c r="K643" s="1">
        <v>0.99967386490925914</v>
      </c>
      <c r="L643" s="1">
        <v>7.093997006465516</v>
      </c>
      <c r="M643" s="1">
        <v>0.10062986654804824</v>
      </c>
      <c r="O643" s="1">
        <v>7.4650131505656454E-3</v>
      </c>
      <c r="P643" s="1">
        <v>0.67492253391689705</v>
      </c>
      <c r="R643" s="1">
        <v>0.28462988239185394</v>
      </c>
      <c r="S643" s="2">
        <f t="shared" si="120"/>
        <v>1.4035013730014836</v>
      </c>
      <c r="T643" s="4">
        <f t="shared" si="121"/>
        <v>1.9698161040170497</v>
      </c>
      <c r="U643" s="1">
        <f t="shared" si="124"/>
        <v>1.3164901872087085</v>
      </c>
      <c r="V643" s="6">
        <f>2*sigma/alpha*corel*(B643/12-1/alpha*(1-EXP(-alpha*Output!B643/12)))</f>
        <v>3.8384669810877834</v>
      </c>
      <c r="W643" s="5">
        <f t="shared" si="122"/>
        <v>-0.65332591680834118</v>
      </c>
      <c r="X643" s="1">
        <f t="shared" si="123"/>
        <v>152.36782190585836</v>
      </c>
      <c r="Y643" s="3">
        <f t="shared" si="113"/>
        <v>8.0746226196787035E-2</v>
      </c>
      <c r="Z643" s="1">
        <f t="shared" si="114"/>
        <v>0.19339485927826633</v>
      </c>
      <c r="AA643" s="8">
        <f t="shared" si="119"/>
        <v>52.583333333333734</v>
      </c>
      <c r="AB643" s="1">
        <v>52.67</v>
      </c>
      <c r="AC643" s="1">
        <v>7.5459949060000002E-3</v>
      </c>
      <c r="AD643" s="8">
        <f t="shared" si="115"/>
        <v>0.80981755434354763</v>
      </c>
      <c r="AE643" s="3">
        <f t="shared" si="116"/>
        <v>1.0731753260257867E-2</v>
      </c>
      <c r="AF643" s="11">
        <f t="shared" si="117"/>
        <v>52.583333333333734</v>
      </c>
      <c r="AG643" s="1">
        <f t="shared" si="118"/>
        <v>0.19339485927826633</v>
      </c>
    </row>
    <row r="644" spans="2:33" ht="15" x14ac:dyDescent="0.25">
      <c r="B644" s="1">
        <v>633</v>
      </c>
      <c r="C644" s="1">
        <v>1.0011058522047416</v>
      </c>
      <c r="D644" s="1">
        <v>1.2822429418959775</v>
      </c>
      <c r="E644" s="1">
        <v>0.77852692295273673</v>
      </c>
      <c r="G644" s="1">
        <v>1.000748863403097</v>
      </c>
      <c r="H644" s="1">
        <v>7.7421355633185236</v>
      </c>
      <c r="I644" s="1">
        <v>9.5005886180607221E-2</v>
      </c>
      <c r="K644" s="1">
        <v>0.99942196325593957</v>
      </c>
      <c r="L644" s="1">
        <v>6.9333601782419061</v>
      </c>
      <c r="M644" s="1">
        <v>0.10290696217568363</v>
      </c>
      <c r="O644" s="1">
        <v>7.4666913569366306E-3</v>
      </c>
      <c r="P644" s="1">
        <v>0.67444309770595345</v>
      </c>
      <c r="R644" s="1">
        <v>0.28481113931518831</v>
      </c>
      <c r="S644" s="2">
        <f t="shared" si="120"/>
        <v>1.4055295180837895</v>
      </c>
      <c r="T644" s="4">
        <f t="shared" si="121"/>
        <v>1.9755132262048494</v>
      </c>
      <c r="U644" s="1">
        <f t="shared" si="124"/>
        <v>1.320510329084863</v>
      </c>
      <c r="V644" s="6">
        <f>2*sigma/alpha*corel*(B644/12-1/alpha*(1-EXP(-alpha*Output!B644/12)))</f>
        <v>3.8476186451043177</v>
      </c>
      <c r="W644" s="5">
        <f t="shared" si="122"/>
        <v>-0.65500289711998638</v>
      </c>
      <c r="X644" s="1">
        <f t="shared" si="123"/>
        <v>153.00978053047149</v>
      </c>
      <c r="Y644" s="3">
        <f t="shared" si="113"/>
        <v>8.0778138198506641E-2</v>
      </c>
      <c r="Z644" s="1">
        <f t="shared" si="114"/>
        <v>0.19352128487731232</v>
      </c>
      <c r="AA644" s="8">
        <f t="shared" si="119"/>
        <v>52.666666666667069</v>
      </c>
      <c r="AB644" s="1">
        <v>52.75</v>
      </c>
      <c r="AC644" s="1">
        <v>7.5458331989999997E-3</v>
      </c>
      <c r="AD644" s="8">
        <f t="shared" si="115"/>
        <v>0.79141842063369139</v>
      </c>
      <c r="AE644" s="3">
        <f t="shared" si="116"/>
        <v>1.048815153691143E-2</v>
      </c>
      <c r="AF644" s="11">
        <f t="shared" si="117"/>
        <v>52.666666666667069</v>
      </c>
      <c r="AG644" s="1">
        <f t="shared" si="118"/>
        <v>0.19352128487731232</v>
      </c>
    </row>
    <row r="645" spans="2:33" ht="15" x14ac:dyDescent="0.25">
      <c r="B645" s="1">
        <v>634</v>
      </c>
      <c r="C645" s="1">
        <v>1.0011135041330734</v>
      </c>
      <c r="D645" s="1">
        <v>1.2840015718558437</v>
      </c>
      <c r="E645" s="1">
        <v>0.77745793384830175</v>
      </c>
      <c r="G645" s="1">
        <v>1.0012333188828562</v>
      </c>
      <c r="H645" s="1">
        <v>7.836027471287883</v>
      </c>
      <c r="I645" s="1">
        <v>9.3822017462453638E-2</v>
      </c>
      <c r="K645" s="1">
        <v>0.99969403153426051</v>
      </c>
      <c r="L645" s="1">
        <v>7.0104557118090378</v>
      </c>
      <c r="M645" s="1">
        <v>0.10171942661667789</v>
      </c>
      <c r="O645" s="1">
        <v>7.4684335165856831E-3</v>
      </c>
      <c r="P645" s="1">
        <v>0.6739615363288477</v>
      </c>
      <c r="R645" s="1">
        <v>0.28514106941925826</v>
      </c>
      <c r="S645" s="2">
        <f t="shared" si="120"/>
        <v>1.4081711516708351</v>
      </c>
      <c r="T645" s="4">
        <f t="shared" si="121"/>
        <v>1.982945992397966</v>
      </c>
      <c r="U645" s="1">
        <f t="shared" si="124"/>
        <v>1.3245341702450366</v>
      </c>
      <c r="V645" s="6">
        <f>2*sigma/alpha*corel*(B645/12-1/alpha*(1-EXP(-alpha*Output!B645/12)))</f>
        <v>3.856774518776362</v>
      </c>
      <c r="W645" s="5">
        <f t="shared" si="122"/>
        <v>-0.65841182215292937</v>
      </c>
      <c r="X645" s="1">
        <f t="shared" si="123"/>
        <v>154.01907477033504</v>
      </c>
      <c r="Y645" s="3">
        <f t="shared" si="113"/>
        <v>8.0949536099205535E-2</v>
      </c>
      <c r="Z645" s="1">
        <f t="shared" si="114"/>
        <v>0.19373203349597393</v>
      </c>
      <c r="AA645" s="8">
        <f t="shared" si="119"/>
        <v>52.750000000000405</v>
      </c>
      <c r="AB645" s="1">
        <v>52.83</v>
      </c>
      <c r="AC645" s="1">
        <v>7.5456720030000002E-3</v>
      </c>
      <c r="AD645" s="8">
        <f t="shared" si="115"/>
        <v>0.7723848641431712</v>
      </c>
      <c r="AE645" s="3">
        <f t="shared" si="116"/>
        <v>1.0236130908368231E-2</v>
      </c>
      <c r="AF645" s="11">
        <f t="shared" si="117"/>
        <v>52.750000000000405</v>
      </c>
      <c r="AG645" s="1">
        <f t="shared" si="118"/>
        <v>0.19373203349597393</v>
      </c>
    </row>
    <row r="646" spans="2:33" ht="15" x14ac:dyDescent="0.25">
      <c r="B646" s="1">
        <v>635</v>
      </c>
      <c r="C646" s="1">
        <v>1.0011182651268724</v>
      </c>
      <c r="D646" s="1">
        <v>1.2833209768477973</v>
      </c>
      <c r="E646" s="1">
        <v>0.77786756330127882</v>
      </c>
      <c r="G646" s="1">
        <v>1.0015076650963906</v>
      </c>
      <c r="H646" s="1">
        <v>7.7936611298943674</v>
      </c>
      <c r="I646" s="1">
        <v>9.4286307783166462E-2</v>
      </c>
      <c r="K646" s="1">
        <v>0.99991646157771541</v>
      </c>
      <c r="L646" s="1">
        <v>6.8098879814206867</v>
      </c>
      <c r="M646" s="1">
        <v>0.10465980035472366</v>
      </c>
      <c r="O646" s="1">
        <v>7.4701360115480356E-3</v>
      </c>
      <c r="P646" s="1">
        <v>0.67348153682572476</v>
      </c>
      <c r="R646" s="1">
        <v>0.2852244407022228</v>
      </c>
      <c r="S646" s="2">
        <f t="shared" si="120"/>
        <v>1.40980856195483</v>
      </c>
      <c r="T646" s="4">
        <f t="shared" si="121"/>
        <v>1.9875601813611457</v>
      </c>
      <c r="U646" s="1">
        <f t="shared" si="124"/>
        <v>1.3285617000715648</v>
      </c>
      <c r="V646" s="6">
        <f>2*sigma/alpha*corel*(B646/12-1/alpha*(1-EXP(-alpha*Output!B646/12)))</f>
        <v>3.8659345880950915</v>
      </c>
      <c r="W646" s="5">
        <f t="shared" si="122"/>
        <v>-0.65899848128958083</v>
      </c>
      <c r="X646" s="1">
        <f t="shared" si="123"/>
        <v>154.43346211239123</v>
      </c>
      <c r="Y646" s="3">
        <f t="shared" si="113"/>
        <v>8.0893147766509688E-2</v>
      </c>
      <c r="Z646" s="1">
        <f t="shared" si="114"/>
        <v>0.19380452111257671</v>
      </c>
      <c r="AA646" s="8">
        <f t="shared" si="119"/>
        <v>52.833333333333741</v>
      </c>
      <c r="AB646" s="1">
        <v>52.92</v>
      </c>
      <c r="AC646" s="1">
        <v>7.5455113149999996E-3</v>
      </c>
      <c r="AD646" s="8">
        <f t="shared" si="115"/>
        <v>0.75375303451963993</v>
      </c>
      <c r="AE646" s="3">
        <f t="shared" si="116"/>
        <v>9.989422890682392E-3</v>
      </c>
      <c r="AF646" s="11">
        <f t="shared" si="117"/>
        <v>52.833333333333741</v>
      </c>
      <c r="AG646" s="1">
        <f t="shared" si="118"/>
        <v>0.19380452111257671</v>
      </c>
    </row>
    <row r="647" spans="2:33" ht="15" x14ac:dyDescent="0.25">
      <c r="B647" s="1">
        <v>636</v>
      </c>
      <c r="C647" s="1">
        <v>1.0011174446348916</v>
      </c>
      <c r="D647" s="1">
        <v>1.2790310752596374</v>
      </c>
      <c r="E647" s="1">
        <v>0.78047384982950396</v>
      </c>
      <c r="G647" s="1">
        <v>1.0013257099556638</v>
      </c>
      <c r="H647" s="1">
        <v>7.5600449311299309</v>
      </c>
      <c r="I647" s="1">
        <v>9.7152772699877529E-2</v>
      </c>
      <c r="K647" s="1">
        <v>0.99965235558743193</v>
      </c>
      <c r="L647" s="1">
        <v>6.7614470657127601</v>
      </c>
      <c r="M647" s="1">
        <v>0.10535390962828423</v>
      </c>
      <c r="O647" s="1">
        <v>7.4718227108070707E-3</v>
      </c>
      <c r="P647" s="1">
        <v>0.67300225163606564</v>
      </c>
      <c r="R647" s="1">
        <v>0.28524196270640101</v>
      </c>
      <c r="S647" s="2">
        <f t="shared" si="120"/>
        <v>1.4111776585756888</v>
      </c>
      <c r="T647" s="4">
        <f t="shared" si="121"/>
        <v>1.9914223840631633</v>
      </c>
      <c r="U647" s="1">
        <f t="shared" si="124"/>
        <v>1.3325929079708709</v>
      </c>
      <c r="V647" s="6">
        <f>2*sigma/alpha*corel*(B647/12-1/alpha*(1-EXP(-alpha*Output!B647/12)))</f>
        <v>3.8750988390983023</v>
      </c>
      <c r="W647" s="5">
        <f t="shared" si="122"/>
        <v>-0.65882947609229237</v>
      </c>
      <c r="X647" s="1">
        <f t="shared" si="123"/>
        <v>154.688239944347</v>
      </c>
      <c r="Y647" s="3">
        <f t="shared" si="113"/>
        <v>8.0776168599819537E-2</v>
      </c>
      <c r="Z647" s="1">
        <f t="shared" si="114"/>
        <v>0.19384015901374715</v>
      </c>
      <c r="AA647" s="8">
        <f t="shared" si="119"/>
        <v>52.916666666667076</v>
      </c>
      <c r="AB647" s="1">
        <v>53</v>
      </c>
      <c r="AC647" s="1">
        <v>7.545351134E-3</v>
      </c>
      <c r="AD647" s="8">
        <f t="shared" si="115"/>
        <v>0.73528423192929271</v>
      </c>
      <c r="AE647" s="3">
        <f t="shared" si="116"/>
        <v>9.7448643392623428E-3</v>
      </c>
      <c r="AF647" s="11">
        <f t="shared" si="117"/>
        <v>52.916666666667076</v>
      </c>
      <c r="AG647" s="1">
        <f t="shared" si="118"/>
        <v>0.19384015901374715</v>
      </c>
    </row>
    <row r="648" spans="2:33" ht="15" x14ac:dyDescent="0.25">
      <c r="B648" s="1">
        <v>637</v>
      </c>
      <c r="C648" s="1">
        <v>1.0011216839528121</v>
      </c>
      <c r="D648" s="1">
        <v>1.2808418368444958</v>
      </c>
      <c r="E648" s="1">
        <v>0.77936777198361529</v>
      </c>
      <c r="G648" s="1">
        <v>1.0015430020075611</v>
      </c>
      <c r="H648" s="1">
        <v>7.6524527852606079</v>
      </c>
      <c r="I648" s="1">
        <v>9.5933070318229244E-2</v>
      </c>
      <c r="K648" s="1">
        <v>0.999705440111199</v>
      </c>
      <c r="L648" s="1">
        <v>6.89078539640541</v>
      </c>
      <c r="M648" s="1">
        <v>0.10332073971267618</v>
      </c>
      <c r="O648" s="1">
        <v>7.4733983500470036E-3</v>
      </c>
      <c r="P648" s="1">
        <v>0.67252708330247268</v>
      </c>
      <c r="R648" s="1">
        <v>0.28535897000808763</v>
      </c>
      <c r="S648" s="2">
        <f t="shared" si="120"/>
        <v>1.4129430930933033</v>
      </c>
      <c r="T648" s="4">
        <f t="shared" si="121"/>
        <v>1.9964081843200714</v>
      </c>
      <c r="U648" s="1">
        <f t="shared" si="124"/>
        <v>1.3366277833734559</v>
      </c>
      <c r="V648" s="6">
        <f>2*sigma/alpha*corel*(B648/12-1/alpha*(1-EXP(-alpha*Output!B648/12)))</f>
        <v>3.8842672578702508</v>
      </c>
      <c r="W648" s="5">
        <f t="shared" si="122"/>
        <v>-0.6597804009466155</v>
      </c>
      <c r="X648" s="1">
        <f t="shared" si="123"/>
        <v>155.18090393156092</v>
      </c>
      <c r="Y648" s="3">
        <f t="shared" si="113"/>
        <v>8.0749408146438301E-2</v>
      </c>
      <c r="Z648" s="1">
        <f t="shared" si="114"/>
        <v>0.19393025908172573</v>
      </c>
      <c r="AA648" s="8">
        <f t="shared" si="119"/>
        <v>53.000000000000412</v>
      </c>
      <c r="AB648" s="1">
        <v>53.08</v>
      </c>
      <c r="AC648" s="1">
        <v>7.5451914559999996E-3</v>
      </c>
      <c r="AD648" s="8">
        <f t="shared" si="115"/>
        <v>0.71793105952996061</v>
      </c>
      <c r="AE648" s="3">
        <f t="shared" si="116"/>
        <v>9.5150807466794739E-3</v>
      </c>
      <c r="AF648" s="11">
        <f t="shared" si="117"/>
        <v>53.000000000000412</v>
      </c>
      <c r="AG648" s="1">
        <f t="shared" si="118"/>
        <v>0.19393025908172573</v>
      </c>
    </row>
    <row r="649" spans="2:33" ht="15" x14ac:dyDescent="0.25">
      <c r="B649" s="1">
        <v>638</v>
      </c>
      <c r="C649" s="1">
        <v>1.0011250867977186</v>
      </c>
      <c r="D649" s="1">
        <v>1.2798390031620563</v>
      </c>
      <c r="E649" s="1">
        <v>0.77997574860807228</v>
      </c>
      <c r="G649" s="1">
        <v>1.0017407360461599</v>
      </c>
      <c r="H649" s="1">
        <v>7.5903429042917478</v>
      </c>
      <c r="I649" s="1">
        <v>9.6671182575726128E-2</v>
      </c>
      <c r="K649" s="1">
        <v>0.99957741922118337</v>
      </c>
      <c r="L649" s="1">
        <v>7.0527106795101115</v>
      </c>
      <c r="M649" s="1">
        <v>0.10089513370021994</v>
      </c>
      <c r="O649" s="1">
        <v>7.4749938019954745E-3</v>
      </c>
      <c r="P649" s="1">
        <v>0.67205136604979343</v>
      </c>
      <c r="R649" s="1">
        <v>0.28562174659528472</v>
      </c>
      <c r="S649" s="2">
        <f t="shared" si="120"/>
        <v>1.415307835219785</v>
      </c>
      <c r="T649" s="4">
        <f t="shared" si="121"/>
        <v>2.0030962684345139</v>
      </c>
      <c r="U649" s="1">
        <f t="shared" si="124"/>
        <v>1.3406663157338969</v>
      </c>
      <c r="V649" s="6">
        <f>2*sigma/alpha*corel*(B649/12-1/alpha*(1-EXP(-alpha*Output!B649/12)))</f>
        <v>3.893439830541503</v>
      </c>
      <c r="W649" s="5">
        <f t="shared" si="122"/>
        <v>-0.662429952700617</v>
      </c>
      <c r="X649" s="1">
        <f t="shared" si="123"/>
        <v>156.03564365504494</v>
      </c>
      <c r="Y649" s="3">
        <f t="shared" si="113"/>
        <v>8.085877404007788E-2</v>
      </c>
      <c r="Z649" s="1">
        <f t="shared" si="114"/>
        <v>0.19410252930546998</v>
      </c>
      <c r="AA649" s="8">
        <f t="shared" si="119"/>
        <v>53.083333333333748</v>
      </c>
      <c r="AB649" s="1">
        <v>53.17</v>
      </c>
      <c r="AC649" s="1">
        <v>7.5450322799999999E-3</v>
      </c>
      <c r="AD649" s="8">
        <f t="shared" si="115"/>
        <v>0.70038478004525417</v>
      </c>
      <c r="AE649" s="3">
        <f t="shared" si="116"/>
        <v>9.2827274165784499E-3</v>
      </c>
      <c r="AF649" s="11">
        <f t="shared" si="117"/>
        <v>53.083333333333748</v>
      </c>
      <c r="AG649" s="1">
        <f t="shared" si="118"/>
        <v>0.19410252930546998</v>
      </c>
    </row>
    <row r="650" spans="2:33" ht="15" x14ac:dyDescent="0.25">
      <c r="B650" s="1">
        <v>639</v>
      </c>
      <c r="C650" s="1">
        <v>1.0011305455772364</v>
      </c>
      <c r="D650" s="1">
        <v>1.2765533141277228</v>
      </c>
      <c r="E650" s="1">
        <v>0.78198059148792087</v>
      </c>
      <c r="G650" s="1">
        <v>1.0020596206693408</v>
      </c>
      <c r="H650" s="1">
        <v>7.4097082454334542</v>
      </c>
      <c r="I650" s="1">
        <v>9.8979838803142914E-2</v>
      </c>
      <c r="K650" s="1">
        <v>0.99935903946643456</v>
      </c>
      <c r="L650" s="1">
        <v>7.206457835161947</v>
      </c>
      <c r="M650" s="1">
        <v>9.8689890948413517E-2</v>
      </c>
      <c r="O650" s="1">
        <v>7.4766145821917847E-3</v>
      </c>
      <c r="P650" s="1">
        <v>0.6715749009482721</v>
      </c>
      <c r="R650" s="1">
        <v>0.28564215304305285</v>
      </c>
      <c r="S650" s="2">
        <f t="shared" si="120"/>
        <v>1.4166870053189895</v>
      </c>
      <c r="T650" s="4">
        <f t="shared" si="121"/>
        <v>2.0070020710396865</v>
      </c>
      <c r="U650" s="1">
        <f t="shared" si="124"/>
        <v>1.3447084945308392</v>
      </c>
      <c r="V650" s="6">
        <f>2*sigma/alpha*corel*(B650/12-1/alpha*(1-EXP(-alpha*Output!B650/12)))</f>
        <v>3.9026165432887798</v>
      </c>
      <c r="W650" s="5">
        <f t="shared" si="122"/>
        <v>-0.66229357650884735</v>
      </c>
      <c r="X650" s="1">
        <f t="shared" si="123"/>
        <v>156.29894768033574</v>
      </c>
      <c r="Y650" s="3">
        <f t="shared" si="113"/>
        <v>8.0744987893076409E-2</v>
      </c>
      <c r="Z650" s="1">
        <f t="shared" si="114"/>
        <v>0.19413958828078959</v>
      </c>
      <c r="AA650" s="8">
        <f t="shared" si="119"/>
        <v>53.166666666667084</v>
      </c>
      <c r="AB650" s="1">
        <v>53.25</v>
      </c>
      <c r="AC650" s="1">
        <v>7.5448736019999999E-3</v>
      </c>
      <c r="AD650" s="8">
        <f t="shared" si="115"/>
        <v>0.6825901980821516</v>
      </c>
      <c r="AE650" s="3">
        <f t="shared" si="116"/>
        <v>9.047072675958551E-3</v>
      </c>
      <c r="AF650" s="11">
        <f t="shared" si="117"/>
        <v>53.166666666667084</v>
      </c>
      <c r="AG650" s="1">
        <f t="shared" si="118"/>
        <v>0.19413958828078959</v>
      </c>
    </row>
    <row r="651" spans="2:33" ht="15" x14ac:dyDescent="0.25">
      <c r="B651" s="1">
        <v>640</v>
      </c>
      <c r="C651" s="1">
        <v>1.0011315475158098</v>
      </c>
      <c r="D651" s="1">
        <v>1.2777854844924963</v>
      </c>
      <c r="E651" s="1">
        <v>0.78122380696684846</v>
      </c>
      <c r="G651" s="1">
        <v>1.0020997484115286</v>
      </c>
      <c r="H651" s="1">
        <v>7.4706018279795776</v>
      </c>
      <c r="I651" s="1">
        <v>9.8125454430400619E-2</v>
      </c>
      <c r="K651" s="1">
        <v>0.99938246443992274</v>
      </c>
      <c r="L651" s="1">
        <v>7.1323700911103751</v>
      </c>
      <c r="M651" s="1">
        <v>9.966256258292723E-2</v>
      </c>
      <c r="O651" s="1">
        <v>7.4782603313076415E-3</v>
      </c>
      <c r="P651" s="1">
        <v>0.67109769867780455</v>
      </c>
      <c r="R651" s="1">
        <v>0.28580681114249962</v>
      </c>
      <c r="S651" s="2">
        <f t="shared" si="120"/>
        <v>1.418660236943255</v>
      </c>
      <c r="T651" s="4">
        <f t="shared" si="121"/>
        <v>2.0125968678838926</v>
      </c>
      <c r="U651" s="1">
        <f t="shared" si="124"/>
        <v>1.3487543092669894</v>
      </c>
      <c r="V651" s="6">
        <f>2*sigma/alpha*corel*(B651/12-1/alpha*(1-EXP(-alpha*Output!B651/12)))</f>
        <v>3.9117973823348038</v>
      </c>
      <c r="W651" s="5">
        <f t="shared" si="122"/>
        <v>-0.66384255861690322</v>
      </c>
      <c r="X651" s="1">
        <f t="shared" si="123"/>
        <v>156.92190459871409</v>
      </c>
      <c r="Y651" s="3">
        <f t="shared" si="113"/>
        <v>8.076609347249819E-2</v>
      </c>
      <c r="Z651" s="1">
        <f t="shared" si="114"/>
        <v>0.19425805330236115</v>
      </c>
      <c r="AA651" s="8">
        <f t="shared" si="119"/>
        <v>53.250000000000419</v>
      </c>
      <c r="AB651" s="1">
        <v>53.33</v>
      </c>
      <c r="AC651" s="1">
        <v>7.5447154219999996E-3</v>
      </c>
      <c r="AD651" s="8">
        <f t="shared" si="115"/>
        <v>0.66455090692358121</v>
      </c>
      <c r="AE651" s="3">
        <f t="shared" si="116"/>
        <v>8.8081639896686516E-3</v>
      </c>
      <c r="AF651" s="11">
        <f t="shared" si="117"/>
        <v>53.250000000000419</v>
      </c>
      <c r="AG651" s="1">
        <f t="shared" si="118"/>
        <v>0.19425805330236115</v>
      </c>
    </row>
    <row r="652" spans="2:33" ht="15" x14ac:dyDescent="0.25">
      <c r="B652" s="1">
        <v>641</v>
      </c>
      <c r="C652" s="1">
        <v>1.0011344009622667</v>
      </c>
      <c r="D652" s="1">
        <v>1.2774815678586202</v>
      </c>
      <c r="E652" s="1">
        <v>0.78140693873223976</v>
      </c>
      <c r="G652" s="1">
        <v>1.0021869722666663</v>
      </c>
      <c r="H652" s="1">
        <v>7.4546080858195305</v>
      </c>
      <c r="I652" s="1">
        <v>9.8288311324032693E-2</v>
      </c>
      <c r="K652" s="1">
        <v>0.99917474558531072</v>
      </c>
      <c r="L652" s="1">
        <v>7.0358043495480596</v>
      </c>
      <c r="M652" s="1">
        <v>0.10097586031595419</v>
      </c>
      <c r="O652" s="1">
        <v>7.4799254174191653E-3</v>
      </c>
      <c r="P652" s="1">
        <v>0.6706199588526055</v>
      </c>
      <c r="R652" s="1">
        <v>0.28581837580828967</v>
      </c>
      <c r="S652" s="2">
        <f t="shared" si="120"/>
        <v>1.4200103612593862</v>
      </c>
      <c r="T652" s="4">
        <f t="shared" si="121"/>
        <v>2.0164294260840125</v>
      </c>
      <c r="U652" s="1">
        <f t="shared" si="124"/>
        <v>1.3528037494691065</v>
      </c>
      <c r="V652" s="6">
        <f>2*sigma/alpha*corel*(B652/12-1/alpha*(1-EXP(-alpha*Output!B652/12)))</f>
        <v>3.9209823339481416</v>
      </c>
      <c r="W652" s="5">
        <f t="shared" si="122"/>
        <v>-0.66362567661490601</v>
      </c>
      <c r="X652" s="1">
        <f t="shared" si="123"/>
        <v>157.16878869985169</v>
      </c>
      <c r="Y652" s="3">
        <f t="shared" si="113"/>
        <v>8.0646321484488817E-2</v>
      </c>
      <c r="Z652" s="1">
        <f t="shared" si="114"/>
        <v>0.19429119593806993</v>
      </c>
      <c r="AA652" s="8">
        <f t="shared" si="119"/>
        <v>53.333333333333755</v>
      </c>
      <c r="AB652" s="1">
        <v>53.42</v>
      </c>
      <c r="AC652" s="1">
        <v>7.5445577349999996E-3</v>
      </c>
      <c r="AD652" s="8">
        <f t="shared" si="115"/>
        <v>0.64632317580834253</v>
      </c>
      <c r="AE652" s="3">
        <f t="shared" si="116"/>
        <v>8.5667470315719252E-3</v>
      </c>
      <c r="AF652" s="11">
        <f t="shared" si="117"/>
        <v>53.333333333333755</v>
      </c>
      <c r="AG652" s="1">
        <f t="shared" si="118"/>
        <v>0.19429119593806993</v>
      </c>
    </row>
    <row r="653" spans="2:33" ht="15" x14ac:dyDescent="0.25">
      <c r="B653" s="1">
        <v>642</v>
      </c>
      <c r="C653" s="1">
        <v>1.001137536487376</v>
      </c>
      <c r="D653" s="1">
        <v>1.2820456933299378</v>
      </c>
      <c r="E653" s="1">
        <v>0.77862238545913776</v>
      </c>
      <c r="G653" s="1">
        <v>1.0023091178973547</v>
      </c>
      <c r="H653" s="1">
        <v>7.6967700131950814</v>
      </c>
      <c r="I653" s="1">
        <v>9.5149737972659354E-2</v>
      </c>
      <c r="K653" s="1">
        <v>0.99931746353715445</v>
      </c>
      <c r="L653" s="1">
        <v>6.8571946387292391</v>
      </c>
      <c r="M653" s="1">
        <v>0.10354893907648338</v>
      </c>
      <c r="O653" s="1">
        <v>7.4817198360845102E-3</v>
      </c>
      <c r="P653" s="1">
        <v>0.67013773625135253</v>
      </c>
      <c r="R653" s="1">
        <v>0.28594874822499849</v>
      </c>
      <c r="S653" s="2">
        <f t="shared" si="120"/>
        <v>1.421861545584427</v>
      </c>
      <c r="T653" s="4">
        <f t="shared" si="121"/>
        <v>2.0216902548117357</v>
      </c>
      <c r="U653" s="1">
        <f t="shared" si="124"/>
        <v>1.3568568046879981</v>
      </c>
      <c r="V653" s="6">
        <f>2*sigma/alpha*corel*(B653/12-1/alpha*(1-EXP(-alpha*Output!B653/12)))</f>
        <v>3.9301713844430601</v>
      </c>
      <c r="W653" s="5">
        <f t="shared" si="122"/>
        <v>-0.66483345012373762</v>
      </c>
      <c r="X653" s="1">
        <f t="shared" si="123"/>
        <v>157.72060543757496</v>
      </c>
      <c r="Y653" s="3">
        <f t="shared" ref="Y653:Y716" si="125">(-V653+SQRT(X653))/2/B653*12</f>
        <v>8.0640327748288929E-2</v>
      </c>
      <c r="Z653" s="1">
        <f t="shared" ref="Z653:Z716" si="126">S653/SQRT(B653/12)</f>
        <v>0.19439290854781022</v>
      </c>
      <c r="AA653" s="8">
        <f t="shared" si="119"/>
        <v>53.416666666667091</v>
      </c>
      <c r="AB653" s="1">
        <v>53.5</v>
      </c>
      <c r="AC653" s="1">
        <v>7.5444005409999997E-3</v>
      </c>
      <c r="AD653" s="8">
        <f t="shared" ref="AD653:AD716" si="127">(AC653-O653)*10000</f>
        <v>0.62680704915489549</v>
      </c>
      <c r="AE653" s="3">
        <f t="shared" ref="AE653:AE716" si="128">AD653/AC653/10000</f>
        <v>8.3082419305353199E-3</v>
      </c>
      <c r="AF653" s="11">
        <f t="shared" ref="AF653:AF716" si="129">AA653</f>
        <v>53.416666666667091</v>
      </c>
      <c r="AG653" s="1">
        <f t="shared" ref="AG653:AG716" si="130">Z653</f>
        <v>0.19439290854781022</v>
      </c>
    </row>
    <row r="654" spans="2:33" ht="15" x14ac:dyDescent="0.25">
      <c r="B654" s="1">
        <v>643</v>
      </c>
      <c r="C654" s="1">
        <v>1.0011429854495904</v>
      </c>
      <c r="D654" s="1">
        <v>1.281844628854184</v>
      </c>
      <c r="E654" s="1">
        <v>0.77874179408016009</v>
      </c>
      <c r="G654" s="1">
        <v>1.0026656264641582</v>
      </c>
      <c r="H654" s="1">
        <v>7.6856202656716475</v>
      </c>
      <c r="I654" s="1">
        <v>9.5241581491120525E-2</v>
      </c>
      <c r="K654" s="1">
        <v>0.99952554374916269</v>
      </c>
      <c r="L654" s="1">
        <v>6.8184532923919177</v>
      </c>
      <c r="M654" s="1">
        <v>0.10408242646620113</v>
      </c>
      <c r="O654" s="1">
        <v>7.4834929936742492E-3</v>
      </c>
      <c r="P654" s="1">
        <v>0.66965642302652051</v>
      </c>
      <c r="R654" s="1">
        <v>0.28614841558192672</v>
      </c>
      <c r="S654" s="2">
        <f t="shared" si="120"/>
        <v>1.4239973086465898</v>
      </c>
      <c r="T654" s="4">
        <f t="shared" si="121"/>
        <v>2.0277683350327314</v>
      </c>
      <c r="U654" s="1">
        <f t="shared" si="124"/>
        <v>1.3609134644985073</v>
      </c>
      <c r="V654" s="6">
        <f>2*sigma/alpha*corel*(B654/12-1/alpha*(1-EXP(-alpha*Output!B654/12)))</f>
        <v>3.9393645201793661</v>
      </c>
      <c r="W654" s="5">
        <f t="shared" si="122"/>
        <v>-0.6668548705342241</v>
      </c>
      <c r="X654" s="1">
        <f t="shared" si="123"/>
        <v>158.4478200740167</v>
      </c>
      <c r="Y654" s="3">
        <f t="shared" si="125"/>
        <v>8.0698985614158447E-2</v>
      </c>
      <c r="Z654" s="1">
        <f t="shared" si="126"/>
        <v>0.19453345720625301</v>
      </c>
      <c r="AA654" s="8">
        <f t="shared" ref="AA654:AA717" si="131">AA653+1/12</f>
        <v>53.500000000000426</v>
      </c>
      <c r="AB654" s="1">
        <v>53.58</v>
      </c>
      <c r="AC654" s="1">
        <v>7.5442438360000001E-3</v>
      </c>
      <c r="AD654" s="8">
        <f t="shared" si="127"/>
        <v>0.60750842325750853</v>
      </c>
      <c r="AE654" s="3">
        <f t="shared" si="128"/>
        <v>8.0526085378970578E-3</v>
      </c>
      <c r="AF654" s="11">
        <f t="shared" si="129"/>
        <v>53.500000000000426</v>
      </c>
      <c r="AG654" s="1">
        <f t="shared" si="130"/>
        <v>0.19453345720625301</v>
      </c>
    </row>
    <row r="655" spans="2:33" ht="15" x14ac:dyDescent="0.25">
      <c r="B655" s="1">
        <v>644</v>
      </c>
      <c r="C655" s="1">
        <v>1.0011478738451867</v>
      </c>
      <c r="D655" s="1">
        <v>1.2828422103348536</v>
      </c>
      <c r="E655" s="1">
        <v>0.77813349358362283</v>
      </c>
      <c r="G655" s="1">
        <v>1.0029598424675519</v>
      </c>
      <c r="H655" s="1">
        <v>7.7329412668850539</v>
      </c>
      <c r="I655" s="1">
        <v>9.4612871257665196E-2</v>
      </c>
      <c r="K655" s="1">
        <v>0.99946805129553951</v>
      </c>
      <c r="L655" s="1">
        <v>6.897820626607345</v>
      </c>
      <c r="M655" s="1">
        <v>0.1028285948725083</v>
      </c>
      <c r="O655" s="1">
        <v>7.4852669145424261E-3</v>
      </c>
      <c r="P655" s="1">
        <v>0.66917523032537052</v>
      </c>
      <c r="R655" s="1">
        <v>0.28627668951582946</v>
      </c>
      <c r="S655" s="2">
        <f t="shared" si="120"/>
        <v>1.4258423998655647</v>
      </c>
      <c r="T655" s="4">
        <f t="shared" si="121"/>
        <v>2.0330265492543931</v>
      </c>
      <c r="U655" s="1">
        <f t="shared" si="124"/>
        <v>1.3649737184995088</v>
      </c>
      <c r="V655" s="6">
        <f>2*sigma/alpha*corel*(B655/12-1/alpha*(1-EXP(-alpha*Output!B655/12)))</f>
        <v>3.9485617275622582</v>
      </c>
      <c r="W655" s="5">
        <f t="shared" si="122"/>
        <v>-0.66805283075488431</v>
      </c>
      <c r="X655" s="1">
        <f t="shared" si="123"/>
        <v>158.99981405175129</v>
      </c>
      <c r="Y655" s="3">
        <f t="shared" si="125"/>
        <v>8.0692091105836056E-2</v>
      </c>
      <c r="Z655" s="1">
        <f t="shared" si="126"/>
        <v>0.19463422690843291</v>
      </c>
      <c r="AA655" s="8">
        <f t="shared" si="131"/>
        <v>53.583333333333762</v>
      </c>
      <c r="AB655" s="1">
        <v>53.67</v>
      </c>
      <c r="AC655" s="1">
        <v>7.5440876190000002E-3</v>
      </c>
      <c r="AD655" s="8">
        <f t="shared" si="127"/>
        <v>0.58820704457574102</v>
      </c>
      <c r="AE655" s="3">
        <f t="shared" si="128"/>
        <v>7.7969275316252269E-3</v>
      </c>
      <c r="AF655" s="11">
        <f t="shared" si="129"/>
        <v>53.583333333333762</v>
      </c>
      <c r="AG655" s="1">
        <f t="shared" si="130"/>
        <v>0.19463422690843291</v>
      </c>
    </row>
    <row r="656" spans="2:33" ht="15" x14ac:dyDescent="0.25">
      <c r="B656" s="1">
        <v>645</v>
      </c>
      <c r="C656" s="1">
        <v>1.0011474039050301</v>
      </c>
      <c r="D656" s="1">
        <v>1.2851055595747378</v>
      </c>
      <c r="E656" s="1">
        <v>0.77676030786941741</v>
      </c>
      <c r="G656" s="1">
        <v>1.0028336370494295</v>
      </c>
      <c r="H656" s="1">
        <v>7.8549814548719601</v>
      </c>
      <c r="I656" s="1">
        <v>9.3097749098232471E-2</v>
      </c>
      <c r="K656" s="1">
        <v>0.99946444556299885</v>
      </c>
      <c r="L656" s="1">
        <v>6.8386180141702129</v>
      </c>
      <c r="M656" s="1">
        <v>0.10366170397918892</v>
      </c>
      <c r="O656" s="1">
        <v>7.4870152970230863E-3</v>
      </c>
      <c r="P656" s="1">
        <v>0.66869510360074003</v>
      </c>
      <c r="R656" s="1">
        <v>0.28635244525851289</v>
      </c>
      <c r="S656" s="2">
        <f t="shared" si="120"/>
        <v>1.427470968987419</v>
      </c>
      <c r="T656" s="4">
        <f t="shared" si="121"/>
        <v>2.0376733673018808</v>
      </c>
      <c r="U656" s="1">
        <f t="shared" si="124"/>
        <v>1.3690375563138959</v>
      </c>
      <c r="V656" s="6">
        <f>2*sigma/alpha*corel*(B656/12-1/alpha*(1-EXP(-alpha*Output!B656/12)))</f>
        <v>3.957762993042178</v>
      </c>
      <c r="W656" s="5">
        <f t="shared" si="122"/>
        <v>-0.66863581098798486</v>
      </c>
      <c r="X656" s="1">
        <f t="shared" si="123"/>
        <v>159.42058727151093</v>
      </c>
      <c r="Y656" s="3">
        <f t="shared" si="125"/>
        <v>8.063649837964551E-2</v>
      </c>
      <c r="Z656" s="1">
        <f t="shared" si="126"/>
        <v>0.19470542412157033</v>
      </c>
      <c r="AA656" s="8">
        <f t="shared" si="131"/>
        <v>53.666666666667098</v>
      </c>
      <c r="AB656" s="1">
        <v>53.75</v>
      </c>
      <c r="AC656" s="1">
        <v>7.5439318869999997E-3</v>
      </c>
      <c r="AD656" s="8">
        <f t="shared" si="127"/>
        <v>0.56916589976913412</v>
      </c>
      <c r="AE656" s="3">
        <f t="shared" si="128"/>
        <v>7.5446850302286423E-3</v>
      </c>
      <c r="AF656" s="11">
        <f t="shared" si="129"/>
        <v>53.666666666667098</v>
      </c>
      <c r="AG656" s="1">
        <f t="shared" si="130"/>
        <v>0.19470542412157033</v>
      </c>
    </row>
    <row r="657" spans="2:33" ht="15" x14ac:dyDescent="0.25">
      <c r="B657" s="1">
        <v>646</v>
      </c>
      <c r="C657" s="1">
        <v>1.0011510294025088</v>
      </c>
      <c r="D657" s="1">
        <v>1.2890946100186256</v>
      </c>
      <c r="E657" s="1">
        <v>0.7743539349817149</v>
      </c>
      <c r="G657" s="1">
        <v>1.0030203525979122</v>
      </c>
      <c r="H657" s="1">
        <v>8.0695541842841418</v>
      </c>
      <c r="I657" s="1">
        <v>9.0578309594091772E-2</v>
      </c>
      <c r="K657" s="1">
        <v>0.9995006735590497</v>
      </c>
      <c r="L657" s="1">
        <v>6.9631081069861214</v>
      </c>
      <c r="M657" s="1">
        <v>0.1017575221097692</v>
      </c>
      <c r="O657" s="1">
        <v>7.4888147798222171E-3</v>
      </c>
      <c r="P657" s="1">
        <v>0.66821328845562056</v>
      </c>
      <c r="R657" s="1">
        <v>0.28644210257834379</v>
      </c>
      <c r="S657" s="2">
        <f t="shared" si="120"/>
        <v>1.4291635099103523</v>
      </c>
      <c r="T657" s="4">
        <f t="shared" si="121"/>
        <v>2.0425083380592777</v>
      </c>
      <c r="U657" s="1">
        <f t="shared" si="124"/>
        <v>1.3731049675885738</v>
      </c>
      <c r="V657" s="6">
        <f>2*sigma/alpha*corel*(B657/12-1/alpha*(1-EXP(-alpha*Output!B657/12)))</f>
        <v>3.9669683031146543</v>
      </c>
      <c r="W657" s="5">
        <f t="shared" si="122"/>
        <v>-0.66940337047070386</v>
      </c>
      <c r="X657" s="1">
        <f t="shared" si="123"/>
        <v>159.88169662594126</v>
      </c>
      <c r="Y657" s="3">
        <f t="shared" si="125"/>
        <v>8.0595651281970201E-2</v>
      </c>
      <c r="Z657" s="1">
        <f t="shared" si="126"/>
        <v>0.19478534687480548</v>
      </c>
      <c r="AA657" s="8">
        <f t="shared" si="131"/>
        <v>53.750000000000433</v>
      </c>
      <c r="AB657" s="1">
        <v>53.83</v>
      </c>
      <c r="AC657" s="1">
        <v>7.5437766380000004E-3</v>
      </c>
      <c r="AD657" s="8">
        <f t="shared" si="127"/>
        <v>0.54961858177783252</v>
      </c>
      <c r="AE657" s="3">
        <f t="shared" si="128"/>
        <v>7.2857218360530213E-3</v>
      </c>
      <c r="AF657" s="11">
        <f t="shared" si="129"/>
        <v>53.750000000000433</v>
      </c>
      <c r="AG657" s="1">
        <f t="shared" si="130"/>
        <v>0.19478534687480548</v>
      </c>
    </row>
    <row r="658" spans="2:33" ht="15" x14ac:dyDescent="0.25">
      <c r="B658" s="1">
        <v>647</v>
      </c>
      <c r="C658" s="1">
        <v>1.0011467997273276</v>
      </c>
      <c r="D658" s="1">
        <v>1.2933104096175918</v>
      </c>
      <c r="E658" s="1">
        <v>0.7718270614108832</v>
      </c>
      <c r="G658" s="1">
        <v>1.0026313286286455</v>
      </c>
      <c r="H658" s="1">
        <v>8.301754423372385</v>
      </c>
      <c r="I658" s="1">
        <v>8.8002149118785469E-2</v>
      </c>
      <c r="K658" s="1">
        <v>0.99911346451700034</v>
      </c>
      <c r="L658" s="1">
        <v>6.8787146251827949</v>
      </c>
      <c r="M658" s="1">
        <v>0.10295337275638683</v>
      </c>
      <c r="O658" s="1">
        <v>7.4906998402856691E-3</v>
      </c>
      <c r="P658" s="1">
        <v>0.66772853926274378</v>
      </c>
      <c r="R658" s="1">
        <v>0.28659190551462044</v>
      </c>
      <c r="S658" s="2">
        <f t="shared" si="120"/>
        <v>1.4311143336373602</v>
      </c>
      <c r="T658" s="4">
        <f t="shared" si="121"/>
        <v>2.0480882359423056</v>
      </c>
      <c r="U658" s="1">
        <f t="shared" si="124"/>
        <v>1.3771759419944467</v>
      </c>
      <c r="V658" s="6">
        <f>2*sigma/alpha*corel*(B658/12-1/alpha*(1-EXP(-alpha*Output!B658/12)))</f>
        <v>3.9761776443201557</v>
      </c>
      <c r="W658" s="5">
        <f t="shared" si="122"/>
        <v>-0.6709122939478589</v>
      </c>
      <c r="X658" s="1">
        <f t="shared" si="123"/>
        <v>160.50340672061296</v>
      </c>
      <c r="Y658" s="3">
        <f t="shared" si="125"/>
        <v>8.0613442969003468E-2</v>
      </c>
      <c r="Z658" s="1">
        <f t="shared" si="126"/>
        <v>0.19490043759286765</v>
      </c>
      <c r="AA658" s="8">
        <f t="shared" si="131"/>
        <v>53.833333333333769</v>
      </c>
      <c r="AB658" s="1">
        <v>53.92</v>
      </c>
      <c r="AC658" s="1">
        <v>7.5436218700000003E-3</v>
      </c>
      <c r="AD658" s="8">
        <f t="shared" si="127"/>
        <v>0.52922029714331209</v>
      </c>
      <c r="AE658" s="3">
        <f t="shared" si="128"/>
        <v>7.0154669237591574E-3</v>
      </c>
      <c r="AF658" s="11">
        <f t="shared" si="129"/>
        <v>53.833333333333769</v>
      </c>
      <c r="AG658" s="1">
        <f t="shared" si="130"/>
        <v>0.19490043759286765</v>
      </c>
    </row>
    <row r="659" spans="2:33" ht="15" x14ac:dyDescent="0.25">
      <c r="B659" s="1">
        <v>648</v>
      </c>
      <c r="C659" s="1">
        <v>1.0011529533960957</v>
      </c>
      <c r="D659" s="1">
        <v>1.2951363324249525</v>
      </c>
      <c r="E659" s="1">
        <v>0.77073620119448683</v>
      </c>
      <c r="G659" s="1">
        <v>1.0030545726482401</v>
      </c>
      <c r="H659" s="1">
        <v>8.4017883573940644</v>
      </c>
      <c r="I659" s="1">
        <v>8.6912216979240745E-2</v>
      </c>
      <c r="K659" s="1">
        <v>0.99889481904185107</v>
      </c>
      <c r="L659" s="1">
        <v>6.9472930468299134</v>
      </c>
      <c r="M659" s="1">
        <v>0.10188574724367289</v>
      </c>
      <c r="O659" s="1">
        <v>7.4925997160475511E-3</v>
      </c>
      <c r="P659" s="1">
        <v>0.66724339828180057</v>
      </c>
      <c r="R659" s="1">
        <v>0.28685436695233568</v>
      </c>
      <c r="S659" s="2">
        <f t="shared" si="120"/>
        <v>1.4335340893865023</v>
      </c>
      <c r="T659" s="4">
        <f t="shared" si="121"/>
        <v>2.0550199854331885</v>
      </c>
      <c r="U659" s="1">
        <f t="shared" si="124"/>
        <v>1.3812504692264111</v>
      </c>
      <c r="V659" s="6">
        <f>2*sigma/alpha*corel*(B659/12-1/alpha*(1-EXP(-alpha*Output!B659/12)))</f>
        <v>3.985391003243945</v>
      </c>
      <c r="W659" s="5">
        <f t="shared" si="122"/>
        <v>-0.67376951620677739</v>
      </c>
      <c r="X659" s="1">
        <f t="shared" si="123"/>
        <v>161.4175569494017</v>
      </c>
      <c r="Y659" s="3">
        <f t="shared" si="125"/>
        <v>8.0737314179506026E-2</v>
      </c>
      <c r="Z659" s="1">
        <f t="shared" si="126"/>
        <v>0.19507928043790337</v>
      </c>
      <c r="AA659" s="8">
        <f t="shared" si="131"/>
        <v>53.916666666667105</v>
      </c>
      <c r="AB659" s="1">
        <v>54</v>
      </c>
      <c r="AC659" s="1">
        <v>7.5434675800000002E-3</v>
      </c>
      <c r="AD659" s="8">
        <f t="shared" si="127"/>
        <v>0.50867863952449088</v>
      </c>
      <c r="AE659" s="3">
        <f t="shared" si="128"/>
        <v>6.7432998701174359E-3</v>
      </c>
      <c r="AF659" s="11">
        <f t="shared" si="129"/>
        <v>53.916666666667105</v>
      </c>
      <c r="AG659" s="1">
        <f t="shared" si="130"/>
        <v>0.19507928043790337</v>
      </c>
    </row>
    <row r="660" spans="2:33" ht="15" x14ac:dyDescent="0.25">
      <c r="B660" s="1">
        <v>649</v>
      </c>
      <c r="C660" s="1">
        <v>1.0011555030455745</v>
      </c>
      <c r="D660" s="1">
        <v>1.2875839331232328</v>
      </c>
      <c r="E660" s="1">
        <v>0.77525426462580571</v>
      </c>
      <c r="G660" s="1">
        <v>1.0031361109107735</v>
      </c>
      <c r="H660" s="1">
        <v>7.9694480129604033</v>
      </c>
      <c r="I660" s="1">
        <v>9.1582759769419056E-2</v>
      </c>
      <c r="K660" s="1">
        <v>0.99877606862459178</v>
      </c>
      <c r="L660" s="1">
        <v>7.0642403724837441</v>
      </c>
      <c r="M660" s="1">
        <v>0.10014173868859133</v>
      </c>
      <c r="O660" s="1">
        <v>7.4945575104312517E-3</v>
      </c>
      <c r="P660" s="1">
        <v>0.66675631008353253</v>
      </c>
      <c r="R660" s="1">
        <v>0.28684863942033356</v>
      </c>
      <c r="S660" s="2">
        <f t="shared" si="120"/>
        <v>1.4348546411749459</v>
      </c>
      <c r="T660" s="4">
        <f t="shared" si="121"/>
        <v>2.0588078413012827</v>
      </c>
      <c r="U660" s="1">
        <f t="shared" si="124"/>
        <v>1.3853285390033414</v>
      </c>
      <c r="V660" s="6">
        <f>2*sigma/alpha*corel*(B660/12-1/alpha*(1-EXP(-alpha*Output!B660/12)))</f>
        <v>3.9946083665159229</v>
      </c>
      <c r="W660" s="5">
        <f t="shared" si="122"/>
        <v>-0.67347930229794128</v>
      </c>
      <c r="X660" s="1">
        <f t="shared" si="123"/>
        <v>161.65291839896031</v>
      </c>
      <c r="Y660" s="3">
        <f t="shared" si="125"/>
        <v>8.0613297975663273E-2</v>
      </c>
      <c r="Z660" s="1">
        <f t="shared" si="126"/>
        <v>0.19510849613199746</v>
      </c>
      <c r="AA660" s="8">
        <f t="shared" si="131"/>
        <v>54.000000000000441</v>
      </c>
      <c r="AB660" s="1">
        <v>54.08</v>
      </c>
      <c r="AC660" s="1">
        <v>7.5433137659999998E-3</v>
      </c>
      <c r="AD660" s="8">
        <f t="shared" si="127"/>
        <v>0.4875625556874808</v>
      </c>
      <c r="AE660" s="3">
        <f t="shared" si="128"/>
        <v>6.4635062362787153E-3</v>
      </c>
      <c r="AF660" s="11">
        <f t="shared" si="129"/>
        <v>54.000000000000441</v>
      </c>
      <c r="AG660" s="1">
        <f t="shared" si="130"/>
        <v>0.19510849613199746</v>
      </c>
    </row>
    <row r="661" spans="2:33" ht="15" x14ac:dyDescent="0.25">
      <c r="B661" s="1">
        <v>650</v>
      </c>
      <c r="C661" s="1">
        <v>1.0011543799517293</v>
      </c>
      <c r="D661" s="1">
        <v>1.2881109565377857</v>
      </c>
      <c r="E661" s="1">
        <v>0.77493433610365015</v>
      </c>
      <c r="G661" s="1">
        <v>1.0029298747267628</v>
      </c>
      <c r="H661" s="1">
        <v>7.993940624762776</v>
      </c>
      <c r="I661" s="1">
        <v>9.1257895946440917E-2</v>
      </c>
      <c r="K661" s="1">
        <v>0.9988474642051518</v>
      </c>
      <c r="L661" s="1">
        <v>7.0411218636076329</v>
      </c>
      <c r="M661" s="1">
        <v>0.10041226404902963</v>
      </c>
      <c r="O661" s="1">
        <v>7.4964582201302934E-3</v>
      </c>
      <c r="P661" s="1">
        <v>0.66627142022299202</v>
      </c>
      <c r="R661" s="1">
        <v>0.28694317687379128</v>
      </c>
      <c r="S661" s="2">
        <f t="shared" si="120"/>
        <v>1.4365853535290596</v>
      </c>
      <c r="T661" s="4">
        <f t="shared" si="121"/>
        <v>2.0637774779742131</v>
      </c>
      <c r="U661" s="1">
        <f t="shared" si="124"/>
        <v>1.3894101410680806</v>
      </c>
      <c r="V661" s="6">
        <f>2*sigma/alpha*corel*(B661/12-1/alpha*(1-EXP(-alpha*Output!B661/12)))</f>
        <v>4.0038297208104821</v>
      </c>
      <c r="W661" s="5">
        <f t="shared" si="122"/>
        <v>-0.67436733690613249</v>
      </c>
      <c r="X661" s="1">
        <f t="shared" si="123"/>
        <v>162.14357542957404</v>
      </c>
      <c r="Y661" s="3">
        <f t="shared" si="125"/>
        <v>8.0582134772048536E-2</v>
      </c>
      <c r="Z661" s="1">
        <f t="shared" si="126"/>
        <v>0.19519351240673391</v>
      </c>
      <c r="AA661" s="8">
        <f t="shared" si="131"/>
        <v>54.083333333333776</v>
      </c>
      <c r="AB661" s="1">
        <v>54.17</v>
      </c>
      <c r="AC661" s="1">
        <v>7.5431604269999997E-3</v>
      </c>
      <c r="AD661" s="8">
        <f t="shared" si="127"/>
        <v>0.46702206869706286</v>
      </c>
      <c r="AE661" s="3">
        <f t="shared" si="128"/>
        <v>6.191331514379614E-3</v>
      </c>
      <c r="AF661" s="11">
        <f t="shared" si="129"/>
        <v>54.083333333333776</v>
      </c>
      <c r="AG661" s="1">
        <f t="shared" si="130"/>
        <v>0.19519351240673391</v>
      </c>
    </row>
    <row r="662" spans="2:33" ht="15" x14ac:dyDescent="0.25">
      <c r="B662" s="1">
        <v>651</v>
      </c>
      <c r="C662" s="1">
        <v>1.0011553767097974</v>
      </c>
      <c r="D662" s="1">
        <v>1.2885139241894523</v>
      </c>
      <c r="E662" s="1">
        <v>0.77468924328341982</v>
      </c>
      <c r="G662" s="1">
        <v>1.0029120569039123</v>
      </c>
      <c r="H662" s="1">
        <v>8.0146500040137294</v>
      </c>
      <c r="I662" s="1">
        <v>9.0977962614799859E-2</v>
      </c>
      <c r="K662" s="1">
        <v>0.9990723649249359</v>
      </c>
      <c r="L662" s="1">
        <v>7.1896139184419701</v>
      </c>
      <c r="M662" s="1">
        <v>9.829369112948641E-2</v>
      </c>
      <c r="O662" s="1">
        <v>7.4982703253100684E-3</v>
      </c>
      <c r="P662" s="1">
        <v>0.66578987238892073</v>
      </c>
      <c r="R662" s="1">
        <v>0.28703618032078476</v>
      </c>
      <c r="S662" s="2">
        <f t="shared" si="120"/>
        <v>1.4383027575627947</v>
      </c>
      <c r="T662" s="4">
        <f t="shared" si="121"/>
        <v>2.0687148224127392</v>
      </c>
      <c r="U662" s="1">
        <f t="shared" si="124"/>
        <v>1.3934952651874286</v>
      </c>
      <c r="V662" s="6">
        <f>2*sigma/alpha*corel*(B662/12-1/alpha*(1-EXP(-alpha*Output!B662/12)))</f>
        <v>4.0130550528463642</v>
      </c>
      <c r="W662" s="5">
        <f t="shared" si="122"/>
        <v>-0.67521955722531057</v>
      </c>
      <c r="X662" s="1">
        <f t="shared" si="123"/>
        <v>162.62725477506814</v>
      </c>
      <c r="Y662" s="3">
        <f t="shared" si="125"/>
        <v>8.0548240527768156E-2</v>
      </c>
      <c r="Z662" s="1">
        <f t="shared" si="126"/>
        <v>0.19527670654281115</v>
      </c>
      <c r="AA662" s="8">
        <f t="shared" si="131"/>
        <v>54.166666666667112</v>
      </c>
      <c r="AB662" s="1">
        <v>54.25</v>
      </c>
      <c r="AC662" s="1">
        <v>7.5430075589999999E-3</v>
      </c>
      <c r="AD662" s="8">
        <f t="shared" si="127"/>
        <v>0.44737233689931544</v>
      </c>
      <c r="AE662" s="3">
        <f t="shared" si="128"/>
        <v>5.9309543759574991E-3</v>
      </c>
      <c r="AF662" s="11">
        <f t="shared" si="129"/>
        <v>54.166666666667112</v>
      </c>
      <c r="AG662" s="1">
        <f t="shared" si="130"/>
        <v>0.19527670654281115</v>
      </c>
    </row>
    <row r="663" spans="2:33" ht="15" x14ac:dyDescent="0.25">
      <c r="B663" s="1">
        <v>652</v>
      </c>
      <c r="C663" s="1">
        <v>1.0011562574027257</v>
      </c>
      <c r="D663" s="1">
        <v>1.2903304207895803</v>
      </c>
      <c r="E663" s="1">
        <v>0.77359591303377195</v>
      </c>
      <c r="G663" s="1">
        <v>1.0028578440480511</v>
      </c>
      <c r="H663" s="1">
        <v>8.1129430688263788</v>
      </c>
      <c r="I663" s="1">
        <v>8.9832138270711764E-2</v>
      </c>
      <c r="K663" s="1">
        <v>0.99918008068683806</v>
      </c>
      <c r="L663" s="1">
        <v>7.0879036373729862</v>
      </c>
      <c r="M663" s="1">
        <v>9.9650903289135742E-2</v>
      </c>
      <c r="O663" s="1">
        <v>7.5000993534962892E-3</v>
      </c>
      <c r="P663" s="1">
        <v>0.66530785991903307</v>
      </c>
      <c r="R663" s="1">
        <v>0.28715900134249017</v>
      </c>
      <c r="S663" s="2">
        <f t="shared" ref="S663:S726" si="132">optim_vol_implied(P663,R663)</f>
        <v>1.4401473165118002</v>
      </c>
      <c r="T663" s="4">
        <f t="shared" ref="T663:T726" si="133">S663*S663</f>
        <v>2.074024293256139</v>
      </c>
      <c r="U663" s="1">
        <f t="shared" si="124"/>
        <v>1.397583901152128</v>
      </c>
      <c r="V663" s="6">
        <f>2*sigma/alpha*corel*(B663/12-1/alpha*(1-EXP(-alpha*Output!B663/12)))</f>
        <v>4.0222843493865046</v>
      </c>
      <c r="W663" s="5">
        <f t="shared" ref="W663:W726" si="134">U663-T663</f>
        <v>-0.67644039210401097</v>
      </c>
      <c r="X663" s="1">
        <f t="shared" ref="X663:X726" si="135">V663*V663-4*W663*B663/12</f>
        <v>163.19181660459134</v>
      </c>
      <c r="Y663" s="3">
        <f t="shared" si="125"/>
        <v>8.054329044178124E-2</v>
      </c>
      <c r="Z663" s="1">
        <f t="shared" si="126"/>
        <v>0.19537713851996083</v>
      </c>
      <c r="AA663" s="8">
        <f t="shared" si="131"/>
        <v>54.250000000000448</v>
      </c>
      <c r="AB663" s="1">
        <v>54.33</v>
      </c>
      <c r="AC663" s="1">
        <v>7.542855161E-3</v>
      </c>
      <c r="AD663" s="8">
        <f t="shared" si="127"/>
        <v>0.42755807503710824</v>
      </c>
      <c r="AE663" s="3">
        <f t="shared" si="128"/>
        <v>5.6683850599144265E-3</v>
      </c>
      <c r="AF663" s="11">
        <f t="shared" si="129"/>
        <v>54.250000000000448</v>
      </c>
      <c r="AG663" s="1">
        <f t="shared" si="130"/>
        <v>0.19537713851996083</v>
      </c>
    </row>
    <row r="664" spans="2:33" ht="15" x14ac:dyDescent="0.25">
      <c r="B664" s="1">
        <v>653</v>
      </c>
      <c r="C664" s="1">
        <v>1.0011562224304422</v>
      </c>
      <c r="D664" s="1">
        <v>1.2890369905573382</v>
      </c>
      <c r="E664" s="1">
        <v>0.77436939732559007</v>
      </c>
      <c r="G664" s="1">
        <v>1.0027601103126498</v>
      </c>
      <c r="H664" s="1">
        <v>8.0312761261662722</v>
      </c>
      <c r="I664" s="1">
        <v>9.0701611425980364E-2</v>
      </c>
      <c r="K664" s="1">
        <v>0.99932328173698615</v>
      </c>
      <c r="L664" s="1">
        <v>6.933333134106193</v>
      </c>
      <c r="M664" s="1">
        <v>0.10181353563625602</v>
      </c>
      <c r="O664" s="1">
        <v>7.5018705245734583E-3</v>
      </c>
      <c r="P664" s="1">
        <v>0.66482808688333439</v>
      </c>
      <c r="R664" s="1">
        <v>0.28728197323403998</v>
      </c>
      <c r="S664" s="2">
        <f t="shared" si="132"/>
        <v>1.4419888175507387</v>
      </c>
      <c r="T664" s="4">
        <f t="shared" si="133"/>
        <v>2.0793317499413777</v>
      </c>
      <c r="U664" s="1">
        <f t="shared" si="124"/>
        <v>1.4016760387768556</v>
      </c>
      <c r="V664" s="6">
        <f>2*sigma/alpha*corel*(B664/12-1/alpha*(1-EXP(-alpha*Output!B664/12)))</f>
        <v>4.0315175972378867</v>
      </c>
      <c r="W664" s="5">
        <f t="shared" si="134"/>
        <v>-0.67765571116452206</v>
      </c>
      <c r="X664" s="1">
        <f t="shared" si="135"/>
        <v>163.75619393364971</v>
      </c>
      <c r="Y664" s="3">
        <f t="shared" si="125"/>
        <v>8.053790177235122E-2</v>
      </c>
      <c r="Z664" s="1">
        <f t="shared" si="126"/>
        <v>0.19547711685731711</v>
      </c>
      <c r="AA664" s="8">
        <f t="shared" si="131"/>
        <v>54.333333333333783</v>
      </c>
      <c r="AB664" s="1">
        <v>54.42</v>
      </c>
      <c r="AC664" s="1">
        <v>7.5427032300000004E-3</v>
      </c>
      <c r="AD664" s="8">
        <f t="shared" si="127"/>
        <v>0.40832705426542026</v>
      </c>
      <c r="AE664" s="3">
        <f t="shared" si="128"/>
        <v>5.4135373196357375E-3</v>
      </c>
      <c r="AF664" s="11">
        <f t="shared" si="129"/>
        <v>54.333333333333783</v>
      </c>
      <c r="AG664" s="1">
        <f t="shared" si="130"/>
        <v>0.19547711685731711</v>
      </c>
    </row>
    <row r="665" spans="2:33" ht="15" x14ac:dyDescent="0.25">
      <c r="B665" s="1">
        <v>654</v>
      </c>
      <c r="C665" s="1">
        <v>1.0011557139923848</v>
      </c>
      <c r="D665" s="1">
        <v>1.2876434308402638</v>
      </c>
      <c r="E665" s="1">
        <v>0.77520470846347833</v>
      </c>
      <c r="G665" s="1">
        <v>1.002632771606301</v>
      </c>
      <c r="H665" s="1">
        <v>7.9501807824391504</v>
      </c>
      <c r="I665" s="1">
        <v>9.1582385068059782E-2</v>
      </c>
      <c r="K665" s="1">
        <v>0.99928494278534208</v>
      </c>
      <c r="L665" s="1">
        <v>6.9371957237680899</v>
      </c>
      <c r="M665" s="1">
        <v>0.10170515894612717</v>
      </c>
      <c r="O665" s="1">
        <v>7.5036906583373086E-3</v>
      </c>
      <c r="P665" s="1">
        <v>0.66434669092436416</v>
      </c>
      <c r="R665" s="1">
        <v>0.28744912218243385</v>
      </c>
      <c r="S665" s="2">
        <f t="shared" si="132"/>
        <v>1.4440208823883436</v>
      </c>
      <c r="T665" s="4">
        <f t="shared" si="133"/>
        <v>2.0851963087736105</v>
      </c>
      <c r="U665" s="1">
        <f t="shared" si="124"/>
        <v>1.4057716679002059</v>
      </c>
      <c r="V665" s="6">
        <f>2*sigma/alpha*corel*(B665/12-1/alpha*(1-EXP(-alpha*Output!B665/12)))</f>
        <v>4.0407547832514057</v>
      </c>
      <c r="W665" s="5">
        <f t="shared" si="134"/>
        <v>-0.67942464087340459</v>
      </c>
      <c r="X665" s="1">
        <f t="shared" si="135"/>
        <v>164.44227092877131</v>
      </c>
      <c r="Y665" s="3">
        <f t="shared" si="125"/>
        <v>8.0575686643501454E-2</v>
      </c>
      <c r="Z665" s="1">
        <f t="shared" si="126"/>
        <v>0.19560286994262385</v>
      </c>
      <c r="AA665" s="8">
        <f t="shared" si="131"/>
        <v>54.416666666667119</v>
      </c>
      <c r="AB665" s="1">
        <v>54.5</v>
      </c>
      <c r="AC665" s="1">
        <v>7.5425517649999997E-3</v>
      </c>
      <c r="AD665" s="8">
        <f t="shared" si="127"/>
        <v>0.38861106662691108</v>
      </c>
      <c r="AE665" s="3">
        <f t="shared" si="128"/>
        <v>5.1522492484598953E-3</v>
      </c>
      <c r="AF665" s="11">
        <f t="shared" si="129"/>
        <v>54.416666666667119</v>
      </c>
      <c r="AG665" s="1">
        <f t="shared" si="130"/>
        <v>0.19560286994262385</v>
      </c>
    </row>
    <row r="666" spans="2:33" ht="15" x14ac:dyDescent="0.25">
      <c r="B666" s="1">
        <v>655</v>
      </c>
      <c r="C666" s="1">
        <v>1.0011524509460017</v>
      </c>
      <c r="D666" s="1">
        <v>1.2858820656768701</v>
      </c>
      <c r="E666" s="1">
        <v>0.77626379923196154</v>
      </c>
      <c r="G666" s="1">
        <v>1.0021958110054989</v>
      </c>
      <c r="H666" s="1">
        <v>7.8385198934595319</v>
      </c>
      <c r="I666" s="1">
        <v>9.2841955697964718E-2</v>
      </c>
      <c r="K666" s="1">
        <v>0.99927216064592816</v>
      </c>
      <c r="L666" s="1">
        <v>7.1406806652858901</v>
      </c>
      <c r="M666" s="1">
        <v>9.8756427133699573E-2</v>
      </c>
      <c r="O666" s="1">
        <v>7.5055272468419736E-3</v>
      </c>
      <c r="P666" s="1">
        <v>0.66386484589893768</v>
      </c>
      <c r="R666" s="1">
        <v>0.28757269307568767</v>
      </c>
      <c r="S666" s="2">
        <f t="shared" si="132"/>
        <v>1.4458759101573857</v>
      </c>
      <c r="T666" s="4">
        <f t="shared" si="133"/>
        <v>2.0905571475734486</v>
      </c>
      <c r="U666" s="1">
        <f t="shared" si="124"/>
        <v>1.4098707783846791</v>
      </c>
      <c r="V666" s="6">
        <f>2*sigma/alpha*corel*(B666/12-1/alpha*(1-EXP(-alpha*Output!B666/12)))</f>
        <v>4.0499958943217056</v>
      </c>
      <c r="W666" s="5">
        <f t="shared" si="134"/>
        <v>-0.68068636918876946</v>
      </c>
      <c r="X666" s="1">
        <f t="shared" si="135"/>
        <v>165.01899068357065</v>
      </c>
      <c r="Y666" s="3">
        <f t="shared" si="125"/>
        <v>8.0573824803940639E-2</v>
      </c>
      <c r="Z666" s="1">
        <f t="shared" si="126"/>
        <v>0.19570458252086545</v>
      </c>
      <c r="AA666" s="8">
        <f t="shared" si="131"/>
        <v>54.500000000000455</v>
      </c>
      <c r="AB666" s="1">
        <v>54.58</v>
      </c>
      <c r="AC666" s="1">
        <v>7.5424007630000003E-3</v>
      </c>
      <c r="AD666" s="8">
        <f t="shared" si="127"/>
        <v>0.36873516158026676</v>
      </c>
      <c r="AE666" s="3">
        <f t="shared" si="128"/>
        <v>4.8888301373368262E-3</v>
      </c>
      <c r="AF666" s="11">
        <f t="shared" si="129"/>
        <v>54.500000000000455</v>
      </c>
      <c r="AG666" s="1">
        <f t="shared" si="130"/>
        <v>0.19570458252086545</v>
      </c>
    </row>
    <row r="667" spans="2:33" ht="15" x14ac:dyDescent="0.25">
      <c r="B667" s="1">
        <v>656</v>
      </c>
      <c r="C667" s="1">
        <v>1.0011513020373299</v>
      </c>
      <c r="D667" s="1">
        <v>1.2820502248095924</v>
      </c>
      <c r="E667" s="1">
        <v>0.77858115160432984</v>
      </c>
      <c r="G667" s="1">
        <v>1.0020398682050704</v>
      </c>
      <c r="H667" s="1">
        <v>7.6339677290652004</v>
      </c>
      <c r="I667" s="1">
        <v>9.5283437102606311E-2</v>
      </c>
      <c r="K667" s="1">
        <v>0.99904031143703786</v>
      </c>
      <c r="L667" s="1">
        <v>7.127972297202029</v>
      </c>
      <c r="M667" s="1">
        <v>9.8873350236715188E-2</v>
      </c>
      <c r="O667" s="1">
        <v>7.5074150756610442E-3</v>
      </c>
      <c r="P667" s="1">
        <v>0.66338128906668281</v>
      </c>
      <c r="R667" s="1">
        <v>0.28762620261839877</v>
      </c>
      <c r="S667" s="2">
        <f t="shared" si="132"/>
        <v>1.4474466041253409</v>
      </c>
      <c r="T667" s="4">
        <f t="shared" si="133"/>
        <v>2.0951016717939814</v>
      </c>
      <c r="U667" s="1">
        <f t="shared" si="124"/>
        <v>1.4139733601166657</v>
      </c>
      <c r="V667" s="6">
        <f>2*sigma/alpha*corel*(B667/12-1/alpha*(1-EXP(-alpha*Output!B667/12)))</f>
        <v>4.0592409173870454</v>
      </c>
      <c r="W667" s="5">
        <f t="shared" si="134"/>
        <v>-0.68112831167731569</v>
      </c>
      <c r="X667" s="1">
        <f t="shared" si="135"/>
        <v>165.41749431216226</v>
      </c>
      <c r="Y667" s="3">
        <f t="shared" si="125"/>
        <v>8.0508222608325783E-2</v>
      </c>
      <c r="Z667" s="1">
        <f t="shared" si="126"/>
        <v>0.19576779761134674</v>
      </c>
      <c r="AA667" s="8">
        <f t="shared" si="131"/>
        <v>54.58333333333379</v>
      </c>
      <c r="AB667" s="1">
        <v>54.67</v>
      </c>
      <c r="AC667" s="1">
        <v>7.5422502220000003E-3</v>
      </c>
      <c r="AD667" s="8">
        <f t="shared" si="127"/>
        <v>0.3483514633895613</v>
      </c>
      <c r="AE667" s="3">
        <f t="shared" si="128"/>
        <v>4.6186675479614079E-3</v>
      </c>
      <c r="AF667" s="11">
        <f t="shared" si="129"/>
        <v>54.58333333333379</v>
      </c>
      <c r="AG667" s="1">
        <f t="shared" si="130"/>
        <v>0.19576779761134674</v>
      </c>
    </row>
    <row r="668" spans="2:33" ht="15" x14ac:dyDescent="0.25">
      <c r="B668" s="1">
        <v>657</v>
      </c>
      <c r="C668" s="1">
        <v>1.0011541014755423</v>
      </c>
      <c r="D668" s="1">
        <v>1.2846657063069156</v>
      </c>
      <c r="E668" s="1">
        <v>0.77699324637026768</v>
      </c>
      <c r="G668" s="1">
        <v>1.0021784119011006</v>
      </c>
      <c r="H668" s="1">
        <v>7.77410876560673</v>
      </c>
      <c r="I668" s="1">
        <v>9.3520433096674502E-2</v>
      </c>
      <c r="K668" s="1">
        <v>0.99887849398372186</v>
      </c>
      <c r="L668" s="1">
        <v>7.3265215835904183</v>
      </c>
      <c r="M668" s="1">
        <v>9.6146040064039012E-2</v>
      </c>
      <c r="O668" s="1">
        <v>7.5093207265745253E-3</v>
      </c>
      <c r="P668" s="1">
        <v>0.66289722905385207</v>
      </c>
      <c r="R668" s="1">
        <v>0.28771463906026207</v>
      </c>
      <c r="S668" s="2">
        <f t="shared" si="132"/>
        <v>1.4491662341014082</v>
      </c>
      <c r="T668" s="4">
        <f t="shared" si="133"/>
        <v>2.1000827740596573</v>
      </c>
      <c r="U668" s="1">
        <f t="shared" si="124"/>
        <v>1.4180794030064385</v>
      </c>
      <c r="V668" s="6">
        <f>2*sigma/alpha*corel*(B668/12-1/alpha*(1-EXP(-alpha*Output!B668/12)))</f>
        <v>4.0684898394291533</v>
      </c>
      <c r="W668" s="5">
        <f t="shared" si="134"/>
        <v>-0.68200337105321873</v>
      </c>
      <c r="X668" s="1">
        <f t="shared" si="135"/>
        <v>165.91134783419318</v>
      </c>
      <c r="Y668" s="3">
        <f t="shared" si="125"/>
        <v>8.0476420608096871E-2</v>
      </c>
      <c r="Z668" s="1">
        <f t="shared" si="126"/>
        <v>0.19585115837934827</v>
      </c>
      <c r="AA668" s="8">
        <f t="shared" si="131"/>
        <v>54.666666666667126</v>
      </c>
      <c r="AB668" s="1">
        <v>54.75</v>
      </c>
      <c r="AC668" s="1">
        <v>7.5421001399999998E-3</v>
      </c>
      <c r="AD668" s="8">
        <f t="shared" si="127"/>
        <v>0.32779413425474552</v>
      </c>
      <c r="AE668" s="3">
        <f t="shared" si="128"/>
        <v>4.3461917525633052E-3</v>
      </c>
      <c r="AF668" s="11">
        <f t="shared" si="129"/>
        <v>54.666666666667126</v>
      </c>
      <c r="AG668" s="1">
        <f t="shared" si="130"/>
        <v>0.19585115837934827</v>
      </c>
    </row>
    <row r="669" spans="2:33" ht="15" x14ac:dyDescent="0.25">
      <c r="B669" s="1">
        <v>658</v>
      </c>
      <c r="C669" s="1">
        <v>1.0011590989232604</v>
      </c>
      <c r="D669" s="1">
        <v>1.2813167979394233</v>
      </c>
      <c r="E669" s="1">
        <v>0.7790212467698574</v>
      </c>
      <c r="G669" s="1">
        <v>1.0024402960107899</v>
      </c>
      <c r="H669" s="1">
        <v>7.582951558436446</v>
      </c>
      <c r="I669" s="1">
        <v>9.5831486639579355E-2</v>
      </c>
      <c r="K669" s="1">
        <v>0.99884891482160898</v>
      </c>
      <c r="L669" s="1">
        <v>7.4601974490901943</v>
      </c>
      <c r="M669" s="1">
        <v>9.4371157806623265E-2</v>
      </c>
      <c r="O669" s="1">
        <v>7.5112575176412592E-3</v>
      </c>
      <c r="P669" s="1">
        <v>0.66241218078273933</v>
      </c>
      <c r="R669" s="1">
        <v>0.28786701174441459</v>
      </c>
      <c r="S669" s="2">
        <f t="shared" si="132"/>
        <v>1.4511576447428325</v>
      </c>
      <c r="T669" s="4">
        <f t="shared" si="133"/>
        <v>2.1058585098955649</v>
      </c>
      <c r="U669" s="1">
        <f t="shared" si="124"/>
        <v>1.422188896988128</v>
      </c>
      <c r="V669" s="6">
        <f>2*sigma/alpha*corel*(B669/12-1/alpha*(1-EXP(-alpha*Output!B669/12)))</f>
        <v>4.077742647473074</v>
      </c>
      <c r="W669" s="5">
        <f t="shared" si="134"/>
        <v>-0.68366961290743689</v>
      </c>
      <c r="X669" s="1">
        <f t="shared" si="135"/>
        <v>166.57952019671853</v>
      </c>
      <c r="Y669" s="3">
        <f t="shared" si="125"/>
        <v>8.0506014258061087E-2</v>
      </c>
      <c r="Z669" s="1">
        <f t="shared" si="126"/>
        <v>0.19597120825820435</v>
      </c>
      <c r="AA669" s="8">
        <f t="shared" si="131"/>
        <v>54.750000000000462</v>
      </c>
      <c r="AB669" s="1">
        <v>54.83</v>
      </c>
      <c r="AC669" s="1">
        <v>7.5419505140000001E-3</v>
      </c>
      <c r="AD669" s="8">
        <f t="shared" si="127"/>
        <v>0.30692996358740871</v>
      </c>
      <c r="AE669" s="3">
        <f t="shared" si="128"/>
        <v>4.0696364026475591E-3</v>
      </c>
      <c r="AF669" s="11">
        <f t="shared" si="129"/>
        <v>54.750000000000462</v>
      </c>
      <c r="AG669" s="1">
        <f t="shared" si="130"/>
        <v>0.19597120825820435</v>
      </c>
    </row>
    <row r="670" spans="2:33" ht="15" x14ac:dyDescent="0.25">
      <c r="B670" s="1">
        <v>659</v>
      </c>
      <c r="C670" s="1">
        <v>1.0011662797331604</v>
      </c>
      <c r="D670" s="1">
        <v>1.2818817735411987</v>
      </c>
      <c r="E670" s="1">
        <v>0.77867511431698755</v>
      </c>
      <c r="G670" s="1">
        <v>1.0029549287456754</v>
      </c>
      <c r="H670" s="1">
        <v>7.607376316942303</v>
      </c>
      <c r="I670" s="1">
        <v>9.5477489339192576E-2</v>
      </c>
      <c r="K670" s="1">
        <v>0.99895002355914797</v>
      </c>
      <c r="L670" s="1">
        <v>7.6052942196951223</v>
      </c>
      <c r="M670" s="1">
        <v>9.2522958765916194E-2</v>
      </c>
      <c r="O670" s="1">
        <v>7.5131793945787256E-3</v>
      </c>
      <c r="P670" s="1">
        <v>0.66192781589827421</v>
      </c>
      <c r="R670" s="1">
        <v>0.28797759245388277</v>
      </c>
      <c r="S670" s="2">
        <f t="shared" si="132"/>
        <v>1.4529754766267129</v>
      </c>
      <c r="T670" s="4">
        <f t="shared" si="133"/>
        <v>2.1111377356786236</v>
      </c>
      <c r="U670" s="1">
        <f t="shared" si="124"/>
        <v>1.4263018320197176</v>
      </c>
      <c r="V670" s="6">
        <f>2*sigma/alpha*corel*(B670/12-1/alpha*(1-EXP(-alpha*Output!B670/12)))</f>
        <v>4.0869993285870336</v>
      </c>
      <c r="W670" s="5">
        <f t="shared" si="134"/>
        <v>-0.68483590365890601</v>
      </c>
      <c r="X670" s="1">
        <f t="shared" si="135"/>
        <v>167.13918368227721</v>
      </c>
      <c r="Y670" s="3">
        <f t="shared" si="125"/>
        <v>8.0496807691937872E-2</v>
      </c>
      <c r="Z670" s="1">
        <f t="shared" si="126"/>
        <v>0.19606776579341714</v>
      </c>
      <c r="AA670" s="8">
        <f t="shared" si="131"/>
        <v>54.833333333333798</v>
      </c>
      <c r="AB670" s="1">
        <v>54.92</v>
      </c>
      <c r="AC670" s="1">
        <v>7.5418013440000002E-3</v>
      </c>
      <c r="AD670" s="8">
        <f t="shared" si="127"/>
        <v>0.28621949421274612</v>
      </c>
      <c r="AE670" s="3">
        <f t="shared" si="128"/>
        <v>3.7951078417154619E-3</v>
      </c>
      <c r="AF670" s="11">
        <f t="shared" si="129"/>
        <v>54.833333333333798</v>
      </c>
      <c r="AG670" s="1">
        <f t="shared" si="130"/>
        <v>0.19606776579341714</v>
      </c>
    </row>
    <row r="671" spans="2:33" ht="15" x14ac:dyDescent="0.25">
      <c r="B671" s="1">
        <v>660</v>
      </c>
      <c r="C671" s="1">
        <v>1.0011717503998434</v>
      </c>
      <c r="D671" s="1">
        <v>1.2826551820102439</v>
      </c>
      <c r="E671" s="1">
        <v>0.77820280340027204</v>
      </c>
      <c r="G671" s="1">
        <v>1.0032726663897182</v>
      </c>
      <c r="H671" s="1">
        <v>7.6533154213433781</v>
      </c>
      <c r="I671" s="1">
        <v>9.4858370386963653E-2</v>
      </c>
      <c r="K671" s="1">
        <v>0.99896150318923005</v>
      </c>
      <c r="L671" s="1">
        <v>7.8291075118034072</v>
      </c>
      <c r="M671" s="1">
        <v>8.9826903113413625E-2</v>
      </c>
      <c r="O671" s="1">
        <v>7.5150140834005699E-3</v>
      </c>
      <c r="P671" s="1">
        <v>0.66144676517789869</v>
      </c>
      <c r="R671" s="1">
        <v>0.28813567303588428</v>
      </c>
      <c r="S671" s="2">
        <f t="shared" si="132"/>
        <v>1.4549851046950477</v>
      </c>
      <c r="T671" s="4">
        <f t="shared" si="133"/>
        <v>2.1169816548844591</v>
      </c>
      <c r="U671" s="1">
        <f t="shared" si="124"/>
        <v>1.4304181980830211</v>
      </c>
      <c r="V671" s="6">
        <f>2*sigma/alpha*corel*(B671/12-1/alpha*(1-EXP(-alpha*Output!B671/12)))</f>
        <v>4.0962598698822941</v>
      </c>
      <c r="W671" s="5">
        <f t="shared" si="134"/>
        <v>-0.68656345680143804</v>
      </c>
      <c r="X671" s="1">
        <f t="shared" si="135"/>
        <v>167.82330541792447</v>
      </c>
      <c r="Y671" s="3">
        <f t="shared" si="125"/>
        <v>8.0530941748014631E-2</v>
      </c>
      <c r="Z671" s="1">
        <f t="shared" si="126"/>
        <v>0.19619015149429342</v>
      </c>
      <c r="AA671" s="8">
        <f t="shared" si="131"/>
        <v>54.916666666667133</v>
      </c>
      <c r="AB671" s="1">
        <v>55</v>
      </c>
      <c r="AC671" s="1">
        <v>7.5416526269999999E-3</v>
      </c>
      <c r="AD671" s="8">
        <f t="shared" si="127"/>
        <v>0.26638543599430065</v>
      </c>
      <c r="AE671" s="3">
        <f t="shared" si="128"/>
        <v>3.5321891522901703E-3</v>
      </c>
      <c r="AF671" s="11">
        <f t="shared" si="129"/>
        <v>54.916666666667133</v>
      </c>
      <c r="AG671" s="1">
        <f t="shared" si="130"/>
        <v>0.19619015149429342</v>
      </c>
    </row>
    <row r="672" spans="2:33" ht="15" x14ac:dyDescent="0.25">
      <c r="B672" s="1">
        <v>661</v>
      </c>
      <c r="C672" s="1">
        <v>1.0011726682145821</v>
      </c>
      <c r="D672" s="1">
        <v>1.2844282796640478</v>
      </c>
      <c r="E672" s="1">
        <v>0.77712573842719235</v>
      </c>
      <c r="G672" s="1">
        <v>1.0032404095259368</v>
      </c>
      <c r="H672" s="1">
        <v>7.7493616241686336</v>
      </c>
      <c r="I672" s="1">
        <v>9.36372658026636E-2</v>
      </c>
      <c r="K672" s="1">
        <v>0.99869399338120324</v>
      </c>
      <c r="L672" s="1">
        <v>8.0573051124776356</v>
      </c>
      <c r="M672" s="1">
        <v>8.7236579269695899E-2</v>
      </c>
      <c r="O672" s="1">
        <v>7.5168858362440489E-3</v>
      </c>
      <c r="P672" s="1">
        <v>0.66096451251308175</v>
      </c>
      <c r="R672" s="1">
        <v>0.28827101708616804</v>
      </c>
      <c r="S672" s="2">
        <f t="shared" si="132"/>
        <v>1.4569058590866073</v>
      </c>
      <c r="T672" s="4">
        <f t="shared" si="133"/>
        <v>2.1225746822408853</v>
      </c>
      <c r="U672" s="1">
        <f t="shared" si="124"/>
        <v>1.4345379851836713</v>
      </c>
      <c r="V672" s="6">
        <f>2*sigma/alpha*corel*(B672/12-1/alpha*(1-EXP(-alpha*Output!B672/12)))</f>
        <v>4.1055242585130038</v>
      </c>
      <c r="W672" s="5">
        <f t="shared" si="134"/>
        <v>-0.68803669705721404</v>
      </c>
      <c r="X672" s="1">
        <f t="shared" si="135"/>
        <v>168.45274835551157</v>
      </c>
      <c r="Y672" s="3">
        <f t="shared" si="125"/>
        <v>8.0545330114471791E-2</v>
      </c>
      <c r="Z672" s="1">
        <f t="shared" si="126"/>
        <v>0.19630048975922984</v>
      </c>
      <c r="AA672" s="8">
        <f t="shared" si="131"/>
        <v>55.000000000000469</v>
      </c>
      <c r="AB672" s="1">
        <v>55.08</v>
      </c>
      <c r="AC672" s="1">
        <v>7.5415043600000004E-3</v>
      </c>
      <c r="AD672" s="8">
        <f t="shared" si="127"/>
        <v>0.24618523755951494</v>
      </c>
      <c r="AE672" s="3">
        <f t="shared" si="128"/>
        <v>3.2644048959949807E-3</v>
      </c>
      <c r="AF672" s="11">
        <f t="shared" si="129"/>
        <v>55.000000000000469</v>
      </c>
      <c r="AG672" s="1">
        <f t="shared" si="130"/>
        <v>0.19630048975922984</v>
      </c>
    </row>
    <row r="673" spans="2:33" ht="15" x14ac:dyDescent="0.25">
      <c r="B673" s="1">
        <v>662</v>
      </c>
      <c r="C673" s="1">
        <v>1.0011736855798852</v>
      </c>
      <c r="D673" s="1">
        <v>1.2841487634451905</v>
      </c>
      <c r="E673" s="1">
        <v>0.77729209829455592</v>
      </c>
      <c r="G673" s="1">
        <v>1.003223630546463</v>
      </c>
      <c r="H673" s="1">
        <v>7.7341627649287199</v>
      </c>
      <c r="I673" s="1">
        <v>9.3775787866421628E-2</v>
      </c>
      <c r="K673" s="1">
        <v>0.99876596260761308</v>
      </c>
      <c r="L673" s="1">
        <v>8.4243413440922854</v>
      </c>
      <c r="M673" s="1">
        <v>8.3392135896977318E-2</v>
      </c>
      <c r="O673" s="1">
        <v>7.5187492024341232E-3</v>
      </c>
      <c r="P673" s="1">
        <v>0.66048271099070199</v>
      </c>
      <c r="R673" s="1">
        <v>0.28849567120080627</v>
      </c>
      <c r="S673" s="2">
        <f t="shared" si="132"/>
        <v>1.4592023264170051</v>
      </c>
      <c r="T673" s="4">
        <f t="shared" si="133"/>
        <v>2.1292714294207999</v>
      </c>
      <c r="U673" s="1">
        <f t="shared" si="124"/>
        <v>1.438661183351102</v>
      </c>
      <c r="V673" s="6">
        <f>2*sigma/alpha*corel*(B673/12-1/alpha*(1-EXP(-alpha*Output!B673/12)))</f>
        <v>4.1147924816760604</v>
      </c>
      <c r="W673" s="5">
        <f t="shared" si="134"/>
        <v>-0.6906102460696979</v>
      </c>
      <c r="X673" s="1">
        <f t="shared" si="135"/>
        <v>169.3261781333045</v>
      </c>
      <c r="Y673" s="3">
        <f t="shared" si="125"/>
        <v>8.0644230668097991E-2</v>
      </c>
      <c r="Z673" s="1">
        <f t="shared" si="126"/>
        <v>0.19646135799661857</v>
      </c>
      <c r="AA673" s="8">
        <f t="shared" si="131"/>
        <v>55.083333333333805</v>
      </c>
      <c r="AB673" s="1">
        <v>55.17</v>
      </c>
      <c r="AC673" s="1">
        <v>7.5413565409999999E-3</v>
      </c>
      <c r="AD673" s="8">
        <f t="shared" si="127"/>
        <v>0.22607338565876733</v>
      </c>
      <c r="AE673" s="3">
        <f t="shared" si="128"/>
        <v>2.9977814260561337E-3</v>
      </c>
      <c r="AF673" s="11">
        <f t="shared" si="129"/>
        <v>55.083333333333805</v>
      </c>
      <c r="AG673" s="1">
        <f t="shared" si="130"/>
        <v>0.19646135799661857</v>
      </c>
    </row>
    <row r="674" spans="2:33" ht="15" x14ac:dyDescent="0.25">
      <c r="B674" s="1">
        <v>663</v>
      </c>
      <c r="C674" s="1">
        <v>1.0011822068780749</v>
      </c>
      <c r="D674" s="1">
        <v>1.2919508118816758</v>
      </c>
      <c r="E674" s="1">
        <v>0.77259527536447092</v>
      </c>
      <c r="G674" s="1">
        <v>1.0038607729004447</v>
      </c>
      <c r="H674" s="1">
        <v>8.1692858280971006</v>
      </c>
      <c r="I674" s="1">
        <v>8.8737933997850085E-2</v>
      </c>
      <c r="K674" s="1">
        <v>0.99864645680220288</v>
      </c>
      <c r="L674" s="1">
        <v>8.5168914604414834</v>
      </c>
      <c r="M674" s="1">
        <v>8.244314981116603E-2</v>
      </c>
      <c r="O674" s="1">
        <v>7.5204851591681304E-3</v>
      </c>
      <c r="P674" s="1">
        <v>0.66000570171026185</v>
      </c>
      <c r="R674" s="1">
        <v>0.28861127837606837</v>
      </c>
      <c r="S674" s="2">
        <f t="shared" si="132"/>
        <v>1.4610313597558433</v>
      </c>
      <c r="T674" s="4">
        <f t="shared" si="133"/>
        <v>2.1346126341900082</v>
      </c>
      <c r="U674" s="1">
        <f t="shared" si="124"/>
        <v>1.4427877826385327</v>
      </c>
      <c r="V674" s="6">
        <f>2*sigma/alpha*corel*(B674/12-1/alpha*(1-EXP(-alpha*Output!B674/12)))</f>
        <v>4.1240645266109732</v>
      </c>
      <c r="W674" s="5">
        <f t="shared" si="134"/>
        <v>-0.69182485155147555</v>
      </c>
      <c r="X674" s="1">
        <f t="shared" si="135"/>
        <v>169.90120041252709</v>
      </c>
      <c r="Y674" s="3">
        <f t="shared" si="125"/>
        <v>8.0638470062645337E-2</v>
      </c>
      <c r="Z674" s="1">
        <f t="shared" si="126"/>
        <v>0.19655920937663893</v>
      </c>
      <c r="AA674" s="8">
        <f t="shared" si="131"/>
        <v>55.16666666666714</v>
      </c>
      <c r="AB674" s="1">
        <v>55.25</v>
      </c>
      <c r="AC674" s="1">
        <v>7.5412091700000003E-3</v>
      </c>
      <c r="AD674" s="8">
        <f t="shared" si="127"/>
        <v>0.20724010831869866</v>
      </c>
      <c r="AE674" s="3">
        <f t="shared" si="128"/>
        <v>2.7481018447695258E-3</v>
      </c>
      <c r="AF674" s="11">
        <f t="shared" si="129"/>
        <v>55.16666666666714</v>
      </c>
      <c r="AG674" s="1">
        <f t="shared" si="130"/>
        <v>0.19655920937663893</v>
      </c>
    </row>
    <row r="675" spans="2:33" ht="15" x14ac:dyDescent="0.25">
      <c r="B675" s="1">
        <v>664</v>
      </c>
      <c r="C675" s="1">
        <v>1.0011848654591247</v>
      </c>
      <c r="D675" s="1">
        <v>1.2951016433588611</v>
      </c>
      <c r="E675" s="1">
        <v>0.77071286229993841</v>
      </c>
      <c r="G675" s="1">
        <v>1.0039381156972154</v>
      </c>
      <c r="H675" s="1">
        <v>8.3515330843320452</v>
      </c>
      <c r="I675" s="1">
        <v>8.6759406493526578E-2</v>
      </c>
      <c r="K675" s="1">
        <v>0.99876544124375022</v>
      </c>
      <c r="L675" s="1">
        <v>8.6421007826561169</v>
      </c>
      <c r="M675" s="1">
        <v>8.1208321820603196E-2</v>
      </c>
      <c r="O675" s="1">
        <v>7.5223262352268521E-3</v>
      </c>
      <c r="P675" s="1">
        <v>0.65952500990716512</v>
      </c>
      <c r="R675" s="1">
        <v>0.28884094460297594</v>
      </c>
      <c r="S675" s="2">
        <f t="shared" si="132"/>
        <v>1.4633523725735975</v>
      </c>
      <c r="T675" s="4">
        <f t="shared" si="133"/>
        <v>2.1414001663167768</v>
      </c>
      <c r="U675" s="1">
        <f t="shared" si="124"/>
        <v>1.4469177731229506</v>
      </c>
      <c r="V675" s="6">
        <f>2*sigma/alpha*corel*(B675/12-1/alpha*(1-EXP(-alpha*Output!B675/12)))</f>
        <v>4.1333403805997078</v>
      </c>
      <c r="W675" s="5">
        <f t="shared" si="134"/>
        <v>-0.69448239319382621</v>
      </c>
      <c r="X675" s="1">
        <f t="shared" si="135"/>
        <v>170.79660572879632</v>
      </c>
      <c r="Y675" s="3">
        <f t="shared" si="125"/>
        <v>8.0743167124267851E-2</v>
      </c>
      <c r="Z675" s="1">
        <f t="shared" si="126"/>
        <v>0.19672316336853898</v>
      </c>
      <c r="AA675" s="8">
        <f t="shared" si="131"/>
        <v>55.250000000000476</v>
      </c>
      <c r="AB675" s="1">
        <v>55.33</v>
      </c>
      <c r="AC675" s="1">
        <v>7.5410622429999997E-3</v>
      </c>
      <c r="AD675" s="8">
        <f t="shared" si="127"/>
        <v>0.18736007773147678</v>
      </c>
      <c r="AE675" s="3">
        <f t="shared" si="128"/>
        <v>2.4845316441379859E-3</v>
      </c>
      <c r="AF675" s="11">
        <f t="shared" si="129"/>
        <v>55.250000000000476</v>
      </c>
      <c r="AG675" s="1">
        <f t="shared" si="130"/>
        <v>0.19672316336853898</v>
      </c>
    </row>
    <row r="676" spans="2:33" ht="15" x14ac:dyDescent="0.25">
      <c r="B676" s="1">
        <v>665</v>
      </c>
      <c r="C676" s="1">
        <v>1.0011857781733566</v>
      </c>
      <c r="D676" s="1">
        <v>1.2983819141421218</v>
      </c>
      <c r="E676" s="1">
        <v>0.76876293486696545</v>
      </c>
      <c r="G676" s="1">
        <v>1.0039061291116917</v>
      </c>
      <c r="H676" s="1">
        <v>8.5368925250864027</v>
      </c>
      <c r="I676" s="1">
        <v>8.483446710788127E-2</v>
      </c>
      <c r="K676" s="1">
        <v>0.99880376400732318</v>
      </c>
      <c r="L676" s="1">
        <v>8.5973795949089524</v>
      </c>
      <c r="M676" s="1">
        <v>8.1583685067999956E-2</v>
      </c>
      <c r="O676" s="1">
        <v>7.5241832735858955E-3</v>
      </c>
      <c r="P676" s="1">
        <v>0.65904388299810901</v>
      </c>
      <c r="R676" s="1">
        <v>0.28889093165861363</v>
      </c>
      <c r="S676" s="2">
        <f t="shared" si="132"/>
        <v>1.4649227135282705</v>
      </c>
      <c r="T676" s="4">
        <f t="shared" si="133"/>
        <v>2.1459985566110316</v>
      </c>
      <c r="U676" s="1">
        <f t="shared" si="124"/>
        <v>1.4510511449050942</v>
      </c>
      <c r="V676" s="6">
        <f>2*sigma/alpha*corel*(B676/12-1/alpha*(1-EXP(-alpha*Output!B676/12)))</f>
        <v>4.1426200309665564</v>
      </c>
      <c r="W676" s="5">
        <f t="shared" si="134"/>
        <v>-0.69494741170593732</v>
      </c>
      <c r="X676" s="1">
        <f t="shared" si="135"/>
        <v>171.20797698244812</v>
      </c>
      <c r="Y676" s="3">
        <f t="shared" si="125"/>
        <v>8.0679939084414787E-2</v>
      </c>
      <c r="Z676" s="1">
        <f t="shared" si="126"/>
        <v>0.1967861427640637</v>
      </c>
      <c r="AA676" s="8">
        <f t="shared" si="131"/>
        <v>55.333333333333812</v>
      </c>
      <c r="AB676" s="1">
        <v>55.42</v>
      </c>
      <c r="AC676" s="1">
        <v>7.540915758E-3</v>
      </c>
      <c r="AD676" s="8">
        <f t="shared" si="127"/>
        <v>0.1673248441410452</v>
      </c>
      <c r="AE676" s="3">
        <f t="shared" si="128"/>
        <v>2.2188928972390891E-3</v>
      </c>
      <c r="AF676" s="11">
        <f t="shared" si="129"/>
        <v>55.333333333333812</v>
      </c>
      <c r="AG676" s="1">
        <f t="shared" si="130"/>
        <v>0.1967861427640637</v>
      </c>
    </row>
    <row r="677" spans="2:33" ht="15" x14ac:dyDescent="0.25">
      <c r="B677" s="1">
        <v>666</v>
      </c>
      <c r="C677" s="1">
        <v>1.0011887353648139</v>
      </c>
      <c r="D677" s="1">
        <v>1.2975231708870871</v>
      </c>
      <c r="E677" s="1">
        <v>0.76926894609620133</v>
      </c>
      <c r="G677" s="1">
        <v>1.0040317075986709</v>
      </c>
      <c r="H677" s="1">
        <v>8.4845730388608747</v>
      </c>
      <c r="I677" s="1">
        <v>8.5316204639975857E-2</v>
      </c>
      <c r="K677" s="1">
        <v>0.99878491725366103</v>
      </c>
      <c r="L677" s="1">
        <v>8.800906298437031</v>
      </c>
      <c r="M677" s="1">
        <v>7.9654479313821386E-2</v>
      </c>
      <c r="O677" s="1">
        <v>7.526092156962926E-3</v>
      </c>
      <c r="P677" s="1">
        <v>0.65856100829898079</v>
      </c>
      <c r="R677" s="1">
        <v>0.28902050009904939</v>
      </c>
      <c r="S677" s="2">
        <f t="shared" si="132"/>
        <v>1.4668349622210697</v>
      </c>
      <c r="T677" s="4">
        <f t="shared" si="133"/>
        <v>2.1516048063940869</v>
      </c>
      <c r="U677" s="1">
        <f t="shared" si="124"/>
        <v>1.455187888109438</v>
      </c>
      <c r="V677" s="6">
        <f>2*sigma/alpha*corel*(B677/12-1/alpha*(1-EXP(-alpha*Output!B677/12)))</f>
        <v>4.1519034650779938</v>
      </c>
      <c r="W677" s="5">
        <f t="shared" si="134"/>
        <v>-0.69641691828464891</v>
      </c>
      <c r="X677" s="1">
        <f t="shared" si="135"/>
        <v>171.8428582425187</v>
      </c>
      <c r="Y677" s="3">
        <f t="shared" si="125"/>
        <v>8.0693524695505683E-2</v>
      </c>
      <c r="Z677" s="1">
        <f t="shared" si="126"/>
        <v>0.19689503337886111</v>
      </c>
      <c r="AA677" s="8">
        <f t="shared" si="131"/>
        <v>55.416666666667147</v>
      </c>
      <c r="AB677" s="1">
        <v>55.5</v>
      </c>
      <c r="AC677" s="1">
        <v>7.5407697139999999E-3</v>
      </c>
      <c r="AD677" s="8">
        <f t="shared" si="127"/>
        <v>0.14677557037073852</v>
      </c>
      <c r="AE677" s="3">
        <f t="shared" si="128"/>
        <v>1.9464269025248014E-3</v>
      </c>
      <c r="AF677" s="11">
        <f t="shared" si="129"/>
        <v>55.416666666667147</v>
      </c>
      <c r="AG677" s="1">
        <f t="shared" si="130"/>
        <v>0.19689503337886111</v>
      </c>
    </row>
    <row r="678" spans="2:33" ht="15" x14ac:dyDescent="0.25">
      <c r="B678" s="1">
        <v>667</v>
      </c>
      <c r="C678" s="1">
        <v>1.0011881361517123</v>
      </c>
      <c r="D678" s="1">
        <v>1.2961377736017505</v>
      </c>
      <c r="E678" s="1">
        <v>0.77008840330152717</v>
      </c>
      <c r="G678" s="1">
        <v>1.0038087398190809</v>
      </c>
      <c r="H678" s="1">
        <v>8.4020499659071142</v>
      </c>
      <c r="I678" s="1">
        <v>8.6112387005751551E-2</v>
      </c>
      <c r="K678" s="1">
        <v>0.99898665423051536</v>
      </c>
      <c r="L678" s="1">
        <v>8.7980607076569726</v>
      </c>
      <c r="M678" s="1">
        <v>7.963910162070556E-2</v>
      </c>
      <c r="O678" s="1">
        <v>7.5280801450809433E-3</v>
      </c>
      <c r="P678" s="1">
        <v>0.65807538452994929</v>
      </c>
      <c r="R678" s="1">
        <v>0.28916981819852378</v>
      </c>
      <c r="S678" s="2">
        <f t="shared" si="132"/>
        <v>1.4688409588620888</v>
      </c>
      <c r="T678" s="4">
        <f t="shared" si="133"/>
        <v>2.1574937624309003</v>
      </c>
      <c r="U678" s="1">
        <f t="shared" si="124"/>
        <v>1.4593279928841696</v>
      </c>
      <c r="V678" s="6">
        <f>2*sigma/alpha*corel*(B678/12-1/alpha*(1-EXP(-alpha*Output!B678/12)))</f>
        <v>4.1611906703425348</v>
      </c>
      <c r="W678" s="5">
        <f t="shared" si="134"/>
        <v>-0.69816576954673071</v>
      </c>
      <c r="X678" s="1">
        <f t="shared" si="135"/>
        <v>172.54103055750221</v>
      </c>
      <c r="Y678" s="3">
        <f t="shared" si="125"/>
        <v>8.07283068663599E-2</v>
      </c>
      <c r="Z678" s="1">
        <f t="shared" si="126"/>
        <v>0.19701644597282816</v>
      </c>
      <c r="AA678" s="8">
        <f t="shared" si="131"/>
        <v>55.500000000000483</v>
      </c>
      <c r="AB678" s="1">
        <v>55.58</v>
      </c>
      <c r="AC678" s="1">
        <v>7.5406241090000001E-3</v>
      </c>
      <c r="AD678" s="8">
        <f t="shared" si="127"/>
        <v>0.12543963919056828</v>
      </c>
      <c r="AE678" s="3">
        <f t="shared" si="128"/>
        <v>1.6635179976794185E-3</v>
      </c>
      <c r="AF678" s="11">
        <f t="shared" si="129"/>
        <v>55.500000000000483</v>
      </c>
      <c r="AG678" s="1">
        <f t="shared" si="130"/>
        <v>0.19701644597282816</v>
      </c>
    </row>
    <row r="679" spans="2:33" ht="15" x14ac:dyDescent="0.25">
      <c r="B679" s="1">
        <v>668</v>
      </c>
      <c r="C679" s="1">
        <v>1.0011835987552051</v>
      </c>
      <c r="D679" s="1">
        <v>1.2968041496562666</v>
      </c>
      <c r="E679" s="1">
        <v>0.76968989484514949</v>
      </c>
      <c r="G679" s="1">
        <v>1.0032863417638149</v>
      </c>
      <c r="H679" s="1">
        <v>8.4422073844316774</v>
      </c>
      <c r="I679" s="1">
        <v>8.566121641298198E-2</v>
      </c>
      <c r="K679" s="1">
        <v>0.99910123396999828</v>
      </c>
      <c r="L679" s="1">
        <v>8.8123986633508586</v>
      </c>
      <c r="M679" s="1">
        <v>7.9465902363744359E-2</v>
      </c>
      <c r="O679" s="1">
        <v>7.5301728084846394E-3</v>
      </c>
      <c r="P679" s="1">
        <v>0.65758606926497953</v>
      </c>
      <c r="R679" s="1">
        <v>0.2892238154071442</v>
      </c>
      <c r="S679" s="2">
        <f t="shared" si="132"/>
        <v>1.4704582709974361</v>
      </c>
      <c r="T679" s="4">
        <f t="shared" si="133"/>
        <v>2.1622475267447694</v>
      </c>
      <c r="U679" s="1">
        <f t="shared" si="124"/>
        <v>1.4634714494011756</v>
      </c>
      <c r="V679" s="6">
        <f>2*sigma/alpha*corel*(B679/12-1/alpha*(1-EXP(-alpha*Output!B679/12)))</f>
        <v>4.1704816342105966</v>
      </c>
      <c r="W679" s="5">
        <f t="shared" si="134"/>
        <v>-0.69877607734359382</v>
      </c>
      <c r="X679" s="1">
        <f t="shared" si="135"/>
        <v>172.98705694979475</v>
      </c>
      <c r="Y679" s="3">
        <f t="shared" si="125"/>
        <v>8.0676402158172053E-2</v>
      </c>
      <c r="Z679" s="1">
        <f t="shared" si="126"/>
        <v>0.19708569187417641</v>
      </c>
      <c r="AA679" s="8">
        <f t="shared" si="131"/>
        <v>55.583333333333819</v>
      </c>
      <c r="AB679" s="1">
        <v>55.67</v>
      </c>
      <c r="AC679" s="1">
        <v>7.5404789400000003E-3</v>
      </c>
      <c r="AD679" s="8">
        <f t="shared" si="127"/>
        <v>0.10306131515360958</v>
      </c>
      <c r="AE679" s="3">
        <f t="shared" si="128"/>
        <v>1.3667741263343356E-3</v>
      </c>
      <c r="AF679" s="11">
        <f t="shared" si="129"/>
        <v>55.583333333333819</v>
      </c>
      <c r="AG679" s="1">
        <f t="shared" si="130"/>
        <v>0.19708569187417641</v>
      </c>
    </row>
    <row r="680" spans="2:33" ht="15" x14ac:dyDescent="0.25">
      <c r="B680" s="1">
        <v>669</v>
      </c>
      <c r="C680" s="1">
        <v>1.0011892327356231</v>
      </c>
      <c r="D680" s="1">
        <v>1.2994992559080136</v>
      </c>
      <c r="E680" s="1">
        <v>0.76809080198246926</v>
      </c>
      <c r="G680" s="1">
        <v>1.0036469876901277</v>
      </c>
      <c r="H680" s="1">
        <v>8.5913151131203094</v>
      </c>
      <c r="I680" s="1">
        <v>8.4133696254636195E-2</v>
      </c>
      <c r="K680" s="1">
        <v>0.99898458103972765</v>
      </c>
      <c r="L680" s="1">
        <v>9.0033607034978367</v>
      </c>
      <c r="M680" s="1">
        <v>7.7737918475059564E-2</v>
      </c>
      <c r="O680" s="1">
        <v>7.5323579028851633E-3</v>
      </c>
      <c r="P680" s="1">
        <v>0.6570935026223732</v>
      </c>
      <c r="R680" s="1">
        <v>0.2893836399610491</v>
      </c>
      <c r="S680" s="2">
        <f t="shared" si="132"/>
        <v>1.4725338544640578</v>
      </c>
      <c r="T680" s="4">
        <f t="shared" si="133"/>
        <v>2.1683559525427749</v>
      </c>
      <c r="U680" s="1">
        <f t="shared" si="124"/>
        <v>1.4676182478560245</v>
      </c>
      <c r="V680" s="6">
        <f>2*sigma/alpha*corel*(B680/12-1/alpha*(1-EXP(-alpha*Output!B680/12)))</f>
        <v>4.1797763441743587</v>
      </c>
      <c r="W680" s="5">
        <f t="shared" si="134"/>
        <v>-0.70073770468675045</v>
      </c>
      <c r="X680" s="1">
        <f t="shared" si="135"/>
        <v>173.73503843246493</v>
      </c>
      <c r="Y680" s="3">
        <f t="shared" si="125"/>
        <v>8.0727196820331526E-2</v>
      </c>
      <c r="Z680" s="1">
        <f t="shared" si="126"/>
        <v>0.19721632076391435</v>
      </c>
      <c r="AA680" s="8">
        <f t="shared" si="131"/>
        <v>55.666666666667155</v>
      </c>
      <c r="AB680" s="1">
        <v>55.75</v>
      </c>
      <c r="AC680" s="1">
        <v>7.5403342060000001E-3</v>
      </c>
      <c r="AD680" s="8">
        <f t="shared" si="127"/>
        <v>7.9763031148368663E-2</v>
      </c>
      <c r="AE680" s="3">
        <f t="shared" si="128"/>
        <v>1.0578182474312555E-3</v>
      </c>
      <c r="AF680" s="11">
        <f t="shared" si="129"/>
        <v>55.666666666667155</v>
      </c>
      <c r="AG680" s="1">
        <f t="shared" si="130"/>
        <v>0.19721632076391435</v>
      </c>
    </row>
    <row r="681" spans="2:33" ht="15" x14ac:dyDescent="0.25">
      <c r="B681" s="1">
        <v>670</v>
      </c>
      <c r="C681" s="1">
        <v>1.0011898726588824</v>
      </c>
      <c r="D681" s="1">
        <v>1.3016093203241663</v>
      </c>
      <c r="E681" s="1">
        <v>0.76684284689086324</v>
      </c>
      <c r="G681" s="1">
        <v>1.0036071778354061</v>
      </c>
      <c r="H681" s="1">
        <v>8.7194831998805338</v>
      </c>
      <c r="I681" s="1">
        <v>8.2856814889040481E-2</v>
      </c>
      <c r="K681" s="1">
        <v>0.99902705737254327</v>
      </c>
      <c r="L681" s="1">
        <v>9.0377309558289838</v>
      </c>
      <c r="M681" s="1">
        <v>7.7402980761571191E-2</v>
      </c>
      <c r="O681" s="1">
        <v>7.5345177220662125E-3</v>
      </c>
      <c r="P681" s="1">
        <v>0.65660199241147765</v>
      </c>
      <c r="R681" s="1">
        <v>0.28950008158788143</v>
      </c>
      <c r="S681" s="2">
        <f t="shared" si="132"/>
        <v>1.4744261274411701</v>
      </c>
      <c r="T681" s="4">
        <f t="shared" si="133"/>
        <v>2.1739324052811657</v>
      </c>
      <c r="U681" s="1">
        <f t="shared" si="124"/>
        <v>1.4717683784679423</v>
      </c>
      <c r="V681" s="6">
        <f>2*sigma/alpha*corel*(B681/12-1/alpha*(1-EXP(-alpha*Output!B681/12)))</f>
        <v>4.1890747877676251</v>
      </c>
      <c r="W681" s="5">
        <f t="shared" si="134"/>
        <v>-0.70216402681322343</v>
      </c>
      <c r="X681" s="1">
        <f t="shared" si="135"/>
        <v>174.36498023246361</v>
      </c>
      <c r="Y681" s="3">
        <f t="shared" si="125"/>
        <v>8.073723997005848E-2</v>
      </c>
      <c r="Z681" s="1">
        <f t="shared" si="126"/>
        <v>0.19732233219064488</v>
      </c>
      <c r="AA681" s="8">
        <f t="shared" si="131"/>
        <v>55.75000000000049</v>
      </c>
      <c r="AB681" s="1">
        <v>55.83</v>
      </c>
      <c r="AC681" s="1">
        <v>7.5401899050000004E-3</v>
      </c>
      <c r="AD681" s="8">
        <f t="shared" si="127"/>
        <v>5.6721829337878782E-2</v>
      </c>
      <c r="AE681" s="3">
        <f t="shared" si="128"/>
        <v>7.5225995701070844E-4</v>
      </c>
      <c r="AF681" s="11">
        <f t="shared" si="129"/>
        <v>55.75000000000049</v>
      </c>
      <c r="AG681" s="1">
        <f t="shared" si="130"/>
        <v>0.19732233219064488</v>
      </c>
    </row>
    <row r="682" spans="2:33" ht="15" x14ac:dyDescent="0.25">
      <c r="B682" s="1">
        <v>671</v>
      </c>
      <c r="C682" s="1">
        <v>1.0011901399999543</v>
      </c>
      <c r="D682" s="1">
        <v>1.3014196053470954</v>
      </c>
      <c r="E682" s="1">
        <v>0.76695184136079686</v>
      </c>
      <c r="G682" s="1">
        <v>1.0034991265039437</v>
      </c>
      <c r="H682" s="1">
        <v>8.7030128615695546</v>
      </c>
      <c r="I682" s="1">
        <v>8.2973367137138779E-2</v>
      </c>
      <c r="K682" s="1">
        <v>0.99897932493660602</v>
      </c>
      <c r="L682" s="1">
        <v>8.9304322038452248</v>
      </c>
      <c r="M682" s="1">
        <v>7.829373463076425E-2</v>
      </c>
      <c r="O682" s="1">
        <v>7.5366712875548462E-3</v>
      </c>
      <c r="P682" s="1">
        <v>0.65611084310582013</v>
      </c>
      <c r="R682" s="1">
        <v>0.28965861912189333</v>
      </c>
      <c r="S682" s="2">
        <f t="shared" si="132"/>
        <v>1.476498262896208</v>
      </c>
      <c r="T682" s="4">
        <f t="shared" si="133"/>
        <v>2.1800471203355198</v>
      </c>
      <c r="U682" s="1">
        <f t="shared" si="124"/>
        <v>1.4759218314797971</v>
      </c>
      <c r="V682" s="6">
        <f>2*sigma/alpha*corel*(B682/12-1/alpha*(1-EXP(-alpha*Output!B682/12)))</f>
        <v>4.198376952565682</v>
      </c>
      <c r="W682" s="5">
        <f t="shared" si="134"/>
        <v>-0.70412528885572279</v>
      </c>
      <c r="X682" s="1">
        <f t="shared" si="135"/>
        <v>175.11572530989804</v>
      </c>
      <c r="Y682" s="3">
        <f t="shared" si="125"/>
        <v>8.0787656203765337E-2</v>
      </c>
      <c r="Z682" s="1">
        <f t="shared" si="126"/>
        <v>0.19745234835745101</v>
      </c>
      <c r="AA682" s="8">
        <f t="shared" si="131"/>
        <v>55.833333333333826</v>
      </c>
      <c r="AB682" s="1">
        <v>55.92</v>
      </c>
      <c r="AC682" s="1">
        <v>7.5400460339999998E-3</v>
      </c>
      <c r="AD682" s="8">
        <f t="shared" si="127"/>
        <v>3.3747464451535161E-2</v>
      </c>
      <c r="AE682" s="3">
        <f t="shared" si="128"/>
        <v>4.4757637154148924E-4</v>
      </c>
      <c r="AF682" s="11">
        <f t="shared" si="129"/>
        <v>55.833333333333826</v>
      </c>
      <c r="AG682" s="1">
        <f t="shared" si="130"/>
        <v>0.19745234835745101</v>
      </c>
    </row>
    <row r="683" spans="2:33" ht="15" x14ac:dyDescent="0.25">
      <c r="B683" s="1">
        <v>672</v>
      </c>
      <c r="C683" s="1">
        <v>1.0011961643896439</v>
      </c>
      <c r="D683" s="1">
        <v>1.2971588033823689</v>
      </c>
      <c r="E683" s="1">
        <v>0.76946825713781752</v>
      </c>
      <c r="G683" s="1">
        <v>1.0038615170617042</v>
      </c>
      <c r="H683" s="1">
        <v>8.4440489176048565</v>
      </c>
      <c r="I683" s="1">
        <v>8.5476544610556593E-2</v>
      </c>
      <c r="K683" s="1">
        <v>0.99914348498849082</v>
      </c>
      <c r="L683" s="1">
        <v>8.9594396324148047</v>
      </c>
      <c r="M683" s="1">
        <v>7.7994740636171622E-2</v>
      </c>
      <c r="O683" s="1">
        <v>7.5387818129042106E-3</v>
      </c>
      <c r="P683" s="1">
        <v>0.65562140607614894</v>
      </c>
      <c r="R683" s="1">
        <v>0.28972817103250481</v>
      </c>
      <c r="S683" s="2">
        <f t="shared" si="132"/>
        <v>1.4781915373992567</v>
      </c>
      <c r="T683" s="4">
        <f t="shared" si="133"/>
        <v>2.1850502212387779</v>
      </c>
      <c r="U683" s="1">
        <f t="shared" si="124"/>
        <v>1.4800785971580814</v>
      </c>
      <c r="V683" s="6">
        <f>2*sigma/alpha*corel*(B683/12-1/alpha*(1-EXP(-alpha*Output!B683/12)))</f>
        <v>4.2076828261851649</v>
      </c>
      <c r="W683" s="5">
        <f t="shared" si="134"/>
        <v>-0.70497162408069647</v>
      </c>
      <c r="X683" s="1">
        <f t="shared" si="135"/>
        <v>175.6182385598496</v>
      </c>
      <c r="Y683" s="3">
        <f t="shared" si="125"/>
        <v>8.0753753114082824E-2</v>
      </c>
      <c r="Z683" s="1">
        <f t="shared" si="126"/>
        <v>0.19753165303488063</v>
      </c>
      <c r="AA683" s="8">
        <f t="shared" si="131"/>
        <v>55.916666666667162</v>
      </c>
      <c r="AB683" s="1">
        <v>56</v>
      </c>
      <c r="AC683" s="1">
        <v>7.539902593E-3</v>
      </c>
      <c r="AD683" s="8">
        <f t="shared" si="127"/>
        <v>1.1207800957894684E-2</v>
      </c>
      <c r="AE683" s="3">
        <f t="shared" si="128"/>
        <v>1.4864649535791005E-4</v>
      </c>
      <c r="AF683" s="11">
        <f t="shared" si="129"/>
        <v>55.916666666667162</v>
      </c>
      <c r="AG683" s="1">
        <f t="shared" si="130"/>
        <v>0.19753165303488063</v>
      </c>
    </row>
    <row r="684" spans="2:33" ht="15" x14ac:dyDescent="0.25">
      <c r="B684" s="1">
        <v>673</v>
      </c>
      <c r="C684" s="1">
        <v>1.0011988218556416</v>
      </c>
      <c r="D684" s="1">
        <v>1.2958650876291746</v>
      </c>
      <c r="E684" s="1">
        <v>0.77023363709909853</v>
      </c>
      <c r="G684" s="1">
        <v>1.0039655548008708</v>
      </c>
      <c r="H684" s="1">
        <v>8.3704929616873489</v>
      </c>
      <c r="I684" s="1">
        <v>8.618585984651482E-2</v>
      </c>
      <c r="K684" s="1">
        <v>0.99938621060755473</v>
      </c>
      <c r="L684" s="1">
        <v>8.9231528692289377</v>
      </c>
      <c r="M684" s="1">
        <v>7.8271544307536703E-2</v>
      </c>
      <c r="O684" s="1">
        <v>7.540955328069001E-3</v>
      </c>
      <c r="P684" s="1">
        <v>0.65512978933760302</v>
      </c>
      <c r="R684" s="1">
        <v>0.28983959444147966</v>
      </c>
      <c r="S684" s="2">
        <f t="shared" si="132"/>
        <v>1.4800709501518605</v>
      </c>
      <c r="T684" s="4">
        <f t="shared" si="133"/>
        <v>2.1906100174834311</v>
      </c>
      <c r="U684" s="1">
        <f t="shared" si="124"/>
        <v>1.4842386657928865</v>
      </c>
      <c r="V684" s="6">
        <f>2*sigma/alpha*corel*(B684/12-1/alpha*(1-EXP(-alpha*Output!B684/12)))</f>
        <v>4.2169923962839171</v>
      </c>
      <c r="W684" s="5">
        <f t="shared" si="134"/>
        <v>-0.70637135169054455</v>
      </c>
      <c r="X684" s="1">
        <f t="shared" si="135"/>
        <v>176.24566476622854</v>
      </c>
      <c r="Y684" s="3">
        <f t="shared" si="125"/>
        <v>8.0761625935044129E-2</v>
      </c>
      <c r="Z684" s="1">
        <f t="shared" si="126"/>
        <v>0.19763580434398564</v>
      </c>
      <c r="AA684" s="8">
        <f t="shared" si="131"/>
        <v>56.000000000000497</v>
      </c>
      <c r="AB684" s="1">
        <v>56.08</v>
      </c>
      <c r="AC684" s="1">
        <v>7.5397595780000003E-3</v>
      </c>
      <c r="AD684" s="8">
        <f t="shared" si="127"/>
        <v>-1.1957500690006756E-2</v>
      </c>
      <c r="AE684" s="3">
        <f t="shared" si="128"/>
        <v>-1.5859259922421302E-4</v>
      </c>
      <c r="AF684" s="11">
        <f t="shared" si="129"/>
        <v>56.000000000000497</v>
      </c>
      <c r="AG684" s="1">
        <f t="shared" si="130"/>
        <v>0.19763580434398564</v>
      </c>
    </row>
    <row r="685" spans="2:33" ht="15" x14ac:dyDescent="0.25">
      <c r="B685" s="1">
        <v>674</v>
      </c>
      <c r="C685" s="1">
        <v>1.001195840937025</v>
      </c>
      <c r="D685" s="1">
        <v>1.2943560514157932</v>
      </c>
      <c r="E685" s="1">
        <v>0.77112880103665593</v>
      </c>
      <c r="G685" s="1">
        <v>1.0036705717269891</v>
      </c>
      <c r="H685" s="1">
        <v>8.2806761825176185</v>
      </c>
      <c r="I685" s="1">
        <v>8.707843329791691E-2</v>
      </c>
      <c r="K685" s="1">
        <v>0.99940532265927995</v>
      </c>
      <c r="L685" s="1">
        <v>9.1074614620290291</v>
      </c>
      <c r="M685" s="1">
        <v>7.6646310239127019E-2</v>
      </c>
      <c r="O685" s="1">
        <v>7.5431655583785466E-3</v>
      </c>
      <c r="P685" s="1">
        <v>0.65463695412040557</v>
      </c>
      <c r="R685" s="1">
        <v>0.28993463146754167</v>
      </c>
      <c r="S685" s="2">
        <f t="shared" si="132"/>
        <v>1.4818869588541534</v>
      </c>
      <c r="T685" s="4">
        <f t="shared" si="133"/>
        <v>2.1959889588220114</v>
      </c>
      <c r="U685" s="1">
        <f t="shared" si="124"/>
        <v>1.4884020276978887</v>
      </c>
      <c r="V685" s="6">
        <f>2*sigma/alpha*corel*(B685/12-1/alpha*(1-EXP(-alpha*Output!B685/12)))</f>
        <v>4.2263056505608532</v>
      </c>
      <c r="W685" s="5">
        <f t="shared" si="134"/>
        <v>-0.70758693112412274</v>
      </c>
      <c r="X685" s="1">
        <f t="shared" si="135"/>
        <v>176.83285664451552</v>
      </c>
      <c r="Y685" s="3">
        <f t="shared" si="125"/>
        <v>8.0755601746019201E-2</v>
      </c>
      <c r="Z685" s="1">
        <f t="shared" si="126"/>
        <v>0.1977314498754007</v>
      </c>
      <c r="AA685" s="8">
        <f t="shared" si="131"/>
        <v>56.083333333333833</v>
      </c>
      <c r="AB685" s="1">
        <v>56.17</v>
      </c>
      <c r="AC685" s="1">
        <v>7.5396169880000002E-3</v>
      </c>
      <c r="AD685" s="8">
        <f t="shared" si="127"/>
        <v>-3.5485703785463965E-2</v>
      </c>
      <c r="AE685" s="3">
        <f t="shared" si="128"/>
        <v>-4.7065658430584412E-4</v>
      </c>
      <c r="AF685" s="11">
        <f t="shared" si="129"/>
        <v>56.083333333333833</v>
      </c>
      <c r="AG685" s="1">
        <f t="shared" si="130"/>
        <v>0.1977314498754007</v>
      </c>
    </row>
    <row r="686" spans="2:33" ht="15" x14ac:dyDescent="0.25">
      <c r="B686" s="1">
        <v>675</v>
      </c>
      <c r="C686" s="1">
        <v>1.0011987356388952</v>
      </c>
      <c r="D686" s="1">
        <v>1.2909797249314332</v>
      </c>
      <c r="E686" s="1">
        <v>0.77314272015540486</v>
      </c>
      <c r="G686" s="1">
        <v>1.0037572440215436</v>
      </c>
      <c r="H686" s="1">
        <v>8.0873277164406208</v>
      </c>
      <c r="I686" s="1">
        <v>8.911703299905846E-2</v>
      </c>
      <c r="K686" s="1">
        <v>0.99932935079145202</v>
      </c>
      <c r="L686" s="1">
        <v>9.2143450615018327</v>
      </c>
      <c r="M686" s="1">
        <v>7.5715512922612999E-2</v>
      </c>
      <c r="O686" s="1">
        <v>7.5452988932847541E-3</v>
      </c>
      <c r="P686" s="1">
        <v>0.65414707810031925</v>
      </c>
      <c r="R686" s="1">
        <v>0.29010832091187355</v>
      </c>
      <c r="S686" s="2">
        <f t="shared" si="132"/>
        <v>1.4840314169930846</v>
      </c>
      <c r="T686" s="4">
        <f t="shared" si="133"/>
        <v>2.2023492466225028</v>
      </c>
      <c r="U686" s="1">
        <f t="shared" si="124"/>
        <v>1.4925686732103243</v>
      </c>
      <c r="V686" s="6">
        <f>2*sigma/alpha*corel*(B686/12-1/alpha*(1-EXP(-alpha*Output!B686/12)))</f>
        <v>4.2356225767558264</v>
      </c>
      <c r="W686" s="5">
        <f t="shared" si="134"/>
        <v>-0.70978057341217848</v>
      </c>
      <c r="X686" s="1">
        <f t="shared" si="135"/>
        <v>177.64112763046384</v>
      </c>
      <c r="Y686" s="3">
        <f t="shared" si="125"/>
        <v>8.0822981252904477E-2</v>
      </c>
      <c r="Z686" s="1">
        <f t="shared" si="126"/>
        <v>0.19787085559907794</v>
      </c>
      <c r="AA686" s="8">
        <f t="shared" si="131"/>
        <v>56.166666666667169</v>
      </c>
      <c r="AB686" s="1">
        <v>56.25</v>
      </c>
      <c r="AC686" s="1">
        <v>7.5394748209999998E-3</v>
      </c>
      <c r="AD686" s="8">
        <f t="shared" si="127"/>
        <v>-5.8240722847543308E-2</v>
      </c>
      <c r="AE686" s="3">
        <f t="shared" si="128"/>
        <v>-7.7247718482092542E-4</v>
      </c>
      <c r="AF686" s="11">
        <f t="shared" si="129"/>
        <v>56.166666666667169</v>
      </c>
      <c r="AG686" s="1">
        <f t="shared" si="130"/>
        <v>0.19787085559907794</v>
      </c>
    </row>
    <row r="687" spans="2:33" ht="15" x14ac:dyDescent="0.25">
      <c r="B687" s="1">
        <v>676</v>
      </c>
      <c r="C687" s="1">
        <v>1.001200574968854</v>
      </c>
      <c r="D687" s="1">
        <v>1.284863350294573</v>
      </c>
      <c r="E687" s="1">
        <v>0.77682028740431641</v>
      </c>
      <c r="G687" s="1">
        <v>1.003831464125903</v>
      </c>
      <c r="H687" s="1">
        <v>7.7471784863018414</v>
      </c>
      <c r="I687" s="1">
        <v>9.2984711887860977E-2</v>
      </c>
      <c r="K687" s="1">
        <v>0.99951977239412815</v>
      </c>
      <c r="L687" s="1">
        <v>9.4537368447051122</v>
      </c>
      <c r="M687" s="1">
        <v>7.3759203692250544E-2</v>
      </c>
      <c r="O687" s="1">
        <v>7.5474273592558757E-3</v>
      </c>
      <c r="P687" s="1">
        <v>0.65365751553846441</v>
      </c>
      <c r="R687" s="1">
        <v>0.29014780890401942</v>
      </c>
      <c r="S687" s="2">
        <f t="shared" si="132"/>
        <v>1.485607048621205</v>
      </c>
      <c r="T687" s="4">
        <f t="shared" si="133"/>
        <v>2.2070283029130073</v>
      </c>
      <c r="U687" s="1">
        <f t="shared" si="124"/>
        <v>1.4967385926909706</v>
      </c>
      <c r="V687" s="6">
        <f>2*sigma/alpha*corel*(B687/12-1/alpha*(1-EXP(-alpha*Output!B687/12)))</f>
        <v>4.2449431626494842</v>
      </c>
      <c r="W687" s="5">
        <f t="shared" si="134"/>
        <v>-0.71028971022203669</v>
      </c>
      <c r="X687" s="1">
        <f t="shared" si="135"/>
        <v>178.07149049082352</v>
      </c>
      <c r="Y687" s="3">
        <f t="shared" si="125"/>
        <v>8.0763904011235385E-2</v>
      </c>
      <c r="Z687" s="1">
        <f t="shared" si="126"/>
        <v>0.19793437602264419</v>
      </c>
      <c r="AA687" s="8">
        <f t="shared" si="131"/>
        <v>56.250000000000504</v>
      </c>
      <c r="AB687" s="1">
        <v>56.33</v>
      </c>
      <c r="AC687" s="1">
        <v>7.5393330760000002E-3</v>
      </c>
      <c r="AD687" s="8">
        <f t="shared" si="127"/>
        <v>-8.094283255875509E-2</v>
      </c>
      <c r="AE687" s="3">
        <f t="shared" si="128"/>
        <v>-1.0736073302878852E-3</v>
      </c>
      <c r="AF687" s="11">
        <f t="shared" si="129"/>
        <v>56.250000000000504</v>
      </c>
      <c r="AG687" s="1">
        <f t="shared" si="130"/>
        <v>0.19793437602264419</v>
      </c>
    </row>
    <row r="688" spans="2:33" ht="15" x14ac:dyDescent="0.25">
      <c r="B688" s="1">
        <v>677</v>
      </c>
      <c r="C688" s="1">
        <v>1.0011981636518008</v>
      </c>
      <c r="D688" s="1">
        <v>1.2887938416326827</v>
      </c>
      <c r="E688" s="1">
        <v>0.77444834120426687</v>
      </c>
      <c r="G688" s="1">
        <v>1.0035424437878129</v>
      </c>
      <c r="H688" s="1">
        <v>7.9540533717690893</v>
      </c>
      <c r="I688" s="1">
        <v>9.05223790400944E-2</v>
      </c>
      <c r="K688" s="1">
        <v>0.99938887512670138</v>
      </c>
      <c r="L688" s="1">
        <v>9.898397071799014</v>
      </c>
      <c r="M688" s="1">
        <v>7.0407931680776345E-2</v>
      </c>
      <c r="O688" s="1">
        <v>7.5496114621937845E-3</v>
      </c>
      <c r="P688" s="1">
        <v>0.65316603746180579</v>
      </c>
      <c r="R688" s="1">
        <v>0.29021625706726656</v>
      </c>
      <c r="S688" s="2">
        <f t="shared" si="132"/>
        <v>1.4873136295648879</v>
      </c>
      <c r="T688" s="4">
        <f t="shared" si="133"/>
        <v>2.2121018326894806</v>
      </c>
      <c r="U688" s="1">
        <f t="shared" si="124"/>
        <v>1.5009117765241249</v>
      </c>
      <c r="V688" s="6">
        <f>2*sigma/alpha*corel*(B688/12-1/alpha*(1-EXP(-alpha*Output!B688/12)))</f>
        <v>4.2542673960631419</v>
      </c>
      <c r="W688" s="5">
        <f t="shared" si="134"/>
        <v>-0.71119005616535569</v>
      </c>
      <c r="X688" s="1">
        <f t="shared" si="135"/>
        <v>178.59068041852115</v>
      </c>
      <c r="Y688" s="3">
        <f t="shared" si="125"/>
        <v>8.0734254224250901E-2</v>
      </c>
      <c r="Z688" s="1">
        <f t="shared" si="126"/>
        <v>0.198015344854991</v>
      </c>
      <c r="AA688" s="8">
        <f t="shared" si="131"/>
        <v>56.33333333333384</v>
      </c>
      <c r="AB688" s="1">
        <v>56.42</v>
      </c>
      <c r="AC688" s="1">
        <v>7.5391917500000002E-3</v>
      </c>
      <c r="AD688" s="8">
        <f t="shared" si="127"/>
        <v>-0.10419712193784209</v>
      </c>
      <c r="AE688" s="3">
        <f t="shared" si="128"/>
        <v>-1.3820728453795075E-3</v>
      </c>
      <c r="AF688" s="11">
        <f t="shared" si="129"/>
        <v>56.33333333333384</v>
      </c>
      <c r="AG688" s="1">
        <f t="shared" si="130"/>
        <v>0.198015344854991</v>
      </c>
    </row>
    <row r="689" spans="2:33" ht="15" x14ac:dyDescent="0.25">
      <c r="B689" s="1">
        <v>678</v>
      </c>
      <c r="C689" s="1">
        <v>1.0012045215825265</v>
      </c>
      <c r="D689" s="1">
        <v>1.2875282579475866</v>
      </c>
      <c r="E689" s="1">
        <v>0.77520673998475931</v>
      </c>
      <c r="G689" s="1">
        <v>1.0039533784117078</v>
      </c>
      <c r="H689" s="1">
        <v>7.8789128627940492</v>
      </c>
      <c r="I689" s="1">
        <v>9.1341367474870525E-2</v>
      </c>
      <c r="K689" s="1">
        <v>0.99914730913041239</v>
      </c>
      <c r="L689" s="1">
        <v>9.8284173290229919</v>
      </c>
      <c r="M689" s="1">
        <v>7.0873003913431709E-2</v>
      </c>
      <c r="O689" s="1">
        <v>7.5518101452628356E-3</v>
      </c>
      <c r="P689" s="1">
        <v>0.65267415367896942</v>
      </c>
      <c r="R689" s="1">
        <v>0.29032722639875203</v>
      </c>
      <c r="S689" s="2">
        <f t="shared" si="132"/>
        <v>1.489205068841075</v>
      </c>
      <c r="T689" s="4">
        <f t="shared" si="133"/>
        <v>2.2177317370619507</v>
      </c>
      <c r="U689" s="1">
        <f t="shared" si="124"/>
        <v>1.5050882151175822</v>
      </c>
      <c r="V689" s="6">
        <f>2*sigma/alpha*corel*(B689/12-1/alpha*(1-EXP(-alpha*Output!B689/12)))</f>
        <v>4.2635952648586404</v>
      </c>
      <c r="W689" s="5">
        <f t="shared" si="134"/>
        <v>-0.71264352194436853</v>
      </c>
      <c r="X689" s="1">
        <f t="shared" si="135"/>
        <v>179.23568054195232</v>
      </c>
      <c r="Y689" s="3">
        <f t="shared" si="125"/>
        <v>8.0745998172534916E-2</v>
      </c>
      <c r="Z689" s="1">
        <f t="shared" si="126"/>
        <v>0.19812089529259388</v>
      </c>
      <c r="AA689" s="8">
        <f t="shared" si="131"/>
        <v>56.416666666667176</v>
      </c>
      <c r="AB689" s="1">
        <v>56.5</v>
      </c>
      <c r="AC689" s="1">
        <v>7.5390508420000004E-3</v>
      </c>
      <c r="AD689" s="8">
        <f t="shared" si="127"/>
        <v>-0.12759303262835192</v>
      </c>
      <c r="AE689" s="3">
        <f t="shared" si="128"/>
        <v>-1.6924283348446465E-3</v>
      </c>
      <c r="AF689" s="11">
        <f t="shared" si="129"/>
        <v>56.416666666667176</v>
      </c>
      <c r="AG689" s="1">
        <f t="shared" si="130"/>
        <v>0.19812089529259388</v>
      </c>
    </row>
    <row r="690" spans="2:33" ht="15" x14ac:dyDescent="0.25">
      <c r="B690" s="1">
        <v>679</v>
      </c>
      <c r="C690" s="1">
        <v>1.0012115244516948</v>
      </c>
      <c r="D690" s="1">
        <v>1.2916800820113656</v>
      </c>
      <c r="E690" s="1">
        <v>0.77271216241422291</v>
      </c>
      <c r="G690" s="1">
        <v>1.0044545040506927</v>
      </c>
      <c r="H690" s="1">
        <v>8.1083118797169718</v>
      </c>
      <c r="I690" s="1">
        <v>8.8714111260665154E-2</v>
      </c>
      <c r="K690" s="1">
        <v>0.99900386543282005</v>
      </c>
      <c r="L690" s="1">
        <v>9.4673910805091737</v>
      </c>
      <c r="M690" s="1">
        <v>7.3536319877156434E-2</v>
      </c>
      <c r="O690" s="1">
        <v>7.5538750810076744E-3</v>
      </c>
      <c r="P690" s="1">
        <v>0.65218733698158049</v>
      </c>
      <c r="R690" s="1">
        <v>0.2902593197890907</v>
      </c>
      <c r="S690" s="2">
        <f t="shared" si="132"/>
        <v>1.4903208571007667</v>
      </c>
      <c r="T690" s="4">
        <f t="shared" si="133"/>
        <v>2.2210562571095638</v>
      </c>
      <c r="U690" s="1">
        <f t="shared" si="124"/>
        <v>1.5092678989026163</v>
      </c>
      <c r="V690" s="6">
        <f>2*sigma/alpha*corel*(B690/12-1/alpha*(1-EXP(-alpha*Output!B690/12)))</f>
        <v>4.2729267569382152</v>
      </c>
      <c r="W690" s="5">
        <f t="shared" si="134"/>
        <v>-0.71178835820694752</v>
      </c>
      <c r="X690" s="1">
        <f t="shared" si="135"/>
        <v>179.35933481099767</v>
      </c>
      <c r="Y690" s="3">
        <f t="shared" si="125"/>
        <v>8.0585422470801082E-2</v>
      </c>
      <c r="Z690" s="1">
        <f t="shared" si="126"/>
        <v>0.19812328277412034</v>
      </c>
      <c r="AA690" s="8">
        <f t="shared" si="131"/>
        <v>56.500000000000512</v>
      </c>
      <c r="AB690" s="1">
        <v>56.58</v>
      </c>
      <c r="AC690" s="1">
        <v>7.5389103490000001E-3</v>
      </c>
      <c r="AD690" s="8">
        <f t="shared" si="127"/>
        <v>-0.14964732007674217</v>
      </c>
      <c r="AE690" s="3">
        <f t="shared" si="128"/>
        <v>-1.984999332119557E-3</v>
      </c>
      <c r="AF690" s="11">
        <f t="shared" si="129"/>
        <v>56.500000000000512</v>
      </c>
      <c r="AG690" s="1">
        <f t="shared" si="130"/>
        <v>0.19812328277412034</v>
      </c>
    </row>
    <row r="691" spans="2:33" ht="15" x14ac:dyDescent="0.25">
      <c r="B691" s="1">
        <v>680</v>
      </c>
      <c r="C691" s="1">
        <v>1.0012131114878067</v>
      </c>
      <c r="D691" s="1">
        <v>1.2928254047971361</v>
      </c>
      <c r="E691" s="1">
        <v>0.77202476561287381</v>
      </c>
      <c r="G691" s="1">
        <v>1.0044756489612521</v>
      </c>
      <c r="H691" s="1">
        <v>8.1705540928260856</v>
      </c>
      <c r="I691" s="1">
        <v>8.7995605586956543E-2</v>
      </c>
      <c r="K691" s="1">
        <v>0.99906816117970387</v>
      </c>
      <c r="L691" s="1">
        <v>9.6153896938654171</v>
      </c>
      <c r="M691" s="1">
        <v>7.2365615308269821E-2</v>
      </c>
      <c r="O691" s="1">
        <v>7.555927497019505E-3</v>
      </c>
      <c r="P691" s="1">
        <v>0.65170112145459957</v>
      </c>
      <c r="R691" s="1">
        <v>0.29046410554594948</v>
      </c>
      <c r="S691" s="2">
        <f t="shared" si="132"/>
        <v>1.4926014699286501</v>
      </c>
      <c r="T691" s="4">
        <f t="shared" si="133"/>
        <v>2.2278591480331666</v>
      </c>
      <c r="U691" s="1">
        <f t="shared" si="124"/>
        <v>1.5134508183339515</v>
      </c>
      <c r="V691" s="6">
        <f>2*sigma/alpha*corel*(B691/12-1/alpha*(1-EXP(-alpha*Output!B691/12)))</f>
        <v>4.2822618602443576</v>
      </c>
      <c r="W691" s="5">
        <f t="shared" si="134"/>
        <v>-0.71440832969921519</v>
      </c>
      <c r="X691" s="1">
        <f t="shared" si="135"/>
        <v>180.27032137152557</v>
      </c>
      <c r="Y691" s="3">
        <f t="shared" si="125"/>
        <v>8.0684263305419682E-2</v>
      </c>
      <c r="Z691" s="1">
        <f t="shared" si="126"/>
        <v>0.19828051199217592</v>
      </c>
      <c r="AA691" s="8">
        <f t="shared" si="131"/>
        <v>56.583333333333847</v>
      </c>
      <c r="AB691" s="1">
        <v>56.67</v>
      </c>
      <c r="AC691" s="1">
        <v>7.53877027E-3</v>
      </c>
      <c r="AD691" s="8">
        <f t="shared" si="127"/>
        <v>-0.17157227019505039</v>
      </c>
      <c r="AE691" s="3">
        <f t="shared" si="128"/>
        <v>-2.2758654800479868E-3</v>
      </c>
      <c r="AF691" s="11">
        <f t="shared" si="129"/>
        <v>56.583333333333847</v>
      </c>
      <c r="AG691" s="1">
        <f t="shared" si="130"/>
        <v>0.19828051199217592</v>
      </c>
    </row>
    <row r="692" spans="2:33" ht="15" x14ac:dyDescent="0.25">
      <c r="B692" s="1">
        <v>681</v>
      </c>
      <c r="C692" s="1">
        <v>1.0012120484453952</v>
      </c>
      <c r="D692" s="1">
        <v>1.2924564309763156</v>
      </c>
      <c r="E692" s="1">
        <v>0.77224231461840387</v>
      </c>
      <c r="G692" s="1">
        <v>1.0042820659707132</v>
      </c>
      <c r="H692" s="1">
        <v>8.1481768764046212</v>
      </c>
      <c r="I692" s="1">
        <v>8.8194476545478878E-2</v>
      </c>
      <c r="K692" s="1">
        <v>0.9990231515461655</v>
      </c>
      <c r="L692" s="1">
        <v>9.7998962116495214</v>
      </c>
      <c r="M692" s="1">
        <v>7.0967332426430232E-2</v>
      </c>
      <c r="O692" s="1">
        <v>7.5579254732038321E-3</v>
      </c>
      <c r="P692" s="1">
        <v>0.65121705755399439</v>
      </c>
      <c r="R692" s="1">
        <v>0.29062643087740847</v>
      </c>
      <c r="S692" s="2">
        <f t="shared" si="132"/>
        <v>1.4946977721826118</v>
      </c>
      <c r="T692" s="4">
        <f t="shared" si="133"/>
        <v>2.2341214301676628</v>
      </c>
      <c r="U692" s="1">
        <f t="shared" si="124"/>
        <v>1.5176369638897484</v>
      </c>
      <c r="V692" s="6">
        <f>2*sigma/alpha*corel*(B692/12-1/alpha*(1-EXP(-alpha*Output!B692/12)))</f>
        <v>4.2916005627596885</v>
      </c>
      <c r="W692" s="5">
        <f t="shared" si="134"/>
        <v>-0.7164844662779144</v>
      </c>
      <c r="X692" s="1">
        <f t="shared" si="135"/>
        <v>181.05980923536583</v>
      </c>
      <c r="Y692" s="3">
        <f t="shared" si="125"/>
        <v>8.0742256329935119E-2</v>
      </c>
      <c r="Z692" s="1">
        <f t="shared" si="126"/>
        <v>0.1984131510388287</v>
      </c>
      <c r="AA692" s="8">
        <f t="shared" si="131"/>
        <v>56.666666666667183</v>
      </c>
      <c r="AB692" s="1">
        <v>56.75</v>
      </c>
      <c r="AC692" s="1">
        <v>7.5386306029999999E-3</v>
      </c>
      <c r="AD692" s="8">
        <f t="shared" si="127"/>
        <v>-0.19294870203832165</v>
      </c>
      <c r="AE692" s="3">
        <f t="shared" si="128"/>
        <v>-2.55946619750194E-3</v>
      </c>
      <c r="AF692" s="11">
        <f t="shared" si="129"/>
        <v>56.666666666667183</v>
      </c>
      <c r="AG692" s="1">
        <f t="shared" si="130"/>
        <v>0.1984131510388287</v>
      </c>
    </row>
    <row r="693" spans="2:33" ht="15" x14ac:dyDescent="0.25">
      <c r="B693" s="1">
        <v>682</v>
      </c>
      <c r="C693" s="1">
        <v>1.0012050012489773</v>
      </c>
      <c r="D693" s="1">
        <v>1.2959069247839721</v>
      </c>
      <c r="E693" s="1">
        <v>0.77018328817129611</v>
      </c>
      <c r="G693" s="1">
        <v>1.0035800552696312</v>
      </c>
      <c r="H693" s="1">
        <v>8.3380483513725316</v>
      </c>
      <c r="I693" s="1">
        <v>8.6144343266106815E-2</v>
      </c>
      <c r="K693" s="1">
        <v>0.99891263893389792</v>
      </c>
      <c r="L693" s="1">
        <v>9.7557059524110361</v>
      </c>
      <c r="M693" s="1">
        <v>7.1248891426360567E-2</v>
      </c>
      <c r="O693" s="1">
        <v>7.5598747092508398E-3</v>
      </c>
      <c r="P693" s="1">
        <v>0.65073493908507829</v>
      </c>
      <c r="R693" s="1">
        <v>0.29082510577832266</v>
      </c>
      <c r="S693" s="2">
        <f t="shared" si="132"/>
        <v>1.4969473607963042</v>
      </c>
      <c r="T693" s="4">
        <f t="shared" si="133"/>
        <v>2.2408514009950204</v>
      </c>
      <c r="U693" s="1">
        <f t="shared" si="124"/>
        <v>1.5218263260715754</v>
      </c>
      <c r="V693" s="6">
        <f>2*sigma/alpha*corel*(B693/12-1/alpha*(1-EXP(-alpha*Output!B693/12)))</f>
        <v>4.3009428525068145</v>
      </c>
      <c r="W693" s="5">
        <f t="shared" si="134"/>
        <v>-0.71902507492344503</v>
      </c>
      <c r="X693" s="1">
        <f t="shared" si="135"/>
        <v>181.95647645312596</v>
      </c>
      <c r="Y693" s="3">
        <f t="shared" si="125"/>
        <v>8.0834441562809473E-2</v>
      </c>
      <c r="Z693" s="1">
        <f t="shared" si="126"/>
        <v>0.1985660353603792</v>
      </c>
      <c r="AA693" s="8">
        <f t="shared" si="131"/>
        <v>56.750000000000519</v>
      </c>
      <c r="AB693" s="1">
        <v>56.83</v>
      </c>
      <c r="AC693" s="1">
        <v>7.5384913459999999E-3</v>
      </c>
      <c r="AD693" s="8">
        <f t="shared" si="127"/>
        <v>-0.21383363250839815</v>
      </c>
      <c r="AE693" s="3">
        <f t="shared" si="128"/>
        <v>-2.8365573785776176E-3</v>
      </c>
      <c r="AF693" s="11">
        <f t="shared" si="129"/>
        <v>56.750000000000519</v>
      </c>
      <c r="AG693" s="1">
        <f t="shared" si="130"/>
        <v>0.1985660353603792</v>
      </c>
    </row>
    <row r="694" spans="2:33" ht="15" x14ac:dyDescent="0.25">
      <c r="B694" s="1">
        <v>683</v>
      </c>
      <c r="C694" s="1">
        <v>1.001204650307447</v>
      </c>
      <c r="D694" s="1">
        <v>1.2956294970057551</v>
      </c>
      <c r="E694" s="1">
        <v>0.77034535321853415</v>
      </c>
      <c r="G694" s="1">
        <v>1.0034507646177702</v>
      </c>
      <c r="H694" s="1">
        <v>8.3174627216282637</v>
      </c>
      <c r="I694" s="1">
        <v>8.6315670337736933E-2</v>
      </c>
      <c r="K694" s="1">
        <v>0.99882367602098798</v>
      </c>
      <c r="L694" s="1">
        <v>9.4004028967899096</v>
      </c>
      <c r="M694" s="1">
        <v>7.3903369453997877E-2</v>
      </c>
      <c r="O694" s="1">
        <v>7.5617737266825422E-3</v>
      </c>
      <c r="P694" s="1">
        <v>0.65025482490087949</v>
      </c>
      <c r="R694" s="1">
        <v>0.29093589757939897</v>
      </c>
      <c r="S694" s="2">
        <f t="shared" si="132"/>
        <v>1.4988176805283333</v>
      </c>
      <c r="T694" s="4">
        <f t="shared" si="133"/>
        <v>2.2464544394643329</v>
      </c>
      <c r="U694" s="1">
        <f t="shared" si="124"/>
        <v>1.5260188954043863</v>
      </c>
      <c r="V694" s="6">
        <f>2*sigma/alpha*corel*(B694/12-1/alpha*(1-EXP(-alpha*Output!B694/12)))</f>
        <v>4.3102887175482056</v>
      </c>
      <c r="W694" s="5">
        <f t="shared" si="134"/>
        <v>-0.72043554405994659</v>
      </c>
      <c r="X694" s="1">
        <f t="shared" si="135"/>
        <v>182.59774769293787</v>
      </c>
      <c r="Y694" s="3">
        <f t="shared" si="125"/>
        <v>8.084261805581526E-2</v>
      </c>
      <c r="Z694" s="1">
        <f t="shared" si="126"/>
        <v>0.19866853017219135</v>
      </c>
      <c r="AA694" s="8">
        <f t="shared" si="131"/>
        <v>56.833333333333854</v>
      </c>
      <c r="AB694" s="1">
        <v>56.92</v>
      </c>
      <c r="AC694" s="1">
        <v>7.5383524979999996E-3</v>
      </c>
      <c r="AD694" s="8">
        <f t="shared" si="127"/>
        <v>-0.23421228682542553</v>
      </c>
      <c r="AE694" s="3">
        <f t="shared" si="128"/>
        <v>-3.1069426229081805E-3</v>
      </c>
      <c r="AF694" s="11">
        <f t="shared" si="129"/>
        <v>56.833333333333854</v>
      </c>
      <c r="AG694" s="1">
        <f t="shared" si="130"/>
        <v>0.19866853017219135</v>
      </c>
    </row>
    <row r="695" spans="2:33" ht="15" x14ac:dyDescent="0.25">
      <c r="B695" s="1">
        <v>684</v>
      </c>
      <c r="C695" s="1">
        <v>1.0012066472664407</v>
      </c>
      <c r="D695" s="1">
        <v>1.2929381310062285</v>
      </c>
      <c r="E695" s="1">
        <v>0.77194603464364298</v>
      </c>
      <c r="G695" s="1">
        <v>1.0035100859656214</v>
      </c>
      <c r="H695" s="1">
        <v>8.1590822112945638</v>
      </c>
      <c r="I695" s="1">
        <v>8.7948520220929735E-2</v>
      </c>
      <c r="K695" s="1">
        <v>0.99913649683590222</v>
      </c>
      <c r="L695" s="1">
        <v>9.3213156958834311</v>
      </c>
      <c r="M695" s="1">
        <v>7.4491991665776802E-2</v>
      </c>
      <c r="O695" s="1">
        <v>7.5636911353749352E-3</v>
      </c>
      <c r="P695" s="1">
        <v>0.64977417813086225</v>
      </c>
      <c r="R695" s="1">
        <v>0.29103678093995561</v>
      </c>
      <c r="S695" s="2" t="e">
        <f t="shared" si="132"/>
        <v>#VALUE!</v>
      </c>
      <c r="T695" s="4" t="e">
        <f t="shared" si="133"/>
        <v>#VALUE!</v>
      </c>
      <c r="U695" s="1">
        <f t="shared" si="124"/>
        <v>1.5302146624365025</v>
      </c>
      <c r="V695" s="6">
        <f>2*sigma/alpha*corel*(B695/12-1/alpha*(1-EXP(-alpha*Output!B695/12)))</f>
        <v>4.3196381459860547</v>
      </c>
      <c r="W695" s="5" t="e">
        <f t="shared" si="134"/>
        <v>#VALUE!</v>
      </c>
      <c r="X695" s="1" t="e">
        <f t="shared" si="135"/>
        <v>#VALUE!</v>
      </c>
      <c r="Y695" s="3" t="e">
        <f t="shared" si="125"/>
        <v>#VALUE!</v>
      </c>
      <c r="Z695" s="1" t="e">
        <f t="shared" si="126"/>
        <v>#VALUE!</v>
      </c>
      <c r="AA695" s="8">
        <f t="shared" si="131"/>
        <v>56.91666666666719</v>
      </c>
      <c r="AB695" s="1">
        <v>57</v>
      </c>
      <c r="AC695" s="1">
        <v>7.5382140560000003E-3</v>
      </c>
      <c r="AD695" s="8">
        <f t="shared" si="127"/>
        <v>-0.25477079374934886</v>
      </c>
      <c r="AE695" s="3">
        <f t="shared" si="128"/>
        <v>-3.3797235241226063E-3</v>
      </c>
      <c r="AF695" s="11">
        <f t="shared" si="129"/>
        <v>56.91666666666719</v>
      </c>
      <c r="AG695" s="1" t="e">
        <f t="shared" si="130"/>
        <v>#VALUE!</v>
      </c>
    </row>
    <row r="696" spans="2:33" ht="15" x14ac:dyDescent="0.25">
      <c r="B696" s="1">
        <v>685</v>
      </c>
      <c r="C696" s="1">
        <v>1.0012082807775982</v>
      </c>
      <c r="D696" s="1">
        <v>1.2957809293821689</v>
      </c>
      <c r="E696" s="1">
        <v>0.77024961280455384</v>
      </c>
      <c r="G696" s="1">
        <v>1.0035175561077598</v>
      </c>
      <c r="H696" s="1">
        <v>8.314574787859101</v>
      </c>
      <c r="I696" s="1">
        <v>8.6261922875345232E-2</v>
      </c>
      <c r="K696" s="1">
        <v>0.99888042784729913</v>
      </c>
      <c r="L696" s="1">
        <v>9.0415517219083714</v>
      </c>
      <c r="M696" s="1">
        <v>7.6751935151838799E-2</v>
      </c>
      <c r="O696" s="1">
        <v>7.5656135897394896E-3</v>
      </c>
      <c r="P696" s="1">
        <v>0.64929349213338672</v>
      </c>
      <c r="R696" s="1">
        <v>0.29117729997813108</v>
      </c>
      <c r="S696" s="2" t="e">
        <f t="shared" si="132"/>
        <v>#VALUE!</v>
      </c>
      <c r="T696" s="4" t="e">
        <f t="shared" si="133"/>
        <v>#VALUE!</v>
      </c>
      <c r="U696" s="1">
        <f t="shared" si="124"/>
        <v>1.5344136177395811</v>
      </c>
      <c r="V696" s="6">
        <f>2*sigma/alpha*corel*(B696/12-1/alpha*(1-EXP(-alpha*Output!B696/12)))</f>
        <v>4.3289911259621476</v>
      </c>
      <c r="W696" s="5" t="e">
        <f t="shared" si="134"/>
        <v>#VALUE!</v>
      </c>
      <c r="X696" s="1" t="e">
        <f t="shared" si="135"/>
        <v>#VALUE!</v>
      </c>
      <c r="Y696" s="3" t="e">
        <f t="shared" si="125"/>
        <v>#VALUE!</v>
      </c>
      <c r="Z696" s="1" t="e">
        <f t="shared" si="126"/>
        <v>#VALUE!</v>
      </c>
      <c r="AA696" s="8">
        <f t="shared" si="131"/>
        <v>57.000000000000526</v>
      </c>
      <c r="AB696" s="1">
        <v>57.08</v>
      </c>
      <c r="AC696" s="1">
        <v>7.5380760189999998E-3</v>
      </c>
      <c r="AD696" s="8">
        <f t="shared" si="127"/>
        <v>-0.27537570739489747</v>
      </c>
      <c r="AE696" s="3">
        <f t="shared" si="128"/>
        <v>-3.6531298795714293E-3</v>
      </c>
      <c r="AF696" s="11">
        <f t="shared" si="129"/>
        <v>57.000000000000526</v>
      </c>
      <c r="AG696" s="1" t="e">
        <f t="shared" si="130"/>
        <v>#VALUE!</v>
      </c>
    </row>
    <row r="697" spans="2:33" ht="15" x14ac:dyDescent="0.25">
      <c r="B697" s="1">
        <v>686</v>
      </c>
      <c r="C697" s="1">
        <v>1.0012096280121929</v>
      </c>
      <c r="D697" s="1">
        <v>1.2938122334133204</v>
      </c>
      <c r="E697" s="1">
        <v>0.77141877658420421</v>
      </c>
      <c r="G697" s="1">
        <v>1.0035273589827869</v>
      </c>
      <c r="H697" s="1">
        <v>8.1956224219109579</v>
      </c>
      <c r="I697" s="1">
        <v>8.747149882842907E-2</v>
      </c>
      <c r="K697" s="1">
        <v>0.99891187153429983</v>
      </c>
      <c r="L697" s="1">
        <v>9.3310342136635605</v>
      </c>
      <c r="M697" s="1">
        <v>7.433142763329785E-2</v>
      </c>
      <c r="O697" s="1">
        <v>7.5676301158328178E-3</v>
      </c>
      <c r="P697" s="1">
        <v>0.64880946469368306</v>
      </c>
      <c r="R697" s="1">
        <v>0.29115116473378622</v>
      </c>
      <c r="S697" s="2" t="e">
        <f t="shared" si="132"/>
        <v>#VALUE!</v>
      </c>
      <c r="T697" s="4" t="e">
        <f t="shared" si="133"/>
        <v>#VALUE!</v>
      </c>
      <c r="U697" s="1">
        <f t="shared" ref="U697:U731" si="136">sigma*sigma/alpha/alpha*(B697/12+2/alpha*EXP(-alpha*B697/12)-1/2/alpha*EXP(-2*alpha*B697/12)-3/2/alpha)</f>
        <v>1.5386157519085977</v>
      </c>
      <c r="V697" s="6">
        <f>2*sigma/alpha*corel*(B697/12-1/alpha*(1-EXP(-alpha*Output!B697/12)))</f>
        <v>4.3383476456577306</v>
      </c>
      <c r="W697" s="5" t="e">
        <f t="shared" si="134"/>
        <v>#VALUE!</v>
      </c>
      <c r="X697" s="1" t="e">
        <f t="shared" si="135"/>
        <v>#VALUE!</v>
      </c>
      <c r="Y697" s="3" t="e">
        <f t="shared" si="125"/>
        <v>#VALUE!</v>
      </c>
      <c r="Z697" s="1" t="e">
        <f t="shared" si="126"/>
        <v>#VALUE!</v>
      </c>
      <c r="AA697" s="8">
        <f t="shared" si="131"/>
        <v>57.083333333333862</v>
      </c>
      <c r="AB697" s="1">
        <v>57.17</v>
      </c>
      <c r="AC697" s="1">
        <v>7.5379383849999999E-3</v>
      </c>
      <c r="AD697" s="8">
        <f t="shared" si="127"/>
        <v>-0.29691730832817964</v>
      </c>
      <c r="AE697" s="3">
        <f t="shared" si="128"/>
        <v>-3.9389723444678924E-3</v>
      </c>
      <c r="AF697" s="11">
        <f t="shared" si="129"/>
        <v>57.083333333333862</v>
      </c>
      <c r="AG697" s="1" t="e">
        <f t="shared" si="130"/>
        <v>#VALUE!</v>
      </c>
    </row>
    <row r="698" spans="2:33" ht="15" x14ac:dyDescent="0.25">
      <c r="B698" s="1">
        <v>687</v>
      </c>
      <c r="C698" s="1">
        <v>1.0012121807220109</v>
      </c>
      <c r="D698" s="1">
        <v>1.291965966090997</v>
      </c>
      <c r="E698" s="1">
        <v>0.77251828826275692</v>
      </c>
      <c r="G698" s="1">
        <v>1.0035557493790186</v>
      </c>
      <c r="H698" s="1">
        <v>8.096582887445976</v>
      </c>
      <c r="I698" s="1">
        <v>8.84985333603132E-2</v>
      </c>
      <c r="K698" s="1">
        <v>0.99861847868074194</v>
      </c>
      <c r="L698" s="1">
        <v>9.3479252736693734</v>
      </c>
      <c r="M698" s="1">
        <v>7.4158522707967495E-2</v>
      </c>
      <c r="O698" s="1">
        <v>7.5696800446556339E-3</v>
      </c>
      <c r="P698" s="1">
        <v>0.64832434039072584</v>
      </c>
      <c r="R698" s="1">
        <v>0.29116941415638831</v>
      </c>
      <c r="S698" s="2" t="e">
        <f t="shared" si="132"/>
        <v>#VALUE!</v>
      </c>
      <c r="T698" s="4" t="e">
        <f t="shared" si="133"/>
        <v>#VALUE!</v>
      </c>
      <c r="U698" s="1">
        <f t="shared" si="136"/>
        <v>1.54282105556182</v>
      </c>
      <c r="V698" s="6">
        <f>2*sigma/alpha*corel*(B698/12-1/alpha*(1-EXP(-alpha*Output!B698/12)))</f>
        <v>4.3477076932933851</v>
      </c>
      <c r="W698" s="5" t="e">
        <f t="shared" si="134"/>
        <v>#VALUE!</v>
      </c>
      <c r="X698" s="1" t="e">
        <f t="shared" si="135"/>
        <v>#VALUE!</v>
      </c>
      <c r="Y698" s="3" t="e">
        <f t="shared" si="125"/>
        <v>#VALUE!</v>
      </c>
      <c r="Z698" s="1" t="e">
        <f t="shared" si="126"/>
        <v>#VALUE!</v>
      </c>
      <c r="AA698" s="8">
        <f t="shared" si="131"/>
        <v>57.166666666667197</v>
      </c>
      <c r="AB698" s="1">
        <v>57.25</v>
      </c>
      <c r="AC698" s="1">
        <v>7.537801153E-3</v>
      </c>
      <c r="AD698" s="8">
        <f t="shared" si="127"/>
        <v>-0.31878891655633818</v>
      </c>
      <c r="AE698" s="3">
        <f t="shared" si="128"/>
        <v>-4.2292030538569206E-3</v>
      </c>
      <c r="AF698" s="11">
        <f t="shared" si="129"/>
        <v>57.166666666667197</v>
      </c>
      <c r="AG698" s="1" t="e">
        <f t="shared" si="130"/>
        <v>#VALUE!</v>
      </c>
    </row>
    <row r="699" spans="2:33" ht="15" x14ac:dyDescent="0.25">
      <c r="B699" s="1">
        <v>688</v>
      </c>
      <c r="C699" s="1">
        <v>1.0012114292887766</v>
      </c>
      <c r="D699" s="1">
        <v>1.2899803137013268</v>
      </c>
      <c r="E699" s="1">
        <v>0.77370453418536256</v>
      </c>
      <c r="G699" s="1">
        <v>1.0033682750118964</v>
      </c>
      <c r="H699" s="1">
        <v>7.988661008140137</v>
      </c>
      <c r="I699" s="1">
        <v>8.9650594628804481E-2</v>
      </c>
      <c r="K699" s="1">
        <v>0.9986634859869773</v>
      </c>
      <c r="L699" s="1">
        <v>9.2127411385910936</v>
      </c>
      <c r="M699" s="1">
        <v>7.5204938935583152E-2</v>
      </c>
      <c r="O699" s="1">
        <v>7.5717215795903878E-3</v>
      </c>
      <c r="P699" s="1">
        <v>0.64783966925731673</v>
      </c>
      <c r="R699" s="1">
        <v>0.29120220312018835</v>
      </c>
      <c r="S699" s="2" t="e">
        <f t="shared" si="132"/>
        <v>#VALUE!</v>
      </c>
      <c r="T699" s="4" t="e">
        <f t="shared" si="133"/>
        <v>#VALUE!</v>
      </c>
      <c r="U699" s="1">
        <f t="shared" si="136"/>
        <v>1.5470295193407835</v>
      </c>
      <c r="V699" s="6">
        <f>2*sigma/alpha*corel*(B699/12-1/alpha*(1-EXP(-alpha*Output!B699/12)))</f>
        <v>4.3570712571288883</v>
      </c>
      <c r="W699" s="5" t="e">
        <f t="shared" si="134"/>
        <v>#VALUE!</v>
      </c>
      <c r="X699" s="1" t="e">
        <f t="shared" si="135"/>
        <v>#VALUE!</v>
      </c>
      <c r="Y699" s="3" t="e">
        <f t="shared" si="125"/>
        <v>#VALUE!</v>
      </c>
      <c r="Z699" s="1" t="e">
        <f t="shared" si="126"/>
        <v>#VALUE!</v>
      </c>
      <c r="AA699" s="8">
        <f t="shared" si="131"/>
        <v>57.250000000000533</v>
      </c>
      <c r="AB699" s="1">
        <v>57.33</v>
      </c>
      <c r="AC699" s="1">
        <v>7.5376643199999999E-3</v>
      </c>
      <c r="AD699" s="8">
        <f t="shared" si="127"/>
        <v>-0.34057259590387912</v>
      </c>
      <c r="AE699" s="3">
        <f t="shared" si="128"/>
        <v>-4.5182775651102375E-3</v>
      </c>
      <c r="AF699" s="11">
        <f t="shared" si="129"/>
        <v>57.250000000000533</v>
      </c>
      <c r="AG699" s="1" t="e">
        <f t="shared" si="130"/>
        <v>#VALUE!</v>
      </c>
    </row>
    <row r="700" spans="2:33" ht="15" x14ac:dyDescent="0.25">
      <c r="B700" s="1">
        <v>689</v>
      </c>
      <c r="C700" s="1">
        <v>1.0012150569706721</v>
      </c>
      <c r="D700" s="1">
        <v>1.2857381213732673</v>
      </c>
      <c r="E700" s="1">
        <v>0.7762544156222686</v>
      </c>
      <c r="G700" s="1">
        <v>1.0034914538819062</v>
      </c>
      <c r="H700" s="1">
        <v>7.7514792489791287</v>
      </c>
      <c r="I700" s="1">
        <v>9.2348937675637455E-2</v>
      </c>
      <c r="K700" s="1">
        <v>0.9985337082418364</v>
      </c>
      <c r="L700" s="1">
        <v>9.1074598655092824</v>
      </c>
      <c r="M700" s="1">
        <v>7.6034552226297181E-2</v>
      </c>
      <c r="O700" s="1">
        <v>7.5738171072804901E-3</v>
      </c>
      <c r="P700" s="1">
        <v>0.64735313333336031</v>
      </c>
      <c r="R700" s="1">
        <v>0.29119380889016266</v>
      </c>
      <c r="S700" s="2" t="e">
        <f t="shared" si="132"/>
        <v>#VALUE!</v>
      </c>
      <c r="T700" s="4" t="e">
        <f t="shared" si="133"/>
        <v>#VALUE!</v>
      </c>
      <c r="U700" s="1">
        <f t="shared" si="136"/>
        <v>1.5512411339102665</v>
      </c>
      <c r="V700" s="6">
        <f>2*sigma/alpha*corel*(B700/12-1/alpha*(1-EXP(-alpha*Output!B700/12)))</f>
        <v>4.3664383254630845</v>
      </c>
      <c r="W700" s="5" t="e">
        <f t="shared" si="134"/>
        <v>#VALUE!</v>
      </c>
      <c r="X700" s="1" t="e">
        <f t="shared" si="135"/>
        <v>#VALUE!</v>
      </c>
      <c r="Y700" s="3" t="e">
        <f t="shared" si="125"/>
        <v>#VALUE!</v>
      </c>
      <c r="Z700" s="1" t="e">
        <f t="shared" si="126"/>
        <v>#VALUE!</v>
      </c>
      <c r="AA700" s="8">
        <f t="shared" si="131"/>
        <v>57.333333333333869</v>
      </c>
      <c r="AB700" s="1">
        <v>57.42</v>
      </c>
      <c r="AC700" s="1">
        <v>7.5375278840000004E-3</v>
      </c>
      <c r="AD700" s="8">
        <f t="shared" si="127"/>
        <v>-0.36289223280489696</v>
      </c>
      <c r="AE700" s="3">
        <f t="shared" si="128"/>
        <v>-4.8144728402957238E-3</v>
      </c>
      <c r="AF700" s="11">
        <f t="shared" si="129"/>
        <v>57.333333333333869</v>
      </c>
      <c r="AG700" s="1" t="e">
        <f t="shared" si="130"/>
        <v>#VALUE!</v>
      </c>
    </row>
    <row r="701" spans="2:33" ht="15" x14ac:dyDescent="0.25">
      <c r="B701" s="1">
        <v>690</v>
      </c>
      <c r="C701" s="1">
        <v>1.0012156647709447</v>
      </c>
      <c r="D701" s="1">
        <v>1.2873124693003339</v>
      </c>
      <c r="E701" s="1">
        <v>0.7753021808142917</v>
      </c>
      <c r="G701" s="1">
        <v>1.0034116938851585</v>
      </c>
      <c r="H701" s="1">
        <v>7.8284140556037949</v>
      </c>
      <c r="I701" s="1">
        <v>9.1397018378582578E-2</v>
      </c>
      <c r="K701" s="1">
        <v>0.99878435361800544</v>
      </c>
      <c r="L701" s="1">
        <v>9.2979697109760053</v>
      </c>
      <c r="M701" s="1">
        <v>7.443900435394904E-2</v>
      </c>
      <c r="O701" s="1">
        <v>7.5759164835208677E-3</v>
      </c>
      <c r="P701" s="1">
        <v>0.64686659373672195</v>
      </c>
      <c r="R701" s="1">
        <v>0.29135060628144299</v>
      </c>
      <c r="S701" s="2" t="e">
        <f t="shared" si="132"/>
        <v>#VALUE!</v>
      </c>
      <c r="T701" s="4" t="e">
        <f t="shared" si="133"/>
        <v>#VALUE!</v>
      </c>
      <c r="U701" s="1">
        <f t="shared" si="136"/>
        <v>1.5554558899582669</v>
      </c>
      <c r="V701" s="6">
        <f>2*sigma/alpha*corel*(B701/12-1/alpha*(1-EXP(-alpha*Output!B701/12)))</f>
        <v>4.3758088866337612</v>
      </c>
      <c r="W701" s="5" t="e">
        <f t="shared" si="134"/>
        <v>#VALUE!</v>
      </c>
      <c r="X701" s="1" t="e">
        <f t="shared" si="135"/>
        <v>#VALUE!</v>
      </c>
      <c r="Y701" s="3" t="e">
        <f t="shared" si="125"/>
        <v>#VALUE!</v>
      </c>
      <c r="Z701" s="1" t="e">
        <f t="shared" si="126"/>
        <v>#VALUE!</v>
      </c>
      <c r="AA701" s="8">
        <f t="shared" si="131"/>
        <v>57.416666666667204</v>
      </c>
      <c r="AB701" s="1">
        <v>57.5</v>
      </c>
      <c r="AC701" s="1">
        <v>7.5373918449999997E-3</v>
      </c>
      <c r="AD701" s="8">
        <f t="shared" si="127"/>
        <v>-0.38524638520867971</v>
      </c>
      <c r="AE701" s="3">
        <f t="shared" si="128"/>
        <v>-5.1111364929798172E-3</v>
      </c>
      <c r="AF701" s="11">
        <f t="shared" si="129"/>
        <v>57.416666666667204</v>
      </c>
      <c r="AG701" s="1" t="e">
        <f t="shared" si="130"/>
        <v>#VALUE!</v>
      </c>
    </row>
    <row r="702" spans="2:33" ht="15" x14ac:dyDescent="0.25">
      <c r="B702" s="1">
        <v>691</v>
      </c>
      <c r="C702" s="1">
        <v>1.0012184191474993</v>
      </c>
      <c r="D702" s="1">
        <v>1.2882168950496169</v>
      </c>
      <c r="E702" s="1">
        <v>0.77475496176898684</v>
      </c>
      <c r="G702" s="1">
        <v>1.0035519443208021</v>
      </c>
      <c r="H702" s="1">
        <v>7.8775590138060698</v>
      </c>
      <c r="I702" s="1">
        <v>9.0782778898706062E-2</v>
      </c>
      <c r="K702" s="1">
        <v>0.99866326166619379</v>
      </c>
      <c r="L702" s="1">
        <v>9.3218686748171304</v>
      </c>
      <c r="M702" s="1">
        <v>7.4206318304720284E-2</v>
      </c>
      <c r="O702" s="1">
        <v>7.5779650741427777E-3</v>
      </c>
      <c r="P702" s="1">
        <v>0.64638208392941499</v>
      </c>
      <c r="R702" s="1">
        <v>0.29131340412650525</v>
      </c>
      <c r="S702" s="2" t="e">
        <f t="shared" si="132"/>
        <v>#VALUE!</v>
      </c>
      <c r="T702" s="4" t="e">
        <f t="shared" si="133"/>
        <v>#VALUE!</v>
      </c>
      <c r="U702" s="1">
        <f t="shared" si="136"/>
        <v>1.5596737781959744</v>
      </c>
      <c r="V702" s="6">
        <f>2*sigma/alpha*corel*(B702/12-1/alpha*(1-EXP(-alpha*Output!B702/12)))</f>
        <v>4.3851829290175139</v>
      </c>
      <c r="W702" s="5" t="e">
        <f t="shared" si="134"/>
        <v>#VALUE!</v>
      </c>
      <c r="X702" s="1" t="e">
        <f t="shared" si="135"/>
        <v>#VALUE!</v>
      </c>
      <c r="Y702" s="3" t="e">
        <f t="shared" si="125"/>
        <v>#VALUE!</v>
      </c>
      <c r="Z702" s="1" t="e">
        <f t="shared" si="126"/>
        <v>#VALUE!</v>
      </c>
      <c r="AA702" s="8">
        <f t="shared" si="131"/>
        <v>57.50000000000054</v>
      </c>
      <c r="AB702" s="1">
        <v>57.58</v>
      </c>
      <c r="AC702" s="1">
        <v>7.5372562000000001E-3</v>
      </c>
      <c r="AD702" s="8">
        <f t="shared" si="127"/>
        <v>-0.40708874142777673</v>
      </c>
      <c r="AE702" s="3">
        <f t="shared" si="128"/>
        <v>-5.4010203531064359E-3</v>
      </c>
      <c r="AF702" s="11">
        <f t="shared" si="129"/>
        <v>57.50000000000054</v>
      </c>
      <c r="AG702" s="1" t="e">
        <f t="shared" si="130"/>
        <v>#VALUE!</v>
      </c>
    </row>
    <row r="703" spans="2:33" ht="15" x14ac:dyDescent="0.25">
      <c r="B703" s="1">
        <v>692</v>
      </c>
      <c r="C703" s="1">
        <v>1.0012224347341496</v>
      </c>
      <c r="D703" s="1">
        <v>1.2827900857733567</v>
      </c>
      <c r="E703" s="1">
        <v>0.77802962769478889</v>
      </c>
      <c r="G703" s="1">
        <v>1.0037122026029059</v>
      </c>
      <c r="H703" s="1">
        <v>7.5756517766475939</v>
      </c>
      <c r="I703" s="1">
        <v>9.4354899007320372E-2</v>
      </c>
      <c r="K703" s="1">
        <v>0.99884940114811605</v>
      </c>
      <c r="L703" s="1">
        <v>9.6786209172528714</v>
      </c>
      <c r="M703" s="1">
        <v>7.1435811340126373E-2</v>
      </c>
      <c r="O703" s="1">
        <v>7.5800281529535699E-3</v>
      </c>
      <c r="P703" s="1">
        <v>0.64589717685696579</v>
      </c>
      <c r="R703" s="1">
        <v>0.29139900036487076</v>
      </c>
      <c r="S703" s="2" t="e">
        <f t="shared" si="132"/>
        <v>#VALUE!</v>
      </c>
      <c r="T703" s="4" t="e">
        <f t="shared" si="133"/>
        <v>#VALUE!</v>
      </c>
      <c r="U703" s="1">
        <f t="shared" si="136"/>
        <v>1.5638947893577484</v>
      </c>
      <c r="V703" s="6">
        <f>2*sigma/alpha*corel*(B703/12-1/alpha*(1-EXP(-alpha*Output!B703/12)))</f>
        <v>4.3945604410296149</v>
      </c>
      <c r="W703" s="5" t="e">
        <f t="shared" si="134"/>
        <v>#VALUE!</v>
      </c>
      <c r="X703" s="1" t="e">
        <f t="shared" si="135"/>
        <v>#VALUE!</v>
      </c>
      <c r="Y703" s="3" t="e">
        <f t="shared" si="125"/>
        <v>#VALUE!</v>
      </c>
      <c r="Z703" s="1" t="e">
        <f t="shared" si="126"/>
        <v>#VALUE!</v>
      </c>
      <c r="AA703" s="8">
        <f t="shared" si="131"/>
        <v>57.583333333333876</v>
      </c>
      <c r="AB703" s="1">
        <v>57.67</v>
      </c>
      <c r="AC703" s="1">
        <v>7.5371209480000001E-3</v>
      </c>
      <c r="AD703" s="8">
        <f t="shared" si="127"/>
        <v>-0.42907204953569755</v>
      </c>
      <c r="AE703" s="3">
        <f t="shared" si="128"/>
        <v>-5.6927844530550251E-3</v>
      </c>
      <c r="AF703" s="11">
        <f t="shared" si="129"/>
        <v>57.583333333333876</v>
      </c>
      <c r="AG703" s="1" t="e">
        <f t="shared" si="130"/>
        <v>#VALUE!</v>
      </c>
    </row>
    <row r="704" spans="2:33" ht="15" x14ac:dyDescent="0.25">
      <c r="B704" s="1">
        <v>693</v>
      </c>
      <c r="C704" s="1">
        <v>1.001222351097576</v>
      </c>
      <c r="D704" s="1">
        <v>1.2861818377820033</v>
      </c>
      <c r="E704" s="1">
        <v>0.77597499865837394</v>
      </c>
      <c r="G704" s="1">
        <v>1.0035814399495617</v>
      </c>
      <c r="H704" s="1">
        <v>7.760591860579054</v>
      </c>
      <c r="I704" s="1">
        <v>9.2061687633110678E-2</v>
      </c>
      <c r="K704" s="1">
        <v>0.99882638072288987</v>
      </c>
      <c r="L704" s="1">
        <v>9.9728175044924008</v>
      </c>
      <c r="M704" s="1">
        <v>6.9288664807924116E-2</v>
      </c>
      <c r="O704" s="1">
        <v>7.5819691838083297E-3</v>
      </c>
      <c r="P704" s="1">
        <v>0.64541696068903098</v>
      </c>
      <c r="R704" s="1">
        <v>0.29158316801497197</v>
      </c>
      <c r="S704" s="2" t="e">
        <f t="shared" si="132"/>
        <v>#VALUE!</v>
      </c>
      <c r="T704" s="4" t="e">
        <f t="shared" si="133"/>
        <v>#VALUE!</v>
      </c>
      <c r="U704" s="1">
        <f t="shared" si="136"/>
        <v>1.5681189142010901</v>
      </c>
      <c r="V704" s="6">
        <f>2*sigma/alpha*corel*(B704/12-1/alpha*(1-EXP(-alpha*Output!B704/12)))</f>
        <v>4.4039414111238919</v>
      </c>
      <c r="W704" s="5" t="e">
        <f t="shared" si="134"/>
        <v>#VALUE!</v>
      </c>
      <c r="X704" s="1" t="e">
        <f t="shared" si="135"/>
        <v>#VALUE!</v>
      </c>
      <c r="Y704" s="3" t="e">
        <f t="shared" si="125"/>
        <v>#VALUE!</v>
      </c>
      <c r="Z704" s="1" t="e">
        <f t="shared" si="126"/>
        <v>#VALUE!</v>
      </c>
      <c r="AA704" s="8">
        <f t="shared" si="131"/>
        <v>57.666666666667211</v>
      </c>
      <c r="AB704" s="1">
        <v>57.75</v>
      </c>
      <c r="AC704" s="1">
        <v>7.5369860869999999E-3</v>
      </c>
      <c r="AD704" s="8">
        <f t="shared" si="127"/>
        <v>-0.44983096808329759</v>
      </c>
      <c r="AE704" s="3">
        <f t="shared" si="128"/>
        <v>-5.9683136321450614E-3</v>
      </c>
      <c r="AF704" s="11">
        <f t="shared" si="129"/>
        <v>57.666666666667211</v>
      </c>
      <c r="AG704" s="1" t="e">
        <f t="shared" si="130"/>
        <v>#VALUE!</v>
      </c>
    </row>
    <row r="705" spans="2:33" ht="15" x14ac:dyDescent="0.25">
      <c r="B705" s="1">
        <v>694</v>
      </c>
      <c r="C705" s="1">
        <v>1.0012255021171443</v>
      </c>
      <c r="D705" s="1">
        <v>1.2878423589177859</v>
      </c>
      <c r="E705" s="1">
        <v>0.77497155958681629</v>
      </c>
      <c r="G705" s="1">
        <v>1.0037794008094305</v>
      </c>
      <c r="H705" s="1">
        <v>7.8516296109518962</v>
      </c>
      <c r="I705" s="1">
        <v>9.0950122347243284E-2</v>
      </c>
      <c r="K705" s="1">
        <v>0.99870704285884249</v>
      </c>
      <c r="L705" s="1">
        <v>10.079346482657156</v>
      </c>
      <c r="M705" s="1">
        <v>6.8519015028866523E-2</v>
      </c>
      <c r="O705" s="1">
        <v>7.583908537489777E-3</v>
      </c>
      <c r="P705" s="1">
        <v>0.64493695547178853</v>
      </c>
      <c r="R705" s="1">
        <v>0.2917984541698655</v>
      </c>
      <c r="S705" s="2" t="e">
        <f t="shared" si="132"/>
        <v>#VALUE!</v>
      </c>
      <c r="T705" s="4" t="e">
        <f t="shared" si="133"/>
        <v>#VALUE!</v>
      </c>
      <c r="U705" s="1">
        <f t="shared" si="136"/>
        <v>1.5723461435066159</v>
      </c>
      <c r="V705" s="6">
        <f>2*sigma/alpha*corel*(B705/12-1/alpha*(1-EXP(-alpha*Output!B705/12)))</f>
        <v>4.4133258277925966</v>
      </c>
      <c r="W705" s="5" t="e">
        <f t="shared" si="134"/>
        <v>#VALUE!</v>
      </c>
      <c r="X705" s="1" t="e">
        <f t="shared" si="135"/>
        <v>#VALUE!</v>
      </c>
      <c r="Y705" s="3" t="e">
        <f t="shared" si="125"/>
        <v>#VALUE!</v>
      </c>
      <c r="Z705" s="1" t="e">
        <f t="shared" si="126"/>
        <v>#VALUE!</v>
      </c>
      <c r="AA705" s="8">
        <f t="shared" si="131"/>
        <v>57.750000000000547</v>
      </c>
      <c r="AB705" s="1">
        <v>57.83</v>
      </c>
      <c r="AC705" s="1">
        <v>7.5368516150000004E-3</v>
      </c>
      <c r="AD705" s="8">
        <f t="shared" si="127"/>
        <v>-0.47056922489776587</v>
      </c>
      <c r="AE705" s="3">
        <f t="shared" si="128"/>
        <v>-6.2435782065979528E-3</v>
      </c>
      <c r="AF705" s="11">
        <f t="shared" si="129"/>
        <v>57.750000000000547</v>
      </c>
      <c r="AG705" s="1" t="e">
        <f t="shared" si="130"/>
        <v>#VALUE!</v>
      </c>
    </row>
    <row r="706" spans="2:33" ht="15" x14ac:dyDescent="0.25">
      <c r="B706" s="1">
        <v>695</v>
      </c>
      <c r="C706" s="1">
        <v>1.0012358561171086</v>
      </c>
      <c r="D706" s="1">
        <v>1.2877376287006312</v>
      </c>
      <c r="E706" s="1">
        <v>0.77503167255891381</v>
      </c>
      <c r="G706" s="1">
        <v>1.004564759269494</v>
      </c>
      <c r="H706" s="1">
        <v>7.8424930692962551</v>
      </c>
      <c r="I706" s="1">
        <v>9.1011917064995174E-2</v>
      </c>
      <c r="K706" s="1">
        <v>0.99876201344726667</v>
      </c>
      <c r="L706" s="1">
        <v>10.024784148774742</v>
      </c>
      <c r="M706" s="1">
        <v>6.8858729138182015E-2</v>
      </c>
      <c r="O706" s="1">
        <v>7.5856543772723052E-3</v>
      </c>
      <c r="P706" s="1">
        <v>0.64446432184516578</v>
      </c>
      <c r="R706" s="1">
        <v>0.2919828955748795</v>
      </c>
      <c r="S706" s="2" t="e">
        <f t="shared" si="132"/>
        <v>#VALUE!</v>
      </c>
      <c r="T706" s="4" t="e">
        <f t="shared" si="133"/>
        <v>#VALUE!</v>
      </c>
      <c r="U706" s="1">
        <f t="shared" si="136"/>
        <v>1.5765764680780339</v>
      </c>
      <c r="V706" s="6">
        <f>2*sigma/alpha*corel*(B706/12-1/alpha*(1-EXP(-alpha*Output!B706/12)))</f>
        <v>4.4227136795662707</v>
      </c>
      <c r="W706" s="5" t="e">
        <f t="shared" si="134"/>
        <v>#VALUE!</v>
      </c>
      <c r="X706" s="1" t="e">
        <f t="shared" si="135"/>
        <v>#VALUE!</v>
      </c>
      <c r="Y706" s="3" t="e">
        <f t="shared" si="125"/>
        <v>#VALUE!</v>
      </c>
      <c r="Z706" s="1" t="e">
        <f t="shared" si="126"/>
        <v>#VALUE!</v>
      </c>
      <c r="AA706" s="8">
        <f t="shared" si="131"/>
        <v>57.833333333333883</v>
      </c>
      <c r="AB706" s="1">
        <v>57.92</v>
      </c>
      <c r="AC706" s="1">
        <v>7.5367175299999997E-3</v>
      </c>
      <c r="AD706" s="8">
        <f t="shared" si="127"/>
        <v>-0.48936847272305561</v>
      </c>
      <c r="AE706" s="3">
        <f t="shared" si="128"/>
        <v>-6.4931247691732931E-3</v>
      </c>
      <c r="AF706" s="11">
        <f t="shared" si="129"/>
        <v>57.833333333333883</v>
      </c>
      <c r="AG706" s="1" t="e">
        <f t="shared" si="130"/>
        <v>#VALUE!</v>
      </c>
    </row>
    <row r="707" spans="2:33" ht="15" x14ac:dyDescent="0.25">
      <c r="B707" s="1">
        <v>696</v>
      </c>
      <c r="C707" s="1">
        <v>1.0012416820287604</v>
      </c>
      <c r="D707" s="1">
        <v>1.2901098403986986</v>
      </c>
      <c r="E707" s="1">
        <v>0.77360365665928066</v>
      </c>
      <c r="G707" s="1">
        <v>1.0049455235991431</v>
      </c>
      <c r="H707" s="1">
        <v>7.9778422268582139</v>
      </c>
      <c r="I707" s="1">
        <v>8.9424449418168572E-2</v>
      </c>
      <c r="K707" s="1">
        <v>0.99877205829624383</v>
      </c>
      <c r="L707" s="1">
        <v>9.8283782961165613</v>
      </c>
      <c r="M707" s="1">
        <v>7.0197361311972156E-2</v>
      </c>
      <c r="O707" s="1">
        <v>7.5874076006223557E-3</v>
      </c>
      <c r="P707" s="1">
        <v>0.64399157141000296</v>
      </c>
      <c r="R707" s="1">
        <v>0.29206605483708364</v>
      </c>
      <c r="S707" s="2" t="e">
        <f t="shared" si="132"/>
        <v>#VALUE!</v>
      </c>
      <c r="T707" s="4" t="e">
        <f t="shared" si="133"/>
        <v>#VALUE!</v>
      </c>
      <c r="U707" s="1">
        <f t="shared" si="136"/>
        <v>1.5808098787421159</v>
      </c>
      <c r="V707" s="6">
        <f>2*sigma/alpha*corel*(B707/12-1/alpha*(1-EXP(-alpha*Output!B707/12)))</f>
        <v>4.4321049550136298</v>
      </c>
      <c r="W707" s="5" t="e">
        <f t="shared" si="134"/>
        <v>#VALUE!</v>
      </c>
      <c r="X707" s="1" t="e">
        <f t="shared" si="135"/>
        <v>#VALUE!</v>
      </c>
      <c r="Y707" s="3" t="e">
        <f t="shared" si="125"/>
        <v>#VALUE!</v>
      </c>
      <c r="Z707" s="1" t="e">
        <f t="shared" si="126"/>
        <v>#VALUE!</v>
      </c>
      <c r="AA707" s="8">
        <f t="shared" si="131"/>
        <v>57.916666666667219</v>
      </c>
      <c r="AB707" s="1">
        <v>58</v>
      </c>
      <c r="AC707" s="1">
        <v>7.5365838310000001E-3</v>
      </c>
      <c r="AD707" s="8">
        <f t="shared" si="127"/>
        <v>-0.50823769622355619</v>
      </c>
      <c r="AE707" s="3">
        <f t="shared" si="128"/>
        <v>-6.7436083459065047E-3</v>
      </c>
      <c r="AF707" s="11">
        <f t="shared" si="129"/>
        <v>57.916666666667219</v>
      </c>
      <c r="AG707" s="1" t="e">
        <f t="shared" si="130"/>
        <v>#VALUE!</v>
      </c>
    </row>
    <row r="708" spans="2:33" ht="15" x14ac:dyDescent="0.25">
      <c r="B708" s="1">
        <v>697</v>
      </c>
      <c r="C708" s="1">
        <v>1.0012391977948707</v>
      </c>
      <c r="D708" s="1">
        <v>1.2895307944208771</v>
      </c>
      <c r="E708" s="1">
        <v>0.77394811459052981</v>
      </c>
      <c r="G708" s="1">
        <v>1.004603390160332</v>
      </c>
      <c r="H708" s="1">
        <v>7.9349181579766297</v>
      </c>
      <c r="I708" s="1">
        <v>8.9864585770592836E-2</v>
      </c>
      <c r="K708" s="1">
        <v>0.99870784936018209</v>
      </c>
      <c r="L708" s="1">
        <v>9.8537407889307218</v>
      </c>
      <c r="M708" s="1">
        <v>6.9975454113827176E-2</v>
      </c>
      <c r="O708" s="1">
        <v>7.5891782354454602E-3</v>
      </c>
      <c r="P708" s="1">
        <v>0.64351832892384386</v>
      </c>
      <c r="R708" s="1">
        <v>0.29200097942955389</v>
      </c>
      <c r="S708" s="2" t="e">
        <f t="shared" si="132"/>
        <v>#VALUE!</v>
      </c>
      <c r="T708" s="4" t="e">
        <f t="shared" si="133"/>
        <v>#VALUE!</v>
      </c>
      <c r="U708" s="1">
        <f t="shared" si="136"/>
        <v>1.5850463663486702</v>
      </c>
      <c r="V708" s="6">
        <f>2*sigma/alpha*corel*(B708/12-1/alpha*(1-EXP(-alpha*Output!B708/12)))</f>
        <v>4.4414996427414266</v>
      </c>
      <c r="W708" s="5" t="e">
        <f t="shared" si="134"/>
        <v>#VALUE!</v>
      </c>
      <c r="X708" s="1" t="e">
        <f t="shared" si="135"/>
        <v>#VALUE!</v>
      </c>
      <c r="Y708" s="3" t="e">
        <f t="shared" si="125"/>
        <v>#VALUE!</v>
      </c>
      <c r="Z708" s="1" t="e">
        <f t="shared" si="126"/>
        <v>#VALUE!</v>
      </c>
      <c r="AA708" s="8">
        <f t="shared" si="131"/>
        <v>58.000000000000554</v>
      </c>
      <c r="AB708" s="1">
        <v>58.08</v>
      </c>
      <c r="AC708" s="1">
        <v>7.5364505170000002E-3</v>
      </c>
      <c r="AD708" s="8">
        <f t="shared" si="127"/>
        <v>-0.52727718445460048</v>
      </c>
      <c r="AE708" s="3">
        <f t="shared" si="128"/>
        <v>-6.9963596691203552E-3</v>
      </c>
      <c r="AF708" s="11">
        <f t="shared" si="129"/>
        <v>58.000000000000554</v>
      </c>
      <c r="AG708" s="1" t="e">
        <f t="shared" si="130"/>
        <v>#VALUE!</v>
      </c>
    </row>
    <row r="709" spans="2:33" ht="15" x14ac:dyDescent="0.25">
      <c r="B709" s="1">
        <v>698</v>
      </c>
      <c r="C709" s="1">
        <v>1.0012411537584893</v>
      </c>
      <c r="D709" s="1">
        <v>1.2869859681856175</v>
      </c>
      <c r="E709" s="1">
        <v>0.77547555595812734</v>
      </c>
      <c r="G709" s="1">
        <v>1.0046682831163354</v>
      </c>
      <c r="H709" s="1">
        <v>7.7990716686228252</v>
      </c>
      <c r="I709" s="1">
        <v>9.1385528058819498E-2</v>
      </c>
      <c r="K709" s="1">
        <v>0.99854257762979337</v>
      </c>
      <c r="L709" s="1">
        <v>9.4620347854305802</v>
      </c>
      <c r="M709" s="1">
        <v>7.2835416812654305E-2</v>
      </c>
      <c r="O709" s="1">
        <v>7.5909636815505999E-3</v>
      </c>
      <c r="P709" s="1">
        <v>0.64304469043942547</v>
      </c>
      <c r="R709" s="1">
        <v>0.29191785812160431</v>
      </c>
      <c r="S709" s="2" t="e">
        <f t="shared" si="132"/>
        <v>#VALUE!</v>
      </c>
      <c r="T709" s="4" t="e">
        <f t="shared" si="133"/>
        <v>#VALUE!</v>
      </c>
      <c r="U709" s="1">
        <f t="shared" si="136"/>
        <v>1.5892859217705149</v>
      </c>
      <c r="V709" s="6">
        <f>2*sigma/alpha*corel*(B709/12-1/alpha*(1-EXP(-alpha*Output!B709/12)))</f>
        <v>4.4508977313943268</v>
      </c>
      <c r="W709" s="5" t="e">
        <f t="shared" si="134"/>
        <v>#VALUE!</v>
      </c>
      <c r="X709" s="1" t="e">
        <f t="shared" si="135"/>
        <v>#VALUE!</v>
      </c>
      <c r="Y709" s="3" t="e">
        <f t="shared" si="125"/>
        <v>#VALUE!</v>
      </c>
      <c r="Z709" s="1" t="e">
        <f t="shared" si="126"/>
        <v>#VALUE!</v>
      </c>
      <c r="AA709" s="8">
        <f t="shared" si="131"/>
        <v>58.08333333333389</v>
      </c>
      <c r="AB709" s="1">
        <v>58.17</v>
      </c>
      <c r="AC709" s="1">
        <v>7.5363175849999997E-3</v>
      </c>
      <c r="AD709" s="8">
        <f t="shared" si="127"/>
        <v>-0.54646096550600187</v>
      </c>
      <c r="AE709" s="3">
        <f t="shared" si="128"/>
        <v>-7.2510341999606947E-3</v>
      </c>
      <c r="AF709" s="11">
        <f t="shared" si="129"/>
        <v>58.08333333333389</v>
      </c>
      <c r="AG709" s="1" t="e">
        <f t="shared" si="130"/>
        <v>#VALUE!</v>
      </c>
    </row>
    <row r="710" spans="2:33" ht="15" x14ac:dyDescent="0.25">
      <c r="B710" s="1">
        <v>699</v>
      </c>
      <c r="C710" s="1">
        <v>1.0012349356887256</v>
      </c>
      <c r="D710" s="1">
        <v>1.2900274689769702</v>
      </c>
      <c r="E710" s="1">
        <v>0.77364429075658336</v>
      </c>
      <c r="G710" s="1">
        <v>1.0040459919295945</v>
      </c>
      <c r="H710" s="1">
        <v>7.9712275300584636</v>
      </c>
      <c r="I710" s="1">
        <v>8.9368493628658299E-2</v>
      </c>
      <c r="K710" s="1">
        <v>0.9985795790306573</v>
      </c>
      <c r="L710" s="1">
        <v>9.2827349316239509</v>
      </c>
      <c r="M710" s="1">
        <v>7.4201604250278955E-2</v>
      </c>
      <c r="O710" s="1">
        <v>7.5927098749851776E-3</v>
      </c>
      <c r="P710" s="1">
        <v>0.64257267856703892</v>
      </c>
      <c r="R710" s="1">
        <v>0.29191759686112462</v>
      </c>
      <c r="S710" s="2" t="e">
        <f t="shared" si="132"/>
        <v>#VALUE!</v>
      </c>
      <c r="T710" s="4" t="e">
        <f t="shared" si="133"/>
        <v>#VALUE!</v>
      </c>
      <c r="U710" s="1">
        <f t="shared" si="136"/>
        <v>1.5935285359034537</v>
      </c>
      <c r="V710" s="6">
        <f>2*sigma/alpha*corel*(B710/12-1/alpha*(1-EXP(-alpha*Output!B710/12)))</f>
        <v>4.4602992096547904</v>
      </c>
      <c r="W710" s="5" t="e">
        <f t="shared" si="134"/>
        <v>#VALUE!</v>
      </c>
      <c r="X710" s="1" t="e">
        <f t="shared" si="135"/>
        <v>#VALUE!</v>
      </c>
      <c r="Y710" s="3" t="e">
        <f t="shared" si="125"/>
        <v>#VALUE!</v>
      </c>
      <c r="Z710" s="1" t="e">
        <f t="shared" si="126"/>
        <v>#VALUE!</v>
      </c>
      <c r="AA710" s="8">
        <f t="shared" si="131"/>
        <v>58.166666666667226</v>
      </c>
      <c r="AB710" s="1">
        <v>58.25</v>
      </c>
      <c r="AC710" s="1">
        <v>7.5361850339999998E-3</v>
      </c>
      <c r="AD710" s="8">
        <f t="shared" si="127"/>
        <v>-0.56524840985177838</v>
      </c>
      <c r="AE710" s="3">
        <f t="shared" si="128"/>
        <v>-7.5004582199298796E-3</v>
      </c>
      <c r="AF710" s="11">
        <f t="shared" si="129"/>
        <v>58.166666666667226</v>
      </c>
      <c r="AG710" s="1" t="e">
        <f t="shared" si="130"/>
        <v>#VALUE!</v>
      </c>
    </row>
    <row r="711" spans="2:33" ht="15" x14ac:dyDescent="0.25">
      <c r="B711" s="1">
        <v>700</v>
      </c>
      <c r="C711" s="1">
        <v>1.0012359492895488</v>
      </c>
      <c r="D711" s="1">
        <v>1.2908548177070904</v>
      </c>
      <c r="E711" s="1">
        <v>0.77314551217689076</v>
      </c>
      <c r="G711" s="1">
        <v>1.0040241167342627</v>
      </c>
      <c r="H711" s="1">
        <v>8.0188364312843952</v>
      </c>
      <c r="I711" s="1">
        <v>8.8794812287522021E-2</v>
      </c>
      <c r="K711" s="1">
        <v>0.99822712613866249</v>
      </c>
      <c r="L711" s="1">
        <v>9.2452144181177083</v>
      </c>
      <c r="M711" s="1">
        <v>7.4465254739643452E-2</v>
      </c>
      <c r="O711" s="1">
        <v>7.5944166820462004E-3</v>
      </c>
      <c r="P711" s="1">
        <v>0.64210230154486447</v>
      </c>
      <c r="R711" s="1">
        <v>0.29200058897685516</v>
      </c>
      <c r="S711" s="2" t="e">
        <f t="shared" si="132"/>
        <v>#VALUE!</v>
      </c>
      <c r="T711" s="4" t="e">
        <f t="shared" si="133"/>
        <v>#VALUE!</v>
      </c>
      <c r="U711" s="1">
        <f t="shared" si="136"/>
        <v>1.5977741996662433</v>
      </c>
      <c r="V711" s="6">
        <f>2*sigma/alpha*corel*(B711/12-1/alpha*(1-EXP(-alpha*Output!B711/12)))</f>
        <v>4.469704066242933</v>
      </c>
      <c r="W711" s="5" t="e">
        <f t="shared" si="134"/>
        <v>#VALUE!</v>
      </c>
      <c r="X711" s="1" t="e">
        <f t="shared" si="135"/>
        <v>#VALUE!</v>
      </c>
      <c r="Y711" s="3" t="e">
        <f t="shared" si="125"/>
        <v>#VALUE!</v>
      </c>
      <c r="Z711" s="1" t="e">
        <f t="shared" si="126"/>
        <v>#VALUE!</v>
      </c>
      <c r="AA711" s="8">
        <f t="shared" si="131"/>
        <v>58.250000000000561</v>
      </c>
      <c r="AB711" s="1">
        <v>58.33</v>
      </c>
      <c r="AC711" s="1">
        <v>7.5360528619999997E-3</v>
      </c>
      <c r="AD711" s="8">
        <f t="shared" si="127"/>
        <v>-0.58363820046200732</v>
      </c>
      <c r="AE711" s="3">
        <f t="shared" si="128"/>
        <v>-7.7446139398113911E-3</v>
      </c>
      <c r="AF711" s="11">
        <f t="shared" si="129"/>
        <v>58.250000000000561</v>
      </c>
      <c r="AG711" s="1" t="e">
        <f t="shared" si="130"/>
        <v>#VALUE!</v>
      </c>
    </row>
    <row r="712" spans="2:33" ht="15" x14ac:dyDescent="0.25">
      <c r="B712" s="1">
        <v>701</v>
      </c>
      <c r="C712" s="1">
        <v>1.0012380142487243</v>
      </c>
      <c r="D712" s="1">
        <v>1.2842742108091763</v>
      </c>
      <c r="E712" s="1">
        <v>0.77710415591861981</v>
      </c>
      <c r="G712" s="1">
        <v>1.0040367514138333</v>
      </c>
      <c r="H712" s="1">
        <v>7.6581807218200826</v>
      </c>
      <c r="I712" s="1">
        <v>9.2931434306824406E-2</v>
      </c>
      <c r="K712" s="1">
        <v>0.99818652643954309</v>
      </c>
      <c r="L712" s="1">
        <v>9.3996885523446636</v>
      </c>
      <c r="M712" s="1">
        <v>7.3201191470467789E-2</v>
      </c>
      <c r="O712" s="1">
        <v>7.596119794303165E-3</v>
      </c>
      <c r="P712" s="1">
        <v>0.64163222481375515</v>
      </c>
      <c r="R712" s="1">
        <v>0.29218955088928494</v>
      </c>
      <c r="S712" s="2" t="e">
        <f t="shared" si="132"/>
        <v>#VALUE!</v>
      </c>
      <c r="T712" s="4" t="e">
        <f t="shared" si="133"/>
        <v>#VALUE!</v>
      </c>
      <c r="U712" s="1">
        <f t="shared" si="136"/>
        <v>1.6020229040005707</v>
      </c>
      <c r="V712" s="6">
        <f>2*sigma/alpha*corel*(B712/12-1/alpha*(1-EXP(-alpha*Output!B712/12)))</f>
        <v>4.4791122899164098</v>
      </c>
      <c r="W712" s="5" t="e">
        <f t="shared" si="134"/>
        <v>#VALUE!</v>
      </c>
      <c r="X712" s="1" t="e">
        <f t="shared" si="135"/>
        <v>#VALUE!</v>
      </c>
      <c r="Y712" s="3" t="e">
        <f t="shared" si="125"/>
        <v>#VALUE!</v>
      </c>
      <c r="Z712" s="1" t="e">
        <f t="shared" si="126"/>
        <v>#VALUE!</v>
      </c>
      <c r="AA712" s="8">
        <f t="shared" si="131"/>
        <v>58.333333333333897</v>
      </c>
      <c r="AB712" s="1">
        <v>58.42</v>
      </c>
      <c r="AC712" s="1">
        <v>7.5359210679999998E-3</v>
      </c>
      <c r="AD712" s="8">
        <f t="shared" si="127"/>
        <v>-0.60198726303165206</v>
      </c>
      <c r="AE712" s="3">
        <f t="shared" si="128"/>
        <v>-7.9882373713796983E-3</v>
      </c>
      <c r="AF712" s="11">
        <f t="shared" si="129"/>
        <v>58.333333333333897</v>
      </c>
      <c r="AG712" s="1" t="e">
        <f t="shared" si="130"/>
        <v>#VALUE!</v>
      </c>
    </row>
    <row r="713" spans="2:33" ht="15" x14ac:dyDescent="0.25">
      <c r="B713" s="1">
        <v>702</v>
      </c>
      <c r="C713" s="1">
        <v>1.0012396179527054</v>
      </c>
      <c r="D713" s="1">
        <v>1.2884303435649023</v>
      </c>
      <c r="E713" s="1">
        <v>0.77459448582018076</v>
      </c>
      <c r="G713" s="1">
        <v>1.0040905154918911</v>
      </c>
      <c r="H713" s="1">
        <v>7.8752864497590256</v>
      </c>
      <c r="I713" s="1">
        <v>9.0325670167144601E-2</v>
      </c>
      <c r="K713" s="1">
        <v>0.99822494420430907</v>
      </c>
      <c r="L713" s="1">
        <v>9.1565180689963839</v>
      </c>
      <c r="M713" s="1">
        <v>7.5103903902547231E-2</v>
      </c>
      <c r="O713" s="1">
        <v>7.597861443719307E-3</v>
      </c>
      <c r="P713" s="1">
        <v>0.64116086477595424</v>
      </c>
      <c r="R713" s="1">
        <v>0.29226411605575237</v>
      </c>
      <c r="S713" s="2" t="e">
        <f t="shared" si="132"/>
        <v>#VALUE!</v>
      </c>
      <c r="T713" s="4" t="e">
        <f t="shared" si="133"/>
        <v>#VALUE!</v>
      </c>
      <c r="U713" s="1">
        <f t="shared" si="136"/>
        <v>1.6062746398710215</v>
      </c>
      <c r="V713" s="6">
        <f>2*sigma/alpha*corel*(B713/12-1/alpha*(1-EXP(-alpha*Output!B713/12)))</f>
        <v>4.4885238694702903</v>
      </c>
      <c r="W713" s="5" t="e">
        <f t="shared" si="134"/>
        <v>#VALUE!</v>
      </c>
      <c r="X713" s="1" t="e">
        <f t="shared" si="135"/>
        <v>#VALUE!</v>
      </c>
      <c r="Y713" s="3" t="e">
        <f t="shared" si="125"/>
        <v>#VALUE!</v>
      </c>
      <c r="Z713" s="1" t="e">
        <f t="shared" si="126"/>
        <v>#VALUE!</v>
      </c>
      <c r="AA713" s="8">
        <f t="shared" si="131"/>
        <v>58.416666666667233</v>
      </c>
      <c r="AB713" s="1">
        <v>58.5</v>
      </c>
      <c r="AC713" s="1">
        <v>7.5357896500000002E-3</v>
      </c>
      <c r="AD713" s="8">
        <f t="shared" si="127"/>
        <v>-0.62071793719306778</v>
      </c>
      <c r="AE713" s="3">
        <f t="shared" si="128"/>
        <v>-8.2369329031506035E-3</v>
      </c>
      <c r="AF713" s="11">
        <f t="shared" si="129"/>
        <v>58.416666666667233</v>
      </c>
      <c r="AG713" s="1" t="e">
        <f t="shared" si="130"/>
        <v>#VALUE!</v>
      </c>
    </row>
    <row r="714" spans="2:33" ht="15" x14ac:dyDescent="0.25">
      <c r="B714" s="1">
        <v>703</v>
      </c>
      <c r="C714" s="1">
        <v>1.0012394892006626</v>
      </c>
      <c r="D714" s="1">
        <v>1.2834343748300034</v>
      </c>
      <c r="E714" s="1">
        <v>0.77760676127296346</v>
      </c>
      <c r="G714" s="1">
        <v>1.0039387006288141</v>
      </c>
      <c r="H714" s="1">
        <v>7.6043128195963821</v>
      </c>
      <c r="I714" s="1">
        <v>9.3498980798620165E-2</v>
      </c>
      <c r="K714" s="1">
        <v>0.99819345541525106</v>
      </c>
      <c r="L714" s="1">
        <v>9.0994323747076571</v>
      </c>
      <c r="M714" s="1">
        <v>7.5537972343568183E-2</v>
      </c>
      <c r="O714" s="1">
        <v>7.5996392580806177E-3</v>
      </c>
      <c r="P714" s="1">
        <v>0.64068830763149853</v>
      </c>
      <c r="R714" s="1">
        <v>0.29230343408156056</v>
      </c>
      <c r="S714" s="2" t="e">
        <f t="shared" si="132"/>
        <v>#VALUE!</v>
      </c>
      <c r="T714" s="4" t="e">
        <f t="shared" si="133"/>
        <v>#VALUE!</v>
      </c>
      <c r="U714" s="1">
        <f t="shared" si="136"/>
        <v>1.6105293982650544</v>
      </c>
      <c r="V714" s="6">
        <f>2*sigma/alpha*corel*(B714/12-1/alpha*(1-EXP(-alpha*Output!B714/12)))</f>
        <v>4.4979387937369291</v>
      </c>
      <c r="W714" s="5" t="e">
        <f t="shared" si="134"/>
        <v>#VALUE!</v>
      </c>
      <c r="X714" s="1" t="e">
        <f t="shared" si="135"/>
        <v>#VALUE!</v>
      </c>
      <c r="Y714" s="3" t="e">
        <f t="shared" si="125"/>
        <v>#VALUE!</v>
      </c>
      <c r="Z714" s="1" t="e">
        <f t="shared" si="126"/>
        <v>#VALUE!</v>
      </c>
      <c r="AA714" s="8">
        <f t="shared" si="131"/>
        <v>58.500000000000568</v>
      </c>
      <c r="AB714" s="1">
        <v>58.58</v>
      </c>
      <c r="AC714" s="1">
        <v>7.5356586070000004E-3</v>
      </c>
      <c r="AD714" s="8">
        <f t="shared" si="127"/>
        <v>-0.63980651080617312</v>
      </c>
      <c r="AE714" s="3">
        <f t="shared" si="128"/>
        <v>-8.4903860985932403E-3</v>
      </c>
      <c r="AF714" s="11">
        <f t="shared" si="129"/>
        <v>58.500000000000568</v>
      </c>
      <c r="AG714" s="1" t="e">
        <f t="shared" si="130"/>
        <v>#VALUE!</v>
      </c>
    </row>
    <row r="715" spans="2:33" ht="15" x14ac:dyDescent="0.25">
      <c r="B715" s="1">
        <v>704</v>
      </c>
      <c r="C715" s="1">
        <v>1.0012376288277851</v>
      </c>
      <c r="D715" s="1">
        <v>1.2801129805809619</v>
      </c>
      <c r="E715" s="1">
        <v>0.77962138160323213</v>
      </c>
      <c r="G715" s="1">
        <v>1.0036602578370393</v>
      </c>
      <c r="H715" s="1">
        <v>7.4243071851280948</v>
      </c>
      <c r="I715" s="1">
        <v>9.5719454582088942E-2</v>
      </c>
      <c r="K715" s="1">
        <v>0.99841302459639369</v>
      </c>
      <c r="L715" s="1">
        <v>8.8805092886608623</v>
      </c>
      <c r="M715" s="1">
        <v>7.7356195575739278E-2</v>
      </c>
      <c r="O715" s="1">
        <v>7.6013375212078717E-3</v>
      </c>
      <c r="P715" s="1">
        <v>0.64021889697832357</v>
      </c>
      <c r="R715" s="1">
        <v>0.29240303632767883</v>
      </c>
      <c r="S715" s="2" t="e">
        <f t="shared" si="132"/>
        <v>#VALUE!</v>
      </c>
      <c r="T715" s="4" t="e">
        <f t="shared" si="133"/>
        <v>#VALUE!</v>
      </c>
      <c r="U715" s="1">
        <f t="shared" si="136"/>
        <v>1.6147871701929719</v>
      </c>
      <c r="V715" s="6">
        <f>2*sigma/alpha*corel*(B715/12-1/alpha*(1-EXP(-alpha*Output!B715/12)))</f>
        <v>4.507357051585843</v>
      </c>
      <c r="W715" s="5" t="e">
        <f t="shared" si="134"/>
        <v>#VALUE!</v>
      </c>
      <c r="X715" s="1" t="e">
        <f t="shared" si="135"/>
        <v>#VALUE!</v>
      </c>
      <c r="Y715" s="3" t="e">
        <f t="shared" si="125"/>
        <v>#VALUE!</v>
      </c>
      <c r="Z715" s="1" t="e">
        <f t="shared" si="126"/>
        <v>#VALUE!</v>
      </c>
      <c r="AA715" s="8">
        <f t="shared" si="131"/>
        <v>58.583333333333904</v>
      </c>
      <c r="AB715" s="1">
        <v>58.67</v>
      </c>
      <c r="AC715" s="1">
        <v>7.5355279359999999E-3</v>
      </c>
      <c r="AD715" s="8">
        <f t="shared" si="127"/>
        <v>-0.65809585207871746</v>
      </c>
      <c r="AE715" s="3">
        <f t="shared" si="128"/>
        <v>-8.7332414884264513E-3</v>
      </c>
      <c r="AF715" s="11">
        <f t="shared" si="129"/>
        <v>58.583333333333904</v>
      </c>
      <c r="AG715" s="1" t="e">
        <f t="shared" si="130"/>
        <v>#VALUE!</v>
      </c>
    </row>
    <row r="716" spans="2:33" ht="15" x14ac:dyDescent="0.25">
      <c r="B716" s="1">
        <v>705</v>
      </c>
      <c r="C716" s="1">
        <v>1.0012410050777172</v>
      </c>
      <c r="D716" s="1">
        <v>1.2798146418770051</v>
      </c>
      <c r="E716" s="1">
        <v>0.77980014942958775</v>
      </c>
      <c r="G716" s="1">
        <v>1.0038320755434822</v>
      </c>
      <c r="H716" s="1">
        <v>7.4059554561114895</v>
      </c>
      <c r="I716" s="1">
        <v>9.5910100878413798E-2</v>
      </c>
      <c r="K716" s="1">
        <v>0.99831260612648531</v>
      </c>
      <c r="L716" s="1">
        <v>8.9048308724308196</v>
      </c>
      <c r="M716" s="1">
        <v>7.7105508470756104E-2</v>
      </c>
      <c r="O716" s="1">
        <v>7.6029650623039898E-3</v>
      </c>
      <c r="P716" s="1">
        <v>0.63975230728293053</v>
      </c>
      <c r="R716" s="1">
        <v>0.29241757785196637</v>
      </c>
      <c r="S716" s="2" t="e">
        <f t="shared" si="132"/>
        <v>#VALUE!</v>
      </c>
      <c r="T716" s="4" t="e">
        <f t="shared" si="133"/>
        <v>#VALUE!</v>
      </c>
      <c r="U716" s="1">
        <f t="shared" si="136"/>
        <v>1.6190479466878926</v>
      </c>
      <c r="V716" s="6">
        <f>2*sigma/alpha*corel*(B716/12-1/alpha*(1-EXP(-alpha*Output!B716/12)))</f>
        <v>4.516778631923593</v>
      </c>
      <c r="W716" s="5" t="e">
        <f t="shared" si="134"/>
        <v>#VALUE!</v>
      </c>
      <c r="X716" s="1" t="e">
        <f t="shared" si="135"/>
        <v>#VALUE!</v>
      </c>
      <c r="Y716" s="3" t="e">
        <f t="shared" si="125"/>
        <v>#VALUE!</v>
      </c>
      <c r="Z716" s="1" t="e">
        <f t="shared" si="126"/>
        <v>#VALUE!</v>
      </c>
      <c r="AA716" s="8">
        <f t="shared" si="131"/>
        <v>58.66666666666724</v>
      </c>
      <c r="AB716" s="1">
        <v>58.75</v>
      </c>
      <c r="AC716" s="1">
        <v>7.5353976360000002E-3</v>
      </c>
      <c r="AD716" s="8">
        <f t="shared" si="127"/>
        <v>-0.67567426303989653</v>
      </c>
      <c r="AE716" s="3">
        <f t="shared" si="128"/>
        <v>-8.9666703162669913E-3</v>
      </c>
      <c r="AF716" s="11">
        <f t="shared" si="129"/>
        <v>58.66666666666724</v>
      </c>
      <c r="AG716" s="1" t="e">
        <f t="shared" si="130"/>
        <v>#VALUE!</v>
      </c>
    </row>
    <row r="717" spans="2:33" ht="15" x14ac:dyDescent="0.25">
      <c r="B717" s="1">
        <v>706</v>
      </c>
      <c r="C717" s="1">
        <v>1.0012468939463532</v>
      </c>
      <c r="D717" s="1">
        <v>1.2787589640073886</v>
      </c>
      <c r="E717" s="1">
        <v>0.78044093593198183</v>
      </c>
      <c r="G717" s="1">
        <v>1.0042134152349227</v>
      </c>
      <c r="H717" s="1">
        <v>7.3424810069212176</v>
      </c>
      <c r="I717" s="1">
        <v>9.6692303174249788E-2</v>
      </c>
      <c r="K717" s="1">
        <v>0.99848271241041353</v>
      </c>
      <c r="L717" s="1">
        <v>8.6550112430296764</v>
      </c>
      <c r="M717" s="1">
        <v>7.928737982389028E-2</v>
      </c>
      <c r="O717" s="1">
        <v>7.6045767108235719E-3</v>
      </c>
      <c r="P717" s="1">
        <v>0.63928648196712412</v>
      </c>
      <c r="R717" s="1">
        <v>0.29247376105684098</v>
      </c>
      <c r="S717" s="2" t="e">
        <f t="shared" si="132"/>
        <v>#VALUE!</v>
      </c>
      <c r="T717" s="4" t="e">
        <f t="shared" si="133"/>
        <v>#VALUE!</v>
      </c>
      <c r="U717" s="1">
        <f t="shared" si="136"/>
        <v>1.6233117188057209</v>
      </c>
      <c r="V717" s="6">
        <f>2*sigma/alpha*corel*(B717/12-1/alpha*(1-EXP(-alpha*Output!B717/12)))</f>
        <v>4.5262035236936518</v>
      </c>
      <c r="W717" s="5" t="e">
        <f t="shared" si="134"/>
        <v>#VALUE!</v>
      </c>
      <c r="X717" s="1" t="e">
        <f t="shared" si="135"/>
        <v>#VALUE!</v>
      </c>
      <c r="Y717" s="3" t="e">
        <f t="shared" ref="Y717:Y731" si="137">(-V717+SQRT(X717))/2/B717*12</f>
        <v>#VALUE!</v>
      </c>
      <c r="Z717" s="1" t="e">
        <f t="shared" ref="Z717:Z731" si="138">S717/SQRT(B717/12)</f>
        <v>#VALUE!</v>
      </c>
      <c r="AA717" s="8">
        <f t="shared" si="131"/>
        <v>58.750000000000576</v>
      </c>
      <c r="AB717" s="1">
        <v>58.83</v>
      </c>
      <c r="AC717" s="1">
        <v>7.5352677059999998E-3</v>
      </c>
      <c r="AD717" s="8">
        <f t="shared" ref="AD717:AD731" si="139">(AC717-O717)*10000</f>
        <v>-0.6930900482357214</v>
      </c>
      <c r="AE717" s="3">
        <f t="shared" ref="AE717:AE731" si="140">AD717/AC717/10000</f>
        <v>-9.1979485703453448E-3</v>
      </c>
      <c r="AF717" s="11">
        <f t="shared" ref="AF717:AF731" si="141">AA717</f>
        <v>58.750000000000576</v>
      </c>
      <c r="AG717" s="1" t="e">
        <f t="shared" ref="AG717:AG731" si="142">Z717</f>
        <v>#VALUE!</v>
      </c>
    </row>
    <row r="718" spans="2:33" ht="15" x14ac:dyDescent="0.25">
      <c r="B718" s="1">
        <v>707</v>
      </c>
      <c r="C718" s="1">
        <v>1.0012473439032541</v>
      </c>
      <c r="D718" s="1">
        <v>1.2804221476530604</v>
      </c>
      <c r="E718" s="1">
        <v>0.77942421806500928</v>
      </c>
      <c r="G718" s="1">
        <v>1.0041534724678345</v>
      </c>
      <c r="H718" s="1">
        <v>7.4282914652431478</v>
      </c>
      <c r="I718" s="1">
        <v>9.5528969391878285E-2</v>
      </c>
      <c r="K718" s="1">
        <v>0.99854605451535705</v>
      </c>
      <c r="L718" s="1">
        <v>8.5809708054209644</v>
      </c>
      <c r="M718" s="1">
        <v>7.9931178436520214E-2</v>
      </c>
      <c r="O718" s="1">
        <v>7.6062651128287039E-3</v>
      </c>
      <c r="P718" s="1">
        <v>0.63881793546277932</v>
      </c>
      <c r="R718" s="1">
        <v>0.2925425539430192</v>
      </c>
      <c r="S718" s="2" t="e">
        <f t="shared" si="132"/>
        <v>#VALUE!</v>
      </c>
      <c r="T718" s="4" t="e">
        <f t="shared" si="133"/>
        <v>#VALUE!</v>
      </c>
      <c r="U718" s="1">
        <f t="shared" si="136"/>
        <v>1.6275784776251179</v>
      </c>
      <c r="V718" s="6">
        <f>2*sigma/alpha*corel*(B718/12-1/alpha*(1-EXP(-alpha*Output!B718/12)))</f>
        <v>4.5356317158762884</v>
      </c>
      <c r="W718" s="5" t="e">
        <f t="shared" si="134"/>
        <v>#VALUE!</v>
      </c>
      <c r="X718" s="1" t="e">
        <f t="shared" si="135"/>
        <v>#VALUE!</v>
      </c>
      <c r="Y718" s="3" t="e">
        <f t="shared" si="137"/>
        <v>#VALUE!</v>
      </c>
      <c r="Z718" s="1" t="e">
        <f t="shared" si="138"/>
        <v>#VALUE!</v>
      </c>
      <c r="AA718" s="8">
        <f t="shared" ref="AA718:AA731" si="143">AA717+1/12</f>
        <v>58.833333333333911</v>
      </c>
      <c r="AB718" s="1">
        <v>58.92</v>
      </c>
      <c r="AC718" s="1">
        <v>7.5351381439999997E-3</v>
      </c>
      <c r="AD718" s="8">
        <f t="shared" si="139"/>
        <v>-0.7112696882870424</v>
      </c>
      <c r="AE718" s="3">
        <f t="shared" si="140"/>
        <v>-9.4393715774594624E-3</v>
      </c>
      <c r="AF718" s="11">
        <f t="shared" si="141"/>
        <v>58.833333333333911</v>
      </c>
      <c r="AG718" s="1" t="e">
        <f t="shared" si="142"/>
        <v>#VALUE!</v>
      </c>
    </row>
    <row r="719" spans="2:33" ht="15" x14ac:dyDescent="0.25">
      <c r="B719" s="1">
        <v>708</v>
      </c>
      <c r="C719" s="1">
        <v>1.0012411959921117</v>
      </c>
      <c r="D719" s="1">
        <v>1.2773359806781668</v>
      </c>
      <c r="E719" s="1">
        <v>0.78130439499004689</v>
      </c>
      <c r="G719" s="1">
        <v>1.0035387075611109</v>
      </c>
      <c r="H719" s="1">
        <v>7.2682554493418134</v>
      </c>
      <c r="I719" s="1">
        <v>9.7585015527416052E-2</v>
      </c>
      <c r="K719" s="1">
        <v>0.99833174845449124</v>
      </c>
      <c r="L719" s="1">
        <v>8.7097129540273723</v>
      </c>
      <c r="M719" s="1">
        <v>7.8708089187737237E-2</v>
      </c>
      <c r="O719" s="1">
        <v>7.6080600227403164E-3</v>
      </c>
      <c r="P719" s="1">
        <v>0.63834554137962674</v>
      </c>
      <c r="R719" s="1">
        <v>0.2925561519787494</v>
      </c>
      <c r="S719" s="2" t="e">
        <f t="shared" si="132"/>
        <v>#VALUE!</v>
      </c>
      <c r="T719" s="4" t="e">
        <f t="shared" si="133"/>
        <v>#VALUE!</v>
      </c>
      <c r="U719" s="1">
        <f t="shared" si="136"/>
        <v>1.6318482142474764</v>
      </c>
      <c r="V719" s="6">
        <f>2*sigma/alpha*corel*(B719/12-1/alpha*(1-EXP(-alpha*Output!B719/12)))</f>
        <v>4.545063197488445</v>
      </c>
      <c r="W719" s="5" t="e">
        <f t="shared" si="134"/>
        <v>#VALUE!</v>
      </c>
      <c r="X719" s="1" t="e">
        <f t="shared" si="135"/>
        <v>#VALUE!</v>
      </c>
      <c r="Y719" s="3" t="e">
        <f t="shared" si="137"/>
        <v>#VALUE!</v>
      </c>
      <c r="Z719" s="1" t="e">
        <f t="shared" si="138"/>
        <v>#VALUE!</v>
      </c>
      <c r="AA719" s="8">
        <f t="shared" si="143"/>
        <v>58.916666666667247</v>
      </c>
      <c r="AB719" s="1">
        <v>59</v>
      </c>
      <c r="AC719" s="1">
        <v>7.5350089490000003E-3</v>
      </c>
      <c r="AD719" s="8">
        <f t="shared" si="139"/>
        <v>-0.7305107374031613</v>
      </c>
      <c r="AE719" s="3">
        <f t="shared" si="140"/>
        <v>-9.6948887831129933E-3</v>
      </c>
      <c r="AF719" s="11">
        <f t="shared" si="141"/>
        <v>58.916666666667247</v>
      </c>
      <c r="AG719" s="1" t="e">
        <f t="shared" si="142"/>
        <v>#VALUE!</v>
      </c>
    </row>
    <row r="720" spans="2:33" ht="15" x14ac:dyDescent="0.25">
      <c r="B720" s="1">
        <v>709</v>
      </c>
      <c r="C720" s="1">
        <v>1.0012451792575188</v>
      </c>
      <c r="D720" s="1">
        <v>1.2787502221355358</v>
      </c>
      <c r="E720" s="1">
        <v>0.780437318441906</v>
      </c>
      <c r="G720" s="1">
        <v>1.0037544908417881</v>
      </c>
      <c r="H720" s="1">
        <v>7.3416468355471372</v>
      </c>
      <c r="I720" s="1">
        <v>9.6562636823680117E-2</v>
      </c>
      <c r="K720" s="1">
        <v>0.9983982971481451</v>
      </c>
      <c r="L720" s="1">
        <v>8.666817559854481</v>
      </c>
      <c r="M720" s="1">
        <v>7.9055962830305054E-2</v>
      </c>
      <c r="O720" s="1">
        <v>7.6098544340451853E-3</v>
      </c>
      <c r="P720" s="1">
        <v>0.63787332459363799</v>
      </c>
      <c r="R720" s="1">
        <v>0.29264582938199862</v>
      </c>
      <c r="S720" s="2" t="e">
        <f t="shared" si="132"/>
        <v>#VALUE!</v>
      </c>
      <c r="T720" s="4" t="e">
        <f t="shared" si="133"/>
        <v>#VALUE!</v>
      </c>
      <c r="U720" s="1">
        <f t="shared" si="136"/>
        <v>1.6361209197968853</v>
      </c>
      <c r="V720" s="6">
        <f>2*sigma/alpha*corel*(B720/12-1/alpha*(1-EXP(-alpha*Output!B720/12)))</f>
        <v>4.5544979575836084</v>
      </c>
      <c r="W720" s="5" t="e">
        <f t="shared" si="134"/>
        <v>#VALUE!</v>
      </c>
      <c r="X720" s="1" t="e">
        <f t="shared" si="135"/>
        <v>#VALUE!</v>
      </c>
      <c r="Y720" s="3" t="e">
        <f t="shared" si="137"/>
        <v>#VALUE!</v>
      </c>
      <c r="Z720" s="1" t="e">
        <f t="shared" si="138"/>
        <v>#VALUE!</v>
      </c>
      <c r="AA720" s="8">
        <f t="shared" si="143"/>
        <v>59.000000000000583</v>
      </c>
      <c r="AB720" s="1">
        <v>59.08</v>
      </c>
      <c r="AC720" s="1">
        <v>7.5348801189999998E-3</v>
      </c>
      <c r="AD720" s="8">
        <f t="shared" si="139"/>
        <v>-0.74974315045185469</v>
      </c>
      <c r="AE720" s="3">
        <f t="shared" si="140"/>
        <v>-9.9502996545531991E-3</v>
      </c>
      <c r="AF720" s="11">
        <f t="shared" si="141"/>
        <v>59.000000000000583</v>
      </c>
      <c r="AG720" s="1" t="e">
        <f t="shared" si="142"/>
        <v>#VALUE!</v>
      </c>
    </row>
    <row r="721" spans="2:33" ht="15" x14ac:dyDescent="0.25">
      <c r="B721" s="1">
        <v>710</v>
      </c>
      <c r="C721" s="1">
        <v>1.0012493932276589</v>
      </c>
      <c r="D721" s="1">
        <v>1.2767910052359233</v>
      </c>
      <c r="E721" s="1">
        <v>0.78163189200982031</v>
      </c>
      <c r="G721" s="1">
        <v>1.003999760184018</v>
      </c>
      <c r="H721" s="1">
        <v>7.2325441094051843</v>
      </c>
      <c r="I721" s="1">
        <v>9.7971735390918649E-2</v>
      </c>
      <c r="K721" s="1">
        <v>0.99820521154324238</v>
      </c>
      <c r="L721" s="1">
        <v>8.9265934871496739</v>
      </c>
      <c r="M721" s="1">
        <v>7.6712929015332693E-2</v>
      </c>
      <c r="O721" s="1">
        <v>7.6114977162515651E-3</v>
      </c>
      <c r="P721" s="1">
        <v>0.6374069660471221</v>
      </c>
      <c r="R721" s="1">
        <v>0.2927798412454195</v>
      </c>
      <c r="S721" s="2" t="e">
        <f t="shared" si="132"/>
        <v>#VALUE!</v>
      </c>
      <c r="T721" s="4" t="e">
        <f t="shared" si="133"/>
        <v>#VALUE!</v>
      </c>
      <c r="U721" s="1">
        <f t="shared" si="136"/>
        <v>1.6403965854201039</v>
      </c>
      <c r="V721" s="6">
        <f>2*sigma/alpha*corel*(B721/12-1/alpha*(1-EXP(-alpha*Output!B721/12)))</f>
        <v>4.5639359852516961</v>
      </c>
      <c r="W721" s="5" t="e">
        <f t="shared" si="134"/>
        <v>#VALUE!</v>
      </c>
      <c r="X721" s="1" t="e">
        <f t="shared" si="135"/>
        <v>#VALUE!</v>
      </c>
      <c r="Y721" s="3" t="e">
        <f t="shared" si="137"/>
        <v>#VALUE!</v>
      </c>
      <c r="Z721" s="1" t="e">
        <f t="shared" si="138"/>
        <v>#VALUE!</v>
      </c>
      <c r="AA721" s="8">
        <f t="shared" si="143"/>
        <v>59.083333333333918</v>
      </c>
      <c r="AB721" s="1">
        <v>59.17</v>
      </c>
      <c r="AC721" s="1">
        <v>7.5347516520000001E-3</v>
      </c>
      <c r="AD721" s="8">
        <f t="shared" si="139"/>
        <v>-0.76746064251564938</v>
      </c>
      <c r="AE721" s="3">
        <f t="shared" si="140"/>
        <v>-1.0185612983168956E-2</v>
      </c>
      <c r="AF721" s="11">
        <f t="shared" si="141"/>
        <v>59.083333333333918</v>
      </c>
      <c r="AG721" s="1" t="e">
        <f t="shared" si="142"/>
        <v>#VALUE!</v>
      </c>
    </row>
    <row r="722" spans="2:33" ht="15" x14ac:dyDescent="0.25">
      <c r="B722" s="1">
        <v>711</v>
      </c>
      <c r="C722" s="1">
        <v>1.0012490410564043</v>
      </c>
      <c r="D722" s="1">
        <v>1.2750734605593419</v>
      </c>
      <c r="E722" s="1">
        <v>0.78268175894475078</v>
      </c>
      <c r="G722" s="1">
        <v>1.0038053297296163</v>
      </c>
      <c r="H722" s="1">
        <v>7.1423447202045365</v>
      </c>
      <c r="I722" s="1">
        <v>9.9160879184328296E-2</v>
      </c>
      <c r="K722" s="1">
        <v>0.99819846667349266</v>
      </c>
      <c r="L722" s="1">
        <v>9.1538121743971459</v>
      </c>
      <c r="M722" s="1">
        <v>7.4769737210052686E-2</v>
      </c>
      <c r="O722" s="1">
        <v>7.6131214213029123E-3</v>
      </c>
      <c r="P722" s="1">
        <v>0.63694151283419376</v>
      </c>
      <c r="R722" s="1">
        <v>0.29277190436131129</v>
      </c>
      <c r="S722" s="2" t="e">
        <f t="shared" si="132"/>
        <v>#VALUE!</v>
      </c>
      <c r="T722" s="4" t="e">
        <f t="shared" si="133"/>
        <v>#VALUE!</v>
      </c>
      <c r="U722" s="1">
        <f t="shared" si="136"/>
        <v>1.6446752022865319</v>
      </c>
      <c r="V722" s="6">
        <f>2*sigma/alpha*corel*(B722/12-1/alpha*(1-EXP(-alpha*Output!B722/12)))</f>
        <v>4.5733772696189323</v>
      </c>
      <c r="W722" s="5" t="e">
        <f t="shared" si="134"/>
        <v>#VALUE!</v>
      </c>
      <c r="X722" s="1" t="e">
        <f t="shared" si="135"/>
        <v>#VALUE!</v>
      </c>
      <c r="Y722" s="3" t="e">
        <f t="shared" si="137"/>
        <v>#VALUE!</v>
      </c>
      <c r="Z722" s="1" t="e">
        <f t="shared" si="138"/>
        <v>#VALUE!</v>
      </c>
      <c r="AA722" s="8">
        <f t="shared" si="143"/>
        <v>59.166666666667254</v>
      </c>
      <c r="AB722" s="1">
        <v>59.25</v>
      </c>
      <c r="AC722" s="1">
        <v>7.5346235469999998E-3</v>
      </c>
      <c r="AD722" s="8">
        <f t="shared" si="139"/>
        <v>-0.78497874302912474</v>
      </c>
      <c r="AE722" s="3">
        <f t="shared" si="140"/>
        <v>-1.0418287498141476E-2</v>
      </c>
      <c r="AF722" s="11">
        <f t="shared" si="141"/>
        <v>59.166666666667254</v>
      </c>
      <c r="AG722" s="1" t="e">
        <f t="shared" si="142"/>
        <v>#VALUE!</v>
      </c>
    </row>
    <row r="723" spans="2:33" ht="15" x14ac:dyDescent="0.25">
      <c r="B723" s="1">
        <v>712</v>
      </c>
      <c r="C723" s="1">
        <v>1.0012518936658161</v>
      </c>
      <c r="D723" s="1">
        <v>1.2753988129117633</v>
      </c>
      <c r="E723" s="1">
        <v>0.78247909097446045</v>
      </c>
      <c r="G723" s="1">
        <v>1.0039676459521052</v>
      </c>
      <c r="H723" s="1">
        <v>7.1628874261655211</v>
      </c>
      <c r="I723" s="1">
        <v>9.882852927269789E-2</v>
      </c>
      <c r="K723" s="1">
        <v>0.9980042343767862</v>
      </c>
      <c r="L723" s="1">
        <v>8.8752319060866931</v>
      </c>
      <c r="M723" s="1">
        <v>7.7071798423552357E-2</v>
      </c>
      <c r="O723" s="1">
        <v>7.6147183239648249E-3</v>
      </c>
      <c r="P723" s="1">
        <v>0.63647723944028822</v>
      </c>
      <c r="R723" s="1">
        <v>0.29283799258241688</v>
      </c>
      <c r="S723" s="2" t="e">
        <f t="shared" si="132"/>
        <v>#VALUE!</v>
      </c>
      <c r="T723" s="4" t="e">
        <f t="shared" si="133"/>
        <v>#VALUE!</v>
      </c>
      <c r="U723" s="1">
        <f t="shared" si="136"/>
        <v>1.6489567615881779</v>
      </c>
      <c r="V723" s="6">
        <f>2*sigma/alpha*corel*(B723/12-1/alpha*(1-EXP(-alpha*Output!B723/12)))</f>
        <v>4.5828217998477259</v>
      </c>
      <c r="W723" s="5" t="e">
        <f t="shared" si="134"/>
        <v>#VALUE!</v>
      </c>
      <c r="X723" s="1" t="e">
        <f t="shared" si="135"/>
        <v>#VALUE!</v>
      </c>
      <c r="Y723" s="3" t="e">
        <f t="shared" si="137"/>
        <v>#VALUE!</v>
      </c>
      <c r="Z723" s="1" t="e">
        <f t="shared" si="138"/>
        <v>#VALUE!</v>
      </c>
      <c r="AA723" s="8">
        <f t="shared" si="143"/>
        <v>59.25000000000059</v>
      </c>
      <c r="AB723" s="1">
        <v>59.33</v>
      </c>
      <c r="AC723" s="1">
        <v>7.5344958019999998E-3</v>
      </c>
      <c r="AD723" s="8">
        <f t="shared" si="139"/>
        <v>-0.80222521964825111</v>
      </c>
      <c r="AE723" s="3">
        <f t="shared" si="140"/>
        <v>-1.0647364345671331E-2</v>
      </c>
      <c r="AF723" s="11">
        <f t="shared" si="141"/>
        <v>59.25000000000059</v>
      </c>
      <c r="AG723" s="1" t="e">
        <f t="shared" si="142"/>
        <v>#VALUE!</v>
      </c>
    </row>
    <row r="724" spans="2:33" ht="15" x14ac:dyDescent="0.25">
      <c r="B724" s="1">
        <v>713</v>
      </c>
      <c r="C724" s="1">
        <v>1.0012548400152508</v>
      </c>
      <c r="D724" s="1">
        <v>1.2733437005768344</v>
      </c>
      <c r="E724" s="1">
        <v>0.78373895698804041</v>
      </c>
      <c r="G724" s="1">
        <v>1.0040927590755213</v>
      </c>
      <c r="H724" s="1">
        <v>7.0598688802026421</v>
      </c>
      <c r="I724" s="1">
        <v>0.10022200879608253</v>
      </c>
      <c r="K724" s="1">
        <v>0.99801422442823517</v>
      </c>
      <c r="L724" s="1">
        <v>8.90647330771918</v>
      </c>
      <c r="M724" s="1">
        <v>7.6765218172933788E-2</v>
      </c>
      <c r="O724" s="1">
        <v>7.6164166910983166E-3</v>
      </c>
      <c r="P724" s="1">
        <v>0.63600930087641461</v>
      </c>
      <c r="R724" s="1">
        <v>0.29286099357695877</v>
      </c>
      <c r="S724" s="2" t="e">
        <f t="shared" si="132"/>
        <v>#VALUE!</v>
      </c>
      <c r="T724" s="4" t="e">
        <f t="shared" si="133"/>
        <v>#VALUE!</v>
      </c>
      <c r="U724" s="1">
        <f t="shared" si="136"/>
        <v>1.6532412545396302</v>
      </c>
      <c r="V724" s="6">
        <f>2*sigma/alpha*corel*(B724/12-1/alpha*(1-EXP(-alpha*Output!B724/12)))</f>
        <v>4.592269565136549</v>
      </c>
      <c r="W724" s="5" t="e">
        <f t="shared" si="134"/>
        <v>#VALUE!</v>
      </c>
      <c r="X724" s="1" t="e">
        <f t="shared" si="135"/>
        <v>#VALUE!</v>
      </c>
      <c r="Y724" s="3" t="e">
        <f t="shared" si="137"/>
        <v>#VALUE!</v>
      </c>
      <c r="Z724" s="1" t="e">
        <f t="shared" si="138"/>
        <v>#VALUE!</v>
      </c>
      <c r="AA724" s="8">
        <f t="shared" si="143"/>
        <v>59.333333333333925</v>
      </c>
      <c r="AB724" s="1">
        <v>59.42</v>
      </c>
      <c r="AC724" s="1">
        <v>7.5343684170000001E-3</v>
      </c>
      <c r="AD724" s="8">
        <f t="shared" si="139"/>
        <v>-0.82048274098316454</v>
      </c>
      <c r="AE724" s="3">
        <f t="shared" si="140"/>
        <v>-1.0889867545259495E-2</v>
      </c>
      <c r="AF724" s="11">
        <f t="shared" si="141"/>
        <v>59.333333333333925</v>
      </c>
      <c r="AG724" s="1" t="e">
        <f t="shared" si="142"/>
        <v>#VALUE!</v>
      </c>
    </row>
    <row r="725" spans="2:33" ht="15" x14ac:dyDescent="0.25">
      <c r="B725" s="1">
        <v>714</v>
      </c>
      <c r="C725" s="1">
        <v>1.0012569482981433</v>
      </c>
      <c r="D725" s="1">
        <v>1.2742328840803576</v>
      </c>
      <c r="E725" s="1">
        <v>0.78318903177344723</v>
      </c>
      <c r="G725" s="1">
        <v>1.0041556285084552</v>
      </c>
      <c r="H725" s="1">
        <v>7.1061672552408144</v>
      </c>
      <c r="I725" s="1">
        <v>9.9520738855129395E-2</v>
      </c>
      <c r="K725" s="1">
        <v>0.99778124283923386</v>
      </c>
      <c r="L725" s="1">
        <v>8.7792464637462917</v>
      </c>
      <c r="M725" s="1">
        <v>7.7831593996313314E-2</v>
      </c>
      <c r="O725" s="1">
        <v>7.618028689296891E-3</v>
      </c>
      <c r="P725" s="1">
        <v>0.63554479246972706</v>
      </c>
      <c r="R725" s="1">
        <v>0.2929286583804786</v>
      </c>
      <c r="S725" s="2" t="e">
        <f t="shared" si="132"/>
        <v>#VALUE!</v>
      </c>
      <c r="T725" s="4" t="e">
        <f t="shared" si="133"/>
        <v>#VALUE!</v>
      </c>
      <c r="U725" s="1">
        <f t="shared" si="136"/>
        <v>1.6575286723780271</v>
      </c>
      <c r="V725" s="6">
        <f>2*sigma/alpha*corel*(B725/12-1/alpha*(1-EXP(-alpha*Output!B725/12)))</f>
        <v>4.6017205547198223</v>
      </c>
      <c r="W725" s="5" t="e">
        <f t="shared" si="134"/>
        <v>#VALUE!</v>
      </c>
      <c r="X725" s="1" t="e">
        <f t="shared" si="135"/>
        <v>#VALUE!</v>
      </c>
      <c r="Y725" s="3" t="e">
        <f t="shared" si="137"/>
        <v>#VALUE!</v>
      </c>
      <c r="Z725" s="1" t="e">
        <f t="shared" si="138"/>
        <v>#VALUE!</v>
      </c>
      <c r="AA725" s="8">
        <f t="shared" si="143"/>
        <v>59.416666666667261</v>
      </c>
      <c r="AB725" s="1">
        <v>59.5</v>
      </c>
      <c r="AC725" s="1">
        <v>7.5342413879999999E-3</v>
      </c>
      <c r="AD725" s="8">
        <f t="shared" si="139"/>
        <v>-0.83787301296891181</v>
      </c>
      <c r="AE725" s="3">
        <f t="shared" si="140"/>
        <v>-1.1120867647052241E-2</v>
      </c>
      <c r="AF725" s="11">
        <f t="shared" si="141"/>
        <v>59.416666666667261</v>
      </c>
      <c r="AG725" s="1" t="e">
        <f t="shared" si="142"/>
        <v>#VALUE!</v>
      </c>
    </row>
    <row r="726" spans="2:33" ht="15" x14ac:dyDescent="0.25">
      <c r="B726" s="1">
        <v>715</v>
      </c>
      <c r="C726" s="1">
        <v>1.0012573634795616</v>
      </c>
      <c r="D726" s="1">
        <v>1.2772742428742874</v>
      </c>
      <c r="E726" s="1">
        <v>0.78132114178336931</v>
      </c>
      <c r="G726" s="1">
        <v>1.0041147159115107</v>
      </c>
      <c r="H726" s="1">
        <v>7.2553878373131395</v>
      </c>
      <c r="I726" s="1">
        <v>9.7426625598870359E-2</v>
      </c>
      <c r="K726" s="1">
        <v>0.99762907110279941</v>
      </c>
      <c r="L726" s="1">
        <v>8.9367626879560582</v>
      </c>
      <c r="M726" s="1">
        <v>7.6418835321214212E-2</v>
      </c>
      <c r="O726" s="1">
        <v>7.6196254584597993E-3</v>
      </c>
      <c r="P726" s="1">
        <v>0.63508102896142726</v>
      </c>
      <c r="R726" s="1">
        <v>0.29306015104816835</v>
      </c>
      <c r="S726" s="2" t="e">
        <f t="shared" si="132"/>
        <v>#VALUE!</v>
      </c>
      <c r="T726" s="4" t="e">
        <f t="shared" si="133"/>
        <v>#VALUE!</v>
      </c>
      <c r="U726" s="1">
        <f t="shared" si="136"/>
        <v>1.6618190063630243</v>
      </c>
      <c r="V726" s="6">
        <f>2*sigma/alpha*corel*(B726/12-1/alpha*(1-EXP(-alpha*Output!B726/12)))</f>
        <v>4.6111747578677917</v>
      </c>
      <c r="W726" s="5" t="e">
        <f t="shared" si="134"/>
        <v>#VALUE!</v>
      </c>
      <c r="X726" s="1" t="e">
        <f t="shared" si="135"/>
        <v>#VALUE!</v>
      </c>
      <c r="Y726" s="3" t="e">
        <f t="shared" si="137"/>
        <v>#VALUE!</v>
      </c>
      <c r="Z726" s="1" t="e">
        <f t="shared" si="138"/>
        <v>#VALUE!</v>
      </c>
      <c r="AA726" s="8">
        <f t="shared" si="143"/>
        <v>59.500000000000597</v>
      </c>
      <c r="AB726" s="1">
        <v>59.58</v>
      </c>
      <c r="AC726" s="1">
        <v>7.5341147160000004E-3</v>
      </c>
      <c r="AD726" s="8">
        <f t="shared" si="139"/>
        <v>-0.8551074245979895</v>
      </c>
      <c r="AE726" s="3">
        <f t="shared" si="140"/>
        <v>-1.134980627228864E-2</v>
      </c>
      <c r="AF726" s="11">
        <f t="shared" si="141"/>
        <v>59.500000000000597</v>
      </c>
      <c r="AG726" s="1" t="e">
        <f t="shared" si="142"/>
        <v>#VALUE!</v>
      </c>
    </row>
    <row r="727" spans="2:33" ht="15" x14ac:dyDescent="0.25">
      <c r="B727" s="1">
        <v>716</v>
      </c>
      <c r="C727" s="1">
        <v>1.0012588971542833</v>
      </c>
      <c r="D727" s="1">
        <v>1.2754672485552714</v>
      </c>
      <c r="E727" s="1">
        <v>0.78242504189229256</v>
      </c>
      <c r="G727" s="1">
        <v>1.004141134189835</v>
      </c>
      <c r="H727" s="1">
        <v>7.1589855949361727</v>
      </c>
      <c r="I727" s="1">
        <v>9.8690665962475416E-2</v>
      </c>
      <c r="K727" s="1">
        <v>0.99770364081141494</v>
      </c>
      <c r="L727" s="1">
        <v>9.0285639372871653</v>
      </c>
      <c r="M727" s="1">
        <v>7.5602452722980468E-2</v>
      </c>
      <c r="O727" s="1">
        <v>7.6211900084027697E-3</v>
      </c>
      <c r="P727" s="1">
        <v>0.63461865497473813</v>
      </c>
      <c r="R727" s="1">
        <v>0.29308210370589932</v>
      </c>
      <c r="S727" s="2" t="e">
        <f t="shared" ref="S727:S730" si="144">optim_vol_implied(P727,R727)</f>
        <v>#VALUE!</v>
      </c>
      <c r="T727" s="4" t="e">
        <f t="shared" ref="T727:T730" si="145">S727*S727</f>
        <v>#VALUE!</v>
      </c>
      <c r="U727" s="1">
        <f t="shared" si="136"/>
        <v>1.6661122477767645</v>
      </c>
      <c r="V727" s="6">
        <f>2*sigma/alpha*corel*(B727/12-1/alpha*(1-EXP(-alpha*Output!B727/12)))</f>
        <v>4.6206321638864045</v>
      </c>
      <c r="W727" s="5" t="e">
        <f t="shared" ref="W727:W730" si="146">U727-T727</f>
        <v>#VALUE!</v>
      </c>
      <c r="X727" s="1" t="e">
        <f t="shared" ref="X727:X730" si="147">V727*V727-4*W727*B727/12</f>
        <v>#VALUE!</v>
      </c>
      <c r="Y727" s="3" t="e">
        <f t="shared" si="137"/>
        <v>#VALUE!</v>
      </c>
      <c r="Z727" s="1" t="e">
        <f t="shared" si="138"/>
        <v>#VALUE!</v>
      </c>
      <c r="AA727" s="8">
        <f t="shared" si="143"/>
        <v>59.583333333333933</v>
      </c>
      <c r="AB727" s="1">
        <v>59.67</v>
      </c>
      <c r="AC727" s="1">
        <v>7.5339883980000003E-3</v>
      </c>
      <c r="AD727" s="8">
        <f t="shared" si="139"/>
        <v>-0.87201610402769425</v>
      </c>
      <c r="AE727" s="3">
        <f t="shared" si="140"/>
        <v>-1.1574428549149116E-2</v>
      </c>
      <c r="AF727" s="11">
        <f t="shared" si="141"/>
        <v>59.583333333333933</v>
      </c>
      <c r="AG727" s="1" t="e">
        <f t="shared" si="142"/>
        <v>#VALUE!</v>
      </c>
    </row>
    <row r="728" spans="2:33" ht="15" x14ac:dyDescent="0.25">
      <c r="B728" s="1">
        <v>717</v>
      </c>
      <c r="C728" s="1">
        <v>1.0012603017858994</v>
      </c>
      <c r="D728" s="1">
        <v>1.2754171744292613</v>
      </c>
      <c r="E728" s="1">
        <v>0.7824527354351497</v>
      </c>
      <c r="G728" s="1">
        <v>1.00419605031954</v>
      </c>
      <c r="H728" s="1">
        <v>7.1605811465693332</v>
      </c>
      <c r="I728" s="1">
        <v>9.8620811208761733E-2</v>
      </c>
      <c r="K728" s="1">
        <v>0.99781577717028391</v>
      </c>
      <c r="L728" s="1">
        <v>9.0900407299807302</v>
      </c>
      <c r="M728" s="1">
        <v>7.505161767198272E-2</v>
      </c>
      <c r="O728" s="1">
        <v>7.6227360175644965E-3</v>
      </c>
      <c r="P728" s="1">
        <v>0.6341571547865098</v>
      </c>
      <c r="R728" s="1">
        <v>0.29313940825664508</v>
      </c>
      <c r="S728" s="2" t="e">
        <f t="shared" si="144"/>
        <v>#VALUE!</v>
      </c>
      <c r="T728" s="4" t="e">
        <f t="shared" si="145"/>
        <v>#VALUE!</v>
      </c>
      <c r="U728" s="1">
        <f t="shared" si="136"/>
        <v>1.6704083879238496</v>
      </c>
      <c r="V728" s="6">
        <f>2*sigma/alpha*corel*(B728/12-1/alpha*(1-EXP(-alpha*Output!B728/12)))</f>
        <v>4.6300927621172026</v>
      </c>
      <c r="W728" s="5" t="e">
        <f t="shared" si="146"/>
        <v>#VALUE!</v>
      </c>
      <c r="X728" s="1" t="e">
        <f t="shared" si="147"/>
        <v>#VALUE!</v>
      </c>
      <c r="Y728" s="3" t="e">
        <f t="shared" si="137"/>
        <v>#VALUE!</v>
      </c>
      <c r="Z728" s="1" t="e">
        <f t="shared" si="138"/>
        <v>#VALUE!</v>
      </c>
      <c r="AA728" s="8">
        <f t="shared" si="143"/>
        <v>59.666666666667268</v>
      </c>
      <c r="AB728" s="1">
        <v>59.75</v>
      </c>
      <c r="AC728" s="1">
        <v>7.5338624319999997E-3</v>
      </c>
      <c r="AD728" s="8">
        <f t="shared" si="139"/>
        <v>-0.88873585564496793</v>
      </c>
      <c r="AE728" s="3">
        <f t="shared" si="140"/>
        <v>-1.1796550091890077E-2</v>
      </c>
      <c r="AF728" s="11">
        <f t="shared" si="141"/>
        <v>59.666666666667268</v>
      </c>
      <c r="AG728" s="1" t="e">
        <f t="shared" si="142"/>
        <v>#VALUE!</v>
      </c>
    </row>
    <row r="729" spans="2:33" ht="15" x14ac:dyDescent="0.25">
      <c r="B729" s="1">
        <v>718</v>
      </c>
      <c r="C729" s="1">
        <v>1.0012614291941619</v>
      </c>
      <c r="D729" s="1">
        <v>1.2730124535448297</v>
      </c>
      <c r="E729" s="1">
        <v>0.78392775392632419</v>
      </c>
      <c r="G729" s="1">
        <v>1.0041930012536326</v>
      </c>
      <c r="H729" s="1">
        <v>7.03952701335069</v>
      </c>
      <c r="I729" s="1">
        <v>0.10026806466725617</v>
      </c>
      <c r="K729" s="1">
        <v>0.99796352682450595</v>
      </c>
      <c r="L729" s="1">
        <v>9.1114857343893316</v>
      </c>
      <c r="M729" s="1">
        <v>7.483739933474752E-2</v>
      </c>
      <c r="O729" s="1">
        <v>7.6243265846884858E-3</v>
      </c>
      <c r="P729" s="1">
        <v>0.63369413745853975</v>
      </c>
      <c r="R729" s="1">
        <v>0.29313206541524622</v>
      </c>
      <c r="S729" s="2" t="e">
        <f t="shared" si="144"/>
        <v>#VALUE!</v>
      </c>
      <c r="T729" s="4" t="e">
        <f t="shared" si="145"/>
        <v>#VALUE!</v>
      </c>
      <c r="U729" s="1">
        <f t="shared" si="136"/>
        <v>1.6747074181313044</v>
      </c>
      <c r="V729" s="6">
        <f>2*sigma/alpha*corel*(B729/12-1/alpha*(1-EXP(-alpha*Output!B729/12)))</f>
        <v>4.6395565419371927</v>
      </c>
      <c r="W729" s="5" t="e">
        <f t="shared" si="146"/>
        <v>#VALUE!</v>
      </c>
      <c r="X729" s="1" t="e">
        <f t="shared" si="147"/>
        <v>#VALUE!</v>
      </c>
      <c r="Y729" s="3" t="e">
        <f t="shared" si="137"/>
        <v>#VALUE!</v>
      </c>
      <c r="Z729" s="1" t="e">
        <f t="shared" si="138"/>
        <v>#VALUE!</v>
      </c>
      <c r="AA729" s="8">
        <f t="shared" si="143"/>
        <v>59.750000000000604</v>
      </c>
      <c r="AB729" s="1">
        <v>59.83</v>
      </c>
      <c r="AC729" s="1">
        <v>7.5337368180000003E-3</v>
      </c>
      <c r="AD729" s="8">
        <f t="shared" si="139"/>
        <v>-0.90589766688485562</v>
      </c>
      <c r="AE729" s="3">
        <f t="shared" si="140"/>
        <v>-1.2024546234750825E-2</v>
      </c>
      <c r="AF729" s="11">
        <f t="shared" si="141"/>
        <v>59.750000000000604</v>
      </c>
      <c r="AG729" s="1" t="e">
        <f t="shared" si="142"/>
        <v>#VALUE!</v>
      </c>
    </row>
    <row r="730" spans="2:33" ht="15" x14ac:dyDescent="0.25">
      <c r="B730" s="1">
        <v>719</v>
      </c>
      <c r="C730" s="1">
        <v>1.001263182721768</v>
      </c>
      <c r="D730" s="1">
        <v>1.2773727958522798</v>
      </c>
      <c r="E730" s="1">
        <v>0.78124876943887112</v>
      </c>
      <c r="G730" s="1">
        <v>1.0043083811292415</v>
      </c>
      <c r="H730" s="1">
        <v>7.2525981984653098</v>
      </c>
      <c r="I730" s="1">
        <v>9.7275117392925131E-2</v>
      </c>
      <c r="K730" s="1">
        <v>0.9977856689402349</v>
      </c>
      <c r="L730" s="1">
        <v>8.7961329753782902</v>
      </c>
      <c r="M730" s="1">
        <v>7.7479854070314449E-2</v>
      </c>
      <c r="O730" s="1">
        <v>7.6260086431814457E-3</v>
      </c>
      <c r="P730" s="1">
        <v>0.63322781905295389</v>
      </c>
      <c r="R730" s="1">
        <v>0.2932105417860576</v>
      </c>
      <c r="S730" s="2" t="e">
        <f t="shared" si="144"/>
        <v>#VALUE!</v>
      </c>
      <c r="T730" s="4" t="e">
        <f t="shared" si="145"/>
        <v>#VALUE!</v>
      </c>
      <c r="U730" s="1">
        <f t="shared" si="136"/>
        <v>1.6790093297485491</v>
      </c>
      <c r="V730" s="6">
        <f>2*sigma/alpha*corel*(B730/12-1/alpha*(1-EXP(-alpha*Output!B730/12)))</f>
        <v>4.6490234927587313</v>
      </c>
      <c r="W730" s="5" t="e">
        <f t="shared" si="146"/>
        <v>#VALUE!</v>
      </c>
      <c r="X730" s="1" t="e">
        <f t="shared" si="147"/>
        <v>#VALUE!</v>
      </c>
      <c r="Y730" s="3" t="e">
        <f t="shared" si="137"/>
        <v>#VALUE!</v>
      </c>
      <c r="Z730" s="1" t="e">
        <f t="shared" si="138"/>
        <v>#VALUE!</v>
      </c>
      <c r="AA730" s="8">
        <f t="shared" si="143"/>
        <v>59.83333333333394</v>
      </c>
      <c r="AB730" s="1">
        <v>59.92</v>
      </c>
      <c r="AC730" s="1">
        <v>7.5336115540000003E-3</v>
      </c>
      <c r="AD730" s="8">
        <f t="shared" si="139"/>
        <v>-0.92397089181445358</v>
      </c>
      <c r="AE730" s="3">
        <f t="shared" si="140"/>
        <v>-1.226464737651449E-2</v>
      </c>
      <c r="AF730" s="11">
        <f t="shared" si="141"/>
        <v>59.83333333333394</v>
      </c>
      <c r="AG730" s="1" t="e">
        <f t="shared" si="142"/>
        <v>#VALUE!</v>
      </c>
    </row>
    <row r="731" spans="2:33" ht="15" x14ac:dyDescent="0.25">
      <c r="B731" s="1">
        <v>720</v>
      </c>
      <c r="C731" s="1">
        <v>1.0012674449192069</v>
      </c>
      <c r="D731" s="1">
        <v>1.2806080420196031</v>
      </c>
      <c r="E731" s="1">
        <v>0.77927204853747489</v>
      </c>
      <c r="G731" s="1">
        <v>1.0046239102045373</v>
      </c>
      <c r="H731" s="1">
        <v>7.4199438760221241</v>
      </c>
      <c r="I731" s="1">
        <v>9.503509836142135E-2</v>
      </c>
      <c r="K731" s="1">
        <v>0.9980779070449991</v>
      </c>
      <c r="L731" s="1">
        <v>8.9622936244781179</v>
      </c>
      <c r="M731" s="1">
        <v>7.5999327753068224E-2</v>
      </c>
      <c r="O731" s="1">
        <v>7.627756468041114E-3</v>
      </c>
      <c r="P731" s="1">
        <v>0.63275916954688982</v>
      </c>
      <c r="R731" s="1">
        <v>0.29339538555179218</v>
      </c>
      <c r="S731" s="2" t="e">
        <f>optim_vol_implied(P731,R731)</f>
        <v>#VALUE!</v>
      </c>
      <c r="T731" s="4" t="e">
        <f>S731*S731</f>
        <v>#VALUE!</v>
      </c>
      <c r="U731" s="1">
        <f t="shared" si="136"/>
        <v>1.6833141141473673</v>
      </c>
      <c r="V731" s="6">
        <f>2*sigma/alpha*corel*(B731/12-1/alpha*(1-EXP(-alpha*Output!B731/12)))</f>
        <v>4.658493604029414</v>
      </c>
      <c r="W731" s="5" t="e">
        <f>U731-T731</f>
        <v>#VALUE!</v>
      </c>
      <c r="X731" s="1" t="e">
        <f>V731*V731-4*W731*B731/12</f>
        <v>#VALUE!</v>
      </c>
      <c r="Y731" s="3" t="e">
        <f t="shared" si="137"/>
        <v>#VALUE!</v>
      </c>
      <c r="Z731" s="1" t="e">
        <f t="shared" si="138"/>
        <v>#VALUE!</v>
      </c>
      <c r="AA731" s="8">
        <f t="shared" si="143"/>
        <v>59.916666666667275</v>
      </c>
      <c r="AB731" s="1">
        <v>60</v>
      </c>
      <c r="AC731" s="1">
        <v>7.5334866390000003E-3</v>
      </c>
      <c r="AD731" s="8">
        <f t="shared" si="139"/>
        <v>-0.94269829041113662</v>
      </c>
      <c r="AE731" s="3">
        <f t="shared" si="140"/>
        <v>-1.2513439468132792E-2</v>
      </c>
      <c r="AF731" s="11">
        <f t="shared" si="141"/>
        <v>59.916666666667275</v>
      </c>
      <c r="AG731" s="1" t="e">
        <f t="shared" si="142"/>
        <v>#VALUE!</v>
      </c>
    </row>
    <row r="732" spans="2:33" x14ac:dyDescent="0.2">
      <c r="AC732" s="1">
        <v>7.5333620699999998E-3</v>
      </c>
    </row>
    <row r="733" spans="2:33" x14ac:dyDescent="0.2">
      <c r="AC733" s="1">
        <v>7.5332378469999996E-3</v>
      </c>
    </row>
    <row r="734" spans="2:33" x14ac:dyDescent="0.2">
      <c r="AC734" s="1">
        <v>7.5331139679999997E-3</v>
      </c>
    </row>
    <row r="735" spans="2:33" x14ac:dyDescent="0.2">
      <c r="AC735" s="1">
        <v>7.5329904319999998E-3</v>
      </c>
    </row>
    <row r="736" spans="2:33" x14ac:dyDescent="0.2">
      <c r="AC736" s="1">
        <v>7.5328672369999999E-3</v>
      </c>
    </row>
    <row r="737" spans="29:29" x14ac:dyDescent="0.2">
      <c r="AC737" s="1">
        <v>7.5327443820000003E-3</v>
      </c>
    </row>
    <row r="738" spans="29:29" x14ac:dyDescent="0.2">
      <c r="AC738" s="1">
        <v>7.5326218650000002E-3</v>
      </c>
    </row>
    <row r="739" spans="29:29" x14ac:dyDescent="0.2">
      <c r="AC739" s="1">
        <v>7.5324996850000001E-3</v>
      </c>
    </row>
    <row r="740" spans="29:29" x14ac:dyDescent="0.2">
      <c r="AC740" s="1">
        <v>7.5323778419999999E-3</v>
      </c>
    </row>
    <row r="741" spans="29:29" x14ac:dyDescent="0.2">
      <c r="AC741" s="1">
        <v>7.5322563319999997E-3</v>
      </c>
    </row>
    <row r="742" spans="29:29" x14ac:dyDescent="0.2">
      <c r="AC742" s="1">
        <v>7.5321351550000004E-3</v>
      </c>
    </row>
    <row r="743" spans="29:29" x14ac:dyDescent="0.2">
      <c r="AC743" s="1">
        <v>7.5320143099999997E-3</v>
      </c>
    </row>
    <row r="744" spans="29:29" x14ac:dyDescent="0.2">
      <c r="AC744" s="1">
        <v>7.5318937950000003E-3</v>
      </c>
    </row>
    <row r="745" spans="29:29" x14ac:dyDescent="0.2">
      <c r="AC745" s="1">
        <v>7.531773609E-3</v>
      </c>
    </row>
    <row r="746" spans="29:29" x14ac:dyDescent="0.2">
      <c r="AC746" s="1">
        <v>7.5316537499999997E-3</v>
      </c>
    </row>
    <row r="747" spans="29:29" x14ac:dyDescent="0.2">
      <c r="AC747" s="1">
        <v>7.5315342180000003E-3</v>
      </c>
    </row>
    <row r="748" spans="29:29" x14ac:dyDescent="0.2">
      <c r="AC748" s="1">
        <v>7.5314150099999996E-3</v>
      </c>
    </row>
    <row r="749" spans="29:29" x14ac:dyDescent="0.2">
      <c r="AC749" s="1">
        <v>7.5312961260000002E-3</v>
      </c>
    </row>
    <row r="750" spans="29:29" x14ac:dyDescent="0.2">
      <c r="AC750" s="1">
        <v>7.5311775640000004E-3</v>
      </c>
    </row>
    <row r="751" spans="29:29" x14ac:dyDescent="0.2">
      <c r="AC751" s="1">
        <v>7.5310593229999997E-3</v>
      </c>
    </row>
    <row r="752" spans="29:29" x14ac:dyDescent="0.2">
      <c r="AC752" s="1">
        <v>7.5309414020000003E-3</v>
      </c>
    </row>
    <row r="753" spans="29:29" x14ac:dyDescent="0.2">
      <c r="AC753" s="1">
        <v>7.5308237989999997E-3</v>
      </c>
    </row>
    <row r="754" spans="29:29" x14ac:dyDescent="0.2">
      <c r="AC754" s="1">
        <v>7.530706513E-3</v>
      </c>
    </row>
    <row r="755" spans="29:29" x14ac:dyDescent="0.2">
      <c r="AC755" s="1">
        <v>7.5305895420000003E-3</v>
      </c>
    </row>
    <row r="756" spans="29:29" x14ac:dyDescent="0.2">
      <c r="AC756" s="1">
        <v>7.5304728859999998E-3</v>
      </c>
    </row>
    <row r="757" spans="29:29" x14ac:dyDescent="0.2">
      <c r="AC757" s="1">
        <v>7.5303565430000002E-3</v>
      </c>
    </row>
    <row r="758" spans="29:29" x14ac:dyDescent="0.2">
      <c r="AC758" s="1">
        <v>7.5302405120000002E-3</v>
      </c>
    </row>
    <row r="759" spans="29:29" x14ac:dyDescent="0.2">
      <c r="AC759" s="1">
        <v>7.5301247920000003E-3</v>
      </c>
    </row>
    <row r="760" spans="29:29" x14ac:dyDescent="0.2">
      <c r="AC760" s="1">
        <v>7.5300093809999996E-3</v>
      </c>
    </row>
    <row r="761" spans="29:29" x14ac:dyDescent="0.2">
      <c r="AC761" s="1">
        <v>7.5298942789999998E-3</v>
      </c>
    </row>
    <row r="762" spans="29:29" x14ac:dyDescent="0.2">
      <c r="AC762" s="1">
        <v>7.5297794829999997E-3</v>
      </c>
    </row>
    <row r="763" spans="29:29" x14ac:dyDescent="0.2">
      <c r="AC763" s="1">
        <v>7.5296649930000001E-3</v>
      </c>
    </row>
    <row r="764" spans="29:29" x14ac:dyDescent="0.2">
      <c r="AC764" s="1">
        <v>7.5295508079999997E-3</v>
      </c>
    </row>
    <row r="765" spans="29:29" x14ac:dyDescent="0.2">
      <c r="AC765" s="1">
        <v>7.5294369260000002E-3</v>
      </c>
    </row>
    <row r="766" spans="29:29" x14ac:dyDescent="0.2">
      <c r="AC766" s="1">
        <v>7.5293233459999996E-3</v>
      </c>
    </row>
    <row r="767" spans="29:29" x14ac:dyDescent="0.2">
      <c r="AC767" s="1">
        <v>7.5292100669999999E-3</v>
      </c>
    </row>
    <row r="768" spans="29:29" x14ac:dyDescent="0.2">
      <c r="AC768" s="1">
        <v>7.5290970870000003E-3</v>
      </c>
    </row>
    <row r="769" spans="29:29" x14ac:dyDescent="0.2">
      <c r="AC769" s="1">
        <v>7.528984406E-3</v>
      </c>
    </row>
    <row r="770" spans="29:29" x14ac:dyDescent="0.2">
      <c r="AC770" s="1">
        <v>7.5288720230000002E-3</v>
      </c>
    </row>
    <row r="771" spans="29:29" x14ac:dyDescent="0.2">
      <c r="AC771" s="1">
        <v>7.5287599349999996E-3</v>
      </c>
    </row>
    <row r="772" spans="29:29" x14ac:dyDescent="0.2">
      <c r="AC772" s="1">
        <v>7.5286481429999996E-3</v>
      </c>
    </row>
    <row r="773" spans="29:29" x14ac:dyDescent="0.2">
      <c r="AC773" s="1">
        <v>7.5285366439999998E-3</v>
      </c>
    </row>
    <row r="774" spans="29:29" x14ac:dyDescent="0.2">
      <c r="AC774" s="1">
        <v>7.528425438E-3</v>
      </c>
    </row>
    <row r="775" spans="29:29" x14ac:dyDescent="0.2">
      <c r="AC775" s="1">
        <v>7.528314524E-3</v>
      </c>
    </row>
    <row r="776" spans="29:29" x14ac:dyDescent="0.2">
      <c r="AC776" s="1">
        <v>7.5282038990000001E-3</v>
      </c>
    </row>
    <row r="777" spans="29:29" x14ac:dyDescent="0.2">
      <c r="AC777" s="1">
        <v>7.5280935650000004E-3</v>
      </c>
    </row>
    <row r="778" spans="29:29" x14ac:dyDescent="0.2">
      <c r="AC778" s="1">
        <v>7.5279835179999999E-3</v>
      </c>
    </row>
    <row r="779" spans="29:29" x14ac:dyDescent="0.2">
      <c r="AC779" s="1">
        <v>7.5278737579999996E-3</v>
      </c>
    </row>
    <row r="780" spans="29:29" x14ac:dyDescent="0.2">
      <c r="AC780" s="1">
        <v>7.5277642839999999E-3</v>
      </c>
    </row>
    <row r="781" spans="29:29" x14ac:dyDescent="0.2">
      <c r="AC781" s="1">
        <v>7.5276550950000003E-3</v>
      </c>
    </row>
    <row r="782" spans="29:29" x14ac:dyDescent="0.2">
      <c r="AC782" s="1">
        <v>7.5275461890000001E-3</v>
      </c>
    </row>
    <row r="783" spans="29:29" x14ac:dyDescent="0.2">
      <c r="AC783" s="1">
        <v>7.527437566E-3</v>
      </c>
    </row>
    <row r="784" spans="29:29" x14ac:dyDescent="0.2">
      <c r="AC784" s="1">
        <v>7.5273292240000001E-3</v>
      </c>
    </row>
    <row r="785" spans="29:29" x14ac:dyDescent="0.2">
      <c r="AC785" s="1">
        <v>7.5272211630000004E-3</v>
      </c>
    </row>
    <row r="786" spans="29:29" x14ac:dyDescent="0.2">
      <c r="AC786" s="1">
        <v>7.527113381E-3</v>
      </c>
    </row>
    <row r="787" spans="29:29" x14ac:dyDescent="0.2">
      <c r="AC787" s="1">
        <v>7.5270058770000002E-3</v>
      </c>
    </row>
    <row r="788" spans="29:29" x14ac:dyDescent="0.2">
      <c r="AC788" s="1">
        <v>7.5268986499999998E-3</v>
      </c>
    </row>
    <row r="789" spans="29:29" x14ac:dyDescent="0.2">
      <c r="AC789" s="1">
        <v>7.5267916989999999E-3</v>
      </c>
    </row>
    <row r="790" spans="29:29" x14ac:dyDescent="0.2">
      <c r="AC790" s="1">
        <v>7.5266850230000003E-3</v>
      </c>
    </row>
    <row r="791" spans="29:29" x14ac:dyDescent="0.2">
      <c r="AC791" s="1">
        <v>7.5265786209999996E-3</v>
      </c>
    </row>
    <row r="792" spans="29:29" x14ac:dyDescent="0.2">
      <c r="AC792" s="1">
        <v>7.5264724910000004E-3</v>
      </c>
    </row>
    <row r="793" spans="29:29" x14ac:dyDescent="0.2">
      <c r="AC793" s="1">
        <v>7.5263666339999997E-3</v>
      </c>
    </row>
    <row r="794" spans="29:29" x14ac:dyDescent="0.2">
      <c r="AC794" s="1">
        <v>7.5262610469999996E-3</v>
      </c>
    </row>
    <row r="795" spans="29:29" x14ac:dyDescent="0.2">
      <c r="AC795" s="1">
        <v>7.5261557300000002E-3</v>
      </c>
    </row>
    <row r="796" spans="29:29" x14ac:dyDescent="0.2">
      <c r="AC796" s="1">
        <v>7.5260506820000002E-3</v>
      </c>
    </row>
    <row r="797" spans="29:29" x14ac:dyDescent="0.2">
      <c r="AC797" s="1">
        <v>7.5259459010000003E-3</v>
      </c>
    </row>
    <row r="798" spans="29:29" x14ac:dyDescent="0.2">
      <c r="AC798" s="1">
        <v>7.5258413869999999E-3</v>
      </c>
    </row>
    <row r="799" spans="29:29" x14ac:dyDescent="0.2">
      <c r="AC799" s="1">
        <v>7.5257371390000001E-3</v>
      </c>
    </row>
    <row r="800" spans="29:29" x14ac:dyDescent="0.2">
      <c r="AC800" s="1">
        <v>7.5256331550000001E-3</v>
      </c>
    </row>
    <row r="801" spans="29:29" x14ac:dyDescent="0.2">
      <c r="AC801" s="1">
        <v>7.525529435E-3</v>
      </c>
    </row>
    <row r="802" spans="29:29" x14ac:dyDescent="0.2">
      <c r="AC802" s="1">
        <v>7.5254259769999996E-3</v>
      </c>
    </row>
    <row r="803" spans="29:29" x14ac:dyDescent="0.2">
      <c r="AC803" s="1">
        <v>7.525322781E-3</v>
      </c>
    </row>
    <row r="804" spans="29:29" x14ac:dyDescent="0.2">
      <c r="AC804" s="1">
        <v>7.5252198459999997E-3</v>
      </c>
    </row>
    <row r="805" spans="29:29" x14ac:dyDescent="0.2">
      <c r="AC805" s="1">
        <v>7.5251171699999998E-3</v>
      </c>
    </row>
    <row r="806" spans="29:29" x14ac:dyDescent="0.2">
      <c r="AC806" s="1">
        <v>7.525014753E-3</v>
      </c>
    </row>
    <row r="807" spans="29:29" x14ac:dyDescent="0.2">
      <c r="AC807" s="1">
        <v>7.5249125929999997E-3</v>
      </c>
    </row>
    <row r="808" spans="29:29" x14ac:dyDescent="0.2">
      <c r="AC808" s="1">
        <v>7.5248106910000001E-3</v>
      </c>
    </row>
    <row r="809" spans="29:29" x14ac:dyDescent="0.2">
      <c r="AC809" s="1">
        <v>7.5247090439999999E-3</v>
      </c>
    </row>
    <row r="810" spans="29:29" x14ac:dyDescent="0.2">
      <c r="AC810" s="1">
        <v>7.5246076510000004E-3</v>
      </c>
    </row>
    <row r="811" spans="29:29" x14ac:dyDescent="0.2">
      <c r="AC811" s="1">
        <v>7.5245065130000004E-3</v>
      </c>
    </row>
    <row r="812" spans="29:29" x14ac:dyDescent="0.2">
      <c r="AC812" s="1">
        <v>7.5244056270000002E-3</v>
      </c>
    </row>
    <row r="813" spans="29:29" x14ac:dyDescent="0.2">
      <c r="AC813" s="1">
        <v>7.5243049929999998E-3</v>
      </c>
    </row>
    <row r="814" spans="29:29" x14ac:dyDescent="0.2">
      <c r="AC814" s="1">
        <v>7.5242046110000002E-3</v>
      </c>
    </row>
    <row r="815" spans="29:29" x14ac:dyDescent="0.2">
      <c r="AC815" s="1">
        <v>7.524104478E-3</v>
      </c>
    </row>
    <row r="816" spans="29:29" x14ac:dyDescent="0.2">
      <c r="AC816" s="1">
        <v>7.5240045940000002E-3</v>
      </c>
    </row>
    <row r="817" spans="29:29" x14ac:dyDescent="0.2">
      <c r="AC817" s="1">
        <v>7.5239049589999997E-3</v>
      </c>
    </row>
    <row r="818" spans="29:29" x14ac:dyDescent="0.2">
      <c r="AC818" s="1">
        <v>7.5238055709999996E-3</v>
      </c>
    </row>
    <row r="819" spans="29:29" x14ac:dyDescent="0.2">
      <c r="AC819" s="1">
        <v>7.5237064290000003E-3</v>
      </c>
    </row>
    <row r="820" spans="29:29" x14ac:dyDescent="0.2">
      <c r="AC820" s="1">
        <v>7.5236075320000003E-3</v>
      </c>
    </row>
    <row r="821" spans="29:29" x14ac:dyDescent="0.2">
      <c r="AC821" s="1">
        <v>7.5235088799999999E-3</v>
      </c>
    </row>
    <row r="822" spans="29:29" x14ac:dyDescent="0.2">
      <c r="AC822" s="1">
        <v>7.5234104720000002E-3</v>
      </c>
    </row>
    <row r="823" spans="29:29" x14ac:dyDescent="0.2">
      <c r="AC823" s="1">
        <v>7.5233123060000004E-3</v>
      </c>
    </row>
    <row r="824" spans="29:29" x14ac:dyDescent="0.2">
      <c r="AC824" s="1">
        <v>7.5232143819999996E-3</v>
      </c>
    </row>
    <row r="825" spans="29:29" x14ac:dyDescent="0.2">
      <c r="AC825" s="1">
        <v>7.5231166990000001E-3</v>
      </c>
    </row>
    <row r="826" spans="29:29" x14ac:dyDescent="0.2">
      <c r="AC826" s="1">
        <v>7.5230192560000004E-3</v>
      </c>
    </row>
    <row r="827" spans="29:29" x14ac:dyDescent="0.2">
      <c r="AC827" s="1">
        <v>7.5229220520000003E-3</v>
      </c>
    </row>
    <row r="828" spans="29:29" x14ac:dyDescent="0.2">
      <c r="AC828" s="1">
        <v>7.5228250870000004E-3</v>
      </c>
    </row>
    <row r="829" spans="29:29" x14ac:dyDescent="0.2">
      <c r="AC829" s="1">
        <v>7.5227283579999997E-3</v>
      </c>
    </row>
    <row r="830" spans="29:29" x14ac:dyDescent="0.2">
      <c r="AC830" s="1">
        <v>7.5226318669999997E-3</v>
      </c>
    </row>
    <row r="831" spans="29:29" x14ac:dyDescent="0.2">
      <c r="AC831" s="1">
        <v>7.5225356110000001E-3</v>
      </c>
    </row>
    <row r="832" spans="29:29" x14ac:dyDescent="0.2">
      <c r="AC832" s="1">
        <v>7.5224395890000004E-3</v>
      </c>
    </row>
    <row r="833" spans="29:29" x14ac:dyDescent="0.2">
      <c r="AC833" s="1">
        <v>7.5223438020000002E-3</v>
      </c>
    </row>
    <row r="834" spans="29:29" x14ac:dyDescent="0.2">
      <c r="AC834" s="1">
        <v>7.5222482480000004E-3</v>
      </c>
    </row>
    <row r="835" spans="29:29" x14ac:dyDescent="0.2">
      <c r="AC835" s="1">
        <v>7.5221529259999996E-3</v>
      </c>
    </row>
    <row r="836" spans="29:29" x14ac:dyDescent="0.2">
      <c r="AC836" s="1">
        <v>7.5220578350000001E-3</v>
      </c>
    </row>
    <row r="837" spans="29:29" x14ac:dyDescent="0.2">
      <c r="AC837" s="1">
        <v>7.5219629750000001E-3</v>
      </c>
    </row>
    <row r="838" spans="29:29" x14ac:dyDescent="0.2">
      <c r="AC838" s="1">
        <v>7.5218683439999996E-3</v>
      </c>
    </row>
    <row r="839" spans="29:29" x14ac:dyDescent="0.2">
      <c r="AC839" s="1">
        <v>7.521773943E-3</v>
      </c>
    </row>
    <row r="840" spans="29:29" x14ac:dyDescent="0.2">
      <c r="AC840" s="1">
        <v>7.5216797689999998E-3</v>
      </c>
    </row>
    <row r="841" spans="29:29" x14ac:dyDescent="0.2">
      <c r="AC841" s="1">
        <v>7.5215858229999997E-3</v>
      </c>
    </row>
    <row r="842" spans="29:29" x14ac:dyDescent="0.2">
      <c r="AC842" s="1">
        <v>7.5214921030000003E-3</v>
      </c>
    </row>
    <row r="843" spans="29:29" x14ac:dyDescent="0.2">
      <c r="AC843" s="1">
        <v>7.5213986079999996E-3</v>
      </c>
    </row>
    <row r="844" spans="29:29" x14ac:dyDescent="0.2">
      <c r="AC844" s="1">
        <v>7.5213053389999998E-3</v>
      </c>
    </row>
    <row r="845" spans="29:29" x14ac:dyDescent="0.2">
      <c r="AC845" s="1">
        <v>7.5212122930000003E-3</v>
      </c>
    </row>
    <row r="846" spans="29:29" x14ac:dyDescent="0.2">
      <c r="AC846" s="1">
        <v>7.5211194699999996E-3</v>
      </c>
    </row>
    <row r="847" spans="29:29" x14ac:dyDescent="0.2">
      <c r="AC847" s="1">
        <v>7.5210268700000001E-3</v>
      </c>
    </row>
    <row r="848" spans="29:29" x14ac:dyDescent="0.2">
      <c r="AC848" s="1">
        <v>7.5209344910000002E-3</v>
      </c>
    </row>
    <row r="849" spans="29:29" x14ac:dyDescent="0.2">
      <c r="AC849" s="1">
        <v>7.5208423329999998E-3</v>
      </c>
    </row>
    <row r="850" spans="29:29" x14ac:dyDescent="0.2">
      <c r="AC850" s="1">
        <v>7.5207503950000002E-3</v>
      </c>
    </row>
    <row r="851" spans="29:29" x14ac:dyDescent="0.2">
      <c r="AC851" s="1">
        <v>7.5206586760000003E-3</v>
      </c>
    </row>
    <row r="852" spans="29:29" x14ac:dyDescent="0.2">
      <c r="AC852" s="1">
        <v>7.5205671759999999E-3</v>
      </c>
    </row>
    <row r="853" spans="29:29" x14ac:dyDescent="0.2">
      <c r="AC853" s="1">
        <v>7.5204758929999999E-3</v>
      </c>
    </row>
    <row r="854" spans="29:29" x14ac:dyDescent="0.2">
      <c r="AC854" s="1">
        <v>7.5203848270000003E-3</v>
      </c>
    </row>
    <row r="855" spans="29:29" x14ac:dyDescent="0.2">
      <c r="AC855" s="1">
        <v>7.5202939769999999E-3</v>
      </c>
    </row>
    <row r="856" spans="29:29" x14ac:dyDescent="0.2">
      <c r="AC856" s="1">
        <v>7.5202033430000004E-3</v>
      </c>
    </row>
    <row r="857" spans="29:29" x14ac:dyDescent="0.2">
      <c r="AC857" s="1">
        <v>7.5201129219999996E-3</v>
      </c>
    </row>
    <row r="858" spans="29:29" x14ac:dyDescent="0.2">
      <c r="AC858" s="1">
        <v>7.5200227160000001E-3</v>
      </c>
    </row>
    <row r="859" spans="29:29" x14ac:dyDescent="0.2">
      <c r="AC859" s="1">
        <v>7.5199327230000002E-3</v>
      </c>
    </row>
    <row r="860" spans="29:29" x14ac:dyDescent="0.2">
      <c r="AC860" s="1">
        <v>7.5198429420000002E-3</v>
      </c>
    </row>
    <row r="861" spans="29:29" x14ac:dyDescent="0.2">
      <c r="AC861" s="1">
        <v>7.5197533719999999E-3</v>
      </c>
    </row>
    <row r="862" spans="29:29" x14ac:dyDescent="0.2">
      <c r="AC862" s="1">
        <v>7.5196640130000001E-3</v>
      </c>
    </row>
    <row r="863" spans="29:29" x14ac:dyDescent="0.2">
      <c r="AC863" s="1">
        <v>7.5195748640000002E-3</v>
      </c>
    </row>
    <row r="864" spans="29:29" x14ac:dyDescent="0.2">
      <c r="AC864" s="1">
        <v>7.5194859249999996E-3</v>
      </c>
    </row>
    <row r="865" spans="29:29" x14ac:dyDescent="0.2">
      <c r="AC865" s="1">
        <v>7.5193971939999998E-3</v>
      </c>
    </row>
    <row r="866" spans="29:29" x14ac:dyDescent="0.2">
      <c r="AC866" s="1">
        <v>7.5193086710000001E-3</v>
      </c>
    </row>
    <row r="867" spans="29:29" x14ac:dyDescent="0.2">
      <c r="AC867" s="1">
        <v>7.519220355E-3</v>
      </c>
    </row>
    <row r="868" spans="29:29" x14ac:dyDescent="0.2">
      <c r="AC868" s="1">
        <v>7.5191322449999999E-3</v>
      </c>
    </row>
    <row r="869" spans="29:29" x14ac:dyDescent="0.2">
      <c r="AC869" s="1">
        <v>7.5190443409999998E-3</v>
      </c>
    </row>
    <row r="870" spans="29:29" x14ac:dyDescent="0.2">
      <c r="AC870" s="1">
        <v>7.5189566409999999E-3</v>
      </c>
    </row>
    <row r="871" spans="29:29" x14ac:dyDescent="0.2">
      <c r="AC871" s="1">
        <v>7.5188691460000004E-3</v>
      </c>
    </row>
    <row r="872" spans="29:29" x14ac:dyDescent="0.2">
      <c r="AC872" s="1">
        <v>7.518781855E-3</v>
      </c>
    </row>
    <row r="873" spans="29:29" x14ac:dyDescent="0.2">
      <c r="AC873" s="1">
        <v>7.5186947659999998E-3</v>
      </c>
    </row>
    <row r="874" spans="29:29" x14ac:dyDescent="0.2">
      <c r="AC874" s="1">
        <v>7.5186078789999996E-3</v>
      </c>
    </row>
    <row r="875" spans="29:29" x14ac:dyDescent="0.2">
      <c r="AC875" s="1">
        <v>7.5185211940000003E-3</v>
      </c>
    </row>
    <row r="876" spans="29:29" x14ac:dyDescent="0.2">
      <c r="AC876" s="1">
        <v>7.5184347099999998E-3</v>
      </c>
    </row>
    <row r="877" spans="29:29" x14ac:dyDescent="0.2">
      <c r="AC877" s="1">
        <v>7.5183484249999998E-3</v>
      </c>
    </row>
    <row r="878" spans="29:29" x14ac:dyDescent="0.2">
      <c r="AC878" s="1">
        <v>7.5182623390000003E-3</v>
      </c>
    </row>
    <row r="879" spans="29:29" x14ac:dyDescent="0.2">
      <c r="AC879" s="1">
        <v>7.518176453E-3</v>
      </c>
    </row>
    <row r="880" spans="29:29" x14ac:dyDescent="0.2">
      <c r="AC880" s="1">
        <v>7.5180907640000003E-3</v>
      </c>
    </row>
    <row r="881" spans="29:29" x14ac:dyDescent="0.2">
      <c r="AC881" s="1">
        <v>7.5180052720000001E-3</v>
      </c>
    </row>
    <row r="882" spans="29:29" x14ac:dyDescent="0.2">
      <c r="AC882" s="1">
        <v>7.5179199769999996E-3</v>
      </c>
    </row>
    <row r="883" spans="29:29" x14ac:dyDescent="0.2">
      <c r="AC883" s="1">
        <v>7.5178348780000001E-3</v>
      </c>
    </row>
    <row r="884" spans="29:29" x14ac:dyDescent="0.2">
      <c r="AC884" s="1">
        <v>7.5177499740000002E-3</v>
      </c>
    </row>
    <row r="885" spans="29:29" x14ac:dyDescent="0.2">
      <c r="AC885" s="1">
        <v>7.5176652639999996E-3</v>
      </c>
    </row>
    <row r="886" spans="29:29" x14ac:dyDescent="0.2">
      <c r="AC886" s="1">
        <v>7.5175807479999999E-3</v>
      </c>
    </row>
    <row r="887" spans="29:29" x14ac:dyDescent="0.2">
      <c r="AC887" s="1">
        <v>7.5174964260000003E-3</v>
      </c>
    </row>
    <row r="888" spans="29:29" x14ac:dyDescent="0.2">
      <c r="AC888" s="1">
        <v>7.5174122959999999E-3</v>
      </c>
    </row>
    <row r="889" spans="29:29" x14ac:dyDescent="0.2">
      <c r="AC889" s="1">
        <v>7.5173283579999996E-3</v>
      </c>
    </row>
    <row r="890" spans="29:29" x14ac:dyDescent="0.2">
      <c r="AC890" s="1">
        <v>7.5172446109999999E-3</v>
      </c>
    </row>
    <row r="891" spans="29:29" x14ac:dyDescent="0.2">
      <c r="AC891" s="1">
        <v>7.5171610540000003E-3</v>
      </c>
    </row>
    <row r="892" spans="29:29" x14ac:dyDescent="0.2">
      <c r="AC892" s="1">
        <v>7.5170776880000003E-3</v>
      </c>
    </row>
    <row r="893" spans="29:29" x14ac:dyDescent="0.2">
      <c r="AC893" s="1">
        <v>7.5169945110000001E-3</v>
      </c>
    </row>
    <row r="894" spans="29:29" x14ac:dyDescent="0.2">
      <c r="AC894" s="1">
        <v>7.5169115219999999E-3</v>
      </c>
    </row>
    <row r="895" spans="29:29" x14ac:dyDescent="0.2">
      <c r="AC895" s="1">
        <v>7.5168287209999999E-3</v>
      </c>
    </row>
    <row r="896" spans="29:29" x14ac:dyDescent="0.2">
      <c r="AC896" s="1">
        <v>7.5167461079999999E-3</v>
      </c>
    </row>
    <row r="897" spans="29:29" x14ac:dyDescent="0.2">
      <c r="AC897" s="1">
        <v>7.5166636810000001E-3</v>
      </c>
    </row>
    <row r="898" spans="29:29" x14ac:dyDescent="0.2">
      <c r="AC898" s="1">
        <v>7.516581441E-3</v>
      </c>
    </row>
    <row r="899" spans="29:29" x14ac:dyDescent="0.2">
      <c r="AC899" s="1">
        <v>7.5164993859999996E-3</v>
      </c>
    </row>
    <row r="900" spans="29:29" x14ac:dyDescent="0.2">
      <c r="AC900" s="1">
        <v>7.5164175159999997E-3</v>
      </c>
    </row>
    <row r="901" spans="29:29" x14ac:dyDescent="0.2">
      <c r="AC901" s="1">
        <v>7.51633583E-3</v>
      </c>
    </row>
    <row r="902" spans="29:29" x14ac:dyDescent="0.2">
      <c r="AC902" s="1">
        <v>7.516254327E-3</v>
      </c>
    </row>
    <row r="903" spans="29:29" x14ac:dyDescent="0.2">
      <c r="AC903" s="1">
        <v>7.5161730080000001E-3</v>
      </c>
    </row>
    <row r="904" spans="29:29" x14ac:dyDescent="0.2">
      <c r="AC904" s="1">
        <v>7.5160918699999999E-3</v>
      </c>
    </row>
    <row r="905" spans="29:29" x14ac:dyDescent="0.2">
      <c r="AC905" s="1">
        <v>7.5160109150000003E-3</v>
      </c>
    </row>
    <row r="906" spans="29:29" x14ac:dyDescent="0.2">
      <c r="AC906" s="1">
        <v>7.5159301410000004E-3</v>
      </c>
    </row>
    <row r="907" spans="29:29" x14ac:dyDescent="0.2">
      <c r="AC907" s="1">
        <v>7.5158495469999998E-3</v>
      </c>
    </row>
    <row r="908" spans="29:29" x14ac:dyDescent="0.2">
      <c r="AC908" s="1">
        <v>7.5157691330000002E-3</v>
      </c>
    </row>
    <row r="909" spans="29:29" x14ac:dyDescent="0.2">
      <c r="AC909" s="1">
        <v>7.5156888980000003E-3</v>
      </c>
    </row>
    <row r="910" spans="29:29" x14ac:dyDescent="0.2">
      <c r="AC910" s="1">
        <v>7.5156088420000001E-3</v>
      </c>
    </row>
    <row r="911" spans="29:29" x14ac:dyDescent="0.2">
      <c r="AC911" s="1">
        <v>7.5155289640000001E-3</v>
      </c>
    </row>
    <row r="912" spans="29:29" x14ac:dyDescent="0.2">
      <c r="AC912" s="1">
        <v>7.5154492640000002E-3</v>
      </c>
    </row>
    <row r="913" spans="29:29" x14ac:dyDescent="0.2">
      <c r="AC913" s="1">
        <v>7.5153697410000001E-3</v>
      </c>
    </row>
    <row r="914" spans="29:29" x14ac:dyDescent="0.2">
      <c r="AC914" s="1">
        <v>7.5152903940000002E-3</v>
      </c>
    </row>
    <row r="915" spans="29:29" x14ac:dyDescent="0.2">
      <c r="AC915" s="1">
        <v>7.5152112219999999E-3</v>
      </c>
    </row>
    <row r="916" spans="29:29" x14ac:dyDescent="0.2">
      <c r="AC916" s="1">
        <v>7.5151322259999999E-3</v>
      </c>
    </row>
    <row r="917" spans="29:29" x14ac:dyDescent="0.2">
      <c r="AC917" s="1">
        <v>7.515053404E-3</v>
      </c>
    </row>
    <row r="918" spans="29:29" x14ac:dyDescent="0.2">
      <c r="AC918" s="1">
        <v>7.5149747569999998E-3</v>
      </c>
    </row>
    <row r="919" spans="29:29" x14ac:dyDescent="0.2">
      <c r="AC919" s="1">
        <v>7.5148962830000002E-3</v>
      </c>
    </row>
    <row r="920" spans="29:29" x14ac:dyDescent="0.2">
      <c r="AC920" s="1">
        <v>7.514817981E-3</v>
      </c>
    </row>
    <row r="921" spans="29:29" x14ac:dyDescent="0.2">
      <c r="AC921" s="1">
        <v>7.5147398520000004E-3</v>
      </c>
    </row>
    <row r="922" spans="29:29" x14ac:dyDescent="0.2">
      <c r="AC922" s="1">
        <v>7.5146618950000001E-3</v>
      </c>
    </row>
    <row r="923" spans="29:29" x14ac:dyDescent="0.2">
      <c r="AC923" s="1">
        <v>7.5145841090000004E-3</v>
      </c>
    </row>
    <row r="924" spans="29:29" x14ac:dyDescent="0.2">
      <c r="AC924" s="1">
        <v>7.5145064940000004E-3</v>
      </c>
    </row>
    <row r="925" spans="29:29" x14ac:dyDescent="0.2">
      <c r="AC925" s="1">
        <v>7.5144290480000002E-3</v>
      </c>
    </row>
    <row r="926" spans="29:29" x14ac:dyDescent="0.2">
      <c r="AC926" s="1">
        <v>7.5143517720000002E-3</v>
      </c>
    </row>
    <row r="927" spans="29:29" x14ac:dyDescent="0.2">
      <c r="AC927" s="1">
        <v>7.514274665E-3</v>
      </c>
    </row>
    <row r="928" spans="29:29" x14ac:dyDescent="0.2">
      <c r="AC928" s="1">
        <v>7.5141977259999999E-3</v>
      </c>
    </row>
    <row r="929" spans="29:29" x14ac:dyDescent="0.2">
      <c r="AC929" s="1">
        <v>7.5141209550000001E-3</v>
      </c>
    </row>
    <row r="930" spans="29:29" x14ac:dyDescent="0.2">
      <c r="AC930" s="1">
        <v>7.5140443520000004E-3</v>
      </c>
    </row>
    <row r="931" spans="29:29" x14ac:dyDescent="0.2">
      <c r="AC931" s="1">
        <v>7.5139679150000001E-3</v>
      </c>
    </row>
    <row r="932" spans="29:29" x14ac:dyDescent="0.2">
      <c r="AC932" s="1">
        <v>7.513891644E-3</v>
      </c>
    </row>
    <row r="933" spans="29:29" x14ac:dyDescent="0.2">
      <c r="AC933" s="1">
        <v>7.5138155390000001E-3</v>
      </c>
    </row>
    <row r="934" spans="29:29" x14ac:dyDescent="0.2">
      <c r="AC934" s="1">
        <v>7.513739599E-3</v>
      </c>
    </row>
    <row r="935" spans="29:29" x14ac:dyDescent="0.2">
      <c r="AC935" s="1">
        <v>7.513663823E-3</v>
      </c>
    </row>
    <row r="936" spans="29:29" x14ac:dyDescent="0.2">
      <c r="AC936" s="1">
        <v>7.5135882119999999E-3</v>
      </c>
    </row>
    <row r="937" spans="29:29" x14ac:dyDescent="0.2">
      <c r="AC937" s="1">
        <v>7.5135127640000004E-3</v>
      </c>
    </row>
    <row r="938" spans="29:29" x14ac:dyDescent="0.2">
      <c r="AC938" s="1">
        <v>7.5134374780000002E-3</v>
      </c>
    </row>
    <row r="939" spans="29:29" x14ac:dyDescent="0.2">
      <c r="AC939" s="1">
        <v>7.5133623560000003E-3</v>
      </c>
    </row>
    <row r="940" spans="29:29" x14ac:dyDescent="0.2">
      <c r="AC940" s="1">
        <v>7.5132873950000002E-3</v>
      </c>
    </row>
    <row r="941" spans="29:29" x14ac:dyDescent="0.2">
      <c r="AC941" s="1">
        <v>7.5132125960000002E-3</v>
      </c>
    </row>
    <row r="942" spans="29:29" x14ac:dyDescent="0.2">
      <c r="AC942" s="1">
        <v>7.5131379569999997E-3</v>
      </c>
    </row>
    <row r="943" spans="29:29" x14ac:dyDescent="0.2">
      <c r="AC943" s="1">
        <v>7.5130634789999998E-3</v>
      </c>
    </row>
    <row r="944" spans="29:29" x14ac:dyDescent="0.2">
      <c r="AC944" s="1">
        <v>7.5129891610000001E-3</v>
      </c>
    </row>
    <row r="945" spans="29:29" x14ac:dyDescent="0.2">
      <c r="AC945" s="1">
        <v>7.5129150020000002E-3</v>
      </c>
    </row>
    <row r="946" spans="29:29" x14ac:dyDescent="0.2">
      <c r="AC946" s="1">
        <v>7.5128410020000001E-3</v>
      </c>
    </row>
    <row r="947" spans="29:29" x14ac:dyDescent="0.2">
      <c r="AC947" s="1">
        <v>7.5127671600000003E-3</v>
      </c>
    </row>
    <row r="948" spans="29:29" x14ac:dyDescent="0.2">
      <c r="AC948" s="1">
        <v>7.5126934759999998E-3</v>
      </c>
    </row>
    <row r="949" spans="29:29" x14ac:dyDescent="0.2">
      <c r="AC949" s="1">
        <v>7.512619949E-3</v>
      </c>
    </row>
    <row r="950" spans="29:29" x14ac:dyDescent="0.2">
      <c r="AC950" s="1">
        <v>7.512546579E-3</v>
      </c>
    </row>
    <row r="951" spans="29:29" x14ac:dyDescent="0.2">
      <c r="AC951" s="1">
        <v>7.5124733650000003E-3</v>
      </c>
    </row>
    <row r="952" spans="29:29" x14ac:dyDescent="0.2">
      <c r="AC952" s="1">
        <v>7.5124003069999999E-3</v>
      </c>
    </row>
    <row r="953" spans="29:29" x14ac:dyDescent="0.2">
      <c r="AC953" s="1">
        <v>7.5123274049999997E-3</v>
      </c>
    </row>
    <row r="954" spans="29:29" x14ac:dyDescent="0.2">
      <c r="AC954" s="1">
        <v>7.5122546569999999E-3</v>
      </c>
    </row>
    <row r="955" spans="29:29" x14ac:dyDescent="0.2">
      <c r="AC955" s="1">
        <v>7.5121820630000002E-3</v>
      </c>
    </row>
    <row r="956" spans="29:29" x14ac:dyDescent="0.2">
      <c r="AC956" s="1">
        <v>7.5121096240000004E-3</v>
      </c>
    </row>
    <row r="957" spans="29:29" x14ac:dyDescent="0.2">
      <c r="AC957" s="1">
        <v>7.512037337E-3</v>
      </c>
    </row>
    <row r="958" spans="29:29" x14ac:dyDescent="0.2">
      <c r="AC958" s="1">
        <v>7.5119652030000003E-3</v>
      </c>
    </row>
    <row r="959" spans="29:29" x14ac:dyDescent="0.2">
      <c r="AC959" s="1">
        <v>7.5118932220000004E-3</v>
      </c>
    </row>
    <row r="960" spans="29:29" x14ac:dyDescent="0.2">
      <c r="AC960" s="1">
        <v>7.5118213929999999E-3</v>
      </c>
    </row>
    <row r="961" spans="29:29" x14ac:dyDescent="0.2">
      <c r="AC961" s="1">
        <v>7.511749715E-3</v>
      </c>
    </row>
    <row r="962" spans="29:29" x14ac:dyDescent="0.2">
      <c r="AC962" s="1">
        <v>7.511678188E-3</v>
      </c>
    </row>
    <row r="963" spans="29:29" x14ac:dyDescent="0.2">
      <c r="AC963" s="1">
        <v>7.5116068110000003E-3</v>
      </c>
    </row>
    <row r="964" spans="29:29" x14ac:dyDescent="0.2">
      <c r="AC964" s="1">
        <v>7.511535584E-3</v>
      </c>
    </row>
    <row r="965" spans="29:29" x14ac:dyDescent="0.2">
      <c r="AC965" s="1">
        <v>7.511464507E-3</v>
      </c>
    </row>
    <row r="966" spans="29:29" x14ac:dyDescent="0.2">
      <c r="AC966" s="1">
        <v>7.5113935789999997E-3</v>
      </c>
    </row>
    <row r="967" spans="29:29" x14ac:dyDescent="0.2">
      <c r="AC967" s="1">
        <v>7.5113227989999998E-3</v>
      </c>
    </row>
    <row r="968" spans="29:29" x14ac:dyDescent="0.2">
      <c r="AC968" s="1">
        <v>7.5112521670000001E-3</v>
      </c>
    </row>
    <row r="969" spans="29:29" x14ac:dyDescent="0.2">
      <c r="AC969" s="1">
        <v>7.5111816829999999E-3</v>
      </c>
    </row>
    <row r="970" spans="29:29" x14ac:dyDescent="0.2">
      <c r="AC970" s="1">
        <v>7.5111113460000004E-3</v>
      </c>
    </row>
    <row r="971" spans="29:29" x14ac:dyDescent="0.2">
      <c r="AC971" s="1">
        <v>7.5110411559999998E-3</v>
      </c>
    </row>
    <row r="972" spans="29:29" x14ac:dyDescent="0.2">
      <c r="AC972" s="1">
        <v>7.5109711120000004E-3</v>
      </c>
    </row>
    <row r="973" spans="29:29" x14ac:dyDescent="0.2">
      <c r="AC973" s="1">
        <v>7.5109012140000004E-3</v>
      </c>
    </row>
    <row r="974" spans="29:29" x14ac:dyDescent="0.2">
      <c r="AC974" s="1">
        <v>7.5108314610000003E-3</v>
      </c>
    </row>
    <row r="975" spans="29:29" x14ac:dyDescent="0.2">
      <c r="AC975" s="1">
        <v>7.510761853E-3</v>
      </c>
    </row>
    <row r="976" spans="29:29" x14ac:dyDescent="0.2">
      <c r="AC976" s="1">
        <v>7.5106923900000004E-3</v>
      </c>
    </row>
    <row r="977" spans="29:29" x14ac:dyDescent="0.2">
      <c r="AC977" s="1">
        <v>7.5106230699999998E-3</v>
      </c>
    </row>
    <row r="978" spans="29:29" x14ac:dyDescent="0.2">
      <c r="AC978" s="1">
        <v>7.5105538939999996E-3</v>
      </c>
    </row>
    <row r="979" spans="29:29" x14ac:dyDescent="0.2">
      <c r="AC979" s="1">
        <v>7.510484861E-3</v>
      </c>
    </row>
    <row r="980" spans="29:29" x14ac:dyDescent="0.2">
      <c r="AC980" s="1">
        <v>7.5104159710000003E-3</v>
      </c>
    </row>
    <row r="981" spans="29:29" x14ac:dyDescent="0.2">
      <c r="AC981" s="1">
        <v>7.5103472230000001E-3</v>
      </c>
    </row>
    <row r="982" spans="29:29" x14ac:dyDescent="0.2">
      <c r="AC982" s="1">
        <v>7.5102786159999997E-3</v>
      </c>
    </row>
    <row r="983" spans="29:29" x14ac:dyDescent="0.2">
      <c r="AC983" s="1">
        <v>7.5102101509999996E-3</v>
      </c>
    </row>
    <row r="984" spans="29:29" x14ac:dyDescent="0.2">
      <c r="AC984" s="1">
        <v>7.5101418270000003E-3</v>
      </c>
    </row>
    <row r="985" spans="29:29" x14ac:dyDescent="0.2">
      <c r="AC985" s="1">
        <v>7.5100736430000004E-3</v>
      </c>
    </row>
    <row r="986" spans="29:29" x14ac:dyDescent="0.2">
      <c r="AC986" s="1">
        <v>7.5100056000000004E-3</v>
      </c>
    </row>
    <row r="987" spans="29:29" x14ac:dyDescent="0.2">
      <c r="AC987" s="1">
        <v>7.5099376949999998E-3</v>
      </c>
    </row>
    <row r="988" spans="29:29" x14ac:dyDescent="0.2">
      <c r="AC988" s="1">
        <v>7.5098699300000004E-3</v>
      </c>
    </row>
    <row r="989" spans="29:29" x14ac:dyDescent="0.2">
      <c r="AC989" s="1">
        <v>7.509802304E-3</v>
      </c>
    </row>
    <row r="990" spans="29:29" x14ac:dyDescent="0.2">
      <c r="AC990" s="1">
        <v>7.5097348159999999E-3</v>
      </c>
    </row>
    <row r="991" spans="29:29" x14ac:dyDescent="0.2">
      <c r="AC991" s="1">
        <v>7.5096674660000001E-3</v>
      </c>
    </row>
    <row r="992" spans="29:29" x14ac:dyDescent="0.2">
      <c r="AC992" s="1">
        <v>7.5096002530000002E-3</v>
      </c>
    </row>
    <row r="993" spans="29:29" x14ac:dyDescent="0.2">
      <c r="AC993" s="1">
        <v>7.5095331779999998E-3</v>
      </c>
    </row>
    <row r="994" spans="29:29" x14ac:dyDescent="0.2">
      <c r="AC994" s="1">
        <v>7.5094662389999997E-3</v>
      </c>
    </row>
    <row r="995" spans="29:29" x14ac:dyDescent="0.2">
      <c r="AC995" s="1">
        <v>7.5093994359999999E-3</v>
      </c>
    </row>
    <row r="996" spans="29:29" x14ac:dyDescent="0.2">
      <c r="AC996" s="1">
        <v>7.5093327689999996E-3</v>
      </c>
    </row>
    <row r="997" spans="29:29" x14ac:dyDescent="0.2">
      <c r="AC997" s="1">
        <v>7.509266237E-3</v>
      </c>
    </row>
    <row r="998" spans="29:29" x14ac:dyDescent="0.2">
      <c r="AC998" s="1">
        <v>7.5091998409999999E-3</v>
      </c>
    </row>
    <row r="999" spans="29:29" x14ac:dyDescent="0.2">
      <c r="AC999" s="1">
        <v>7.5091335790000002E-3</v>
      </c>
    </row>
    <row r="1000" spans="29:29" x14ac:dyDescent="0.2">
      <c r="AC1000" s="1">
        <v>7.5090674509999998E-3</v>
      </c>
    </row>
    <row r="1001" spans="29:29" x14ac:dyDescent="0.2">
      <c r="AC1001" s="1">
        <v>7.5090014560000003E-3</v>
      </c>
    </row>
    <row r="1002" spans="29:29" x14ac:dyDescent="0.2">
      <c r="AC1002" s="1">
        <v>7.5089355950000002E-3</v>
      </c>
    </row>
    <row r="1003" spans="29:29" x14ac:dyDescent="0.2">
      <c r="AC1003" s="1">
        <v>7.5088698670000001E-3</v>
      </c>
    </row>
    <row r="1004" spans="29:29" x14ac:dyDescent="0.2">
      <c r="AC1004" s="1">
        <v>7.5088042719999998E-3</v>
      </c>
    </row>
    <row r="1005" spans="29:29" x14ac:dyDescent="0.2">
      <c r="AC1005" s="1">
        <v>7.5087388080000003E-3</v>
      </c>
    </row>
    <row r="1006" spans="29:29" x14ac:dyDescent="0.2">
      <c r="AC1006" s="1">
        <v>7.5086734769999998E-3</v>
      </c>
    </row>
    <row r="1007" spans="29:29" x14ac:dyDescent="0.2">
      <c r="AC1007" s="1">
        <v>7.5086082759999997E-3</v>
      </c>
    </row>
    <row r="1008" spans="29:29" x14ac:dyDescent="0.2">
      <c r="AC1008" s="1">
        <v>7.5085432069999999E-3</v>
      </c>
    </row>
    <row r="1009" spans="29:29" x14ac:dyDescent="0.2">
      <c r="AC1009" s="1">
        <v>7.5084782679999997E-3</v>
      </c>
    </row>
    <row r="1010" spans="29:29" x14ac:dyDescent="0.2">
      <c r="AC1010" s="1">
        <v>7.5084134589999997E-3</v>
      </c>
    </row>
    <row r="1011" spans="29:29" x14ac:dyDescent="0.2">
      <c r="AC1011" s="1">
        <v>7.5083487800000001E-3</v>
      </c>
    </row>
    <row r="1012" spans="29:29" x14ac:dyDescent="0.2">
      <c r="AC1012" s="1">
        <v>7.508284231E-3</v>
      </c>
    </row>
    <row r="1013" spans="29:29" x14ac:dyDescent="0.2">
      <c r="AC1013" s="1">
        <v>7.5082198100000002E-3</v>
      </c>
    </row>
    <row r="1014" spans="29:29" x14ac:dyDescent="0.2">
      <c r="AC1014" s="1">
        <v>7.5081555180000004E-3</v>
      </c>
    </row>
    <row r="1015" spans="29:29" x14ac:dyDescent="0.2">
      <c r="AC1015" s="1">
        <v>7.508091354E-3</v>
      </c>
    </row>
    <row r="1016" spans="29:29" x14ac:dyDescent="0.2">
      <c r="AC1016" s="1">
        <v>7.508027318E-3</v>
      </c>
    </row>
    <row r="1017" spans="29:29" x14ac:dyDescent="0.2">
      <c r="AC1017" s="1">
        <v>7.5079634100000004E-3</v>
      </c>
    </row>
    <row r="1018" spans="29:29" x14ac:dyDescent="0.2">
      <c r="AC1018" s="1">
        <v>7.5078996280000003E-3</v>
      </c>
    </row>
    <row r="1019" spans="29:29" x14ac:dyDescent="0.2">
      <c r="AC1019" s="1">
        <v>7.507835973E-3</v>
      </c>
    </row>
    <row r="1020" spans="29:29" x14ac:dyDescent="0.2">
      <c r="AC1020" s="1">
        <v>7.5077724449999998E-3</v>
      </c>
    </row>
    <row r="1021" spans="29:29" x14ac:dyDescent="0.2">
      <c r="AC1021" s="1">
        <v>7.5077090420000003E-3</v>
      </c>
    </row>
    <row r="1022" spans="29:29" x14ac:dyDescent="0.2">
      <c r="AC1022" s="1">
        <v>7.5076457650000003E-3</v>
      </c>
    </row>
    <row r="1023" spans="29:29" x14ac:dyDescent="0.2">
      <c r="AC1023" s="1">
        <v>7.5075826130000002E-3</v>
      </c>
    </row>
    <row r="1024" spans="29:29" x14ac:dyDescent="0.2">
      <c r="AC1024" s="1">
        <v>7.5075195860000001E-3</v>
      </c>
    </row>
    <row r="1025" spans="29:29" x14ac:dyDescent="0.2">
      <c r="AC1025" s="1">
        <v>7.5074566830000003E-3</v>
      </c>
    </row>
    <row r="1026" spans="29:29" x14ac:dyDescent="0.2">
      <c r="AC1026" s="1">
        <v>7.5073939049999996E-3</v>
      </c>
    </row>
    <row r="1027" spans="29:29" x14ac:dyDescent="0.2">
      <c r="AC1027" s="1">
        <v>7.5073312499999998E-3</v>
      </c>
    </row>
    <row r="1028" spans="29:29" x14ac:dyDescent="0.2">
      <c r="AC1028" s="1">
        <v>7.5072687179999998E-3</v>
      </c>
    </row>
    <row r="1029" spans="29:29" x14ac:dyDescent="0.2">
      <c r="AC1029" s="1">
        <v>7.5072063100000003E-3</v>
      </c>
    </row>
    <row r="1030" spans="29:29" x14ac:dyDescent="0.2">
      <c r="AC1030" s="1">
        <v>7.5071440240000002E-3</v>
      </c>
    </row>
    <row r="1031" spans="29:29" x14ac:dyDescent="0.2">
      <c r="AC1031" s="1">
        <v>7.5070818599999997E-3</v>
      </c>
    </row>
    <row r="1032" spans="29:29" x14ac:dyDescent="0.2">
      <c r="AC1032" s="1">
        <v>7.5070198180000004E-3</v>
      </c>
    </row>
    <row r="1033" spans="29:29" x14ac:dyDescent="0.2">
      <c r="AC1033" s="1">
        <v>7.5069578979999997E-3</v>
      </c>
    </row>
    <row r="1034" spans="29:29" x14ac:dyDescent="0.2">
      <c r="AC1034" s="1">
        <v>7.5068960989999999E-3</v>
      </c>
    </row>
    <row r="1035" spans="29:29" x14ac:dyDescent="0.2">
      <c r="AC1035" s="1">
        <v>7.506834421E-3</v>
      </c>
    </row>
    <row r="1036" spans="29:29" x14ac:dyDescent="0.2">
      <c r="AC1036" s="1">
        <v>7.5067728629999997E-3</v>
      </c>
    </row>
    <row r="1037" spans="29:29" x14ac:dyDescent="0.2">
      <c r="AC1037" s="1">
        <v>7.5067114249999997E-3</v>
      </c>
    </row>
    <row r="1038" spans="29:29" x14ac:dyDescent="0.2">
      <c r="AC1038" s="1">
        <v>7.5066501079999997E-3</v>
      </c>
    </row>
    <row r="1039" spans="29:29" x14ac:dyDescent="0.2">
      <c r="AC1039" s="1">
        <v>7.5065889090000001E-3</v>
      </c>
    </row>
    <row r="1040" spans="29:29" x14ac:dyDescent="0.2">
      <c r="AC1040" s="1">
        <v>7.50652783E-3</v>
      </c>
    </row>
    <row r="1041" spans="29:29" x14ac:dyDescent="0.2">
      <c r="AC1041" s="1">
        <v>7.5064668690000003E-3</v>
      </c>
    </row>
    <row r="1042" spans="29:29" x14ac:dyDescent="0.2">
      <c r="AC1042" s="1">
        <v>7.5064060269999996E-3</v>
      </c>
    </row>
    <row r="1043" spans="29:29" x14ac:dyDescent="0.2">
      <c r="AC1043" s="1">
        <v>7.5063453019999999E-3</v>
      </c>
    </row>
    <row r="1044" spans="29:29" x14ac:dyDescent="0.2">
      <c r="AC1044" s="1">
        <v>7.506284696E-3</v>
      </c>
    </row>
    <row r="1045" spans="29:29" x14ac:dyDescent="0.2">
      <c r="AC1045" s="1">
        <v>7.5062242059999998E-3</v>
      </c>
    </row>
    <row r="1046" spans="29:29" x14ac:dyDescent="0.2">
      <c r="AC1046" s="1">
        <v>7.5061638339999999E-3</v>
      </c>
    </row>
    <row r="1047" spans="29:29" x14ac:dyDescent="0.2">
      <c r="AC1047" s="1">
        <v>7.5061035789999999E-3</v>
      </c>
    </row>
    <row r="1048" spans="29:29" x14ac:dyDescent="0.2">
      <c r="AC1048" s="1">
        <v>7.506043439E-3</v>
      </c>
    </row>
    <row r="1049" spans="29:29" x14ac:dyDescent="0.2">
      <c r="AC1049" s="1">
        <v>7.505983416E-3</v>
      </c>
    </row>
    <row r="1050" spans="29:29" x14ac:dyDescent="0.2">
      <c r="AC1050" s="1">
        <v>7.505923508E-3</v>
      </c>
    </row>
    <row r="1051" spans="29:29" x14ac:dyDescent="0.2">
      <c r="AC1051" s="1">
        <v>7.5058637160000004E-3</v>
      </c>
    </row>
    <row r="1052" spans="29:29" x14ac:dyDescent="0.2">
      <c r="AC1052" s="1">
        <v>7.5058040389999999E-3</v>
      </c>
    </row>
    <row r="1053" spans="29:29" x14ac:dyDescent="0.2">
      <c r="AC1053" s="1">
        <v>7.5057444759999998E-3</v>
      </c>
    </row>
    <row r="1054" spans="29:29" x14ac:dyDescent="0.2">
      <c r="AC1054" s="1">
        <v>7.5056850279999997E-3</v>
      </c>
    </row>
    <row r="1055" spans="29:29" x14ac:dyDescent="0.2">
      <c r="AC1055" s="1">
        <v>7.505625694E-3</v>
      </c>
    </row>
    <row r="1056" spans="29:29" x14ac:dyDescent="0.2">
      <c r="AC1056" s="1">
        <v>7.5055664730000003E-3</v>
      </c>
    </row>
    <row r="1057" spans="29:29" x14ac:dyDescent="0.2">
      <c r="AC1057" s="1">
        <v>7.5055073660000001E-3</v>
      </c>
    </row>
    <row r="1058" spans="29:29" x14ac:dyDescent="0.2">
      <c r="AC1058" s="1">
        <v>7.5054483710000003E-3</v>
      </c>
    </row>
    <row r="1059" spans="29:29" x14ac:dyDescent="0.2">
      <c r="AC1059" s="1">
        <v>7.5053894900000001E-3</v>
      </c>
    </row>
    <row r="1060" spans="29:29" x14ac:dyDescent="0.2">
      <c r="AC1060" s="1">
        <v>7.5053307210000003E-3</v>
      </c>
    </row>
    <row r="1061" spans="29:29" x14ac:dyDescent="0.2">
      <c r="AC1061" s="1">
        <v>7.5052720629999996E-3</v>
      </c>
    </row>
    <row r="1062" spans="29:29" x14ac:dyDescent="0.2">
      <c r="AC1062" s="1">
        <v>7.5052135179999998E-3</v>
      </c>
    </row>
    <row r="1063" spans="29:29" x14ac:dyDescent="0.2">
      <c r="AC1063" s="1">
        <v>7.505155084E-3</v>
      </c>
    </row>
    <row r="1064" spans="29:29" x14ac:dyDescent="0.2">
      <c r="AC1064" s="1">
        <v>7.5050967610000002E-3</v>
      </c>
    </row>
    <row r="1065" spans="29:29" x14ac:dyDescent="0.2">
      <c r="AC1065" s="1">
        <v>7.5050385490000003E-3</v>
      </c>
    </row>
    <row r="1066" spans="29:29" x14ac:dyDescent="0.2">
      <c r="AC1066" s="1">
        <v>7.504980447E-3</v>
      </c>
    </row>
    <row r="1067" spans="29:29" x14ac:dyDescent="0.2">
      <c r="AC1067" s="1">
        <v>7.5049224559999997E-3</v>
      </c>
    </row>
    <row r="1068" spans="29:29" x14ac:dyDescent="0.2">
      <c r="AC1068" s="1">
        <v>7.5048645740000003E-3</v>
      </c>
    </row>
    <row r="1069" spans="29:29" x14ac:dyDescent="0.2">
      <c r="AC1069" s="1">
        <v>7.5048068020000004E-3</v>
      </c>
    </row>
    <row r="1070" spans="29:29" x14ac:dyDescent="0.2">
      <c r="AC1070" s="1">
        <v>7.5047491389999997E-3</v>
      </c>
    </row>
    <row r="1071" spans="29:29" x14ac:dyDescent="0.2">
      <c r="AC1071" s="1">
        <v>7.5046915849999998E-3</v>
      </c>
    </row>
    <row r="1072" spans="29:29" x14ac:dyDescent="0.2">
      <c r="AC1072" s="1">
        <v>7.5046341390000004E-3</v>
      </c>
    </row>
    <row r="1073" spans="29:29" x14ac:dyDescent="0.2">
      <c r="AC1073" s="1">
        <v>7.504576802E-3</v>
      </c>
    </row>
    <row r="1074" spans="29:29" x14ac:dyDescent="0.2">
      <c r="AC1074" s="1">
        <v>7.5045195730000002E-3</v>
      </c>
    </row>
    <row r="1075" spans="29:29" x14ac:dyDescent="0.2">
      <c r="AC1075" s="1">
        <v>7.5044624510000003E-3</v>
      </c>
    </row>
    <row r="1076" spans="29:29" x14ac:dyDescent="0.2">
      <c r="AC1076" s="1">
        <v>7.504405437E-3</v>
      </c>
    </row>
    <row r="1077" spans="29:29" x14ac:dyDescent="0.2">
      <c r="AC1077" s="1">
        <v>7.5043485299999997E-3</v>
      </c>
    </row>
    <row r="1078" spans="29:29" x14ac:dyDescent="0.2">
      <c r="AC1078" s="1">
        <v>7.5042917300000003E-3</v>
      </c>
    </row>
    <row r="1079" spans="29:29" x14ac:dyDescent="0.2">
      <c r="AC1079" s="1">
        <v>7.5042350359999996E-3</v>
      </c>
    </row>
    <row r="1080" spans="29:29" x14ac:dyDescent="0.2">
      <c r="AC1080" s="1">
        <v>7.5041784480000002E-3</v>
      </c>
    </row>
    <row r="1081" spans="29:29" x14ac:dyDescent="0.2">
      <c r="AC1081" s="1">
        <v>7.5041219660000004E-3</v>
      </c>
    </row>
    <row r="1082" spans="29:29" x14ac:dyDescent="0.2">
      <c r="AC1082" s="1">
        <v>7.5040655900000001E-3</v>
      </c>
    </row>
    <row r="1083" spans="29:29" x14ac:dyDescent="0.2">
      <c r="AC1083" s="1">
        <v>7.5040093189999999E-3</v>
      </c>
    </row>
    <row r="1084" spans="29:29" x14ac:dyDescent="0.2">
      <c r="AC1084" s="1">
        <v>7.5039531529999997E-3</v>
      </c>
    </row>
    <row r="1085" spans="29:29" x14ac:dyDescent="0.2">
      <c r="AC1085" s="1">
        <v>7.5038970920000003E-3</v>
      </c>
    </row>
    <row r="1086" spans="29:29" x14ac:dyDescent="0.2">
      <c r="AC1086" s="1">
        <v>7.5038411349999997E-3</v>
      </c>
    </row>
    <row r="1087" spans="29:29" x14ac:dyDescent="0.2">
      <c r="AC1087" s="1">
        <v>7.503785283E-3</v>
      </c>
    </row>
    <row r="1088" spans="29:29" x14ac:dyDescent="0.2">
      <c r="AC1088" s="1">
        <v>7.5037295340000002E-3</v>
      </c>
    </row>
    <row r="1089" spans="29:29" x14ac:dyDescent="0.2">
      <c r="AC1089" s="1">
        <v>7.5036738879999997E-3</v>
      </c>
    </row>
    <row r="1090" spans="29:29" x14ac:dyDescent="0.2">
      <c r="AC1090" s="1">
        <v>7.5036183459999996E-3</v>
      </c>
    </row>
    <row r="1091" spans="29:29" x14ac:dyDescent="0.2">
      <c r="AC1091" s="1">
        <v>7.5035629070000004E-3</v>
      </c>
    </row>
    <row r="1092" spans="29:29" x14ac:dyDescent="0.2">
      <c r="AC1092" s="1">
        <v>7.5035075699999999E-3</v>
      </c>
    </row>
    <row r="1093" spans="29:29" x14ac:dyDescent="0.2">
      <c r="AC1093" s="1">
        <v>7.5034523360000003E-3</v>
      </c>
    </row>
    <row r="1094" spans="29:29" x14ac:dyDescent="0.2">
      <c r="AC1094" s="1">
        <v>7.5033972040000002E-3</v>
      </c>
    </row>
    <row r="1095" spans="29:29" x14ac:dyDescent="0.2">
      <c r="AC1095" s="1">
        <v>7.5033421739999998E-3</v>
      </c>
    </row>
    <row r="1096" spans="29:29" x14ac:dyDescent="0.2">
      <c r="AC1096" s="1">
        <v>7.5032872450000003E-3</v>
      </c>
    </row>
    <row r="1097" spans="29:29" x14ac:dyDescent="0.2">
      <c r="AC1097" s="1">
        <v>7.5032324180000004E-3</v>
      </c>
    </row>
    <row r="1098" spans="29:29" x14ac:dyDescent="0.2">
      <c r="AC1098" s="1">
        <v>7.503177691E-3</v>
      </c>
    </row>
    <row r="1099" spans="29:29" x14ac:dyDescent="0.2">
      <c r="AC1099" s="1">
        <v>7.5031230660000002E-3</v>
      </c>
    </row>
    <row r="1100" spans="29:29" x14ac:dyDescent="0.2">
      <c r="AC1100" s="1">
        <v>7.5030685400000003E-3</v>
      </c>
    </row>
    <row r="1101" spans="29:29" x14ac:dyDescent="0.2">
      <c r="AC1101" s="1">
        <v>7.5030141149999997E-3</v>
      </c>
    </row>
    <row r="1102" spans="29:29" x14ac:dyDescent="0.2">
      <c r="AC1102" s="1">
        <v>7.5029597900000003E-3</v>
      </c>
    </row>
    <row r="1103" spans="29:29" x14ac:dyDescent="0.2">
      <c r="AC1103" s="1">
        <v>7.5029055640000002E-3</v>
      </c>
    </row>
    <row r="1104" spans="29:29" x14ac:dyDescent="0.2">
      <c r="AC1104" s="1">
        <v>7.502851437E-3</v>
      </c>
    </row>
    <row r="1105" spans="29:29" x14ac:dyDescent="0.2">
      <c r="AC1105" s="1">
        <v>7.5027974100000004E-3</v>
      </c>
    </row>
    <row r="1106" spans="29:29" x14ac:dyDescent="0.2">
      <c r="AC1106" s="1">
        <v>7.5027434810000003E-3</v>
      </c>
    </row>
    <row r="1107" spans="29:29" x14ac:dyDescent="0.2">
      <c r="AC1107" s="1">
        <v>7.5026896510000003E-3</v>
      </c>
    </row>
    <row r="1108" spans="29:29" x14ac:dyDescent="0.2">
      <c r="AC1108" s="1">
        <v>7.5026359189999999E-3</v>
      </c>
    </row>
    <row r="1109" spans="29:29" x14ac:dyDescent="0.2">
      <c r="AC1109" s="1">
        <v>7.502582285E-3</v>
      </c>
    </row>
    <row r="1110" spans="29:29" x14ac:dyDescent="0.2">
      <c r="AC1110" s="1">
        <v>7.5025287489999997E-3</v>
      </c>
    </row>
    <row r="1111" spans="29:29" x14ac:dyDescent="0.2">
      <c r="AC1111" s="1">
        <v>7.5024753100000003E-3</v>
      </c>
    </row>
    <row r="1112" spans="29:29" x14ac:dyDescent="0.2">
      <c r="AC1112" s="1">
        <v>7.5024219689999996E-3</v>
      </c>
    </row>
    <row r="1113" spans="29:29" x14ac:dyDescent="0.2">
      <c r="AC1113" s="1">
        <v>7.5023687240000003E-3</v>
      </c>
    </row>
    <row r="1114" spans="29:29" x14ac:dyDescent="0.2">
      <c r="AC1114" s="1">
        <v>7.5023155760000002E-3</v>
      </c>
    </row>
    <row r="1115" spans="29:29" x14ac:dyDescent="0.2">
      <c r="AC1115" s="1">
        <v>7.5022625239999996E-3</v>
      </c>
    </row>
    <row r="1116" spans="29:29" x14ac:dyDescent="0.2">
      <c r="AC1116" s="1">
        <v>7.502209569E-3</v>
      </c>
    </row>
    <row r="1117" spans="29:29" x14ac:dyDescent="0.2">
      <c r="AC1117" s="1">
        <v>7.5021567089999996E-3</v>
      </c>
    </row>
    <row r="1118" spans="29:29" x14ac:dyDescent="0.2">
      <c r="AC1118" s="1">
        <v>7.5021039449999997E-3</v>
      </c>
    </row>
    <row r="1119" spans="29:29" x14ac:dyDescent="0.2">
      <c r="AC1119" s="1">
        <v>7.5020512759999998E-3</v>
      </c>
    </row>
    <row r="1120" spans="29:29" x14ac:dyDescent="0.2">
      <c r="AC1120" s="1">
        <v>7.501998702E-3</v>
      </c>
    </row>
    <row r="1121" spans="29:29" x14ac:dyDescent="0.2">
      <c r="AC1121" s="1">
        <v>7.5019462230000002E-3</v>
      </c>
    </row>
    <row r="1122" spans="29:29" x14ac:dyDescent="0.2">
      <c r="AC1122" s="1">
        <v>7.5018938389999996E-3</v>
      </c>
    </row>
    <row r="1123" spans="29:29" x14ac:dyDescent="0.2">
      <c r="AC1123" s="1">
        <v>7.5018415490000004E-3</v>
      </c>
    </row>
    <row r="1124" spans="29:29" x14ac:dyDescent="0.2">
      <c r="AC1124" s="1">
        <v>7.5017893529999999E-3</v>
      </c>
    </row>
    <row r="1125" spans="29:29" x14ac:dyDescent="0.2">
      <c r="AC1125" s="1">
        <v>7.5017372500000004E-3</v>
      </c>
    </row>
    <row r="1126" spans="29:29" x14ac:dyDescent="0.2">
      <c r="AC1126" s="1">
        <v>7.501685242E-3</v>
      </c>
    </row>
    <row r="1127" spans="29:29" x14ac:dyDescent="0.2">
      <c r="AC1127" s="1">
        <v>7.5016333260000002E-3</v>
      </c>
    </row>
    <row r="1128" spans="29:29" x14ac:dyDescent="0.2">
      <c r="AC1128" s="1">
        <v>7.5015815039999999E-3</v>
      </c>
    </row>
    <row r="1129" spans="29:29" x14ac:dyDescent="0.2">
      <c r="AC1129" s="1">
        <v>7.5015297740000002E-3</v>
      </c>
    </row>
    <row r="1130" spans="29:29" x14ac:dyDescent="0.2">
      <c r="AC1130" s="1">
        <v>7.5014781369999997E-3</v>
      </c>
    </row>
    <row r="1131" spans="29:29" x14ac:dyDescent="0.2">
      <c r="AC1131" s="1">
        <v>7.5014265930000001E-3</v>
      </c>
    </row>
    <row r="1132" spans="29:29" x14ac:dyDescent="0.2">
      <c r="AC1132" s="1">
        <v>7.5013751399999997E-3</v>
      </c>
    </row>
    <row r="1133" spans="29:29" x14ac:dyDescent="0.2">
      <c r="AC1133" s="1">
        <v>7.5013237789999998E-3</v>
      </c>
    </row>
    <row r="1134" spans="29:29" x14ac:dyDescent="0.2">
      <c r="AC1134" s="1">
        <v>7.5012725100000004E-3</v>
      </c>
    </row>
    <row r="1135" spans="29:29" x14ac:dyDescent="0.2">
      <c r="AC1135" s="1">
        <v>7.5012213320000002E-3</v>
      </c>
    </row>
    <row r="1136" spans="29:29" x14ac:dyDescent="0.2">
      <c r="AC1136" s="1">
        <v>7.501170245E-3</v>
      </c>
    </row>
    <row r="1137" spans="29:29" x14ac:dyDescent="0.2">
      <c r="AC1137" s="1">
        <v>7.501119249E-3</v>
      </c>
    </row>
    <row r="1138" spans="29:29" x14ac:dyDescent="0.2">
      <c r="AC1138" s="1">
        <v>7.5010683430000004E-3</v>
      </c>
    </row>
    <row r="1139" spans="29:29" x14ac:dyDescent="0.2">
      <c r="AC1139" s="1">
        <v>7.5010175280000001E-3</v>
      </c>
    </row>
    <row r="1140" spans="29:29" x14ac:dyDescent="0.2">
      <c r="AC1140" s="1">
        <v>7.5009668030000002E-3</v>
      </c>
    </row>
    <row r="1141" spans="29:29" x14ac:dyDescent="0.2">
      <c r="AC1141" s="1">
        <v>7.5009161669999996E-3</v>
      </c>
    </row>
    <row r="1142" spans="29:29" x14ac:dyDescent="0.2">
      <c r="AC1142" s="1">
        <v>7.5008656219999999E-3</v>
      </c>
    </row>
    <row r="1143" spans="29:29" x14ac:dyDescent="0.2">
      <c r="AC1143" s="1">
        <v>7.5008151660000003E-3</v>
      </c>
    </row>
    <row r="1144" spans="29:29" x14ac:dyDescent="0.2">
      <c r="AC1144" s="1">
        <v>7.5007647980000003E-3</v>
      </c>
    </row>
    <row r="1145" spans="29:29" x14ac:dyDescent="0.2">
      <c r="AC1145" s="1">
        <v>7.50071452E-3</v>
      </c>
    </row>
    <row r="1146" spans="29:29" x14ac:dyDescent="0.2">
      <c r="AC1146" s="1">
        <v>7.5006643309999997E-3</v>
      </c>
    </row>
    <row r="1147" spans="29:29" x14ac:dyDescent="0.2">
      <c r="AC1147" s="1">
        <v>7.50061423E-3</v>
      </c>
    </row>
    <row r="1148" spans="29:29" x14ac:dyDescent="0.2">
      <c r="AC1148" s="1">
        <v>7.5005642169999999E-3</v>
      </c>
    </row>
    <row r="1149" spans="29:29" x14ac:dyDescent="0.2">
      <c r="AC1149" s="1">
        <v>7.5005142920000004E-3</v>
      </c>
    </row>
    <row r="1150" spans="29:29" x14ac:dyDescent="0.2">
      <c r="AC1150" s="1">
        <v>7.5004644549999996E-3</v>
      </c>
    </row>
    <row r="1151" spans="29:29" x14ac:dyDescent="0.2">
      <c r="AC1151" s="1">
        <v>7.5004147049999997E-3</v>
      </c>
    </row>
    <row r="1152" spans="29:29" x14ac:dyDescent="0.2">
      <c r="AC1152" s="1">
        <v>7.5003650430000004E-3</v>
      </c>
    </row>
    <row r="1153" spans="29:29" x14ac:dyDescent="0.2">
      <c r="AC1153" s="1">
        <v>7.5003154680000003E-3</v>
      </c>
    </row>
    <row r="1154" spans="29:29" x14ac:dyDescent="0.2">
      <c r="AC1154" s="1">
        <v>7.5002659789999999E-3</v>
      </c>
    </row>
    <row r="1155" spans="29:29" x14ac:dyDescent="0.2">
      <c r="AC1155" s="1">
        <v>7.5002165770000004E-3</v>
      </c>
    </row>
    <row r="1156" spans="29:29" x14ac:dyDescent="0.2">
      <c r="AC1156" s="1">
        <v>7.5001672620000001E-3</v>
      </c>
    </row>
    <row r="1157" spans="29:29" x14ac:dyDescent="0.2">
      <c r="AC1157" s="1">
        <v>7.5001180319999999E-3</v>
      </c>
    </row>
    <row r="1158" spans="29:29" x14ac:dyDescent="0.2">
      <c r="AC1158" s="1">
        <v>7.5000688889999998E-3</v>
      </c>
    </row>
    <row r="1159" spans="29:29" x14ac:dyDescent="0.2">
      <c r="AC1159" s="1">
        <v>7.5000198309999998E-3</v>
      </c>
    </row>
    <row r="1160" spans="29:29" x14ac:dyDescent="0.2">
      <c r="AC1160" s="1">
        <v>7.4999708590000004E-3</v>
      </c>
    </row>
    <row r="1161" spans="29:29" x14ac:dyDescent="0.2">
      <c r="AC1161" s="1">
        <v>7.4999219720000001E-3</v>
      </c>
    </row>
    <row r="1162" spans="29:29" x14ac:dyDescent="0.2">
      <c r="AC1162" s="1">
        <v>7.49987317E-3</v>
      </c>
    </row>
    <row r="1163" spans="29:29" x14ac:dyDescent="0.2">
      <c r="AC1163" s="1">
        <v>7.4998244529999999E-3</v>
      </c>
    </row>
    <row r="1164" spans="29:29" x14ac:dyDescent="0.2">
      <c r="AC1164" s="1">
        <v>7.4997758200000004E-3</v>
      </c>
    </row>
    <row r="1165" spans="29:29" x14ac:dyDescent="0.2">
      <c r="AC1165" s="1">
        <v>7.4997272720000001E-3</v>
      </c>
    </row>
    <row r="1166" spans="29:29" x14ac:dyDescent="0.2">
      <c r="AC1166" s="1">
        <v>7.4996788080000003E-3</v>
      </c>
    </row>
    <row r="1167" spans="29:29" x14ac:dyDescent="0.2">
      <c r="AC1167" s="1">
        <v>7.4996304269999998E-3</v>
      </c>
    </row>
    <row r="1168" spans="29:29" x14ac:dyDescent="0.2">
      <c r="AC1168" s="1">
        <v>7.4995821310000002E-3</v>
      </c>
    </row>
    <row r="1169" spans="29:29" x14ac:dyDescent="0.2">
      <c r="AC1169" s="1">
        <v>7.4995339179999999E-3</v>
      </c>
    </row>
    <row r="1170" spans="29:29" x14ac:dyDescent="0.2">
      <c r="AC1170" s="1">
        <v>7.4994857879999996E-3</v>
      </c>
    </row>
    <row r="1171" spans="29:29" x14ac:dyDescent="0.2">
      <c r="AC1171" s="1">
        <v>7.4994377419999999E-3</v>
      </c>
    </row>
    <row r="1172" spans="29:29" x14ac:dyDescent="0.2">
      <c r="AC1172" s="1">
        <v>7.4993897779999999E-3</v>
      </c>
    </row>
    <row r="1173" spans="29:29" x14ac:dyDescent="0.2">
      <c r="AC1173" s="1">
        <v>7.499341897E-3</v>
      </c>
    </row>
    <row r="1174" spans="29:29" x14ac:dyDescent="0.2">
      <c r="AC1174" s="1">
        <v>7.4992940979999997E-3</v>
      </c>
    </row>
    <row r="1175" spans="29:29" x14ac:dyDescent="0.2">
      <c r="AC1175" s="1">
        <v>7.499246381E-3</v>
      </c>
    </row>
    <row r="1176" spans="29:29" x14ac:dyDescent="0.2">
      <c r="AC1176" s="1">
        <v>7.4991987470000004E-3</v>
      </c>
    </row>
    <row r="1177" spans="29:29" x14ac:dyDescent="0.2">
      <c r="AC1177" s="1">
        <v>7.499151194E-3</v>
      </c>
    </row>
    <row r="1178" spans="29:29" x14ac:dyDescent="0.2">
      <c r="AC1178" s="1">
        <v>7.4991037219999997E-3</v>
      </c>
    </row>
    <row r="1179" spans="29:29" x14ac:dyDescent="0.2">
      <c r="AC1179" s="1">
        <v>7.499056332E-3</v>
      </c>
    </row>
    <row r="1180" spans="29:29" x14ac:dyDescent="0.2">
      <c r="AC1180" s="1">
        <v>7.499009024E-3</v>
      </c>
    </row>
    <row r="1181" spans="29:29" x14ac:dyDescent="0.2">
      <c r="AC1181" s="1">
        <v>7.4989617959999996E-3</v>
      </c>
    </row>
    <row r="1182" spans="29:29" x14ac:dyDescent="0.2">
      <c r="AC1182" s="1">
        <v>7.4989146490000002E-3</v>
      </c>
    </row>
    <row r="1183" spans="29:29" x14ac:dyDescent="0.2">
      <c r="AC1183" s="1">
        <v>7.498867583E-3</v>
      </c>
    </row>
    <row r="1184" spans="29:29" x14ac:dyDescent="0.2">
      <c r="AC1184" s="1">
        <v>7.4988205969999996E-3</v>
      </c>
    </row>
    <row r="1185" spans="29:29" x14ac:dyDescent="0.2">
      <c r="AC1185" s="1">
        <v>7.4987736909999997E-3</v>
      </c>
    </row>
    <row r="1186" spans="29:29" x14ac:dyDescent="0.2">
      <c r="AC1186" s="1">
        <v>7.4987268639999998E-3</v>
      </c>
    </row>
    <row r="1187" spans="29:29" x14ac:dyDescent="0.2">
      <c r="AC1187" s="1">
        <v>7.4986801180000002E-3</v>
      </c>
    </row>
    <row r="1188" spans="29:29" x14ac:dyDescent="0.2">
      <c r="AC1188" s="1">
        <v>7.4986334500000001E-3</v>
      </c>
    </row>
    <row r="1189" spans="29:29" x14ac:dyDescent="0.2">
      <c r="AC1189" s="1">
        <v>7.4985868619999998E-3</v>
      </c>
    </row>
    <row r="1190" spans="29:29" x14ac:dyDescent="0.2">
      <c r="AC1190" s="1">
        <v>7.498540352E-3</v>
      </c>
    </row>
    <row r="1191" spans="29:29" x14ac:dyDescent="0.2">
      <c r="AC1191" s="1">
        <v>7.498493922E-3</v>
      </c>
    </row>
    <row r="1192" spans="29:29" x14ac:dyDescent="0.2">
      <c r="AC1192" s="1">
        <v>7.498447571E-3</v>
      </c>
    </row>
    <row r="1193" spans="29:29" x14ac:dyDescent="0.2">
      <c r="AC1193" s="1">
        <v>7.4984012990000001E-3</v>
      </c>
    </row>
    <row r="1194" spans="29:29" x14ac:dyDescent="0.2">
      <c r="AC1194" s="1">
        <v>7.498355107E-3</v>
      </c>
    </row>
    <row r="1195" spans="29:29" x14ac:dyDescent="0.2">
      <c r="AC1195" s="1">
        <v>7.4983089939999999E-3</v>
      </c>
    </row>
    <row r="1196" spans="29:29" x14ac:dyDescent="0.2">
      <c r="AC1196" s="1">
        <v>7.4982629590000004E-3</v>
      </c>
    </row>
    <row r="1197" spans="29:29" x14ac:dyDescent="0.2">
      <c r="AC1197" s="1">
        <v>7.4982170010000002E-3</v>
      </c>
    </row>
    <row r="1198" spans="29:29" x14ac:dyDescent="0.2">
      <c r="AC1198" s="1">
        <v>7.4981711180000001E-3</v>
      </c>
    </row>
    <row r="1199" spans="29:29" x14ac:dyDescent="0.2">
      <c r="AC1199" s="1">
        <v>7.4981253100000001E-3</v>
      </c>
    </row>
    <row r="1200" spans="29:29" x14ac:dyDescent="0.2">
      <c r="AC1200" s="1">
        <v>7.4980795750000002E-3</v>
      </c>
    </row>
    <row r="1201" spans="29:29" x14ac:dyDescent="0.2">
      <c r="AC1201" s="1">
        <v>7.4980339120000001E-3</v>
      </c>
    </row>
    <row r="1202" spans="29:29" x14ac:dyDescent="0.2">
      <c r="AC1202" s="1">
        <v>7.4979883240000001E-3</v>
      </c>
    </row>
    <row r="1203" spans="29:29" x14ac:dyDescent="0.2">
      <c r="AC1203" s="1">
        <v>7.4979428170000003E-3</v>
      </c>
    </row>
    <row r="1204" spans="29:29" x14ac:dyDescent="0.2">
      <c r="AC1204" s="1">
        <v>7.4978973929999996E-3</v>
      </c>
    </row>
    <row r="1205" spans="29:29" x14ac:dyDescent="0.2">
      <c r="AC1205" s="1">
        <v>7.4978520559999999E-3</v>
      </c>
    </row>
    <row r="1206" spans="29:29" x14ac:dyDescent="0.2">
      <c r="AC1206" s="1">
        <v>7.4978068120000003E-3</v>
      </c>
    </row>
    <row r="1207" spans="29:29" x14ac:dyDescent="0.2">
      <c r="AC1207" s="1">
        <v>7.4977616600000003E-3</v>
      </c>
    </row>
    <row r="1208" spans="29:29" x14ac:dyDescent="0.2">
      <c r="AC1208" s="1">
        <v>7.4977165869999996E-3</v>
      </c>
    </row>
    <row r="1209" spans="29:29" x14ac:dyDescent="0.2">
      <c r="AC1209" s="1">
        <v>7.4976715789999999E-3</v>
      </c>
    </row>
    <row r="1210" spans="29:29" x14ac:dyDescent="0.2">
      <c r="AC1210" s="1">
        <v>7.4976266180000004E-3</v>
      </c>
    </row>
    <row r="1211" spans="29:29" x14ac:dyDescent="0.2">
      <c r="AC1211" s="1">
        <v>7.497581689E-3</v>
      </c>
    </row>
    <row r="1212" spans="29:29" x14ac:dyDescent="0.2">
      <c r="AC1212" s="1">
        <v>7.4975367769999999E-3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7:I60"/>
  <sheetViews>
    <sheetView workbookViewId="0">
      <selection activeCell="C7" sqref="C7:I60"/>
    </sheetView>
  </sheetViews>
  <sheetFormatPr defaultColWidth="11" defaultRowHeight="14.25" x14ac:dyDescent="0.2"/>
  <sheetData>
    <row r="7" spans="3:9" x14ac:dyDescent="0.2">
      <c r="D7">
        <v>0.25</v>
      </c>
      <c r="E7">
        <v>3.2600000000000003E-3</v>
      </c>
    </row>
    <row r="8" spans="3:9" x14ac:dyDescent="0.2">
      <c r="D8">
        <v>0.5</v>
      </c>
      <c r="E8">
        <v>3.2600000000000003E-3</v>
      </c>
    </row>
    <row r="9" spans="3:9" x14ac:dyDescent="0.2">
      <c r="D9">
        <v>0.75</v>
      </c>
      <c r="E9">
        <v>3.2600000000000003E-3</v>
      </c>
    </row>
    <row r="10" spans="3:9" x14ac:dyDescent="0.2">
      <c r="C10">
        <f>D10*12</f>
        <v>12</v>
      </c>
      <c r="D10">
        <v>1</v>
      </c>
      <c r="E10">
        <v>3.2600000000000003E-3</v>
      </c>
      <c r="F10" s="9">
        <f>E10</f>
        <v>3.2600000000000003E-3</v>
      </c>
      <c r="G10">
        <f>EXP(-E10*D10)</f>
        <v>0.99674530803037364</v>
      </c>
      <c r="H10">
        <f>VLOOKUP(C10,Output!B12:O731,14,FALSE)</f>
        <v>4.9959559243672818E-4</v>
      </c>
      <c r="I10" s="10">
        <f>(H10-F10)*10000</f>
        <v>-27.604044075632725</v>
      </c>
    </row>
    <row r="11" spans="3:9" x14ac:dyDescent="0.2">
      <c r="C11">
        <f t="shared" ref="C11:C60" si="0">D11*12</f>
        <v>24</v>
      </c>
      <c r="D11">
        <v>2</v>
      </c>
      <c r="E11">
        <v>3.7499999999999999E-3</v>
      </c>
      <c r="F11" s="9">
        <f>-LN(G11)/D11</f>
        <v>3.7438920976589152E-3</v>
      </c>
      <c r="G11">
        <f>(1-E11*SUM($G$10:G10))/(1+E11)</f>
        <v>0.99254017942205341</v>
      </c>
      <c r="H11">
        <f>VLOOKUP(C11,Output!B13:O732,14,FALSE)</f>
        <v>4.9770544571274783E-4</v>
      </c>
      <c r="I11" s="10">
        <f t="shared" ref="I11:I60" si="1">(H11-F11)*10000</f>
        <v>-32.461866519461672</v>
      </c>
    </row>
    <row r="12" spans="3:9" x14ac:dyDescent="0.2">
      <c r="C12">
        <f t="shared" si="0"/>
        <v>36</v>
      </c>
      <c r="D12">
        <v>3</v>
      </c>
      <c r="E12">
        <v>4.6899999999999997E-3</v>
      </c>
      <c r="F12" s="9">
        <f t="shared" ref="F12:F60" si="2">-LN(G12)/D12</f>
        <v>4.6841932897120813E-3</v>
      </c>
      <c r="G12">
        <f>(1-E12*SUM($G$10:G11))/(1+E12)</f>
        <v>0.98604569674610876</v>
      </c>
      <c r="H12">
        <f>VLOOKUP(C12,Output!B14:O733,14,FALSE)</f>
        <v>4.9683885268416686E-4</v>
      </c>
      <c r="I12" s="10">
        <f t="shared" si="1"/>
        <v>-41.873544370279149</v>
      </c>
    </row>
    <row r="13" spans="3:9" x14ac:dyDescent="0.2">
      <c r="C13">
        <f t="shared" si="0"/>
        <v>48</v>
      </c>
      <c r="D13">
        <v>4</v>
      </c>
      <c r="E13">
        <v>6.0400000000000002E-3</v>
      </c>
      <c r="F13" s="9">
        <f t="shared" si="2"/>
        <v>6.0390680432491134E-3</v>
      </c>
      <c r="G13">
        <f>(1-E13*SUM($G$10:G12))/(1+E13)</f>
        <v>0.97613315538889189</v>
      </c>
      <c r="H13">
        <f>VLOOKUP(C13,Output!B15:O734,14,FALSE)</f>
        <v>4.9502341117598631E-4</v>
      </c>
      <c r="I13" s="10">
        <f t="shared" si="1"/>
        <v>-55.440446320731269</v>
      </c>
    </row>
    <row r="14" spans="3:9" x14ac:dyDescent="0.2">
      <c r="C14">
        <f t="shared" si="0"/>
        <v>60</v>
      </c>
      <c r="D14">
        <v>5</v>
      </c>
      <c r="E14">
        <v>7.6600000000000001E-3</v>
      </c>
      <c r="F14" s="9">
        <f t="shared" si="2"/>
        <v>7.6733138183242263E-3</v>
      </c>
      <c r="G14">
        <f>(1-E14*SUM($G$10:G13))/(1+E14)</f>
        <v>0.96236010475632683</v>
      </c>
      <c r="H14">
        <f>VLOOKUP(C14,Output!B16:O735,14,FALSE)</f>
        <v>4.9344596409322053E-4</v>
      </c>
      <c r="I14" s="10">
        <f t="shared" si="1"/>
        <v>-71.798678542310057</v>
      </c>
    </row>
    <row r="15" spans="3:9" x14ac:dyDescent="0.2">
      <c r="C15">
        <f t="shared" si="0"/>
        <v>72</v>
      </c>
      <c r="D15">
        <v>6</v>
      </c>
      <c r="E15">
        <v>9.4799999999999988E-3</v>
      </c>
      <c r="F15" s="9">
        <f t="shared" si="2"/>
        <v>9.5230517818933134E-3</v>
      </c>
      <c r="G15">
        <f>(1-E15*SUM($G$10:G14))/(1+E15)</f>
        <v>0.94446343094228846</v>
      </c>
      <c r="H15">
        <f>VLOOKUP(C15,Output!B17:O736,14,FALSE)</f>
        <v>4.9197575624927833E-4</v>
      </c>
      <c r="I15" s="10">
        <f t="shared" si="1"/>
        <v>-90.310760256440346</v>
      </c>
    </row>
    <row r="16" spans="3:9" x14ac:dyDescent="0.2">
      <c r="C16">
        <f t="shared" si="0"/>
        <v>84</v>
      </c>
      <c r="D16">
        <v>7</v>
      </c>
      <c r="E16">
        <v>1.1240000000000002E-2</v>
      </c>
      <c r="F16" s="9">
        <f t="shared" si="2"/>
        <v>1.1327501412923532E-2</v>
      </c>
      <c r="G16">
        <f>(1-E16*SUM($G$10:G15))/(1+E16)</f>
        <v>0.92376967315551684</v>
      </c>
      <c r="H16">
        <f>VLOOKUP(C16,Output!B18:O737,14,FALSE)</f>
        <v>4.917119061483182E-4</v>
      </c>
      <c r="I16" s="10">
        <f t="shared" si="1"/>
        <v>-108.35789506775214</v>
      </c>
    </row>
    <row r="17" spans="3:9" x14ac:dyDescent="0.2">
      <c r="C17">
        <f t="shared" si="0"/>
        <v>96</v>
      </c>
      <c r="D17">
        <v>8</v>
      </c>
      <c r="E17">
        <v>1.2880000000000001E-2</v>
      </c>
      <c r="F17" s="9">
        <f t="shared" si="2"/>
        <v>1.3025470076147527E-2</v>
      </c>
      <c r="G17">
        <f>(1-E17*SUM($G$10:G16))/(1+E17)</f>
        <v>0.9010416819130328</v>
      </c>
      <c r="H17">
        <f>VLOOKUP(C17,Output!B19:O738,14,FALSE)</f>
        <v>6.5332430041982448E-4</v>
      </c>
      <c r="I17" s="10">
        <f t="shared" si="1"/>
        <v>-123.72145775727702</v>
      </c>
    </row>
    <row r="18" spans="3:9" x14ac:dyDescent="0.2">
      <c r="C18">
        <f t="shared" si="0"/>
        <v>108</v>
      </c>
      <c r="D18">
        <v>9</v>
      </c>
      <c r="E18">
        <v>1.4339999999999999E-2</v>
      </c>
      <c r="F18" s="9">
        <f t="shared" si="2"/>
        <v>1.4552149118111408E-2</v>
      </c>
      <c r="G18">
        <f>(1-E18*SUM($G$10:G17))/(1+E18)</f>
        <v>0.87724466849056049</v>
      </c>
      <c r="H18">
        <f>VLOOKUP(C18,Output!B20:O739,14,FALSE)</f>
        <v>1.6821571163003171E-3</v>
      </c>
      <c r="I18" s="10">
        <f t="shared" si="1"/>
        <v>-128.6999200181109</v>
      </c>
    </row>
    <row r="19" spans="3:9" x14ac:dyDescent="0.2">
      <c r="C19">
        <f t="shared" si="0"/>
        <v>120</v>
      </c>
      <c r="D19">
        <v>10</v>
      </c>
      <c r="E19">
        <v>1.5650000000000001E-2</v>
      </c>
      <c r="F19" s="9">
        <f t="shared" si="2"/>
        <v>1.5936381702367195E-2</v>
      </c>
      <c r="G19">
        <f>(1-E19*SUM($G$10:G18))/(1+E19)</f>
        <v>0.85268608081826747</v>
      </c>
      <c r="H19">
        <f>VLOOKUP(C19,Output!B21:O740,14,FALSE)</f>
        <v>2.5916952017028946E-3</v>
      </c>
      <c r="I19" s="10">
        <f t="shared" si="1"/>
        <v>-133.44686500664301</v>
      </c>
    </row>
    <row r="20" spans="3:9" x14ac:dyDescent="0.2">
      <c r="C20">
        <f t="shared" si="0"/>
        <v>132</v>
      </c>
      <c r="D20">
        <v>11</v>
      </c>
      <c r="E20">
        <v>1.6754999999999999E-2</v>
      </c>
      <c r="F20" s="9">
        <f t="shared" si="2"/>
        <v>1.7113945668038248E-2</v>
      </c>
      <c r="G20">
        <f>(1-E20*SUM($G$10:G19))/(1+E20)</f>
        <v>0.82840476092149951</v>
      </c>
      <c r="H20">
        <f>VLOOKUP(C20,Output!B22:O741,14,FALSE)</f>
        <v>3.3033564444471769E-3</v>
      </c>
      <c r="I20" s="10">
        <f t="shared" si="1"/>
        <v>-138.10589223591072</v>
      </c>
    </row>
    <row r="21" spans="3:9" x14ac:dyDescent="0.2">
      <c r="C21">
        <f t="shared" si="0"/>
        <v>144</v>
      </c>
      <c r="D21">
        <v>12</v>
      </c>
      <c r="E21">
        <v>1.7860000000000001E-2</v>
      </c>
      <c r="F21" s="9">
        <f t="shared" si="2"/>
        <v>1.8309241070101043E-2</v>
      </c>
      <c r="G21">
        <f>(1-E21*SUM($G$10:G20))/(1+E21)</f>
        <v>0.80275084543370723</v>
      </c>
      <c r="H21">
        <f>VLOOKUP(C21,Output!B23:O742,14,FALSE)</f>
        <v>4.0160591539010479E-3</v>
      </c>
      <c r="I21" s="10">
        <f t="shared" si="1"/>
        <v>-142.93181916199995</v>
      </c>
    </row>
    <row r="22" spans="3:9" x14ac:dyDescent="0.2">
      <c r="C22">
        <f t="shared" si="0"/>
        <v>156</v>
      </c>
      <c r="D22">
        <v>13</v>
      </c>
      <c r="E22">
        <v>1.8579999999999999E-2</v>
      </c>
      <c r="F22" s="9">
        <f t="shared" si="2"/>
        <v>1.9082729764711179E-2</v>
      </c>
      <c r="G22">
        <f>(1-E22*SUM($G$10:G21))/(1+E22)</f>
        <v>0.78030103851614396</v>
      </c>
      <c r="H22">
        <f>VLOOKUP(C22,Output!B24:O743,14,FALSE)</f>
        <v>4.5045785651667237E-3</v>
      </c>
      <c r="I22" s="10">
        <f t="shared" si="1"/>
        <v>-145.78151199544456</v>
      </c>
    </row>
    <row r="23" spans="3:9" x14ac:dyDescent="0.2">
      <c r="C23">
        <f t="shared" si="0"/>
        <v>168</v>
      </c>
      <c r="D23">
        <v>14</v>
      </c>
      <c r="E23">
        <v>1.9299999999999998E-2</v>
      </c>
      <c r="F23" s="9">
        <f t="shared" si="2"/>
        <v>1.9868733008692182E-2</v>
      </c>
      <c r="G23">
        <f>(1-E23*SUM($G$10:G22))/(1+E23)</f>
        <v>0.75717395089422046</v>
      </c>
      <c r="H23">
        <f>VLOOKUP(C23,Output!B25:O744,14,FALSE)</f>
        <v>4.997399380548404E-3</v>
      </c>
      <c r="I23" s="10">
        <f t="shared" si="1"/>
        <v>-148.71333628143776</v>
      </c>
    </row>
    <row r="24" spans="3:9" x14ac:dyDescent="0.2">
      <c r="C24">
        <f t="shared" si="0"/>
        <v>180</v>
      </c>
      <c r="D24">
        <v>15</v>
      </c>
      <c r="E24">
        <v>2.0019999999999996E-2</v>
      </c>
      <c r="F24" s="9">
        <f t="shared" si="2"/>
        <v>2.0668039792999846E-2</v>
      </c>
      <c r="G24">
        <f>(1-E24*SUM($G$10:G23))/(1+E24)</f>
        <v>0.73343184964992036</v>
      </c>
      <c r="H24">
        <f>VLOOKUP(C24,Output!B26:O745,14,FALSE)</f>
        <v>5.4962004193338252E-3</v>
      </c>
      <c r="I24" s="10">
        <f t="shared" si="1"/>
        <v>-151.7183937366602</v>
      </c>
    </row>
    <row r="25" spans="3:9" x14ac:dyDescent="0.2">
      <c r="C25">
        <f t="shared" si="0"/>
        <v>192</v>
      </c>
      <c r="D25">
        <v>16</v>
      </c>
      <c r="E25">
        <v>2.0341999999999996E-2</v>
      </c>
      <c r="F25" s="9">
        <f t="shared" si="2"/>
        <v>2.1001335381862166E-2</v>
      </c>
      <c r="G25">
        <f>(1-E25*SUM($G$10:G24))/(1+E25)</f>
        <v>0.71460783726343202</v>
      </c>
      <c r="H25">
        <f>VLOOKUP(C25,Output!B27:O746,14,FALSE)</f>
        <v>5.7901585950559586E-3</v>
      </c>
      <c r="I25" s="10">
        <f t="shared" si="1"/>
        <v>-152.11176786806206</v>
      </c>
    </row>
    <row r="26" spans="3:9" x14ac:dyDescent="0.2">
      <c r="C26">
        <f t="shared" si="0"/>
        <v>204</v>
      </c>
      <c r="D26">
        <v>17</v>
      </c>
      <c r="E26">
        <v>2.0663999999999995E-2</v>
      </c>
      <c r="F26" s="9">
        <f t="shared" si="2"/>
        <v>2.1342150985537139E-2</v>
      </c>
      <c r="G26">
        <f>(1-E26*SUM($G$10:G25))/(1+E26)</f>
        <v>0.69571403887955074</v>
      </c>
      <c r="H26">
        <f>VLOOKUP(C26,Output!B28:O747,14,FALSE)</f>
        <v>6.0859207431212467E-3</v>
      </c>
      <c r="I26" s="10">
        <f t="shared" si="1"/>
        <v>-152.56230242415893</v>
      </c>
    </row>
    <row r="27" spans="3:9" x14ac:dyDescent="0.2">
      <c r="C27">
        <f t="shared" si="0"/>
        <v>216</v>
      </c>
      <c r="D27">
        <v>18</v>
      </c>
      <c r="E27">
        <v>2.0985999999999998E-2</v>
      </c>
      <c r="F27" s="9">
        <f t="shared" si="2"/>
        <v>2.1690230271210923E-2</v>
      </c>
      <c r="G27">
        <f>(1-E27*SUM($G$10:G26))/(1+E27)</f>
        <v>0.6767697651824387</v>
      </c>
      <c r="H27">
        <f>VLOOKUP(C27,Output!B29:O748,14,FALSE)</f>
        <v>6.3860427048427508E-3</v>
      </c>
      <c r="I27" s="10">
        <f t="shared" si="1"/>
        <v>-153.04187566368171</v>
      </c>
    </row>
    <row r="28" spans="3:9" x14ac:dyDescent="0.2">
      <c r="C28">
        <f t="shared" si="0"/>
        <v>228</v>
      </c>
      <c r="D28">
        <v>19</v>
      </c>
      <c r="E28">
        <v>2.1307999999999997E-2</v>
      </c>
      <c r="F28" s="9">
        <f t="shared" si="2"/>
        <v>2.2045446599763815E-2</v>
      </c>
      <c r="G28">
        <f>(1-E28*SUM($G$10:G27))/(1+E28)</f>
        <v>0.65779398762474828</v>
      </c>
      <c r="H28">
        <f>VLOOKUP(C28,Output!B30:O749,14,FALSE)</f>
        <v>6.6862486014234255E-3</v>
      </c>
      <c r="I28" s="10">
        <f t="shared" si="1"/>
        <v>-153.59197998340389</v>
      </c>
    </row>
    <row r="29" spans="3:9" x14ac:dyDescent="0.2">
      <c r="C29">
        <f t="shared" si="0"/>
        <v>240</v>
      </c>
      <c r="D29">
        <v>20</v>
      </c>
      <c r="E29">
        <v>2.1629999999999996E-2</v>
      </c>
      <c r="F29" s="9">
        <f t="shared" si="2"/>
        <v>2.2407777063625286E-2</v>
      </c>
      <c r="G29">
        <f>(1-E29*SUM($G$10:G28))/(1+E29)</f>
        <v>0.63880531571248977</v>
      </c>
      <c r="H29">
        <f>VLOOKUP(C29,Output!B31:O750,14,FALSE)</f>
        <v>6.9838517337974639E-3</v>
      </c>
      <c r="I29" s="10">
        <f t="shared" si="1"/>
        <v>-154.23925329827821</v>
      </c>
    </row>
    <row r="30" spans="3:9" x14ac:dyDescent="0.2">
      <c r="C30">
        <f t="shared" si="0"/>
        <v>252</v>
      </c>
      <c r="D30">
        <v>21</v>
      </c>
      <c r="E30">
        <v>2.1727999999999997E-2</v>
      </c>
      <c r="F30" s="9">
        <f t="shared" si="2"/>
        <v>2.2486472527058207E-2</v>
      </c>
      <c r="G30">
        <f>(1-E30*SUM($G$10:G29))/(1+E30)</f>
        <v>0.62361884468494067</v>
      </c>
      <c r="H30">
        <f>VLOOKUP(C30,Output!B32:O751,14,FALSE)</f>
        <v>7.1063900533897568E-3</v>
      </c>
      <c r="I30" s="10">
        <f t="shared" si="1"/>
        <v>-153.80082473668449</v>
      </c>
    </row>
    <row r="31" spans="3:9" x14ac:dyDescent="0.2">
      <c r="C31">
        <f t="shared" si="0"/>
        <v>264</v>
      </c>
      <c r="D31">
        <v>22</v>
      </c>
      <c r="E31">
        <v>2.1825999999999998E-2</v>
      </c>
      <c r="F31" s="9">
        <f t="shared" si="2"/>
        <v>2.2569683001636535E-2</v>
      </c>
      <c r="G31">
        <f>(1-E31*SUM($G$10:G30))/(1+E31)</f>
        <v>0.60863713515601181</v>
      </c>
      <c r="H31">
        <f>VLOOKUP(C31,Output!B33:O752,14,FALSE)</f>
        <v>7.2266804638094111E-3</v>
      </c>
      <c r="I31" s="10">
        <f t="shared" si="1"/>
        <v>-153.43002537827124</v>
      </c>
    </row>
    <row r="32" spans="3:9" x14ac:dyDescent="0.2">
      <c r="C32">
        <f t="shared" si="0"/>
        <v>276</v>
      </c>
      <c r="D32">
        <v>23</v>
      </c>
      <c r="E32">
        <v>2.1923999999999999E-2</v>
      </c>
      <c r="F32" s="9">
        <f t="shared" si="2"/>
        <v>2.2657021821020341E-2</v>
      </c>
      <c r="G32">
        <f>(1-E32*SUM($G$10:G31))/(1+E32)</f>
        <v>0.59386010437151171</v>
      </c>
      <c r="H32">
        <f>VLOOKUP(C32,Output!B34:O753,14,FALSE)</f>
        <v>7.3486558812192807E-3</v>
      </c>
      <c r="I32" s="10">
        <f t="shared" si="1"/>
        <v>-153.08365939801061</v>
      </c>
    </row>
    <row r="33" spans="3:9" x14ac:dyDescent="0.2">
      <c r="C33">
        <f t="shared" si="0"/>
        <v>288</v>
      </c>
      <c r="D33">
        <v>24</v>
      </c>
      <c r="E33">
        <v>2.2022E-2</v>
      </c>
      <c r="F33" s="9">
        <f t="shared" si="2"/>
        <v>2.2748175774442391E-2</v>
      </c>
      <c r="G33">
        <f>(1-E33*SUM($G$10:G32))/(1+E33)</f>
        <v>0.57928759285516762</v>
      </c>
      <c r="H33">
        <f>VLOOKUP(C33,Output!B35:O754,14,FALSE)</f>
        <v>7.4752149531713153E-3</v>
      </c>
      <c r="I33" s="10">
        <f t="shared" si="1"/>
        <v>-152.72960821271076</v>
      </c>
    </row>
    <row r="34" spans="3:9" x14ac:dyDescent="0.2">
      <c r="C34">
        <f t="shared" si="0"/>
        <v>300</v>
      </c>
      <c r="D34">
        <v>25</v>
      </c>
      <c r="E34">
        <v>2.2120000000000001E-2</v>
      </c>
      <c r="F34" s="9">
        <f t="shared" si="2"/>
        <v>2.2842890912289859E-2</v>
      </c>
      <c r="G34">
        <f>(1-E34*SUM($G$10:G33))/(1+E34)</f>
        <v>0.56491936614544325</v>
      </c>
      <c r="H34">
        <f>VLOOKUP(C34,Output!B36:O755,14,FALSE)</f>
        <v>7.6035111308804457E-3</v>
      </c>
      <c r="I34" s="10">
        <f t="shared" si="1"/>
        <v>-152.39379781409414</v>
      </c>
    </row>
    <row r="35" spans="3:9" x14ac:dyDescent="0.2">
      <c r="C35">
        <f t="shared" si="0"/>
        <v>312</v>
      </c>
      <c r="D35">
        <v>26</v>
      </c>
      <c r="E35">
        <v>2.2162000000000001E-2</v>
      </c>
      <c r="F35" s="9">
        <f t="shared" si="2"/>
        <v>2.2863679691028559E-2</v>
      </c>
      <c r="G35">
        <f>(1-E35*SUM($G$10:G34))/(1+E35)</f>
        <v>0.55186287856142091</v>
      </c>
      <c r="H35">
        <f>VLOOKUP(C35,Output!B37:O756,14,FALSE)</f>
        <v>7.5926816409291938E-3</v>
      </c>
      <c r="I35" s="10">
        <f t="shared" si="1"/>
        <v>-152.70998050099365</v>
      </c>
    </row>
    <row r="36" spans="3:9" x14ac:dyDescent="0.2">
      <c r="C36">
        <f t="shared" si="0"/>
        <v>324</v>
      </c>
      <c r="D36">
        <v>27</v>
      </c>
      <c r="E36">
        <v>2.2204000000000002E-2</v>
      </c>
      <c r="F36" s="9">
        <f t="shared" si="2"/>
        <v>2.2887291559662189E-2</v>
      </c>
      <c r="G36">
        <f>(1-E36*SUM($G$10:G35))/(1+E36)</f>
        <v>0.53904465043296379</v>
      </c>
      <c r="H36">
        <f>VLOOKUP(C36,Output!B38:O757,14,FALSE)</f>
        <v>7.5804657893487294E-3</v>
      </c>
      <c r="I36" s="10">
        <f t="shared" si="1"/>
        <v>-153.06825770313458</v>
      </c>
    </row>
    <row r="37" spans="3:9" x14ac:dyDescent="0.2">
      <c r="C37">
        <f t="shared" si="0"/>
        <v>336</v>
      </c>
      <c r="D37">
        <v>28</v>
      </c>
      <c r="E37">
        <v>2.2245999999999998E-2</v>
      </c>
      <c r="F37" s="9">
        <f t="shared" si="2"/>
        <v>2.2913495659668711E-2</v>
      </c>
      <c r="G37">
        <f>(1-E37*SUM($G$10:G36))/(1+E37)</f>
        <v>0.52646107673436904</v>
      </c>
      <c r="H37">
        <f>VLOOKUP(C37,Output!B39:O758,14,FALSE)</f>
        <v>7.5692935483094616E-3</v>
      </c>
      <c r="I37" s="10">
        <f t="shared" si="1"/>
        <v>-153.44202111359249</v>
      </c>
    </row>
    <row r="38" spans="3:9" x14ac:dyDescent="0.2">
      <c r="C38">
        <f t="shared" si="0"/>
        <v>348</v>
      </c>
      <c r="D38">
        <v>29</v>
      </c>
      <c r="E38">
        <v>2.2287999999999999E-2</v>
      </c>
      <c r="F38" s="9">
        <f t="shared" si="2"/>
        <v>2.2942095394329093E-2</v>
      </c>
      <c r="G38">
        <f>(1-E38*SUM($G$10:G37))/(1+E38)</f>
        <v>0.51410859247451246</v>
      </c>
      <c r="H38">
        <f>VLOOKUP(C38,Output!B40:O759,14,FALSE)</f>
        <v>7.5613019179007254E-3</v>
      </c>
      <c r="I38" s="10">
        <f t="shared" si="1"/>
        <v>-153.80793476428369</v>
      </c>
    </row>
    <row r="39" spans="3:9" x14ac:dyDescent="0.2">
      <c r="C39">
        <f t="shared" si="0"/>
        <v>360</v>
      </c>
      <c r="D39">
        <v>30</v>
      </c>
      <c r="E39">
        <v>2.2329999999999999E-2</v>
      </c>
      <c r="F39" s="9">
        <f t="shared" si="2"/>
        <v>2.2972922820359665E-2</v>
      </c>
      <c r="G39">
        <f>(1-E39*SUM($G$10:G38))/(1+E39)</f>
        <v>0.50198367255469734</v>
      </c>
      <c r="H39">
        <f>VLOOKUP(C39,Output!B41:O760,14,FALSE)</f>
        <v>7.5535379815800307E-3</v>
      </c>
      <c r="I39" s="10">
        <f t="shared" si="1"/>
        <v>-154.19384838779635</v>
      </c>
    </row>
    <row r="40" spans="3:9" x14ac:dyDescent="0.2">
      <c r="C40">
        <f t="shared" si="0"/>
        <v>372</v>
      </c>
      <c r="D40">
        <v>31</v>
      </c>
      <c r="E40">
        <v>2.24263E-2</v>
      </c>
      <c r="F40" s="9">
        <f t="shared" si="2"/>
        <v>2.308560941461477E-2</v>
      </c>
      <c r="G40">
        <f>(1-E40*SUM($G$10:G39))/(1+E40)</f>
        <v>0.48887233762010601</v>
      </c>
      <c r="H40">
        <f>VLOOKUP(C40,Output!B42:O761,14,FALSE)</f>
        <v>7.5489040664158836E-3</v>
      </c>
      <c r="I40" s="10">
        <f t="shared" si="1"/>
        <v>-155.36705348198885</v>
      </c>
    </row>
    <row r="41" spans="3:9" x14ac:dyDescent="0.2">
      <c r="C41">
        <f t="shared" si="0"/>
        <v>384</v>
      </c>
      <c r="D41">
        <v>32</v>
      </c>
      <c r="E41">
        <v>2.25226E-2</v>
      </c>
      <c r="F41" s="9">
        <f t="shared" si="2"/>
        <v>2.3200820597778841E-2</v>
      </c>
      <c r="G41">
        <f>(1-E41*SUM($G$10:G40))/(1+E41)</f>
        <v>0.47595771671410653</v>
      </c>
      <c r="H41">
        <f>VLOOKUP(C41,Output!B43:O762,14,FALSE)</f>
        <v>7.5467379540228845E-3</v>
      </c>
      <c r="I41" s="10">
        <f t="shared" si="1"/>
        <v>-156.54082643755959</v>
      </c>
    </row>
    <row r="42" spans="3:9" x14ac:dyDescent="0.2">
      <c r="C42">
        <f t="shared" si="0"/>
        <v>396</v>
      </c>
      <c r="D42">
        <v>33</v>
      </c>
      <c r="E42">
        <v>2.2618900000000001E-2</v>
      </c>
      <c r="F42" s="9">
        <f t="shared" si="2"/>
        <v>2.3318543264644227E-2</v>
      </c>
      <c r="G42">
        <f>(1-E42*SUM($G$10:G41))/(1+E42)</f>
        <v>0.46323910730620438</v>
      </c>
      <c r="H42">
        <f>VLOOKUP(C42,Output!B44:O763,14,FALSE)</f>
        <v>7.5450473179786938E-3</v>
      </c>
      <c r="I42" s="10">
        <f t="shared" si="1"/>
        <v>-157.73495946665534</v>
      </c>
    </row>
    <row r="43" spans="3:9" x14ac:dyDescent="0.2">
      <c r="C43">
        <f t="shared" si="0"/>
        <v>408</v>
      </c>
      <c r="D43">
        <v>34</v>
      </c>
      <c r="E43">
        <v>2.2715200000000001E-2</v>
      </c>
      <c r="F43" s="9">
        <f t="shared" si="2"/>
        <v>2.3438776684320515E-2</v>
      </c>
      <c r="G43">
        <f>(1-E43*SUM($G$10:G42))/(1+E43)</f>
        <v>0.45071574864294273</v>
      </c>
      <c r="H43">
        <f>VLOOKUP(C43,Output!B45:O764,14,FALSE)</f>
        <v>7.5431602117505157E-3</v>
      </c>
      <c r="I43" s="10">
        <f t="shared" si="1"/>
        <v>-158.95616472569998</v>
      </c>
    </row>
    <row r="44" spans="3:9" x14ac:dyDescent="0.2">
      <c r="C44">
        <f t="shared" si="0"/>
        <v>420</v>
      </c>
      <c r="D44">
        <v>35</v>
      </c>
      <c r="E44">
        <v>2.2811499999999998E-2</v>
      </c>
      <c r="F44" s="9">
        <f t="shared" si="2"/>
        <v>2.3561531425792703E-2</v>
      </c>
      <c r="G44">
        <f>(1-E44*SUM($G$10:G43))/(1+E44)</f>
        <v>0.43838682340456769</v>
      </c>
      <c r="H44">
        <f>VLOOKUP(C44,Output!B46:O765,14,FALSE)</f>
        <v>7.5402052380153638E-3</v>
      </c>
      <c r="I44" s="10">
        <f t="shared" si="1"/>
        <v>-160.21326187777339</v>
      </c>
    </row>
    <row r="45" spans="3:9" x14ac:dyDescent="0.2">
      <c r="C45">
        <f t="shared" si="0"/>
        <v>432</v>
      </c>
      <c r="D45">
        <v>36</v>
      </c>
      <c r="E45">
        <v>2.2907799999999999E-2</v>
      </c>
      <c r="F45" s="9">
        <f t="shared" si="2"/>
        <v>2.3686828518886219E-2</v>
      </c>
      <c r="G45">
        <f>(1-E45*SUM($G$10:G44))/(1+E45)</f>
        <v>0.42625145935654413</v>
      </c>
      <c r="H45">
        <f>VLOOKUP(C45,Output!B47:O766,14,FALSE)</f>
        <v>7.5332252265695567E-3</v>
      </c>
      <c r="I45" s="10">
        <f t="shared" si="1"/>
        <v>-161.53603292316663</v>
      </c>
    </row>
    <row r="46" spans="3:9" x14ac:dyDescent="0.2">
      <c r="C46">
        <f t="shared" si="0"/>
        <v>444</v>
      </c>
      <c r="D46">
        <v>37</v>
      </c>
      <c r="E46">
        <v>2.30041E-2</v>
      </c>
      <c r="F46" s="9">
        <f t="shared" si="2"/>
        <v>2.3814698811679167E-2</v>
      </c>
      <c r="G46">
        <f>(1-E46*SUM($G$10:G45))/(1+E46)</f>
        <v>0.41430873099495141</v>
      </c>
      <c r="H46">
        <f>VLOOKUP(C46,Output!B48:O767,14,FALSE)</f>
        <v>7.5243671284597503E-3</v>
      </c>
      <c r="I46" s="10">
        <f t="shared" si="1"/>
        <v>-162.90331683219418</v>
      </c>
    </row>
    <row r="47" spans="3:9" x14ac:dyDescent="0.2">
      <c r="C47">
        <f t="shared" si="0"/>
        <v>456</v>
      </c>
      <c r="D47">
        <v>38</v>
      </c>
      <c r="E47">
        <v>2.31004E-2</v>
      </c>
      <c r="F47" s="9">
        <f t="shared" si="2"/>
        <v>2.3945182494260354E-2</v>
      </c>
      <c r="G47">
        <f>(1-E47*SUM($G$10:G46))/(1+E47)</f>
        <v>0.4025576611848114</v>
      </c>
      <c r="H47">
        <f>VLOOKUP(C47,Output!B49:O768,14,FALSE)</f>
        <v>7.5135420144374528E-3</v>
      </c>
      <c r="I47" s="10">
        <f t="shared" si="1"/>
        <v>-164.316404798229</v>
      </c>
    </row>
    <row r="48" spans="3:9" x14ac:dyDescent="0.2">
      <c r="C48">
        <f t="shared" si="0"/>
        <v>468</v>
      </c>
      <c r="D48">
        <v>39</v>
      </c>
      <c r="E48">
        <v>2.3196700000000001E-2</v>
      </c>
      <c r="F48" s="9">
        <f t="shared" si="2"/>
        <v>2.4078328765635173E-2</v>
      </c>
      <c r="G48">
        <f>(1-E48*SUM($G$10:G47))/(1+E48)</f>
        <v>0.39099722279042992</v>
      </c>
      <c r="H48">
        <f>VLOOKUP(C48,Output!B50:O769,14,FALSE)</f>
        <v>7.4994997069512195E-3</v>
      </c>
      <c r="I48" s="10">
        <f t="shared" si="1"/>
        <v>-165.78829058683954</v>
      </c>
    </row>
    <row r="49" spans="3:9" x14ac:dyDescent="0.2">
      <c r="C49">
        <f t="shared" si="0"/>
        <v>480</v>
      </c>
      <c r="D49">
        <v>40</v>
      </c>
      <c r="E49">
        <v>2.3293000000000001E-2</v>
      </c>
      <c r="F49" s="9">
        <f t="shared" si="2"/>
        <v>2.4214195626033143E-2</v>
      </c>
      <c r="G49">
        <f>(1-E49*SUM($G$10:G48))/(1+E49)</f>
        <v>0.37962634029686187</v>
      </c>
      <c r="H49">
        <f>VLOOKUP(C49,Output!B51:O770,14,FALSE)</f>
        <v>7.4835962880588774E-3</v>
      </c>
      <c r="I49" s="10">
        <f t="shared" si="1"/>
        <v>-167.30599337974266</v>
      </c>
    </row>
    <row r="50" spans="3:9" x14ac:dyDescent="0.2">
      <c r="C50">
        <f t="shared" si="0"/>
        <v>492</v>
      </c>
      <c r="D50">
        <v>41</v>
      </c>
      <c r="E50">
        <v>2.3350700000000002E-2</v>
      </c>
      <c r="F50" s="9">
        <f t="shared" si="2"/>
        <v>2.4285520691831944E-2</v>
      </c>
      <c r="G50">
        <f>(1-E50*SUM($G$10:G49))/(1+E50)</f>
        <v>0.36946238320444202</v>
      </c>
      <c r="H50">
        <f>VLOOKUP(C50,Output!B52:O771,14,FALSE)</f>
        <v>7.4697675414996442E-3</v>
      </c>
      <c r="I50" s="10">
        <f t="shared" si="1"/>
        <v>-168.15753150332299</v>
      </c>
    </row>
    <row r="51" spans="3:9" x14ac:dyDescent="0.2">
      <c r="C51">
        <f t="shared" si="0"/>
        <v>504</v>
      </c>
      <c r="D51">
        <v>42</v>
      </c>
      <c r="E51">
        <v>2.3408399999999999E-2</v>
      </c>
      <c r="F51" s="9">
        <f t="shared" si="2"/>
        <v>2.4358833758027082E-2</v>
      </c>
      <c r="G51">
        <f>(1-E51*SUM($G$10:G50))/(1+E51)</f>
        <v>0.35948924535308036</v>
      </c>
      <c r="H51">
        <f>VLOOKUP(C51,Output!B53:O772,14,FALSE)</f>
        <v>7.4564927902545115E-3</v>
      </c>
      <c r="I51" s="10">
        <f t="shared" si="1"/>
        <v>-169.02340967772571</v>
      </c>
    </row>
    <row r="52" spans="3:9" x14ac:dyDescent="0.2">
      <c r="C52">
        <f t="shared" si="0"/>
        <v>516</v>
      </c>
      <c r="D52">
        <v>43</v>
      </c>
      <c r="E52">
        <v>2.34661E-2</v>
      </c>
      <c r="F52" s="9">
        <f t="shared" si="2"/>
        <v>2.4434128253459763E-2</v>
      </c>
      <c r="G52">
        <f>(1-E52*SUM($G$10:G51))/(1+E52)</f>
        <v>0.34970423839459341</v>
      </c>
      <c r="H52">
        <f>VLOOKUP(C52,Output!B54:O773,14,FALSE)</f>
        <v>7.4433740357193181E-3</v>
      </c>
      <c r="I52" s="10">
        <f t="shared" si="1"/>
        <v>-169.90754217740445</v>
      </c>
    </row>
    <row r="53" spans="3:9" x14ac:dyDescent="0.2">
      <c r="C53">
        <f t="shared" si="0"/>
        <v>528</v>
      </c>
      <c r="D53">
        <v>44</v>
      </c>
      <c r="E53">
        <v>2.3523800000000001E-2</v>
      </c>
      <c r="F53" s="9">
        <f t="shared" si="2"/>
        <v>2.4511404253808967E-2</v>
      </c>
      <c r="G53">
        <f>(1-E53*SUM($G$10:G52))/(1+E53)</f>
        <v>0.34010469334483717</v>
      </c>
      <c r="H53">
        <f>VLOOKUP(C53,Output!B55:O774,14,FALSE)</f>
        <v>7.4314750975496956E-3</v>
      </c>
      <c r="I53" s="10">
        <f t="shared" si="1"/>
        <v>-170.79929156259271</v>
      </c>
    </row>
    <row r="54" spans="3:9" x14ac:dyDescent="0.2">
      <c r="C54">
        <f t="shared" si="0"/>
        <v>540</v>
      </c>
      <c r="D54">
        <v>45</v>
      </c>
      <c r="E54">
        <v>2.3581499999999998E-2</v>
      </c>
      <c r="F54" s="9">
        <f t="shared" si="2"/>
        <v>2.4590668101920871E-2</v>
      </c>
      <c r="G54">
        <f>(1-E54*SUM($G$10:G53))/(1+E54)</f>
        <v>0.33068796088985614</v>
      </c>
      <c r="H54">
        <f>VLOOKUP(C54,Output!B56:O775,14,FALSE)</f>
        <v>7.4239120625716401E-3</v>
      </c>
      <c r="I54" s="10">
        <f t="shared" si="1"/>
        <v>-171.66756039349229</v>
      </c>
    </row>
    <row r="55" spans="3:9" x14ac:dyDescent="0.2">
      <c r="C55">
        <f t="shared" si="0"/>
        <v>552</v>
      </c>
      <c r="D55">
        <v>46</v>
      </c>
      <c r="E55">
        <v>2.3639199999999999E-2</v>
      </c>
      <c r="F55" s="9">
        <f t="shared" si="2"/>
        <v>2.4671932104538746E-2</v>
      </c>
      <c r="G55">
        <f>(1-E55*SUM($G$10:G54))/(1+E55)</f>
        <v>0.32145141167830987</v>
      </c>
      <c r="H55">
        <f>VLOOKUP(C55,Output!B57:O776,14,FALSE)</f>
        <v>7.4171881919102428E-3</v>
      </c>
      <c r="I55" s="10">
        <f t="shared" si="1"/>
        <v>-172.54743912628504</v>
      </c>
    </row>
    <row r="56" spans="3:9" x14ac:dyDescent="0.2">
      <c r="C56">
        <f t="shared" si="0"/>
        <v>564</v>
      </c>
      <c r="D56">
        <v>47</v>
      </c>
      <c r="E56">
        <v>2.36969E-2</v>
      </c>
      <c r="F56" s="9">
        <f t="shared" si="2"/>
        <v>2.4755214296507906E-2</v>
      </c>
      <c r="G56">
        <f>(1-E56*SUM($G$10:G55))/(1+E56)</f>
        <v>0.31239243660038024</v>
      </c>
      <c r="H56">
        <f>VLOOKUP(C56,Output!B58:O777,14,FALSE)</f>
        <v>7.4146537642931064E-3</v>
      </c>
      <c r="I56" s="10">
        <f t="shared" si="1"/>
        <v>-173.40560532214798</v>
      </c>
    </row>
    <row r="57" spans="3:9" x14ac:dyDescent="0.2">
      <c r="C57">
        <f t="shared" si="0"/>
        <v>576</v>
      </c>
      <c r="D57">
        <v>48</v>
      </c>
      <c r="E57">
        <v>2.3754600000000001E-2</v>
      </c>
      <c r="F57" s="9">
        <f t="shared" si="2"/>
        <v>2.4840538265283593E-2</v>
      </c>
      <c r="G57">
        <f>(1-E57*SUM($G$10:G56))/(1+E57)</f>
        <v>0.3035084470533605</v>
      </c>
      <c r="H57">
        <f>VLOOKUP(C57,Output!B59:O778,14,FALSE)</f>
        <v>7.4161776295522397E-3</v>
      </c>
      <c r="I57" s="10">
        <f t="shared" si="1"/>
        <v>-174.24360635731352</v>
      </c>
    </row>
    <row r="58" spans="3:9" x14ac:dyDescent="0.2">
      <c r="C58">
        <f t="shared" si="0"/>
        <v>588</v>
      </c>
      <c r="D58">
        <v>49</v>
      </c>
      <c r="E58">
        <v>2.3812299999999998E-2</v>
      </c>
      <c r="F58" s="9">
        <f t="shared" si="2"/>
        <v>2.4927933030033878E-2</v>
      </c>
      <c r="G58">
        <f>(1-E58*SUM($G$10:G57))/(1+E58)</f>
        <v>0.29479687519413433</v>
      </c>
      <c r="H58">
        <f>VLOOKUP(C58,Output!B60:O779,14,FALSE)</f>
        <v>7.4204526707852807E-3</v>
      </c>
      <c r="I58" s="10">
        <f t="shared" si="1"/>
        <v>-175.07480359248595</v>
      </c>
    </row>
    <row r="59" spans="3:9" x14ac:dyDescent="0.2">
      <c r="C59">
        <f t="shared" si="0"/>
        <v>600</v>
      </c>
      <c r="D59">
        <v>50</v>
      </c>
      <c r="E59">
        <v>2.3869999999999999E-2</v>
      </c>
      <c r="F59" s="9">
        <f t="shared" si="2"/>
        <v>2.5017432970868683E-2</v>
      </c>
      <c r="G59">
        <f>(1-E59*SUM($G$10:G58))/(1+E59)</f>
        <v>0.28625517417874802</v>
      </c>
      <c r="H59">
        <f>VLOOKUP(C59,Output!B61:O780,14,FALSE)</f>
        <v>7.4260912443683338E-3</v>
      </c>
      <c r="I59" s="10">
        <f t="shared" si="1"/>
        <v>-175.91341726500349</v>
      </c>
    </row>
    <row r="60" spans="3:9" x14ac:dyDescent="0.2">
      <c r="C60">
        <f t="shared" si="0"/>
        <v>612</v>
      </c>
      <c r="D60">
        <v>51</v>
      </c>
      <c r="E60">
        <v>2.3869999999999999E-2</v>
      </c>
      <c r="F60" s="9">
        <f t="shared" si="2"/>
        <v>2.4989435568167066E-2</v>
      </c>
      <c r="G60">
        <f>(1-E60*SUM($G$10:G59))/(1+E60)</f>
        <v>0.2795815622869583</v>
      </c>
      <c r="H60">
        <f>VLOOKUP(C60,Output!B62:O781,14,FALSE)</f>
        <v>7.4364146038612515E-3</v>
      </c>
      <c r="I60" s="10">
        <f t="shared" si="1"/>
        <v>-175.53020964305816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Feuil1</vt:lpstr>
      <vt:lpstr>Output</vt:lpstr>
      <vt:lpstr>Feuil2</vt:lpstr>
      <vt:lpstr>alpha</vt:lpstr>
      <vt:lpstr>corel</vt:lpstr>
      <vt:lpstr>dir</vt:lpstr>
      <vt:lpstr>name</vt:lpstr>
      <vt:lpstr>scn</vt:lpstr>
      <vt:lpstr>sigma</vt:lpstr>
    </vt:vector>
  </TitlesOfParts>
  <Company>Basler Versicherungen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B029735</dc:creator>
  <cp:lastModifiedBy>B029735</cp:lastModifiedBy>
  <dcterms:created xsi:type="dcterms:W3CDTF">2013-01-21T16:28:36Z</dcterms:created>
  <dcterms:modified xsi:type="dcterms:W3CDTF">2015-09-28T15:08:23Z</dcterms:modified>
</cp:coreProperties>
</file>