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90" windowWidth="18120" windowHeight="11280" tabRatio="720" activeTab="1"/>
  </bookViews>
  <sheets>
    <sheet name="Feuil1" sheetId="1" r:id="rId1"/>
    <sheet name="Output" sheetId="9" r:id="rId2"/>
    <sheet name="Feuil2" sheetId="10" r:id="rId3"/>
  </sheets>
  <functionGroups builtInGroupCount="17"/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45621" calcMode="manual"/>
</workbook>
</file>

<file path=xl/calcChain.xml><?xml version="1.0" encoding="utf-8"?>
<calcChain xmlns="http://schemas.openxmlformats.org/spreadsheetml/2006/main">
  <c r="V16" i="9" l="1"/>
  <c r="U22" i="9"/>
  <c r="V22" i="9"/>
  <c r="AF13" i="9"/>
  <c r="AF12" i="9"/>
  <c r="AA13" i="9"/>
  <c r="AA14" i="9" s="1"/>
  <c r="AA15" i="9" s="1"/>
  <c r="C11" i="10"/>
  <c r="H11" i="10" s="1"/>
  <c r="C12" i="10"/>
  <c r="H12" i="10" s="1"/>
  <c r="C13" i="10"/>
  <c r="H13" i="10" s="1"/>
  <c r="C14" i="10"/>
  <c r="H14" i="10" s="1"/>
  <c r="C15" i="10"/>
  <c r="H15" i="10" s="1"/>
  <c r="C16" i="10"/>
  <c r="H16" i="10" s="1"/>
  <c r="C17" i="10"/>
  <c r="H17" i="10" s="1"/>
  <c r="C18" i="10"/>
  <c r="H18" i="10" s="1"/>
  <c r="C19" i="10"/>
  <c r="H19" i="10" s="1"/>
  <c r="C20" i="10"/>
  <c r="H20" i="10" s="1"/>
  <c r="C21" i="10"/>
  <c r="H21" i="10" s="1"/>
  <c r="C22" i="10"/>
  <c r="H22" i="10" s="1"/>
  <c r="C23" i="10"/>
  <c r="H23" i="10" s="1"/>
  <c r="C24" i="10"/>
  <c r="H24" i="10" s="1"/>
  <c r="C25" i="10"/>
  <c r="H25" i="10" s="1"/>
  <c r="C26" i="10"/>
  <c r="H26" i="10" s="1"/>
  <c r="C27" i="10"/>
  <c r="H27" i="10" s="1"/>
  <c r="C28" i="10"/>
  <c r="H28" i="10" s="1"/>
  <c r="C29" i="10"/>
  <c r="H29" i="10" s="1"/>
  <c r="C30" i="10"/>
  <c r="H30" i="10" s="1"/>
  <c r="C31" i="10"/>
  <c r="H31" i="10" s="1"/>
  <c r="C32" i="10"/>
  <c r="H32" i="10" s="1"/>
  <c r="C33" i="10"/>
  <c r="H33" i="10" s="1"/>
  <c r="C34" i="10"/>
  <c r="H34" i="10" s="1"/>
  <c r="C35" i="10"/>
  <c r="H35" i="10" s="1"/>
  <c r="C36" i="10"/>
  <c r="H36" i="10" s="1"/>
  <c r="C37" i="10"/>
  <c r="H37" i="10" s="1"/>
  <c r="C38" i="10"/>
  <c r="H38" i="10" s="1"/>
  <c r="C39" i="10"/>
  <c r="H39" i="10" s="1"/>
  <c r="C40" i="10"/>
  <c r="H40" i="10" s="1"/>
  <c r="C41" i="10"/>
  <c r="H41" i="10" s="1"/>
  <c r="C42" i="10"/>
  <c r="H42" i="10" s="1"/>
  <c r="C43" i="10"/>
  <c r="H43" i="10" s="1"/>
  <c r="C44" i="10"/>
  <c r="H44" i="10" s="1"/>
  <c r="C45" i="10"/>
  <c r="H45" i="10" s="1"/>
  <c r="C46" i="10"/>
  <c r="H46" i="10" s="1"/>
  <c r="C47" i="10"/>
  <c r="H47" i="10" s="1"/>
  <c r="C48" i="10"/>
  <c r="H48" i="10" s="1"/>
  <c r="C49" i="10"/>
  <c r="H49" i="10" s="1"/>
  <c r="C50" i="10"/>
  <c r="H50" i="10" s="1"/>
  <c r="C51" i="10"/>
  <c r="H51" i="10" s="1"/>
  <c r="C52" i="10"/>
  <c r="H52" i="10" s="1"/>
  <c r="C53" i="10"/>
  <c r="H53" i="10" s="1"/>
  <c r="C54" i="10"/>
  <c r="H54" i="10" s="1"/>
  <c r="C55" i="10"/>
  <c r="H55" i="10" s="1"/>
  <c r="C56" i="10"/>
  <c r="H56" i="10" s="1"/>
  <c r="C57" i="10"/>
  <c r="H57" i="10" s="1"/>
  <c r="C58" i="10"/>
  <c r="H58" i="10" s="1"/>
  <c r="C59" i="10"/>
  <c r="H59" i="10" s="1"/>
  <c r="C60" i="10"/>
  <c r="H60" i="10" s="1"/>
  <c r="C10" i="10"/>
  <c r="H10" i="10" s="1"/>
  <c r="G10" i="10"/>
  <c r="F10" i="10"/>
  <c r="AD13" i="9"/>
  <c r="AE13" i="9" s="1"/>
  <c r="AD14" i="9"/>
  <c r="AE14" i="9" s="1"/>
  <c r="AD15" i="9"/>
  <c r="AE15" i="9" s="1"/>
  <c r="AD16" i="9"/>
  <c r="AE16" i="9" s="1"/>
  <c r="AD17" i="9"/>
  <c r="AE17" i="9" s="1"/>
  <c r="AD18" i="9"/>
  <c r="AE18" i="9" s="1"/>
  <c r="AD19" i="9"/>
  <c r="AE19" i="9" s="1"/>
  <c r="AD20" i="9"/>
  <c r="AE20" i="9" s="1"/>
  <c r="AD21" i="9"/>
  <c r="AE21" i="9" s="1"/>
  <c r="AD22" i="9"/>
  <c r="AE22" i="9" s="1"/>
  <c r="AD23" i="9"/>
  <c r="AE23" i="9" s="1"/>
  <c r="AD24" i="9"/>
  <c r="AE24" i="9" s="1"/>
  <c r="AD25" i="9"/>
  <c r="AE25" i="9" s="1"/>
  <c r="AD26" i="9"/>
  <c r="AE26" i="9" s="1"/>
  <c r="AD27" i="9"/>
  <c r="AE27" i="9" s="1"/>
  <c r="AD28" i="9"/>
  <c r="AE28" i="9" s="1"/>
  <c r="AD29" i="9"/>
  <c r="AE29" i="9" s="1"/>
  <c r="AD30" i="9"/>
  <c r="AE30" i="9" s="1"/>
  <c r="AD31" i="9"/>
  <c r="AE31" i="9" s="1"/>
  <c r="AD32" i="9"/>
  <c r="AE32" i="9" s="1"/>
  <c r="AD33" i="9"/>
  <c r="AE33" i="9" s="1"/>
  <c r="AD34" i="9"/>
  <c r="AE34" i="9" s="1"/>
  <c r="AD35" i="9"/>
  <c r="AE35" i="9" s="1"/>
  <c r="AD36" i="9"/>
  <c r="AE36" i="9" s="1"/>
  <c r="AD37" i="9"/>
  <c r="AE37" i="9" s="1"/>
  <c r="AD38" i="9"/>
  <c r="AE38" i="9" s="1"/>
  <c r="AD39" i="9"/>
  <c r="AE39" i="9" s="1"/>
  <c r="AD40" i="9"/>
  <c r="AE40" i="9" s="1"/>
  <c r="AD41" i="9"/>
  <c r="AE41" i="9" s="1"/>
  <c r="AD42" i="9"/>
  <c r="AE42" i="9" s="1"/>
  <c r="AD43" i="9"/>
  <c r="AE43" i="9" s="1"/>
  <c r="AD44" i="9"/>
  <c r="AE44" i="9" s="1"/>
  <c r="AD45" i="9"/>
  <c r="AE45" i="9" s="1"/>
  <c r="AD46" i="9"/>
  <c r="AE46" i="9" s="1"/>
  <c r="AD47" i="9"/>
  <c r="AE47" i="9" s="1"/>
  <c r="AD48" i="9"/>
  <c r="AE48" i="9" s="1"/>
  <c r="AD49" i="9"/>
  <c r="AE49" i="9" s="1"/>
  <c r="AD50" i="9"/>
  <c r="AE50" i="9" s="1"/>
  <c r="AD51" i="9"/>
  <c r="AE51" i="9" s="1"/>
  <c r="AD52" i="9"/>
  <c r="AE52" i="9" s="1"/>
  <c r="AD53" i="9"/>
  <c r="AE53" i="9" s="1"/>
  <c r="AD54" i="9"/>
  <c r="AE54" i="9" s="1"/>
  <c r="AD55" i="9"/>
  <c r="AE55" i="9" s="1"/>
  <c r="AD56" i="9"/>
  <c r="AE56" i="9" s="1"/>
  <c r="AD57" i="9"/>
  <c r="AE57" i="9" s="1"/>
  <c r="AD58" i="9"/>
  <c r="AE58" i="9" s="1"/>
  <c r="AD59" i="9"/>
  <c r="AE59" i="9" s="1"/>
  <c r="AD60" i="9"/>
  <c r="AE60" i="9" s="1"/>
  <c r="AD61" i="9"/>
  <c r="AE61" i="9" s="1"/>
  <c r="AD62" i="9"/>
  <c r="AE62" i="9" s="1"/>
  <c r="AD63" i="9"/>
  <c r="AE63" i="9" s="1"/>
  <c r="AD64" i="9"/>
  <c r="AE64" i="9" s="1"/>
  <c r="AD65" i="9"/>
  <c r="AE65" i="9" s="1"/>
  <c r="AD66" i="9"/>
  <c r="AE66" i="9" s="1"/>
  <c r="AD67" i="9"/>
  <c r="AE67" i="9" s="1"/>
  <c r="AD68" i="9"/>
  <c r="AE68" i="9" s="1"/>
  <c r="AD69" i="9"/>
  <c r="AE69" i="9" s="1"/>
  <c r="AD70" i="9"/>
  <c r="AE70" i="9" s="1"/>
  <c r="AD71" i="9"/>
  <c r="AE71" i="9" s="1"/>
  <c r="AD72" i="9"/>
  <c r="AE72" i="9" s="1"/>
  <c r="AD73" i="9"/>
  <c r="AE73" i="9" s="1"/>
  <c r="AD74" i="9"/>
  <c r="AE74" i="9" s="1"/>
  <c r="AD75" i="9"/>
  <c r="AE75" i="9" s="1"/>
  <c r="AD76" i="9"/>
  <c r="AE76" i="9" s="1"/>
  <c r="AD77" i="9"/>
  <c r="AE77" i="9" s="1"/>
  <c r="AD78" i="9"/>
  <c r="AE78" i="9" s="1"/>
  <c r="AD79" i="9"/>
  <c r="AE79" i="9" s="1"/>
  <c r="AD80" i="9"/>
  <c r="AE80" i="9" s="1"/>
  <c r="AD81" i="9"/>
  <c r="AE81" i="9" s="1"/>
  <c r="AD82" i="9"/>
  <c r="AE82" i="9" s="1"/>
  <c r="AD83" i="9"/>
  <c r="AE83" i="9" s="1"/>
  <c r="AD84" i="9"/>
  <c r="AE84" i="9" s="1"/>
  <c r="AD85" i="9"/>
  <c r="AE85" i="9" s="1"/>
  <c r="AD86" i="9"/>
  <c r="AE86" i="9" s="1"/>
  <c r="AD87" i="9"/>
  <c r="AE87" i="9" s="1"/>
  <c r="AD88" i="9"/>
  <c r="AE88" i="9" s="1"/>
  <c r="AD89" i="9"/>
  <c r="AE89" i="9" s="1"/>
  <c r="AD90" i="9"/>
  <c r="AE90" i="9" s="1"/>
  <c r="AD91" i="9"/>
  <c r="AE91" i="9" s="1"/>
  <c r="AD92" i="9"/>
  <c r="AE92" i="9" s="1"/>
  <c r="AD93" i="9"/>
  <c r="AE93" i="9" s="1"/>
  <c r="AD94" i="9"/>
  <c r="AE94" i="9" s="1"/>
  <c r="AD95" i="9"/>
  <c r="AE95" i="9" s="1"/>
  <c r="AD96" i="9"/>
  <c r="AE96" i="9" s="1"/>
  <c r="AD97" i="9"/>
  <c r="AE97" i="9" s="1"/>
  <c r="AD98" i="9"/>
  <c r="AE98" i="9" s="1"/>
  <c r="AD99" i="9"/>
  <c r="AE99" i="9" s="1"/>
  <c r="AD100" i="9"/>
  <c r="AE100" i="9" s="1"/>
  <c r="AD101" i="9"/>
  <c r="AE101" i="9" s="1"/>
  <c r="AD102" i="9"/>
  <c r="AE102" i="9" s="1"/>
  <c r="AD103" i="9"/>
  <c r="AE103" i="9" s="1"/>
  <c r="AD104" i="9"/>
  <c r="AE104" i="9" s="1"/>
  <c r="AD105" i="9"/>
  <c r="AE105" i="9" s="1"/>
  <c r="AD106" i="9"/>
  <c r="AE106" i="9" s="1"/>
  <c r="AD107" i="9"/>
  <c r="AE107" i="9" s="1"/>
  <c r="AD108" i="9"/>
  <c r="AE108" i="9" s="1"/>
  <c r="AD109" i="9"/>
  <c r="AE109" i="9" s="1"/>
  <c r="AD110" i="9"/>
  <c r="AE110" i="9" s="1"/>
  <c r="AD111" i="9"/>
  <c r="AE111" i="9" s="1"/>
  <c r="AD112" i="9"/>
  <c r="AE112" i="9" s="1"/>
  <c r="AD113" i="9"/>
  <c r="AE113" i="9" s="1"/>
  <c r="AD114" i="9"/>
  <c r="AE114" i="9" s="1"/>
  <c r="AD115" i="9"/>
  <c r="AE115" i="9" s="1"/>
  <c r="AD116" i="9"/>
  <c r="AE116" i="9" s="1"/>
  <c r="AD117" i="9"/>
  <c r="AE117" i="9" s="1"/>
  <c r="AD118" i="9"/>
  <c r="AE118" i="9" s="1"/>
  <c r="AD119" i="9"/>
  <c r="AE119" i="9" s="1"/>
  <c r="AD120" i="9"/>
  <c r="AE120" i="9" s="1"/>
  <c r="AD121" i="9"/>
  <c r="AE121" i="9" s="1"/>
  <c r="AD122" i="9"/>
  <c r="AE122" i="9" s="1"/>
  <c r="AD123" i="9"/>
  <c r="AE123" i="9" s="1"/>
  <c r="AD124" i="9"/>
  <c r="AE124" i="9" s="1"/>
  <c r="AD125" i="9"/>
  <c r="AE125" i="9" s="1"/>
  <c r="AD126" i="9"/>
  <c r="AE126" i="9" s="1"/>
  <c r="AD127" i="9"/>
  <c r="AE127" i="9" s="1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E135" i="9" s="1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43" i="9" s="1"/>
  <c r="AD144" i="9"/>
  <c r="AE144" i="9" s="1"/>
  <c r="AD145" i="9"/>
  <c r="AE145" i="9" s="1"/>
  <c r="AD146" i="9"/>
  <c r="AE146" i="9" s="1"/>
  <c r="AD147" i="9"/>
  <c r="AE147" i="9" s="1"/>
  <c r="AD148" i="9"/>
  <c r="AE148" i="9" s="1"/>
  <c r="AD149" i="9"/>
  <c r="AE149" i="9" s="1"/>
  <c r="AD150" i="9"/>
  <c r="AE150" i="9" s="1"/>
  <c r="AD151" i="9"/>
  <c r="AE151" i="9" s="1"/>
  <c r="AD152" i="9"/>
  <c r="AE152" i="9" s="1"/>
  <c r="AD153" i="9"/>
  <c r="AE153" i="9" s="1"/>
  <c r="AD154" i="9"/>
  <c r="AE154" i="9" s="1"/>
  <c r="AD155" i="9"/>
  <c r="AE155" i="9" s="1"/>
  <c r="AD156" i="9"/>
  <c r="AE156" i="9" s="1"/>
  <c r="AD157" i="9"/>
  <c r="AE157" i="9" s="1"/>
  <c r="AD158" i="9"/>
  <c r="AE158" i="9" s="1"/>
  <c r="AD159" i="9"/>
  <c r="AE159" i="9" s="1"/>
  <c r="AD160" i="9"/>
  <c r="AE160" i="9" s="1"/>
  <c r="AD161" i="9"/>
  <c r="AE161" i="9" s="1"/>
  <c r="AD162" i="9"/>
  <c r="AE162" i="9" s="1"/>
  <c r="AD163" i="9"/>
  <c r="AE163" i="9" s="1"/>
  <c r="AD164" i="9"/>
  <c r="AE164" i="9" s="1"/>
  <c r="AD165" i="9"/>
  <c r="AE165" i="9" s="1"/>
  <c r="AD166" i="9"/>
  <c r="AE166" i="9" s="1"/>
  <c r="AD167" i="9"/>
  <c r="AE167" i="9" s="1"/>
  <c r="AD168" i="9"/>
  <c r="AE168" i="9" s="1"/>
  <c r="AD169" i="9"/>
  <c r="AE169" i="9" s="1"/>
  <c r="AD170" i="9"/>
  <c r="AE170" i="9" s="1"/>
  <c r="AD171" i="9"/>
  <c r="AE171" i="9" s="1"/>
  <c r="AD172" i="9"/>
  <c r="AE172" i="9" s="1"/>
  <c r="AD173" i="9"/>
  <c r="AE173" i="9" s="1"/>
  <c r="AD174" i="9"/>
  <c r="AE174" i="9" s="1"/>
  <c r="AD175" i="9"/>
  <c r="AE175" i="9" s="1"/>
  <c r="AD176" i="9"/>
  <c r="AE176" i="9" s="1"/>
  <c r="AD177" i="9"/>
  <c r="AE177" i="9" s="1"/>
  <c r="AD178" i="9"/>
  <c r="AE178" i="9" s="1"/>
  <c r="AD179" i="9"/>
  <c r="AE179" i="9" s="1"/>
  <c r="AD180" i="9"/>
  <c r="AE180" i="9" s="1"/>
  <c r="AD181" i="9"/>
  <c r="AE181" i="9" s="1"/>
  <c r="AD182" i="9"/>
  <c r="AE182" i="9" s="1"/>
  <c r="AD183" i="9"/>
  <c r="AE183" i="9" s="1"/>
  <c r="AD184" i="9"/>
  <c r="AE184" i="9" s="1"/>
  <c r="AD185" i="9"/>
  <c r="AE185" i="9" s="1"/>
  <c r="AD186" i="9"/>
  <c r="AE186" i="9" s="1"/>
  <c r="AD187" i="9"/>
  <c r="AE187" i="9" s="1"/>
  <c r="AD188" i="9"/>
  <c r="AE188" i="9" s="1"/>
  <c r="AD189" i="9"/>
  <c r="AE189" i="9" s="1"/>
  <c r="AD190" i="9"/>
  <c r="AE190" i="9" s="1"/>
  <c r="AD191" i="9"/>
  <c r="AE191" i="9" s="1"/>
  <c r="AD192" i="9"/>
  <c r="AE192" i="9" s="1"/>
  <c r="AD193" i="9"/>
  <c r="AE193" i="9" s="1"/>
  <c r="AD194" i="9"/>
  <c r="AE194" i="9" s="1"/>
  <c r="AD195" i="9"/>
  <c r="AE195" i="9" s="1"/>
  <c r="AD196" i="9"/>
  <c r="AE196" i="9" s="1"/>
  <c r="AD197" i="9"/>
  <c r="AE197" i="9" s="1"/>
  <c r="AD198" i="9"/>
  <c r="AE198" i="9" s="1"/>
  <c r="AD199" i="9"/>
  <c r="AE199" i="9" s="1"/>
  <c r="AD200" i="9"/>
  <c r="AE200" i="9" s="1"/>
  <c r="AD201" i="9"/>
  <c r="AE201" i="9" s="1"/>
  <c r="AD202" i="9"/>
  <c r="AE202" i="9" s="1"/>
  <c r="AD203" i="9"/>
  <c r="AE203" i="9" s="1"/>
  <c r="AD204" i="9"/>
  <c r="AE204" i="9" s="1"/>
  <c r="AD205" i="9"/>
  <c r="AE205" i="9" s="1"/>
  <c r="AD206" i="9"/>
  <c r="AE206" i="9" s="1"/>
  <c r="AD207" i="9"/>
  <c r="AE207" i="9" s="1"/>
  <c r="AD208" i="9"/>
  <c r="AE208" i="9" s="1"/>
  <c r="AD209" i="9"/>
  <c r="AE209" i="9" s="1"/>
  <c r="AD210" i="9"/>
  <c r="AE210" i="9" s="1"/>
  <c r="AD211" i="9"/>
  <c r="AE211" i="9" s="1"/>
  <c r="AD212" i="9"/>
  <c r="AE212" i="9" s="1"/>
  <c r="AD213" i="9"/>
  <c r="AE213" i="9" s="1"/>
  <c r="AD214" i="9"/>
  <c r="AE214" i="9" s="1"/>
  <c r="AD215" i="9"/>
  <c r="AE215" i="9" s="1"/>
  <c r="AD216" i="9"/>
  <c r="AE216" i="9" s="1"/>
  <c r="AD217" i="9"/>
  <c r="AE217" i="9" s="1"/>
  <c r="AD218" i="9"/>
  <c r="AE218" i="9" s="1"/>
  <c r="AD219" i="9"/>
  <c r="AE219" i="9" s="1"/>
  <c r="AD220" i="9"/>
  <c r="AE220" i="9" s="1"/>
  <c r="AD221" i="9"/>
  <c r="AE221" i="9" s="1"/>
  <c r="AD222" i="9"/>
  <c r="AE222" i="9" s="1"/>
  <c r="AD223" i="9"/>
  <c r="AE223" i="9" s="1"/>
  <c r="AD224" i="9"/>
  <c r="AE224" i="9" s="1"/>
  <c r="AD225" i="9"/>
  <c r="AE225" i="9" s="1"/>
  <c r="AD226" i="9"/>
  <c r="AE226" i="9" s="1"/>
  <c r="AD227" i="9"/>
  <c r="AE227" i="9" s="1"/>
  <c r="AD228" i="9"/>
  <c r="AE228" i="9" s="1"/>
  <c r="AD229" i="9"/>
  <c r="AE229" i="9" s="1"/>
  <c r="AD230" i="9"/>
  <c r="AE230" i="9" s="1"/>
  <c r="AD231" i="9"/>
  <c r="AE231" i="9" s="1"/>
  <c r="AD232" i="9"/>
  <c r="AE232" i="9" s="1"/>
  <c r="AD233" i="9"/>
  <c r="AE233" i="9" s="1"/>
  <c r="AD234" i="9"/>
  <c r="AE234" i="9" s="1"/>
  <c r="AD235" i="9"/>
  <c r="AE235" i="9" s="1"/>
  <c r="AD236" i="9"/>
  <c r="AE236" i="9" s="1"/>
  <c r="AD237" i="9"/>
  <c r="AE237" i="9" s="1"/>
  <c r="AD238" i="9"/>
  <c r="AE238" i="9" s="1"/>
  <c r="AD239" i="9"/>
  <c r="AE239" i="9" s="1"/>
  <c r="AD240" i="9"/>
  <c r="AE240" i="9" s="1"/>
  <c r="AD241" i="9"/>
  <c r="AE241" i="9" s="1"/>
  <c r="AD242" i="9"/>
  <c r="AE242" i="9" s="1"/>
  <c r="AD243" i="9"/>
  <c r="AE243" i="9" s="1"/>
  <c r="AD244" i="9"/>
  <c r="AE244" i="9" s="1"/>
  <c r="AD245" i="9"/>
  <c r="AE245" i="9" s="1"/>
  <c r="AD246" i="9"/>
  <c r="AE246" i="9" s="1"/>
  <c r="AD247" i="9"/>
  <c r="AE247" i="9" s="1"/>
  <c r="AD248" i="9"/>
  <c r="AE248" i="9" s="1"/>
  <c r="AD249" i="9"/>
  <c r="AE249" i="9" s="1"/>
  <c r="AD250" i="9"/>
  <c r="AE250" i="9" s="1"/>
  <c r="AD251" i="9"/>
  <c r="AE251" i="9" s="1"/>
  <c r="AD252" i="9"/>
  <c r="AE252" i="9" s="1"/>
  <c r="AD253" i="9"/>
  <c r="AE253" i="9" s="1"/>
  <c r="AD254" i="9"/>
  <c r="AE254" i="9" s="1"/>
  <c r="AD255" i="9"/>
  <c r="AE255" i="9" s="1"/>
  <c r="AD256" i="9"/>
  <c r="AE256" i="9" s="1"/>
  <c r="AD257" i="9"/>
  <c r="AE257" i="9" s="1"/>
  <c r="AD258" i="9"/>
  <c r="AE258" i="9" s="1"/>
  <c r="AD259" i="9"/>
  <c r="AE259" i="9" s="1"/>
  <c r="AD260" i="9"/>
  <c r="AE260" i="9" s="1"/>
  <c r="AD261" i="9"/>
  <c r="AE261" i="9" s="1"/>
  <c r="AD262" i="9"/>
  <c r="AE262" i="9" s="1"/>
  <c r="AD263" i="9"/>
  <c r="AE263" i="9" s="1"/>
  <c r="AD264" i="9"/>
  <c r="AE264" i="9" s="1"/>
  <c r="AD265" i="9"/>
  <c r="AE265" i="9" s="1"/>
  <c r="AD266" i="9"/>
  <c r="AE266" i="9" s="1"/>
  <c r="AD267" i="9"/>
  <c r="AE267" i="9" s="1"/>
  <c r="AD268" i="9"/>
  <c r="AE268" i="9" s="1"/>
  <c r="AD269" i="9"/>
  <c r="AE269" i="9" s="1"/>
  <c r="AD270" i="9"/>
  <c r="AE270" i="9" s="1"/>
  <c r="AD271" i="9"/>
  <c r="AE271" i="9" s="1"/>
  <c r="AD272" i="9"/>
  <c r="AE272" i="9" s="1"/>
  <c r="AD273" i="9"/>
  <c r="AE273" i="9" s="1"/>
  <c r="AD274" i="9"/>
  <c r="AE274" i="9" s="1"/>
  <c r="AD275" i="9"/>
  <c r="AE275" i="9" s="1"/>
  <c r="AD276" i="9"/>
  <c r="AE276" i="9" s="1"/>
  <c r="AD277" i="9"/>
  <c r="AE277" i="9" s="1"/>
  <c r="AD278" i="9"/>
  <c r="AE278" i="9" s="1"/>
  <c r="AD279" i="9"/>
  <c r="AE279" i="9" s="1"/>
  <c r="AD280" i="9"/>
  <c r="AE280" i="9" s="1"/>
  <c r="AD281" i="9"/>
  <c r="AE281" i="9" s="1"/>
  <c r="AD282" i="9"/>
  <c r="AE282" i="9" s="1"/>
  <c r="AD283" i="9"/>
  <c r="AE283" i="9" s="1"/>
  <c r="AD284" i="9"/>
  <c r="AE284" i="9" s="1"/>
  <c r="AD285" i="9"/>
  <c r="AE285" i="9" s="1"/>
  <c r="AD286" i="9"/>
  <c r="AE286" i="9" s="1"/>
  <c r="AD287" i="9"/>
  <c r="AE287" i="9" s="1"/>
  <c r="AD288" i="9"/>
  <c r="AE288" i="9" s="1"/>
  <c r="AD289" i="9"/>
  <c r="AE289" i="9" s="1"/>
  <c r="AD290" i="9"/>
  <c r="AE290" i="9" s="1"/>
  <c r="AD291" i="9"/>
  <c r="AE291" i="9" s="1"/>
  <c r="AD292" i="9"/>
  <c r="AE292" i="9" s="1"/>
  <c r="AD293" i="9"/>
  <c r="AE293" i="9" s="1"/>
  <c r="AD294" i="9"/>
  <c r="AE294" i="9" s="1"/>
  <c r="AD295" i="9"/>
  <c r="AE295" i="9" s="1"/>
  <c r="AD296" i="9"/>
  <c r="AE296" i="9" s="1"/>
  <c r="AD297" i="9"/>
  <c r="AE297" i="9" s="1"/>
  <c r="AD298" i="9"/>
  <c r="AE298" i="9" s="1"/>
  <c r="AD299" i="9"/>
  <c r="AE299" i="9" s="1"/>
  <c r="AD300" i="9"/>
  <c r="AE300" i="9" s="1"/>
  <c r="AD301" i="9"/>
  <c r="AE301" i="9" s="1"/>
  <c r="AD302" i="9"/>
  <c r="AE302" i="9" s="1"/>
  <c r="AD303" i="9"/>
  <c r="AE303" i="9" s="1"/>
  <c r="AD304" i="9"/>
  <c r="AE304" i="9" s="1"/>
  <c r="AD305" i="9"/>
  <c r="AE305" i="9" s="1"/>
  <c r="AD306" i="9"/>
  <c r="AE306" i="9" s="1"/>
  <c r="AD307" i="9"/>
  <c r="AE307" i="9" s="1"/>
  <c r="AD308" i="9"/>
  <c r="AE308" i="9" s="1"/>
  <c r="AD309" i="9"/>
  <c r="AE309" i="9" s="1"/>
  <c r="AD310" i="9"/>
  <c r="AE310" i="9" s="1"/>
  <c r="AD311" i="9"/>
  <c r="AE311" i="9" s="1"/>
  <c r="AD312" i="9"/>
  <c r="AE312" i="9" s="1"/>
  <c r="AD313" i="9"/>
  <c r="AE313" i="9" s="1"/>
  <c r="AD314" i="9"/>
  <c r="AE314" i="9" s="1"/>
  <c r="AD315" i="9"/>
  <c r="AE315" i="9" s="1"/>
  <c r="AD316" i="9"/>
  <c r="AE316" i="9" s="1"/>
  <c r="AD317" i="9"/>
  <c r="AE317" i="9" s="1"/>
  <c r="AD318" i="9"/>
  <c r="AE318" i="9" s="1"/>
  <c r="AD319" i="9"/>
  <c r="AE319" i="9" s="1"/>
  <c r="AD320" i="9"/>
  <c r="AE320" i="9" s="1"/>
  <c r="AD321" i="9"/>
  <c r="AE321" i="9" s="1"/>
  <c r="AD322" i="9"/>
  <c r="AE322" i="9" s="1"/>
  <c r="AD323" i="9"/>
  <c r="AE323" i="9" s="1"/>
  <c r="AD324" i="9"/>
  <c r="AE324" i="9" s="1"/>
  <c r="AD325" i="9"/>
  <c r="AE325" i="9" s="1"/>
  <c r="AD326" i="9"/>
  <c r="AE326" i="9" s="1"/>
  <c r="AD327" i="9"/>
  <c r="AE327" i="9" s="1"/>
  <c r="AD328" i="9"/>
  <c r="AE328" i="9" s="1"/>
  <c r="AD329" i="9"/>
  <c r="AE329" i="9" s="1"/>
  <c r="AD330" i="9"/>
  <c r="AE330" i="9" s="1"/>
  <c r="AD331" i="9"/>
  <c r="AE331" i="9" s="1"/>
  <c r="AD332" i="9"/>
  <c r="AE332" i="9" s="1"/>
  <c r="AD333" i="9"/>
  <c r="AE333" i="9" s="1"/>
  <c r="AD334" i="9"/>
  <c r="AE334" i="9" s="1"/>
  <c r="AD335" i="9"/>
  <c r="AE335" i="9" s="1"/>
  <c r="AD336" i="9"/>
  <c r="AE336" i="9" s="1"/>
  <c r="AD337" i="9"/>
  <c r="AE337" i="9" s="1"/>
  <c r="AD338" i="9"/>
  <c r="AE338" i="9" s="1"/>
  <c r="AD339" i="9"/>
  <c r="AE339" i="9" s="1"/>
  <c r="AD340" i="9"/>
  <c r="AE340" i="9" s="1"/>
  <c r="AD341" i="9"/>
  <c r="AE341" i="9" s="1"/>
  <c r="AD342" i="9"/>
  <c r="AE342" i="9" s="1"/>
  <c r="AD343" i="9"/>
  <c r="AE343" i="9" s="1"/>
  <c r="AD344" i="9"/>
  <c r="AE344" i="9" s="1"/>
  <c r="AD345" i="9"/>
  <c r="AE345" i="9" s="1"/>
  <c r="AD346" i="9"/>
  <c r="AE346" i="9" s="1"/>
  <c r="AD347" i="9"/>
  <c r="AE347" i="9" s="1"/>
  <c r="AD348" i="9"/>
  <c r="AE348" i="9" s="1"/>
  <c r="AD349" i="9"/>
  <c r="AE349" i="9" s="1"/>
  <c r="AD350" i="9"/>
  <c r="AE350" i="9" s="1"/>
  <c r="AD351" i="9"/>
  <c r="AE351" i="9" s="1"/>
  <c r="AD352" i="9"/>
  <c r="AE352" i="9" s="1"/>
  <c r="AD353" i="9"/>
  <c r="AE353" i="9" s="1"/>
  <c r="AD354" i="9"/>
  <c r="AE354" i="9" s="1"/>
  <c r="AD355" i="9"/>
  <c r="AE355" i="9" s="1"/>
  <c r="AD356" i="9"/>
  <c r="AE356" i="9" s="1"/>
  <c r="AD357" i="9"/>
  <c r="AE357" i="9" s="1"/>
  <c r="AD358" i="9"/>
  <c r="AE358" i="9" s="1"/>
  <c r="AD359" i="9"/>
  <c r="AE359" i="9" s="1"/>
  <c r="AD360" i="9"/>
  <c r="AE360" i="9" s="1"/>
  <c r="AD361" i="9"/>
  <c r="AE361" i="9" s="1"/>
  <c r="AD362" i="9"/>
  <c r="AE362" i="9" s="1"/>
  <c r="AD363" i="9"/>
  <c r="AE363" i="9" s="1"/>
  <c r="AD364" i="9"/>
  <c r="AE364" i="9" s="1"/>
  <c r="AD365" i="9"/>
  <c r="AE365" i="9" s="1"/>
  <c r="AD366" i="9"/>
  <c r="AE366" i="9" s="1"/>
  <c r="AD367" i="9"/>
  <c r="AE367" i="9" s="1"/>
  <c r="AD368" i="9"/>
  <c r="AE368" i="9" s="1"/>
  <c r="AD369" i="9"/>
  <c r="AE369" i="9" s="1"/>
  <c r="AD370" i="9"/>
  <c r="AE370" i="9" s="1"/>
  <c r="AD371" i="9"/>
  <c r="AE371" i="9" s="1"/>
  <c r="AD372" i="9"/>
  <c r="AE372" i="9" s="1"/>
  <c r="AD373" i="9"/>
  <c r="AE373" i="9" s="1"/>
  <c r="AD374" i="9"/>
  <c r="AE374" i="9" s="1"/>
  <c r="AD375" i="9"/>
  <c r="AE375" i="9" s="1"/>
  <c r="AD376" i="9"/>
  <c r="AE376" i="9" s="1"/>
  <c r="AD377" i="9"/>
  <c r="AE377" i="9" s="1"/>
  <c r="AD378" i="9"/>
  <c r="AE378" i="9" s="1"/>
  <c r="AD379" i="9"/>
  <c r="AE379" i="9" s="1"/>
  <c r="AD380" i="9"/>
  <c r="AE380" i="9" s="1"/>
  <c r="AD381" i="9"/>
  <c r="AE381" i="9" s="1"/>
  <c r="AD382" i="9"/>
  <c r="AE382" i="9" s="1"/>
  <c r="AD383" i="9"/>
  <c r="AE383" i="9" s="1"/>
  <c r="AD384" i="9"/>
  <c r="AE384" i="9" s="1"/>
  <c r="AD385" i="9"/>
  <c r="AE385" i="9" s="1"/>
  <c r="AD386" i="9"/>
  <c r="AE386" i="9" s="1"/>
  <c r="AD387" i="9"/>
  <c r="AE387" i="9" s="1"/>
  <c r="AD388" i="9"/>
  <c r="AE388" i="9" s="1"/>
  <c r="AD389" i="9"/>
  <c r="AE389" i="9" s="1"/>
  <c r="AD390" i="9"/>
  <c r="AE390" i="9" s="1"/>
  <c r="AD391" i="9"/>
  <c r="AE391" i="9" s="1"/>
  <c r="AD392" i="9"/>
  <c r="AE392" i="9" s="1"/>
  <c r="AD393" i="9"/>
  <c r="AE393" i="9" s="1"/>
  <c r="AD394" i="9"/>
  <c r="AE394" i="9" s="1"/>
  <c r="AD395" i="9"/>
  <c r="AE395" i="9" s="1"/>
  <c r="AD396" i="9"/>
  <c r="AE396" i="9" s="1"/>
  <c r="AD397" i="9"/>
  <c r="AE397" i="9" s="1"/>
  <c r="AD398" i="9"/>
  <c r="AE398" i="9" s="1"/>
  <c r="AD399" i="9"/>
  <c r="AE399" i="9" s="1"/>
  <c r="AD400" i="9"/>
  <c r="AE400" i="9" s="1"/>
  <c r="AD401" i="9"/>
  <c r="AE401" i="9" s="1"/>
  <c r="AD402" i="9"/>
  <c r="AE402" i="9" s="1"/>
  <c r="AD403" i="9"/>
  <c r="AE403" i="9" s="1"/>
  <c r="AD404" i="9"/>
  <c r="AE404" i="9" s="1"/>
  <c r="AD405" i="9"/>
  <c r="AE405" i="9" s="1"/>
  <c r="AD406" i="9"/>
  <c r="AE406" i="9" s="1"/>
  <c r="AD407" i="9"/>
  <c r="AE407" i="9" s="1"/>
  <c r="AD408" i="9"/>
  <c r="AE408" i="9" s="1"/>
  <c r="AD409" i="9"/>
  <c r="AE409" i="9" s="1"/>
  <c r="AD410" i="9"/>
  <c r="AE410" i="9" s="1"/>
  <c r="AD411" i="9"/>
  <c r="AE411" i="9" s="1"/>
  <c r="AD412" i="9"/>
  <c r="AE412" i="9" s="1"/>
  <c r="AD413" i="9"/>
  <c r="AE413" i="9" s="1"/>
  <c r="AD414" i="9"/>
  <c r="AE414" i="9" s="1"/>
  <c r="AD415" i="9"/>
  <c r="AE415" i="9" s="1"/>
  <c r="AD416" i="9"/>
  <c r="AE416" i="9" s="1"/>
  <c r="AD417" i="9"/>
  <c r="AE417" i="9" s="1"/>
  <c r="AD418" i="9"/>
  <c r="AE418" i="9" s="1"/>
  <c r="AD419" i="9"/>
  <c r="AE419" i="9" s="1"/>
  <c r="AD420" i="9"/>
  <c r="AE420" i="9" s="1"/>
  <c r="AD421" i="9"/>
  <c r="AE421" i="9" s="1"/>
  <c r="AD422" i="9"/>
  <c r="AE422" i="9" s="1"/>
  <c r="AD423" i="9"/>
  <c r="AE423" i="9" s="1"/>
  <c r="AD424" i="9"/>
  <c r="AE424" i="9" s="1"/>
  <c r="AD425" i="9"/>
  <c r="AE425" i="9" s="1"/>
  <c r="AD426" i="9"/>
  <c r="AE426" i="9" s="1"/>
  <c r="AD427" i="9"/>
  <c r="AE427" i="9" s="1"/>
  <c r="AD428" i="9"/>
  <c r="AE428" i="9" s="1"/>
  <c r="AD429" i="9"/>
  <c r="AE429" i="9" s="1"/>
  <c r="AD430" i="9"/>
  <c r="AE430" i="9" s="1"/>
  <c r="AD431" i="9"/>
  <c r="AE431" i="9" s="1"/>
  <c r="AD432" i="9"/>
  <c r="AE432" i="9" s="1"/>
  <c r="AD433" i="9"/>
  <c r="AE433" i="9" s="1"/>
  <c r="AD434" i="9"/>
  <c r="AE434" i="9" s="1"/>
  <c r="AD435" i="9"/>
  <c r="AE435" i="9" s="1"/>
  <c r="AD436" i="9"/>
  <c r="AE436" i="9" s="1"/>
  <c r="AD437" i="9"/>
  <c r="AE437" i="9" s="1"/>
  <c r="AD438" i="9"/>
  <c r="AE438" i="9" s="1"/>
  <c r="AD439" i="9"/>
  <c r="AE439" i="9" s="1"/>
  <c r="AD440" i="9"/>
  <c r="AE440" i="9" s="1"/>
  <c r="AD441" i="9"/>
  <c r="AE441" i="9" s="1"/>
  <c r="AD442" i="9"/>
  <c r="AE442" i="9" s="1"/>
  <c r="AD443" i="9"/>
  <c r="AE443" i="9" s="1"/>
  <c r="AD444" i="9"/>
  <c r="AE444" i="9" s="1"/>
  <c r="AD445" i="9"/>
  <c r="AE445" i="9" s="1"/>
  <c r="AD446" i="9"/>
  <c r="AE446" i="9" s="1"/>
  <c r="AD447" i="9"/>
  <c r="AE447" i="9" s="1"/>
  <c r="AD448" i="9"/>
  <c r="AE448" i="9" s="1"/>
  <c r="AD449" i="9"/>
  <c r="AE449" i="9" s="1"/>
  <c r="AD450" i="9"/>
  <c r="AE450" i="9" s="1"/>
  <c r="AD451" i="9"/>
  <c r="AE451" i="9" s="1"/>
  <c r="AD452" i="9"/>
  <c r="AE452" i="9" s="1"/>
  <c r="AD453" i="9"/>
  <c r="AE453" i="9" s="1"/>
  <c r="AD454" i="9"/>
  <c r="AE454" i="9" s="1"/>
  <c r="AD455" i="9"/>
  <c r="AE455" i="9" s="1"/>
  <c r="AD456" i="9"/>
  <c r="AE456" i="9" s="1"/>
  <c r="AD457" i="9"/>
  <c r="AE457" i="9" s="1"/>
  <c r="AD458" i="9"/>
  <c r="AE458" i="9" s="1"/>
  <c r="AD459" i="9"/>
  <c r="AE459" i="9" s="1"/>
  <c r="AD460" i="9"/>
  <c r="AE460" i="9" s="1"/>
  <c r="AD461" i="9"/>
  <c r="AE461" i="9" s="1"/>
  <c r="AD462" i="9"/>
  <c r="AE462" i="9" s="1"/>
  <c r="AD463" i="9"/>
  <c r="AE463" i="9" s="1"/>
  <c r="AD464" i="9"/>
  <c r="AE464" i="9" s="1"/>
  <c r="AD465" i="9"/>
  <c r="AE465" i="9" s="1"/>
  <c r="AD466" i="9"/>
  <c r="AE466" i="9" s="1"/>
  <c r="AD467" i="9"/>
  <c r="AE467" i="9" s="1"/>
  <c r="AD468" i="9"/>
  <c r="AE468" i="9" s="1"/>
  <c r="AD469" i="9"/>
  <c r="AE469" i="9" s="1"/>
  <c r="AD470" i="9"/>
  <c r="AE470" i="9" s="1"/>
  <c r="AD471" i="9"/>
  <c r="AE471" i="9" s="1"/>
  <c r="AD472" i="9"/>
  <c r="AE472" i="9" s="1"/>
  <c r="AD473" i="9"/>
  <c r="AE473" i="9" s="1"/>
  <c r="AD474" i="9"/>
  <c r="AE474" i="9" s="1"/>
  <c r="AD475" i="9"/>
  <c r="AE475" i="9" s="1"/>
  <c r="AD476" i="9"/>
  <c r="AE476" i="9" s="1"/>
  <c r="AD477" i="9"/>
  <c r="AE477" i="9" s="1"/>
  <c r="AD478" i="9"/>
  <c r="AE478" i="9" s="1"/>
  <c r="AD479" i="9"/>
  <c r="AE479" i="9" s="1"/>
  <c r="AD480" i="9"/>
  <c r="AE480" i="9" s="1"/>
  <c r="AD481" i="9"/>
  <c r="AE481" i="9" s="1"/>
  <c r="AD482" i="9"/>
  <c r="AE482" i="9" s="1"/>
  <c r="AD483" i="9"/>
  <c r="AE483" i="9" s="1"/>
  <c r="AD484" i="9"/>
  <c r="AE484" i="9" s="1"/>
  <c r="AD485" i="9"/>
  <c r="AE485" i="9" s="1"/>
  <c r="AD486" i="9"/>
  <c r="AE486" i="9" s="1"/>
  <c r="AD487" i="9"/>
  <c r="AE487" i="9" s="1"/>
  <c r="AD488" i="9"/>
  <c r="AE488" i="9" s="1"/>
  <c r="AD489" i="9"/>
  <c r="AE489" i="9" s="1"/>
  <c r="AD490" i="9"/>
  <c r="AE490" i="9" s="1"/>
  <c r="AD491" i="9"/>
  <c r="AE491" i="9" s="1"/>
  <c r="AD492" i="9"/>
  <c r="AE492" i="9" s="1"/>
  <c r="AD493" i="9"/>
  <c r="AE493" i="9" s="1"/>
  <c r="AD494" i="9"/>
  <c r="AE494" i="9" s="1"/>
  <c r="AD495" i="9"/>
  <c r="AE495" i="9" s="1"/>
  <c r="AD496" i="9"/>
  <c r="AE496" i="9" s="1"/>
  <c r="AD497" i="9"/>
  <c r="AE497" i="9" s="1"/>
  <c r="AD498" i="9"/>
  <c r="AE498" i="9" s="1"/>
  <c r="AD499" i="9"/>
  <c r="AE499" i="9" s="1"/>
  <c r="AD500" i="9"/>
  <c r="AE500" i="9" s="1"/>
  <c r="AD501" i="9"/>
  <c r="AE501" i="9" s="1"/>
  <c r="AD502" i="9"/>
  <c r="AE502" i="9" s="1"/>
  <c r="AD503" i="9"/>
  <c r="AE503" i="9" s="1"/>
  <c r="AD504" i="9"/>
  <c r="AE504" i="9" s="1"/>
  <c r="AD505" i="9"/>
  <c r="AE505" i="9" s="1"/>
  <c r="AD506" i="9"/>
  <c r="AE506" i="9" s="1"/>
  <c r="AD507" i="9"/>
  <c r="AE507" i="9" s="1"/>
  <c r="AD508" i="9"/>
  <c r="AE508" i="9" s="1"/>
  <c r="AD509" i="9"/>
  <c r="AE509" i="9" s="1"/>
  <c r="AD510" i="9"/>
  <c r="AE510" i="9" s="1"/>
  <c r="AD511" i="9"/>
  <c r="AE511" i="9" s="1"/>
  <c r="AD512" i="9"/>
  <c r="AE512" i="9" s="1"/>
  <c r="AD513" i="9"/>
  <c r="AE513" i="9" s="1"/>
  <c r="AD514" i="9"/>
  <c r="AE514" i="9" s="1"/>
  <c r="AD515" i="9"/>
  <c r="AE515" i="9" s="1"/>
  <c r="AD516" i="9"/>
  <c r="AE516" i="9" s="1"/>
  <c r="AD517" i="9"/>
  <c r="AE517" i="9" s="1"/>
  <c r="AD518" i="9"/>
  <c r="AE518" i="9" s="1"/>
  <c r="AD519" i="9"/>
  <c r="AE519" i="9" s="1"/>
  <c r="AD520" i="9"/>
  <c r="AE520" i="9" s="1"/>
  <c r="AD521" i="9"/>
  <c r="AE521" i="9" s="1"/>
  <c r="AD522" i="9"/>
  <c r="AE522" i="9" s="1"/>
  <c r="AD523" i="9"/>
  <c r="AE523" i="9" s="1"/>
  <c r="AD524" i="9"/>
  <c r="AE524" i="9" s="1"/>
  <c r="AD525" i="9"/>
  <c r="AE525" i="9" s="1"/>
  <c r="AD526" i="9"/>
  <c r="AE526" i="9" s="1"/>
  <c r="AD527" i="9"/>
  <c r="AE527" i="9" s="1"/>
  <c r="AD528" i="9"/>
  <c r="AE528" i="9" s="1"/>
  <c r="AD529" i="9"/>
  <c r="AE529" i="9" s="1"/>
  <c r="AD530" i="9"/>
  <c r="AE530" i="9" s="1"/>
  <c r="AD531" i="9"/>
  <c r="AE531" i="9" s="1"/>
  <c r="AD532" i="9"/>
  <c r="AE532" i="9" s="1"/>
  <c r="AD533" i="9"/>
  <c r="AE533" i="9" s="1"/>
  <c r="AD534" i="9"/>
  <c r="AE534" i="9" s="1"/>
  <c r="AD535" i="9"/>
  <c r="AE535" i="9" s="1"/>
  <c r="AD536" i="9"/>
  <c r="AE536" i="9" s="1"/>
  <c r="AD537" i="9"/>
  <c r="AE537" i="9" s="1"/>
  <c r="AD538" i="9"/>
  <c r="AE538" i="9" s="1"/>
  <c r="AD539" i="9"/>
  <c r="AE539" i="9" s="1"/>
  <c r="AD540" i="9"/>
  <c r="AE540" i="9" s="1"/>
  <c r="AD541" i="9"/>
  <c r="AE541" i="9" s="1"/>
  <c r="AD542" i="9"/>
  <c r="AE542" i="9" s="1"/>
  <c r="AD543" i="9"/>
  <c r="AE543" i="9" s="1"/>
  <c r="AD544" i="9"/>
  <c r="AE544" i="9" s="1"/>
  <c r="AD545" i="9"/>
  <c r="AE545" i="9" s="1"/>
  <c r="AD546" i="9"/>
  <c r="AE546" i="9" s="1"/>
  <c r="AD547" i="9"/>
  <c r="AE547" i="9" s="1"/>
  <c r="AD548" i="9"/>
  <c r="AE548" i="9" s="1"/>
  <c r="AD549" i="9"/>
  <c r="AE549" i="9" s="1"/>
  <c r="AD550" i="9"/>
  <c r="AE550" i="9" s="1"/>
  <c r="AD551" i="9"/>
  <c r="AE551" i="9" s="1"/>
  <c r="AD552" i="9"/>
  <c r="AE552" i="9" s="1"/>
  <c r="AD553" i="9"/>
  <c r="AE553" i="9" s="1"/>
  <c r="AD554" i="9"/>
  <c r="AE554" i="9" s="1"/>
  <c r="AD555" i="9"/>
  <c r="AE555" i="9" s="1"/>
  <c r="AD556" i="9"/>
  <c r="AE556" i="9" s="1"/>
  <c r="AD557" i="9"/>
  <c r="AE557" i="9" s="1"/>
  <c r="AD558" i="9"/>
  <c r="AE558" i="9" s="1"/>
  <c r="AD559" i="9"/>
  <c r="AE559" i="9" s="1"/>
  <c r="AD560" i="9"/>
  <c r="AE560" i="9" s="1"/>
  <c r="AD561" i="9"/>
  <c r="AE561" i="9" s="1"/>
  <c r="AD562" i="9"/>
  <c r="AE562" i="9" s="1"/>
  <c r="AD563" i="9"/>
  <c r="AE563" i="9" s="1"/>
  <c r="AD564" i="9"/>
  <c r="AE564" i="9" s="1"/>
  <c r="AD565" i="9"/>
  <c r="AE565" i="9" s="1"/>
  <c r="AD566" i="9"/>
  <c r="AE566" i="9" s="1"/>
  <c r="AD567" i="9"/>
  <c r="AE567" i="9" s="1"/>
  <c r="AD568" i="9"/>
  <c r="AE568" i="9" s="1"/>
  <c r="AD569" i="9"/>
  <c r="AE569" i="9" s="1"/>
  <c r="AD570" i="9"/>
  <c r="AE570" i="9" s="1"/>
  <c r="AD571" i="9"/>
  <c r="AE571" i="9" s="1"/>
  <c r="AD572" i="9"/>
  <c r="AE572" i="9" s="1"/>
  <c r="AD573" i="9"/>
  <c r="AE573" i="9" s="1"/>
  <c r="AD574" i="9"/>
  <c r="AE574" i="9" s="1"/>
  <c r="AD575" i="9"/>
  <c r="AE575" i="9" s="1"/>
  <c r="AD576" i="9"/>
  <c r="AE576" i="9" s="1"/>
  <c r="AD577" i="9"/>
  <c r="AE577" i="9" s="1"/>
  <c r="AD578" i="9"/>
  <c r="AE578" i="9" s="1"/>
  <c r="AD579" i="9"/>
  <c r="AE579" i="9" s="1"/>
  <c r="AD580" i="9"/>
  <c r="AE580" i="9" s="1"/>
  <c r="AD581" i="9"/>
  <c r="AE581" i="9" s="1"/>
  <c r="AD582" i="9"/>
  <c r="AE582" i="9" s="1"/>
  <c r="AD583" i="9"/>
  <c r="AE583" i="9" s="1"/>
  <c r="AD584" i="9"/>
  <c r="AE584" i="9" s="1"/>
  <c r="AD585" i="9"/>
  <c r="AE585" i="9" s="1"/>
  <c r="AD586" i="9"/>
  <c r="AE586" i="9" s="1"/>
  <c r="AD587" i="9"/>
  <c r="AE587" i="9" s="1"/>
  <c r="AD588" i="9"/>
  <c r="AE588" i="9" s="1"/>
  <c r="AD589" i="9"/>
  <c r="AE589" i="9" s="1"/>
  <c r="AD590" i="9"/>
  <c r="AE590" i="9" s="1"/>
  <c r="AD591" i="9"/>
  <c r="AE591" i="9" s="1"/>
  <c r="AD592" i="9"/>
  <c r="AE592" i="9" s="1"/>
  <c r="AD593" i="9"/>
  <c r="AE593" i="9" s="1"/>
  <c r="AD594" i="9"/>
  <c r="AE594" i="9" s="1"/>
  <c r="AD595" i="9"/>
  <c r="AE595" i="9" s="1"/>
  <c r="AD596" i="9"/>
  <c r="AE596" i="9" s="1"/>
  <c r="AD597" i="9"/>
  <c r="AE597" i="9" s="1"/>
  <c r="AD598" i="9"/>
  <c r="AE598" i="9" s="1"/>
  <c r="AD599" i="9"/>
  <c r="AE599" i="9" s="1"/>
  <c r="AD600" i="9"/>
  <c r="AE600" i="9" s="1"/>
  <c r="AD601" i="9"/>
  <c r="AE601" i="9" s="1"/>
  <c r="AD602" i="9"/>
  <c r="AE602" i="9" s="1"/>
  <c r="AD603" i="9"/>
  <c r="AE603" i="9" s="1"/>
  <c r="AD604" i="9"/>
  <c r="AE604" i="9" s="1"/>
  <c r="AD605" i="9"/>
  <c r="AE605" i="9" s="1"/>
  <c r="AD606" i="9"/>
  <c r="AE606" i="9" s="1"/>
  <c r="AD607" i="9"/>
  <c r="AE607" i="9" s="1"/>
  <c r="AD608" i="9"/>
  <c r="AE608" i="9" s="1"/>
  <c r="AD609" i="9"/>
  <c r="AE609" i="9" s="1"/>
  <c r="AD610" i="9"/>
  <c r="AE610" i="9" s="1"/>
  <c r="AD611" i="9"/>
  <c r="AE611" i="9" s="1"/>
  <c r="AD612" i="9"/>
  <c r="AE612" i="9" s="1"/>
  <c r="AD613" i="9"/>
  <c r="AE613" i="9" s="1"/>
  <c r="AD614" i="9"/>
  <c r="AE614" i="9" s="1"/>
  <c r="AD615" i="9"/>
  <c r="AE615" i="9" s="1"/>
  <c r="AD616" i="9"/>
  <c r="AE616" i="9" s="1"/>
  <c r="AD617" i="9"/>
  <c r="AE617" i="9" s="1"/>
  <c r="AD618" i="9"/>
  <c r="AE618" i="9" s="1"/>
  <c r="AD619" i="9"/>
  <c r="AE619" i="9" s="1"/>
  <c r="AD620" i="9"/>
  <c r="AE620" i="9" s="1"/>
  <c r="AD621" i="9"/>
  <c r="AE621" i="9" s="1"/>
  <c r="AD622" i="9"/>
  <c r="AE622" i="9" s="1"/>
  <c r="AD623" i="9"/>
  <c r="AE623" i="9" s="1"/>
  <c r="AD624" i="9"/>
  <c r="AE624" i="9" s="1"/>
  <c r="AD625" i="9"/>
  <c r="AE625" i="9" s="1"/>
  <c r="AD626" i="9"/>
  <c r="AE626" i="9" s="1"/>
  <c r="AD627" i="9"/>
  <c r="AE627" i="9" s="1"/>
  <c r="AD628" i="9"/>
  <c r="AE628" i="9" s="1"/>
  <c r="AD629" i="9"/>
  <c r="AE629" i="9" s="1"/>
  <c r="AD630" i="9"/>
  <c r="AE630" i="9" s="1"/>
  <c r="AD631" i="9"/>
  <c r="AE631" i="9" s="1"/>
  <c r="AD632" i="9"/>
  <c r="AE632" i="9" s="1"/>
  <c r="AD633" i="9"/>
  <c r="AE633" i="9" s="1"/>
  <c r="AD634" i="9"/>
  <c r="AE634" i="9" s="1"/>
  <c r="AD635" i="9"/>
  <c r="AE635" i="9" s="1"/>
  <c r="AD636" i="9"/>
  <c r="AE636" i="9" s="1"/>
  <c r="AD637" i="9"/>
  <c r="AE637" i="9" s="1"/>
  <c r="AD638" i="9"/>
  <c r="AE638" i="9" s="1"/>
  <c r="AD639" i="9"/>
  <c r="AE639" i="9" s="1"/>
  <c r="AD640" i="9"/>
  <c r="AE640" i="9" s="1"/>
  <c r="AD641" i="9"/>
  <c r="AE641" i="9" s="1"/>
  <c r="AD642" i="9"/>
  <c r="AE642" i="9" s="1"/>
  <c r="AD643" i="9"/>
  <c r="AE643" i="9" s="1"/>
  <c r="AD644" i="9"/>
  <c r="AE644" i="9" s="1"/>
  <c r="AD645" i="9"/>
  <c r="AE645" i="9" s="1"/>
  <c r="AD646" i="9"/>
  <c r="AE646" i="9" s="1"/>
  <c r="AD647" i="9"/>
  <c r="AE647" i="9" s="1"/>
  <c r="AD648" i="9"/>
  <c r="AE648" i="9" s="1"/>
  <c r="AD649" i="9"/>
  <c r="AE649" i="9" s="1"/>
  <c r="AD650" i="9"/>
  <c r="AE650" i="9" s="1"/>
  <c r="AD651" i="9"/>
  <c r="AE651" i="9" s="1"/>
  <c r="AD652" i="9"/>
  <c r="AE652" i="9" s="1"/>
  <c r="AD653" i="9"/>
  <c r="AE653" i="9" s="1"/>
  <c r="AD654" i="9"/>
  <c r="AE654" i="9" s="1"/>
  <c r="AD655" i="9"/>
  <c r="AE655" i="9" s="1"/>
  <c r="AD656" i="9"/>
  <c r="AE656" i="9" s="1"/>
  <c r="AD657" i="9"/>
  <c r="AE657" i="9" s="1"/>
  <c r="AD658" i="9"/>
  <c r="AE658" i="9" s="1"/>
  <c r="AD659" i="9"/>
  <c r="AE659" i="9" s="1"/>
  <c r="AD660" i="9"/>
  <c r="AE660" i="9" s="1"/>
  <c r="AD661" i="9"/>
  <c r="AE661" i="9" s="1"/>
  <c r="AD662" i="9"/>
  <c r="AE662" i="9" s="1"/>
  <c r="AD663" i="9"/>
  <c r="AE663" i="9" s="1"/>
  <c r="AD664" i="9"/>
  <c r="AE664" i="9" s="1"/>
  <c r="AD665" i="9"/>
  <c r="AE665" i="9" s="1"/>
  <c r="AD666" i="9"/>
  <c r="AE666" i="9" s="1"/>
  <c r="AD667" i="9"/>
  <c r="AE667" i="9" s="1"/>
  <c r="AD668" i="9"/>
  <c r="AE668" i="9" s="1"/>
  <c r="AD669" i="9"/>
  <c r="AE669" i="9" s="1"/>
  <c r="AD670" i="9"/>
  <c r="AE670" i="9" s="1"/>
  <c r="AD671" i="9"/>
  <c r="AE671" i="9" s="1"/>
  <c r="AD672" i="9"/>
  <c r="AE672" i="9" s="1"/>
  <c r="AD673" i="9"/>
  <c r="AE673" i="9" s="1"/>
  <c r="AD674" i="9"/>
  <c r="AE674" i="9" s="1"/>
  <c r="AD675" i="9"/>
  <c r="AE675" i="9" s="1"/>
  <c r="AD676" i="9"/>
  <c r="AE676" i="9" s="1"/>
  <c r="AD677" i="9"/>
  <c r="AE677" i="9" s="1"/>
  <c r="AD678" i="9"/>
  <c r="AE678" i="9" s="1"/>
  <c r="AD679" i="9"/>
  <c r="AE679" i="9" s="1"/>
  <c r="AD680" i="9"/>
  <c r="AE680" i="9" s="1"/>
  <c r="AD681" i="9"/>
  <c r="AE681" i="9" s="1"/>
  <c r="AD682" i="9"/>
  <c r="AE682" i="9" s="1"/>
  <c r="AD683" i="9"/>
  <c r="AE683" i="9" s="1"/>
  <c r="AD684" i="9"/>
  <c r="AE684" i="9" s="1"/>
  <c r="AD685" i="9"/>
  <c r="AE685" i="9" s="1"/>
  <c r="AD686" i="9"/>
  <c r="AE686" i="9" s="1"/>
  <c r="AD687" i="9"/>
  <c r="AE687" i="9" s="1"/>
  <c r="AD688" i="9"/>
  <c r="AE688" i="9" s="1"/>
  <c r="AD689" i="9"/>
  <c r="AE689" i="9" s="1"/>
  <c r="AD690" i="9"/>
  <c r="AE690" i="9" s="1"/>
  <c r="AD691" i="9"/>
  <c r="AE691" i="9" s="1"/>
  <c r="AD692" i="9"/>
  <c r="AE692" i="9" s="1"/>
  <c r="AD693" i="9"/>
  <c r="AE693" i="9" s="1"/>
  <c r="AD694" i="9"/>
  <c r="AE694" i="9" s="1"/>
  <c r="AD695" i="9"/>
  <c r="AE695" i="9" s="1"/>
  <c r="AD696" i="9"/>
  <c r="AE696" i="9" s="1"/>
  <c r="AD697" i="9"/>
  <c r="AE697" i="9" s="1"/>
  <c r="AD698" i="9"/>
  <c r="AE698" i="9" s="1"/>
  <c r="AD699" i="9"/>
  <c r="AE699" i="9" s="1"/>
  <c r="AD700" i="9"/>
  <c r="AE700" i="9" s="1"/>
  <c r="AD701" i="9"/>
  <c r="AE701" i="9" s="1"/>
  <c r="AD702" i="9"/>
  <c r="AE702" i="9" s="1"/>
  <c r="AD703" i="9"/>
  <c r="AE703" i="9" s="1"/>
  <c r="AD704" i="9"/>
  <c r="AE704" i="9" s="1"/>
  <c r="AD705" i="9"/>
  <c r="AE705" i="9" s="1"/>
  <c r="AD706" i="9"/>
  <c r="AE706" i="9" s="1"/>
  <c r="AD707" i="9"/>
  <c r="AE707" i="9" s="1"/>
  <c r="AD708" i="9"/>
  <c r="AE708" i="9" s="1"/>
  <c r="AD709" i="9"/>
  <c r="AE709" i="9" s="1"/>
  <c r="AD710" i="9"/>
  <c r="AE710" i="9" s="1"/>
  <c r="AD711" i="9"/>
  <c r="AE711" i="9" s="1"/>
  <c r="AD712" i="9"/>
  <c r="AE712" i="9" s="1"/>
  <c r="AD713" i="9"/>
  <c r="AE713" i="9" s="1"/>
  <c r="AD714" i="9"/>
  <c r="AE714" i="9" s="1"/>
  <c r="AD715" i="9"/>
  <c r="AE715" i="9" s="1"/>
  <c r="AD716" i="9"/>
  <c r="AE716" i="9" s="1"/>
  <c r="AD717" i="9"/>
  <c r="AE717" i="9" s="1"/>
  <c r="AD718" i="9"/>
  <c r="AE718" i="9" s="1"/>
  <c r="AD719" i="9"/>
  <c r="AE719" i="9" s="1"/>
  <c r="AD720" i="9"/>
  <c r="AE720" i="9" s="1"/>
  <c r="AD721" i="9"/>
  <c r="AE721" i="9" s="1"/>
  <c r="AD722" i="9"/>
  <c r="AE722" i="9" s="1"/>
  <c r="AD723" i="9"/>
  <c r="AE723" i="9" s="1"/>
  <c r="AD724" i="9"/>
  <c r="AE724" i="9" s="1"/>
  <c r="AD725" i="9"/>
  <c r="AE725" i="9" s="1"/>
  <c r="AD726" i="9"/>
  <c r="AE726" i="9" s="1"/>
  <c r="AD727" i="9"/>
  <c r="AE727" i="9" s="1"/>
  <c r="AD728" i="9"/>
  <c r="AE728" i="9" s="1"/>
  <c r="AD729" i="9"/>
  <c r="AE729" i="9" s="1"/>
  <c r="AD730" i="9"/>
  <c r="AE730" i="9" s="1"/>
  <c r="AD731" i="9"/>
  <c r="AE731" i="9" s="1"/>
  <c r="AD12" i="9"/>
  <c r="AE12" i="9" s="1"/>
  <c r="V6" i="9"/>
  <c r="U6" i="9"/>
  <c r="W6" i="9" s="1"/>
  <c r="T6" i="9"/>
  <c r="U87" i="9"/>
  <c r="V87" i="9"/>
  <c r="U88" i="9"/>
  <c r="V88" i="9"/>
  <c r="U89" i="9"/>
  <c r="V89" i="9"/>
  <c r="U90" i="9"/>
  <c r="V90" i="9"/>
  <c r="U91" i="9"/>
  <c r="V91" i="9"/>
  <c r="U92" i="9"/>
  <c r="V92" i="9"/>
  <c r="U93" i="9"/>
  <c r="V93" i="9"/>
  <c r="U94" i="9"/>
  <c r="V94" i="9"/>
  <c r="U95" i="9"/>
  <c r="V95" i="9"/>
  <c r="U96" i="9"/>
  <c r="V96" i="9"/>
  <c r="U97" i="9"/>
  <c r="V97" i="9"/>
  <c r="U98" i="9"/>
  <c r="V98" i="9"/>
  <c r="U99" i="9"/>
  <c r="V99" i="9"/>
  <c r="U100" i="9"/>
  <c r="V100" i="9"/>
  <c r="U101" i="9"/>
  <c r="V101" i="9"/>
  <c r="U102" i="9"/>
  <c r="V102" i="9"/>
  <c r="U103" i="9"/>
  <c r="V103" i="9"/>
  <c r="U104" i="9"/>
  <c r="V104" i="9"/>
  <c r="U105" i="9"/>
  <c r="V105" i="9"/>
  <c r="U106" i="9"/>
  <c r="V106" i="9"/>
  <c r="U107" i="9"/>
  <c r="V107" i="9"/>
  <c r="U108" i="9"/>
  <c r="V108" i="9"/>
  <c r="U109" i="9"/>
  <c r="V109" i="9"/>
  <c r="U110" i="9"/>
  <c r="V110" i="9"/>
  <c r="U111" i="9"/>
  <c r="V111" i="9"/>
  <c r="U112" i="9"/>
  <c r="V112" i="9"/>
  <c r="U113" i="9"/>
  <c r="V113" i="9"/>
  <c r="U114" i="9"/>
  <c r="V114" i="9"/>
  <c r="U115" i="9"/>
  <c r="V115" i="9"/>
  <c r="U116" i="9"/>
  <c r="V116" i="9"/>
  <c r="U117" i="9"/>
  <c r="V117" i="9"/>
  <c r="U118" i="9"/>
  <c r="V118" i="9"/>
  <c r="U119" i="9"/>
  <c r="V119" i="9"/>
  <c r="U120" i="9"/>
  <c r="V120" i="9"/>
  <c r="U121" i="9"/>
  <c r="V121" i="9"/>
  <c r="U122" i="9"/>
  <c r="V122" i="9"/>
  <c r="U123" i="9"/>
  <c r="V123" i="9"/>
  <c r="U124" i="9"/>
  <c r="V124" i="9"/>
  <c r="U125" i="9"/>
  <c r="V125" i="9"/>
  <c r="U126" i="9"/>
  <c r="V126" i="9"/>
  <c r="U127" i="9"/>
  <c r="V127" i="9"/>
  <c r="U128" i="9"/>
  <c r="V128" i="9"/>
  <c r="U129" i="9"/>
  <c r="V129" i="9"/>
  <c r="U130" i="9"/>
  <c r="V130" i="9"/>
  <c r="U131" i="9"/>
  <c r="V131" i="9"/>
  <c r="U132" i="9"/>
  <c r="V132" i="9"/>
  <c r="U133" i="9"/>
  <c r="V133" i="9"/>
  <c r="U134" i="9"/>
  <c r="V134" i="9"/>
  <c r="U135" i="9"/>
  <c r="V135" i="9"/>
  <c r="U136" i="9"/>
  <c r="V136" i="9"/>
  <c r="U137" i="9"/>
  <c r="V137" i="9"/>
  <c r="U138" i="9"/>
  <c r="V138" i="9"/>
  <c r="U139" i="9"/>
  <c r="V139" i="9"/>
  <c r="U140" i="9"/>
  <c r="V140" i="9"/>
  <c r="U141" i="9"/>
  <c r="V141" i="9"/>
  <c r="U142" i="9"/>
  <c r="V142" i="9"/>
  <c r="U143" i="9"/>
  <c r="V143" i="9"/>
  <c r="U144" i="9"/>
  <c r="V144" i="9"/>
  <c r="U145" i="9"/>
  <c r="V145" i="9"/>
  <c r="U146" i="9"/>
  <c r="V146" i="9"/>
  <c r="U147" i="9"/>
  <c r="V147" i="9"/>
  <c r="U148" i="9"/>
  <c r="V148" i="9"/>
  <c r="U149" i="9"/>
  <c r="V149" i="9"/>
  <c r="U150" i="9"/>
  <c r="V150" i="9"/>
  <c r="U151" i="9"/>
  <c r="V151" i="9"/>
  <c r="U152" i="9"/>
  <c r="V152" i="9"/>
  <c r="U153" i="9"/>
  <c r="V153" i="9"/>
  <c r="U154" i="9"/>
  <c r="V154" i="9"/>
  <c r="U155" i="9"/>
  <c r="V155" i="9"/>
  <c r="U156" i="9"/>
  <c r="V156" i="9"/>
  <c r="U157" i="9"/>
  <c r="V157" i="9"/>
  <c r="U158" i="9"/>
  <c r="V158" i="9"/>
  <c r="U159" i="9"/>
  <c r="V159" i="9"/>
  <c r="U160" i="9"/>
  <c r="V160" i="9"/>
  <c r="U161" i="9"/>
  <c r="V161" i="9"/>
  <c r="U162" i="9"/>
  <c r="V162" i="9"/>
  <c r="U163" i="9"/>
  <c r="V163" i="9"/>
  <c r="U164" i="9"/>
  <c r="V164" i="9"/>
  <c r="U165" i="9"/>
  <c r="V165" i="9"/>
  <c r="U166" i="9"/>
  <c r="V166" i="9"/>
  <c r="U167" i="9"/>
  <c r="V167" i="9"/>
  <c r="U168" i="9"/>
  <c r="V168" i="9"/>
  <c r="U169" i="9"/>
  <c r="V169" i="9"/>
  <c r="U170" i="9"/>
  <c r="V170" i="9"/>
  <c r="U171" i="9"/>
  <c r="V171" i="9"/>
  <c r="U172" i="9"/>
  <c r="V172" i="9"/>
  <c r="U173" i="9"/>
  <c r="V173" i="9"/>
  <c r="U174" i="9"/>
  <c r="V174" i="9"/>
  <c r="U175" i="9"/>
  <c r="V175" i="9"/>
  <c r="U176" i="9"/>
  <c r="V176" i="9"/>
  <c r="U177" i="9"/>
  <c r="V177" i="9"/>
  <c r="U178" i="9"/>
  <c r="V178" i="9"/>
  <c r="U179" i="9"/>
  <c r="V179" i="9"/>
  <c r="U180" i="9"/>
  <c r="V180" i="9"/>
  <c r="U181" i="9"/>
  <c r="V181" i="9"/>
  <c r="U182" i="9"/>
  <c r="V182" i="9"/>
  <c r="U183" i="9"/>
  <c r="V183" i="9"/>
  <c r="U184" i="9"/>
  <c r="V184" i="9"/>
  <c r="U185" i="9"/>
  <c r="V185" i="9"/>
  <c r="U186" i="9"/>
  <c r="V186" i="9"/>
  <c r="U187" i="9"/>
  <c r="V187" i="9"/>
  <c r="U188" i="9"/>
  <c r="V188" i="9"/>
  <c r="U189" i="9"/>
  <c r="V189" i="9"/>
  <c r="U190" i="9"/>
  <c r="V190" i="9"/>
  <c r="U191" i="9"/>
  <c r="V191" i="9"/>
  <c r="U192" i="9"/>
  <c r="V192" i="9"/>
  <c r="U193" i="9"/>
  <c r="V193" i="9"/>
  <c r="U194" i="9"/>
  <c r="V194" i="9"/>
  <c r="U195" i="9"/>
  <c r="V195" i="9"/>
  <c r="U196" i="9"/>
  <c r="V196" i="9"/>
  <c r="U197" i="9"/>
  <c r="V197" i="9"/>
  <c r="U198" i="9"/>
  <c r="V198" i="9"/>
  <c r="U199" i="9"/>
  <c r="V199" i="9"/>
  <c r="U200" i="9"/>
  <c r="V200" i="9"/>
  <c r="U201" i="9"/>
  <c r="V201" i="9"/>
  <c r="U202" i="9"/>
  <c r="V202" i="9"/>
  <c r="U203" i="9"/>
  <c r="V203" i="9"/>
  <c r="U204" i="9"/>
  <c r="V204" i="9"/>
  <c r="U205" i="9"/>
  <c r="V205" i="9"/>
  <c r="U206" i="9"/>
  <c r="V206" i="9"/>
  <c r="U207" i="9"/>
  <c r="V207" i="9"/>
  <c r="U208" i="9"/>
  <c r="V208" i="9"/>
  <c r="U209" i="9"/>
  <c r="V209" i="9"/>
  <c r="U210" i="9"/>
  <c r="V210" i="9"/>
  <c r="U211" i="9"/>
  <c r="V211" i="9"/>
  <c r="U212" i="9"/>
  <c r="V212" i="9"/>
  <c r="U213" i="9"/>
  <c r="V213" i="9"/>
  <c r="U214" i="9"/>
  <c r="V214" i="9"/>
  <c r="U215" i="9"/>
  <c r="V215" i="9"/>
  <c r="U216" i="9"/>
  <c r="V216" i="9"/>
  <c r="U217" i="9"/>
  <c r="V217" i="9"/>
  <c r="U218" i="9"/>
  <c r="V218" i="9"/>
  <c r="U219" i="9"/>
  <c r="V219" i="9"/>
  <c r="U220" i="9"/>
  <c r="V220" i="9"/>
  <c r="U221" i="9"/>
  <c r="V221" i="9"/>
  <c r="U222" i="9"/>
  <c r="V222" i="9"/>
  <c r="U223" i="9"/>
  <c r="V223" i="9"/>
  <c r="U224" i="9"/>
  <c r="V224" i="9"/>
  <c r="U225" i="9"/>
  <c r="V225" i="9"/>
  <c r="U226" i="9"/>
  <c r="V226" i="9"/>
  <c r="U227" i="9"/>
  <c r="V227" i="9"/>
  <c r="U228" i="9"/>
  <c r="V228" i="9"/>
  <c r="U229" i="9"/>
  <c r="V229" i="9"/>
  <c r="U230" i="9"/>
  <c r="V230" i="9"/>
  <c r="U231" i="9"/>
  <c r="V231" i="9"/>
  <c r="U232" i="9"/>
  <c r="V232" i="9"/>
  <c r="U233" i="9"/>
  <c r="V233" i="9"/>
  <c r="U234" i="9"/>
  <c r="V234" i="9"/>
  <c r="U235" i="9"/>
  <c r="V235" i="9"/>
  <c r="U236" i="9"/>
  <c r="V236" i="9"/>
  <c r="U237" i="9"/>
  <c r="V237" i="9"/>
  <c r="U238" i="9"/>
  <c r="V238" i="9"/>
  <c r="U239" i="9"/>
  <c r="V239" i="9"/>
  <c r="U240" i="9"/>
  <c r="V240" i="9"/>
  <c r="U241" i="9"/>
  <c r="V241" i="9"/>
  <c r="U242" i="9"/>
  <c r="V242" i="9"/>
  <c r="U243" i="9"/>
  <c r="V243" i="9"/>
  <c r="U244" i="9"/>
  <c r="V244" i="9"/>
  <c r="U245" i="9"/>
  <c r="V245" i="9"/>
  <c r="U246" i="9"/>
  <c r="V246" i="9"/>
  <c r="U247" i="9"/>
  <c r="V247" i="9"/>
  <c r="U248" i="9"/>
  <c r="V248" i="9"/>
  <c r="U249" i="9"/>
  <c r="V249" i="9"/>
  <c r="U250" i="9"/>
  <c r="V250" i="9"/>
  <c r="U251" i="9"/>
  <c r="V251" i="9"/>
  <c r="U252" i="9"/>
  <c r="V252" i="9"/>
  <c r="U253" i="9"/>
  <c r="V253" i="9"/>
  <c r="U254" i="9"/>
  <c r="V254" i="9"/>
  <c r="U255" i="9"/>
  <c r="V255" i="9"/>
  <c r="U256" i="9"/>
  <c r="V256" i="9"/>
  <c r="U257" i="9"/>
  <c r="V257" i="9"/>
  <c r="U258" i="9"/>
  <c r="V258" i="9"/>
  <c r="U259" i="9"/>
  <c r="V259" i="9"/>
  <c r="U260" i="9"/>
  <c r="V260" i="9"/>
  <c r="U261" i="9"/>
  <c r="V261" i="9"/>
  <c r="U262" i="9"/>
  <c r="V262" i="9"/>
  <c r="U263" i="9"/>
  <c r="V263" i="9"/>
  <c r="U264" i="9"/>
  <c r="V264" i="9"/>
  <c r="U265" i="9"/>
  <c r="V265" i="9"/>
  <c r="U266" i="9"/>
  <c r="V266" i="9"/>
  <c r="U267" i="9"/>
  <c r="V267" i="9"/>
  <c r="U268" i="9"/>
  <c r="V268" i="9"/>
  <c r="U269" i="9"/>
  <c r="V269" i="9"/>
  <c r="U270" i="9"/>
  <c r="V270" i="9"/>
  <c r="U271" i="9"/>
  <c r="V271" i="9"/>
  <c r="U272" i="9"/>
  <c r="V272" i="9"/>
  <c r="U273" i="9"/>
  <c r="V273" i="9"/>
  <c r="U274" i="9"/>
  <c r="V274" i="9"/>
  <c r="U275" i="9"/>
  <c r="V275" i="9"/>
  <c r="U276" i="9"/>
  <c r="V276" i="9"/>
  <c r="U277" i="9"/>
  <c r="V277" i="9"/>
  <c r="U278" i="9"/>
  <c r="V278" i="9"/>
  <c r="U279" i="9"/>
  <c r="V279" i="9"/>
  <c r="U280" i="9"/>
  <c r="V280" i="9"/>
  <c r="U281" i="9"/>
  <c r="V281" i="9"/>
  <c r="U282" i="9"/>
  <c r="V282" i="9"/>
  <c r="U283" i="9"/>
  <c r="V283" i="9"/>
  <c r="U284" i="9"/>
  <c r="V284" i="9"/>
  <c r="U285" i="9"/>
  <c r="V285" i="9"/>
  <c r="U286" i="9"/>
  <c r="V286" i="9"/>
  <c r="U287" i="9"/>
  <c r="V287" i="9"/>
  <c r="U288" i="9"/>
  <c r="V288" i="9"/>
  <c r="U289" i="9"/>
  <c r="V289" i="9"/>
  <c r="U290" i="9"/>
  <c r="V290" i="9"/>
  <c r="U291" i="9"/>
  <c r="V291" i="9"/>
  <c r="U292" i="9"/>
  <c r="V292" i="9"/>
  <c r="U293" i="9"/>
  <c r="V293" i="9"/>
  <c r="U294" i="9"/>
  <c r="V294" i="9"/>
  <c r="U295" i="9"/>
  <c r="V295" i="9"/>
  <c r="U296" i="9"/>
  <c r="V296" i="9"/>
  <c r="U297" i="9"/>
  <c r="V297" i="9"/>
  <c r="U298" i="9"/>
  <c r="V298" i="9"/>
  <c r="U299" i="9"/>
  <c r="V299" i="9"/>
  <c r="U300" i="9"/>
  <c r="V300" i="9"/>
  <c r="U301" i="9"/>
  <c r="V301" i="9"/>
  <c r="U302" i="9"/>
  <c r="V302" i="9"/>
  <c r="U303" i="9"/>
  <c r="V303" i="9"/>
  <c r="U304" i="9"/>
  <c r="V304" i="9"/>
  <c r="U305" i="9"/>
  <c r="V305" i="9"/>
  <c r="U306" i="9"/>
  <c r="V306" i="9"/>
  <c r="U307" i="9"/>
  <c r="V307" i="9"/>
  <c r="U308" i="9"/>
  <c r="V308" i="9"/>
  <c r="U309" i="9"/>
  <c r="V309" i="9"/>
  <c r="U310" i="9"/>
  <c r="V310" i="9"/>
  <c r="U311" i="9"/>
  <c r="V311" i="9"/>
  <c r="U312" i="9"/>
  <c r="V312" i="9"/>
  <c r="U313" i="9"/>
  <c r="V313" i="9"/>
  <c r="U314" i="9"/>
  <c r="V314" i="9"/>
  <c r="U315" i="9"/>
  <c r="V315" i="9"/>
  <c r="U316" i="9"/>
  <c r="V316" i="9"/>
  <c r="U317" i="9"/>
  <c r="V317" i="9"/>
  <c r="U318" i="9"/>
  <c r="V318" i="9"/>
  <c r="U319" i="9"/>
  <c r="V319" i="9"/>
  <c r="U320" i="9"/>
  <c r="V320" i="9"/>
  <c r="U321" i="9"/>
  <c r="V321" i="9"/>
  <c r="U322" i="9"/>
  <c r="V322" i="9"/>
  <c r="U323" i="9"/>
  <c r="V323" i="9"/>
  <c r="U324" i="9"/>
  <c r="V324" i="9"/>
  <c r="U325" i="9"/>
  <c r="V325" i="9"/>
  <c r="U326" i="9"/>
  <c r="V326" i="9"/>
  <c r="U327" i="9"/>
  <c r="V327" i="9"/>
  <c r="U328" i="9"/>
  <c r="V328" i="9"/>
  <c r="U329" i="9"/>
  <c r="V329" i="9"/>
  <c r="U330" i="9"/>
  <c r="V330" i="9"/>
  <c r="U331" i="9"/>
  <c r="V331" i="9"/>
  <c r="U332" i="9"/>
  <c r="V332" i="9"/>
  <c r="U333" i="9"/>
  <c r="V333" i="9"/>
  <c r="U334" i="9"/>
  <c r="V334" i="9"/>
  <c r="U335" i="9"/>
  <c r="V335" i="9"/>
  <c r="U336" i="9"/>
  <c r="V336" i="9"/>
  <c r="U337" i="9"/>
  <c r="V337" i="9"/>
  <c r="U338" i="9"/>
  <c r="V338" i="9"/>
  <c r="U339" i="9"/>
  <c r="V339" i="9"/>
  <c r="U340" i="9"/>
  <c r="V340" i="9"/>
  <c r="U341" i="9"/>
  <c r="V341" i="9"/>
  <c r="U342" i="9"/>
  <c r="V342" i="9"/>
  <c r="U343" i="9"/>
  <c r="V343" i="9"/>
  <c r="U344" i="9"/>
  <c r="V344" i="9"/>
  <c r="U345" i="9"/>
  <c r="V345" i="9"/>
  <c r="U346" i="9"/>
  <c r="V346" i="9"/>
  <c r="U347" i="9"/>
  <c r="V347" i="9"/>
  <c r="U348" i="9"/>
  <c r="V348" i="9"/>
  <c r="U349" i="9"/>
  <c r="V349" i="9"/>
  <c r="U350" i="9"/>
  <c r="V350" i="9"/>
  <c r="U351" i="9"/>
  <c r="V351" i="9"/>
  <c r="U352" i="9"/>
  <c r="V352" i="9"/>
  <c r="U353" i="9"/>
  <c r="V353" i="9"/>
  <c r="U354" i="9"/>
  <c r="V354" i="9"/>
  <c r="U355" i="9"/>
  <c r="V355" i="9"/>
  <c r="U356" i="9"/>
  <c r="V356" i="9"/>
  <c r="U357" i="9"/>
  <c r="V357" i="9"/>
  <c r="U358" i="9"/>
  <c r="V358" i="9"/>
  <c r="U359" i="9"/>
  <c r="V359" i="9"/>
  <c r="U360" i="9"/>
  <c r="V360" i="9"/>
  <c r="U361" i="9"/>
  <c r="V361" i="9"/>
  <c r="U362" i="9"/>
  <c r="V362" i="9"/>
  <c r="U363" i="9"/>
  <c r="V363" i="9"/>
  <c r="U364" i="9"/>
  <c r="V364" i="9"/>
  <c r="U365" i="9"/>
  <c r="V365" i="9"/>
  <c r="U366" i="9"/>
  <c r="V366" i="9"/>
  <c r="U367" i="9"/>
  <c r="V367" i="9"/>
  <c r="U368" i="9"/>
  <c r="V368" i="9"/>
  <c r="U369" i="9"/>
  <c r="V369" i="9"/>
  <c r="U370" i="9"/>
  <c r="V370" i="9"/>
  <c r="U371" i="9"/>
  <c r="V371" i="9"/>
  <c r="U372" i="9"/>
  <c r="V372" i="9"/>
  <c r="U373" i="9"/>
  <c r="V373" i="9"/>
  <c r="U374" i="9"/>
  <c r="V374" i="9"/>
  <c r="U375" i="9"/>
  <c r="V375" i="9"/>
  <c r="U376" i="9"/>
  <c r="V376" i="9"/>
  <c r="U377" i="9"/>
  <c r="V377" i="9"/>
  <c r="U378" i="9"/>
  <c r="V378" i="9"/>
  <c r="U379" i="9"/>
  <c r="V379" i="9"/>
  <c r="U380" i="9"/>
  <c r="V380" i="9"/>
  <c r="U381" i="9"/>
  <c r="V381" i="9"/>
  <c r="U382" i="9"/>
  <c r="V382" i="9"/>
  <c r="U383" i="9"/>
  <c r="V383" i="9"/>
  <c r="U384" i="9"/>
  <c r="V384" i="9"/>
  <c r="U385" i="9"/>
  <c r="V385" i="9"/>
  <c r="U386" i="9"/>
  <c r="V386" i="9"/>
  <c r="U387" i="9"/>
  <c r="V387" i="9"/>
  <c r="U388" i="9"/>
  <c r="V388" i="9"/>
  <c r="U389" i="9"/>
  <c r="V389" i="9"/>
  <c r="U390" i="9"/>
  <c r="V390" i="9"/>
  <c r="U391" i="9"/>
  <c r="V391" i="9"/>
  <c r="U392" i="9"/>
  <c r="V392" i="9"/>
  <c r="U393" i="9"/>
  <c r="V393" i="9"/>
  <c r="U394" i="9"/>
  <c r="V394" i="9"/>
  <c r="U395" i="9"/>
  <c r="V395" i="9"/>
  <c r="U396" i="9"/>
  <c r="V396" i="9"/>
  <c r="U397" i="9"/>
  <c r="V397" i="9"/>
  <c r="U398" i="9"/>
  <c r="V398" i="9"/>
  <c r="U399" i="9"/>
  <c r="V399" i="9"/>
  <c r="U400" i="9"/>
  <c r="V400" i="9"/>
  <c r="U401" i="9"/>
  <c r="V401" i="9"/>
  <c r="U402" i="9"/>
  <c r="V402" i="9"/>
  <c r="U403" i="9"/>
  <c r="V403" i="9"/>
  <c r="U404" i="9"/>
  <c r="V404" i="9"/>
  <c r="U405" i="9"/>
  <c r="V405" i="9"/>
  <c r="U406" i="9"/>
  <c r="V406" i="9"/>
  <c r="U407" i="9"/>
  <c r="V407" i="9"/>
  <c r="U408" i="9"/>
  <c r="V408" i="9"/>
  <c r="U409" i="9"/>
  <c r="V409" i="9"/>
  <c r="U410" i="9"/>
  <c r="V410" i="9"/>
  <c r="U411" i="9"/>
  <c r="V411" i="9"/>
  <c r="U412" i="9"/>
  <c r="V412" i="9"/>
  <c r="U413" i="9"/>
  <c r="V413" i="9"/>
  <c r="U414" i="9"/>
  <c r="V414" i="9"/>
  <c r="U415" i="9"/>
  <c r="V415" i="9"/>
  <c r="U416" i="9"/>
  <c r="V416" i="9"/>
  <c r="U417" i="9"/>
  <c r="V417" i="9"/>
  <c r="U418" i="9"/>
  <c r="V418" i="9"/>
  <c r="U419" i="9"/>
  <c r="V419" i="9"/>
  <c r="U420" i="9"/>
  <c r="V420" i="9"/>
  <c r="U421" i="9"/>
  <c r="V421" i="9"/>
  <c r="U422" i="9"/>
  <c r="V422" i="9"/>
  <c r="U423" i="9"/>
  <c r="V423" i="9"/>
  <c r="U424" i="9"/>
  <c r="V424" i="9"/>
  <c r="U425" i="9"/>
  <c r="V425" i="9"/>
  <c r="U426" i="9"/>
  <c r="V426" i="9"/>
  <c r="U427" i="9"/>
  <c r="V427" i="9"/>
  <c r="U428" i="9"/>
  <c r="V428" i="9"/>
  <c r="U429" i="9"/>
  <c r="V429" i="9"/>
  <c r="U430" i="9"/>
  <c r="V430" i="9"/>
  <c r="U431" i="9"/>
  <c r="V431" i="9"/>
  <c r="U432" i="9"/>
  <c r="V432" i="9"/>
  <c r="U433" i="9"/>
  <c r="V433" i="9"/>
  <c r="U434" i="9"/>
  <c r="V434" i="9"/>
  <c r="U435" i="9"/>
  <c r="V435" i="9"/>
  <c r="U436" i="9"/>
  <c r="V436" i="9"/>
  <c r="U437" i="9"/>
  <c r="V437" i="9"/>
  <c r="U438" i="9"/>
  <c r="V438" i="9"/>
  <c r="U439" i="9"/>
  <c r="V439" i="9"/>
  <c r="U440" i="9"/>
  <c r="V440" i="9"/>
  <c r="U441" i="9"/>
  <c r="V441" i="9"/>
  <c r="U442" i="9"/>
  <c r="V442" i="9"/>
  <c r="U443" i="9"/>
  <c r="V443" i="9"/>
  <c r="U444" i="9"/>
  <c r="V444" i="9"/>
  <c r="U445" i="9"/>
  <c r="V445" i="9"/>
  <c r="U446" i="9"/>
  <c r="V446" i="9"/>
  <c r="U447" i="9"/>
  <c r="V447" i="9"/>
  <c r="U448" i="9"/>
  <c r="V448" i="9"/>
  <c r="U449" i="9"/>
  <c r="V449" i="9"/>
  <c r="U450" i="9"/>
  <c r="V450" i="9"/>
  <c r="U451" i="9"/>
  <c r="V451" i="9"/>
  <c r="U452" i="9"/>
  <c r="V452" i="9"/>
  <c r="U453" i="9"/>
  <c r="V453" i="9"/>
  <c r="U454" i="9"/>
  <c r="V454" i="9"/>
  <c r="U455" i="9"/>
  <c r="V455" i="9"/>
  <c r="U456" i="9"/>
  <c r="V456" i="9"/>
  <c r="U457" i="9"/>
  <c r="V457" i="9"/>
  <c r="U458" i="9"/>
  <c r="V458" i="9"/>
  <c r="U459" i="9"/>
  <c r="V459" i="9"/>
  <c r="U460" i="9"/>
  <c r="V460" i="9"/>
  <c r="U461" i="9"/>
  <c r="V461" i="9"/>
  <c r="U462" i="9"/>
  <c r="V462" i="9"/>
  <c r="U463" i="9"/>
  <c r="V463" i="9"/>
  <c r="U464" i="9"/>
  <c r="V464" i="9"/>
  <c r="U465" i="9"/>
  <c r="V465" i="9"/>
  <c r="U466" i="9"/>
  <c r="V466" i="9"/>
  <c r="U467" i="9"/>
  <c r="V467" i="9"/>
  <c r="U468" i="9"/>
  <c r="V468" i="9"/>
  <c r="U469" i="9"/>
  <c r="V469" i="9"/>
  <c r="U470" i="9"/>
  <c r="V470" i="9"/>
  <c r="U471" i="9"/>
  <c r="V471" i="9"/>
  <c r="U472" i="9"/>
  <c r="V472" i="9"/>
  <c r="U473" i="9"/>
  <c r="V473" i="9"/>
  <c r="U474" i="9"/>
  <c r="V474" i="9"/>
  <c r="U475" i="9"/>
  <c r="V475" i="9"/>
  <c r="U476" i="9"/>
  <c r="V476" i="9"/>
  <c r="U477" i="9"/>
  <c r="V477" i="9"/>
  <c r="U478" i="9"/>
  <c r="V478" i="9"/>
  <c r="U479" i="9"/>
  <c r="V479" i="9"/>
  <c r="U480" i="9"/>
  <c r="V480" i="9"/>
  <c r="U481" i="9"/>
  <c r="V481" i="9"/>
  <c r="U482" i="9"/>
  <c r="V482" i="9"/>
  <c r="U483" i="9"/>
  <c r="V483" i="9"/>
  <c r="U484" i="9"/>
  <c r="V484" i="9"/>
  <c r="U485" i="9"/>
  <c r="V485" i="9"/>
  <c r="U486" i="9"/>
  <c r="V486" i="9"/>
  <c r="U487" i="9"/>
  <c r="V487" i="9"/>
  <c r="U488" i="9"/>
  <c r="V488" i="9"/>
  <c r="U489" i="9"/>
  <c r="V489" i="9"/>
  <c r="U490" i="9"/>
  <c r="V490" i="9"/>
  <c r="U491" i="9"/>
  <c r="V491" i="9"/>
  <c r="U492" i="9"/>
  <c r="V492" i="9"/>
  <c r="U493" i="9"/>
  <c r="V493" i="9"/>
  <c r="U494" i="9"/>
  <c r="V494" i="9"/>
  <c r="U495" i="9"/>
  <c r="V495" i="9"/>
  <c r="U496" i="9"/>
  <c r="V496" i="9"/>
  <c r="U497" i="9"/>
  <c r="V497" i="9"/>
  <c r="U498" i="9"/>
  <c r="V498" i="9"/>
  <c r="U499" i="9"/>
  <c r="V499" i="9"/>
  <c r="U500" i="9"/>
  <c r="V500" i="9"/>
  <c r="U501" i="9"/>
  <c r="V501" i="9"/>
  <c r="U502" i="9"/>
  <c r="V502" i="9"/>
  <c r="U503" i="9"/>
  <c r="V503" i="9"/>
  <c r="U504" i="9"/>
  <c r="V504" i="9"/>
  <c r="U505" i="9"/>
  <c r="V505" i="9"/>
  <c r="U506" i="9"/>
  <c r="V506" i="9"/>
  <c r="U507" i="9"/>
  <c r="V507" i="9"/>
  <c r="U508" i="9"/>
  <c r="V508" i="9"/>
  <c r="U509" i="9"/>
  <c r="V509" i="9"/>
  <c r="U510" i="9"/>
  <c r="V510" i="9"/>
  <c r="U511" i="9"/>
  <c r="V511" i="9"/>
  <c r="U512" i="9"/>
  <c r="V512" i="9"/>
  <c r="U513" i="9"/>
  <c r="V513" i="9"/>
  <c r="U514" i="9"/>
  <c r="V514" i="9"/>
  <c r="U515" i="9"/>
  <c r="V515" i="9"/>
  <c r="U516" i="9"/>
  <c r="V516" i="9"/>
  <c r="U517" i="9"/>
  <c r="V517" i="9"/>
  <c r="U518" i="9"/>
  <c r="V518" i="9"/>
  <c r="U519" i="9"/>
  <c r="V519" i="9"/>
  <c r="U520" i="9"/>
  <c r="V520" i="9"/>
  <c r="U521" i="9"/>
  <c r="V521" i="9"/>
  <c r="U522" i="9"/>
  <c r="V522" i="9"/>
  <c r="U523" i="9"/>
  <c r="V523" i="9"/>
  <c r="U524" i="9"/>
  <c r="V524" i="9"/>
  <c r="U525" i="9"/>
  <c r="V525" i="9"/>
  <c r="U526" i="9"/>
  <c r="V526" i="9"/>
  <c r="U527" i="9"/>
  <c r="V527" i="9"/>
  <c r="U528" i="9"/>
  <c r="V528" i="9"/>
  <c r="U529" i="9"/>
  <c r="V529" i="9"/>
  <c r="U530" i="9"/>
  <c r="V530" i="9"/>
  <c r="U531" i="9"/>
  <c r="V531" i="9"/>
  <c r="U532" i="9"/>
  <c r="V532" i="9"/>
  <c r="U533" i="9"/>
  <c r="V533" i="9"/>
  <c r="U534" i="9"/>
  <c r="V534" i="9"/>
  <c r="U535" i="9"/>
  <c r="V535" i="9"/>
  <c r="U536" i="9"/>
  <c r="V536" i="9"/>
  <c r="U537" i="9"/>
  <c r="V537" i="9"/>
  <c r="U538" i="9"/>
  <c r="V538" i="9"/>
  <c r="U539" i="9"/>
  <c r="V539" i="9"/>
  <c r="U540" i="9"/>
  <c r="V540" i="9"/>
  <c r="U541" i="9"/>
  <c r="V541" i="9"/>
  <c r="U542" i="9"/>
  <c r="V542" i="9"/>
  <c r="U543" i="9"/>
  <c r="V543" i="9"/>
  <c r="U544" i="9"/>
  <c r="V544" i="9"/>
  <c r="U545" i="9"/>
  <c r="V545" i="9"/>
  <c r="U546" i="9"/>
  <c r="V546" i="9"/>
  <c r="U547" i="9"/>
  <c r="V547" i="9"/>
  <c r="U548" i="9"/>
  <c r="V548" i="9"/>
  <c r="U549" i="9"/>
  <c r="V549" i="9"/>
  <c r="U550" i="9"/>
  <c r="V550" i="9"/>
  <c r="U551" i="9"/>
  <c r="V551" i="9"/>
  <c r="U552" i="9"/>
  <c r="V552" i="9"/>
  <c r="U553" i="9"/>
  <c r="V553" i="9"/>
  <c r="U554" i="9"/>
  <c r="V554" i="9"/>
  <c r="U555" i="9"/>
  <c r="V555" i="9"/>
  <c r="U556" i="9"/>
  <c r="V556" i="9"/>
  <c r="U557" i="9"/>
  <c r="V557" i="9"/>
  <c r="U558" i="9"/>
  <c r="V558" i="9"/>
  <c r="U559" i="9"/>
  <c r="V559" i="9"/>
  <c r="U560" i="9"/>
  <c r="V560" i="9"/>
  <c r="U561" i="9"/>
  <c r="V561" i="9"/>
  <c r="U562" i="9"/>
  <c r="V562" i="9"/>
  <c r="U563" i="9"/>
  <c r="V563" i="9"/>
  <c r="U564" i="9"/>
  <c r="V564" i="9"/>
  <c r="U565" i="9"/>
  <c r="V565" i="9"/>
  <c r="U566" i="9"/>
  <c r="V566" i="9"/>
  <c r="U567" i="9"/>
  <c r="V567" i="9"/>
  <c r="U568" i="9"/>
  <c r="V568" i="9"/>
  <c r="U569" i="9"/>
  <c r="V569" i="9"/>
  <c r="U570" i="9"/>
  <c r="V570" i="9"/>
  <c r="U571" i="9"/>
  <c r="V571" i="9"/>
  <c r="U572" i="9"/>
  <c r="V572" i="9"/>
  <c r="U573" i="9"/>
  <c r="V573" i="9"/>
  <c r="U574" i="9"/>
  <c r="V574" i="9"/>
  <c r="U575" i="9"/>
  <c r="V575" i="9"/>
  <c r="U576" i="9"/>
  <c r="V576" i="9"/>
  <c r="U577" i="9"/>
  <c r="V577" i="9"/>
  <c r="U578" i="9"/>
  <c r="V578" i="9"/>
  <c r="U579" i="9"/>
  <c r="V579" i="9"/>
  <c r="U580" i="9"/>
  <c r="V580" i="9"/>
  <c r="U581" i="9"/>
  <c r="V581" i="9"/>
  <c r="U582" i="9"/>
  <c r="V582" i="9"/>
  <c r="U583" i="9"/>
  <c r="V583" i="9"/>
  <c r="U584" i="9"/>
  <c r="V584" i="9"/>
  <c r="U585" i="9"/>
  <c r="V585" i="9"/>
  <c r="U586" i="9"/>
  <c r="V586" i="9"/>
  <c r="U587" i="9"/>
  <c r="V587" i="9"/>
  <c r="U588" i="9"/>
  <c r="V588" i="9"/>
  <c r="U589" i="9"/>
  <c r="V589" i="9"/>
  <c r="U590" i="9"/>
  <c r="V590" i="9"/>
  <c r="U591" i="9"/>
  <c r="V591" i="9"/>
  <c r="U592" i="9"/>
  <c r="V592" i="9"/>
  <c r="U593" i="9"/>
  <c r="V593" i="9"/>
  <c r="U594" i="9"/>
  <c r="V594" i="9"/>
  <c r="U595" i="9"/>
  <c r="V595" i="9"/>
  <c r="U596" i="9"/>
  <c r="V596" i="9"/>
  <c r="U597" i="9"/>
  <c r="V597" i="9"/>
  <c r="U598" i="9"/>
  <c r="V598" i="9"/>
  <c r="U599" i="9"/>
  <c r="V599" i="9"/>
  <c r="U600" i="9"/>
  <c r="V600" i="9"/>
  <c r="U601" i="9"/>
  <c r="V601" i="9"/>
  <c r="U602" i="9"/>
  <c r="V602" i="9"/>
  <c r="U603" i="9"/>
  <c r="V603" i="9"/>
  <c r="U604" i="9"/>
  <c r="V604" i="9"/>
  <c r="U605" i="9"/>
  <c r="V605" i="9"/>
  <c r="U606" i="9"/>
  <c r="V606" i="9"/>
  <c r="U607" i="9"/>
  <c r="V607" i="9"/>
  <c r="U608" i="9"/>
  <c r="V608" i="9"/>
  <c r="U609" i="9"/>
  <c r="V609" i="9"/>
  <c r="U610" i="9"/>
  <c r="V610" i="9"/>
  <c r="U611" i="9"/>
  <c r="V611" i="9"/>
  <c r="U612" i="9"/>
  <c r="V612" i="9"/>
  <c r="U613" i="9"/>
  <c r="V613" i="9"/>
  <c r="U614" i="9"/>
  <c r="V614" i="9"/>
  <c r="U615" i="9"/>
  <c r="V615" i="9"/>
  <c r="U616" i="9"/>
  <c r="V616" i="9"/>
  <c r="U617" i="9"/>
  <c r="V617" i="9"/>
  <c r="U618" i="9"/>
  <c r="V618" i="9"/>
  <c r="U619" i="9"/>
  <c r="V619" i="9"/>
  <c r="U620" i="9"/>
  <c r="V620" i="9"/>
  <c r="U621" i="9"/>
  <c r="V621" i="9"/>
  <c r="U622" i="9"/>
  <c r="V622" i="9"/>
  <c r="U623" i="9"/>
  <c r="V623" i="9"/>
  <c r="U624" i="9"/>
  <c r="V624" i="9"/>
  <c r="U625" i="9"/>
  <c r="V625" i="9"/>
  <c r="U626" i="9"/>
  <c r="V626" i="9"/>
  <c r="U627" i="9"/>
  <c r="V627" i="9"/>
  <c r="U628" i="9"/>
  <c r="V628" i="9"/>
  <c r="U629" i="9"/>
  <c r="V629" i="9"/>
  <c r="U630" i="9"/>
  <c r="V630" i="9"/>
  <c r="U631" i="9"/>
  <c r="V631" i="9"/>
  <c r="U632" i="9"/>
  <c r="V632" i="9"/>
  <c r="U633" i="9"/>
  <c r="V633" i="9"/>
  <c r="U634" i="9"/>
  <c r="V634" i="9"/>
  <c r="U635" i="9"/>
  <c r="V635" i="9"/>
  <c r="U636" i="9"/>
  <c r="V636" i="9"/>
  <c r="U637" i="9"/>
  <c r="V637" i="9"/>
  <c r="U638" i="9"/>
  <c r="V638" i="9"/>
  <c r="U639" i="9"/>
  <c r="V639" i="9"/>
  <c r="U640" i="9"/>
  <c r="V640" i="9"/>
  <c r="U641" i="9"/>
  <c r="V641" i="9"/>
  <c r="U642" i="9"/>
  <c r="V642" i="9"/>
  <c r="U643" i="9"/>
  <c r="V643" i="9"/>
  <c r="U644" i="9"/>
  <c r="V644" i="9"/>
  <c r="U645" i="9"/>
  <c r="V645" i="9"/>
  <c r="U646" i="9"/>
  <c r="V646" i="9"/>
  <c r="U647" i="9"/>
  <c r="V647" i="9"/>
  <c r="U648" i="9"/>
  <c r="V648" i="9"/>
  <c r="U649" i="9"/>
  <c r="V649" i="9"/>
  <c r="U650" i="9"/>
  <c r="V650" i="9"/>
  <c r="U651" i="9"/>
  <c r="V651" i="9"/>
  <c r="U652" i="9"/>
  <c r="V652" i="9"/>
  <c r="U653" i="9"/>
  <c r="V653" i="9"/>
  <c r="U654" i="9"/>
  <c r="V654" i="9"/>
  <c r="U655" i="9"/>
  <c r="V655" i="9"/>
  <c r="U656" i="9"/>
  <c r="V656" i="9"/>
  <c r="U657" i="9"/>
  <c r="V657" i="9"/>
  <c r="U658" i="9"/>
  <c r="V658" i="9"/>
  <c r="U659" i="9"/>
  <c r="V659" i="9"/>
  <c r="U660" i="9"/>
  <c r="V660" i="9"/>
  <c r="U661" i="9"/>
  <c r="V661" i="9"/>
  <c r="U662" i="9"/>
  <c r="V662" i="9"/>
  <c r="U663" i="9"/>
  <c r="V663" i="9"/>
  <c r="U664" i="9"/>
  <c r="V664" i="9"/>
  <c r="U665" i="9"/>
  <c r="V665" i="9"/>
  <c r="U666" i="9"/>
  <c r="V666" i="9"/>
  <c r="U667" i="9"/>
  <c r="V667" i="9"/>
  <c r="U668" i="9"/>
  <c r="V668" i="9"/>
  <c r="U669" i="9"/>
  <c r="V669" i="9"/>
  <c r="U670" i="9"/>
  <c r="V670" i="9"/>
  <c r="U671" i="9"/>
  <c r="V671" i="9"/>
  <c r="U672" i="9"/>
  <c r="V672" i="9"/>
  <c r="U673" i="9"/>
  <c r="V673" i="9"/>
  <c r="U674" i="9"/>
  <c r="V674" i="9"/>
  <c r="U675" i="9"/>
  <c r="V675" i="9"/>
  <c r="U676" i="9"/>
  <c r="V676" i="9"/>
  <c r="U677" i="9"/>
  <c r="V677" i="9"/>
  <c r="U678" i="9"/>
  <c r="V678" i="9"/>
  <c r="U679" i="9"/>
  <c r="V679" i="9"/>
  <c r="U680" i="9"/>
  <c r="V680" i="9"/>
  <c r="U681" i="9"/>
  <c r="V681" i="9"/>
  <c r="U682" i="9"/>
  <c r="V682" i="9"/>
  <c r="U683" i="9"/>
  <c r="V683" i="9"/>
  <c r="U684" i="9"/>
  <c r="V684" i="9"/>
  <c r="U685" i="9"/>
  <c r="V685" i="9"/>
  <c r="U686" i="9"/>
  <c r="V686" i="9"/>
  <c r="U687" i="9"/>
  <c r="V687" i="9"/>
  <c r="U688" i="9"/>
  <c r="V688" i="9"/>
  <c r="U689" i="9"/>
  <c r="V689" i="9"/>
  <c r="U690" i="9"/>
  <c r="V690" i="9"/>
  <c r="U691" i="9"/>
  <c r="V691" i="9"/>
  <c r="U692" i="9"/>
  <c r="V692" i="9"/>
  <c r="U693" i="9"/>
  <c r="V693" i="9"/>
  <c r="U694" i="9"/>
  <c r="V694" i="9"/>
  <c r="U695" i="9"/>
  <c r="V695" i="9"/>
  <c r="U696" i="9"/>
  <c r="V696" i="9"/>
  <c r="U697" i="9"/>
  <c r="V697" i="9"/>
  <c r="U698" i="9"/>
  <c r="V698" i="9"/>
  <c r="U699" i="9"/>
  <c r="V699" i="9"/>
  <c r="U700" i="9"/>
  <c r="V700" i="9"/>
  <c r="U701" i="9"/>
  <c r="V701" i="9"/>
  <c r="U702" i="9"/>
  <c r="V702" i="9"/>
  <c r="U703" i="9"/>
  <c r="V703" i="9"/>
  <c r="U704" i="9"/>
  <c r="V704" i="9"/>
  <c r="U705" i="9"/>
  <c r="V705" i="9"/>
  <c r="U706" i="9"/>
  <c r="V706" i="9"/>
  <c r="U707" i="9"/>
  <c r="V707" i="9"/>
  <c r="U708" i="9"/>
  <c r="V708" i="9"/>
  <c r="U709" i="9"/>
  <c r="V709" i="9"/>
  <c r="U710" i="9"/>
  <c r="V710" i="9"/>
  <c r="U711" i="9"/>
  <c r="V711" i="9"/>
  <c r="U712" i="9"/>
  <c r="V712" i="9"/>
  <c r="U713" i="9"/>
  <c r="V713" i="9"/>
  <c r="U714" i="9"/>
  <c r="V714" i="9"/>
  <c r="U715" i="9"/>
  <c r="V715" i="9"/>
  <c r="U716" i="9"/>
  <c r="V716" i="9"/>
  <c r="U717" i="9"/>
  <c r="V717" i="9"/>
  <c r="U718" i="9"/>
  <c r="V718" i="9"/>
  <c r="U719" i="9"/>
  <c r="V719" i="9"/>
  <c r="U720" i="9"/>
  <c r="V720" i="9"/>
  <c r="U721" i="9"/>
  <c r="V721" i="9"/>
  <c r="U722" i="9"/>
  <c r="V722" i="9"/>
  <c r="U723" i="9"/>
  <c r="V723" i="9"/>
  <c r="U724" i="9"/>
  <c r="V724" i="9"/>
  <c r="U725" i="9"/>
  <c r="V725" i="9"/>
  <c r="U726" i="9"/>
  <c r="V726" i="9"/>
  <c r="U727" i="9"/>
  <c r="V727" i="9"/>
  <c r="U728" i="9"/>
  <c r="V728" i="9"/>
  <c r="U729" i="9"/>
  <c r="V729" i="9"/>
  <c r="U730" i="9"/>
  <c r="V730" i="9"/>
  <c r="AA16" i="9" l="1"/>
  <c r="AF15" i="9"/>
  <c r="AF14" i="9"/>
  <c r="I10" i="10"/>
  <c r="G11" i="10"/>
  <c r="X6" i="9"/>
  <c r="Y6" i="9" s="1"/>
  <c r="V731" i="9"/>
  <c r="U731" i="9"/>
  <c r="V86" i="9"/>
  <c r="U86" i="9"/>
  <c r="V85" i="9"/>
  <c r="U85" i="9"/>
  <c r="V84" i="9"/>
  <c r="U84" i="9"/>
  <c r="V83" i="9"/>
  <c r="U83" i="9"/>
  <c r="V82" i="9"/>
  <c r="U82" i="9"/>
  <c r="V81" i="9"/>
  <c r="U81" i="9"/>
  <c r="V80" i="9"/>
  <c r="U80" i="9"/>
  <c r="V79" i="9"/>
  <c r="U79" i="9"/>
  <c r="V78" i="9"/>
  <c r="U78" i="9"/>
  <c r="V77" i="9"/>
  <c r="U77" i="9"/>
  <c r="V76" i="9"/>
  <c r="U76" i="9"/>
  <c r="V75" i="9"/>
  <c r="U75" i="9"/>
  <c r="V74" i="9"/>
  <c r="U74" i="9"/>
  <c r="V73" i="9"/>
  <c r="U73" i="9"/>
  <c r="V72" i="9"/>
  <c r="U72" i="9"/>
  <c r="V71" i="9"/>
  <c r="U71" i="9"/>
  <c r="V70" i="9"/>
  <c r="U70" i="9"/>
  <c r="V69" i="9"/>
  <c r="U69" i="9"/>
  <c r="V68" i="9"/>
  <c r="U68" i="9"/>
  <c r="V67" i="9"/>
  <c r="U67" i="9"/>
  <c r="V66" i="9"/>
  <c r="U66" i="9"/>
  <c r="V65" i="9"/>
  <c r="U65" i="9"/>
  <c r="V64" i="9"/>
  <c r="U64" i="9"/>
  <c r="V63" i="9"/>
  <c r="U63" i="9"/>
  <c r="V62" i="9"/>
  <c r="U62" i="9"/>
  <c r="V61" i="9"/>
  <c r="U61" i="9"/>
  <c r="V60" i="9"/>
  <c r="U60" i="9"/>
  <c r="V59" i="9"/>
  <c r="U59" i="9"/>
  <c r="V58" i="9"/>
  <c r="U58" i="9"/>
  <c r="V57" i="9"/>
  <c r="U57" i="9"/>
  <c r="V13" i="9"/>
  <c r="V14" i="9"/>
  <c r="V15" i="9"/>
  <c r="V17" i="9"/>
  <c r="V18" i="9"/>
  <c r="V19" i="9"/>
  <c r="V20" i="9"/>
  <c r="V21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U13" i="9"/>
  <c r="U14" i="9"/>
  <c r="U15" i="9"/>
  <c r="U16" i="9"/>
  <c r="U17" i="9"/>
  <c r="U18" i="9"/>
  <c r="U19" i="9"/>
  <c r="U20" i="9"/>
  <c r="U21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V12" i="9"/>
  <c r="U12" i="9"/>
  <c r="S412" i="9"/>
  <c r="S102" i="9"/>
  <c r="S474" i="9"/>
  <c r="S570" i="9"/>
  <c r="S473" i="9"/>
  <c r="S372" i="9"/>
  <c r="S672" i="9"/>
  <c r="S709" i="9"/>
  <c r="S492" i="9"/>
  <c r="S353" i="9"/>
  <c r="S225" i="9"/>
  <c r="S650" i="9"/>
  <c r="S575" i="9"/>
  <c r="S452" i="9"/>
  <c r="S219" i="9"/>
  <c r="S664" i="9"/>
  <c r="S517" i="9"/>
  <c r="S463" i="9"/>
  <c r="S685" i="9"/>
  <c r="S531" i="9"/>
  <c r="S254" i="9"/>
  <c r="S410" i="9"/>
  <c r="S301" i="9"/>
  <c r="S200" i="9"/>
  <c r="S580" i="9"/>
  <c r="S545" i="9"/>
  <c r="S449" i="9"/>
  <c r="S682" i="9"/>
  <c r="S484" i="9"/>
  <c r="S198" i="9"/>
  <c r="S314" i="9"/>
  <c r="S652" i="9"/>
  <c r="S630" i="9"/>
  <c r="S321" i="9"/>
  <c r="S127" i="9"/>
  <c r="S182" i="9"/>
  <c r="S383" i="9"/>
  <c r="S550" i="9"/>
  <c r="S710" i="9"/>
  <c r="S681" i="9"/>
  <c r="S245" i="9"/>
  <c r="S534" i="9"/>
  <c r="S572" i="9"/>
  <c r="S120" i="9"/>
  <c r="S515" i="9"/>
  <c r="S648" i="9"/>
  <c r="S124" i="9"/>
  <c r="S384" i="9"/>
  <c r="S468" i="9"/>
  <c r="S520" i="9"/>
  <c r="S441" i="9"/>
  <c r="S442" i="9"/>
  <c r="S724" i="9"/>
  <c r="S673" i="9"/>
  <c r="S117" i="9"/>
  <c r="S447" i="9"/>
  <c r="S445" i="9"/>
  <c r="S298" i="9"/>
  <c r="S631" i="9"/>
  <c r="S106" i="9"/>
  <c r="S155" i="9"/>
  <c r="S549" i="9"/>
  <c r="S280" i="9"/>
  <c r="S123" i="9"/>
  <c r="S73" i="9"/>
  <c r="S57" i="9"/>
  <c r="S77" i="9"/>
  <c r="S43" i="9"/>
  <c r="S29" i="9"/>
  <c r="S694" i="9"/>
  <c r="S617" i="9"/>
  <c r="S330" i="9"/>
  <c r="S454" i="9"/>
  <c r="S543" i="9"/>
  <c r="S168" i="9"/>
  <c r="S143" i="9"/>
  <c r="S568" i="9"/>
  <c r="S533" i="9"/>
  <c r="S717" i="9"/>
  <c r="S704" i="9"/>
  <c r="S248" i="9"/>
  <c r="S559" i="9"/>
  <c r="S337" i="9"/>
  <c r="S380" i="9"/>
  <c r="S512" i="9"/>
  <c r="S130" i="9"/>
  <c r="S199" i="9"/>
  <c r="S526" i="9"/>
  <c r="S720" i="9"/>
  <c r="S110" i="9"/>
  <c r="S222" i="9"/>
  <c r="S213" i="9"/>
  <c r="S417" i="9"/>
  <c r="S730" i="9"/>
  <c r="S426" i="9"/>
  <c r="S415" i="9"/>
  <c r="S683" i="9"/>
  <c r="S342" i="9"/>
  <c r="S600" i="9"/>
  <c r="S437" i="9"/>
  <c r="S693" i="9"/>
  <c r="S331" i="9"/>
  <c r="S642" i="9"/>
  <c r="S294" i="9"/>
  <c r="S328" i="9"/>
  <c r="S546" i="9"/>
  <c r="S341" i="9"/>
  <c r="S305" i="9"/>
  <c r="S115" i="9"/>
  <c r="S625" i="9"/>
  <c r="S583" i="9"/>
  <c r="S569" i="9"/>
  <c r="S618" i="9"/>
  <c r="S68" i="9"/>
  <c r="S69" i="9"/>
  <c r="S23" i="9"/>
  <c r="S13" i="9"/>
  <c r="S491" i="9"/>
  <c r="S217" i="9"/>
  <c r="S329" i="9"/>
  <c r="S697" i="9"/>
  <c r="S323" i="9"/>
  <c r="S435" i="9"/>
  <c r="S286" i="9"/>
  <c r="S688" i="9"/>
  <c r="S641" i="9"/>
  <c r="S680" i="9"/>
  <c r="S566" i="9"/>
  <c r="S467" i="9"/>
  <c r="S416" i="9"/>
  <c r="S107" i="9"/>
  <c r="S495" i="9"/>
  <c r="S514" i="9"/>
  <c r="S414" i="9"/>
  <c r="S360" i="9"/>
  <c r="S646" i="9"/>
  <c r="S571" i="9"/>
  <c r="S496" i="9"/>
  <c r="S363" i="9"/>
  <c r="S241" i="9"/>
  <c r="S606" i="9"/>
  <c r="S521" i="9"/>
  <c r="S440" i="9"/>
  <c r="S174" i="9"/>
  <c r="S157" i="9"/>
  <c r="S689" i="9"/>
  <c r="S354" i="9"/>
  <c r="S256" i="9"/>
  <c r="S193" i="9"/>
  <c r="S201" i="9"/>
  <c r="S455" i="9"/>
  <c r="S355" i="9"/>
  <c r="S524" i="9"/>
  <c r="S369" i="9"/>
  <c r="S607" i="9"/>
  <c r="S326" i="9"/>
  <c r="S306" i="9"/>
  <c r="S206" i="9"/>
  <c r="S284" i="9"/>
  <c r="S657" i="9"/>
  <c r="S480" i="9"/>
  <c r="S302" i="9"/>
  <c r="S87" i="9"/>
  <c r="S499" i="9"/>
  <c r="S364" i="9"/>
  <c r="S147" i="9"/>
  <c r="S560" i="9"/>
  <c r="S409" i="9"/>
  <c r="S194" i="9"/>
  <c r="S595" i="9"/>
  <c r="S169" i="9"/>
  <c r="S611" i="9"/>
  <c r="S332" i="9"/>
  <c r="S395" i="9"/>
  <c r="S89" i="9"/>
  <c r="S371" i="9"/>
  <c r="S282" i="9"/>
  <c r="S347" i="9"/>
  <c r="S144" i="9"/>
  <c r="S228" i="9"/>
  <c r="S344" i="9"/>
  <c r="S291" i="9"/>
  <c r="S554" i="9"/>
  <c r="S276" i="9"/>
  <c r="S706" i="9"/>
  <c r="S101" i="9"/>
  <c r="S475" i="9"/>
  <c r="S237" i="9"/>
  <c r="S596" i="9"/>
  <c r="S725" i="9"/>
  <c r="S163" i="9"/>
  <c r="S72" i="9"/>
  <c r="S33" i="9"/>
  <c r="S38" i="9"/>
  <c r="S83" i="9"/>
  <c r="S348" i="9"/>
  <c r="S211" i="9"/>
  <c r="S544" i="9"/>
  <c r="S387" i="9"/>
  <c r="S258" i="9"/>
  <c r="S579" i="9"/>
  <c r="S428" i="9"/>
  <c r="S318" i="9"/>
  <c r="S167" i="9"/>
  <c r="S494" i="9"/>
  <c r="S365" i="9"/>
  <c r="S659" i="9"/>
  <c r="S510" i="9"/>
  <c r="S406" i="9"/>
  <c r="S119" i="9"/>
  <c r="S729" i="9"/>
  <c r="S430" i="9"/>
  <c r="S542" i="9"/>
  <c r="S431" i="9"/>
  <c r="S140" i="9"/>
  <c r="S272" i="9"/>
  <c r="S356" i="9"/>
  <c r="S536" i="9"/>
  <c r="S377" i="9"/>
  <c r="S585" i="9"/>
  <c r="S532" i="9"/>
  <c r="S234" i="9"/>
  <c r="S397" i="9"/>
  <c r="S634" i="9"/>
  <c r="S718" i="9"/>
  <c r="S503" i="9"/>
  <c r="S714" i="9"/>
  <c r="S175" i="9"/>
  <c r="S266" i="9"/>
  <c r="S608" i="9"/>
  <c r="S22" i="9"/>
  <c r="S185" i="9"/>
  <c r="S202" i="9"/>
  <c r="S562" i="9"/>
  <c r="S320" i="9"/>
  <c r="S313" i="9"/>
  <c r="S702" i="9"/>
  <c r="S137" i="9"/>
  <c r="S358" i="9"/>
  <c r="S594" i="9"/>
  <c r="S41" i="9"/>
  <c r="S79" i="9"/>
  <c r="S37" i="9"/>
  <c r="S220" i="9"/>
  <c r="S352" i="9"/>
  <c r="S500" i="9"/>
  <c r="S300" i="9"/>
  <c r="S432" i="9"/>
  <c r="S109" i="9"/>
  <c r="S187" i="9"/>
  <c r="S209" i="9"/>
  <c r="S411" i="9"/>
  <c r="S186" i="9"/>
  <c r="S378" i="9"/>
  <c r="S218" i="9"/>
  <c r="S231" i="9"/>
  <c r="S116" i="9"/>
  <c r="S707" i="9"/>
  <c r="S362" i="9"/>
  <c r="S338" i="9"/>
  <c r="S196" i="9"/>
  <c r="S576" i="9"/>
  <c r="S148" i="9"/>
  <c r="S614" i="9"/>
  <c r="S359" i="9"/>
  <c r="S636" i="9"/>
  <c r="S663" i="9"/>
  <c r="S528" i="9"/>
  <c r="S563" i="9"/>
  <c r="S547" i="9"/>
  <c r="S553" i="9"/>
  <c r="S687" i="9"/>
  <c r="S139" i="9"/>
  <c r="S635" i="9"/>
  <c r="S458" i="9"/>
  <c r="S523" i="9"/>
  <c r="S327" i="9"/>
  <c r="S715" i="9"/>
  <c r="S113" i="9"/>
  <c r="S205" i="9"/>
  <c r="S493" i="9"/>
  <c r="S679" i="9"/>
  <c r="S207" i="9"/>
  <c r="S667" i="9"/>
  <c r="S152" i="9"/>
  <c r="S537" i="9"/>
  <c r="S66" i="9"/>
  <c r="S56" i="9"/>
  <c r="S311" i="9"/>
  <c r="S487" i="9"/>
  <c r="S654" i="9"/>
  <c r="S418" i="9"/>
  <c r="S586" i="9"/>
  <c r="S90" i="9"/>
  <c r="S602" i="9"/>
  <c r="S190" i="9"/>
  <c r="S310" i="9"/>
  <c r="S99" i="9"/>
  <c r="S551" i="9"/>
  <c r="S477" i="9"/>
  <c r="S581" i="9"/>
  <c r="S142" i="9"/>
  <c r="S661" i="9"/>
  <c r="S539" i="9"/>
  <c r="S350" i="9"/>
  <c r="S165" i="9"/>
  <c r="S357" i="9"/>
  <c r="S645" i="9"/>
  <c r="S204" i="9"/>
  <c r="S722" i="9"/>
  <c r="S501" i="9"/>
  <c r="S17" i="9"/>
  <c r="S482" i="9"/>
  <c r="S250" i="9"/>
  <c r="S149" i="9"/>
  <c r="S203" i="9"/>
  <c r="S340" i="9"/>
  <c r="S453" i="9"/>
  <c r="S690" i="9"/>
  <c r="S103" i="9"/>
  <c r="S483" i="9"/>
  <c r="S518" i="9"/>
  <c r="S394" i="9"/>
  <c r="S178" i="9"/>
  <c r="S255" i="9"/>
  <c r="S45" i="9"/>
  <c r="S16" i="9"/>
  <c r="S36" i="9"/>
  <c r="S476" i="9"/>
  <c r="S146" i="9"/>
  <c r="S343" i="9"/>
  <c r="S556" i="9"/>
  <c r="S253" i="9"/>
  <c r="S450" i="9"/>
  <c r="S628" i="9"/>
  <c r="S461" i="9"/>
  <c r="S591" i="9"/>
  <c r="S708" i="9"/>
  <c r="S400" i="9"/>
  <c r="S135" i="9"/>
  <c r="S339" i="9"/>
  <c r="S511" i="9"/>
  <c r="S671" i="9"/>
  <c r="S164" i="9"/>
  <c r="S506" i="9"/>
  <c r="S522" i="9"/>
  <c r="S70" i="9"/>
  <c r="S35" i="9"/>
  <c r="S74" i="9"/>
  <c r="S540" i="9"/>
  <c r="S317" i="9"/>
  <c r="S429" i="9"/>
  <c r="S162" i="9"/>
  <c r="S423" i="9"/>
  <c r="S535" i="9"/>
  <c r="S192" i="9"/>
  <c r="S287" i="9"/>
  <c r="S719" i="9"/>
  <c r="S235" i="9"/>
  <c r="S210" i="9"/>
  <c r="S221" i="9"/>
  <c r="S651" i="9"/>
  <c r="S129" i="9"/>
  <c r="S653" i="9"/>
  <c r="S229" i="9"/>
  <c r="S307" i="9"/>
  <c r="S408" i="9"/>
  <c r="S75" i="9"/>
  <c r="S50" i="9"/>
  <c r="S46" i="9"/>
  <c r="S156" i="9"/>
  <c r="S351" i="9"/>
  <c r="S154" i="9"/>
  <c r="S236" i="9"/>
  <c r="S238" i="9"/>
  <c r="S261" i="9"/>
  <c r="S399" i="9"/>
  <c r="S95" i="9"/>
  <c r="S385" i="9"/>
  <c r="S141" i="9"/>
  <c r="S590" i="9"/>
  <c r="S509" i="9"/>
  <c r="S448" i="9"/>
  <c r="S303" i="9"/>
  <c r="S126" i="9"/>
  <c r="S223" i="9"/>
  <c r="S173" i="9"/>
  <c r="S104" i="9"/>
  <c r="S233" i="9"/>
  <c r="S367" i="9"/>
  <c r="S279" i="9"/>
  <c r="S184" i="9"/>
  <c r="S289" i="9"/>
  <c r="S252" i="9"/>
  <c r="S259" i="9"/>
  <c r="S114" i="9"/>
  <c r="S621" i="9"/>
  <c r="S459" i="9"/>
  <c r="S472" i="9"/>
  <c r="S134" i="9"/>
  <c r="S96" i="9"/>
  <c r="S244" i="9"/>
  <c r="S424" i="9"/>
  <c r="S176" i="9"/>
  <c r="S324" i="9"/>
  <c r="S188" i="9"/>
  <c r="S567" i="9"/>
  <c r="S666" i="9"/>
  <c r="S541" i="9"/>
  <c r="S446" i="9"/>
  <c r="S696" i="9"/>
  <c r="S444" i="9"/>
  <c r="S552" i="9"/>
  <c r="S548" i="9"/>
  <c r="S465" i="9"/>
  <c r="S263" i="9"/>
  <c r="S62" i="9"/>
  <c r="S81" i="9"/>
  <c r="S624" i="9"/>
  <c r="S502" i="9"/>
  <c r="S158" i="9"/>
  <c r="S145" i="9"/>
  <c r="S705" i="9"/>
  <c r="S265" i="9"/>
  <c r="S686" i="9"/>
  <c r="S662" i="9"/>
  <c r="S604" i="9"/>
  <c r="S230" i="9"/>
  <c r="S273" i="9"/>
  <c r="S481" i="9"/>
  <c r="S655" i="9"/>
  <c r="S92" i="9"/>
  <c r="S436" i="9"/>
  <c r="S368" i="9"/>
  <c r="S598" i="9"/>
  <c r="S692" i="9"/>
  <c r="S251" i="9"/>
  <c r="S439" i="9"/>
  <c r="S125" i="9"/>
  <c r="S577" i="9"/>
  <c r="S53" i="9"/>
  <c r="S84" i="9"/>
  <c r="S660" i="9"/>
  <c r="S262" i="9"/>
  <c r="S584" i="9"/>
  <c r="S346" i="9"/>
  <c r="S456" i="9"/>
  <c r="S100" i="9"/>
  <c r="S121" i="9"/>
  <c r="S597" i="9"/>
  <c r="S460" i="9"/>
  <c r="S658" i="9"/>
  <c r="S573" i="9"/>
  <c r="S419" i="9"/>
  <c r="S612" i="9"/>
  <c r="S63" i="9"/>
  <c r="S52" i="9"/>
  <c r="S40" i="9"/>
  <c r="S122" i="9"/>
  <c r="S490" i="9"/>
  <c r="S166" i="9"/>
  <c r="S239" i="9"/>
  <c r="S668" i="9"/>
  <c r="S427" i="9"/>
  <c r="S644" i="9"/>
  <c r="S508" i="9"/>
  <c r="S471" i="9"/>
  <c r="S599" i="9"/>
  <c r="S281" i="9"/>
  <c r="S469" i="9"/>
  <c r="S564" i="9"/>
  <c r="S379" i="9"/>
  <c r="S627" i="9"/>
  <c r="S93" i="9"/>
  <c r="S519" i="9"/>
  <c r="S171" i="9"/>
  <c r="S58" i="9"/>
  <c r="S31" i="9"/>
  <c r="S48" i="9"/>
  <c r="S319" i="9"/>
  <c r="S632" i="9"/>
  <c r="S374" i="9"/>
  <c r="S527" i="9"/>
  <c r="S150" i="9"/>
  <c r="S601" i="9"/>
  <c r="S404" i="9"/>
  <c r="S183" i="9"/>
  <c r="S622" i="9"/>
  <c r="S727" i="9"/>
  <c r="S451" i="9"/>
  <c r="S616" i="9"/>
  <c r="S589" i="9"/>
  <c r="S538" i="9"/>
  <c r="S504" i="9"/>
  <c r="S434" i="9"/>
  <c r="S159" i="9"/>
  <c r="S505" i="9"/>
  <c r="S19" i="9"/>
  <c r="S60" i="9"/>
  <c r="S24" i="9"/>
  <c r="S131" i="9"/>
  <c r="S728" i="9"/>
  <c r="S271" i="9"/>
  <c r="S138" i="9"/>
  <c r="S212" i="9"/>
  <c r="S678" i="9"/>
  <c r="S626" i="9"/>
  <c r="S402" i="9"/>
  <c r="S247" i="9"/>
  <c r="S670" i="9"/>
  <c r="S246" i="9"/>
  <c r="S160" i="9"/>
  <c r="S240" i="9"/>
  <c r="S695" i="9"/>
  <c r="S603" i="9"/>
  <c r="S315" i="9"/>
  <c r="S94" i="9"/>
  <c r="S438" i="9"/>
  <c r="S391" i="9"/>
  <c r="S529" i="9"/>
  <c r="S407" i="9"/>
  <c r="S39" i="9"/>
  <c r="S619" i="9"/>
  <c r="S443" i="9"/>
  <c r="S422" i="9"/>
  <c r="S498" i="9"/>
  <c r="S665" i="9"/>
  <c r="S133" i="9"/>
  <c r="S91" i="9"/>
  <c r="S243" i="9"/>
  <c r="S470" i="9"/>
  <c r="S405" i="9"/>
  <c r="S349" i="9"/>
  <c r="S27" i="9"/>
  <c r="S698" i="9"/>
  <c r="S421" i="9"/>
  <c r="S270" i="9"/>
  <c r="S605" i="9"/>
  <c r="S361" i="9"/>
  <c r="S336" i="9"/>
  <c r="S59" i="9"/>
  <c r="S34" i="9"/>
  <c r="S297" i="9"/>
  <c r="S643" i="9"/>
  <c r="S639" i="9"/>
  <c r="S264" i="9"/>
  <c r="S675" i="9"/>
  <c r="S151" i="9"/>
  <c r="S215" i="9"/>
  <c r="S390" i="9"/>
  <c r="S711" i="9"/>
  <c r="S86" i="9"/>
  <c r="S26" i="9"/>
  <c r="S623" i="9"/>
  <c r="S489" i="9"/>
  <c r="S214" i="9"/>
  <c r="S587" i="9"/>
  <c r="S396" i="9"/>
  <c r="S615" i="9"/>
  <c r="S588" i="9"/>
  <c r="S647" i="9"/>
  <c r="S14" i="9"/>
  <c r="S54" i="9"/>
  <c r="S179" i="9"/>
  <c r="S283" i="9"/>
  <c r="S525" i="9"/>
  <c r="S381" i="9"/>
  <c r="S389" i="9"/>
  <c r="S676" i="9"/>
  <c r="S335" i="9"/>
  <c r="S181" i="9"/>
  <c r="S325" i="9"/>
  <c r="S153" i="9"/>
  <c r="S507" i="9"/>
  <c r="S49" i="9"/>
  <c r="S700" i="9"/>
  <c r="S457" i="9"/>
  <c r="S257" i="9"/>
  <c r="S82" i="9"/>
  <c r="S723" i="9"/>
  <c r="S268" i="9"/>
  <c r="S290" i="9"/>
  <c r="S21" i="9"/>
  <c r="S382" i="9"/>
  <c r="S485" i="9"/>
  <c r="S593" i="9"/>
  <c r="S557" i="9"/>
  <c r="S464" i="9"/>
  <c r="S18" i="9"/>
  <c r="S333" i="9"/>
  <c r="S613" i="9"/>
  <c r="S555" i="9"/>
  <c r="S111" i="9"/>
  <c r="S345" i="9"/>
  <c r="S25" i="9"/>
  <c r="S308" i="9"/>
  <c r="S98" i="9"/>
  <c r="S197" i="9"/>
  <c r="S288" i="9"/>
  <c r="S674" i="9"/>
  <c r="S574" i="9"/>
  <c r="S401" i="9"/>
  <c r="S216" i="9"/>
  <c r="S620" i="9"/>
  <c r="S51" i="9"/>
  <c r="S701" i="9"/>
  <c r="S312" i="9"/>
  <c r="S105" i="9"/>
  <c r="S565" i="9"/>
  <c r="S15" i="9"/>
  <c r="S433" i="9"/>
  <c r="S260" i="9"/>
  <c r="S370" i="9"/>
  <c r="S392" i="9"/>
  <c r="S420" i="9"/>
  <c r="S32" i="9"/>
  <c r="S373" i="9"/>
  <c r="S118" i="9"/>
  <c r="S177" i="9"/>
  <c r="S638" i="9"/>
  <c r="S561" i="9"/>
  <c r="S386" i="9"/>
  <c r="S592" i="9"/>
  <c r="S97" i="9"/>
  <c r="S497" i="9"/>
  <c r="S684" i="9"/>
  <c r="S42" i="9"/>
  <c r="S224" i="9"/>
  <c r="S108" i="9"/>
  <c r="S388" i="9"/>
  <c r="S712" i="9"/>
  <c r="S610" i="9"/>
  <c r="S649" i="9"/>
  <c r="S242" i="9"/>
  <c r="S172" i="9"/>
  <c r="S669" i="9"/>
  <c r="S88" i="9"/>
  <c r="S195" i="9"/>
  <c r="S85" i="9"/>
  <c r="S633" i="9"/>
  <c r="S609" i="9"/>
  <c r="S191" i="9"/>
  <c r="S726" i="9"/>
  <c r="S629" i="9"/>
  <c r="S292" i="9"/>
  <c r="S71" i="9"/>
  <c r="S64" i="9"/>
  <c r="S161" i="9"/>
  <c r="S232" i="9"/>
  <c r="S132" i="9"/>
  <c r="S227" i="9"/>
  <c r="S285" i="9"/>
  <c r="S393" i="9"/>
  <c r="S136" i="9"/>
  <c r="S208" i="9"/>
  <c r="S716" i="9"/>
  <c r="S47" i="9"/>
  <c r="S61" i="9"/>
  <c r="S180" i="9"/>
  <c r="S112" i="9"/>
  <c r="S376" i="9"/>
  <c r="S530" i="9"/>
  <c r="S275" i="9"/>
  <c r="S316" i="9"/>
  <c r="S637" i="9"/>
  <c r="S366" i="9"/>
  <c r="S731" i="9"/>
  <c r="S80" i="9"/>
  <c r="S713" i="9"/>
  <c r="S309" i="9"/>
  <c r="S656" i="9"/>
  <c r="S486" i="9"/>
  <c r="S65" i="9"/>
  <c r="S55" i="9"/>
  <c r="S699" i="9"/>
  <c r="S375" i="9"/>
  <c r="S299" i="9"/>
  <c r="S267" i="9"/>
  <c r="S721" i="9"/>
  <c r="S582" i="9"/>
  <c r="S640" i="9"/>
  <c r="S278" i="9"/>
  <c r="S30" i="9"/>
  <c r="S558" i="9"/>
  <c r="S403" i="9"/>
  <c r="S425" i="9"/>
  <c r="S462" i="9"/>
  <c r="S334" i="9"/>
  <c r="S44" i="9"/>
  <c r="S703" i="9"/>
  <c r="S488" i="9"/>
  <c r="S322" i="9"/>
  <c r="S249" i="9"/>
  <c r="S67" i="9"/>
  <c r="S226" i="9"/>
  <c r="S274" i="9"/>
  <c r="S479" i="9"/>
  <c r="S277" i="9"/>
  <c r="S293" i="9"/>
  <c r="S20" i="9"/>
  <c r="S304" i="9"/>
  <c r="S170" i="9"/>
  <c r="S269" i="9"/>
  <c r="S516" i="9"/>
  <c r="S413" i="9"/>
  <c r="S28" i="9"/>
  <c r="S128" i="9"/>
  <c r="S578" i="9"/>
  <c r="S478" i="9"/>
  <c r="S78" i="9"/>
  <c r="S513" i="9"/>
  <c r="S189" i="9"/>
  <c r="S677" i="9"/>
  <c r="S466" i="9"/>
  <c r="S12" i="9"/>
  <c r="S296" i="9"/>
  <c r="S398" i="9"/>
  <c r="S691" i="9"/>
  <c r="S295" i="9"/>
  <c r="S76" i="9"/>
  <c r="Z612" i="9" l="1"/>
  <c r="AG612" i="9" s="1"/>
  <c r="T612" i="9"/>
  <c r="W612" i="9" s="1"/>
  <c r="X612" i="9" s="1"/>
  <c r="Y612" i="9" s="1"/>
  <c r="Z501" i="9"/>
  <c r="AG501" i="9" s="1"/>
  <c r="T501" i="9"/>
  <c r="W501" i="9" s="1"/>
  <c r="X501" i="9" s="1"/>
  <c r="Y501" i="9" s="1"/>
  <c r="Z505" i="9"/>
  <c r="AG505" i="9" s="1"/>
  <c r="T505" i="9"/>
  <c r="W505" i="9" s="1"/>
  <c r="X505" i="9" s="1"/>
  <c r="Y505" i="9" s="1"/>
  <c r="Z163" i="9"/>
  <c r="AG163" i="9" s="1"/>
  <c r="T163" i="9"/>
  <c r="W163" i="9" s="1"/>
  <c r="X163" i="9" s="1"/>
  <c r="Y163" i="9" s="1"/>
  <c r="Z171" i="9"/>
  <c r="AG171" i="9" s="1"/>
  <c r="T171" i="9"/>
  <c r="W171" i="9" s="1"/>
  <c r="X171" i="9" s="1"/>
  <c r="Y171" i="9" s="1"/>
  <c r="Z255" i="9"/>
  <c r="AG255" i="9" s="1"/>
  <c r="T255" i="9"/>
  <c r="W255" i="9" s="1"/>
  <c r="X255" i="9" s="1"/>
  <c r="Y255" i="9" s="1"/>
  <c r="Z594" i="9"/>
  <c r="AG594" i="9" s="1"/>
  <c r="T594" i="9"/>
  <c r="W594" i="9" s="1"/>
  <c r="X594" i="9" s="1"/>
  <c r="Y594" i="9" s="1"/>
  <c r="Z263" i="9"/>
  <c r="AG263" i="9" s="1"/>
  <c r="T263" i="9"/>
  <c r="W263" i="9" s="1"/>
  <c r="X263" i="9" s="1"/>
  <c r="Y263" i="9" s="1"/>
  <c r="Z408" i="9"/>
  <c r="AG408" i="9" s="1"/>
  <c r="T408" i="9"/>
  <c r="W408" i="9" s="1"/>
  <c r="X408" i="9" s="1"/>
  <c r="Y408" i="9" s="1"/>
  <c r="Z522" i="9"/>
  <c r="AG522" i="9" s="1"/>
  <c r="T522" i="9"/>
  <c r="W522" i="9" s="1"/>
  <c r="X522" i="9" s="1"/>
  <c r="Y522" i="9" s="1"/>
  <c r="Z478" i="9"/>
  <c r="AG478" i="9" s="1"/>
  <c r="T478" i="9"/>
  <c r="W478" i="9" s="1"/>
  <c r="X478" i="9" s="1"/>
  <c r="Y478" i="9" s="1"/>
  <c r="Z123" i="9"/>
  <c r="AG123" i="9" s="1"/>
  <c r="T123" i="9"/>
  <c r="W123" i="9" s="1"/>
  <c r="X123" i="9" s="1"/>
  <c r="Y123" i="9" s="1"/>
  <c r="Z574" i="9"/>
  <c r="AG574" i="9" s="1"/>
  <c r="T574" i="9"/>
  <c r="W574" i="9" s="1"/>
  <c r="X574" i="9" s="1"/>
  <c r="Y574" i="9" s="1"/>
  <c r="Z420" i="9"/>
  <c r="AG420" i="9" s="1"/>
  <c r="T420" i="9"/>
  <c r="W420" i="9" s="1"/>
  <c r="X420" i="9" s="1"/>
  <c r="Y420" i="9" s="1"/>
  <c r="Z716" i="9"/>
  <c r="AG716" i="9" s="1"/>
  <c r="T716" i="9"/>
  <c r="W716" i="9" s="1"/>
  <c r="X716" i="9" s="1"/>
  <c r="Y716" i="9" s="1"/>
  <c r="Z537" i="9"/>
  <c r="AG537" i="9" s="1"/>
  <c r="T537" i="9"/>
  <c r="W537" i="9" s="1"/>
  <c r="X537" i="9" s="1"/>
  <c r="Y537" i="9" s="1"/>
  <c r="Z257" i="9"/>
  <c r="AG257" i="9" s="1"/>
  <c r="T257" i="9"/>
  <c r="W257" i="9" s="1"/>
  <c r="X257" i="9" s="1"/>
  <c r="Y257" i="9" s="1"/>
  <c r="Z618" i="9"/>
  <c r="AG618" i="9" s="1"/>
  <c r="T618" i="9"/>
  <c r="W618" i="9" s="1"/>
  <c r="X618" i="9" s="1"/>
  <c r="Y618" i="9" s="1"/>
  <c r="Z464" i="9"/>
  <c r="AG464" i="9" s="1"/>
  <c r="T464" i="9"/>
  <c r="W464" i="9" s="1"/>
  <c r="X464" i="9" s="1"/>
  <c r="Y464" i="9" s="1"/>
  <c r="Z725" i="9"/>
  <c r="AG725" i="9" s="1"/>
  <c r="T725" i="9"/>
  <c r="W725" i="9" s="1"/>
  <c r="X725" i="9" s="1"/>
  <c r="Y725" i="9" s="1"/>
  <c r="Z711" i="9"/>
  <c r="AG711" i="9" s="1"/>
  <c r="T711" i="9"/>
  <c r="W711" i="9" s="1"/>
  <c r="X711" i="9" s="1"/>
  <c r="Y711" i="9" s="1"/>
  <c r="Z419" i="9"/>
  <c r="AG419" i="9" s="1"/>
  <c r="T419" i="9"/>
  <c r="W419" i="9" s="1"/>
  <c r="X419" i="9" s="1"/>
  <c r="Y419" i="9" s="1"/>
  <c r="Z721" i="9"/>
  <c r="AG721" i="9" s="1"/>
  <c r="T721" i="9"/>
  <c r="W721" i="9" s="1"/>
  <c r="X721" i="9" s="1"/>
  <c r="Y721" i="9" s="1"/>
  <c r="Z684" i="9"/>
  <c r="AG684" i="9" s="1"/>
  <c r="T684" i="9"/>
  <c r="W684" i="9" s="1"/>
  <c r="X684" i="9" s="1"/>
  <c r="Y684" i="9" s="1"/>
  <c r="Z159" i="9"/>
  <c r="AG159" i="9" s="1"/>
  <c r="T159" i="9"/>
  <c r="W159" i="9" s="1"/>
  <c r="X159" i="9" s="1"/>
  <c r="Y159" i="9" s="1"/>
  <c r="Z519" i="9"/>
  <c r="AG519" i="9" s="1"/>
  <c r="T519" i="9"/>
  <c r="W519" i="9" s="1"/>
  <c r="X519" i="9" s="1"/>
  <c r="Y519" i="9" s="1"/>
  <c r="Z178" i="9"/>
  <c r="AG178" i="9" s="1"/>
  <c r="T178" i="9"/>
  <c r="W178" i="9" s="1"/>
  <c r="X178" i="9" s="1"/>
  <c r="Y178" i="9" s="1"/>
  <c r="Z280" i="9"/>
  <c r="AG280" i="9" s="1"/>
  <c r="T280" i="9"/>
  <c r="W280" i="9" s="1"/>
  <c r="X280" i="9" s="1"/>
  <c r="Y280" i="9" s="1"/>
  <c r="Z358" i="9"/>
  <c r="AG358" i="9" s="1"/>
  <c r="T358" i="9"/>
  <c r="W358" i="9" s="1"/>
  <c r="X358" i="9" s="1"/>
  <c r="Y358" i="9" s="1"/>
  <c r="Z307" i="9"/>
  <c r="AG307" i="9" s="1"/>
  <c r="T307" i="9"/>
  <c r="W307" i="9" s="1"/>
  <c r="X307" i="9" s="1"/>
  <c r="Y307" i="9" s="1"/>
  <c r="Z506" i="9"/>
  <c r="AG506" i="9" s="1"/>
  <c r="T506" i="9"/>
  <c r="W506" i="9" s="1"/>
  <c r="X506" i="9" s="1"/>
  <c r="Y506" i="9" s="1"/>
  <c r="Z407" i="9"/>
  <c r="AG407" i="9" s="1"/>
  <c r="T407" i="9"/>
  <c r="W407" i="9" s="1"/>
  <c r="X407" i="9" s="1"/>
  <c r="Y407" i="9" s="1"/>
  <c r="Z292" i="9"/>
  <c r="AG292" i="9" s="1"/>
  <c r="T292" i="9"/>
  <c r="W292" i="9" s="1"/>
  <c r="X292" i="9" s="1"/>
  <c r="Y292" i="9" s="1"/>
  <c r="Z577" i="9"/>
  <c r="AG577" i="9" s="1"/>
  <c r="T577" i="9"/>
  <c r="W577" i="9" s="1"/>
  <c r="X577" i="9" s="1"/>
  <c r="Y577" i="9" s="1"/>
  <c r="Z366" i="9"/>
  <c r="AG366" i="9" s="1"/>
  <c r="T366" i="9"/>
  <c r="W366" i="9" s="1"/>
  <c r="X366" i="9" s="1"/>
  <c r="Y366" i="9" s="1"/>
  <c r="Z596" i="9"/>
  <c r="AG596" i="9" s="1"/>
  <c r="T596" i="9"/>
  <c r="W596" i="9" s="1"/>
  <c r="X596" i="9" s="1"/>
  <c r="Y596" i="9" s="1"/>
  <c r="Z466" i="9"/>
  <c r="AG466" i="9" s="1"/>
  <c r="T466" i="9"/>
  <c r="W466" i="9" s="1"/>
  <c r="X466" i="9" s="1"/>
  <c r="Y466" i="9" s="1"/>
  <c r="Z336" i="9"/>
  <c r="AG336" i="9" s="1"/>
  <c r="T336" i="9"/>
  <c r="W336" i="9" s="1"/>
  <c r="X336" i="9" s="1"/>
  <c r="Y336" i="9" s="1"/>
  <c r="Z569" i="9"/>
  <c r="AG569" i="9" s="1"/>
  <c r="T569" i="9"/>
  <c r="W569" i="9" s="1"/>
  <c r="X569" i="9" s="1"/>
  <c r="Y569" i="9" s="1"/>
  <c r="Z465" i="9"/>
  <c r="AG465" i="9" s="1"/>
  <c r="T465" i="9"/>
  <c r="W465" i="9" s="1"/>
  <c r="X465" i="9" s="1"/>
  <c r="Y465" i="9" s="1"/>
  <c r="Z647" i="9"/>
  <c r="AG647" i="9" s="1"/>
  <c r="T647" i="9"/>
  <c r="W647" i="9" s="1"/>
  <c r="X647" i="9" s="1"/>
  <c r="Y647" i="9" s="1"/>
  <c r="Z334" i="9"/>
  <c r="AG334" i="9" s="1"/>
  <c r="T334" i="9"/>
  <c r="W334" i="9" s="1"/>
  <c r="X334" i="9" s="1"/>
  <c r="Y334" i="9" s="1"/>
  <c r="Z573" i="9"/>
  <c r="AG573" i="9" s="1"/>
  <c r="T573" i="9"/>
  <c r="W573" i="9" s="1"/>
  <c r="X573" i="9" s="1"/>
  <c r="Y573" i="9" s="1"/>
  <c r="Z549" i="9"/>
  <c r="AG549" i="9" s="1"/>
  <c r="T549" i="9"/>
  <c r="W549" i="9" s="1"/>
  <c r="X549" i="9" s="1"/>
  <c r="Y549" i="9" s="1"/>
  <c r="Z722" i="9"/>
  <c r="AG722" i="9" s="1"/>
  <c r="T722" i="9"/>
  <c r="W722" i="9" s="1"/>
  <c r="X722" i="9" s="1"/>
  <c r="Y722" i="9" s="1"/>
  <c r="Z434" i="9"/>
  <c r="AG434" i="9" s="1"/>
  <c r="T434" i="9"/>
  <c r="W434" i="9" s="1"/>
  <c r="X434" i="9" s="1"/>
  <c r="Y434" i="9" s="1"/>
  <c r="Z93" i="9"/>
  <c r="AG93" i="9" s="1"/>
  <c r="T93" i="9"/>
  <c r="W93" i="9" s="1"/>
  <c r="X93" i="9" s="1"/>
  <c r="Y93" i="9" s="1"/>
  <c r="T152" i="9"/>
  <c r="W152" i="9" s="1"/>
  <c r="X152" i="9" s="1"/>
  <c r="Y152" i="9" s="1"/>
  <c r="Z152" i="9"/>
  <c r="AG152" i="9" s="1"/>
  <c r="Z394" i="9"/>
  <c r="AG394" i="9" s="1"/>
  <c r="T394" i="9"/>
  <c r="W394" i="9" s="1"/>
  <c r="X394" i="9" s="1"/>
  <c r="Y394" i="9" s="1"/>
  <c r="Z137" i="9"/>
  <c r="AG137" i="9" s="1"/>
  <c r="T137" i="9"/>
  <c r="W137" i="9" s="1"/>
  <c r="X137" i="9" s="1"/>
  <c r="Y137" i="9" s="1"/>
  <c r="Z229" i="9"/>
  <c r="AG229" i="9" s="1"/>
  <c r="T229" i="9"/>
  <c r="W229" i="9" s="1"/>
  <c r="X229" i="9" s="1"/>
  <c r="Y229" i="9" s="1"/>
  <c r="Z237" i="9"/>
  <c r="AG237" i="9" s="1"/>
  <c r="T237" i="9"/>
  <c r="W237" i="9" s="1"/>
  <c r="X237" i="9" s="1"/>
  <c r="Y237" i="9" s="1"/>
  <c r="Z164" i="9"/>
  <c r="AG164" i="9" s="1"/>
  <c r="T164" i="9"/>
  <c r="W164" i="9" s="1"/>
  <c r="X164" i="9" s="1"/>
  <c r="Y164" i="9" s="1"/>
  <c r="Z620" i="9"/>
  <c r="AG620" i="9" s="1"/>
  <c r="T620" i="9"/>
  <c r="W620" i="9" s="1"/>
  <c r="X620" i="9" s="1"/>
  <c r="Y620" i="9" s="1"/>
  <c r="Z195" i="9"/>
  <c r="AG195" i="9" s="1"/>
  <c r="T195" i="9"/>
  <c r="W195" i="9" s="1"/>
  <c r="X195" i="9" s="1"/>
  <c r="Y195" i="9" s="1"/>
  <c r="Z293" i="9"/>
  <c r="AG293" i="9" s="1"/>
  <c r="T293" i="9"/>
  <c r="W293" i="9" s="1"/>
  <c r="X293" i="9" s="1"/>
  <c r="Y293" i="9" s="1"/>
  <c r="Z295" i="9"/>
  <c r="AG295" i="9" s="1"/>
  <c r="T295" i="9"/>
  <c r="W295" i="9" s="1"/>
  <c r="X295" i="9" s="1"/>
  <c r="Y295" i="9" s="1"/>
  <c r="Z208" i="9"/>
  <c r="AG208" i="9" s="1"/>
  <c r="T208" i="9"/>
  <c r="W208" i="9" s="1"/>
  <c r="X208" i="9" s="1"/>
  <c r="Y208" i="9" s="1"/>
  <c r="Z278" i="9"/>
  <c r="AG278" i="9" s="1"/>
  <c r="T278" i="9"/>
  <c r="W278" i="9" s="1"/>
  <c r="X278" i="9" s="1"/>
  <c r="Y278" i="9" s="1"/>
  <c r="Z155" i="9"/>
  <c r="AG155" i="9" s="1"/>
  <c r="T155" i="9"/>
  <c r="W155" i="9" s="1"/>
  <c r="X155" i="9" s="1"/>
  <c r="Y155" i="9" s="1"/>
  <c r="Z583" i="9"/>
  <c r="AG583" i="9" s="1"/>
  <c r="T583" i="9"/>
  <c r="W583" i="9" s="1"/>
  <c r="X583" i="9" s="1"/>
  <c r="Y583" i="9" s="1"/>
  <c r="Z249" i="9"/>
  <c r="AG249" i="9" s="1"/>
  <c r="T249" i="9"/>
  <c r="W249" i="9" s="1"/>
  <c r="X249" i="9" s="1"/>
  <c r="Y249" i="9" s="1"/>
  <c r="Z390" i="9"/>
  <c r="AG390" i="9" s="1"/>
  <c r="T390" i="9"/>
  <c r="W390" i="9" s="1"/>
  <c r="X390" i="9" s="1"/>
  <c r="Y390" i="9" s="1"/>
  <c r="Z389" i="9"/>
  <c r="AG389" i="9" s="1"/>
  <c r="T389" i="9"/>
  <c r="W389" i="9" s="1"/>
  <c r="X389" i="9" s="1"/>
  <c r="Y389" i="9" s="1"/>
  <c r="Z658" i="9"/>
  <c r="AG658" i="9" s="1"/>
  <c r="T658" i="9"/>
  <c r="W658" i="9" s="1"/>
  <c r="X658" i="9" s="1"/>
  <c r="Y658" i="9" s="1"/>
  <c r="Z349" i="9"/>
  <c r="AG349" i="9" s="1"/>
  <c r="T349" i="9"/>
  <c r="W349" i="9" s="1"/>
  <c r="X349" i="9" s="1"/>
  <c r="Y349" i="9" s="1"/>
  <c r="Z504" i="9"/>
  <c r="AG504" i="9" s="1"/>
  <c r="T504" i="9"/>
  <c r="W504" i="9" s="1"/>
  <c r="X504" i="9" s="1"/>
  <c r="Y504" i="9" s="1"/>
  <c r="Z475" i="9"/>
  <c r="AG475" i="9" s="1"/>
  <c r="T475" i="9"/>
  <c r="W475" i="9" s="1"/>
  <c r="X475" i="9" s="1"/>
  <c r="Y475" i="9" s="1"/>
  <c r="Z627" i="9"/>
  <c r="AG627" i="9" s="1"/>
  <c r="T627" i="9"/>
  <c r="W627" i="9" s="1"/>
  <c r="X627" i="9" s="1"/>
  <c r="Y627" i="9" s="1"/>
  <c r="Z518" i="9"/>
  <c r="AG518" i="9" s="1"/>
  <c r="T518" i="9"/>
  <c r="W518" i="9" s="1"/>
  <c r="X518" i="9" s="1"/>
  <c r="Y518" i="9" s="1"/>
  <c r="Z702" i="9"/>
  <c r="AG702" i="9" s="1"/>
  <c r="T702" i="9"/>
  <c r="W702" i="9" s="1"/>
  <c r="X702" i="9" s="1"/>
  <c r="Y702" i="9" s="1"/>
  <c r="Z548" i="9"/>
  <c r="AG548" i="9" s="1"/>
  <c r="T548" i="9"/>
  <c r="W548" i="9" s="1"/>
  <c r="X548" i="9" s="1"/>
  <c r="Y548" i="9" s="1"/>
  <c r="Z653" i="9"/>
  <c r="AG653" i="9" s="1"/>
  <c r="T653" i="9"/>
  <c r="W653" i="9" s="1"/>
  <c r="X653" i="9" s="1"/>
  <c r="Y653" i="9" s="1"/>
  <c r="Z671" i="9"/>
  <c r="AG671" i="9" s="1"/>
  <c r="T671" i="9"/>
  <c r="W671" i="9" s="1"/>
  <c r="X671" i="9" s="1"/>
  <c r="Y671" i="9" s="1"/>
  <c r="Z629" i="9"/>
  <c r="AG629" i="9" s="1"/>
  <c r="T629" i="9"/>
  <c r="W629" i="9" s="1"/>
  <c r="X629" i="9" s="1"/>
  <c r="Y629" i="9" s="1"/>
  <c r="Z106" i="9"/>
  <c r="AG106" i="9" s="1"/>
  <c r="T106" i="9"/>
  <c r="W106" i="9" s="1"/>
  <c r="X106" i="9" s="1"/>
  <c r="Y106" i="9" s="1"/>
  <c r="Z125" i="9"/>
  <c r="AG125" i="9" s="1"/>
  <c r="T125" i="9"/>
  <c r="W125" i="9" s="1"/>
  <c r="X125" i="9" s="1"/>
  <c r="Y125" i="9" s="1"/>
  <c r="Z637" i="9"/>
  <c r="AG637" i="9" s="1"/>
  <c r="T637" i="9"/>
  <c r="W637" i="9" s="1"/>
  <c r="X637" i="9" s="1"/>
  <c r="Y637" i="9" s="1"/>
  <c r="Z565" i="9"/>
  <c r="AG565" i="9" s="1"/>
  <c r="T565" i="9"/>
  <c r="W565" i="9" s="1"/>
  <c r="X565" i="9" s="1"/>
  <c r="Y565" i="9" s="1"/>
  <c r="Z667" i="9"/>
  <c r="AG667" i="9" s="1"/>
  <c r="T667" i="9"/>
  <c r="W667" i="9" s="1"/>
  <c r="X667" i="9" s="1"/>
  <c r="Y667" i="9" s="1"/>
  <c r="Z361" i="9"/>
  <c r="AG361" i="9" s="1"/>
  <c r="T361" i="9"/>
  <c r="W361" i="9" s="1"/>
  <c r="X361" i="9" s="1"/>
  <c r="Y361" i="9" s="1"/>
  <c r="Z625" i="9"/>
  <c r="AG625" i="9" s="1"/>
  <c r="T625" i="9"/>
  <c r="W625" i="9" s="1"/>
  <c r="X625" i="9" s="1"/>
  <c r="Y625" i="9" s="1"/>
  <c r="Z588" i="9"/>
  <c r="AG588" i="9" s="1"/>
  <c r="T588" i="9"/>
  <c r="W588" i="9" s="1"/>
  <c r="X588" i="9" s="1"/>
  <c r="Y588" i="9" s="1"/>
  <c r="Z101" i="9"/>
  <c r="AG101" i="9" s="1"/>
  <c r="T101" i="9"/>
  <c r="W101" i="9" s="1"/>
  <c r="X101" i="9" s="1"/>
  <c r="Y101" i="9" s="1"/>
  <c r="Z290" i="9"/>
  <c r="AG290" i="9" s="1"/>
  <c r="T290" i="9"/>
  <c r="W290" i="9" s="1"/>
  <c r="X290" i="9" s="1"/>
  <c r="Y290" i="9" s="1"/>
  <c r="Z460" i="9"/>
  <c r="AG460" i="9" s="1"/>
  <c r="T460" i="9"/>
  <c r="W460" i="9" s="1"/>
  <c r="X460" i="9" s="1"/>
  <c r="Y460" i="9" s="1"/>
  <c r="Z204" i="9"/>
  <c r="AG204" i="9" s="1"/>
  <c r="T204" i="9"/>
  <c r="W204" i="9" s="1"/>
  <c r="X204" i="9" s="1"/>
  <c r="Y204" i="9" s="1"/>
  <c r="Z497" i="9"/>
  <c r="AG497" i="9" s="1"/>
  <c r="T497" i="9"/>
  <c r="W497" i="9" s="1"/>
  <c r="X497" i="9" s="1"/>
  <c r="Y497" i="9" s="1"/>
  <c r="Z538" i="9"/>
  <c r="AG538" i="9" s="1"/>
  <c r="T538" i="9"/>
  <c r="W538" i="9" s="1"/>
  <c r="X538" i="9" s="1"/>
  <c r="Y538" i="9" s="1"/>
  <c r="Z379" i="9"/>
  <c r="AG379" i="9" s="1"/>
  <c r="T379" i="9"/>
  <c r="W379" i="9" s="1"/>
  <c r="X379" i="9" s="1"/>
  <c r="Y379" i="9" s="1"/>
  <c r="Z415" i="9"/>
  <c r="AG415" i="9" s="1"/>
  <c r="T415" i="9"/>
  <c r="W415" i="9" s="1"/>
  <c r="X415" i="9" s="1"/>
  <c r="Y415" i="9" s="1"/>
  <c r="Z631" i="9"/>
  <c r="AG631" i="9" s="1"/>
  <c r="T631" i="9"/>
  <c r="W631" i="9" s="1"/>
  <c r="X631" i="9" s="1"/>
  <c r="Y631" i="9" s="1"/>
  <c r="Z483" i="9"/>
  <c r="AG483" i="9" s="1"/>
  <c r="T483" i="9"/>
  <c r="W483" i="9" s="1"/>
  <c r="X483" i="9" s="1"/>
  <c r="Y483" i="9" s="1"/>
  <c r="Z313" i="9"/>
  <c r="AG313" i="9" s="1"/>
  <c r="T313" i="9"/>
  <c r="W313" i="9" s="1"/>
  <c r="X313" i="9" s="1"/>
  <c r="Y313" i="9" s="1"/>
  <c r="Z142" i="9"/>
  <c r="AG142" i="9" s="1"/>
  <c r="T142" i="9"/>
  <c r="W142" i="9" s="1"/>
  <c r="X142" i="9" s="1"/>
  <c r="Y142" i="9" s="1"/>
  <c r="Z529" i="9"/>
  <c r="AG529" i="9" s="1"/>
  <c r="T529" i="9"/>
  <c r="W529" i="9" s="1"/>
  <c r="X529" i="9" s="1"/>
  <c r="Y529" i="9" s="1"/>
  <c r="Z129" i="9"/>
  <c r="AG129" i="9" s="1"/>
  <c r="T129" i="9"/>
  <c r="W129" i="9" s="1"/>
  <c r="X129" i="9" s="1"/>
  <c r="Y129" i="9" s="1"/>
  <c r="Z511" i="9"/>
  <c r="AG511" i="9" s="1"/>
  <c r="T511" i="9"/>
  <c r="W511" i="9" s="1"/>
  <c r="X511" i="9" s="1"/>
  <c r="Y511" i="9" s="1"/>
  <c r="Z234" i="9"/>
  <c r="AG234" i="9" s="1"/>
  <c r="T234" i="9"/>
  <c r="W234" i="9" s="1"/>
  <c r="X234" i="9" s="1"/>
  <c r="Y234" i="9" s="1"/>
  <c r="Z706" i="9"/>
  <c r="AG706" i="9" s="1"/>
  <c r="T706" i="9"/>
  <c r="W706" i="9" s="1"/>
  <c r="X706" i="9" s="1"/>
  <c r="Y706" i="9" s="1"/>
  <c r="Z578" i="9"/>
  <c r="AG578" i="9" s="1"/>
  <c r="T578" i="9"/>
  <c r="W578" i="9" s="1"/>
  <c r="X578" i="9" s="1"/>
  <c r="Y578" i="9" s="1"/>
  <c r="Z413" i="9"/>
  <c r="AG413" i="9" s="1"/>
  <c r="T413" i="9"/>
  <c r="W413" i="9" s="1"/>
  <c r="X413" i="9" s="1"/>
  <c r="Y413" i="9" s="1"/>
  <c r="Z242" i="9"/>
  <c r="AG242" i="9" s="1"/>
  <c r="T242" i="9"/>
  <c r="W242" i="9" s="1"/>
  <c r="X242" i="9" s="1"/>
  <c r="Y242" i="9" s="1"/>
  <c r="Z552" i="9"/>
  <c r="AG552" i="9" s="1"/>
  <c r="T552" i="9"/>
  <c r="W552" i="9" s="1"/>
  <c r="X552" i="9" s="1"/>
  <c r="Y552" i="9" s="1"/>
  <c r="Z392" i="9"/>
  <c r="AG392" i="9" s="1"/>
  <c r="T392" i="9"/>
  <c r="W392" i="9" s="1"/>
  <c r="X392" i="9" s="1"/>
  <c r="Y392" i="9" s="1"/>
  <c r="T136" i="9"/>
  <c r="W136" i="9" s="1"/>
  <c r="X136" i="9" s="1"/>
  <c r="Y136" i="9" s="1"/>
  <c r="Z136" i="9"/>
  <c r="AG136" i="9" s="1"/>
  <c r="Z426" i="9"/>
  <c r="AG426" i="9" s="1"/>
  <c r="T426" i="9"/>
  <c r="W426" i="9" s="1"/>
  <c r="X426" i="9" s="1"/>
  <c r="Y426" i="9" s="1"/>
  <c r="Z298" i="9"/>
  <c r="AG298" i="9" s="1"/>
  <c r="T298" i="9"/>
  <c r="W298" i="9" s="1"/>
  <c r="X298" i="9" s="1"/>
  <c r="Y298" i="9" s="1"/>
  <c r="Z457" i="9"/>
  <c r="AG457" i="9" s="1"/>
  <c r="T457" i="9"/>
  <c r="W457" i="9" s="1"/>
  <c r="X457" i="9" s="1"/>
  <c r="Y457" i="9" s="1"/>
  <c r="Z115" i="9"/>
  <c r="AG115" i="9" s="1"/>
  <c r="T115" i="9"/>
  <c r="W115" i="9" s="1"/>
  <c r="X115" i="9" s="1"/>
  <c r="Y115" i="9" s="1"/>
  <c r="Z91" i="9"/>
  <c r="AG91" i="9" s="1"/>
  <c r="T91" i="9"/>
  <c r="W91" i="9" s="1"/>
  <c r="X91" i="9" s="1"/>
  <c r="Y91" i="9" s="1"/>
  <c r="Z207" i="9"/>
  <c r="AG207" i="9" s="1"/>
  <c r="T207" i="9"/>
  <c r="W207" i="9" s="1"/>
  <c r="X207" i="9" s="1"/>
  <c r="Y207" i="9" s="1"/>
  <c r="Z557" i="9"/>
  <c r="AG557" i="9" s="1"/>
  <c r="T557" i="9"/>
  <c r="W557" i="9" s="1"/>
  <c r="X557" i="9" s="1"/>
  <c r="Y557" i="9" s="1"/>
  <c r="Z215" i="9"/>
  <c r="AG215" i="9" s="1"/>
  <c r="T215" i="9"/>
  <c r="W215" i="9" s="1"/>
  <c r="X215" i="9" s="1"/>
  <c r="Y215" i="9" s="1"/>
  <c r="Z532" i="9"/>
  <c r="AG532" i="9" s="1"/>
  <c r="T532" i="9"/>
  <c r="W532" i="9" s="1"/>
  <c r="X532" i="9" s="1"/>
  <c r="Y532" i="9" s="1"/>
  <c r="Z276" i="9"/>
  <c r="AG276" i="9" s="1"/>
  <c r="T276" i="9"/>
  <c r="W276" i="9" s="1"/>
  <c r="X276" i="9" s="1"/>
  <c r="Y276" i="9" s="1"/>
  <c r="Z597" i="9"/>
  <c r="AG597" i="9" s="1"/>
  <c r="T597" i="9"/>
  <c r="W597" i="9" s="1"/>
  <c r="X597" i="9" s="1"/>
  <c r="Y597" i="9" s="1"/>
  <c r="Z507" i="9"/>
  <c r="AG507" i="9" s="1"/>
  <c r="T507" i="9"/>
  <c r="W507" i="9" s="1"/>
  <c r="X507" i="9" s="1"/>
  <c r="Y507" i="9" s="1"/>
  <c r="Z655" i="9"/>
  <c r="AG655" i="9" s="1"/>
  <c r="T655" i="9"/>
  <c r="W655" i="9" s="1"/>
  <c r="X655" i="9" s="1"/>
  <c r="Y655" i="9" s="1"/>
  <c r="Z345" i="9"/>
  <c r="AG345" i="9" s="1"/>
  <c r="T345" i="9"/>
  <c r="W345" i="9" s="1"/>
  <c r="X345" i="9" s="1"/>
  <c r="Y345" i="9" s="1"/>
  <c r="Z589" i="9"/>
  <c r="AG589" i="9" s="1"/>
  <c r="T589" i="9"/>
  <c r="W589" i="9" s="1"/>
  <c r="X589" i="9" s="1"/>
  <c r="Y589" i="9" s="1"/>
  <c r="Z564" i="9"/>
  <c r="AG564" i="9" s="1"/>
  <c r="T564" i="9"/>
  <c r="W564" i="9" s="1"/>
  <c r="X564" i="9" s="1"/>
  <c r="Y564" i="9" s="1"/>
  <c r="Z730" i="9"/>
  <c r="AG730" i="9" s="1"/>
  <c r="T730" i="9"/>
  <c r="W730" i="9" s="1"/>
  <c r="X730" i="9" s="1"/>
  <c r="Y730" i="9" s="1"/>
  <c r="Z445" i="9"/>
  <c r="AG445" i="9" s="1"/>
  <c r="T445" i="9"/>
  <c r="W445" i="9" s="1"/>
  <c r="X445" i="9" s="1"/>
  <c r="Y445" i="9" s="1"/>
  <c r="Z103" i="9"/>
  <c r="AG103" i="9" s="1"/>
  <c r="T103" i="9"/>
  <c r="W103" i="9" s="1"/>
  <c r="X103" i="9" s="1"/>
  <c r="Y103" i="9" s="1"/>
  <c r="Z320" i="9"/>
  <c r="AG320" i="9" s="1"/>
  <c r="T320" i="9"/>
  <c r="W320" i="9" s="1"/>
  <c r="X320" i="9" s="1"/>
  <c r="Y320" i="9" s="1"/>
  <c r="Z581" i="9"/>
  <c r="AG581" i="9" s="1"/>
  <c r="T581" i="9"/>
  <c r="W581" i="9" s="1"/>
  <c r="X581" i="9" s="1"/>
  <c r="Y581" i="9" s="1"/>
  <c r="Z486" i="9"/>
  <c r="AG486" i="9" s="1"/>
  <c r="T486" i="9"/>
  <c r="W486" i="9" s="1"/>
  <c r="X486" i="9" s="1"/>
  <c r="Y486" i="9" s="1"/>
  <c r="Z651" i="9"/>
  <c r="AG651" i="9" s="1"/>
  <c r="T651" i="9"/>
  <c r="W651" i="9" s="1"/>
  <c r="X651" i="9" s="1"/>
  <c r="Y651" i="9" s="1"/>
  <c r="Z339" i="9"/>
  <c r="AG339" i="9" s="1"/>
  <c r="T339" i="9"/>
  <c r="W339" i="9" s="1"/>
  <c r="X339" i="9" s="1"/>
  <c r="Y339" i="9" s="1"/>
  <c r="Z585" i="9"/>
  <c r="AG585" i="9" s="1"/>
  <c r="T585" i="9"/>
  <c r="W585" i="9" s="1"/>
  <c r="X585" i="9" s="1"/>
  <c r="Y585" i="9" s="1"/>
  <c r="Z554" i="9"/>
  <c r="AG554" i="9" s="1"/>
  <c r="T554" i="9"/>
  <c r="W554" i="9" s="1"/>
  <c r="X554" i="9" s="1"/>
  <c r="Y554" i="9" s="1"/>
  <c r="Z726" i="9"/>
  <c r="AG726" i="9" s="1"/>
  <c r="T726" i="9"/>
  <c r="W726" i="9" s="1"/>
  <c r="X726" i="9" s="1"/>
  <c r="Y726" i="9" s="1"/>
  <c r="Z439" i="9"/>
  <c r="AG439" i="9" s="1"/>
  <c r="T439" i="9"/>
  <c r="W439" i="9" s="1"/>
  <c r="X439" i="9" s="1"/>
  <c r="Y439" i="9" s="1"/>
  <c r="Z269" i="9"/>
  <c r="AG269" i="9" s="1"/>
  <c r="T269" i="9"/>
  <c r="W269" i="9" s="1"/>
  <c r="X269" i="9" s="1"/>
  <c r="Y269" i="9" s="1"/>
  <c r="Z444" i="9"/>
  <c r="AG444" i="9" s="1"/>
  <c r="T444" i="9"/>
  <c r="W444" i="9" s="1"/>
  <c r="X444" i="9" s="1"/>
  <c r="Y444" i="9" s="1"/>
  <c r="Z316" i="9"/>
  <c r="AG316" i="9" s="1"/>
  <c r="T316" i="9"/>
  <c r="W316" i="9" s="1"/>
  <c r="X316" i="9" s="1"/>
  <c r="Y316" i="9" s="1"/>
  <c r="Z677" i="9"/>
  <c r="AG677" i="9" s="1"/>
  <c r="T677" i="9"/>
  <c r="W677" i="9" s="1"/>
  <c r="X677" i="9" s="1"/>
  <c r="Y677" i="9" s="1"/>
  <c r="Z417" i="9"/>
  <c r="AG417" i="9" s="1"/>
  <c r="T417" i="9"/>
  <c r="W417" i="9" s="1"/>
  <c r="X417" i="9" s="1"/>
  <c r="Y417" i="9" s="1"/>
  <c r="Z134" i="9"/>
  <c r="AG134" i="9" s="1"/>
  <c r="T134" i="9"/>
  <c r="W134" i="9" s="1"/>
  <c r="X134" i="9" s="1"/>
  <c r="Y134" i="9" s="1"/>
  <c r="Z447" i="9"/>
  <c r="AG447" i="9" s="1"/>
  <c r="T447" i="9"/>
  <c r="W447" i="9" s="1"/>
  <c r="X447" i="9" s="1"/>
  <c r="Y447" i="9" s="1"/>
  <c r="Z605" i="9"/>
  <c r="AG605" i="9" s="1"/>
  <c r="T605" i="9"/>
  <c r="W605" i="9" s="1"/>
  <c r="X605" i="9" s="1"/>
  <c r="Y605" i="9" s="1"/>
  <c r="Z305" i="9"/>
  <c r="AG305" i="9" s="1"/>
  <c r="T305" i="9"/>
  <c r="W305" i="9" s="1"/>
  <c r="X305" i="9" s="1"/>
  <c r="Y305" i="9" s="1"/>
  <c r="Z652" i="9"/>
  <c r="AG652" i="9" s="1"/>
  <c r="T652" i="9"/>
  <c r="W652" i="9" s="1"/>
  <c r="X652" i="9" s="1"/>
  <c r="Y652" i="9" s="1"/>
  <c r="Z325" i="9"/>
  <c r="AG325" i="9" s="1"/>
  <c r="T325" i="9"/>
  <c r="W325" i="9" s="1"/>
  <c r="X325" i="9" s="1"/>
  <c r="Y325" i="9" s="1"/>
  <c r="Z679" i="9"/>
  <c r="AG679" i="9" s="1"/>
  <c r="T679" i="9"/>
  <c r="W679" i="9" s="1"/>
  <c r="X679" i="9" s="1"/>
  <c r="Y679" i="9" s="1"/>
  <c r="Z615" i="9"/>
  <c r="AG615" i="9" s="1"/>
  <c r="T615" i="9"/>
  <c r="W615" i="9" s="1"/>
  <c r="X615" i="9" s="1"/>
  <c r="Y615" i="9" s="1"/>
  <c r="T547" i="9"/>
  <c r="W547" i="9" s="1"/>
  <c r="X547" i="9" s="1"/>
  <c r="Y547" i="9" s="1"/>
  <c r="Z547" i="9"/>
  <c r="AG547" i="9" s="1"/>
  <c r="Z462" i="9"/>
  <c r="AG462" i="9" s="1"/>
  <c r="T462" i="9"/>
  <c r="W462" i="9" s="1"/>
  <c r="X462" i="9" s="1"/>
  <c r="Y462" i="9" s="1"/>
  <c r="Z377" i="9"/>
  <c r="AG377" i="9" s="1"/>
  <c r="T377" i="9"/>
  <c r="W377" i="9" s="1"/>
  <c r="X377" i="9" s="1"/>
  <c r="Y377" i="9" s="1"/>
  <c r="Z291" i="9"/>
  <c r="AG291" i="9" s="1"/>
  <c r="T291" i="9"/>
  <c r="W291" i="9" s="1"/>
  <c r="X291" i="9" s="1"/>
  <c r="Y291" i="9" s="1"/>
  <c r="Z206" i="9"/>
  <c r="AG206" i="9" s="1"/>
  <c r="T206" i="9"/>
  <c r="W206" i="9" s="1"/>
  <c r="X206" i="9" s="1"/>
  <c r="Y206" i="9" s="1"/>
  <c r="Z121" i="9"/>
  <c r="AG121" i="9" s="1"/>
  <c r="T121" i="9"/>
  <c r="W121" i="9" s="1"/>
  <c r="X121" i="9" s="1"/>
  <c r="Y121" i="9" s="1"/>
  <c r="Z645" i="9"/>
  <c r="AG645" i="9" s="1"/>
  <c r="T645" i="9"/>
  <c r="W645" i="9" s="1"/>
  <c r="X645" i="9" s="1"/>
  <c r="Y645" i="9" s="1"/>
  <c r="Z481" i="9"/>
  <c r="AG481" i="9" s="1"/>
  <c r="T481" i="9"/>
  <c r="W481" i="9" s="1"/>
  <c r="X481" i="9" s="1"/>
  <c r="Y481" i="9" s="1"/>
  <c r="Z283" i="9"/>
  <c r="AG283" i="9" s="1"/>
  <c r="T283" i="9"/>
  <c r="W283" i="9" s="1"/>
  <c r="X283" i="9" s="1"/>
  <c r="Y283" i="9" s="1"/>
  <c r="Z97" i="9"/>
  <c r="AG97" i="9" s="1"/>
  <c r="T97" i="9"/>
  <c r="W97" i="9" s="1"/>
  <c r="X97" i="9" s="1"/>
  <c r="Y97" i="9" s="1"/>
  <c r="Z616" i="9"/>
  <c r="AG616" i="9" s="1"/>
  <c r="T616" i="9"/>
  <c r="W616" i="9" s="1"/>
  <c r="X616" i="9" s="1"/>
  <c r="Y616" i="9" s="1"/>
  <c r="Z469" i="9"/>
  <c r="AG469" i="9" s="1"/>
  <c r="T469" i="9"/>
  <c r="W469" i="9" s="1"/>
  <c r="X469" i="9" s="1"/>
  <c r="Y469" i="9" s="1"/>
  <c r="Z314" i="9"/>
  <c r="AG314" i="9" s="1"/>
  <c r="T314" i="9"/>
  <c r="W314" i="9" s="1"/>
  <c r="X314" i="9" s="1"/>
  <c r="Y314" i="9" s="1"/>
  <c r="Z213" i="9"/>
  <c r="AG213" i="9" s="1"/>
  <c r="T213" i="9"/>
  <c r="W213" i="9" s="1"/>
  <c r="X213" i="9" s="1"/>
  <c r="Y213" i="9" s="1"/>
  <c r="Z117" i="9"/>
  <c r="AG117" i="9" s="1"/>
  <c r="T117" i="9"/>
  <c r="W117" i="9" s="1"/>
  <c r="X117" i="9" s="1"/>
  <c r="Y117" i="9" s="1"/>
  <c r="Z690" i="9"/>
  <c r="AG690" i="9" s="1"/>
  <c r="T690" i="9"/>
  <c r="W690" i="9" s="1"/>
  <c r="X690" i="9" s="1"/>
  <c r="Y690" i="9" s="1"/>
  <c r="Z626" i="9"/>
  <c r="AG626" i="9" s="1"/>
  <c r="T626" i="9"/>
  <c r="W626" i="9" s="1"/>
  <c r="X626" i="9" s="1"/>
  <c r="Y626" i="9" s="1"/>
  <c r="Z562" i="9"/>
  <c r="AG562" i="9" s="1"/>
  <c r="T562" i="9"/>
  <c r="W562" i="9" s="1"/>
  <c r="X562" i="9" s="1"/>
  <c r="Y562" i="9" s="1"/>
  <c r="Z477" i="9"/>
  <c r="AG477" i="9" s="1"/>
  <c r="T477" i="9"/>
  <c r="W477" i="9" s="1"/>
  <c r="X477" i="9" s="1"/>
  <c r="Y477" i="9" s="1"/>
  <c r="Z391" i="9"/>
  <c r="AG391" i="9" s="1"/>
  <c r="T391" i="9"/>
  <c r="W391" i="9" s="1"/>
  <c r="X391" i="9" s="1"/>
  <c r="Y391" i="9" s="1"/>
  <c r="Z306" i="9"/>
  <c r="AG306" i="9" s="1"/>
  <c r="T306" i="9"/>
  <c r="W306" i="9" s="1"/>
  <c r="X306" i="9" s="1"/>
  <c r="Y306" i="9" s="1"/>
  <c r="Z221" i="9"/>
  <c r="AG221" i="9" s="1"/>
  <c r="T221" i="9"/>
  <c r="W221" i="9" s="1"/>
  <c r="X221" i="9" s="1"/>
  <c r="Y221" i="9" s="1"/>
  <c r="Z135" i="9"/>
  <c r="AG135" i="9" s="1"/>
  <c r="T135" i="9"/>
  <c r="W135" i="9" s="1"/>
  <c r="X135" i="9" s="1"/>
  <c r="Y135" i="9" s="1"/>
  <c r="Z536" i="9"/>
  <c r="AG536" i="9" s="1"/>
  <c r="T536" i="9"/>
  <c r="W536" i="9" s="1"/>
  <c r="X536" i="9" s="1"/>
  <c r="Y536" i="9" s="1"/>
  <c r="Z472" i="9"/>
  <c r="AG472" i="9" s="1"/>
  <c r="T472" i="9"/>
  <c r="W472" i="9" s="1"/>
  <c r="X472" i="9" s="1"/>
  <c r="Y472" i="9" s="1"/>
  <c r="Z344" i="9"/>
  <c r="AG344" i="9" s="1"/>
  <c r="T344" i="9"/>
  <c r="W344" i="9" s="1"/>
  <c r="X344" i="9" s="1"/>
  <c r="Y344" i="9" s="1"/>
  <c r="Z216" i="9"/>
  <c r="AG216" i="9" s="1"/>
  <c r="T216" i="9"/>
  <c r="W216" i="9" s="1"/>
  <c r="X216" i="9" s="1"/>
  <c r="Y216" i="9" s="1"/>
  <c r="T88" i="9"/>
  <c r="W88" i="9" s="1"/>
  <c r="X88" i="9" s="1"/>
  <c r="Y88" i="9" s="1"/>
  <c r="Z88" i="9"/>
  <c r="AG88" i="9" s="1"/>
  <c r="Z198" i="9"/>
  <c r="AG198" i="9" s="1"/>
  <c r="T198" i="9"/>
  <c r="W198" i="9" s="1"/>
  <c r="X198" i="9" s="1"/>
  <c r="Y198" i="9" s="1"/>
  <c r="Z649" i="9"/>
  <c r="AG649" i="9" s="1"/>
  <c r="T649" i="9"/>
  <c r="W649" i="9" s="1"/>
  <c r="X649" i="9" s="1"/>
  <c r="Y649" i="9" s="1"/>
  <c r="Z696" i="9"/>
  <c r="AG696" i="9" s="1"/>
  <c r="T696" i="9"/>
  <c r="W696" i="9" s="1"/>
  <c r="X696" i="9" s="1"/>
  <c r="Y696" i="9" s="1"/>
  <c r="Z691" i="9"/>
  <c r="AG691" i="9" s="1"/>
  <c r="T691" i="9"/>
  <c r="W691" i="9" s="1"/>
  <c r="X691" i="9" s="1"/>
  <c r="Y691" i="9" s="1"/>
  <c r="Z563" i="9"/>
  <c r="AG563" i="9" s="1"/>
  <c r="T563" i="9"/>
  <c r="W563" i="9" s="1"/>
  <c r="X563" i="9" s="1"/>
  <c r="Y563" i="9" s="1"/>
  <c r="Z393" i="9"/>
  <c r="AG393" i="9" s="1"/>
  <c r="T393" i="9"/>
  <c r="W393" i="9" s="1"/>
  <c r="X393" i="9" s="1"/>
  <c r="Y393" i="9" s="1"/>
  <c r="Z222" i="9"/>
  <c r="AG222" i="9" s="1"/>
  <c r="T222" i="9"/>
  <c r="W222" i="9" s="1"/>
  <c r="X222" i="9" s="1"/>
  <c r="Y222" i="9" s="1"/>
  <c r="Z673" i="9"/>
  <c r="AG673" i="9" s="1"/>
  <c r="T673" i="9"/>
  <c r="W673" i="9" s="1"/>
  <c r="X673" i="9" s="1"/>
  <c r="Y673" i="9" s="1"/>
  <c r="Z326" i="9"/>
  <c r="AG326" i="9" s="1"/>
  <c r="T326" i="9"/>
  <c r="W326" i="9" s="1"/>
  <c r="X326" i="9" s="1"/>
  <c r="Y326" i="9" s="1"/>
  <c r="Z640" i="9"/>
  <c r="AG640" i="9" s="1"/>
  <c r="T640" i="9"/>
  <c r="W640" i="9" s="1"/>
  <c r="X640" i="9" s="1"/>
  <c r="Y640" i="9" s="1"/>
  <c r="Z341" i="9"/>
  <c r="AG341" i="9" s="1"/>
  <c r="T341" i="9"/>
  <c r="W341" i="9" s="1"/>
  <c r="X341" i="9" s="1"/>
  <c r="Y341" i="9" s="1"/>
  <c r="Z133" i="9"/>
  <c r="AG133" i="9" s="1"/>
  <c r="T133" i="9"/>
  <c r="W133" i="9" s="1"/>
  <c r="X133" i="9" s="1"/>
  <c r="Y133" i="9" s="1"/>
  <c r="Z638" i="9"/>
  <c r="AG638" i="9" s="1"/>
  <c r="T638" i="9"/>
  <c r="W638" i="9" s="1"/>
  <c r="X638" i="9" s="1"/>
  <c r="Y638" i="9" s="1"/>
  <c r="Z493" i="9"/>
  <c r="AG493" i="9" s="1"/>
  <c r="T493" i="9"/>
  <c r="W493" i="9" s="1"/>
  <c r="X493" i="9" s="1"/>
  <c r="Y493" i="9" s="1"/>
  <c r="Z322" i="9"/>
  <c r="AG322" i="9" s="1"/>
  <c r="T322" i="9"/>
  <c r="W322" i="9" s="1"/>
  <c r="X322" i="9" s="1"/>
  <c r="Y322" i="9" s="1"/>
  <c r="Z151" i="9"/>
  <c r="AG151" i="9" s="1"/>
  <c r="T151" i="9"/>
  <c r="W151" i="9" s="1"/>
  <c r="X151" i="9" s="1"/>
  <c r="Y151" i="9" s="1"/>
  <c r="Z484" i="9"/>
  <c r="AG484" i="9" s="1"/>
  <c r="T484" i="9"/>
  <c r="W484" i="9" s="1"/>
  <c r="X484" i="9" s="1"/>
  <c r="Y484" i="9" s="1"/>
  <c r="Z356" i="9"/>
  <c r="AG356" i="9" s="1"/>
  <c r="T356" i="9"/>
  <c r="W356" i="9" s="1"/>
  <c r="X356" i="9" s="1"/>
  <c r="Y356" i="9" s="1"/>
  <c r="Z228" i="9"/>
  <c r="AG228" i="9" s="1"/>
  <c r="T228" i="9"/>
  <c r="W228" i="9" s="1"/>
  <c r="X228" i="9" s="1"/>
  <c r="Y228" i="9" s="1"/>
  <c r="T100" i="9"/>
  <c r="W100" i="9" s="1"/>
  <c r="X100" i="9" s="1"/>
  <c r="Y100" i="9" s="1"/>
  <c r="Z100" i="9"/>
  <c r="AG100" i="9" s="1"/>
  <c r="Z385" i="9"/>
  <c r="AG385" i="9" s="1"/>
  <c r="T385" i="9"/>
  <c r="W385" i="9" s="1"/>
  <c r="X385" i="9" s="1"/>
  <c r="Y385" i="9" s="1"/>
  <c r="Z405" i="9"/>
  <c r="AG405" i="9" s="1"/>
  <c r="T405" i="9"/>
  <c r="W405" i="9" s="1"/>
  <c r="X405" i="9" s="1"/>
  <c r="Y405" i="9" s="1"/>
  <c r="Z273" i="9"/>
  <c r="AG273" i="9" s="1"/>
  <c r="T273" i="9"/>
  <c r="W273" i="9" s="1"/>
  <c r="X273" i="9" s="1"/>
  <c r="Y273" i="9" s="1"/>
  <c r="Z277" i="9"/>
  <c r="AG277" i="9" s="1"/>
  <c r="T277" i="9"/>
  <c r="W277" i="9" s="1"/>
  <c r="X277" i="9" s="1"/>
  <c r="Y277" i="9" s="1"/>
  <c r="Z607" i="9"/>
  <c r="AG607" i="9" s="1"/>
  <c r="T607" i="9"/>
  <c r="W607" i="9" s="1"/>
  <c r="X607" i="9" s="1"/>
  <c r="Y607" i="9" s="1"/>
  <c r="Z451" i="9"/>
  <c r="AG451" i="9" s="1"/>
  <c r="T451" i="9"/>
  <c r="W451" i="9" s="1"/>
  <c r="X451" i="9" s="1"/>
  <c r="Y451" i="9" s="1"/>
  <c r="Z281" i="9"/>
  <c r="AG281" i="9" s="1"/>
  <c r="T281" i="9"/>
  <c r="W281" i="9" s="1"/>
  <c r="X281" i="9" s="1"/>
  <c r="Y281" i="9" s="1"/>
  <c r="Z110" i="9"/>
  <c r="AG110" i="9" s="1"/>
  <c r="T110" i="9"/>
  <c r="W110" i="9" s="1"/>
  <c r="X110" i="9" s="1"/>
  <c r="Y110" i="9" s="1"/>
  <c r="Z459" i="9"/>
  <c r="AG459" i="9" s="1"/>
  <c r="T459" i="9"/>
  <c r="W459" i="9" s="1"/>
  <c r="X459" i="9" s="1"/>
  <c r="Y459" i="9" s="1"/>
  <c r="Z724" i="9"/>
  <c r="AG724" i="9" s="1"/>
  <c r="T724" i="9"/>
  <c r="W724" i="9" s="1"/>
  <c r="X724" i="9" s="1"/>
  <c r="Y724" i="9" s="1"/>
  <c r="T453" i="9"/>
  <c r="W453" i="9" s="1"/>
  <c r="X453" i="9" s="1"/>
  <c r="Y453" i="9" s="1"/>
  <c r="Z453" i="9"/>
  <c r="AG453" i="9" s="1"/>
  <c r="Z202" i="9"/>
  <c r="AG202" i="9" s="1"/>
  <c r="T202" i="9"/>
  <c r="W202" i="9" s="1"/>
  <c r="X202" i="9" s="1"/>
  <c r="Y202" i="9" s="1"/>
  <c r="Z682" i="9"/>
  <c r="AG682" i="9" s="1"/>
  <c r="T682" i="9"/>
  <c r="W682" i="9" s="1"/>
  <c r="X682" i="9" s="1"/>
  <c r="Y682" i="9" s="1"/>
  <c r="Z551" i="9"/>
  <c r="AG551" i="9" s="1"/>
  <c r="T551" i="9"/>
  <c r="W551" i="9" s="1"/>
  <c r="X551" i="9" s="1"/>
  <c r="Y551" i="9" s="1"/>
  <c r="Z381" i="9"/>
  <c r="AG381" i="9" s="1"/>
  <c r="T381" i="9"/>
  <c r="W381" i="9" s="1"/>
  <c r="X381" i="9" s="1"/>
  <c r="Y381" i="9" s="1"/>
  <c r="Z210" i="9"/>
  <c r="AG210" i="9" s="1"/>
  <c r="T210" i="9"/>
  <c r="W210" i="9" s="1"/>
  <c r="X210" i="9" s="1"/>
  <c r="Y210" i="9" s="1"/>
  <c r="Z528" i="9"/>
  <c r="AG528" i="9" s="1"/>
  <c r="T528" i="9"/>
  <c r="W528" i="9" s="1"/>
  <c r="X528" i="9" s="1"/>
  <c r="Y528" i="9" s="1"/>
  <c r="Z400" i="9"/>
  <c r="AG400" i="9" s="1"/>
  <c r="T400" i="9"/>
  <c r="W400" i="9" s="1"/>
  <c r="X400" i="9" s="1"/>
  <c r="Y400" i="9" s="1"/>
  <c r="Z272" i="9"/>
  <c r="AG272" i="9" s="1"/>
  <c r="T272" i="9"/>
  <c r="W272" i="9" s="1"/>
  <c r="X272" i="9" s="1"/>
  <c r="Y272" i="9" s="1"/>
  <c r="Z144" i="9"/>
  <c r="AG144" i="9" s="1"/>
  <c r="T144" i="9"/>
  <c r="W144" i="9" s="1"/>
  <c r="X144" i="9" s="1"/>
  <c r="Y144" i="9" s="1"/>
  <c r="Z369" i="9"/>
  <c r="AG369" i="9" s="1"/>
  <c r="T369" i="9"/>
  <c r="W369" i="9" s="1"/>
  <c r="X369" i="9" s="1"/>
  <c r="Y369" i="9" s="1"/>
  <c r="Z378" i="9"/>
  <c r="AG378" i="9" s="1"/>
  <c r="T378" i="9"/>
  <c r="W378" i="9" s="1"/>
  <c r="X378" i="9" s="1"/>
  <c r="Y378" i="9" s="1"/>
  <c r="Z251" i="9"/>
  <c r="AG251" i="9" s="1"/>
  <c r="T251" i="9"/>
  <c r="W251" i="9" s="1"/>
  <c r="X251" i="9" s="1"/>
  <c r="Y251" i="9" s="1"/>
  <c r="Z197" i="9"/>
  <c r="AG197" i="9" s="1"/>
  <c r="T197" i="9"/>
  <c r="W197" i="9" s="1"/>
  <c r="X197" i="9" s="1"/>
  <c r="Y197" i="9" s="1"/>
  <c r="Z603" i="9"/>
  <c r="AG603" i="9" s="1"/>
  <c r="T603" i="9"/>
  <c r="W603" i="9" s="1"/>
  <c r="X603" i="9" s="1"/>
  <c r="Y603" i="9" s="1"/>
  <c r="Z446" i="9"/>
  <c r="AG446" i="9" s="1"/>
  <c r="T446" i="9"/>
  <c r="W446" i="9" s="1"/>
  <c r="X446" i="9" s="1"/>
  <c r="Y446" i="9" s="1"/>
  <c r="Z275" i="9"/>
  <c r="AG275" i="9" s="1"/>
  <c r="T275" i="9"/>
  <c r="W275" i="9" s="1"/>
  <c r="X275" i="9" s="1"/>
  <c r="Y275" i="9" s="1"/>
  <c r="Z105" i="9"/>
  <c r="AG105" i="9" s="1"/>
  <c r="T105" i="9"/>
  <c r="W105" i="9" s="1"/>
  <c r="X105" i="9" s="1"/>
  <c r="Y105" i="9" s="1"/>
  <c r="Z449" i="9"/>
  <c r="AG449" i="9" s="1"/>
  <c r="T449" i="9"/>
  <c r="W449" i="9" s="1"/>
  <c r="X449" i="9" s="1"/>
  <c r="Y449" i="9" s="1"/>
  <c r="Z720" i="9"/>
  <c r="AG720" i="9" s="1"/>
  <c r="T720" i="9"/>
  <c r="W720" i="9" s="1"/>
  <c r="X720" i="9" s="1"/>
  <c r="Y720" i="9" s="1"/>
  <c r="Z442" i="9"/>
  <c r="AG442" i="9" s="1"/>
  <c r="T442" i="9"/>
  <c r="W442" i="9" s="1"/>
  <c r="X442" i="9" s="1"/>
  <c r="Y442" i="9" s="1"/>
  <c r="Z191" i="9"/>
  <c r="AG191" i="9" s="1"/>
  <c r="T191" i="9"/>
  <c r="W191" i="9" s="1"/>
  <c r="X191" i="9" s="1"/>
  <c r="Y191" i="9" s="1"/>
  <c r="Z678" i="9"/>
  <c r="AG678" i="9" s="1"/>
  <c r="T678" i="9"/>
  <c r="W678" i="9" s="1"/>
  <c r="X678" i="9" s="1"/>
  <c r="Y678" i="9" s="1"/>
  <c r="Z546" i="9"/>
  <c r="AG546" i="9" s="1"/>
  <c r="T546" i="9"/>
  <c r="W546" i="9" s="1"/>
  <c r="X546" i="9" s="1"/>
  <c r="Y546" i="9" s="1"/>
  <c r="Z375" i="9"/>
  <c r="AG375" i="9" s="1"/>
  <c r="T375" i="9"/>
  <c r="W375" i="9" s="1"/>
  <c r="X375" i="9" s="1"/>
  <c r="Y375" i="9" s="1"/>
  <c r="Z205" i="9"/>
  <c r="AG205" i="9" s="1"/>
  <c r="T205" i="9"/>
  <c r="W205" i="9" s="1"/>
  <c r="X205" i="9" s="1"/>
  <c r="Y205" i="9" s="1"/>
  <c r="Z524" i="9"/>
  <c r="AG524" i="9" s="1"/>
  <c r="T524" i="9"/>
  <c r="W524" i="9" s="1"/>
  <c r="X524" i="9" s="1"/>
  <c r="Y524" i="9" s="1"/>
  <c r="Z396" i="9"/>
  <c r="AG396" i="9" s="1"/>
  <c r="T396" i="9"/>
  <c r="W396" i="9" s="1"/>
  <c r="X396" i="9" s="1"/>
  <c r="Y396" i="9" s="1"/>
  <c r="Z268" i="9"/>
  <c r="AG268" i="9" s="1"/>
  <c r="T268" i="9"/>
  <c r="W268" i="9" s="1"/>
  <c r="X268" i="9" s="1"/>
  <c r="Y268" i="9" s="1"/>
  <c r="T140" i="9"/>
  <c r="W140" i="9" s="1"/>
  <c r="X140" i="9" s="1"/>
  <c r="Y140" i="9" s="1"/>
  <c r="Z140" i="9"/>
  <c r="AG140" i="9" s="1"/>
  <c r="Z621" i="9"/>
  <c r="AG621" i="9" s="1"/>
  <c r="T621" i="9"/>
  <c r="W621" i="9" s="1"/>
  <c r="X621" i="9" s="1"/>
  <c r="Y621" i="9" s="1"/>
  <c r="Z347" i="9"/>
  <c r="AG347" i="9" s="1"/>
  <c r="T347" i="9"/>
  <c r="W347" i="9" s="1"/>
  <c r="X347" i="9" s="1"/>
  <c r="Y347" i="9" s="1"/>
  <c r="Z680" i="9"/>
  <c r="AG680" i="9" s="1"/>
  <c r="T680" i="9"/>
  <c r="W680" i="9" s="1"/>
  <c r="X680" i="9" s="1"/>
  <c r="Y680" i="9" s="1"/>
  <c r="Z357" i="9"/>
  <c r="AG357" i="9" s="1"/>
  <c r="T357" i="9"/>
  <c r="W357" i="9" s="1"/>
  <c r="X357" i="9" s="1"/>
  <c r="Y357" i="9" s="1"/>
  <c r="Z545" i="9"/>
  <c r="AG545" i="9" s="1"/>
  <c r="T545" i="9"/>
  <c r="W545" i="9" s="1"/>
  <c r="X545" i="9" s="1"/>
  <c r="Y545" i="9" s="1"/>
  <c r="Z230" i="9"/>
  <c r="AG230" i="9" s="1"/>
  <c r="T230" i="9"/>
  <c r="W230" i="9" s="1"/>
  <c r="X230" i="9" s="1"/>
  <c r="Y230" i="9" s="1"/>
  <c r="Z592" i="9"/>
  <c r="AG592" i="9" s="1"/>
  <c r="T592" i="9"/>
  <c r="W592" i="9" s="1"/>
  <c r="X592" i="9" s="1"/>
  <c r="Y592" i="9" s="1"/>
  <c r="Z727" i="9"/>
  <c r="AG727" i="9" s="1"/>
  <c r="T727" i="9"/>
  <c r="W727" i="9" s="1"/>
  <c r="X727" i="9" s="1"/>
  <c r="Y727" i="9" s="1"/>
  <c r="Z663" i="9"/>
  <c r="AG663" i="9" s="1"/>
  <c r="T663" i="9"/>
  <c r="W663" i="9" s="1"/>
  <c r="X663" i="9" s="1"/>
  <c r="Y663" i="9" s="1"/>
  <c r="Z599" i="9"/>
  <c r="AG599" i="9" s="1"/>
  <c r="T599" i="9"/>
  <c r="W599" i="9" s="1"/>
  <c r="X599" i="9" s="1"/>
  <c r="Y599" i="9" s="1"/>
  <c r="Z526" i="9"/>
  <c r="AG526" i="9" s="1"/>
  <c r="T526" i="9"/>
  <c r="W526" i="9" s="1"/>
  <c r="X526" i="9" s="1"/>
  <c r="Y526" i="9" s="1"/>
  <c r="Z441" i="9"/>
  <c r="AG441" i="9" s="1"/>
  <c r="T441" i="9"/>
  <c r="W441" i="9" s="1"/>
  <c r="X441" i="9" s="1"/>
  <c r="Y441" i="9" s="1"/>
  <c r="Z355" i="9"/>
  <c r="AG355" i="9" s="1"/>
  <c r="T355" i="9"/>
  <c r="W355" i="9" s="1"/>
  <c r="X355" i="9" s="1"/>
  <c r="Y355" i="9" s="1"/>
  <c r="Z270" i="9"/>
  <c r="AG270" i="9" s="1"/>
  <c r="T270" i="9"/>
  <c r="W270" i="9" s="1"/>
  <c r="X270" i="9" s="1"/>
  <c r="Y270" i="9" s="1"/>
  <c r="Z185" i="9"/>
  <c r="AG185" i="9" s="1"/>
  <c r="T185" i="9"/>
  <c r="W185" i="9" s="1"/>
  <c r="X185" i="9" s="1"/>
  <c r="Y185" i="9" s="1"/>
  <c r="Z99" i="9"/>
  <c r="AG99" i="9" s="1"/>
  <c r="T99" i="9"/>
  <c r="W99" i="9" s="1"/>
  <c r="X99" i="9" s="1"/>
  <c r="Y99" i="9" s="1"/>
  <c r="Z613" i="9"/>
  <c r="AG613" i="9" s="1"/>
  <c r="T613" i="9"/>
  <c r="W613" i="9" s="1"/>
  <c r="X613" i="9" s="1"/>
  <c r="Y613" i="9" s="1"/>
  <c r="Z438" i="9"/>
  <c r="AG438" i="9" s="1"/>
  <c r="T438" i="9"/>
  <c r="W438" i="9" s="1"/>
  <c r="X438" i="9" s="1"/>
  <c r="Y438" i="9" s="1"/>
  <c r="Z235" i="9"/>
  <c r="AG235" i="9" s="1"/>
  <c r="T235" i="9"/>
  <c r="W235" i="9" s="1"/>
  <c r="X235" i="9" s="1"/>
  <c r="Y235" i="9" s="1"/>
  <c r="Z708" i="9"/>
  <c r="AG708" i="9" s="1"/>
  <c r="T708" i="9"/>
  <c r="W708" i="9" s="1"/>
  <c r="X708" i="9" s="1"/>
  <c r="Y708" i="9" s="1"/>
  <c r="Z580" i="9"/>
  <c r="AG580" i="9" s="1"/>
  <c r="T580" i="9"/>
  <c r="W580" i="9" s="1"/>
  <c r="X580" i="9" s="1"/>
  <c r="Y580" i="9" s="1"/>
  <c r="Z431" i="9"/>
  <c r="AG431" i="9" s="1"/>
  <c r="T431" i="9"/>
  <c r="W431" i="9" s="1"/>
  <c r="X431" i="9" s="1"/>
  <c r="Y431" i="9" s="1"/>
  <c r="Z282" i="9"/>
  <c r="AG282" i="9" s="1"/>
  <c r="T282" i="9"/>
  <c r="W282" i="9" s="1"/>
  <c r="X282" i="9" s="1"/>
  <c r="Y282" i="9" s="1"/>
  <c r="Z186" i="9"/>
  <c r="AG186" i="9" s="1"/>
  <c r="T186" i="9"/>
  <c r="W186" i="9" s="1"/>
  <c r="X186" i="9" s="1"/>
  <c r="Y186" i="9" s="1"/>
  <c r="Z95" i="9"/>
  <c r="AG95" i="9" s="1"/>
  <c r="T95" i="9"/>
  <c r="W95" i="9" s="1"/>
  <c r="X95" i="9" s="1"/>
  <c r="Y95" i="9" s="1"/>
  <c r="Z674" i="9"/>
  <c r="AG674" i="9" s="1"/>
  <c r="T674" i="9"/>
  <c r="W674" i="9" s="1"/>
  <c r="X674" i="9" s="1"/>
  <c r="Y674" i="9" s="1"/>
  <c r="Z610" i="9"/>
  <c r="AG610" i="9" s="1"/>
  <c r="T610" i="9"/>
  <c r="W610" i="9" s="1"/>
  <c r="X610" i="9" s="1"/>
  <c r="Y610" i="9" s="1"/>
  <c r="Z541" i="9"/>
  <c r="AG541" i="9" s="1"/>
  <c r="T541" i="9"/>
  <c r="W541" i="9" s="1"/>
  <c r="X541" i="9" s="1"/>
  <c r="Y541" i="9" s="1"/>
  <c r="Z455" i="9"/>
  <c r="AG455" i="9" s="1"/>
  <c r="T455" i="9"/>
  <c r="W455" i="9" s="1"/>
  <c r="X455" i="9" s="1"/>
  <c r="Y455" i="9" s="1"/>
  <c r="Z370" i="9"/>
  <c r="AG370" i="9" s="1"/>
  <c r="T370" i="9"/>
  <c r="W370" i="9" s="1"/>
  <c r="X370" i="9" s="1"/>
  <c r="Y370" i="9" s="1"/>
  <c r="Z285" i="9"/>
  <c r="AG285" i="9" s="1"/>
  <c r="T285" i="9"/>
  <c r="W285" i="9" s="1"/>
  <c r="X285" i="9" s="1"/>
  <c r="Y285" i="9" s="1"/>
  <c r="Z199" i="9"/>
  <c r="AG199" i="9" s="1"/>
  <c r="T199" i="9"/>
  <c r="W199" i="9" s="1"/>
  <c r="X199" i="9" s="1"/>
  <c r="Y199" i="9" s="1"/>
  <c r="Z114" i="9"/>
  <c r="AG114" i="9" s="1"/>
  <c r="T114" i="9"/>
  <c r="W114" i="9" s="1"/>
  <c r="X114" i="9" s="1"/>
  <c r="Y114" i="9" s="1"/>
  <c r="Z520" i="9"/>
  <c r="AG520" i="9" s="1"/>
  <c r="T520" i="9"/>
  <c r="W520" i="9" s="1"/>
  <c r="X520" i="9" s="1"/>
  <c r="Y520" i="9" s="1"/>
  <c r="Z456" i="9"/>
  <c r="AG456" i="9" s="1"/>
  <c r="T456" i="9"/>
  <c r="W456" i="9" s="1"/>
  <c r="X456" i="9" s="1"/>
  <c r="Y456" i="9" s="1"/>
  <c r="T328" i="9"/>
  <c r="W328" i="9" s="1"/>
  <c r="X328" i="9" s="1"/>
  <c r="Y328" i="9" s="1"/>
  <c r="Z328" i="9"/>
  <c r="AG328" i="9" s="1"/>
  <c r="T200" i="9"/>
  <c r="W200" i="9" s="1"/>
  <c r="X200" i="9" s="1"/>
  <c r="Y200" i="9" s="1"/>
  <c r="Z200" i="9"/>
  <c r="AG200" i="9" s="1"/>
  <c r="Z665" i="9"/>
  <c r="AG665" i="9" s="1"/>
  <c r="T665" i="9"/>
  <c r="W665" i="9" s="1"/>
  <c r="X665" i="9" s="1"/>
  <c r="Y665" i="9" s="1"/>
  <c r="Z113" i="9"/>
  <c r="AG113" i="9" s="1"/>
  <c r="T113" i="9"/>
  <c r="W113" i="9" s="1"/>
  <c r="X113" i="9" s="1"/>
  <c r="Y113" i="9" s="1"/>
  <c r="Z593" i="9"/>
  <c r="AG593" i="9" s="1"/>
  <c r="T593" i="9"/>
  <c r="W593" i="9" s="1"/>
  <c r="X593" i="9" s="1"/>
  <c r="Y593" i="9" s="1"/>
  <c r="Z636" i="9"/>
  <c r="AG636" i="9" s="1"/>
  <c r="T636" i="9"/>
  <c r="W636" i="9" s="1"/>
  <c r="X636" i="9" s="1"/>
  <c r="Y636" i="9" s="1"/>
  <c r="T675" i="9"/>
  <c r="W675" i="9" s="1"/>
  <c r="X675" i="9" s="1"/>
  <c r="Y675" i="9" s="1"/>
  <c r="Z675" i="9"/>
  <c r="AG675" i="9" s="1"/>
  <c r="Z542" i="9"/>
  <c r="AG542" i="9" s="1"/>
  <c r="T542" i="9"/>
  <c r="W542" i="9" s="1"/>
  <c r="X542" i="9" s="1"/>
  <c r="Y542" i="9" s="1"/>
  <c r="Z371" i="9"/>
  <c r="AG371" i="9" s="1"/>
  <c r="T371" i="9"/>
  <c r="W371" i="9" s="1"/>
  <c r="X371" i="9" s="1"/>
  <c r="Y371" i="9" s="1"/>
  <c r="Z201" i="9"/>
  <c r="AG201" i="9" s="1"/>
  <c r="T201" i="9"/>
  <c r="W201" i="9" s="1"/>
  <c r="X201" i="9" s="1"/>
  <c r="Y201" i="9" s="1"/>
  <c r="Z641" i="9"/>
  <c r="AG641" i="9" s="1"/>
  <c r="T641" i="9"/>
  <c r="W641" i="9" s="1"/>
  <c r="X641" i="9" s="1"/>
  <c r="Y641" i="9" s="1"/>
  <c r="Z267" i="9"/>
  <c r="AG267" i="9" s="1"/>
  <c r="T267" i="9"/>
  <c r="W267" i="9" s="1"/>
  <c r="X267" i="9" s="1"/>
  <c r="Y267" i="9" s="1"/>
  <c r="Z604" i="9"/>
  <c r="AG604" i="9" s="1"/>
  <c r="T604" i="9"/>
  <c r="W604" i="9" s="1"/>
  <c r="X604" i="9" s="1"/>
  <c r="Y604" i="9" s="1"/>
  <c r="Z309" i="9"/>
  <c r="AG309" i="9" s="1"/>
  <c r="T309" i="9"/>
  <c r="W309" i="9" s="1"/>
  <c r="X309" i="9" s="1"/>
  <c r="Y309" i="9" s="1"/>
  <c r="Z111" i="9"/>
  <c r="AG111" i="9" s="1"/>
  <c r="T111" i="9"/>
  <c r="W111" i="9" s="1"/>
  <c r="X111" i="9" s="1"/>
  <c r="Y111" i="9" s="1"/>
  <c r="Z622" i="9"/>
  <c r="AG622" i="9" s="1"/>
  <c r="T622" i="9"/>
  <c r="W622" i="9" s="1"/>
  <c r="X622" i="9" s="1"/>
  <c r="Y622" i="9" s="1"/>
  <c r="Z471" i="9"/>
  <c r="AG471" i="9" s="1"/>
  <c r="T471" i="9"/>
  <c r="W471" i="9" s="1"/>
  <c r="X471" i="9" s="1"/>
  <c r="Y471" i="9" s="1"/>
  <c r="Z301" i="9"/>
  <c r="AG301" i="9" s="1"/>
  <c r="T301" i="9"/>
  <c r="W301" i="9" s="1"/>
  <c r="X301" i="9" s="1"/>
  <c r="Y301" i="9" s="1"/>
  <c r="Z130" i="9"/>
  <c r="AG130" i="9" s="1"/>
  <c r="T130" i="9"/>
  <c r="W130" i="9" s="1"/>
  <c r="X130" i="9" s="1"/>
  <c r="Y130" i="9" s="1"/>
  <c r="Z468" i="9"/>
  <c r="AG468" i="9" s="1"/>
  <c r="T468" i="9"/>
  <c r="W468" i="9" s="1"/>
  <c r="X468" i="9" s="1"/>
  <c r="Y468" i="9" s="1"/>
  <c r="Z340" i="9"/>
  <c r="AG340" i="9" s="1"/>
  <c r="T340" i="9"/>
  <c r="W340" i="9" s="1"/>
  <c r="X340" i="9" s="1"/>
  <c r="Y340" i="9" s="1"/>
  <c r="Z212" i="9"/>
  <c r="AG212" i="9" s="1"/>
  <c r="T212" i="9"/>
  <c r="W212" i="9" s="1"/>
  <c r="X212" i="9" s="1"/>
  <c r="Y212" i="9" s="1"/>
  <c r="T22" i="9"/>
  <c r="W22" i="9" s="1"/>
  <c r="X22" i="9" s="1"/>
  <c r="Y22" i="9" s="1"/>
  <c r="Z22" i="9"/>
  <c r="Z310" i="9"/>
  <c r="AG310" i="9" s="1"/>
  <c r="T310" i="9"/>
  <c r="W310" i="9" s="1"/>
  <c r="X310" i="9" s="1"/>
  <c r="Y310" i="9" s="1"/>
  <c r="Z303" i="9"/>
  <c r="AG303" i="9" s="1"/>
  <c r="T303" i="9"/>
  <c r="W303" i="9" s="1"/>
  <c r="X303" i="9" s="1"/>
  <c r="Y303" i="9" s="1"/>
  <c r="Z193" i="9"/>
  <c r="AG193" i="9" s="1"/>
  <c r="T193" i="9"/>
  <c r="W193" i="9" s="1"/>
  <c r="X193" i="9" s="1"/>
  <c r="Y193" i="9" s="1"/>
  <c r="Z719" i="9"/>
  <c r="AG719" i="9" s="1"/>
  <c r="T719" i="9"/>
  <c r="W719" i="9" s="1"/>
  <c r="X719" i="9" s="1"/>
  <c r="Y719" i="9" s="1"/>
  <c r="Z591" i="9"/>
  <c r="AG591" i="9" s="1"/>
  <c r="T591" i="9"/>
  <c r="W591" i="9" s="1"/>
  <c r="X591" i="9" s="1"/>
  <c r="Y591" i="9" s="1"/>
  <c r="Z430" i="9"/>
  <c r="AG430" i="9" s="1"/>
  <c r="T430" i="9"/>
  <c r="W430" i="9" s="1"/>
  <c r="X430" i="9" s="1"/>
  <c r="Y430" i="9" s="1"/>
  <c r="Z259" i="9"/>
  <c r="AG259" i="9" s="1"/>
  <c r="T259" i="9"/>
  <c r="W259" i="9" s="1"/>
  <c r="X259" i="9" s="1"/>
  <c r="Y259" i="9" s="1"/>
  <c r="Z89" i="9"/>
  <c r="AG89" i="9" s="1"/>
  <c r="T89" i="9"/>
  <c r="W89" i="9" s="1"/>
  <c r="X89" i="9" s="1"/>
  <c r="Y89" i="9" s="1"/>
  <c r="Z411" i="9"/>
  <c r="AG411" i="9" s="1"/>
  <c r="T411" i="9"/>
  <c r="W411" i="9" s="1"/>
  <c r="X411" i="9" s="1"/>
  <c r="Y411" i="9" s="1"/>
  <c r="Z692" i="9"/>
  <c r="AG692" i="9" s="1"/>
  <c r="T692" i="9"/>
  <c r="W692" i="9" s="1"/>
  <c r="X692" i="9" s="1"/>
  <c r="Y692" i="9" s="1"/>
  <c r="Z410" i="9"/>
  <c r="AG410" i="9" s="1"/>
  <c r="T410" i="9"/>
  <c r="W410" i="9" s="1"/>
  <c r="X410" i="9" s="1"/>
  <c r="Y410" i="9" s="1"/>
  <c r="Z170" i="9"/>
  <c r="AG170" i="9" s="1"/>
  <c r="T170" i="9"/>
  <c r="W170" i="9" s="1"/>
  <c r="X170" i="9" s="1"/>
  <c r="Y170" i="9" s="1"/>
  <c r="Z666" i="9"/>
  <c r="AG666" i="9" s="1"/>
  <c r="T666" i="9"/>
  <c r="W666" i="9" s="1"/>
  <c r="X666" i="9" s="1"/>
  <c r="Y666" i="9" s="1"/>
  <c r="Z530" i="9"/>
  <c r="AG530" i="9" s="1"/>
  <c r="T530" i="9"/>
  <c r="W530" i="9" s="1"/>
  <c r="X530" i="9" s="1"/>
  <c r="Y530" i="9" s="1"/>
  <c r="Z359" i="9"/>
  <c r="AG359" i="9" s="1"/>
  <c r="T359" i="9"/>
  <c r="W359" i="9" s="1"/>
  <c r="X359" i="9" s="1"/>
  <c r="Y359" i="9" s="1"/>
  <c r="Z189" i="9"/>
  <c r="AG189" i="9" s="1"/>
  <c r="T189" i="9"/>
  <c r="W189" i="9" s="1"/>
  <c r="X189" i="9" s="1"/>
  <c r="Y189" i="9" s="1"/>
  <c r="Z512" i="9"/>
  <c r="AG512" i="9" s="1"/>
  <c r="T512" i="9"/>
  <c r="W512" i="9" s="1"/>
  <c r="X512" i="9" s="1"/>
  <c r="Y512" i="9" s="1"/>
  <c r="Z384" i="9"/>
  <c r="AG384" i="9" s="1"/>
  <c r="T384" i="9"/>
  <c r="W384" i="9" s="1"/>
  <c r="X384" i="9" s="1"/>
  <c r="Y384" i="9" s="1"/>
  <c r="Z256" i="9"/>
  <c r="AG256" i="9" s="1"/>
  <c r="T256" i="9"/>
  <c r="W256" i="9" s="1"/>
  <c r="X256" i="9" s="1"/>
  <c r="Y256" i="9" s="1"/>
  <c r="Z128" i="9"/>
  <c r="AG128" i="9" s="1"/>
  <c r="T128" i="9"/>
  <c r="W128" i="9" s="1"/>
  <c r="X128" i="9" s="1"/>
  <c r="Y128" i="9" s="1"/>
  <c r="Z294" i="9"/>
  <c r="AG294" i="9" s="1"/>
  <c r="T294" i="9"/>
  <c r="W294" i="9" s="1"/>
  <c r="X294" i="9" s="1"/>
  <c r="Y294" i="9" s="1"/>
  <c r="Z181" i="9"/>
  <c r="AG181" i="9" s="1"/>
  <c r="T181" i="9"/>
  <c r="W181" i="9" s="1"/>
  <c r="X181" i="9" s="1"/>
  <c r="Y181" i="9" s="1"/>
  <c r="Z177" i="9"/>
  <c r="AG177" i="9" s="1"/>
  <c r="T177" i="9"/>
  <c r="W177" i="9" s="1"/>
  <c r="X177" i="9" s="1"/>
  <c r="Y177" i="9" s="1"/>
  <c r="Z715" i="9"/>
  <c r="AG715" i="9" s="1"/>
  <c r="T715" i="9"/>
  <c r="W715" i="9" s="1"/>
  <c r="X715" i="9" s="1"/>
  <c r="Y715" i="9" s="1"/>
  <c r="Z587" i="9"/>
  <c r="AG587" i="9" s="1"/>
  <c r="T587" i="9"/>
  <c r="W587" i="9" s="1"/>
  <c r="X587" i="9" s="1"/>
  <c r="Y587" i="9" s="1"/>
  <c r="Z425" i="9"/>
  <c r="AG425" i="9" s="1"/>
  <c r="T425" i="9"/>
  <c r="W425" i="9" s="1"/>
  <c r="X425" i="9" s="1"/>
  <c r="Y425" i="9" s="1"/>
  <c r="Z254" i="9"/>
  <c r="AG254" i="9" s="1"/>
  <c r="T254" i="9"/>
  <c r="W254" i="9" s="1"/>
  <c r="X254" i="9" s="1"/>
  <c r="Y254" i="9" s="1"/>
  <c r="Z729" i="9"/>
  <c r="AG729" i="9" s="1"/>
  <c r="T729" i="9"/>
  <c r="W729" i="9" s="1"/>
  <c r="X729" i="9" s="1"/>
  <c r="Y729" i="9" s="1"/>
  <c r="Z395" i="9"/>
  <c r="AG395" i="9" s="1"/>
  <c r="T395" i="9"/>
  <c r="W395" i="9" s="1"/>
  <c r="X395" i="9" s="1"/>
  <c r="Y395" i="9" s="1"/>
  <c r="Z688" i="9"/>
  <c r="AG688" i="9" s="1"/>
  <c r="T688" i="9"/>
  <c r="W688" i="9" s="1"/>
  <c r="X688" i="9" s="1"/>
  <c r="Y688" i="9" s="1"/>
  <c r="Z399" i="9"/>
  <c r="AG399" i="9" s="1"/>
  <c r="T399" i="9"/>
  <c r="W399" i="9" s="1"/>
  <c r="X399" i="9" s="1"/>
  <c r="Y399" i="9" s="1"/>
  <c r="Z165" i="9"/>
  <c r="AG165" i="9" s="1"/>
  <c r="T165" i="9"/>
  <c r="W165" i="9" s="1"/>
  <c r="X165" i="9" s="1"/>
  <c r="Y165" i="9" s="1"/>
  <c r="Z662" i="9"/>
  <c r="AG662" i="9" s="1"/>
  <c r="T662" i="9"/>
  <c r="W662" i="9" s="1"/>
  <c r="X662" i="9" s="1"/>
  <c r="Y662" i="9" s="1"/>
  <c r="Z525" i="9"/>
  <c r="AG525" i="9" s="1"/>
  <c r="T525" i="9"/>
  <c r="W525" i="9" s="1"/>
  <c r="X525" i="9" s="1"/>
  <c r="Y525" i="9" s="1"/>
  <c r="Z354" i="9"/>
  <c r="AG354" i="9" s="1"/>
  <c r="T354" i="9"/>
  <c r="W354" i="9" s="1"/>
  <c r="X354" i="9" s="1"/>
  <c r="Y354" i="9" s="1"/>
  <c r="Z183" i="9"/>
  <c r="AG183" i="9" s="1"/>
  <c r="T183" i="9"/>
  <c r="W183" i="9" s="1"/>
  <c r="X183" i="9" s="1"/>
  <c r="Y183" i="9" s="1"/>
  <c r="Z508" i="9"/>
  <c r="AG508" i="9" s="1"/>
  <c r="T508" i="9"/>
  <c r="W508" i="9" s="1"/>
  <c r="X508" i="9" s="1"/>
  <c r="Y508" i="9" s="1"/>
  <c r="Z380" i="9"/>
  <c r="AG380" i="9" s="1"/>
  <c r="T380" i="9"/>
  <c r="W380" i="9" s="1"/>
  <c r="X380" i="9" s="1"/>
  <c r="Y380" i="9" s="1"/>
  <c r="Z252" i="9"/>
  <c r="AG252" i="9" s="1"/>
  <c r="T252" i="9"/>
  <c r="W252" i="9" s="1"/>
  <c r="X252" i="9" s="1"/>
  <c r="Y252" i="9" s="1"/>
  <c r="T124" i="9"/>
  <c r="W124" i="9" s="1"/>
  <c r="X124" i="9" s="1"/>
  <c r="Y124" i="9" s="1"/>
  <c r="Z124" i="9"/>
  <c r="AG124" i="9" s="1"/>
  <c r="Z700" i="9"/>
  <c r="AG700" i="9" s="1"/>
  <c r="T700" i="9"/>
  <c r="W700" i="9" s="1"/>
  <c r="X700" i="9" s="1"/>
  <c r="Y700" i="9" s="1"/>
  <c r="Z608" i="9"/>
  <c r="AG608" i="9" s="1"/>
  <c r="T608" i="9"/>
  <c r="W608" i="9" s="1"/>
  <c r="X608" i="9" s="1"/>
  <c r="Y608" i="9" s="1"/>
  <c r="T531" i="9"/>
  <c r="W531" i="9" s="1"/>
  <c r="X531" i="9" s="1"/>
  <c r="Y531" i="9" s="1"/>
  <c r="Z531" i="9"/>
  <c r="AG531" i="9" s="1"/>
  <c r="Z190" i="9"/>
  <c r="AG190" i="9" s="1"/>
  <c r="T190" i="9"/>
  <c r="W190" i="9" s="1"/>
  <c r="X190" i="9" s="1"/>
  <c r="Y190" i="9" s="1"/>
  <c r="Z246" i="9"/>
  <c r="AG246" i="9" s="1"/>
  <c r="T246" i="9"/>
  <c r="W246" i="9" s="1"/>
  <c r="X246" i="9" s="1"/>
  <c r="Y246" i="9" s="1"/>
  <c r="Z287" i="9"/>
  <c r="AG287" i="9" s="1"/>
  <c r="T287" i="9"/>
  <c r="W287" i="9" s="1"/>
  <c r="X287" i="9" s="1"/>
  <c r="Y287" i="9" s="1"/>
  <c r="Z614" i="9"/>
  <c r="AG614" i="9" s="1"/>
  <c r="T614" i="9"/>
  <c r="W614" i="9" s="1"/>
  <c r="X614" i="9" s="1"/>
  <c r="Y614" i="9" s="1"/>
  <c r="Z461" i="9"/>
  <c r="AG461" i="9" s="1"/>
  <c r="T461" i="9"/>
  <c r="W461" i="9" s="1"/>
  <c r="X461" i="9" s="1"/>
  <c r="Y461" i="9" s="1"/>
  <c r="Z119" i="9"/>
  <c r="AG119" i="9" s="1"/>
  <c r="T119" i="9"/>
  <c r="W119" i="9" s="1"/>
  <c r="X119" i="9" s="1"/>
  <c r="Y119" i="9" s="1"/>
  <c r="Z332" i="9"/>
  <c r="AG332" i="9" s="1"/>
  <c r="T332" i="9"/>
  <c r="W332" i="9" s="1"/>
  <c r="X332" i="9" s="1"/>
  <c r="Y332" i="9" s="1"/>
  <c r="Z689" i="9"/>
  <c r="AG689" i="9" s="1"/>
  <c r="T689" i="9"/>
  <c r="W689" i="9" s="1"/>
  <c r="X689" i="9" s="1"/>
  <c r="Y689" i="9" s="1"/>
  <c r="Z209" i="9"/>
  <c r="AG209" i="9" s="1"/>
  <c r="T209" i="9"/>
  <c r="W209" i="9" s="1"/>
  <c r="X209" i="9" s="1"/>
  <c r="Y209" i="9" s="1"/>
  <c r="Z669" i="9"/>
  <c r="AG669" i="9" s="1"/>
  <c r="T669" i="9"/>
  <c r="W669" i="9" s="1"/>
  <c r="X669" i="9" s="1"/>
  <c r="Y669" i="9" s="1"/>
  <c r="Z712" i="9"/>
  <c r="AG712" i="9" s="1"/>
  <c r="T712" i="9"/>
  <c r="W712" i="9" s="1"/>
  <c r="X712" i="9" s="1"/>
  <c r="Y712" i="9" s="1"/>
  <c r="Z695" i="9"/>
  <c r="AG695" i="9" s="1"/>
  <c r="T695" i="9"/>
  <c r="W695" i="9" s="1"/>
  <c r="X695" i="9" s="1"/>
  <c r="Y695" i="9" s="1"/>
  <c r="Z567" i="9"/>
  <c r="AG567" i="9" s="1"/>
  <c r="T567" i="9"/>
  <c r="W567" i="9" s="1"/>
  <c r="X567" i="9" s="1"/>
  <c r="Y567" i="9" s="1"/>
  <c r="Z398" i="9"/>
  <c r="AG398" i="9" s="1"/>
  <c r="T398" i="9"/>
  <c r="W398" i="9" s="1"/>
  <c r="X398" i="9" s="1"/>
  <c r="Y398" i="9" s="1"/>
  <c r="Z227" i="9"/>
  <c r="AG227" i="9" s="1"/>
  <c r="T227" i="9"/>
  <c r="W227" i="9" s="1"/>
  <c r="X227" i="9" s="1"/>
  <c r="Y227" i="9" s="1"/>
  <c r="Z685" i="9"/>
  <c r="AG685" i="9" s="1"/>
  <c r="T685" i="9"/>
  <c r="W685" i="9" s="1"/>
  <c r="X685" i="9" s="1"/>
  <c r="Y685" i="9" s="1"/>
  <c r="Z337" i="9"/>
  <c r="AG337" i="9" s="1"/>
  <c r="T337" i="9"/>
  <c r="W337" i="9" s="1"/>
  <c r="X337" i="9" s="1"/>
  <c r="Y337" i="9" s="1"/>
  <c r="Z648" i="9"/>
  <c r="AG648" i="9" s="1"/>
  <c r="T648" i="9"/>
  <c r="W648" i="9" s="1"/>
  <c r="X648" i="9" s="1"/>
  <c r="Y648" i="9" s="1"/>
  <c r="Z346" i="9"/>
  <c r="AG346" i="9" s="1"/>
  <c r="T346" i="9"/>
  <c r="W346" i="9" s="1"/>
  <c r="X346" i="9" s="1"/>
  <c r="Y346" i="9" s="1"/>
  <c r="Z138" i="9"/>
  <c r="AG138" i="9" s="1"/>
  <c r="T138" i="9"/>
  <c r="W138" i="9" s="1"/>
  <c r="X138" i="9" s="1"/>
  <c r="Y138" i="9" s="1"/>
  <c r="Z642" i="9"/>
  <c r="AG642" i="9" s="1"/>
  <c r="T642" i="9"/>
  <c r="W642" i="9" s="1"/>
  <c r="X642" i="9" s="1"/>
  <c r="Y642" i="9" s="1"/>
  <c r="Z498" i="9"/>
  <c r="AG498" i="9" s="1"/>
  <c r="T498" i="9"/>
  <c r="W498" i="9" s="1"/>
  <c r="X498" i="9" s="1"/>
  <c r="Y498" i="9" s="1"/>
  <c r="Z327" i="9"/>
  <c r="AG327" i="9" s="1"/>
  <c r="T327" i="9"/>
  <c r="W327" i="9" s="1"/>
  <c r="X327" i="9" s="1"/>
  <c r="Y327" i="9" s="1"/>
  <c r="Z157" i="9"/>
  <c r="AG157" i="9" s="1"/>
  <c r="T157" i="9"/>
  <c r="W157" i="9" s="1"/>
  <c r="X157" i="9" s="1"/>
  <c r="Y157" i="9" s="1"/>
  <c r="Z488" i="9"/>
  <c r="AG488" i="9" s="1"/>
  <c r="T488" i="9"/>
  <c r="W488" i="9" s="1"/>
  <c r="X488" i="9" s="1"/>
  <c r="Y488" i="9" s="1"/>
  <c r="Z264" i="9"/>
  <c r="AG264" i="9" s="1"/>
  <c r="T264" i="9"/>
  <c r="W264" i="9" s="1"/>
  <c r="X264" i="9" s="1"/>
  <c r="Y264" i="9" s="1"/>
  <c r="Z406" i="9"/>
  <c r="AG406" i="9" s="1"/>
  <c r="T406" i="9"/>
  <c r="W406" i="9" s="1"/>
  <c r="X406" i="9" s="1"/>
  <c r="Y406" i="9" s="1"/>
  <c r="Z289" i="9"/>
  <c r="AG289" i="9" s="1"/>
  <c r="T289" i="9"/>
  <c r="W289" i="9" s="1"/>
  <c r="X289" i="9" s="1"/>
  <c r="Y289" i="9" s="1"/>
  <c r="T611" i="9"/>
  <c r="W611" i="9" s="1"/>
  <c r="X611" i="9" s="1"/>
  <c r="Y611" i="9" s="1"/>
  <c r="Z611" i="9"/>
  <c r="AG611" i="9" s="1"/>
  <c r="Z286" i="9"/>
  <c r="AG286" i="9" s="1"/>
  <c r="T286" i="9"/>
  <c r="W286" i="9" s="1"/>
  <c r="X286" i="9" s="1"/>
  <c r="Y286" i="9" s="1"/>
  <c r="Z470" i="9"/>
  <c r="AG470" i="9" s="1"/>
  <c r="T470" i="9"/>
  <c r="W470" i="9" s="1"/>
  <c r="X470" i="9" s="1"/>
  <c r="Y470" i="9" s="1"/>
  <c r="Z463" i="9"/>
  <c r="AG463" i="9" s="1"/>
  <c r="T463" i="9"/>
  <c r="W463" i="9" s="1"/>
  <c r="X463" i="9" s="1"/>
  <c r="Y463" i="9" s="1"/>
  <c r="Z686" i="9"/>
  <c r="AG686" i="9" s="1"/>
  <c r="T686" i="9"/>
  <c r="W686" i="9" s="1"/>
  <c r="X686" i="9" s="1"/>
  <c r="Y686" i="9" s="1"/>
  <c r="Z386" i="9"/>
  <c r="AG386" i="9" s="1"/>
  <c r="T386" i="9"/>
  <c r="W386" i="9" s="1"/>
  <c r="X386" i="9" s="1"/>
  <c r="Y386" i="9" s="1"/>
  <c r="Z404" i="9"/>
  <c r="AG404" i="9" s="1"/>
  <c r="T404" i="9"/>
  <c r="W404" i="9" s="1"/>
  <c r="X404" i="9" s="1"/>
  <c r="Y404" i="9" s="1"/>
  <c r="T148" i="9"/>
  <c r="W148" i="9" s="1"/>
  <c r="X148" i="9" s="1"/>
  <c r="Y148" i="9" s="1"/>
  <c r="Z148" i="9"/>
  <c r="AG148" i="9" s="1"/>
  <c r="Z644" i="9"/>
  <c r="AG644" i="9" s="1"/>
  <c r="T644" i="9"/>
  <c r="W644" i="9" s="1"/>
  <c r="X644" i="9" s="1"/>
  <c r="Y644" i="9" s="1"/>
  <c r="Z559" i="9"/>
  <c r="AG559" i="9" s="1"/>
  <c r="T559" i="9"/>
  <c r="W559" i="9" s="1"/>
  <c r="X559" i="9" s="1"/>
  <c r="Y559" i="9" s="1"/>
  <c r="Z515" i="9"/>
  <c r="AG515" i="9" s="1"/>
  <c r="T515" i="9"/>
  <c r="W515" i="9" s="1"/>
  <c r="X515" i="9" s="1"/>
  <c r="Y515" i="9" s="1"/>
  <c r="Z174" i="9"/>
  <c r="AG174" i="9" s="1"/>
  <c r="T174" i="9"/>
  <c r="W174" i="9" s="1"/>
  <c r="X174" i="9" s="1"/>
  <c r="Y174" i="9" s="1"/>
  <c r="Z203" i="9"/>
  <c r="AG203" i="9" s="1"/>
  <c r="T203" i="9"/>
  <c r="W203" i="9" s="1"/>
  <c r="X203" i="9" s="1"/>
  <c r="Y203" i="9" s="1"/>
  <c r="Z266" i="9"/>
  <c r="AG266" i="9" s="1"/>
  <c r="T266" i="9"/>
  <c r="W266" i="9" s="1"/>
  <c r="X266" i="9" s="1"/>
  <c r="Y266" i="9" s="1"/>
  <c r="Z602" i="9"/>
  <c r="AG602" i="9" s="1"/>
  <c r="T602" i="9"/>
  <c r="W602" i="9" s="1"/>
  <c r="X602" i="9" s="1"/>
  <c r="Y602" i="9" s="1"/>
  <c r="Z274" i="9"/>
  <c r="AG274" i="9" s="1"/>
  <c r="T274" i="9"/>
  <c r="W274" i="9" s="1"/>
  <c r="X274" i="9" s="1"/>
  <c r="Y274" i="9" s="1"/>
  <c r="Z448" i="9"/>
  <c r="AG448" i="9" s="1"/>
  <c r="T448" i="9"/>
  <c r="W448" i="9" s="1"/>
  <c r="X448" i="9" s="1"/>
  <c r="Y448" i="9" s="1"/>
  <c r="Z192" i="9"/>
  <c r="AG192" i="9" s="1"/>
  <c r="T192" i="9"/>
  <c r="W192" i="9" s="1"/>
  <c r="X192" i="9" s="1"/>
  <c r="Y192" i="9" s="1"/>
  <c r="Z628" i="9"/>
  <c r="AG628" i="9" s="1"/>
  <c r="T628" i="9"/>
  <c r="W628" i="9" s="1"/>
  <c r="X628" i="9" s="1"/>
  <c r="Y628" i="9" s="1"/>
  <c r="T517" i="9"/>
  <c r="W517" i="9" s="1"/>
  <c r="X517" i="9" s="1"/>
  <c r="Y517" i="9" s="1"/>
  <c r="Z517" i="9"/>
  <c r="AG517" i="9" s="1"/>
  <c r="Z510" i="9"/>
  <c r="AG510" i="9" s="1"/>
  <c r="T510" i="9"/>
  <c r="W510" i="9" s="1"/>
  <c r="X510" i="9" s="1"/>
  <c r="Y510" i="9" s="1"/>
  <c r="Z169" i="9"/>
  <c r="AG169" i="9" s="1"/>
  <c r="T169" i="9"/>
  <c r="W169" i="9" s="1"/>
  <c r="X169" i="9" s="1"/>
  <c r="Y169" i="9" s="1"/>
  <c r="Z187" i="9"/>
  <c r="AG187" i="9" s="1"/>
  <c r="T187" i="9"/>
  <c r="W187" i="9" s="1"/>
  <c r="X187" i="9" s="1"/>
  <c r="Y187" i="9" s="1"/>
  <c r="Z261" i="9"/>
  <c r="AG261" i="9" s="1"/>
  <c r="T261" i="9"/>
  <c r="W261" i="9" s="1"/>
  <c r="X261" i="9" s="1"/>
  <c r="Y261" i="9" s="1"/>
  <c r="Z598" i="9"/>
  <c r="AG598" i="9" s="1"/>
  <c r="T598" i="9"/>
  <c r="W598" i="9" s="1"/>
  <c r="X598" i="9" s="1"/>
  <c r="Y598" i="9" s="1"/>
  <c r="Z98" i="9"/>
  <c r="AG98" i="9" s="1"/>
  <c r="T98" i="9"/>
  <c r="W98" i="9" s="1"/>
  <c r="X98" i="9" s="1"/>
  <c r="Y98" i="9" s="1"/>
  <c r="Z188" i="9"/>
  <c r="AG188" i="9" s="1"/>
  <c r="T188" i="9"/>
  <c r="W188" i="9" s="1"/>
  <c r="X188" i="9" s="1"/>
  <c r="Y188" i="9" s="1"/>
  <c r="Z440" i="9"/>
  <c r="AG440" i="9" s="1"/>
  <c r="T440" i="9"/>
  <c r="W440" i="9" s="1"/>
  <c r="X440" i="9" s="1"/>
  <c r="Y440" i="9" s="1"/>
  <c r="T376" i="9"/>
  <c r="W376" i="9" s="1"/>
  <c r="X376" i="9" s="1"/>
  <c r="Y376" i="9" s="1"/>
  <c r="Z376" i="9"/>
  <c r="AG376" i="9" s="1"/>
  <c r="T312" i="9"/>
  <c r="W312" i="9" s="1"/>
  <c r="X312" i="9" s="1"/>
  <c r="Y312" i="9" s="1"/>
  <c r="Z312" i="9"/>
  <c r="AG312" i="9" s="1"/>
  <c r="T248" i="9"/>
  <c r="W248" i="9" s="1"/>
  <c r="X248" i="9" s="1"/>
  <c r="Y248" i="9" s="1"/>
  <c r="Z248" i="9"/>
  <c r="AG248" i="9" s="1"/>
  <c r="T184" i="9"/>
  <c r="W184" i="9" s="1"/>
  <c r="X184" i="9" s="1"/>
  <c r="Y184" i="9" s="1"/>
  <c r="Z184" i="9"/>
  <c r="AG184" i="9" s="1"/>
  <c r="T120" i="9"/>
  <c r="W120" i="9" s="1"/>
  <c r="X120" i="9" s="1"/>
  <c r="Y120" i="9" s="1"/>
  <c r="Z120" i="9"/>
  <c r="AG120" i="9" s="1"/>
  <c r="Z609" i="9"/>
  <c r="AG609" i="9" s="1"/>
  <c r="T609" i="9"/>
  <c r="W609" i="9" s="1"/>
  <c r="X609" i="9" s="1"/>
  <c r="Y609" i="9" s="1"/>
  <c r="Z331" i="9"/>
  <c r="AG331" i="9" s="1"/>
  <c r="T331" i="9"/>
  <c r="W331" i="9" s="1"/>
  <c r="X331" i="9" s="1"/>
  <c r="Y331" i="9" s="1"/>
  <c r="Z664" i="9"/>
  <c r="AG664" i="9" s="1"/>
  <c r="T664" i="9"/>
  <c r="W664" i="9" s="1"/>
  <c r="X664" i="9" s="1"/>
  <c r="Y664" i="9" s="1"/>
  <c r="Z335" i="9"/>
  <c r="AG335" i="9" s="1"/>
  <c r="T335" i="9"/>
  <c r="W335" i="9" s="1"/>
  <c r="X335" i="9" s="1"/>
  <c r="Y335" i="9" s="1"/>
  <c r="Z523" i="9"/>
  <c r="AG523" i="9" s="1"/>
  <c r="T523" i="9"/>
  <c r="W523" i="9" s="1"/>
  <c r="X523" i="9" s="1"/>
  <c r="Y523" i="9" s="1"/>
  <c r="Z214" i="9"/>
  <c r="AG214" i="9" s="1"/>
  <c r="T214" i="9"/>
  <c r="W214" i="9" s="1"/>
  <c r="X214" i="9" s="1"/>
  <c r="Y214" i="9" s="1"/>
  <c r="Z576" i="9"/>
  <c r="AG576" i="9" s="1"/>
  <c r="T576" i="9"/>
  <c r="W576" i="9" s="1"/>
  <c r="X576" i="9" s="1"/>
  <c r="Y576" i="9" s="1"/>
  <c r="T723" i="9"/>
  <c r="W723" i="9" s="1"/>
  <c r="X723" i="9" s="1"/>
  <c r="Y723" i="9" s="1"/>
  <c r="Z723" i="9"/>
  <c r="AG723" i="9" s="1"/>
  <c r="T659" i="9"/>
  <c r="W659" i="9" s="1"/>
  <c r="X659" i="9" s="1"/>
  <c r="Y659" i="9" s="1"/>
  <c r="Z659" i="9"/>
  <c r="AG659" i="9" s="1"/>
  <c r="T595" i="9"/>
  <c r="W595" i="9" s="1"/>
  <c r="X595" i="9" s="1"/>
  <c r="Y595" i="9" s="1"/>
  <c r="Z595" i="9"/>
  <c r="AG595" i="9" s="1"/>
  <c r="Z521" i="9"/>
  <c r="AG521" i="9" s="1"/>
  <c r="T521" i="9"/>
  <c r="W521" i="9" s="1"/>
  <c r="X521" i="9" s="1"/>
  <c r="Y521" i="9" s="1"/>
  <c r="Z435" i="9"/>
  <c r="AG435" i="9" s="1"/>
  <c r="T435" i="9"/>
  <c r="W435" i="9" s="1"/>
  <c r="X435" i="9" s="1"/>
  <c r="Y435" i="9" s="1"/>
  <c r="Z350" i="9"/>
  <c r="AG350" i="9" s="1"/>
  <c r="T350" i="9"/>
  <c r="W350" i="9" s="1"/>
  <c r="X350" i="9" s="1"/>
  <c r="Y350" i="9" s="1"/>
  <c r="Z265" i="9"/>
  <c r="AG265" i="9" s="1"/>
  <c r="T265" i="9"/>
  <c r="W265" i="9" s="1"/>
  <c r="X265" i="9" s="1"/>
  <c r="Y265" i="9" s="1"/>
  <c r="Z179" i="9"/>
  <c r="AG179" i="9" s="1"/>
  <c r="T179" i="9"/>
  <c r="W179" i="9" s="1"/>
  <c r="X179" i="9" s="1"/>
  <c r="Y179" i="9" s="1"/>
  <c r="Z94" i="9"/>
  <c r="AG94" i="9" s="1"/>
  <c r="T94" i="9"/>
  <c r="W94" i="9" s="1"/>
  <c r="X94" i="9" s="1"/>
  <c r="Y94" i="9" s="1"/>
  <c r="Z601" i="9"/>
  <c r="AG601" i="9" s="1"/>
  <c r="T601" i="9"/>
  <c r="W601" i="9" s="1"/>
  <c r="X601" i="9" s="1"/>
  <c r="Y601" i="9" s="1"/>
  <c r="Z427" i="9"/>
  <c r="AG427" i="9" s="1"/>
  <c r="T427" i="9"/>
  <c r="W427" i="9" s="1"/>
  <c r="X427" i="9" s="1"/>
  <c r="Y427" i="9" s="1"/>
  <c r="Z219" i="9"/>
  <c r="AG219" i="9" s="1"/>
  <c r="T219" i="9"/>
  <c r="W219" i="9" s="1"/>
  <c r="X219" i="9" s="1"/>
  <c r="Y219" i="9" s="1"/>
  <c r="Z704" i="9"/>
  <c r="AG704" i="9" s="1"/>
  <c r="T704" i="9"/>
  <c r="W704" i="9" s="1"/>
  <c r="X704" i="9" s="1"/>
  <c r="Y704" i="9" s="1"/>
  <c r="Z572" i="9"/>
  <c r="AG572" i="9" s="1"/>
  <c r="T572" i="9"/>
  <c r="W572" i="9" s="1"/>
  <c r="X572" i="9" s="1"/>
  <c r="Y572" i="9" s="1"/>
  <c r="T421" i="9"/>
  <c r="W421" i="9" s="1"/>
  <c r="X421" i="9" s="1"/>
  <c r="Y421" i="9" s="1"/>
  <c r="Z421" i="9"/>
  <c r="AG421" i="9" s="1"/>
  <c r="Z271" i="9"/>
  <c r="AG271" i="9" s="1"/>
  <c r="T271" i="9"/>
  <c r="W271" i="9" s="1"/>
  <c r="X271" i="9" s="1"/>
  <c r="Y271" i="9" s="1"/>
  <c r="Z175" i="9"/>
  <c r="AG175" i="9" s="1"/>
  <c r="T175" i="9"/>
  <c r="W175" i="9" s="1"/>
  <c r="X175" i="9" s="1"/>
  <c r="Y175" i="9" s="1"/>
  <c r="Z90" i="9"/>
  <c r="AG90" i="9" s="1"/>
  <c r="T90" i="9"/>
  <c r="W90" i="9" s="1"/>
  <c r="X90" i="9" s="1"/>
  <c r="Y90" i="9" s="1"/>
  <c r="Z670" i="9"/>
  <c r="AG670" i="9" s="1"/>
  <c r="T670" i="9"/>
  <c r="W670" i="9" s="1"/>
  <c r="X670" i="9" s="1"/>
  <c r="Y670" i="9" s="1"/>
  <c r="Z606" i="9"/>
  <c r="AG606" i="9" s="1"/>
  <c r="T606" i="9"/>
  <c r="W606" i="9" s="1"/>
  <c r="X606" i="9" s="1"/>
  <c r="Y606" i="9" s="1"/>
  <c r="Z535" i="9"/>
  <c r="AG535" i="9" s="1"/>
  <c r="T535" i="9"/>
  <c r="W535" i="9" s="1"/>
  <c r="X535" i="9" s="1"/>
  <c r="Y535" i="9" s="1"/>
  <c r="Z450" i="9"/>
  <c r="AG450" i="9" s="1"/>
  <c r="T450" i="9"/>
  <c r="W450" i="9" s="1"/>
  <c r="X450" i="9" s="1"/>
  <c r="Y450" i="9" s="1"/>
  <c r="Z365" i="9"/>
  <c r="AG365" i="9" s="1"/>
  <c r="T365" i="9"/>
  <c r="W365" i="9" s="1"/>
  <c r="X365" i="9" s="1"/>
  <c r="Y365" i="9" s="1"/>
  <c r="Z279" i="9"/>
  <c r="AG279" i="9" s="1"/>
  <c r="T279" i="9"/>
  <c r="W279" i="9" s="1"/>
  <c r="X279" i="9" s="1"/>
  <c r="Y279" i="9" s="1"/>
  <c r="Z194" i="9"/>
  <c r="AG194" i="9" s="1"/>
  <c r="T194" i="9"/>
  <c r="W194" i="9" s="1"/>
  <c r="X194" i="9" s="1"/>
  <c r="Y194" i="9" s="1"/>
  <c r="Z109" i="9"/>
  <c r="AG109" i="9" s="1"/>
  <c r="T109" i="9"/>
  <c r="W109" i="9" s="1"/>
  <c r="X109" i="9" s="1"/>
  <c r="Y109" i="9" s="1"/>
  <c r="Z516" i="9"/>
  <c r="AG516" i="9" s="1"/>
  <c r="T516" i="9"/>
  <c r="W516" i="9" s="1"/>
  <c r="X516" i="9" s="1"/>
  <c r="Y516" i="9" s="1"/>
  <c r="Z452" i="9"/>
  <c r="AG452" i="9" s="1"/>
  <c r="T452" i="9"/>
  <c r="W452" i="9" s="1"/>
  <c r="X452" i="9" s="1"/>
  <c r="Y452" i="9" s="1"/>
  <c r="Z388" i="9"/>
  <c r="AG388" i="9" s="1"/>
  <c r="T388" i="9"/>
  <c r="W388" i="9" s="1"/>
  <c r="X388" i="9" s="1"/>
  <c r="Y388" i="9" s="1"/>
  <c r="Z324" i="9"/>
  <c r="AG324" i="9" s="1"/>
  <c r="T324" i="9"/>
  <c r="W324" i="9" s="1"/>
  <c r="X324" i="9" s="1"/>
  <c r="Y324" i="9" s="1"/>
  <c r="Z260" i="9"/>
  <c r="AG260" i="9" s="1"/>
  <c r="T260" i="9"/>
  <c r="W260" i="9" s="1"/>
  <c r="X260" i="9" s="1"/>
  <c r="Y260" i="9" s="1"/>
  <c r="Z196" i="9"/>
  <c r="AG196" i="9" s="1"/>
  <c r="T196" i="9"/>
  <c r="W196" i="9" s="1"/>
  <c r="X196" i="9" s="1"/>
  <c r="Y196" i="9" s="1"/>
  <c r="T132" i="9"/>
  <c r="W132" i="9" s="1"/>
  <c r="X132" i="9" s="1"/>
  <c r="Y132" i="9" s="1"/>
  <c r="Z132" i="9"/>
  <c r="AG132" i="9" s="1"/>
  <c r="Z717" i="9"/>
  <c r="AG717" i="9" s="1"/>
  <c r="T717" i="9"/>
  <c r="W717" i="9" s="1"/>
  <c r="X717" i="9" s="1"/>
  <c r="Y717" i="9" s="1"/>
  <c r="Z534" i="9"/>
  <c r="AG534" i="9" s="1"/>
  <c r="T534" i="9"/>
  <c r="W534" i="9" s="1"/>
  <c r="X534" i="9" s="1"/>
  <c r="Y534" i="9" s="1"/>
  <c r="Z241" i="9"/>
  <c r="AG241" i="9" s="1"/>
  <c r="T241" i="9"/>
  <c r="W241" i="9" s="1"/>
  <c r="X241" i="9" s="1"/>
  <c r="Y241" i="9" s="1"/>
  <c r="Z584" i="9"/>
  <c r="AG584" i="9" s="1"/>
  <c r="T584" i="9"/>
  <c r="W584" i="9" s="1"/>
  <c r="X584" i="9" s="1"/>
  <c r="Y584" i="9" s="1"/>
  <c r="Z693" i="9"/>
  <c r="AG693" i="9" s="1"/>
  <c r="T693" i="9"/>
  <c r="W693" i="9" s="1"/>
  <c r="X693" i="9" s="1"/>
  <c r="Y693" i="9" s="1"/>
  <c r="Z422" i="9"/>
  <c r="AG422" i="9" s="1"/>
  <c r="T422" i="9"/>
  <c r="W422" i="9" s="1"/>
  <c r="X422" i="9" s="1"/>
  <c r="Y422" i="9" s="1"/>
  <c r="Z118" i="9"/>
  <c r="AG118" i="9" s="1"/>
  <c r="T118" i="9"/>
  <c r="W118" i="9" s="1"/>
  <c r="X118" i="9" s="1"/>
  <c r="Y118" i="9" s="1"/>
  <c r="Z458" i="9"/>
  <c r="AG458" i="9" s="1"/>
  <c r="T458" i="9"/>
  <c r="W458" i="9" s="1"/>
  <c r="X458" i="9" s="1"/>
  <c r="Y458" i="9" s="1"/>
  <c r="Z703" i="9"/>
  <c r="AG703" i="9" s="1"/>
  <c r="T703" i="9"/>
  <c r="W703" i="9" s="1"/>
  <c r="X703" i="9" s="1"/>
  <c r="Y703" i="9" s="1"/>
  <c r="Z639" i="9"/>
  <c r="AG639" i="9" s="1"/>
  <c r="T639" i="9"/>
  <c r="W639" i="9" s="1"/>
  <c r="X639" i="9" s="1"/>
  <c r="Y639" i="9" s="1"/>
  <c r="Z575" i="9"/>
  <c r="AG575" i="9" s="1"/>
  <c r="T575" i="9"/>
  <c r="W575" i="9" s="1"/>
  <c r="X575" i="9" s="1"/>
  <c r="Y575" i="9" s="1"/>
  <c r="Z494" i="9"/>
  <c r="AG494" i="9" s="1"/>
  <c r="T494" i="9"/>
  <c r="W494" i="9" s="1"/>
  <c r="X494" i="9" s="1"/>
  <c r="Y494" i="9" s="1"/>
  <c r="Z409" i="9"/>
  <c r="AG409" i="9" s="1"/>
  <c r="T409" i="9"/>
  <c r="W409" i="9" s="1"/>
  <c r="X409" i="9" s="1"/>
  <c r="Y409" i="9" s="1"/>
  <c r="Z323" i="9"/>
  <c r="AG323" i="9" s="1"/>
  <c r="T323" i="9"/>
  <c r="W323" i="9" s="1"/>
  <c r="X323" i="9" s="1"/>
  <c r="Y323" i="9" s="1"/>
  <c r="Z238" i="9"/>
  <c r="AG238" i="9" s="1"/>
  <c r="T238" i="9"/>
  <c r="W238" i="9" s="1"/>
  <c r="X238" i="9" s="1"/>
  <c r="Y238" i="9" s="1"/>
  <c r="Z153" i="9"/>
  <c r="AG153" i="9" s="1"/>
  <c r="T153" i="9"/>
  <c r="W153" i="9" s="1"/>
  <c r="X153" i="9" s="1"/>
  <c r="Y153" i="9" s="1"/>
  <c r="Z705" i="9"/>
  <c r="AG705" i="9" s="1"/>
  <c r="T705" i="9"/>
  <c r="W705" i="9" s="1"/>
  <c r="X705" i="9" s="1"/>
  <c r="Y705" i="9" s="1"/>
  <c r="Z555" i="9"/>
  <c r="AG555" i="9" s="1"/>
  <c r="T555" i="9"/>
  <c r="W555" i="9" s="1"/>
  <c r="X555" i="9" s="1"/>
  <c r="Y555" i="9" s="1"/>
  <c r="Z363" i="9"/>
  <c r="AG363" i="9" s="1"/>
  <c r="T363" i="9"/>
  <c r="W363" i="9" s="1"/>
  <c r="X363" i="9" s="1"/>
  <c r="Y363" i="9" s="1"/>
  <c r="Z150" i="9"/>
  <c r="AG150" i="9" s="1"/>
  <c r="T150" i="9"/>
  <c r="W150" i="9" s="1"/>
  <c r="X150" i="9" s="1"/>
  <c r="Y150" i="9" s="1"/>
  <c r="Z668" i="9"/>
  <c r="AG668" i="9" s="1"/>
  <c r="T668" i="9"/>
  <c r="W668" i="9" s="1"/>
  <c r="X668" i="9" s="1"/>
  <c r="Y668" i="9" s="1"/>
  <c r="Z533" i="9"/>
  <c r="AG533" i="9" s="1"/>
  <c r="T533" i="9"/>
  <c r="W533" i="9" s="1"/>
  <c r="X533" i="9" s="1"/>
  <c r="Y533" i="9" s="1"/>
  <c r="Z367" i="9"/>
  <c r="AG367" i="9" s="1"/>
  <c r="T367" i="9"/>
  <c r="W367" i="9" s="1"/>
  <c r="X367" i="9" s="1"/>
  <c r="Y367" i="9" s="1"/>
  <c r="Z245" i="9"/>
  <c r="AG245" i="9" s="1"/>
  <c r="T245" i="9"/>
  <c r="W245" i="9" s="1"/>
  <c r="X245" i="9" s="1"/>
  <c r="Y245" i="9" s="1"/>
  <c r="Z149" i="9"/>
  <c r="AG149" i="9" s="1"/>
  <c r="T149" i="9"/>
  <c r="W149" i="9" s="1"/>
  <c r="X149" i="9" s="1"/>
  <c r="Y149" i="9" s="1"/>
  <c r="Z714" i="9"/>
  <c r="AG714" i="9" s="1"/>
  <c r="T714" i="9"/>
  <c r="W714" i="9" s="1"/>
  <c r="X714" i="9" s="1"/>
  <c r="Y714" i="9" s="1"/>
  <c r="Z650" i="9"/>
  <c r="AG650" i="9" s="1"/>
  <c r="T650" i="9"/>
  <c r="W650" i="9" s="1"/>
  <c r="X650" i="9" s="1"/>
  <c r="Y650" i="9" s="1"/>
  <c r="Z586" i="9"/>
  <c r="AG586" i="9" s="1"/>
  <c r="T586" i="9"/>
  <c r="W586" i="9" s="1"/>
  <c r="X586" i="9" s="1"/>
  <c r="Y586" i="9" s="1"/>
  <c r="Z509" i="9"/>
  <c r="AG509" i="9" s="1"/>
  <c r="T509" i="9"/>
  <c r="W509" i="9" s="1"/>
  <c r="X509" i="9" s="1"/>
  <c r="Y509" i="9" s="1"/>
  <c r="Z423" i="9"/>
  <c r="AG423" i="9" s="1"/>
  <c r="T423" i="9"/>
  <c r="W423" i="9" s="1"/>
  <c r="X423" i="9" s="1"/>
  <c r="Y423" i="9" s="1"/>
  <c r="Z338" i="9"/>
  <c r="AG338" i="9" s="1"/>
  <c r="T338" i="9"/>
  <c r="W338" i="9" s="1"/>
  <c r="X338" i="9" s="1"/>
  <c r="Y338" i="9" s="1"/>
  <c r="Z253" i="9"/>
  <c r="AG253" i="9" s="1"/>
  <c r="T253" i="9"/>
  <c r="W253" i="9" s="1"/>
  <c r="X253" i="9" s="1"/>
  <c r="Y253" i="9" s="1"/>
  <c r="Z167" i="9"/>
  <c r="AG167" i="9" s="1"/>
  <c r="T167" i="9"/>
  <c r="W167" i="9" s="1"/>
  <c r="X167" i="9" s="1"/>
  <c r="Y167" i="9" s="1"/>
  <c r="Z560" i="9"/>
  <c r="AG560" i="9" s="1"/>
  <c r="T560" i="9"/>
  <c r="W560" i="9" s="1"/>
  <c r="X560" i="9" s="1"/>
  <c r="Y560" i="9" s="1"/>
  <c r="Z496" i="9"/>
  <c r="AG496" i="9" s="1"/>
  <c r="T496" i="9"/>
  <c r="W496" i="9" s="1"/>
  <c r="X496" i="9" s="1"/>
  <c r="Y496" i="9" s="1"/>
  <c r="Z432" i="9"/>
  <c r="AG432" i="9" s="1"/>
  <c r="T432" i="9"/>
  <c r="W432" i="9" s="1"/>
  <c r="X432" i="9" s="1"/>
  <c r="Y432" i="9" s="1"/>
  <c r="Z368" i="9"/>
  <c r="AG368" i="9" s="1"/>
  <c r="T368" i="9"/>
  <c r="W368" i="9" s="1"/>
  <c r="X368" i="9" s="1"/>
  <c r="Y368" i="9" s="1"/>
  <c r="Z304" i="9"/>
  <c r="AG304" i="9" s="1"/>
  <c r="T304" i="9"/>
  <c r="W304" i="9" s="1"/>
  <c r="X304" i="9" s="1"/>
  <c r="Y304" i="9" s="1"/>
  <c r="Z240" i="9"/>
  <c r="AG240" i="9" s="1"/>
  <c r="T240" i="9"/>
  <c r="W240" i="9" s="1"/>
  <c r="X240" i="9" s="1"/>
  <c r="Y240" i="9" s="1"/>
  <c r="Z176" i="9"/>
  <c r="AG176" i="9" s="1"/>
  <c r="T176" i="9"/>
  <c r="W176" i="9" s="1"/>
  <c r="X176" i="9" s="1"/>
  <c r="Y176" i="9" s="1"/>
  <c r="Z112" i="9"/>
  <c r="AG112" i="9" s="1"/>
  <c r="T112" i="9"/>
  <c r="W112" i="9" s="1"/>
  <c r="X112" i="9" s="1"/>
  <c r="Y112" i="9" s="1"/>
  <c r="Z513" i="9"/>
  <c r="AG513" i="9" s="1"/>
  <c r="T513" i="9"/>
  <c r="W513" i="9" s="1"/>
  <c r="X513" i="9" s="1"/>
  <c r="Y513" i="9" s="1"/>
  <c r="Z225" i="9"/>
  <c r="AG225" i="9" s="1"/>
  <c r="T225" i="9"/>
  <c r="W225" i="9" s="1"/>
  <c r="X225" i="9" s="1"/>
  <c r="Y225" i="9" s="1"/>
  <c r="Z568" i="9"/>
  <c r="AG568" i="9" s="1"/>
  <c r="T568" i="9"/>
  <c r="W568" i="9" s="1"/>
  <c r="X568" i="9" s="1"/>
  <c r="Y568" i="9" s="1"/>
  <c r="Z681" i="9"/>
  <c r="AG681" i="9" s="1"/>
  <c r="T681" i="9"/>
  <c r="W681" i="9" s="1"/>
  <c r="X681" i="9" s="1"/>
  <c r="Y681" i="9" s="1"/>
  <c r="Z401" i="9"/>
  <c r="AG401" i="9" s="1"/>
  <c r="T401" i="9"/>
  <c r="W401" i="9" s="1"/>
  <c r="X401" i="9" s="1"/>
  <c r="Y401" i="9" s="1"/>
  <c r="Z728" i="9"/>
  <c r="AG728" i="9" s="1"/>
  <c r="T728" i="9"/>
  <c r="W728" i="9" s="1"/>
  <c r="X728" i="9" s="1"/>
  <c r="Y728" i="9" s="1"/>
  <c r="Z437" i="9"/>
  <c r="AG437" i="9" s="1"/>
  <c r="T437" i="9"/>
  <c r="W437" i="9" s="1"/>
  <c r="X437" i="9" s="1"/>
  <c r="Y437" i="9" s="1"/>
  <c r="Z699" i="9"/>
  <c r="AG699" i="9" s="1"/>
  <c r="T699" i="9"/>
  <c r="W699" i="9" s="1"/>
  <c r="X699" i="9" s="1"/>
  <c r="Y699" i="9" s="1"/>
  <c r="Z635" i="9"/>
  <c r="AG635" i="9" s="1"/>
  <c r="T635" i="9"/>
  <c r="W635" i="9" s="1"/>
  <c r="X635" i="9" s="1"/>
  <c r="Y635" i="9" s="1"/>
  <c r="Z571" i="9"/>
  <c r="AG571" i="9" s="1"/>
  <c r="T571" i="9"/>
  <c r="W571" i="9" s="1"/>
  <c r="X571" i="9" s="1"/>
  <c r="Y571" i="9" s="1"/>
  <c r="Z489" i="9"/>
  <c r="AG489" i="9" s="1"/>
  <c r="T489" i="9"/>
  <c r="W489" i="9" s="1"/>
  <c r="X489" i="9" s="1"/>
  <c r="Y489" i="9" s="1"/>
  <c r="Z403" i="9"/>
  <c r="AG403" i="9" s="1"/>
  <c r="T403" i="9"/>
  <c r="W403" i="9" s="1"/>
  <c r="X403" i="9" s="1"/>
  <c r="Y403" i="9" s="1"/>
  <c r="Z318" i="9"/>
  <c r="AG318" i="9" s="1"/>
  <c r="T318" i="9"/>
  <c r="W318" i="9" s="1"/>
  <c r="X318" i="9" s="1"/>
  <c r="Y318" i="9" s="1"/>
  <c r="Z233" i="9"/>
  <c r="AG233" i="9" s="1"/>
  <c r="T233" i="9"/>
  <c r="W233" i="9" s="1"/>
  <c r="X233" i="9" s="1"/>
  <c r="Y233" i="9" s="1"/>
  <c r="Z147" i="9"/>
  <c r="AG147" i="9" s="1"/>
  <c r="T147" i="9"/>
  <c r="W147" i="9" s="1"/>
  <c r="X147" i="9" s="1"/>
  <c r="Y147" i="9" s="1"/>
  <c r="Z697" i="9"/>
  <c r="AG697" i="9" s="1"/>
  <c r="T697" i="9"/>
  <c r="W697" i="9" s="1"/>
  <c r="X697" i="9" s="1"/>
  <c r="Y697" i="9" s="1"/>
  <c r="Z539" i="9"/>
  <c r="AG539" i="9" s="1"/>
  <c r="T539" i="9"/>
  <c r="W539" i="9" s="1"/>
  <c r="X539" i="9" s="1"/>
  <c r="Y539" i="9" s="1"/>
  <c r="Z353" i="9"/>
  <c r="AG353" i="9" s="1"/>
  <c r="T353" i="9"/>
  <c r="W353" i="9" s="1"/>
  <c r="X353" i="9" s="1"/>
  <c r="Y353" i="9" s="1"/>
  <c r="Z145" i="9"/>
  <c r="AG145" i="9" s="1"/>
  <c r="T145" i="9"/>
  <c r="W145" i="9" s="1"/>
  <c r="X145" i="9" s="1"/>
  <c r="Y145" i="9" s="1"/>
  <c r="Z656" i="9"/>
  <c r="AG656" i="9" s="1"/>
  <c r="T656" i="9"/>
  <c r="W656" i="9" s="1"/>
  <c r="X656" i="9" s="1"/>
  <c r="Y656" i="9" s="1"/>
  <c r="Z527" i="9"/>
  <c r="AG527" i="9" s="1"/>
  <c r="T527" i="9"/>
  <c r="W527" i="9" s="1"/>
  <c r="X527" i="9" s="1"/>
  <c r="Y527" i="9" s="1"/>
  <c r="Z362" i="9"/>
  <c r="AG362" i="9" s="1"/>
  <c r="T362" i="9"/>
  <c r="W362" i="9" s="1"/>
  <c r="X362" i="9" s="1"/>
  <c r="Y362" i="9" s="1"/>
  <c r="Z239" i="9"/>
  <c r="AG239" i="9" s="1"/>
  <c r="T239" i="9"/>
  <c r="W239" i="9" s="1"/>
  <c r="X239" i="9" s="1"/>
  <c r="Y239" i="9" s="1"/>
  <c r="Z143" i="9"/>
  <c r="AG143" i="9" s="1"/>
  <c r="T143" i="9"/>
  <c r="W143" i="9" s="1"/>
  <c r="X143" i="9" s="1"/>
  <c r="Y143" i="9" s="1"/>
  <c r="Z710" i="9"/>
  <c r="AG710" i="9" s="1"/>
  <c r="T710" i="9"/>
  <c r="W710" i="9" s="1"/>
  <c r="X710" i="9" s="1"/>
  <c r="Y710" i="9" s="1"/>
  <c r="Z646" i="9"/>
  <c r="AG646" i="9" s="1"/>
  <c r="T646" i="9"/>
  <c r="W646" i="9" s="1"/>
  <c r="X646" i="9" s="1"/>
  <c r="Y646" i="9" s="1"/>
  <c r="Z582" i="9"/>
  <c r="AG582" i="9" s="1"/>
  <c r="T582" i="9"/>
  <c r="W582" i="9" s="1"/>
  <c r="X582" i="9" s="1"/>
  <c r="Y582" i="9" s="1"/>
  <c r="Z503" i="9"/>
  <c r="AG503" i="9" s="1"/>
  <c r="T503" i="9"/>
  <c r="W503" i="9" s="1"/>
  <c r="X503" i="9" s="1"/>
  <c r="Y503" i="9" s="1"/>
  <c r="Z418" i="9"/>
  <c r="AG418" i="9" s="1"/>
  <c r="T418" i="9"/>
  <c r="W418" i="9" s="1"/>
  <c r="X418" i="9" s="1"/>
  <c r="Y418" i="9" s="1"/>
  <c r="Z333" i="9"/>
  <c r="AG333" i="9" s="1"/>
  <c r="T333" i="9"/>
  <c r="W333" i="9" s="1"/>
  <c r="X333" i="9" s="1"/>
  <c r="Y333" i="9" s="1"/>
  <c r="Z247" i="9"/>
  <c r="AG247" i="9" s="1"/>
  <c r="T247" i="9"/>
  <c r="W247" i="9" s="1"/>
  <c r="X247" i="9" s="1"/>
  <c r="Y247" i="9" s="1"/>
  <c r="Z162" i="9"/>
  <c r="AG162" i="9" s="1"/>
  <c r="T162" i="9"/>
  <c r="W162" i="9" s="1"/>
  <c r="X162" i="9" s="1"/>
  <c r="Y162" i="9" s="1"/>
  <c r="Z556" i="9"/>
  <c r="AG556" i="9" s="1"/>
  <c r="T556" i="9"/>
  <c r="W556" i="9" s="1"/>
  <c r="X556" i="9" s="1"/>
  <c r="Y556" i="9" s="1"/>
  <c r="Z492" i="9"/>
  <c r="AG492" i="9" s="1"/>
  <c r="T492" i="9"/>
  <c r="W492" i="9" s="1"/>
  <c r="X492" i="9" s="1"/>
  <c r="Y492" i="9" s="1"/>
  <c r="Z428" i="9"/>
  <c r="AG428" i="9" s="1"/>
  <c r="T428" i="9"/>
  <c r="W428" i="9" s="1"/>
  <c r="X428" i="9" s="1"/>
  <c r="Y428" i="9" s="1"/>
  <c r="Z364" i="9"/>
  <c r="AG364" i="9" s="1"/>
  <c r="T364" i="9"/>
  <c r="W364" i="9" s="1"/>
  <c r="X364" i="9" s="1"/>
  <c r="Y364" i="9" s="1"/>
  <c r="Z300" i="9"/>
  <c r="AG300" i="9" s="1"/>
  <c r="T300" i="9"/>
  <c r="W300" i="9" s="1"/>
  <c r="X300" i="9" s="1"/>
  <c r="Y300" i="9" s="1"/>
  <c r="Z236" i="9"/>
  <c r="AG236" i="9" s="1"/>
  <c r="T236" i="9"/>
  <c r="W236" i="9" s="1"/>
  <c r="X236" i="9" s="1"/>
  <c r="Y236" i="9" s="1"/>
  <c r="Z172" i="9"/>
  <c r="AG172" i="9" s="1"/>
  <c r="T172" i="9"/>
  <c r="W172" i="9" s="1"/>
  <c r="X172" i="9" s="1"/>
  <c r="Y172" i="9" s="1"/>
  <c r="T108" i="9"/>
  <c r="W108" i="9" s="1"/>
  <c r="X108" i="9" s="1"/>
  <c r="Y108" i="9" s="1"/>
  <c r="Z108" i="9"/>
  <c r="AG108" i="9" s="1"/>
  <c r="Z424" i="9"/>
  <c r="AG424" i="9" s="1"/>
  <c r="T424" i="9"/>
  <c r="W424" i="9" s="1"/>
  <c r="X424" i="9" s="1"/>
  <c r="Y424" i="9" s="1"/>
  <c r="Z360" i="9"/>
  <c r="AG360" i="9" s="1"/>
  <c r="T360" i="9"/>
  <c r="W360" i="9" s="1"/>
  <c r="X360" i="9" s="1"/>
  <c r="Y360" i="9" s="1"/>
  <c r="T296" i="9"/>
  <c r="W296" i="9" s="1"/>
  <c r="X296" i="9" s="1"/>
  <c r="Y296" i="9" s="1"/>
  <c r="Z296" i="9"/>
  <c r="AG296" i="9" s="1"/>
  <c r="Z232" i="9"/>
  <c r="AG232" i="9" s="1"/>
  <c r="T232" i="9"/>
  <c r="W232" i="9" s="1"/>
  <c r="X232" i="9" s="1"/>
  <c r="Y232" i="9" s="1"/>
  <c r="T168" i="9"/>
  <c r="W168" i="9" s="1"/>
  <c r="X168" i="9" s="1"/>
  <c r="Y168" i="9" s="1"/>
  <c r="Z168" i="9"/>
  <c r="AG168" i="9" s="1"/>
  <c r="T104" i="9"/>
  <c r="W104" i="9" s="1"/>
  <c r="X104" i="9" s="1"/>
  <c r="Y104" i="9" s="1"/>
  <c r="Z104" i="9"/>
  <c r="AG104" i="9" s="1"/>
  <c r="Z550" i="9"/>
  <c r="AG550" i="9" s="1"/>
  <c r="T550" i="9"/>
  <c r="W550" i="9" s="1"/>
  <c r="X550" i="9" s="1"/>
  <c r="Y550" i="9" s="1"/>
  <c r="Z262" i="9"/>
  <c r="AG262" i="9" s="1"/>
  <c r="T262" i="9"/>
  <c r="W262" i="9" s="1"/>
  <c r="X262" i="9" s="1"/>
  <c r="Y262" i="9" s="1"/>
  <c r="Z600" i="9"/>
  <c r="AG600" i="9" s="1"/>
  <c r="T600" i="9"/>
  <c r="W600" i="9" s="1"/>
  <c r="X600" i="9" s="1"/>
  <c r="Y600" i="9" s="1"/>
  <c r="Z709" i="9"/>
  <c r="AG709" i="9" s="1"/>
  <c r="T709" i="9"/>
  <c r="W709" i="9" s="1"/>
  <c r="X709" i="9" s="1"/>
  <c r="Y709" i="9" s="1"/>
  <c r="Z443" i="9"/>
  <c r="AG443" i="9" s="1"/>
  <c r="T443" i="9"/>
  <c r="W443" i="9" s="1"/>
  <c r="X443" i="9" s="1"/>
  <c r="Y443" i="9" s="1"/>
  <c r="Z139" i="9"/>
  <c r="AG139" i="9" s="1"/>
  <c r="T139" i="9"/>
  <c r="W139" i="9" s="1"/>
  <c r="X139" i="9" s="1"/>
  <c r="Y139" i="9" s="1"/>
  <c r="T485" i="9"/>
  <c r="W485" i="9" s="1"/>
  <c r="X485" i="9" s="1"/>
  <c r="Y485" i="9" s="1"/>
  <c r="Z485" i="9"/>
  <c r="AG485" i="9" s="1"/>
  <c r="T707" i="9"/>
  <c r="W707" i="9" s="1"/>
  <c r="X707" i="9" s="1"/>
  <c r="Y707" i="9" s="1"/>
  <c r="Z707" i="9"/>
  <c r="AG707" i="9" s="1"/>
  <c r="T643" i="9"/>
  <c r="W643" i="9" s="1"/>
  <c r="X643" i="9" s="1"/>
  <c r="Y643" i="9" s="1"/>
  <c r="Z643" i="9"/>
  <c r="AG643" i="9" s="1"/>
  <c r="T579" i="9"/>
  <c r="W579" i="9" s="1"/>
  <c r="X579" i="9" s="1"/>
  <c r="Y579" i="9" s="1"/>
  <c r="Z579" i="9"/>
  <c r="AG579" i="9" s="1"/>
  <c r="Z499" i="9"/>
  <c r="AG499" i="9" s="1"/>
  <c r="T499" i="9"/>
  <c r="W499" i="9" s="1"/>
  <c r="X499" i="9" s="1"/>
  <c r="Y499" i="9" s="1"/>
  <c r="Z414" i="9"/>
  <c r="AG414" i="9" s="1"/>
  <c r="T414" i="9"/>
  <c r="W414" i="9" s="1"/>
  <c r="X414" i="9" s="1"/>
  <c r="Y414" i="9" s="1"/>
  <c r="Z329" i="9"/>
  <c r="AG329" i="9" s="1"/>
  <c r="T329" i="9"/>
  <c r="W329" i="9" s="1"/>
  <c r="X329" i="9" s="1"/>
  <c r="Y329" i="9" s="1"/>
  <c r="Z243" i="9"/>
  <c r="AG243" i="9" s="1"/>
  <c r="T243" i="9"/>
  <c r="W243" i="9" s="1"/>
  <c r="X243" i="9" s="1"/>
  <c r="Y243" i="9" s="1"/>
  <c r="Z158" i="9"/>
  <c r="AG158" i="9" s="1"/>
  <c r="T158" i="9"/>
  <c r="W158" i="9" s="1"/>
  <c r="X158" i="9" s="1"/>
  <c r="Y158" i="9" s="1"/>
  <c r="Z713" i="9"/>
  <c r="AG713" i="9" s="1"/>
  <c r="T713" i="9"/>
  <c r="W713" i="9" s="1"/>
  <c r="X713" i="9" s="1"/>
  <c r="Y713" i="9" s="1"/>
  <c r="Z561" i="9"/>
  <c r="AG561" i="9" s="1"/>
  <c r="T561" i="9"/>
  <c r="W561" i="9" s="1"/>
  <c r="X561" i="9" s="1"/>
  <c r="Y561" i="9" s="1"/>
  <c r="Z374" i="9"/>
  <c r="AG374" i="9" s="1"/>
  <c r="T374" i="9"/>
  <c r="W374" i="9" s="1"/>
  <c r="X374" i="9" s="1"/>
  <c r="Y374" i="9" s="1"/>
  <c r="Z166" i="9"/>
  <c r="AG166" i="9" s="1"/>
  <c r="T166" i="9"/>
  <c r="W166" i="9" s="1"/>
  <c r="X166" i="9" s="1"/>
  <c r="Y166" i="9" s="1"/>
  <c r="Z672" i="9"/>
  <c r="AG672" i="9" s="1"/>
  <c r="T672" i="9"/>
  <c r="W672" i="9" s="1"/>
  <c r="X672" i="9" s="1"/>
  <c r="Y672" i="9" s="1"/>
  <c r="Z543" i="9"/>
  <c r="AG543" i="9" s="1"/>
  <c r="T543" i="9"/>
  <c r="W543" i="9" s="1"/>
  <c r="X543" i="9" s="1"/>
  <c r="Y543" i="9" s="1"/>
  <c r="Z383" i="9"/>
  <c r="AG383" i="9" s="1"/>
  <c r="T383" i="9"/>
  <c r="W383" i="9" s="1"/>
  <c r="X383" i="9" s="1"/>
  <c r="Y383" i="9" s="1"/>
  <c r="Z250" i="9"/>
  <c r="AG250" i="9" s="1"/>
  <c r="T250" i="9"/>
  <c r="W250" i="9" s="1"/>
  <c r="X250" i="9" s="1"/>
  <c r="Y250" i="9" s="1"/>
  <c r="Z154" i="9"/>
  <c r="AG154" i="9" s="1"/>
  <c r="T154" i="9"/>
  <c r="W154" i="9" s="1"/>
  <c r="X154" i="9" s="1"/>
  <c r="Y154" i="9" s="1"/>
  <c r="Z718" i="9"/>
  <c r="AG718" i="9" s="1"/>
  <c r="T718" i="9"/>
  <c r="W718" i="9" s="1"/>
  <c r="X718" i="9" s="1"/>
  <c r="Y718" i="9" s="1"/>
  <c r="Z654" i="9"/>
  <c r="AG654" i="9" s="1"/>
  <c r="T654" i="9"/>
  <c r="W654" i="9" s="1"/>
  <c r="X654" i="9" s="1"/>
  <c r="Y654" i="9" s="1"/>
  <c r="Z590" i="9"/>
  <c r="AG590" i="9" s="1"/>
  <c r="T590" i="9"/>
  <c r="W590" i="9" s="1"/>
  <c r="X590" i="9" s="1"/>
  <c r="Y590" i="9" s="1"/>
  <c r="Z514" i="9"/>
  <c r="AG514" i="9" s="1"/>
  <c r="T514" i="9"/>
  <c r="W514" i="9" s="1"/>
  <c r="X514" i="9" s="1"/>
  <c r="Y514" i="9" s="1"/>
  <c r="Z429" i="9"/>
  <c r="AG429" i="9" s="1"/>
  <c r="T429" i="9"/>
  <c r="W429" i="9" s="1"/>
  <c r="X429" i="9" s="1"/>
  <c r="Y429" i="9" s="1"/>
  <c r="Z343" i="9"/>
  <c r="AG343" i="9" s="1"/>
  <c r="T343" i="9"/>
  <c r="W343" i="9" s="1"/>
  <c r="X343" i="9" s="1"/>
  <c r="Y343" i="9" s="1"/>
  <c r="Z258" i="9"/>
  <c r="AG258" i="9" s="1"/>
  <c r="T258" i="9"/>
  <c r="W258" i="9" s="1"/>
  <c r="X258" i="9" s="1"/>
  <c r="Y258" i="9" s="1"/>
  <c r="Z173" i="9"/>
  <c r="AG173" i="9" s="1"/>
  <c r="T173" i="9"/>
  <c r="W173" i="9" s="1"/>
  <c r="X173" i="9" s="1"/>
  <c r="Y173" i="9" s="1"/>
  <c r="Z87" i="9"/>
  <c r="AG87" i="9" s="1"/>
  <c r="T87" i="9"/>
  <c r="W87" i="9" s="1"/>
  <c r="X87" i="9" s="1"/>
  <c r="Y87" i="9" s="1"/>
  <c r="Z500" i="9"/>
  <c r="AG500" i="9" s="1"/>
  <c r="T500" i="9"/>
  <c r="W500" i="9" s="1"/>
  <c r="X500" i="9" s="1"/>
  <c r="Y500" i="9" s="1"/>
  <c r="Z436" i="9"/>
  <c r="AG436" i="9" s="1"/>
  <c r="T436" i="9"/>
  <c r="W436" i="9" s="1"/>
  <c r="X436" i="9" s="1"/>
  <c r="Y436" i="9" s="1"/>
  <c r="Z372" i="9"/>
  <c r="AG372" i="9" s="1"/>
  <c r="T372" i="9"/>
  <c r="W372" i="9" s="1"/>
  <c r="X372" i="9" s="1"/>
  <c r="Y372" i="9" s="1"/>
  <c r="Z308" i="9"/>
  <c r="AG308" i="9" s="1"/>
  <c r="T308" i="9"/>
  <c r="W308" i="9" s="1"/>
  <c r="X308" i="9" s="1"/>
  <c r="Y308" i="9" s="1"/>
  <c r="Z244" i="9"/>
  <c r="AG244" i="9" s="1"/>
  <c r="T244" i="9"/>
  <c r="W244" i="9" s="1"/>
  <c r="X244" i="9" s="1"/>
  <c r="Y244" i="9" s="1"/>
  <c r="Z180" i="9"/>
  <c r="AG180" i="9" s="1"/>
  <c r="T180" i="9"/>
  <c r="W180" i="9" s="1"/>
  <c r="X180" i="9" s="1"/>
  <c r="Y180" i="9" s="1"/>
  <c r="T116" i="9"/>
  <c r="W116" i="9" s="1"/>
  <c r="X116" i="9" s="1"/>
  <c r="Y116" i="9" s="1"/>
  <c r="Z116" i="9"/>
  <c r="AG116" i="9" s="1"/>
  <c r="Z701" i="9"/>
  <c r="AG701" i="9" s="1"/>
  <c r="T701" i="9"/>
  <c r="W701" i="9" s="1"/>
  <c r="X701" i="9" s="1"/>
  <c r="Y701" i="9" s="1"/>
  <c r="Z454" i="9"/>
  <c r="AG454" i="9" s="1"/>
  <c r="T454" i="9"/>
  <c r="W454" i="9" s="1"/>
  <c r="X454" i="9" s="1"/>
  <c r="Y454" i="9" s="1"/>
  <c r="Z182" i="9"/>
  <c r="AG182" i="9" s="1"/>
  <c r="T182" i="9"/>
  <c r="W182" i="9" s="1"/>
  <c r="X182" i="9" s="1"/>
  <c r="Y182" i="9" s="1"/>
  <c r="Z495" i="9"/>
  <c r="AG495" i="9" s="1"/>
  <c r="T495" i="9"/>
  <c r="W495" i="9" s="1"/>
  <c r="X495" i="9" s="1"/>
  <c r="Y495" i="9" s="1"/>
  <c r="Z633" i="9"/>
  <c r="AG633" i="9" s="1"/>
  <c r="T633" i="9"/>
  <c r="W633" i="9" s="1"/>
  <c r="X633" i="9" s="1"/>
  <c r="Y633" i="9" s="1"/>
  <c r="Z342" i="9"/>
  <c r="AG342" i="9" s="1"/>
  <c r="T342" i="9"/>
  <c r="W342" i="9" s="1"/>
  <c r="X342" i="9" s="1"/>
  <c r="Y342" i="9" s="1"/>
  <c r="Z676" i="9"/>
  <c r="AG676" i="9" s="1"/>
  <c r="T676" i="9"/>
  <c r="W676" i="9" s="1"/>
  <c r="X676" i="9" s="1"/>
  <c r="Y676" i="9" s="1"/>
  <c r="Z373" i="9"/>
  <c r="AG373" i="9" s="1"/>
  <c r="T373" i="9"/>
  <c r="W373" i="9" s="1"/>
  <c r="X373" i="9" s="1"/>
  <c r="Y373" i="9" s="1"/>
  <c r="Z687" i="9"/>
  <c r="AG687" i="9" s="1"/>
  <c r="T687" i="9"/>
  <c r="W687" i="9" s="1"/>
  <c r="X687" i="9" s="1"/>
  <c r="Y687" i="9" s="1"/>
  <c r="Z623" i="9"/>
  <c r="AG623" i="9" s="1"/>
  <c r="T623" i="9"/>
  <c r="W623" i="9" s="1"/>
  <c r="X623" i="9" s="1"/>
  <c r="Y623" i="9" s="1"/>
  <c r="Z558" i="9"/>
  <c r="AG558" i="9" s="1"/>
  <c r="T558" i="9"/>
  <c r="W558" i="9" s="1"/>
  <c r="X558" i="9" s="1"/>
  <c r="Y558" i="9" s="1"/>
  <c r="Z473" i="9"/>
  <c r="AG473" i="9" s="1"/>
  <c r="T473" i="9"/>
  <c r="W473" i="9" s="1"/>
  <c r="X473" i="9" s="1"/>
  <c r="Y473" i="9" s="1"/>
  <c r="Z387" i="9"/>
  <c r="AG387" i="9" s="1"/>
  <c r="T387" i="9"/>
  <c r="W387" i="9" s="1"/>
  <c r="X387" i="9" s="1"/>
  <c r="Y387" i="9" s="1"/>
  <c r="Z302" i="9"/>
  <c r="AG302" i="9" s="1"/>
  <c r="T302" i="9"/>
  <c r="W302" i="9" s="1"/>
  <c r="X302" i="9" s="1"/>
  <c r="Y302" i="9" s="1"/>
  <c r="Z217" i="9"/>
  <c r="AG217" i="9" s="1"/>
  <c r="T217" i="9"/>
  <c r="W217" i="9" s="1"/>
  <c r="X217" i="9" s="1"/>
  <c r="Y217" i="9" s="1"/>
  <c r="Z131" i="9"/>
  <c r="AG131" i="9" s="1"/>
  <c r="T131" i="9"/>
  <c r="W131" i="9" s="1"/>
  <c r="X131" i="9" s="1"/>
  <c r="Y131" i="9" s="1"/>
  <c r="Z661" i="9"/>
  <c r="AG661" i="9" s="1"/>
  <c r="T661" i="9"/>
  <c r="W661" i="9" s="1"/>
  <c r="X661" i="9" s="1"/>
  <c r="Y661" i="9" s="1"/>
  <c r="Z502" i="9"/>
  <c r="AG502" i="9" s="1"/>
  <c r="T502" i="9"/>
  <c r="W502" i="9" s="1"/>
  <c r="X502" i="9" s="1"/>
  <c r="Y502" i="9" s="1"/>
  <c r="Z315" i="9"/>
  <c r="AG315" i="9" s="1"/>
  <c r="T315" i="9"/>
  <c r="W315" i="9" s="1"/>
  <c r="X315" i="9" s="1"/>
  <c r="Y315" i="9" s="1"/>
  <c r="Z107" i="9"/>
  <c r="AG107" i="9" s="1"/>
  <c r="T107" i="9"/>
  <c r="W107" i="9" s="1"/>
  <c r="X107" i="9" s="1"/>
  <c r="Y107" i="9" s="1"/>
  <c r="Z632" i="9"/>
  <c r="AG632" i="9" s="1"/>
  <c r="T632" i="9"/>
  <c r="W632" i="9" s="1"/>
  <c r="X632" i="9" s="1"/>
  <c r="Y632" i="9" s="1"/>
  <c r="Z490" i="9"/>
  <c r="AG490" i="9" s="1"/>
  <c r="T490" i="9"/>
  <c r="W490" i="9" s="1"/>
  <c r="X490" i="9" s="1"/>
  <c r="Y490" i="9" s="1"/>
  <c r="Z330" i="9"/>
  <c r="AG330" i="9" s="1"/>
  <c r="T330" i="9"/>
  <c r="W330" i="9" s="1"/>
  <c r="X330" i="9" s="1"/>
  <c r="Y330" i="9" s="1"/>
  <c r="Z223" i="9"/>
  <c r="AG223" i="9" s="1"/>
  <c r="T223" i="9"/>
  <c r="W223" i="9" s="1"/>
  <c r="X223" i="9" s="1"/>
  <c r="Y223" i="9" s="1"/>
  <c r="Z127" i="9"/>
  <c r="AG127" i="9" s="1"/>
  <c r="T127" i="9"/>
  <c r="W127" i="9" s="1"/>
  <c r="X127" i="9" s="1"/>
  <c r="Y127" i="9" s="1"/>
  <c r="Z698" i="9"/>
  <c r="AG698" i="9" s="1"/>
  <c r="T698" i="9"/>
  <c r="W698" i="9" s="1"/>
  <c r="X698" i="9" s="1"/>
  <c r="Y698" i="9" s="1"/>
  <c r="Z634" i="9"/>
  <c r="AG634" i="9" s="1"/>
  <c r="T634" i="9"/>
  <c r="W634" i="9" s="1"/>
  <c r="X634" i="9" s="1"/>
  <c r="Y634" i="9" s="1"/>
  <c r="Z570" i="9"/>
  <c r="AG570" i="9" s="1"/>
  <c r="T570" i="9"/>
  <c r="W570" i="9" s="1"/>
  <c r="X570" i="9" s="1"/>
  <c r="Y570" i="9" s="1"/>
  <c r="Z487" i="9"/>
  <c r="AG487" i="9" s="1"/>
  <c r="T487" i="9"/>
  <c r="W487" i="9" s="1"/>
  <c r="X487" i="9" s="1"/>
  <c r="Y487" i="9" s="1"/>
  <c r="Z402" i="9"/>
  <c r="AG402" i="9" s="1"/>
  <c r="T402" i="9"/>
  <c r="W402" i="9" s="1"/>
  <c r="X402" i="9" s="1"/>
  <c r="Y402" i="9" s="1"/>
  <c r="Z317" i="9"/>
  <c r="AG317" i="9" s="1"/>
  <c r="T317" i="9"/>
  <c r="W317" i="9" s="1"/>
  <c r="X317" i="9" s="1"/>
  <c r="Y317" i="9" s="1"/>
  <c r="Z231" i="9"/>
  <c r="AG231" i="9" s="1"/>
  <c r="T231" i="9"/>
  <c r="W231" i="9" s="1"/>
  <c r="X231" i="9" s="1"/>
  <c r="Y231" i="9" s="1"/>
  <c r="Z146" i="9"/>
  <c r="AG146" i="9" s="1"/>
  <c r="T146" i="9"/>
  <c r="W146" i="9" s="1"/>
  <c r="X146" i="9" s="1"/>
  <c r="Y146" i="9" s="1"/>
  <c r="Z544" i="9"/>
  <c r="AG544" i="9" s="1"/>
  <c r="T544" i="9"/>
  <c r="W544" i="9" s="1"/>
  <c r="X544" i="9" s="1"/>
  <c r="Y544" i="9" s="1"/>
  <c r="Z480" i="9"/>
  <c r="AG480" i="9" s="1"/>
  <c r="T480" i="9"/>
  <c r="W480" i="9" s="1"/>
  <c r="X480" i="9" s="1"/>
  <c r="Y480" i="9" s="1"/>
  <c r="Z416" i="9"/>
  <c r="AG416" i="9" s="1"/>
  <c r="T416" i="9"/>
  <c r="W416" i="9" s="1"/>
  <c r="X416" i="9" s="1"/>
  <c r="Y416" i="9" s="1"/>
  <c r="Z352" i="9"/>
  <c r="AG352" i="9" s="1"/>
  <c r="T352" i="9"/>
  <c r="W352" i="9" s="1"/>
  <c r="X352" i="9" s="1"/>
  <c r="Y352" i="9" s="1"/>
  <c r="Z288" i="9"/>
  <c r="AG288" i="9" s="1"/>
  <c r="T288" i="9"/>
  <c r="W288" i="9" s="1"/>
  <c r="X288" i="9" s="1"/>
  <c r="Y288" i="9" s="1"/>
  <c r="Z224" i="9"/>
  <c r="AG224" i="9" s="1"/>
  <c r="T224" i="9"/>
  <c r="W224" i="9" s="1"/>
  <c r="X224" i="9" s="1"/>
  <c r="Y224" i="9" s="1"/>
  <c r="Z160" i="9"/>
  <c r="AG160" i="9" s="1"/>
  <c r="T160" i="9"/>
  <c r="W160" i="9" s="1"/>
  <c r="X160" i="9" s="1"/>
  <c r="Y160" i="9" s="1"/>
  <c r="Z96" i="9"/>
  <c r="AG96" i="9" s="1"/>
  <c r="T96" i="9"/>
  <c r="W96" i="9" s="1"/>
  <c r="X96" i="9" s="1"/>
  <c r="Y96" i="9" s="1"/>
  <c r="Z433" i="9"/>
  <c r="AG433" i="9" s="1"/>
  <c r="T433" i="9"/>
  <c r="W433" i="9" s="1"/>
  <c r="X433" i="9" s="1"/>
  <c r="Y433" i="9" s="1"/>
  <c r="Z161" i="9"/>
  <c r="AG161" i="9" s="1"/>
  <c r="T161" i="9"/>
  <c r="W161" i="9" s="1"/>
  <c r="X161" i="9" s="1"/>
  <c r="Y161" i="9" s="1"/>
  <c r="Z474" i="9"/>
  <c r="AG474" i="9" s="1"/>
  <c r="T474" i="9"/>
  <c r="W474" i="9" s="1"/>
  <c r="X474" i="9" s="1"/>
  <c r="Y474" i="9" s="1"/>
  <c r="Z617" i="9"/>
  <c r="AG617" i="9" s="1"/>
  <c r="T617" i="9"/>
  <c r="W617" i="9" s="1"/>
  <c r="X617" i="9" s="1"/>
  <c r="Y617" i="9" s="1"/>
  <c r="Z321" i="9"/>
  <c r="AG321" i="9" s="1"/>
  <c r="T321" i="9"/>
  <c r="W321" i="9" s="1"/>
  <c r="X321" i="9" s="1"/>
  <c r="Y321" i="9" s="1"/>
  <c r="Z660" i="9"/>
  <c r="AG660" i="9" s="1"/>
  <c r="T660" i="9"/>
  <c r="W660" i="9" s="1"/>
  <c r="X660" i="9" s="1"/>
  <c r="Y660" i="9" s="1"/>
  <c r="Z351" i="9"/>
  <c r="AG351" i="9" s="1"/>
  <c r="T351" i="9"/>
  <c r="W351" i="9" s="1"/>
  <c r="X351" i="9" s="1"/>
  <c r="Y351" i="9" s="1"/>
  <c r="Z683" i="9"/>
  <c r="AG683" i="9" s="1"/>
  <c r="T683" i="9"/>
  <c r="W683" i="9" s="1"/>
  <c r="X683" i="9" s="1"/>
  <c r="Y683" i="9" s="1"/>
  <c r="Z619" i="9"/>
  <c r="AG619" i="9" s="1"/>
  <c r="T619" i="9"/>
  <c r="W619" i="9" s="1"/>
  <c r="X619" i="9" s="1"/>
  <c r="Y619" i="9" s="1"/>
  <c r="Z553" i="9"/>
  <c r="AG553" i="9" s="1"/>
  <c r="T553" i="9"/>
  <c r="W553" i="9" s="1"/>
  <c r="X553" i="9" s="1"/>
  <c r="Y553" i="9" s="1"/>
  <c r="Z467" i="9"/>
  <c r="AG467" i="9" s="1"/>
  <c r="T467" i="9"/>
  <c r="W467" i="9" s="1"/>
  <c r="X467" i="9" s="1"/>
  <c r="Y467" i="9" s="1"/>
  <c r="Z382" i="9"/>
  <c r="AG382" i="9" s="1"/>
  <c r="T382" i="9"/>
  <c r="W382" i="9" s="1"/>
  <c r="X382" i="9" s="1"/>
  <c r="Y382" i="9" s="1"/>
  <c r="Z297" i="9"/>
  <c r="AG297" i="9" s="1"/>
  <c r="T297" i="9"/>
  <c r="W297" i="9" s="1"/>
  <c r="X297" i="9" s="1"/>
  <c r="Y297" i="9" s="1"/>
  <c r="Z211" i="9"/>
  <c r="AG211" i="9" s="1"/>
  <c r="T211" i="9"/>
  <c r="W211" i="9" s="1"/>
  <c r="X211" i="9" s="1"/>
  <c r="Y211" i="9" s="1"/>
  <c r="Z126" i="9"/>
  <c r="AG126" i="9" s="1"/>
  <c r="T126" i="9"/>
  <c r="W126" i="9" s="1"/>
  <c r="X126" i="9" s="1"/>
  <c r="Y126" i="9" s="1"/>
  <c r="Z657" i="9"/>
  <c r="AG657" i="9" s="1"/>
  <c r="T657" i="9"/>
  <c r="W657" i="9" s="1"/>
  <c r="X657" i="9" s="1"/>
  <c r="Y657" i="9" s="1"/>
  <c r="Z491" i="9"/>
  <c r="AG491" i="9" s="1"/>
  <c r="T491" i="9"/>
  <c r="W491" i="9" s="1"/>
  <c r="X491" i="9" s="1"/>
  <c r="Y491" i="9" s="1"/>
  <c r="Z299" i="9"/>
  <c r="AG299" i="9" s="1"/>
  <c r="T299" i="9"/>
  <c r="W299" i="9" s="1"/>
  <c r="X299" i="9" s="1"/>
  <c r="Y299" i="9" s="1"/>
  <c r="Z102" i="9"/>
  <c r="AG102" i="9" s="1"/>
  <c r="T102" i="9"/>
  <c r="W102" i="9" s="1"/>
  <c r="X102" i="9" s="1"/>
  <c r="Y102" i="9" s="1"/>
  <c r="Z624" i="9"/>
  <c r="AG624" i="9" s="1"/>
  <c r="T624" i="9"/>
  <c r="W624" i="9" s="1"/>
  <c r="X624" i="9" s="1"/>
  <c r="Y624" i="9" s="1"/>
  <c r="Z479" i="9"/>
  <c r="AG479" i="9" s="1"/>
  <c r="T479" i="9"/>
  <c r="W479" i="9" s="1"/>
  <c r="X479" i="9" s="1"/>
  <c r="Y479" i="9" s="1"/>
  <c r="Z319" i="9"/>
  <c r="AG319" i="9" s="1"/>
  <c r="T319" i="9"/>
  <c r="W319" i="9" s="1"/>
  <c r="X319" i="9" s="1"/>
  <c r="Y319" i="9" s="1"/>
  <c r="Z218" i="9"/>
  <c r="AG218" i="9" s="1"/>
  <c r="T218" i="9"/>
  <c r="W218" i="9" s="1"/>
  <c r="X218" i="9" s="1"/>
  <c r="Y218" i="9" s="1"/>
  <c r="Z122" i="9"/>
  <c r="AG122" i="9" s="1"/>
  <c r="T122" i="9"/>
  <c r="W122" i="9" s="1"/>
  <c r="X122" i="9" s="1"/>
  <c r="Y122" i="9" s="1"/>
  <c r="Z694" i="9"/>
  <c r="AG694" i="9" s="1"/>
  <c r="T694" i="9"/>
  <c r="W694" i="9" s="1"/>
  <c r="X694" i="9" s="1"/>
  <c r="Y694" i="9" s="1"/>
  <c r="Z630" i="9"/>
  <c r="AG630" i="9" s="1"/>
  <c r="T630" i="9"/>
  <c r="W630" i="9" s="1"/>
  <c r="X630" i="9" s="1"/>
  <c r="Y630" i="9" s="1"/>
  <c r="Z566" i="9"/>
  <c r="AG566" i="9" s="1"/>
  <c r="T566" i="9"/>
  <c r="W566" i="9" s="1"/>
  <c r="X566" i="9" s="1"/>
  <c r="Y566" i="9" s="1"/>
  <c r="Z482" i="9"/>
  <c r="AG482" i="9" s="1"/>
  <c r="T482" i="9"/>
  <c r="W482" i="9" s="1"/>
  <c r="X482" i="9" s="1"/>
  <c r="Y482" i="9" s="1"/>
  <c r="Z397" i="9"/>
  <c r="AG397" i="9" s="1"/>
  <c r="T397" i="9"/>
  <c r="W397" i="9" s="1"/>
  <c r="X397" i="9" s="1"/>
  <c r="Y397" i="9" s="1"/>
  <c r="Z311" i="9"/>
  <c r="AG311" i="9" s="1"/>
  <c r="T311" i="9"/>
  <c r="W311" i="9" s="1"/>
  <c r="X311" i="9" s="1"/>
  <c r="Y311" i="9" s="1"/>
  <c r="Z226" i="9"/>
  <c r="AG226" i="9" s="1"/>
  <c r="T226" i="9"/>
  <c r="W226" i="9" s="1"/>
  <c r="X226" i="9" s="1"/>
  <c r="Y226" i="9" s="1"/>
  <c r="Z141" i="9"/>
  <c r="AG141" i="9" s="1"/>
  <c r="T141" i="9"/>
  <c r="W141" i="9" s="1"/>
  <c r="X141" i="9" s="1"/>
  <c r="Y141" i="9" s="1"/>
  <c r="Z540" i="9"/>
  <c r="AG540" i="9" s="1"/>
  <c r="T540" i="9"/>
  <c r="W540" i="9" s="1"/>
  <c r="X540" i="9" s="1"/>
  <c r="Y540" i="9" s="1"/>
  <c r="Z476" i="9"/>
  <c r="AG476" i="9" s="1"/>
  <c r="T476" i="9"/>
  <c r="W476" i="9" s="1"/>
  <c r="X476" i="9" s="1"/>
  <c r="Y476" i="9" s="1"/>
  <c r="Z412" i="9"/>
  <c r="AG412" i="9" s="1"/>
  <c r="T412" i="9"/>
  <c r="W412" i="9" s="1"/>
  <c r="X412" i="9" s="1"/>
  <c r="Y412" i="9" s="1"/>
  <c r="Z348" i="9"/>
  <c r="AG348" i="9" s="1"/>
  <c r="T348" i="9"/>
  <c r="W348" i="9" s="1"/>
  <c r="X348" i="9" s="1"/>
  <c r="Y348" i="9" s="1"/>
  <c r="Z284" i="9"/>
  <c r="AG284" i="9" s="1"/>
  <c r="T284" i="9"/>
  <c r="W284" i="9" s="1"/>
  <c r="X284" i="9" s="1"/>
  <c r="Y284" i="9" s="1"/>
  <c r="Z220" i="9"/>
  <c r="AG220" i="9" s="1"/>
  <c r="T220" i="9"/>
  <c r="W220" i="9" s="1"/>
  <c r="X220" i="9" s="1"/>
  <c r="Y220" i="9" s="1"/>
  <c r="T156" i="9"/>
  <c r="W156" i="9" s="1"/>
  <c r="X156" i="9" s="1"/>
  <c r="Y156" i="9" s="1"/>
  <c r="Z156" i="9"/>
  <c r="AG156" i="9" s="1"/>
  <c r="T92" i="9"/>
  <c r="W92" i="9" s="1"/>
  <c r="X92" i="9" s="1"/>
  <c r="Y92" i="9" s="1"/>
  <c r="Z92" i="9"/>
  <c r="AG92" i="9" s="1"/>
  <c r="AA17" i="9"/>
  <c r="AF16" i="9"/>
  <c r="G12" i="10"/>
  <c r="F12" i="10" s="1"/>
  <c r="I12" i="10" s="1"/>
  <c r="F11" i="10"/>
  <c r="I11" i="10" s="1"/>
  <c r="Z14" i="9"/>
  <c r="AG14" i="9" s="1"/>
  <c r="Z82" i="9"/>
  <c r="AG82" i="9" s="1"/>
  <c r="Z78" i="9"/>
  <c r="AG78" i="9" s="1"/>
  <c r="Z74" i="9"/>
  <c r="AG74" i="9" s="1"/>
  <c r="Z70" i="9"/>
  <c r="AG70" i="9" s="1"/>
  <c r="Z66" i="9"/>
  <c r="AG66" i="9" s="1"/>
  <c r="Z62" i="9"/>
  <c r="AG62" i="9" s="1"/>
  <c r="Z58" i="9"/>
  <c r="AG58" i="9" s="1"/>
  <c r="Z54" i="9"/>
  <c r="AG54" i="9" s="1"/>
  <c r="Z50" i="9"/>
  <c r="AG50" i="9" s="1"/>
  <c r="Z46" i="9"/>
  <c r="AG46" i="9" s="1"/>
  <c r="Z42" i="9"/>
  <c r="AG42" i="9" s="1"/>
  <c r="Z38" i="9"/>
  <c r="AG38" i="9" s="1"/>
  <c r="Z34" i="9"/>
  <c r="AG34" i="9" s="1"/>
  <c r="Z30" i="9"/>
  <c r="AG30" i="9" s="1"/>
  <c r="Z26" i="9"/>
  <c r="AG26" i="9" s="1"/>
  <c r="AG22" i="9"/>
  <c r="Z18" i="9"/>
  <c r="AG18" i="9" s="1"/>
  <c r="Z13" i="9"/>
  <c r="AG13" i="9" s="1"/>
  <c r="Z83" i="9"/>
  <c r="AG83" i="9" s="1"/>
  <c r="Z79" i="9"/>
  <c r="AG79" i="9" s="1"/>
  <c r="Z75" i="9"/>
  <c r="AG75" i="9" s="1"/>
  <c r="Z71" i="9"/>
  <c r="AG71" i="9" s="1"/>
  <c r="Z67" i="9"/>
  <c r="AG67" i="9" s="1"/>
  <c r="Z63" i="9"/>
  <c r="AG63" i="9" s="1"/>
  <c r="Z59" i="9"/>
  <c r="AG59" i="9" s="1"/>
  <c r="Z55" i="9"/>
  <c r="AG55" i="9" s="1"/>
  <c r="Z51" i="9"/>
  <c r="AG51" i="9" s="1"/>
  <c r="Z47" i="9"/>
  <c r="AG47" i="9" s="1"/>
  <c r="Z43" i="9"/>
  <c r="AG43" i="9" s="1"/>
  <c r="Z39" i="9"/>
  <c r="AG39" i="9" s="1"/>
  <c r="Z35" i="9"/>
  <c r="AG35" i="9" s="1"/>
  <c r="Z31" i="9"/>
  <c r="AG31" i="9" s="1"/>
  <c r="Z27" i="9"/>
  <c r="AG27" i="9" s="1"/>
  <c r="Z23" i="9"/>
  <c r="AG23" i="9" s="1"/>
  <c r="Z19" i="9"/>
  <c r="AG19" i="9" s="1"/>
  <c r="Z15" i="9"/>
  <c r="AG15" i="9" s="1"/>
  <c r="Z12" i="9"/>
  <c r="AG12" i="9" s="1"/>
  <c r="Z80" i="9"/>
  <c r="AG80" i="9" s="1"/>
  <c r="Z72" i="9"/>
  <c r="AG72" i="9" s="1"/>
  <c r="Z64" i="9"/>
  <c r="AG64" i="9" s="1"/>
  <c r="Z56" i="9"/>
  <c r="AG56" i="9" s="1"/>
  <c r="Z48" i="9"/>
  <c r="AG48" i="9" s="1"/>
  <c r="Z24" i="9"/>
  <c r="AG24" i="9" s="1"/>
  <c r="Z84" i="9"/>
  <c r="AG84" i="9" s="1"/>
  <c r="Z76" i="9"/>
  <c r="AG76" i="9" s="1"/>
  <c r="Z68" i="9"/>
  <c r="AG68" i="9" s="1"/>
  <c r="Z60" i="9"/>
  <c r="AG60" i="9" s="1"/>
  <c r="Z52" i="9"/>
  <c r="AG52" i="9" s="1"/>
  <c r="Z44" i="9"/>
  <c r="AG44" i="9" s="1"/>
  <c r="Z40" i="9"/>
  <c r="AG40" i="9" s="1"/>
  <c r="Z36" i="9"/>
  <c r="AG36" i="9" s="1"/>
  <c r="Z32" i="9"/>
  <c r="AG32" i="9" s="1"/>
  <c r="Z28" i="9"/>
  <c r="AG28" i="9" s="1"/>
  <c r="Z20" i="9"/>
  <c r="AG20" i="9" s="1"/>
  <c r="Z16" i="9"/>
  <c r="AG16" i="9" s="1"/>
  <c r="Z85" i="9"/>
  <c r="AG85" i="9" s="1"/>
  <c r="Z81" i="9"/>
  <c r="AG81" i="9" s="1"/>
  <c r="Z77" i="9"/>
  <c r="AG77" i="9" s="1"/>
  <c r="Z73" i="9"/>
  <c r="AG73" i="9" s="1"/>
  <c r="Z69" i="9"/>
  <c r="AG69" i="9" s="1"/>
  <c r="Z65" i="9"/>
  <c r="AG65" i="9" s="1"/>
  <c r="Z61" i="9"/>
  <c r="AG61" i="9" s="1"/>
  <c r="Z57" i="9"/>
  <c r="AG57" i="9" s="1"/>
  <c r="Z53" i="9"/>
  <c r="AG53" i="9" s="1"/>
  <c r="Z49" i="9"/>
  <c r="AG49" i="9" s="1"/>
  <c r="Z45" i="9"/>
  <c r="AG45" i="9" s="1"/>
  <c r="Z41" i="9"/>
  <c r="AG41" i="9" s="1"/>
  <c r="Z37" i="9"/>
  <c r="AG37" i="9" s="1"/>
  <c r="Z33" i="9"/>
  <c r="AG33" i="9" s="1"/>
  <c r="Z29" i="9"/>
  <c r="AG29" i="9" s="1"/>
  <c r="Z25" i="9"/>
  <c r="AG25" i="9" s="1"/>
  <c r="Z21" i="9"/>
  <c r="AG21" i="9" s="1"/>
  <c r="Z17" i="9"/>
  <c r="AG17" i="9" s="1"/>
  <c r="Z731" i="9"/>
  <c r="AG731" i="9" s="1"/>
  <c r="Z86" i="9"/>
  <c r="AG86" i="9" s="1"/>
  <c r="T86" i="9"/>
  <c r="W86" i="9" s="1"/>
  <c r="X86" i="9" s="1"/>
  <c r="Y86" i="9" s="1"/>
  <c r="T82" i="9"/>
  <c r="W82" i="9" s="1"/>
  <c r="X82" i="9" s="1"/>
  <c r="Y82" i="9" s="1"/>
  <c r="T78" i="9"/>
  <c r="W78" i="9" s="1"/>
  <c r="X78" i="9" s="1"/>
  <c r="Y78" i="9" s="1"/>
  <c r="T74" i="9"/>
  <c r="W74" i="9" s="1"/>
  <c r="X74" i="9" s="1"/>
  <c r="Y74" i="9" s="1"/>
  <c r="T70" i="9"/>
  <c r="W70" i="9" s="1"/>
  <c r="X70" i="9" s="1"/>
  <c r="Y70" i="9" s="1"/>
  <c r="T66" i="9"/>
  <c r="W66" i="9" s="1"/>
  <c r="X66" i="9" s="1"/>
  <c r="Y66" i="9" s="1"/>
  <c r="T62" i="9"/>
  <c r="W62" i="9" s="1"/>
  <c r="X62" i="9" s="1"/>
  <c r="Y62" i="9" s="1"/>
  <c r="T58" i="9"/>
  <c r="W58" i="9" s="1"/>
  <c r="X58" i="9" s="1"/>
  <c r="Y58" i="9" s="1"/>
  <c r="T83" i="9"/>
  <c r="W83" i="9" s="1"/>
  <c r="X83" i="9" s="1"/>
  <c r="Y83" i="9" s="1"/>
  <c r="T79" i="9"/>
  <c r="W79" i="9" s="1"/>
  <c r="X79" i="9" s="1"/>
  <c r="Y79" i="9" s="1"/>
  <c r="T75" i="9"/>
  <c r="W75" i="9" s="1"/>
  <c r="X75" i="9" s="1"/>
  <c r="Y75" i="9" s="1"/>
  <c r="T71" i="9"/>
  <c r="W71" i="9" s="1"/>
  <c r="X71" i="9" s="1"/>
  <c r="Y71" i="9" s="1"/>
  <c r="T67" i="9"/>
  <c r="W67" i="9" s="1"/>
  <c r="X67" i="9" s="1"/>
  <c r="Y67" i="9" s="1"/>
  <c r="T63" i="9"/>
  <c r="W63" i="9" s="1"/>
  <c r="X63" i="9" s="1"/>
  <c r="Y63" i="9" s="1"/>
  <c r="T59" i="9"/>
  <c r="W59" i="9" s="1"/>
  <c r="X59" i="9" s="1"/>
  <c r="Y59" i="9" s="1"/>
  <c r="T80" i="9"/>
  <c r="W80" i="9" s="1"/>
  <c r="X80" i="9" s="1"/>
  <c r="Y80" i="9" s="1"/>
  <c r="T72" i="9"/>
  <c r="W72" i="9" s="1"/>
  <c r="X72" i="9" s="1"/>
  <c r="Y72" i="9" s="1"/>
  <c r="T64" i="9"/>
  <c r="W64" i="9" s="1"/>
  <c r="X64" i="9" s="1"/>
  <c r="Y64" i="9" s="1"/>
  <c r="T84" i="9"/>
  <c r="W84" i="9" s="1"/>
  <c r="X84" i="9" s="1"/>
  <c r="Y84" i="9" s="1"/>
  <c r="T76" i="9"/>
  <c r="W76" i="9" s="1"/>
  <c r="X76" i="9" s="1"/>
  <c r="Y76" i="9" s="1"/>
  <c r="T68" i="9"/>
  <c r="W68" i="9" s="1"/>
  <c r="X68" i="9" s="1"/>
  <c r="Y68" i="9" s="1"/>
  <c r="T60" i="9"/>
  <c r="W60" i="9" s="1"/>
  <c r="X60" i="9" s="1"/>
  <c r="Y60" i="9" s="1"/>
  <c r="T85" i="9"/>
  <c r="W85" i="9" s="1"/>
  <c r="X85" i="9" s="1"/>
  <c r="Y85" i="9" s="1"/>
  <c r="T81" i="9"/>
  <c r="W81" i="9" s="1"/>
  <c r="X81" i="9" s="1"/>
  <c r="Y81" i="9" s="1"/>
  <c r="T77" i="9"/>
  <c r="W77" i="9" s="1"/>
  <c r="X77" i="9" s="1"/>
  <c r="Y77" i="9" s="1"/>
  <c r="T73" i="9"/>
  <c r="W73" i="9" s="1"/>
  <c r="X73" i="9" s="1"/>
  <c r="Y73" i="9" s="1"/>
  <c r="T69" i="9"/>
  <c r="W69" i="9" s="1"/>
  <c r="X69" i="9" s="1"/>
  <c r="Y69" i="9" s="1"/>
  <c r="T65" i="9"/>
  <c r="T61" i="9"/>
  <c r="W61" i="9" s="1"/>
  <c r="X61" i="9" s="1"/>
  <c r="Y61" i="9" s="1"/>
  <c r="T57" i="9"/>
  <c r="W57" i="9" s="1"/>
  <c r="X57" i="9" s="1"/>
  <c r="Y57" i="9" s="1"/>
  <c r="T731" i="9"/>
  <c r="W731" i="9" s="1"/>
  <c r="X731" i="9" s="1"/>
  <c r="Y731" i="9" s="1"/>
  <c r="W65" i="9"/>
  <c r="X65" i="9" s="1"/>
  <c r="Y65" i="9" s="1"/>
  <c r="AA18" i="9" l="1"/>
  <c r="AF17" i="9"/>
  <c r="G13" i="10"/>
  <c r="F13" i="10" s="1"/>
  <c r="I13" i="10" s="1"/>
  <c r="T49" i="9"/>
  <c r="W49" i="9" s="1"/>
  <c r="X49" i="9" s="1"/>
  <c r="Y49" i="9" s="1"/>
  <c r="T17" i="9"/>
  <c r="W17" i="9" s="1"/>
  <c r="X17" i="9" s="1"/>
  <c r="Y17" i="9" s="1"/>
  <c r="T34" i="9"/>
  <c r="W34" i="9" s="1"/>
  <c r="X34" i="9" s="1"/>
  <c r="Y34" i="9" s="1"/>
  <c r="T47" i="9"/>
  <c r="W47" i="9" s="1"/>
  <c r="X47" i="9" s="1"/>
  <c r="Y47" i="9" s="1"/>
  <c r="T15" i="9"/>
  <c r="W15" i="9" s="1"/>
  <c r="X15" i="9" s="1"/>
  <c r="Y15" i="9" s="1"/>
  <c r="T53" i="9"/>
  <c r="W53" i="9" s="1"/>
  <c r="X53" i="9" s="1"/>
  <c r="Y53" i="9" s="1"/>
  <c r="T37" i="9"/>
  <c r="W37" i="9" s="1"/>
  <c r="X37" i="9" s="1"/>
  <c r="Y37" i="9" s="1"/>
  <c r="T21" i="9"/>
  <c r="W21" i="9" s="1"/>
  <c r="X21" i="9" s="1"/>
  <c r="Y21" i="9" s="1"/>
  <c r="T54" i="9"/>
  <c r="W54" i="9" s="1"/>
  <c r="X54" i="9" s="1"/>
  <c r="Y54" i="9" s="1"/>
  <c r="T38" i="9"/>
  <c r="W38" i="9" s="1"/>
  <c r="X38" i="9" s="1"/>
  <c r="Y38" i="9" s="1"/>
  <c r="T51" i="9"/>
  <c r="W51" i="9" s="1"/>
  <c r="X51" i="9" s="1"/>
  <c r="Y51" i="9" s="1"/>
  <c r="T35" i="9"/>
  <c r="W35" i="9" s="1"/>
  <c r="X35" i="9" s="1"/>
  <c r="Y35" i="9" s="1"/>
  <c r="T19" i="9"/>
  <c r="W19" i="9" s="1"/>
  <c r="X19" i="9" s="1"/>
  <c r="Y19" i="9" s="1"/>
  <c r="T48" i="9"/>
  <c r="W48" i="9" s="1"/>
  <c r="X48" i="9" s="1"/>
  <c r="Y48" i="9" s="1"/>
  <c r="T32" i="9"/>
  <c r="W32" i="9" s="1"/>
  <c r="X32" i="9" s="1"/>
  <c r="Y32" i="9" s="1"/>
  <c r="T16" i="9"/>
  <c r="W16" i="9" s="1"/>
  <c r="X16" i="9" s="1"/>
  <c r="Y16" i="9" s="1"/>
  <c r="T12" i="9"/>
  <c r="W12" i="9" s="1"/>
  <c r="X12" i="9" s="1"/>
  <c r="Y12" i="9" s="1"/>
  <c r="T26" i="9"/>
  <c r="W26" i="9" s="1"/>
  <c r="X26" i="9" s="1"/>
  <c r="Y26" i="9" s="1"/>
  <c r="T23" i="9"/>
  <c r="W23" i="9" s="1"/>
  <c r="X23" i="9" s="1"/>
  <c r="Y23" i="9" s="1"/>
  <c r="T20" i="9"/>
  <c r="W20" i="9" s="1"/>
  <c r="X20" i="9" s="1"/>
  <c r="Y20" i="9" s="1"/>
  <c r="T25" i="9"/>
  <c r="W25" i="9" s="1"/>
  <c r="X25" i="9" s="1"/>
  <c r="Y25" i="9" s="1"/>
  <c r="T42" i="9"/>
  <c r="W42" i="9" s="1"/>
  <c r="X42" i="9" s="1"/>
  <c r="Y42" i="9" s="1"/>
  <c r="T55" i="9"/>
  <c r="W55" i="9" s="1"/>
  <c r="X55" i="9" s="1"/>
  <c r="Y55" i="9" s="1"/>
  <c r="T39" i="9"/>
  <c r="W39" i="9" s="1"/>
  <c r="X39" i="9" s="1"/>
  <c r="Y39" i="9" s="1"/>
  <c r="T52" i="9"/>
  <c r="W52" i="9" s="1"/>
  <c r="X52" i="9" s="1"/>
  <c r="Y52" i="9" s="1"/>
  <c r="T36" i="9"/>
  <c r="W36" i="9" s="1"/>
  <c r="X36" i="9" s="1"/>
  <c r="Y36" i="9" s="1"/>
  <c r="T45" i="9"/>
  <c r="W45" i="9" s="1"/>
  <c r="X45" i="9" s="1"/>
  <c r="Y45" i="9" s="1"/>
  <c r="T29" i="9"/>
  <c r="W29" i="9" s="1"/>
  <c r="X29" i="9" s="1"/>
  <c r="Y29" i="9" s="1"/>
  <c r="T13" i="9"/>
  <c r="W13" i="9" s="1"/>
  <c r="X13" i="9" s="1"/>
  <c r="Y13" i="9" s="1"/>
  <c r="T46" i="9"/>
  <c r="W46" i="9" s="1"/>
  <c r="X46" i="9" s="1"/>
  <c r="Y46" i="9" s="1"/>
  <c r="T30" i="9"/>
  <c r="W30" i="9" s="1"/>
  <c r="X30" i="9" s="1"/>
  <c r="Y30" i="9" s="1"/>
  <c r="T14" i="9"/>
  <c r="W14" i="9" s="1"/>
  <c r="X14" i="9" s="1"/>
  <c r="Y14" i="9" s="1"/>
  <c r="T43" i="9"/>
  <c r="W43" i="9" s="1"/>
  <c r="X43" i="9" s="1"/>
  <c r="Y43" i="9" s="1"/>
  <c r="T27" i="9"/>
  <c r="W27" i="9" s="1"/>
  <c r="X27" i="9" s="1"/>
  <c r="Y27" i="9" s="1"/>
  <c r="T56" i="9"/>
  <c r="W56" i="9" s="1"/>
  <c r="X56" i="9" s="1"/>
  <c r="Y56" i="9" s="1"/>
  <c r="T40" i="9"/>
  <c r="W40" i="9" s="1"/>
  <c r="X40" i="9" s="1"/>
  <c r="Y40" i="9" s="1"/>
  <c r="T24" i="9"/>
  <c r="W24" i="9" s="1"/>
  <c r="X24" i="9" s="1"/>
  <c r="Y24" i="9" s="1"/>
  <c r="T41" i="9"/>
  <c r="W41" i="9" s="1"/>
  <c r="X41" i="9" s="1"/>
  <c r="Y41" i="9" s="1"/>
  <c r="T33" i="9"/>
  <c r="W33" i="9" s="1"/>
  <c r="X33" i="9" s="1"/>
  <c r="Y33" i="9" s="1"/>
  <c r="T50" i="9"/>
  <c r="W50" i="9" s="1"/>
  <c r="X50" i="9" s="1"/>
  <c r="Y50" i="9" s="1"/>
  <c r="T18" i="9"/>
  <c r="W18" i="9" s="1"/>
  <c r="X18" i="9" s="1"/>
  <c r="Y18" i="9" s="1"/>
  <c r="T31" i="9"/>
  <c r="W31" i="9" s="1"/>
  <c r="X31" i="9" s="1"/>
  <c r="Y31" i="9" s="1"/>
  <c r="T44" i="9"/>
  <c r="W44" i="9" s="1"/>
  <c r="X44" i="9" s="1"/>
  <c r="Y44" i="9" s="1"/>
  <c r="T28" i="9"/>
  <c r="W28" i="9" s="1"/>
  <c r="X28" i="9" s="1"/>
  <c r="Y28" i="9" s="1"/>
  <c r="AA19" i="9" l="1"/>
  <c r="AF18" i="9"/>
  <c r="G14" i="10"/>
  <c r="F14" i="10" s="1"/>
  <c r="I14" i="10" s="1"/>
  <c r="AA20" i="9" l="1"/>
  <c r="AF19" i="9"/>
  <c r="G15" i="10"/>
  <c r="F15" i="10" s="1"/>
  <c r="I15" i="10" s="1"/>
  <c r="AA21" i="9" l="1"/>
  <c r="AF20" i="9"/>
  <c r="G16" i="10"/>
  <c r="F16" i="10" s="1"/>
  <c r="I16" i="10" s="1"/>
  <c r="AA22" i="9" l="1"/>
  <c r="AF21" i="9"/>
  <c r="G17" i="10"/>
  <c r="F17" i="10" s="1"/>
  <c r="I17" i="10" s="1"/>
  <c r="AA23" i="9" l="1"/>
  <c r="AF22" i="9"/>
  <c r="G18" i="10"/>
  <c r="F18" i="10" s="1"/>
  <c r="I18" i="10" s="1"/>
  <c r="AA24" i="9" l="1"/>
  <c r="AF23" i="9"/>
  <c r="G19" i="10"/>
  <c r="F19" i="10" s="1"/>
  <c r="I19" i="10" s="1"/>
  <c r="AA25" i="9" l="1"/>
  <c r="AF24" i="9"/>
  <c r="G20" i="10"/>
  <c r="F20" i="10" s="1"/>
  <c r="I20" i="10" s="1"/>
  <c r="AA26" i="9" l="1"/>
  <c r="AF25" i="9"/>
  <c r="G21" i="10"/>
  <c r="F21" i="10" s="1"/>
  <c r="I21" i="10" s="1"/>
  <c r="AA27" i="9" l="1"/>
  <c r="AF26" i="9"/>
  <c r="G22" i="10"/>
  <c r="F22" i="10" s="1"/>
  <c r="I22" i="10" s="1"/>
  <c r="AA28" i="9" l="1"/>
  <c r="AF27" i="9"/>
  <c r="G23" i="10"/>
  <c r="F23" i="10" s="1"/>
  <c r="I23" i="10" s="1"/>
  <c r="AA29" i="9" l="1"/>
  <c r="AF28" i="9"/>
  <c r="G24" i="10"/>
  <c r="F24" i="10" s="1"/>
  <c r="I24" i="10" s="1"/>
  <c r="AA30" i="9" l="1"/>
  <c r="AF29" i="9"/>
  <c r="G25" i="10"/>
  <c r="G26" i="10" s="1"/>
  <c r="F26" i="10" s="1"/>
  <c r="I26" i="10" s="1"/>
  <c r="AA31" i="9" l="1"/>
  <c r="AF30" i="9"/>
  <c r="G27" i="10"/>
  <c r="F27" i="10" s="1"/>
  <c r="I27" i="10" s="1"/>
  <c r="F25" i="10"/>
  <c r="I25" i="10" s="1"/>
  <c r="AA32" i="9" l="1"/>
  <c r="AF31" i="9"/>
  <c r="G28" i="10"/>
  <c r="F28" i="10" s="1"/>
  <c r="I28" i="10" s="1"/>
  <c r="AA33" i="9" l="1"/>
  <c r="AF32" i="9"/>
  <c r="G29" i="10"/>
  <c r="F29" i="10" s="1"/>
  <c r="I29" i="10" s="1"/>
  <c r="AA34" i="9" l="1"/>
  <c r="AF33" i="9"/>
  <c r="G30" i="10"/>
  <c r="F30" i="10" s="1"/>
  <c r="I30" i="10" s="1"/>
  <c r="AA35" i="9" l="1"/>
  <c r="AF34" i="9"/>
  <c r="G31" i="10"/>
  <c r="F31" i="10" s="1"/>
  <c r="I31" i="10" s="1"/>
  <c r="AA36" i="9" l="1"/>
  <c r="AF35" i="9"/>
  <c r="G32" i="10"/>
  <c r="AA37" i="9" l="1"/>
  <c r="AF36" i="9"/>
  <c r="F32" i="10"/>
  <c r="I32" i="10" s="1"/>
  <c r="G33" i="10"/>
  <c r="F33" i="10" s="1"/>
  <c r="I33" i="10" s="1"/>
  <c r="AA38" i="9" l="1"/>
  <c r="AF37" i="9"/>
  <c r="G34" i="10"/>
  <c r="F34" i="10" s="1"/>
  <c r="I34" i="10" s="1"/>
  <c r="G35" i="10"/>
  <c r="F35" i="10" s="1"/>
  <c r="I35" i="10" s="1"/>
  <c r="AA39" i="9" l="1"/>
  <c r="AF38" i="9"/>
  <c r="G36" i="10"/>
  <c r="F36" i="10" s="1"/>
  <c r="I36" i="10" s="1"/>
  <c r="AA40" i="9" l="1"/>
  <c r="AF39" i="9"/>
  <c r="G37" i="10"/>
  <c r="AA41" i="9" l="1"/>
  <c r="AF40" i="9"/>
  <c r="F37" i="10"/>
  <c r="I37" i="10" s="1"/>
  <c r="G38" i="10"/>
  <c r="F38" i="10" s="1"/>
  <c r="I38" i="10" s="1"/>
  <c r="AA42" i="9" l="1"/>
  <c r="AF41" i="9"/>
  <c r="G39" i="10"/>
  <c r="F39" i="10" s="1"/>
  <c r="I39" i="10" s="1"/>
  <c r="AA43" i="9" l="1"/>
  <c r="AF42" i="9"/>
  <c r="G40" i="10"/>
  <c r="F40" i="10" s="1"/>
  <c r="I40" i="10" s="1"/>
  <c r="G41" i="10"/>
  <c r="F41" i="10" s="1"/>
  <c r="I41" i="10" s="1"/>
  <c r="AA44" i="9" l="1"/>
  <c r="AF43" i="9"/>
  <c r="G42" i="10"/>
  <c r="G43" i="10"/>
  <c r="F42" i="10"/>
  <c r="I42" i="10" s="1"/>
  <c r="AA45" i="9" l="1"/>
  <c r="AF44" i="9"/>
  <c r="G44" i="10"/>
  <c r="F43" i="10"/>
  <c r="I43" i="10" s="1"/>
  <c r="AA46" i="9" l="1"/>
  <c r="AF45" i="9"/>
  <c r="G45" i="10"/>
  <c r="F44" i="10"/>
  <c r="I44" i="10" s="1"/>
  <c r="AA47" i="9" l="1"/>
  <c r="AF46" i="9"/>
  <c r="G46" i="10"/>
  <c r="F45" i="10"/>
  <c r="I45" i="10" s="1"/>
  <c r="AA48" i="9" l="1"/>
  <c r="AF47" i="9"/>
  <c r="G47" i="10"/>
  <c r="F46" i="10"/>
  <c r="I46" i="10" s="1"/>
  <c r="AA49" i="9" l="1"/>
  <c r="AF48" i="9"/>
  <c r="G48" i="10"/>
  <c r="F47" i="10"/>
  <c r="I47" i="10" s="1"/>
  <c r="AA50" i="9" l="1"/>
  <c r="AF49" i="9"/>
  <c r="G49" i="10"/>
  <c r="F48" i="10"/>
  <c r="I48" i="10" s="1"/>
  <c r="AA51" i="9" l="1"/>
  <c r="AF50" i="9"/>
  <c r="G50" i="10"/>
  <c r="F49" i="10"/>
  <c r="I49" i="10" s="1"/>
  <c r="AA52" i="9" l="1"/>
  <c r="AF51" i="9"/>
  <c r="G51" i="10"/>
  <c r="F50" i="10"/>
  <c r="I50" i="10" s="1"/>
  <c r="AA53" i="9" l="1"/>
  <c r="AF52" i="9"/>
  <c r="G52" i="10"/>
  <c r="F51" i="10"/>
  <c r="I51" i="10" s="1"/>
  <c r="AA54" i="9" l="1"/>
  <c r="AF53" i="9"/>
  <c r="G53" i="10"/>
  <c r="F52" i="10"/>
  <c r="I52" i="10" s="1"/>
  <c r="AA55" i="9" l="1"/>
  <c r="AF54" i="9"/>
  <c r="G54" i="10"/>
  <c r="F53" i="10"/>
  <c r="I53" i="10" s="1"/>
  <c r="AA56" i="9" l="1"/>
  <c r="AF55" i="9"/>
  <c r="G55" i="10"/>
  <c r="F54" i="10"/>
  <c r="I54" i="10" s="1"/>
  <c r="AA57" i="9" l="1"/>
  <c r="AF56" i="9"/>
  <c r="G56" i="10"/>
  <c r="F55" i="10"/>
  <c r="I55" i="10" s="1"/>
  <c r="AA58" i="9" l="1"/>
  <c r="AF57" i="9"/>
  <c r="G57" i="10"/>
  <c r="F56" i="10"/>
  <c r="I56" i="10" s="1"/>
  <c r="AA59" i="9" l="1"/>
  <c r="AF58" i="9"/>
  <c r="G58" i="10"/>
  <c r="F57" i="10"/>
  <c r="I57" i="10" s="1"/>
  <c r="AA60" i="9" l="1"/>
  <c r="AF59" i="9"/>
  <c r="G59" i="10"/>
  <c r="F58" i="10"/>
  <c r="I58" i="10" s="1"/>
  <c r="AA61" i="9" l="1"/>
  <c r="AF60" i="9"/>
  <c r="G60" i="10"/>
  <c r="F60" i="10" s="1"/>
  <c r="I60" i="10" s="1"/>
  <c r="F59" i="10"/>
  <c r="I59" i="10" s="1"/>
  <c r="AA62" i="9" l="1"/>
  <c r="AF61" i="9"/>
  <c r="AA63" i="9" l="1"/>
  <c r="AF62" i="9"/>
  <c r="AA64" i="9" l="1"/>
  <c r="AF63" i="9"/>
  <c r="AA65" i="9" l="1"/>
  <c r="AF64" i="9"/>
  <c r="AA66" i="9" l="1"/>
  <c r="AF65" i="9"/>
  <c r="AA67" i="9" l="1"/>
  <c r="AF66" i="9"/>
  <c r="AA68" i="9" l="1"/>
  <c r="AF67" i="9"/>
  <c r="AA69" i="9" l="1"/>
  <c r="AF68" i="9"/>
  <c r="AA70" i="9" l="1"/>
  <c r="AF69" i="9"/>
  <c r="AA71" i="9" l="1"/>
  <c r="AF70" i="9"/>
  <c r="AA72" i="9" l="1"/>
  <c r="AF71" i="9"/>
  <c r="AA73" i="9" l="1"/>
  <c r="AF72" i="9"/>
  <c r="AA74" i="9" l="1"/>
  <c r="AF73" i="9"/>
  <c r="AA75" i="9" l="1"/>
  <c r="AF74" i="9"/>
  <c r="AA76" i="9" l="1"/>
  <c r="AF75" i="9"/>
  <c r="AA77" i="9" l="1"/>
  <c r="AF76" i="9"/>
  <c r="AA78" i="9" l="1"/>
  <c r="AF77" i="9"/>
  <c r="AA79" i="9" l="1"/>
  <c r="AF78" i="9"/>
  <c r="AA80" i="9" l="1"/>
  <c r="AF79" i="9"/>
  <c r="AA81" i="9" l="1"/>
  <c r="AF80" i="9"/>
  <c r="AA82" i="9" l="1"/>
  <c r="AF81" i="9"/>
  <c r="AA83" i="9" l="1"/>
  <c r="AF82" i="9"/>
  <c r="AA84" i="9" l="1"/>
  <c r="AF83" i="9"/>
  <c r="AA85" i="9" l="1"/>
  <c r="AF84" i="9"/>
  <c r="AA86" i="9" l="1"/>
  <c r="AF85" i="9"/>
  <c r="AA87" i="9" l="1"/>
  <c r="AF86" i="9"/>
  <c r="AA88" i="9" l="1"/>
  <c r="AF87" i="9"/>
  <c r="AA89" i="9" l="1"/>
  <c r="AF88" i="9"/>
  <c r="AA90" i="9" l="1"/>
  <c r="AF89" i="9"/>
  <c r="AA91" i="9" l="1"/>
  <c r="AF90" i="9"/>
  <c r="AA92" i="9" l="1"/>
  <c r="AF91" i="9"/>
  <c r="AA93" i="9" l="1"/>
  <c r="AF92" i="9"/>
  <c r="AA94" i="9" l="1"/>
  <c r="AF93" i="9"/>
  <c r="AA95" i="9" l="1"/>
  <c r="AF94" i="9"/>
  <c r="AA96" i="9" l="1"/>
  <c r="AF95" i="9"/>
  <c r="AA97" i="9" l="1"/>
  <c r="AF96" i="9"/>
  <c r="AA98" i="9" l="1"/>
  <c r="AF97" i="9"/>
  <c r="AA99" i="9" l="1"/>
  <c r="AF98" i="9"/>
  <c r="AA100" i="9" l="1"/>
  <c r="AF99" i="9"/>
  <c r="AA101" i="9" l="1"/>
  <c r="AF100" i="9"/>
  <c r="AA102" i="9" l="1"/>
  <c r="AF101" i="9"/>
  <c r="AA103" i="9" l="1"/>
  <c r="AF102" i="9"/>
  <c r="AA104" i="9" l="1"/>
  <c r="AF103" i="9"/>
  <c r="AA105" i="9" l="1"/>
  <c r="AF104" i="9"/>
  <c r="AA106" i="9" l="1"/>
  <c r="AF105" i="9"/>
  <c r="AA107" i="9" l="1"/>
  <c r="AF106" i="9"/>
  <c r="AA108" i="9" l="1"/>
  <c r="AF107" i="9"/>
  <c r="AA109" i="9" l="1"/>
  <c r="AF108" i="9"/>
  <c r="AA110" i="9" l="1"/>
  <c r="AF109" i="9"/>
  <c r="AA111" i="9" l="1"/>
  <c r="AF110" i="9"/>
  <c r="AA112" i="9" l="1"/>
  <c r="AF111" i="9"/>
  <c r="AA113" i="9" l="1"/>
  <c r="AF112" i="9"/>
  <c r="AA114" i="9" l="1"/>
  <c r="AF113" i="9"/>
  <c r="AA115" i="9" l="1"/>
  <c r="AF114" i="9"/>
  <c r="AA116" i="9" l="1"/>
  <c r="AF115" i="9"/>
  <c r="AA117" i="9" l="1"/>
  <c r="AF116" i="9"/>
  <c r="AA118" i="9" l="1"/>
  <c r="AF117" i="9"/>
  <c r="AA119" i="9" l="1"/>
  <c r="AF118" i="9"/>
  <c r="AA120" i="9" l="1"/>
  <c r="AF119" i="9"/>
  <c r="AA121" i="9" l="1"/>
  <c r="AF120" i="9"/>
  <c r="AA122" i="9" l="1"/>
  <c r="AF121" i="9"/>
  <c r="AA123" i="9" l="1"/>
  <c r="AF122" i="9"/>
  <c r="AA124" i="9" l="1"/>
  <c r="AF123" i="9"/>
  <c r="AA125" i="9" l="1"/>
  <c r="AF124" i="9"/>
  <c r="AA126" i="9" l="1"/>
  <c r="AF125" i="9"/>
  <c r="AA127" i="9" l="1"/>
  <c r="AF126" i="9"/>
  <c r="AA128" i="9" l="1"/>
  <c r="AF127" i="9"/>
  <c r="AA129" i="9" l="1"/>
  <c r="AF128" i="9"/>
  <c r="AA130" i="9" l="1"/>
  <c r="AF129" i="9"/>
  <c r="AA131" i="9" l="1"/>
  <c r="AF130" i="9"/>
  <c r="AA132" i="9" l="1"/>
  <c r="AF131" i="9"/>
  <c r="AA133" i="9" l="1"/>
  <c r="AF132" i="9"/>
  <c r="AA134" i="9" l="1"/>
  <c r="AF133" i="9"/>
  <c r="AA135" i="9" l="1"/>
  <c r="AF134" i="9"/>
  <c r="AA136" i="9" l="1"/>
  <c r="AF135" i="9"/>
  <c r="AA137" i="9" l="1"/>
  <c r="AF136" i="9"/>
  <c r="AA138" i="9" l="1"/>
  <c r="AF137" i="9"/>
  <c r="AA139" i="9" l="1"/>
  <c r="AF138" i="9"/>
  <c r="AA140" i="9" l="1"/>
  <c r="AF139" i="9"/>
  <c r="AA141" i="9" l="1"/>
  <c r="AF140" i="9"/>
  <c r="AA142" i="9" l="1"/>
  <c r="AF141" i="9"/>
  <c r="AA143" i="9" l="1"/>
  <c r="AF142" i="9"/>
  <c r="AA144" i="9" l="1"/>
  <c r="AF143" i="9"/>
  <c r="AA145" i="9" l="1"/>
  <c r="AF144" i="9"/>
  <c r="AA146" i="9" l="1"/>
  <c r="AF145" i="9"/>
  <c r="AA147" i="9" l="1"/>
  <c r="AF146" i="9"/>
  <c r="AA148" i="9" l="1"/>
  <c r="AF147" i="9"/>
  <c r="AA149" i="9" l="1"/>
  <c r="AF148" i="9"/>
  <c r="AA150" i="9" l="1"/>
  <c r="AF149" i="9"/>
  <c r="AA151" i="9" l="1"/>
  <c r="AF150" i="9"/>
  <c r="AA152" i="9" l="1"/>
  <c r="AF151" i="9"/>
  <c r="AA153" i="9" l="1"/>
  <c r="AF152" i="9"/>
  <c r="AA154" i="9" l="1"/>
  <c r="AF153" i="9"/>
  <c r="AA155" i="9" l="1"/>
  <c r="AF154" i="9"/>
  <c r="AA156" i="9" l="1"/>
  <c r="AF155" i="9"/>
  <c r="AA157" i="9" l="1"/>
  <c r="AF156" i="9"/>
  <c r="AA158" i="9" l="1"/>
  <c r="AF157" i="9"/>
  <c r="AA159" i="9" l="1"/>
  <c r="AF158" i="9"/>
  <c r="AA160" i="9" l="1"/>
  <c r="AF159" i="9"/>
  <c r="AA161" i="9" l="1"/>
  <c r="AF160" i="9"/>
  <c r="AA162" i="9" l="1"/>
  <c r="AF161" i="9"/>
  <c r="AA163" i="9" l="1"/>
  <c r="AF162" i="9"/>
  <c r="AA164" i="9" l="1"/>
  <c r="AF163" i="9"/>
  <c r="AA165" i="9" l="1"/>
  <c r="AF164" i="9"/>
  <c r="AA166" i="9" l="1"/>
  <c r="AF165" i="9"/>
  <c r="AA167" i="9" l="1"/>
  <c r="AF166" i="9"/>
  <c r="AA168" i="9" l="1"/>
  <c r="AF167" i="9"/>
  <c r="AA169" i="9" l="1"/>
  <c r="AF168" i="9"/>
  <c r="AA170" i="9" l="1"/>
  <c r="AF169" i="9"/>
  <c r="AA171" i="9" l="1"/>
  <c r="AF170" i="9"/>
  <c r="AA172" i="9" l="1"/>
  <c r="AF171" i="9"/>
  <c r="AA173" i="9" l="1"/>
  <c r="AF172" i="9"/>
  <c r="AA174" i="9" l="1"/>
  <c r="AF173" i="9"/>
  <c r="AA175" i="9" l="1"/>
  <c r="AF174" i="9"/>
  <c r="AA176" i="9" l="1"/>
  <c r="AF175" i="9"/>
  <c r="AA177" i="9" l="1"/>
  <c r="AF176" i="9"/>
  <c r="AA178" i="9" l="1"/>
  <c r="AF177" i="9"/>
  <c r="AA179" i="9" l="1"/>
  <c r="AF178" i="9"/>
  <c r="AA180" i="9" l="1"/>
  <c r="AF179" i="9"/>
  <c r="AA181" i="9" l="1"/>
  <c r="AF180" i="9"/>
  <c r="AA182" i="9" l="1"/>
  <c r="AF181" i="9"/>
  <c r="AA183" i="9" l="1"/>
  <c r="AF182" i="9"/>
  <c r="AA184" i="9" l="1"/>
  <c r="AF183" i="9"/>
  <c r="AA185" i="9" l="1"/>
  <c r="AF184" i="9"/>
  <c r="AA186" i="9" l="1"/>
  <c r="AF185" i="9"/>
  <c r="AA187" i="9" l="1"/>
  <c r="AF186" i="9"/>
  <c r="AA188" i="9" l="1"/>
  <c r="AF187" i="9"/>
  <c r="AA189" i="9" l="1"/>
  <c r="AF188" i="9"/>
  <c r="AA190" i="9" l="1"/>
  <c r="AF189" i="9"/>
  <c r="AA191" i="9" l="1"/>
  <c r="AF190" i="9"/>
  <c r="AA192" i="9" l="1"/>
  <c r="AF191" i="9"/>
  <c r="AA193" i="9" l="1"/>
  <c r="AF192" i="9"/>
  <c r="AA194" i="9" l="1"/>
  <c r="AF193" i="9"/>
  <c r="AA195" i="9" l="1"/>
  <c r="AF194" i="9"/>
  <c r="AA196" i="9" l="1"/>
  <c r="AF195" i="9"/>
  <c r="AA197" i="9" l="1"/>
  <c r="AF196" i="9"/>
  <c r="AA198" i="9" l="1"/>
  <c r="AF197" i="9"/>
  <c r="AA199" i="9" l="1"/>
  <c r="AF198" i="9"/>
  <c r="AA200" i="9" l="1"/>
  <c r="AF199" i="9"/>
  <c r="AA201" i="9" l="1"/>
  <c r="AF200" i="9"/>
  <c r="AA202" i="9" l="1"/>
  <c r="AF201" i="9"/>
  <c r="AA203" i="9" l="1"/>
  <c r="AF202" i="9"/>
  <c r="AA204" i="9" l="1"/>
  <c r="AF203" i="9"/>
  <c r="AA205" i="9" l="1"/>
  <c r="AF204" i="9"/>
  <c r="AA206" i="9" l="1"/>
  <c r="AF205" i="9"/>
  <c r="AA207" i="9" l="1"/>
  <c r="AF206" i="9"/>
  <c r="AA208" i="9" l="1"/>
  <c r="AF207" i="9"/>
  <c r="AA209" i="9" l="1"/>
  <c r="AF208" i="9"/>
  <c r="AA210" i="9" l="1"/>
  <c r="AF209" i="9"/>
  <c r="AA211" i="9" l="1"/>
  <c r="AF210" i="9"/>
  <c r="AA212" i="9" l="1"/>
  <c r="AF211" i="9"/>
  <c r="AA213" i="9" l="1"/>
  <c r="AF212" i="9"/>
  <c r="AA214" i="9" l="1"/>
  <c r="AF213" i="9"/>
  <c r="AA215" i="9" l="1"/>
  <c r="AF214" i="9"/>
  <c r="AA216" i="9" l="1"/>
  <c r="AF215" i="9"/>
  <c r="AA217" i="9" l="1"/>
  <c r="AF216" i="9"/>
  <c r="AA218" i="9" l="1"/>
  <c r="AF217" i="9"/>
  <c r="AA219" i="9" l="1"/>
  <c r="AF218" i="9"/>
  <c r="AA220" i="9" l="1"/>
  <c r="AF219" i="9"/>
  <c r="AA221" i="9" l="1"/>
  <c r="AF220" i="9"/>
  <c r="AA222" i="9" l="1"/>
  <c r="AF221" i="9"/>
  <c r="AA223" i="9" l="1"/>
  <c r="AF222" i="9"/>
  <c r="AA224" i="9" l="1"/>
  <c r="AF223" i="9"/>
  <c r="AA225" i="9" l="1"/>
  <c r="AF224" i="9"/>
  <c r="AA226" i="9" l="1"/>
  <c r="AF225" i="9"/>
  <c r="AA227" i="9" l="1"/>
  <c r="AF226" i="9"/>
  <c r="AA228" i="9" l="1"/>
  <c r="AF227" i="9"/>
  <c r="AA229" i="9" l="1"/>
  <c r="AF228" i="9"/>
  <c r="AA230" i="9" l="1"/>
  <c r="AF229" i="9"/>
  <c r="AA231" i="9" l="1"/>
  <c r="AF230" i="9"/>
  <c r="AA232" i="9" l="1"/>
  <c r="AF231" i="9"/>
  <c r="AA233" i="9" l="1"/>
  <c r="AF232" i="9"/>
  <c r="AA234" i="9" l="1"/>
  <c r="AF233" i="9"/>
  <c r="AA235" i="9" l="1"/>
  <c r="AF234" i="9"/>
  <c r="AA236" i="9" l="1"/>
  <c r="AF235" i="9"/>
  <c r="AA237" i="9" l="1"/>
  <c r="AF236" i="9"/>
  <c r="AA238" i="9" l="1"/>
  <c r="AF237" i="9"/>
  <c r="AA239" i="9" l="1"/>
  <c r="AF238" i="9"/>
  <c r="AA240" i="9" l="1"/>
  <c r="AF239" i="9"/>
  <c r="AA241" i="9" l="1"/>
  <c r="AF240" i="9"/>
  <c r="AA242" i="9" l="1"/>
  <c r="AF241" i="9"/>
  <c r="AA243" i="9" l="1"/>
  <c r="AF242" i="9"/>
  <c r="AA244" i="9" l="1"/>
  <c r="AF243" i="9"/>
  <c r="AA245" i="9" l="1"/>
  <c r="AF244" i="9"/>
  <c r="AA246" i="9" l="1"/>
  <c r="AF245" i="9"/>
  <c r="AA247" i="9" l="1"/>
  <c r="AF246" i="9"/>
  <c r="AA248" i="9" l="1"/>
  <c r="AF247" i="9"/>
  <c r="AA249" i="9" l="1"/>
  <c r="AF248" i="9"/>
  <c r="AA250" i="9" l="1"/>
  <c r="AF249" i="9"/>
  <c r="AA251" i="9" l="1"/>
  <c r="AF250" i="9"/>
  <c r="AA252" i="9" l="1"/>
  <c r="AF251" i="9"/>
  <c r="AA253" i="9" l="1"/>
  <c r="AF252" i="9"/>
  <c r="AA254" i="9" l="1"/>
  <c r="AF253" i="9"/>
  <c r="AA255" i="9" l="1"/>
  <c r="AF254" i="9"/>
  <c r="AA256" i="9" l="1"/>
  <c r="AF255" i="9"/>
  <c r="AA257" i="9" l="1"/>
  <c r="AF256" i="9"/>
  <c r="AA258" i="9" l="1"/>
  <c r="AF257" i="9"/>
  <c r="AA259" i="9" l="1"/>
  <c r="AF258" i="9"/>
  <c r="AA260" i="9" l="1"/>
  <c r="AF259" i="9"/>
  <c r="AA261" i="9" l="1"/>
  <c r="AF260" i="9"/>
  <c r="AA262" i="9" l="1"/>
  <c r="AF261" i="9"/>
  <c r="AA263" i="9" l="1"/>
  <c r="AF262" i="9"/>
  <c r="AA264" i="9" l="1"/>
  <c r="AF263" i="9"/>
  <c r="AA265" i="9" l="1"/>
  <c r="AF264" i="9"/>
  <c r="AA266" i="9" l="1"/>
  <c r="AF265" i="9"/>
  <c r="AA267" i="9" l="1"/>
  <c r="AF266" i="9"/>
  <c r="AA268" i="9" l="1"/>
  <c r="AF267" i="9"/>
  <c r="AA269" i="9" l="1"/>
  <c r="AF268" i="9"/>
  <c r="AA270" i="9" l="1"/>
  <c r="AF269" i="9"/>
  <c r="AA271" i="9" l="1"/>
  <c r="AF270" i="9"/>
  <c r="AA272" i="9" l="1"/>
  <c r="AF271" i="9"/>
  <c r="AA273" i="9" l="1"/>
  <c r="AF272" i="9"/>
  <c r="AA274" i="9" l="1"/>
  <c r="AF273" i="9"/>
  <c r="AA275" i="9" l="1"/>
  <c r="AF274" i="9"/>
  <c r="AA276" i="9" l="1"/>
  <c r="AF275" i="9"/>
  <c r="AA277" i="9" l="1"/>
  <c r="AF276" i="9"/>
  <c r="AA278" i="9" l="1"/>
  <c r="AF277" i="9"/>
  <c r="AA279" i="9" l="1"/>
  <c r="AF278" i="9"/>
  <c r="AA280" i="9" l="1"/>
  <c r="AF279" i="9"/>
  <c r="AA281" i="9" l="1"/>
  <c r="AF280" i="9"/>
  <c r="AA282" i="9" l="1"/>
  <c r="AF281" i="9"/>
  <c r="AA283" i="9" l="1"/>
  <c r="AF282" i="9"/>
  <c r="AA284" i="9" l="1"/>
  <c r="AF283" i="9"/>
  <c r="AA285" i="9" l="1"/>
  <c r="AF284" i="9"/>
  <c r="AA286" i="9" l="1"/>
  <c r="AF285" i="9"/>
  <c r="AA287" i="9" l="1"/>
  <c r="AF286" i="9"/>
  <c r="AA288" i="9" l="1"/>
  <c r="AF287" i="9"/>
  <c r="AA289" i="9" l="1"/>
  <c r="AF288" i="9"/>
  <c r="AA290" i="9" l="1"/>
  <c r="AF289" i="9"/>
  <c r="AA291" i="9" l="1"/>
  <c r="AF290" i="9"/>
  <c r="AA292" i="9" l="1"/>
  <c r="AF291" i="9"/>
  <c r="AA293" i="9" l="1"/>
  <c r="AF292" i="9"/>
  <c r="AA294" i="9" l="1"/>
  <c r="AF293" i="9"/>
  <c r="AA295" i="9" l="1"/>
  <c r="AF294" i="9"/>
  <c r="AA296" i="9" l="1"/>
  <c r="AF295" i="9"/>
  <c r="AA297" i="9" l="1"/>
  <c r="AF296" i="9"/>
  <c r="AA298" i="9" l="1"/>
  <c r="AF297" i="9"/>
  <c r="AA299" i="9" l="1"/>
  <c r="AF298" i="9"/>
  <c r="AA300" i="9" l="1"/>
  <c r="AF299" i="9"/>
  <c r="AA301" i="9" l="1"/>
  <c r="AF300" i="9"/>
  <c r="AA302" i="9" l="1"/>
  <c r="AF301" i="9"/>
  <c r="AA303" i="9" l="1"/>
  <c r="AF302" i="9"/>
  <c r="AA304" i="9" l="1"/>
  <c r="AF303" i="9"/>
  <c r="AA305" i="9" l="1"/>
  <c r="AF304" i="9"/>
  <c r="AA306" i="9" l="1"/>
  <c r="AF305" i="9"/>
  <c r="AA307" i="9" l="1"/>
  <c r="AF306" i="9"/>
  <c r="AA308" i="9" l="1"/>
  <c r="AF307" i="9"/>
  <c r="AA309" i="9" l="1"/>
  <c r="AF308" i="9"/>
  <c r="AA310" i="9" l="1"/>
  <c r="AF309" i="9"/>
  <c r="AA311" i="9" l="1"/>
  <c r="AF310" i="9"/>
  <c r="AA312" i="9" l="1"/>
  <c r="AF311" i="9"/>
  <c r="AA313" i="9" l="1"/>
  <c r="AF312" i="9"/>
  <c r="AA314" i="9" l="1"/>
  <c r="AF313" i="9"/>
  <c r="AA315" i="9" l="1"/>
  <c r="AF314" i="9"/>
  <c r="AA316" i="9" l="1"/>
  <c r="AF315" i="9"/>
  <c r="AA317" i="9" l="1"/>
  <c r="AF316" i="9"/>
  <c r="AA318" i="9" l="1"/>
  <c r="AF317" i="9"/>
  <c r="AA319" i="9" l="1"/>
  <c r="AF318" i="9"/>
  <c r="AA320" i="9" l="1"/>
  <c r="AF319" i="9"/>
  <c r="AA321" i="9" l="1"/>
  <c r="AF320" i="9"/>
  <c r="AA322" i="9" l="1"/>
  <c r="AF321" i="9"/>
  <c r="AA323" i="9" l="1"/>
  <c r="AF322" i="9"/>
  <c r="AA324" i="9" l="1"/>
  <c r="AF323" i="9"/>
  <c r="AA325" i="9" l="1"/>
  <c r="AF324" i="9"/>
  <c r="AA326" i="9" l="1"/>
  <c r="AF325" i="9"/>
  <c r="AA327" i="9" l="1"/>
  <c r="AF326" i="9"/>
  <c r="AA328" i="9" l="1"/>
  <c r="AF327" i="9"/>
  <c r="AA329" i="9" l="1"/>
  <c r="AF328" i="9"/>
  <c r="AA330" i="9" l="1"/>
  <c r="AF329" i="9"/>
  <c r="AA331" i="9" l="1"/>
  <c r="AF330" i="9"/>
  <c r="AA332" i="9" l="1"/>
  <c r="AF331" i="9"/>
  <c r="AA333" i="9" l="1"/>
  <c r="AF332" i="9"/>
  <c r="AA334" i="9" l="1"/>
  <c r="AF333" i="9"/>
  <c r="AA335" i="9" l="1"/>
  <c r="AF334" i="9"/>
  <c r="AA336" i="9" l="1"/>
  <c r="AF335" i="9"/>
  <c r="AA337" i="9" l="1"/>
  <c r="AF336" i="9"/>
  <c r="AA338" i="9" l="1"/>
  <c r="AF337" i="9"/>
  <c r="AA339" i="9" l="1"/>
  <c r="AF338" i="9"/>
  <c r="AA340" i="9" l="1"/>
  <c r="AF339" i="9"/>
  <c r="AA341" i="9" l="1"/>
  <c r="AF340" i="9"/>
  <c r="AA342" i="9" l="1"/>
  <c r="AF341" i="9"/>
  <c r="AA343" i="9" l="1"/>
  <c r="AF342" i="9"/>
  <c r="AA344" i="9" l="1"/>
  <c r="AF343" i="9"/>
  <c r="AA345" i="9" l="1"/>
  <c r="AF344" i="9"/>
  <c r="AA346" i="9" l="1"/>
  <c r="AF345" i="9"/>
  <c r="AA347" i="9" l="1"/>
  <c r="AF346" i="9"/>
  <c r="AA348" i="9" l="1"/>
  <c r="AF347" i="9"/>
  <c r="AA349" i="9" l="1"/>
  <c r="AF348" i="9"/>
  <c r="AA350" i="9" l="1"/>
  <c r="AF349" i="9"/>
  <c r="AA351" i="9" l="1"/>
  <c r="AF350" i="9"/>
  <c r="AA352" i="9" l="1"/>
  <c r="AF351" i="9"/>
  <c r="AA353" i="9" l="1"/>
  <c r="AF352" i="9"/>
  <c r="AA354" i="9" l="1"/>
  <c r="AF353" i="9"/>
  <c r="AA355" i="9" l="1"/>
  <c r="AF354" i="9"/>
  <c r="AA356" i="9" l="1"/>
  <c r="AF355" i="9"/>
  <c r="AA357" i="9" l="1"/>
  <c r="AF356" i="9"/>
  <c r="AA358" i="9" l="1"/>
  <c r="AF357" i="9"/>
  <c r="AA359" i="9" l="1"/>
  <c r="AF358" i="9"/>
  <c r="AA360" i="9" l="1"/>
  <c r="AF359" i="9"/>
  <c r="AA361" i="9" l="1"/>
  <c r="AF360" i="9"/>
  <c r="AA362" i="9" l="1"/>
  <c r="AF361" i="9"/>
  <c r="AA363" i="9" l="1"/>
  <c r="AF362" i="9"/>
  <c r="AA364" i="9" l="1"/>
  <c r="AF363" i="9"/>
  <c r="AA365" i="9" l="1"/>
  <c r="AF364" i="9"/>
  <c r="AA366" i="9" l="1"/>
  <c r="AF365" i="9"/>
  <c r="AA367" i="9" l="1"/>
  <c r="AF366" i="9"/>
  <c r="AA368" i="9" l="1"/>
  <c r="AF367" i="9"/>
  <c r="AA369" i="9" l="1"/>
  <c r="AF368" i="9"/>
  <c r="AA370" i="9" l="1"/>
  <c r="AF369" i="9"/>
  <c r="AA371" i="9" l="1"/>
  <c r="AF370" i="9"/>
  <c r="AA372" i="9" l="1"/>
  <c r="AF371" i="9"/>
  <c r="AA373" i="9" l="1"/>
  <c r="AF372" i="9"/>
  <c r="AA374" i="9" l="1"/>
  <c r="AF373" i="9"/>
  <c r="AA375" i="9" l="1"/>
  <c r="AF374" i="9"/>
  <c r="AA376" i="9" l="1"/>
  <c r="AF375" i="9"/>
  <c r="AA377" i="9" l="1"/>
  <c r="AF376" i="9"/>
  <c r="AA378" i="9" l="1"/>
  <c r="AF377" i="9"/>
  <c r="AA379" i="9" l="1"/>
  <c r="AF378" i="9"/>
  <c r="AA380" i="9" l="1"/>
  <c r="AF379" i="9"/>
  <c r="AA381" i="9" l="1"/>
  <c r="AF380" i="9"/>
  <c r="AA382" i="9" l="1"/>
  <c r="AF381" i="9"/>
  <c r="AA383" i="9" l="1"/>
  <c r="AF382" i="9"/>
  <c r="AA384" i="9" l="1"/>
  <c r="AF383" i="9"/>
  <c r="AA385" i="9" l="1"/>
  <c r="AF384" i="9"/>
  <c r="AA386" i="9" l="1"/>
  <c r="AF385" i="9"/>
  <c r="AA387" i="9" l="1"/>
  <c r="AF386" i="9"/>
  <c r="AA388" i="9" l="1"/>
  <c r="AF387" i="9"/>
  <c r="AA389" i="9" l="1"/>
  <c r="AF388" i="9"/>
  <c r="AA390" i="9" l="1"/>
  <c r="AF389" i="9"/>
  <c r="AA391" i="9" l="1"/>
  <c r="AF390" i="9"/>
  <c r="AA392" i="9" l="1"/>
  <c r="AF391" i="9"/>
  <c r="AA393" i="9" l="1"/>
  <c r="AF392" i="9"/>
  <c r="AA394" i="9" l="1"/>
  <c r="AF393" i="9"/>
  <c r="AA395" i="9" l="1"/>
  <c r="AF394" i="9"/>
  <c r="AA396" i="9" l="1"/>
  <c r="AF395" i="9"/>
  <c r="AA397" i="9" l="1"/>
  <c r="AF396" i="9"/>
  <c r="AA398" i="9" l="1"/>
  <c r="AF397" i="9"/>
  <c r="AA399" i="9" l="1"/>
  <c r="AF398" i="9"/>
  <c r="AA400" i="9" l="1"/>
  <c r="AF399" i="9"/>
  <c r="AA401" i="9" l="1"/>
  <c r="AF400" i="9"/>
  <c r="AA402" i="9" l="1"/>
  <c r="AF401" i="9"/>
  <c r="AA403" i="9" l="1"/>
  <c r="AF402" i="9"/>
  <c r="AA404" i="9" l="1"/>
  <c r="AF403" i="9"/>
  <c r="AA405" i="9" l="1"/>
  <c r="AF404" i="9"/>
  <c r="AA406" i="9" l="1"/>
  <c r="AF405" i="9"/>
  <c r="AA407" i="9" l="1"/>
  <c r="AF406" i="9"/>
  <c r="AA408" i="9" l="1"/>
  <c r="AF407" i="9"/>
  <c r="AA409" i="9" l="1"/>
  <c r="AF408" i="9"/>
  <c r="AA410" i="9" l="1"/>
  <c r="AF409" i="9"/>
  <c r="AA411" i="9" l="1"/>
  <c r="AF410" i="9"/>
  <c r="AA412" i="9" l="1"/>
  <c r="AF411" i="9"/>
  <c r="AA413" i="9" l="1"/>
  <c r="AF412" i="9"/>
  <c r="AA414" i="9" l="1"/>
  <c r="AF413" i="9"/>
  <c r="AA415" i="9" l="1"/>
  <c r="AF414" i="9"/>
  <c r="AA416" i="9" l="1"/>
  <c r="AF415" i="9"/>
  <c r="AA417" i="9" l="1"/>
  <c r="AF416" i="9"/>
  <c r="AA418" i="9" l="1"/>
  <c r="AF417" i="9"/>
  <c r="AA419" i="9" l="1"/>
  <c r="AF418" i="9"/>
  <c r="AA420" i="9" l="1"/>
  <c r="AF419" i="9"/>
  <c r="AA421" i="9" l="1"/>
  <c r="AF420" i="9"/>
  <c r="AA422" i="9" l="1"/>
  <c r="AF421" i="9"/>
  <c r="AA423" i="9" l="1"/>
  <c r="AF422" i="9"/>
  <c r="AA424" i="9" l="1"/>
  <c r="AF423" i="9"/>
  <c r="AA425" i="9" l="1"/>
  <c r="AF424" i="9"/>
  <c r="AA426" i="9" l="1"/>
  <c r="AF425" i="9"/>
  <c r="AA427" i="9" l="1"/>
  <c r="AF426" i="9"/>
  <c r="AA428" i="9" l="1"/>
  <c r="AF427" i="9"/>
  <c r="AA429" i="9" l="1"/>
  <c r="AF428" i="9"/>
  <c r="AA430" i="9" l="1"/>
  <c r="AF429" i="9"/>
  <c r="AA431" i="9" l="1"/>
  <c r="AF430" i="9"/>
  <c r="AA432" i="9" l="1"/>
  <c r="AF431" i="9"/>
  <c r="AA433" i="9" l="1"/>
  <c r="AF432" i="9"/>
  <c r="AA434" i="9" l="1"/>
  <c r="AF433" i="9"/>
  <c r="AA435" i="9" l="1"/>
  <c r="AF434" i="9"/>
  <c r="AA436" i="9" l="1"/>
  <c r="AF435" i="9"/>
  <c r="AA437" i="9" l="1"/>
  <c r="AF436" i="9"/>
  <c r="AA438" i="9" l="1"/>
  <c r="AF437" i="9"/>
  <c r="AA439" i="9" l="1"/>
  <c r="AF438" i="9"/>
  <c r="AA440" i="9" l="1"/>
  <c r="AF439" i="9"/>
  <c r="AA441" i="9" l="1"/>
  <c r="AF440" i="9"/>
  <c r="AA442" i="9" l="1"/>
  <c r="AF441" i="9"/>
  <c r="AA443" i="9" l="1"/>
  <c r="AF442" i="9"/>
  <c r="AA444" i="9" l="1"/>
  <c r="AF443" i="9"/>
  <c r="AA445" i="9" l="1"/>
  <c r="AF444" i="9"/>
  <c r="AA446" i="9" l="1"/>
  <c r="AF445" i="9"/>
  <c r="AA447" i="9" l="1"/>
  <c r="AF446" i="9"/>
  <c r="AA448" i="9" l="1"/>
  <c r="AF447" i="9"/>
  <c r="AA449" i="9" l="1"/>
  <c r="AF448" i="9"/>
  <c r="AA450" i="9" l="1"/>
  <c r="AF449" i="9"/>
  <c r="AA451" i="9" l="1"/>
  <c r="AF450" i="9"/>
  <c r="AA452" i="9" l="1"/>
  <c r="AF451" i="9"/>
  <c r="AA453" i="9" l="1"/>
  <c r="AF452" i="9"/>
  <c r="AA454" i="9" l="1"/>
  <c r="AF453" i="9"/>
  <c r="AA455" i="9" l="1"/>
  <c r="AF454" i="9"/>
  <c r="AA456" i="9" l="1"/>
  <c r="AF455" i="9"/>
  <c r="AA457" i="9" l="1"/>
  <c r="AF456" i="9"/>
  <c r="AA458" i="9" l="1"/>
  <c r="AF457" i="9"/>
  <c r="AA459" i="9" l="1"/>
  <c r="AF458" i="9"/>
  <c r="AA460" i="9" l="1"/>
  <c r="AF459" i="9"/>
  <c r="AA461" i="9" l="1"/>
  <c r="AF460" i="9"/>
  <c r="AA462" i="9" l="1"/>
  <c r="AF461" i="9"/>
  <c r="AA463" i="9" l="1"/>
  <c r="AF462" i="9"/>
  <c r="AA464" i="9" l="1"/>
  <c r="AF463" i="9"/>
  <c r="AA465" i="9" l="1"/>
  <c r="AF464" i="9"/>
  <c r="AA466" i="9" l="1"/>
  <c r="AF465" i="9"/>
  <c r="AA467" i="9" l="1"/>
  <c r="AF466" i="9"/>
  <c r="AA468" i="9" l="1"/>
  <c r="AF467" i="9"/>
  <c r="AA469" i="9" l="1"/>
  <c r="AF468" i="9"/>
  <c r="AA470" i="9" l="1"/>
  <c r="AF469" i="9"/>
  <c r="AA471" i="9" l="1"/>
  <c r="AF470" i="9"/>
  <c r="AA472" i="9" l="1"/>
  <c r="AF471" i="9"/>
  <c r="AA473" i="9" l="1"/>
  <c r="AF472" i="9"/>
  <c r="AA474" i="9" l="1"/>
  <c r="AF473" i="9"/>
  <c r="AA475" i="9" l="1"/>
  <c r="AF474" i="9"/>
  <c r="AA476" i="9" l="1"/>
  <c r="AF475" i="9"/>
  <c r="AA477" i="9" l="1"/>
  <c r="AF476" i="9"/>
  <c r="AA478" i="9" l="1"/>
  <c r="AF477" i="9"/>
  <c r="AA479" i="9" l="1"/>
  <c r="AF478" i="9"/>
  <c r="AA480" i="9" l="1"/>
  <c r="AF479" i="9"/>
  <c r="AA481" i="9" l="1"/>
  <c r="AF480" i="9"/>
  <c r="AA482" i="9" l="1"/>
  <c r="AF481" i="9"/>
  <c r="AA483" i="9" l="1"/>
  <c r="AF482" i="9"/>
  <c r="AA484" i="9" l="1"/>
  <c r="AF483" i="9"/>
  <c r="AA485" i="9" l="1"/>
  <c r="AF484" i="9"/>
  <c r="AA486" i="9" l="1"/>
  <c r="AF485" i="9"/>
  <c r="AA487" i="9" l="1"/>
  <c r="AF486" i="9"/>
  <c r="AA488" i="9" l="1"/>
  <c r="AF487" i="9"/>
  <c r="AA489" i="9" l="1"/>
  <c r="AF488" i="9"/>
  <c r="AA490" i="9" l="1"/>
  <c r="AF489" i="9"/>
  <c r="AA491" i="9" l="1"/>
  <c r="AF490" i="9"/>
  <c r="AA492" i="9" l="1"/>
  <c r="AF491" i="9"/>
  <c r="AA493" i="9" l="1"/>
  <c r="AF492" i="9"/>
  <c r="AA494" i="9" l="1"/>
  <c r="AF493" i="9"/>
  <c r="AA495" i="9" l="1"/>
  <c r="AF494" i="9"/>
  <c r="AA496" i="9" l="1"/>
  <c r="AF495" i="9"/>
  <c r="AA497" i="9" l="1"/>
  <c r="AF496" i="9"/>
  <c r="AA498" i="9" l="1"/>
  <c r="AF497" i="9"/>
  <c r="AA499" i="9" l="1"/>
  <c r="AF498" i="9"/>
  <c r="AA500" i="9" l="1"/>
  <c r="AF499" i="9"/>
  <c r="AA501" i="9" l="1"/>
  <c r="AF500" i="9"/>
  <c r="AA502" i="9" l="1"/>
  <c r="AF501" i="9"/>
  <c r="AA503" i="9" l="1"/>
  <c r="AF502" i="9"/>
  <c r="AA504" i="9" l="1"/>
  <c r="AF503" i="9"/>
  <c r="AA505" i="9" l="1"/>
  <c r="AF504" i="9"/>
  <c r="AA506" i="9" l="1"/>
  <c r="AF505" i="9"/>
  <c r="AA507" i="9" l="1"/>
  <c r="AF506" i="9"/>
  <c r="AA508" i="9" l="1"/>
  <c r="AF507" i="9"/>
  <c r="AA509" i="9" l="1"/>
  <c r="AF508" i="9"/>
  <c r="AA510" i="9" l="1"/>
  <c r="AF509" i="9"/>
  <c r="AA511" i="9" l="1"/>
  <c r="AF510" i="9"/>
  <c r="AA512" i="9" l="1"/>
  <c r="AF511" i="9"/>
  <c r="AA513" i="9" l="1"/>
  <c r="AF512" i="9"/>
  <c r="AA514" i="9" l="1"/>
  <c r="AF513" i="9"/>
  <c r="AA515" i="9" l="1"/>
  <c r="AF514" i="9"/>
  <c r="AA516" i="9" l="1"/>
  <c r="AF515" i="9"/>
  <c r="AA517" i="9" l="1"/>
  <c r="AF516" i="9"/>
  <c r="AA518" i="9" l="1"/>
  <c r="AF517" i="9"/>
  <c r="AA519" i="9" l="1"/>
  <c r="AF518" i="9"/>
  <c r="AA520" i="9" l="1"/>
  <c r="AF519" i="9"/>
  <c r="AA521" i="9" l="1"/>
  <c r="AF520" i="9"/>
  <c r="AA522" i="9" l="1"/>
  <c r="AF521" i="9"/>
  <c r="AA523" i="9" l="1"/>
  <c r="AF522" i="9"/>
  <c r="AA524" i="9" l="1"/>
  <c r="AF523" i="9"/>
  <c r="AA525" i="9" l="1"/>
  <c r="AF524" i="9"/>
  <c r="AA526" i="9" l="1"/>
  <c r="AF525" i="9"/>
  <c r="AA527" i="9" l="1"/>
  <c r="AF526" i="9"/>
  <c r="AA528" i="9" l="1"/>
  <c r="AF527" i="9"/>
  <c r="AA529" i="9" l="1"/>
  <c r="AF528" i="9"/>
  <c r="AA530" i="9" l="1"/>
  <c r="AF529" i="9"/>
  <c r="AA531" i="9" l="1"/>
  <c r="AF530" i="9"/>
  <c r="AA532" i="9" l="1"/>
  <c r="AF531" i="9"/>
  <c r="AA533" i="9" l="1"/>
  <c r="AF532" i="9"/>
  <c r="AA534" i="9" l="1"/>
  <c r="AF533" i="9"/>
  <c r="AA535" i="9" l="1"/>
  <c r="AF534" i="9"/>
  <c r="AA536" i="9" l="1"/>
  <c r="AF535" i="9"/>
  <c r="AA537" i="9" l="1"/>
  <c r="AF536" i="9"/>
  <c r="AA538" i="9" l="1"/>
  <c r="AF537" i="9"/>
  <c r="AA539" i="9" l="1"/>
  <c r="AF538" i="9"/>
  <c r="AA540" i="9" l="1"/>
  <c r="AF539" i="9"/>
  <c r="AA541" i="9" l="1"/>
  <c r="AF540" i="9"/>
  <c r="AA542" i="9" l="1"/>
  <c r="AF541" i="9"/>
  <c r="AA543" i="9" l="1"/>
  <c r="AF542" i="9"/>
  <c r="AA544" i="9" l="1"/>
  <c r="AF543" i="9"/>
  <c r="AA545" i="9" l="1"/>
  <c r="AF544" i="9"/>
  <c r="AA546" i="9" l="1"/>
  <c r="AF545" i="9"/>
  <c r="AA547" i="9" l="1"/>
  <c r="AF546" i="9"/>
  <c r="AA548" i="9" l="1"/>
  <c r="AF547" i="9"/>
  <c r="AA549" i="9" l="1"/>
  <c r="AF548" i="9"/>
  <c r="AA550" i="9" l="1"/>
  <c r="AF549" i="9"/>
  <c r="AA551" i="9" l="1"/>
  <c r="AF550" i="9"/>
  <c r="AA552" i="9" l="1"/>
  <c r="AF551" i="9"/>
  <c r="AA553" i="9" l="1"/>
  <c r="AF552" i="9"/>
  <c r="AA554" i="9" l="1"/>
  <c r="AF553" i="9"/>
  <c r="AA555" i="9" l="1"/>
  <c r="AF554" i="9"/>
  <c r="AA556" i="9" l="1"/>
  <c r="AF555" i="9"/>
  <c r="AA557" i="9" l="1"/>
  <c r="AF556" i="9"/>
  <c r="AA558" i="9" l="1"/>
  <c r="AF557" i="9"/>
  <c r="AA559" i="9" l="1"/>
  <c r="AF558" i="9"/>
  <c r="AA560" i="9" l="1"/>
  <c r="AF559" i="9"/>
  <c r="AA561" i="9" l="1"/>
  <c r="AF560" i="9"/>
  <c r="AA562" i="9" l="1"/>
  <c r="AF561" i="9"/>
  <c r="AA563" i="9" l="1"/>
  <c r="AF562" i="9"/>
  <c r="AA564" i="9" l="1"/>
  <c r="AF563" i="9"/>
  <c r="AA565" i="9" l="1"/>
  <c r="AF564" i="9"/>
  <c r="AA566" i="9" l="1"/>
  <c r="AF565" i="9"/>
  <c r="AA567" i="9" l="1"/>
  <c r="AF566" i="9"/>
  <c r="AA568" i="9" l="1"/>
  <c r="AF567" i="9"/>
  <c r="AA569" i="9" l="1"/>
  <c r="AF568" i="9"/>
  <c r="AA570" i="9" l="1"/>
  <c r="AF569" i="9"/>
  <c r="AA571" i="9" l="1"/>
  <c r="AF570" i="9"/>
  <c r="AA572" i="9" l="1"/>
  <c r="AF571" i="9"/>
  <c r="AA573" i="9" l="1"/>
  <c r="AF572" i="9"/>
  <c r="AA574" i="9" l="1"/>
  <c r="AF573" i="9"/>
  <c r="AA575" i="9" l="1"/>
  <c r="AF574" i="9"/>
  <c r="AA576" i="9" l="1"/>
  <c r="AF575" i="9"/>
  <c r="AA577" i="9" l="1"/>
  <c r="AF576" i="9"/>
  <c r="AA578" i="9" l="1"/>
  <c r="AF577" i="9"/>
  <c r="AA579" i="9" l="1"/>
  <c r="AF578" i="9"/>
  <c r="AA580" i="9" l="1"/>
  <c r="AF579" i="9"/>
  <c r="AA581" i="9" l="1"/>
  <c r="AF580" i="9"/>
  <c r="AA582" i="9" l="1"/>
  <c r="AF581" i="9"/>
  <c r="AA583" i="9" l="1"/>
  <c r="AF582" i="9"/>
  <c r="AA584" i="9" l="1"/>
  <c r="AF583" i="9"/>
  <c r="AA585" i="9" l="1"/>
  <c r="AF584" i="9"/>
  <c r="AA586" i="9" l="1"/>
  <c r="AF585" i="9"/>
  <c r="AA587" i="9" l="1"/>
  <c r="AF586" i="9"/>
  <c r="AA588" i="9" l="1"/>
  <c r="AF587" i="9"/>
  <c r="AA589" i="9" l="1"/>
  <c r="AF588" i="9"/>
  <c r="AA590" i="9" l="1"/>
  <c r="AF589" i="9"/>
  <c r="AA591" i="9" l="1"/>
  <c r="AF590" i="9"/>
  <c r="AA592" i="9" l="1"/>
  <c r="AF591" i="9"/>
  <c r="AA593" i="9" l="1"/>
  <c r="AF592" i="9"/>
  <c r="AA594" i="9" l="1"/>
  <c r="AF593" i="9"/>
  <c r="AA595" i="9" l="1"/>
  <c r="AF594" i="9"/>
  <c r="AA596" i="9" l="1"/>
  <c r="AF595" i="9"/>
  <c r="AA597" i="9" l="1"/>
  <c r="AF596" i="9"/>
  <c r="AA598" i="9" l="1"/>
  <c r="AF597" i="9"/>
  <c r="AA599" i="9" l="1"/>
  <c r="AF598" i="9"/>
  <c r="AA600" i="9" l="1"/>
  <c r="AF599" i="9"/>
  <c r="AA601" i="9" l="1"/>
  <c r="AF600" i="9"/>
  <c r="AA602" i="9" l="1"/>
  <c r="AF601" i="9"/>
  <c r="AA603" i="9" l="1"/>
  <c r="AF602" i="9"/>
  <c r="AA604" i="9" l="1"/>
  <c r="AF603" i="9"/>
  <c r="AA605" i="9" l="1"/>
  <c r="AF604" i="9"/>
  <c r="AA606" i="9" l="1"/>
  <c r="AF605" i="9"/>
  <c r="AA607" i="9" l="1"/>
  <c r="AF606" i="9"/>
  <c r="AA608" i="9" l="1"/>
  <c r="AF607" i="9"/>
  <c r="AA609" i="9" l="1"/>
  <c r="AF608" i="9"/>
  <c r="AA610" i="9" l="1"/>
  <c r="AF609" i="9"/>
  <c r="AA611" i="9" l="1"/>
  <c r="AF610" i="9"/>
  <c r="AA612" i="9" l="1"/>
  <c r="AF611" i="9"/>
  <c r="AA613" i="9" l="1"/>
  <c r="AF612" i="9"/>
  <c r="AA614" i="9" l="1"/>
  <c r="AF613" i="9"/>
  <c r="AA615" i="9" l="1"/>
  <c r="AF614" i="9"/>
  <c r="AA616" i="9" l="1"/>
  <c r="AF615" i="9"/>
  <c r="AA617" i="9" l="1"/>
  <c r="AF616" i="9"/>
  <c r="AA618" i="9" l="1"/>
  <c r="AF617" i="9"/>
  <c r="AA619" i="9" l="1"/>
  <c r="AF618" i="9"/>
  <c r="AA620" i="9" l="1"/>
  <c r="AF619" i="9"/>
  <c r="AA621" i="9" l="1"/>
  <c r="AF620" i="9"/>
  <c r="AA622" i="9" l="1"/>
  <c r="AF621" i="9"/>
  <c r="AA623" i="9" l="1"/>
  <c r="AF622" i="9"/>
  <c r="AA624" i="9" l="1"/>
  <c r="AF623" i="9"/>
  <c r="AA625" i="9" l="1"/>
  <c r="AF624" i="9"/>
  <c r="AA626" i="9" l="1"/>
  <c r="AF625" i="9"/>
  <c r="AA627" i="9" l="1"/>
  <c r="AF626" i="9"/>
  <c r="AA628" i="9" l="1"/>
  <c r="AF627" i="9"/>
  <c r="AA629" i="9" l="1"/>
  <c r="AF628" i="9"/>
  <c r="AA630" i="9" l="1"/>
  <c r="AF629" i="9"/>
  <c r="AA631" i="9" l="1"/>
  <c r="AF630" i="9"/>
  <c r="AA632" i="9" l="1"/>
  <c r="AF631" i="9"/>
  <c r="AA633" i="9" l="1"/>
  <c r="AF632" i="9"/>
  <c r="AA634" i="9" l="1"/>
  <c r="AF633" i="9"/>
  <c r="AA635" i="9" l="1"/>
  <c r="AF634" i="9"/>
  <c r="AA636" i="9" l="1"/>
  <c r="AF635" i="9"/>
  <c r="AA637" i="9" l="1"/>
  <c r="AF636" i="9"/>
  <c r="AA638" i="9" l="1"/>
  <c r="AF637" i="9"/>
  <c r="AA639" i="9" l="1"/>
  <c r="AF638" i="9"/>
  <c r="AA640" i="9" l="1"/>
  <c r="AF639" i="9"/>
  <c r="AA641" i="9" l="1"/>
  <c r="AF640" i="9"/>
  <c r="AA642" i="9" l="1"/>
  <c r="AF641" i="9"/>
  <c r="AA643" i="9" l="1"/>
  <c r="AF642" i="9"/>
  <c r="AA644" i="9" l="1"/>
  <c r="AF643" i="9"/>
  <c r="AA645" i="9" l="1"/>
  <c r="AF644" i="9"/>
  <c r="AA646" i="9" l="1"/>
  <c r="AF645" i="9"/>
  <c r="AA647" i="9" l="1"/>
  <c r="AF646" i="9"/>
  <c r="AA648" i="9" l="1"/>
  <c r="AF647" i="9"/>
  <c r="AA649" i="9" l="1"/>
  <c r="AF648" i="9"/>
  <c r="AA650" i="9" l="1"/>
  <c r="AF649" i="9"/>
  <c r="AA651" i="9" l="1"/>
  <c r="AF650" i="9"/>
  <c r="AA652" i="9" l="1"/>
  <c r="AF651" i="9"/>
  <c r="AA653" i="9" l="1"/>
  <c r="AF652" i="9"/>
  <c r="AA654" i="9" l="1"/>
  <c r="AF653" i="9"/>
  <c r="AA655" i="9" l="1"/>
  <c r="AF654" i="9"/>
  <c r="AA656" i="9" l="1"/>
  <c r="AF655" i="9"/>
  <c r="AA657" i="9" l="1"/>
  <c r="AF656" i="9"/>
  <c r="AA658" i="9" l="1"/>
  <c r="AF657" i="9"/>
  <c r="AA659" i="9" l="1"/>
  <c r="AF658" i="9"/>
  <c r="AA660" i="9" l="1"/>
  <c r="AF659" i="9"/>
  <c r="AA661" i="9" l="1"/>
  <c r="AF660" i="9"/>
  <c r="AA662" i="9" l="1"/>
  <c r="AF661" i="9"/>
  <c r="AA663" i="9" l="1"/>
  <c r="AF662" i="9"/>
  <c r="AA664" i="9" l="1"/>
  <c r="AF663" i="9"/>
  <c r="AA665" i="9" l="1"/>
  <c r="AF664" i="9"/>
  <c r="AA666" i="9" l="1"/>
  <c r="AF665" i="9"/>
  <c r="AA667" i="9" l="1"/>
  <c r="AF666" i="9"/>
  <c r="AA668" i="9" l="1"/>
  <c r="AF667" i="9"/>
  <c r="AA669" i="9" l="1"/>
  <c r="AF668" i="9"/>
  <c r="AA670" i="9" l="1"/>
  <c r="AF669" i="9"/>
  <c r="AA671" i="9" l="1"/>
  <c r="AF670" i="9"/>
  <c r="AA672" i="9" l="1"/>
  <c r="AF671" i="9"/>
  <c r="AA673" i="9" l="1"/>
  <c r="AF672" i="9"/>
  <c r="AA674" i="9" l="1"/>
  <c r="AF673" i="9"/>
  <c r="AA675" i="9" l="1"/>
  <c r="AF674" i="9"/>
  <c r="AA676" i="9" l="1"/>
  <c r="AF675" i="9"/>
  <c r="AA677" i="9" l="1"/>
  <c r="AF676" i="9"/>
  <c r="AA678" i="9" l="1"/>
  <c r="AF677" i="9"/>
  <c r="AA679" i="9" l="1"/>
  <c r="AF678" i="9"/>
  <c r="AA680" i="9" l="1"/>
  <c r="AF679" i="9"/>
  <c r="AA681" i="9" l="1"/>
  <c r="AF680" i="9"/>
  <c r="AA682" i="9" l="1"/>
  <c r="AF681" i="9"/>
  <c r="AA683" i="9" l="1"/>
  <c r="AF682" i="9"/>
  <c r="AA684" i="9" l="1"/>
  <c r="AF683" i="9"/>
  <c r="AA685" i="9" l="1"/>
  <c r="AF684" i="9"/>
  <c r="AA686" i="9" l="1"/>
  <c r="AF685" i="9"/>
  <c r="AA687" i="9" l="1"/>
  <c r="AF686" i="9"/>
  <c r="AA688" i="9" l="1"/>
  <c r="AF687" i="9"/>
  <c r="AA689" i="9" l="1"/>
  <c r="AF688" i="9"/>
  <c r="AA690" i="9" l="1"/>
  <c r="AF689" i="9"/>
  <c r="AA691" i="9" l="1"/>
  <c r="AF690" i="9"/>
  <c r="AA692" i="9" l="1"/>
  <c r="AF691" i="9"/>
  <c r="AA693" i="9" l="1"/>
  <c r="AF692" i="9"/>
  <c r="AA694" i="9" l="1"/>
  <c r="AF693" i="9"/>
  <c r="AA695" i="9" l="1"/>
  <c r="AF694" i="9"/>
  <c r="AA696" i="9" l="1"/>
  <c r="AF695" i="9"/>
  <c r="AA697" i="9" l="1"/>
  <c r="AF696" i="9"/>
  <c r="AA698" i="9" l="1"/>
  <c r="AF697" i="9"/>
  <c r="AA699" i="9" l="1"/>
  <c r="AF698" i="9"/>
  <c r="AA700" i="9" l="1"/>
  <c r="AF699" i="9"/>
  <c r="AA701" i="9" l="1"/>
  <c r="AF700" i="9"/>
  <c r="AA702" i="9" l="1"/>
  <c r="AF701" i="9"/>
  <c r="AA703" i="9" l="1"/>
  <c r="AF702" i="9"/>
  <c r="AA704" i="9" l="1"/>
  <c r="AF703" i="9"/>
  <c r="AA705" i="9" l="1"/>
  <c r="AF704" i="9"/>
  <c r="AA706" i="9" l="1"/>
  <c r="AF705" i="9"/>
  <c r="AA707" i="9" l="1"/>
  <c r="AF706" i="9"/>
  <c r="AA708" i="9" l="1"/>
  <c r="AF707" i="9"/>
  <c r="AA709" i="9" l="1"/>
  <c r="AF708" i="9"/>
  <c r="AA710" i="9" l="1"/>
  <c r="AF709" i="9"/>
  <c r="AA711" i="9" l="1"/>
  <c r="AF710" i="9"/>
  <c r="AA712" i="9" l="1"/>
  <c r="AF711" i="9"/>
  <c r="AA713" i="9" l="1"/>
  <c r="AF712" i="9"/>
  <c r="AA714" i="9" l="1"/>
  <c r="AF713" i="9"/>
  <c r="AA715" i="9" l="1"/>
  <c r="AF714" i="9"/>
  <c r="AA716" i="9" l="1"/>
  <c r="AF715" i="9"/>
  <c r="AA717" i="9" l="1"/>
  <c r="AF716" i="9"/>
  <c r="AA718" i="9" l="1"/>
  <c r="AF717" i="9"/>
  <c r="AA719" i="9" l="1"/>
  <c r="AF718" i="9"/>
  <c r="AA720" i="9" l="1"/>
  <c r="AF719" i="9"/>
  <c r="AA721" i="9" l="1"/>
  <c r="AF720" i="9"/>
  <c r="AA722" i="9" l="1"/>
  <c r="AF721" i="9"/>
  <c r="AA723" i="9" l="1"/>
  <c r="AF722" i="9"/>
  <c r="AA724" i="9" l="1"/>
  <c r="AF723" i="9"/>
  <c r="AA725" i="9" l="1"/>
  <c r="AF724" i="9"/>
  <c r="AA726" i="9" l="1"/>
  <c r="AF725" i="9"/>
  <c r="AA727" i="9" l="1"/>
  <c r="AF726" i="9"/>
  <c r="AA728" i="9" l="1"/>
  <c r="AF727" i="9"/>
  <c r="AA729" i="9" l="1"/>
  <c r="AF728" i="9"/>
  <c r="AA730" i="9" l="1"/>
  <c r="AF729" i="9"/>
  <c r="AA731" i="9" l="1"/>
  <c r="AF731" i="9" s="1"/>
  <c r="AF730" i="9"/>
</calcChain>
</file>

<file path=xl/sharedStrings.xml><?xml version="1.0" encoding="utf-8"?>
<sst xmlns="http://schemas.openxmlformats.org/spreadsheetml/2006/main" count="9" uniqueCount="9">
  <si>
    <t>name</t>
  </si>
  <si>
    <t>dir</t>
  </si>
  <si>
    <t>scn_numb</t>
  </si>
  <si>
    <t>a</t>
  </si>
  <si>
    <t>signma</t>
  </si>
  <si>
    <t>corel</t>
  </si>
  <si>
    <t>delta</t>
  </si>
  <si>
    <t>C:\Users\b029735\NoBackupData\25_PROJECT_2015\MERGE_NEW_ESG_CODE\SETUP_OLD_CODE\03_Scenario_Gen\ESG_Output_Files\</t>
  </si>
  <si>
    <t>Scenario_3_1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</si>
</sst>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00%"/>
    <numFmt numFmtId="166" formatCode="0.00000%"/>
    <numFmt numFmtId="167" formatCode="0.0000000%"/>
  </numFmts>
  <fonts count="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166" fontId="0" fillId="2" borderId="0" xfId="1" applyNumberFormat="1" applyFont="1" applyFill="1"/>
    <xf numFmtId="167" fontId="0" fillId="2" borderId="0" xfId="1" applyNumberFormat="1" applyFont="1" applyFill="1"/>
    <xf numFmtId="167" fontId="2" fillId="2" borderId="0" xfId="0" applyNumberFormat="1" applyFont="1" applyFill="1"/>
    <xf numFmtId="0" fontId="2" fillId="2" borderId="0" xfId="0" applyFont="1" applyFill="1"/>
    <xf numFmtId="9" fontId="0" fillId="2" borderId="0" xfId="1" applyFont="1" applyFill="1"/>
    <xf numFmtId="164" fontId="0" fillId="2" borderId="0" xfId="2" applyFont="1" applyFill="1"/>
    <xf numFmtId="165" fontId="0" fillId="0" borderId="0" xfId="1" applyNumberFormat="1" applyFont="1"/>
    <xf numFmtId="164" fontId="0" fillId="0" borderId="0" xfId="2" applyFont="1"/>
    <xf numFmtId="164" fontId="0" fillId="2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Output!$K$12:$K$731</c:f>
              <c:numCache>
                <c:formatCode>General</c:formatCode>
                <c:ptCount val="720"/>
                <c:pt idx="0">
                  <c:v>1.0000012424050029</c:v>
                </c:pt>
                <c:pt idx="1">
                  <c:v>1.0000005167476178</c:v>
                </c:pt>
                <c:pt idx="2">
                  <c:v>0.99999980672993272</c:v>
                </c:pt>
                <c:pt idx="3">
                  <c:v>1.0000004532174731</c:v>
                </c:pt>
                <c:pt idx="4">
                  <c:v>0.99999950794824943</c:v>
                </c:pt>
                <c:pt idx="5">
                  <c:v>0.99999853813569495</c:v>
                </c:pt>
                <c:pt idx="6">
                  <c:v>0.99999896495105467</c:v>
                </c:pt>
                <c:pt idx="7">
                  <c:v>0.99999774006627695</c:v>
                </c:pt>
                <c:pt idx="8">
                  <c:v>0.99999566121612926</c:v>
                </c:pt>
                <c:pt idx="9">
                  <c:v>0.9999958507180976</c:v>
                </c:pt>
                <c:pt idx="10">
                  <c:v>0.99999553241616967</c:v>
                </c:pt>
                <c:pt idx="11">
                  <c:v>0.99999445594447767</c:v>
                </c:pt>
                <c:pt idx="12">
                  <c:v>0.99999553641483863</c:v>
                </c:pt>
                <c:pt idx="13">
                  <c:v>0.99999488656866409</c:v>
                </c:pt>
                <c:pt idx="14">
                  <c:v>0.99999562715332979</c:v>
                </c:pt>
                <c:pt idx="15">
                  <c:v>0.99999183970778993</c:v>
                </c:pt>
                <c:pt idx="16">
                  <c:v>0.99999282302212045</c:v>
                </c:pt>
                <c:pt idx="17">
                  <c:v>0.99999145620635332</c:v>
                </c:pt>
                <c:pt idx="18">
                  <c:v>0.9999907138974321</c:v>
                </c:pt>
                <c:pt idx="19">
                  <c:v>0.99999185345488317</c:v>
                </c:pt>
                <c:pt idx="20">
                  <c:v>0.99999079094939891</c:v>
                </c:pt>
                <c:pt idx="21">
                  <c:v>0.99998995095481713</c:v>
                </c:pt>
                <c:pt idx="22">
                  <c:v>0.99998981903813133</c:v>
                </c:pt>
                <c:pt idx="23">
                  <c:v>0.99998891626064412</c:v>
                </c:pt>
                <c:pt idx="24">
                  <c:v>0.99998954010144903</c:v>
                </c:pt>
                <c:pt idx="25">
                  <c:v>0.99998800333089821</c:v>
                </c:pt>
                <c:pt idx="26">
                  <c:v>0.9999858284042219</c:v>
                </c:pt>
                <c:pt idx="27">
                  <c:v>0.99998413293723543</c:v>
                </c:pt>
                <c:pt idx="28">
                  <c:v>0.99998127356784017</c:v>
                </c:pt>
                <c:pt idx="29">
                  <c:v>0.99998679384013844</c:v>
                </c:pt>
                <c:pt idx="30">
                  <c:v>0.99998431495784312</c:v>
                </c:pt>
                <c:pt idx="31">
                  <c:v>0.99998404638537186</c:v>
                </c:pt>
                <c:pt idx="32">
                  <c:v>0.99998499169443689</c:v>
                </c:pt>
                <c:pt idx="33">
                  <c:v>0.99998259130919298</c:v>
                </c:pt>
                <c:pt idx="34">
                  <c:v>0.99998634997779601</c:v>
                </c:pt>
                <c:pt idx="35">
                  <c:v>0.99998758915609098</c:v>
                </c:pt>
                <c:pt idx="36">
                  <c:v>0.99999403280162746</c:v>
                </c:pt>
                <c:pt idx="37">
                  <c:v>0.99999370691644995</c:v>
                </c:pt>
                <c:pt idx="38">
                  <c:v>0.99999429276811214</c:v>
                </c:pt>
                <c:pt idx="39">
                  <c:v>0.99999728734570337</c:v>
                </c:pt>
                <c:pt idx="40">
                  <c:v>0.99999787586786759</c:v>
                </c:pt>
                <c:pt idx="41">
                  <c:v>0.99999930193117825</c:v>
                </c:pt>
                <c:pt idx="42">
                  <c:v>1.0000054982533051</c:v>
                </c:pt>
                <c:pt idx="43">
                  <c:v>1.0000033907491486</c:v>
                </c:pt>
                <c:pt idx="44">
                  <c:v>1.0000038391914934</c:v>
                </c:pt>
                <c:pt idx="45">
                  <c:v>1.0000051400946548</c:v>
                </c:pt>
                <c:pt idx="46">
                  <c:v>1.0000055608561877</c:v>
                </c:pt>
                <c:pt idx="47">
                  <c:v>1.0000080235540809</c:v>
                </c:pt>
                <c:pt idx="48">
                  <c:v>1.0000082374229746</c:v>
                </c:pt>
                <c:pt idx="49">
                  <c:v>1.0000039649811605</c:v>
                </c:pt>
                <c:pt idx="50">
                  <c:v>1.0000066741792186</c:v>
                </c:pt>
                <c:pt idx="51">
                  <c:v>1.0000110003659781</c:v>
                </c:pt>
                <c:pt idx="52">
                  <c:v>1.0000093921612907</c:v>
                </c:pt>
                <c:pt idx="53">
                  <c:v>1.0000088249793064</c:v>
                </c:pt>
                <c:pt idx="54">
                  <c:v>1.0000089878692098</c:v>
                </c:pt>
                <c:pt idx="55">
                  <c:v>1.0000092168105432</c:v>
                </c:pt>
                <c:pt idx="56">
                  <c:v>1.0000100793960947</c:v>
                </c:pt>
                <c:pt idx="57">
                  <c:v>1.0000140889194582</c:v>
                </c:pt>
                <c:pt idx="58">
                  <c:v>1.0000130585966509</c:v>
                </c:pt>
                <c:pt idx="59">
                  <c:v>1.0000117448642849</c:v>
                </c:pt>
                <c:pt idx="60">
                  <c:v>1.0000073297318739</c:v>
                </c:pt>
                <c:pt idx="61">
                  <c:v>1.0000096285576132</c:v>
                </c:pt>
                <c:pt idx="62">
                  <c:v>1.0000144710627707</c:v>
                </c:pt>
                <c:pt idx="63">
                  <c:v>1.0000112922318709</c:v>
                </c:pt>
                <c:pt idx="64">
                  <c:v>1.0000167580882704</c:v>
                </c:pt>
                <c:pt idx="65">
                  <c:v>1.0000150534374048</c:v>
                </c:pt>
                <c:pt idx="66">
                  <c:v>1.0000138146653896</c:v>
                </c:pt>
                <c:pt idx="67">
                  <c:v>1.000016801814968</c:v>
                </c:pt>
                <c:pt idx="68">
                  <c:v>1.0000163592781177</c:v>
                </c:pt>
                <c:pt idx="69">
                  <c:v>1.0000163168492391</c:v>
                </c:pt>
                <c:pt idx="70">
                  <c:v>1.0000182923268661</c:v>
                </c:pt>
                <c:pt idx="71">
                  <c:v>1.0000248501551467</c:v>
                </c:pt>
                <c:pt idx="72">
                  <c:v>1.0000225065817838</c:v>
                </c:pt>
                <c:pt idx="73">
                  <c:v>1.0000251286272828</c:v>
                </c:pt>
                <c:pt idx="74">
                  <c:v>1.0000271832029526</c:v>
                </c:pt>
                <c:pt idx="75">
                  <c:v>1.0000263907235667</c:v>
                </c:pt>
                <c:pt idx="76">
                  <c:v>1.0000318661888854</c:v>
                </c:pt>
                <c:pt idx="77">
                  <c:v>1.0000278645260312</c:v>
                </c:pt>
                <c:pt idx="78">
                  <c:v>1.0000278343778246</c:v>
                </c:pt>
                <c:pt idx="79">
                  <c:v>1.0000315753370803</c:v>
                </c:pt>
                <c:pt idx="80">
                  <c:v>1.0000280664450627</c:v>
                </c:pt>
                <c:pt idx="81">
                  <c:v>1.0000304121341617</c:v>
                </c:pt>
                <c:pt idx="82">
                  <c:v>1.0000232224265373</c:v>
                </c:pt>
                <c:pt idx="83">
                  <c:v>1.0000261353803213</c:v>
                </c:pt>
                <c:pt idx="84">
                  <c:v>1.0000221768201845</c:v>
                </c:pt>
                <c:pt idx="85">
                  <c:v>1.0000187198714545</c:v>
                </c:pt>
                <c:pt idx="86">
                  <c:v>1.0000166156207846</c:v>
                </c:pt>
                <c:pt idx="87">
                  <c:v>1.0000083939748747</c:v>
                </c:pt>
                <c:pt idx="88">
                  <c:v>1.0000109773648007</c:v>
                </c:pt>
                <c:pt idx="89">
                  <c:v>1.0000097786129596</c:v>
                </c:pt>
                <c:pt idx="90">
                  <c:v>1.0000129444556554</c:v>
                </c:pt>
                <c:pt idx="91">
                  <c:v>1.0000154929087439</c:v>
                </c:pt>
                <c:pt idx="92">
                  <c:v>1.0000082633857508</c:v>
                </c:pt>
                <c:pt idx="93">
                  <c:v>1.0000142929508751</c:v>
                </c:pt>
                <c:pt idx="94">
                  <c:v>1.0000219578396405</c:v>
                </c:pt>
                <c:pt idx="95">
                  <c:v>1.0000256244025751</c:v>
                </c:pt>
                <c:pt idx="96">
                  <c:v>1.0000228665221729</c:v>
                </c:pt>
                <c:pt idx="97">
                  <c:v>1.000017182846904</c:v>
                </c:pt>
                <c:pt idx="98">
                  <c:v>1.0000170655146721</c:v>
                </c:pt>
                <c:pt idx="99">
                  <c:v>1.0000188680723452</c:v>
                </c:pt>
                <c:pt idx="100">
                  <c:v>1.0000125706243286</c:v>
                </c:pt>
                <c:pt idx="101">
                  <c:v>1.0000164395500932</c:v>
                </c:pt>
                <c:pt idx="102">
                  <c:v>1.0000193618815372</c:v>
                </c:pt>
                <c:pt idx="103">
                  <c:v>1.0000232513882925</c:v>
                </c:pt>
                <c:pt idx="104">
                  <c:v>1.0000223857993074</c:v>
                </c:pt>
                <c:pt idx="105">
                  <c:v>1.0000256546184727</c:v>
                </c:pt>
                <c:pt idx="106">
                  <c:v>1.0000206425599536</c:v>
                </c:pt>
                <c:pt idx="107">
                  <c:v>1.0000123764283426</c:v>
                </c:pt>
                <c:pt idx="108">
                  <c:v>1.0000131513106085</c:v>
                </c:pt>
                <c:pt idx="109">
                  <c:v>1.0000040210155887</c:v>
                </c:pt>
                <c:pt idx="110">
                  <c:v>1.000008081614554</c:v>
                </c:pt>
                <c:pt idx="111">
                  <c:v>1.0000072140401033</c:v>
                </c:pt>
                <c:pt idx="112">
                  <c:v>1.0000086539872615</c:v>
                </c:pt>
                <c:pt idx="113">
                  <c:v>1.0000155485525763</c:v>
                </c:pt>
                <c:pt idx="114">
                  <c:v>1.0000156521486325</c:v>
                </c:pt>
                <c:pt idx="115">
                  <c:v>1.0000106800634645</c:v>
                </c:pt>
                <c:pt idx="116">
                  <c:v>1.0000094695395336</c:v>
                </c:pt>
                <c:pt idx="117">
                  <c:v>1.0000160050372922</c:v>
                </c:pt>
                <c:pt idx="118">
                  <c:v>1.0000182131104218</c:v>
                </c:pt>
                <c:pt idx="119">
                  <c:v>1.0000212201543837</c:v>
                </c:pt>
                <c:pt idx="120">
                  <c:v>1.0000161002472034</c:v>
                </c:pt>
                <c:pt idx="121">
                  <c:v>1.0000238721406132</c:v>
                </c:pt>
                <c:pt idx="122">
                  <c:v>1.0000172194248622</c:v>
                </c:pt>
                <c:pt idx="123">
                  <c:v>1.0000272393617664</c:v>
                </c:pt>
                <c:pt idx="124">
                  <c:v>1.0000199452726863</c:v>
                </c:pt>
                <c:pt idx="125">
                  <c:v>1.0000237419508959</c:v>
                </c:pt>
                <c:pt idx="126">
                  <c:v>1.0000279392559472</c:v>
                </c:pt>
                <c:pt idx="127">
                  <c:v>1.000029352382346</c:v>
                </c:pt>
                <c:pt idx="128">
                  <c:v>1.0000314260064</c:v>
                </c:pt>
                <c:pt idx="129">
                  <c:v>1.0000318400695032</c:v>
                </c:pt>
                <c:pt idx="130">
                  <c:v>1.000026960620606</c:v>
                </c:pt>
                <c:pt idx="131">
                  <c:v>1.0000244158374472</c:v>
                </c:pt>
                <c:pt idx="132">
                  <c:v>1.0000311689375831</c:v>
                </c:pt>
                <c:pt idx="133">
                  <c:v>1.0000335160056359</c:v>
                </c:pt>
                <c:pt idx="134">
                  <c:v>1.0000357001935243</c:v>
                </c:pt>
                <c:pt idx="135">
                  <c:v>1.0000386571276567</c:v>
                </c:pt>
                <c:pt idx="136">
                  <c:v>1.0000359974291417</c:v>
                </c:pt>
                <c:pt idx="137">
                  <c:v>1.0000306119434457</c:v>
                </c:pt>
                <c:pt idx="138">
                  <c:v>1.0000320400188278</c:v>
                </c:pt>
                <c:pt idx="139">
                  <c:v>1.0000324420586424</c:v>
                </c:pt>
                <c:pt idx="140">
                  <c:v>1.0000353926273076</c:v>
                </c:pt>
                <c:pt idx="141">
                  <c:v>1.0000327599178958</c:v>
                </c:pt>
                <c:pt idx="142">
                  <c:v>1.0000285486180238</c:v>
                </c:pt>
                <c:pt idx="143">
                  <c:v>1.0000350958407571</c:v>
                </c:pt>
                <c:pt idx="144">
                  <c:v>1.0000356900409018</c:v>
                </c:pt>
                <c:pt idx="145">
                  <c:v>1.0000379473310805</c:v>
                </c:pt>
                <c:pt idx="146">
                  <c:v>1.0000360828241235</c:v>
                </c:pt>
                <c:pt idx="147">
                  <c:v>1.0000363826247136</c:v>
                </c:pt>
                <c:pt idx="148">
                  <c:v>1.0000316073835775</c:v>
                </c:pt>
                <c:pt idx="149">
                  <c:v>1.0000318227487994</c:v>
                </c:pt>
                <c:pt idx="150">
                  <c:v>1.0000367706356574</c:v>
                </c:pt>
                <c:pt idx="151">
                  <c:v>1.0000341842326947</c:v>
                </c:pt>
                <c:pt idx="152">
                  <c:v>1.0000343223689958</c:v>
                </c:pt>
                <c:pt idx="153">
                  <c:v>1.0000381434779646</c:v>
                </c:pt>
                <c:pt idx="154">
                  <c:v>1.0000299510927904</c:v>
                </c:pt>
                <c:pt idx="155">
                  <c:v>1.000018908453512</c:v>
                </c:pt>
                <c:pt idx="156">
                  <c:v>1.0000177058035462</c:v>
                </c:pt>
                <c:pt idx="157">
                  <c:v>1.0000140982791319</c:v>
                </c:pt>
                <c:pt idx="158">
                  <c:v>1.0000182381575413</c:v>
                </c:pt>
                <c:pt idx="159">
                  <c:v>1.0000239267682509</c:v>
                </c:pt>
                <c:pt idx="160">
                  <c:v>1.0000219769752898</c:v>
                </c:pt>
                <c:pt idx="161">
                  <c:v>1.0000094406875242</c:v>
                </c:pt>
                <c:pt idx="162">
                  <c:v>1.0000053008271323</c:v>
                </c:pt>
                <c:pt idx="163">
                  <c:v>1.0000060475422443</c:v>
                </c:pt>
                <c:pt idx="164">
                  <c:v>1.0000060113445735</c:v>
                </c:pt>
                <c:pt idx="165">
                  <c:v>1.0000170849764796</c:v>
                </c:pt>
                <c:pt idx="166">
                  <c:v>1.0000130189871221</c:v>
                </c:pt>
                <c:pt idx="167">
                  <c:v>1.0000011830172895</c:v>
                </c:pt>
                <c:pt idx="168">
                  <c:v>0.99999495917713954</c:v>
                </c:pt>
                <c:pt idx="169">
                  <c:v>0.99999186173126797</c:v>
                </c:pt>
                <c:pt idx="170">
                  <c:v>0.99999275633825357</c:v>
                </c:pt>
                <c:pt idx="171">
                  <c:v>0.99999903152707992</c:v>
                </c:pt>
                <c:pt idx="172">
                  <c:v>0.99999877254093239</c:v>
                </c:pt>
                <c:pt idx="173">
                  <c:v>0.99999351225879396</c:v>
                </c:pt>
                <c:pt idx="174">
                  <c:v>0.99999831205633138</c:v>
                </c:pt>
                <c:pt idx="175">
                  <c:v>0.99999580687411449</c:v>
                </c:pt>
                <c:pt idx="176">
                  <c:v>1.0000115222801307</c:v>
                </c:pt>
                <c:pt idx="177">
                  <c:v>1.0000218033499026</c:v>
                </c:pt>
                <c:pt idx="178">
                  <c:v>1.0000273917845584</c:v>
                </c:pt>
                <c:pt idx="179">
                  <c:v>1.0000262610716959</c:v>
                </c:pt>
                <c:pt idx="180">
                  <c:v>1.0000314061863711</c:v>
                </c:pt>
                <c:pt idx="181">
                  <c:v>1.0000303618520849</c:v>
                </c:pt>
                <c:pt idx="182">
                  <c:v>1.00002838432776</c:v>
                </c:pt>
                <c:pt idx="183">
                  <c:v>1.0000312558645545</c:v>
                </c:pt>
                <c:pt idx="184">
                  <c:v>1.0000304442142391</c:v>
                </c:pt>
                <c:pt idx="185">
                  <c:v>1.0000299294973429</c:v>
                </c:pt>
                <c:pt idx="186">
                  <c:v>1.0000342305326164</c:v>
                </c:pt>
                <c:pt idx="187">
                  <c:v>1.0000245951970632</c:v>
                </c:pt>
                <c:pt idx="188">
                  <c:v>1.0000295646034383</c:v>
                </c:pt>
                <c:pt idx="189">
                  <c:v>1.0000353686962626</c:v>
                </c:pt>
                <c:pt idx="190">
                  <c:v>1.0000395755904909</c:v>
                </c:pt>
                <c:pt idx="191">
                  <c:v>1.0000367754860631</c:v>
                </c:pt>
                <c:pt idx="192">
                  <c:v>1.0000358050744345</c:v>
                </c:pt>
                <c:pt idx="193">
                  <c:v>1.0000376169690697</c:v>
                </c:pt>
                <c:pt idx="194">
                  <c:v>1.0000487740440565</c:v>
                </c:pt>
                <c:pt idx="195">
                  <c:v>1.0000438463367411</c:v>
                </c:pt>
                <c:pt idx="196">
                  <c:v>1.0000426001188352</c:v>
                </c:pt>
                <c:pt idx="197">
                  <c:v>1.000048209933631</c:v>
                </c:pt>
                <c:pt idx="198">
                  <c:v>1.0000451506330776</c:v>
                </c:pt>
                <c:pt idx="199">
                  <c:v>1.0000553760884359</c:v>
                </c:pt>
                <c:pt idx="200">
                  <c:v>1.0000524550144398</c:v>
                </c:pt>
                <c:pt idx="201">
                  <c:v>1.0000492910224894</c:v>
                </c:pt>
                <c:pt idx="202">
                  <c:v>1.000056544388495</c:v>
                </c:pt>
                <c:pt idx="203">
                  <c:v>1.0000526427873551</c:v>
                </c:pt>
                <c:pt idx="204">
                  <c:v>1.0000614933531535</c:v>
                </c:pt>
                <c:pt idx="205">
                  <c:v>1.0000600371940078</c:v>
                </c:pt>
                <c:pt idx="206">
                  <c:v>1.0000517441004444</c:v>
                </c:pt>
                <c:pt idx="207">
                  <c:v>1.0000536568652039</c:v>
                </c:pt>
                <c:pt idx="208">
                  <c:v>1.0000508404293524</c:v>
                </c:pt>
                <c:pt idx="209">
                  <c:v>1.0000544010259431</c:v>
                </c:pt>
                <c:pt idx="210">
                  <c:v>1.0000533279874959</c:v>
                </c:pt>
                <c:pt idx="211">
                  <c:v>1.0000398331060183</c:v>
                </c:pt>
                <c:pt idx="212">
                  <c:v>1.0000240707599291</c:v>
                </c:pt>
                <c:pt idx="213">
                  <c:v>1.0000200473732412</c:v>
                </c:pt>
                <c:pt idx="214">
                  <c:v>1.0000107689095161</c:v>
                </c:pt>
                <c:pt idx="215">
                  <c:v>1.000016930034292</c:v>
                </c:pt>
                <c:pt idx="216">
                  <c:v>1.0000029948293263</c:v>
                </c:pt>
                <c:pt idx="217">
                  <c:v>0.99999667694967043</c:v>
                </c:pt>
                <c:pt idx="218">
                  <c:v>0.99998555294515701</c:v>
                </c:pt>
                <c:pt idx="219">
                  <c:v>0.99999679129872221</c:v>
                </c:pt>
                <c:pt idx="220">
                  <c:v>0.99999390352962247</c:v>
                </c:pt>
                <c:pt idx="221">
                  <c:v>0.99997993201977853</c:v>
                </c:pt>
                <c:pt idx="222">
                  <c:v>0.99998015660615491</c:v>
                </c:pt>
                <c:pt idx="223">
                  <c:v>0.99997542390137517</c:v>
                </c:pt>
                <c:pt idx="224">
                  <c:v>0.99997768517603725</c:v>
                </c:pt>
                <c:pt idx="225">
                  <c:v>0.99998132478147495</c:v>
                </c:pt>
                <c:pt idx="226">
                  <c:v>0.99998487624936816</c:v>
                </c:pt>
                <c:pt idx="227">
                  <c:v>0.99998599382273667</c:v>
                </c:pt>
                <c:pt idx="228">
                  <c:v>0.99999075160044038</c:v>
                </c:pt>
                <c:pt idx="229">
                  <c:v>0.99999252418842643</c:v>
                </c:pt>
                <c:pt idx="230">
                  <c:v>0.999987579929003</c:v>
                </c:pt>
                <c:pt idx="231">
                  <c:v>0.99999273784505449</c:v>
                </c:pt>
                <c:pt idx="232">
                  <c:v>0.99999353207963682</c:v>
                </c:pt>
                <c:pt idx="233">
                  <c:v>0.99999298339178855</c:v>
                </c:pt>
                <c:pt idx="234">
                  <c:v>0.99999308033891277</c:v>
                </c:pt>
                <c:pt idx="235">
                  <c:v>0.9999870398841173</c:v>
                </c:pt>
                <c:pt idx="236">
                  <c:v>0.99997738896377963</c:v>
                </c:pt>
                <c:pt idx="237">
                  <c:v>0.99998606736398121</c:v>
                </c:pt>
                <c:pt idx="238">
                  <c:v>0.99999713724912298</c:v>
                </c:pt>
                <c:pt idx="239">
                  <c:v>0.99999475875172505</c:v>
                </c:pt>
                <c:pt idx="240">
                  <c:v>0.99998764897960879</c:v>
                </c:pt>
                <c:pt idx="241">
                  <c:v>0.99999370767127815</c:v>
                </c:pt>
                <c:pt idx="242">
                  <c:v>0.99999534785677013</c:v>
                </c:pt>
                <c:pt idx="243">
                  <c:v>0.99999042802390403</c:v>
                </c:pt>
                <c:pt idx="244">
                  <c:v>0.99999970984537656</c:v>
                </c:pt>
                <c:pt idx="245">
                  <c:v>0.99999710180058399</c:v>
                </c:pt>
                <c:pt idx="246">
                  <c:v>1.0000057575531462</c:v>
                </c:pt>
                <c:pt idx="247">
                  <c:v>1.0000169871135147</c:v>
                </c:pt>
                <c:pt idx="248">
                  <c:v>1.0000200397330388</c:v>
                </c:pt>
                <c:pt idx="249">
                  <c:v>1.0000155771578476</c:v>
                </c:pt>
                <c:pt idx="250">
                  <c:v>1.0000178789645098</c:v>
                </c:pt>
                <c:pt idx="251">
                  <c:v>1.0000059269969037</c:v>
                </c:pt>
                <c:pt idx="252">
                  <c:v>1.0000115493874757</c:v>
                </c:pt>
                <c:pt idx="253">
                  <c:v>1.0000078070104086</c:v>
                </c:pt>
                <c:pt idx="254">
                  <c:v>1.0000036668030889</c:v>
                </c:pt>
                <c:pt idx="255">
                  <c:v>1.0000059495670446</c:v>
                </c:pt>
                <c:pt idx="256">
                  <c:v>1.0000193266122952</c:v>
                </c:pt>
                <c:pt idx="257">
                  <c:v>1.000028439183803</c:v>
                </c:pt>
                <c:pt idx="258">
                  <c:v>1.0000323381886138</c:v>
                </c:pt>
                <c:pt idx="259">
                  <c:v>1.0000235413090295</c:v>
                </c:pt>
                <c:pt idx="260">
                  <c:v>1.0000240046326614</c:v>
                </c:pt>
                <c:pt idx="261">
                  <c:v>1.0000282592575138</c:v>
                </c:pt>
                <c:pt idx="262">
                  <c:v>1.0000321449478695</c:v>
                </c:pt>
                <c:pt idx="263">
                  <c:v>1.0000431901409415</c:v>
                </c:pt>
                <c:pt idx="264">
                  <c:v>1.00005521507193</c:v>
                </c:pt>
                <c:pt idx="265">
                  <c:v>1.0000622792533755</c:v>
                </c:pt>
                <c:pt idx="266">
                  <c:v>1.0000612346583679</c:v>
                </c:pt>
                <c:pt idx="267">
                  <c:v>1.0000636329050201</c:v>
                </c:pt>
                <c:pt idx="268">
                  <c:v>1.0000582340063648</c:v>
                </c:pt>
                <c:pt idx="269">
                  <c:v>1.0000713284636917</c:v>
                </c:pt>
                <c:pt idx="270">
                  <c:v>1.0000651950445429</c:v>
                </c:pt>
                <c:pt idx="271">
                  <c:v>1.0000562696808919</c:v>
                </c:pt>
                <c:pt idx="272">
                  <c:v>1.0000564582793809</c:v>
                </c:pt>
                <c:pt idx="273">
                  <c:v>1.0000548946322376</c:v>
                </c:pt>
                <c:pt idx="274">
                  <c:v>1.0000622585761392</c:v>
                </c:pt>
                <c:pt idx="275">
                  <c:v>1.0000562409381859</c:v>
                </c:pt>
                <c:pt idx="276">
                  <c:v>1.0000631094005026</c:v>
                </c:pt>
                <c:pt idx="277">
                  <c:v>1.0000599620989401</c:v>
                </c:pt>
                <c:pt idx="278">
                  <c:v>1.0000590407450727</c:v>
                </c:pt>
                <c:pt idx="279">
                  <c:v>1.0000647719092124</c:v>
                </c:pt>
                <c:pt idx="280">
                  <c:v>1.000069042536498</c:v>
                </c:pt>
                <c:pt idx="281">
                  <c:v>1.0000725719714543</c:v>
                </c:pt>
                <c:pt idx="282">
                  <c:v>1.0000726989194459</c:v>
                </c:pt>
                <c:pt idx="283">
                  <c:v>1.0000744502277956</c:v>
                </c:pt>
                <c:pt idx="284">
                  <c:v>1.0000681418182555</c:v>
                </c:pt>
                <c:pt idx="285">
                  <c:v>1.0000754956350351</c:v>
                </c:pt>
                <c:pt idx="286">
                  <c:v>1.0000813591655247</c:v>
                </c:pt>
                <c:pt idx="287">
                  <c:v>1.0000739297631527</c:v>
                </c:pt>
                <c:pt idx="288">
                  <c:v>1.0000857225622315</c:v>
                </c:pt>
                <c:pt idx="289">
                  <c:v>1.000090051001097</c:v>
                </c:pt>
                <c:pt idx="290">
                  <c:v>1.0000804426685919</c:v>
                </c:pt>
                <c:pt idx="291">
                  <c:v>1.0000735758621078</c:v>
                </c:pt>
                <c:pt idx="292">
                  <c:v>1.0000732972121762</c:v>
                </c:pt>
                <c:pt idx="293">
                  <c:v>1.0000762715327647</c:v>
                </c:pt>
                <c:pt idx="294">
                  <c:v>1.0000879683110129</c:v>
                </c:pt>
                <c:pt idx="295">
                  <c:v>1.0000818715336754</c:v>
                </c:pt>
                <c:pt idx="296">
                  <c:v>1.0000922174429006</c:v>
                </c:pt>
                <c:pt idx="297">
                  <c:v>1.0000727399288005</c:v>
                </c:pt>
                <c:pt idx="298">
                  <c:v>1.0000774004332635</c:v>
                </c:pt>
                <c:pt idx="299">
                  <c:v>1.00006197634284</c:v>
                </c:pt>
                <c:pt idx="300">
                  <c:v>1.0000676546260741</c:v>
                </c:pt>
                <c:pt idx="301">
                  <c:v>1.0000698420458849</c:v>
                </c:pt>
                <c:pt idx="302">
                  <c:v>1.0000690757229664</c:v>
                </c:pt>
                <c:pt idx="303">
                  <c:v>1.0000815699578649</c:v>
                </c:pt>
                <c:pt idx="304">
                  <c:v>1.0000655044392612</c:v>
                </c:pt>
                <c:pt idx="305">
                  <c:v>1.0000606467392934</c:v>
                </c:pt>
                <c:pt idx="306">
                  <c:v>1.0000466614819943</c:v>
                </c:pt>
                <c:pt idx="307">
                  <c:v>1.0000437968852023</c:v>
                </c:pt>
                <c:pt idx="308">
                  <c:v>1.0000554925652101</c:v>
                </c:pt>
                <c:pt idx="309">
                  <c:v>1.0000633206598895</c:v>
                </c:pt>
                <c:pt idx="310">
                  <c:v>1.0000682733196316</c:v>
                </c:pt>
                <c:pt idx="311">
                  <c:v>1.0000707773719899</c:v>
                </c:pt>
                <c:pt idx="312">
                  <c:v>1.0000674304271455</c:v>
                </c:pt>
                <c:pt idx="313">
                  <c:v>1.0000700933688926</c:v>
                </c:pt>
                <c:pt idx="314">
                  <c:v>1.0000682714049742</c:v>
                </c:pt>
                <c:pt idx="315">
                  <c:v>1.0000633743255503</c:v>
                </c:pt>
                <c:pt idx="316">
                  <c:v>1.0000651128205444</c:v>
                </c:pt>
                <c:pt idx="317">
                  <c:v>1.0000727902807318</c:v>
                </c:pt>
                <c:pt idx="318">
                  <c:v>1.0000702088110054</c:v>
                </c:pt>
                <c:pt idx="319">
                  <c:v>1.0000702424301289</c:v>
                </c:pt>
                <c:pt idx="320">
                  <c:v>1.0000727744912763</c:v>
                </c:pt>
                <c:pt idx="321">
                  <c:v>1.0000726672127525</c:v>
                </c:pt>
                <c:pt idx="322">
                  <c:v>1.0000736900482354</c:v>
                </c:pt>
                <c:pt idx="323">
                  <c:v>1.0000688756187717</c:v>
                </c:pt>
                <c:pt idx="324">
                  <c:v>1.0000745378451352</c:v>
                </c:pt>
                <c:pt idx="325">
                  <c:v>1.0000734200965575</c:v>
                </c:pt>
                <c:pt idx="326">
                  <c:v>1.0000649278365303</c:v>
                </c:pt>
                <c:pt idx="327">
                  <c:v>1.0000734138699356</c:v>
                </c:pt>
                <c:pt idx="328">
                  <c:v>1.0000751793365934</c:v>
                </c:pt>
                <c:pt idx="329">
                  <c:v>1.0000665856406781</c:v>
                </c:pt>
                <c:pt idx="330">
                  <c:v>1.0000661331508769</c:v>
                </c:pt>
                <c:pt idx="331">
                  <c:v>1.0000713341867988</c:v>
                </c:pt>
                <c:pt idx="332">
                  <c:v>1.0000642148139298</c:v>
                </c:pt>
                <c:pt idx="333">
                  <c:v>1.000056506711499</c:v>
                </c:pt>
                <c:pt idx="334">
                  <c:v>1.0000613665982852</c:v>
                </c:pt>
                <c:pt idx="335">
                  <c:v>1.0000464836864194</c:v>
                </c:pt>
                <c:pt idx="336">
                  <c:v>1.0000359340874165</c:v>
                </c:pt>
                <c:pt idx="337">
                  <c:v>1.0000406235313988</c:v>
                </c:pt>
                <c:pt idx="338">
                  <c:v>1.0000263309746245</c:v>
                </c:pt>
                <c:pt idx="339">
                  <c:v>1.0000303512500786</c:v>
                </c:pt>
                <c:pt idx="340">
                  <c:v>1.0000319350657976</c:v>
                </c:pt>
                <c:pt idx="341">
                  <c:v>1.0000459595871407</c:v>
                </c:pt>
                <c:pt idx="342">
                  <c:v>1.0000402910267956</c:v>
                </c:pt>
                <c:pt idx="343">
                  <c:v>1.0000438822552902</c:v>
                </c:pt>
                <c:pt idx="344">
                  <c:v>1.0000575230237441</c:v>
                </c:pt>
                <c:pt idx="345">
                  <c:v>1.0000531286910139</c:v>
                </c:pt>
                <c:pt idx="346">
                  <c:v>1.0000597480084557</c:v>
                </c:pt>
                <c:pt idx="347">
                  <c:v>1.0000570323351003</c:v>
                </c:pt>
                <c:pt idx="348">
                  <c:v>1.0000597839562089</c:v>
                </c:pt>
                <c:pt idx="349">
                  <c:v>1.0000559354855048</c:v>
                </c:pt>
                <c:pt idx="350">
                  <c:v>1.000053870999279</c:v>
                </c:pt>
                <c:pt idx="351">
                  <c:v>1.0000504072375813</c:v>
                </c:pt>
                <c:pt idx="352">
                  <c:v>1.0000453865481935</c:v>
                </c:pt>
                <c:pt idx="353">
                  <c:v>1.0000425163705098</c:v>
                </c:pt>
                <c:pt idx="354">
                  <c:v>1.00004427767085</c:v>
                </c:pt>
                <c:pt idx="355">
                  <c:v>1.0000444021185</c:v>
                </c:pt>
                <c:pt idx="356">
                  <c:v>1.0000427401329903</c:v>
                </c:pt>
                <c:pt idx="357">
                  <c:v>1.0000401807009258</c:v>
                </c:pt>
                <c:pt idx="358">
                  <c:v>1.0000401996212314</c:v>
                </c:pt>
                <c:pt idx="359">
                  <c:v>1.0000309751554386</c:v>
                </c:pt>
                <c:pt idx="360">
                  <c:v>1.000030279799315</c:v>
                </c:pt>
                <c:pt idx="361">
                  <c:v>1.0000359228014135</c:v>
                </c:pt>
                <c:pt idx="362">
                  <c:v>1.0000372624814993</c:v>
                </c:pt>
                <c:pt idx="363">
                  <c:v>1.0000247998432228</c:v>
                </c:pt>
                <c:pt idx="364">
                  <c:v>1.000032161735787</c:v>
                </c:pt>
                <c:pt idx="365">
                  <c:v>1.0000299143724198</c:v>
                </c:pt>
                <c:pt idx="366">
                  <c:v>1.0000325681437667</c:v>
                </c:pt>
                <c:pt idx="367">
                  <c:v>1.0000312734811017</c:v>
                </c:pt>
                <c:pt idx="368">
                  <c:v>1.000024986147851</c:v>
                </c:pt>
                <c:pt idx="369">
                  <c:v>1.0000298899409963</c:v>
                </c:pt>
                <c:pt idx="370">
                  <c:v>1.0000230256008693</c:v>
                </c:pt>
                <c:pt idx="371">
                  <c:v>1.0000293968938694</c:v>
                </c:pt>
                <c:pt idx="372">
                  <c:v>1.0000328498318196</c:v>
                </c:pt>
                <c:pt idx="373">
                  <c:v>1.0000444377160662</c:v>
                </c:pt>
                <c:pt idx="374">
                  <c:v>1.0000343367303721</c:v>
                </c:pt>
                <c:pt idx="375">
                  <c:v>1.0000374247248558</c:v>
                </c:pt>
                <c:pt idx="376">
                  <c:v>1.000040852624301</c:v>
                </c:pt>
                <c:pt idx="377">
                  <c:v>1.0000463757017641</c:v>
                </c:pt>
                <c:pt idx="378">
                  <c:v>1.0000335982546364</c:v>
                </c:pt>
                <c:pt idx="379">
                  <c:v>1.0000293526664681</c:v>
                </c:pt>
                <c:pt idx="380">
                  <c:v>1.0000251879015918</c:v>
                </c:pt>
                <c:pt idx="381">
                  <c:v>1.0000270184961177</c:v>
                </c:pt>
                <c:pt idx="382">
                  <c:v>1.000048157432009</c:v>
                </c:pt>
                <c:pt idx="383">
                  <c:v>1.0000342877252384</c:v>
                </c:pt>
                <c:pt idx="384">
                  <c:v>1.0000215679893423</c:v>
                </c:pt>
                <c:pt idx="385">
                  <c:v>1.0000111632443818</c:v>
                </c:pt>
                <c:pt idx="386">
                  <c:v>1.0000059785884388</c:v>
                </c:pt>
                <c:pt idx="387">
                  <c:v>1.0000007057812437</c:v>
                </c:pt>
                <c:pt idx="388">
                  <c:v>0.9999904343791387</c:v>
                </c:pt>
                <c:pt idx="389">
                  <c:v>0.99998419802939986</c:v>
                </c:pt>
                <c:pt idx="390">
                  <c:v>0.99997175593449161</c:v>
                </c:pt>
                <c:pt idx="391">
                  <c:v>0.99997653852026014</c:v>
                </c:pt>
                <c:pt idx="392">
                  <c:v>0.99998071015305934</c:v>
                </c:pt>
                <c:pt idx="393">
                  <c:v>0.99996564409727429</c:v>
                </c:pt>
                <c:pt idx="394">
                  <c:v>0.99995934821801968</c:v>
                </c:pt>
                <c:pt idx="395">
                  <c:v>0.99994977984992794</c:v>
                </c:pt>
                <c:pt idx="396">
                  <c:v>0.99995260782233675</c:v>
                </c:pt>
                <c:pt idx="397">
                  <c:v>0.99995699724707343</c:v>
                </c:pt>
                <c:pt idx="398">
                  <c:v>0.99994221354263091</c:v>
                </c:pt>
                <c:pt idx="399">
                  <c:v>0.99994914337929319</c:v>
                </c:pt>
                <c:pt idx="400">
                  <c:v>0.99995547301143628</c:v>
                </c:pt>
                <c:pt idx="401">
                  <c:v>0.99996999822898491</c:v>
                </c:pt>
                <c:pt idx="402">
                  <c:v>0.99996775519919945</c:v>
                </c:pt>
                <c:pt idx="403">
                  <c:v>0.99996958874806341</c:v>
                </c:pt>
                <c:pt idx="404">
                  <c:v>0.99998028645286208</c:v>
                </c:pt>
                <c:pt idx="405">
                  <c:v>0.99998707464909842</c:v>
                </c:pt>
                <c:pt idx="406">
                  <c:v>0.99999024246376012</c:v>
                </c:pt>
                <c:pt idx="407">
                  <c:v>0.9999866782735165</c:v>
                </c:pt>
                <c:pt idx="408">
                  <c:v>0.99998511358276987</c:v>
                </c:pt>
                <c:pt idx="409">
                  <c:v>0.99998171466038666</c:v>
                </c:pt>
                <c:pt idx="410">
                  <c:v>0.99997952035473148</c:v>
                </c:pt>
                <c:pt idx="411">
                  <c:v>0.99998024996680235</c:v>
                </c:pt>
                <c:pt idx="412">
                  <c:v>0.99998373240423399</c:v>
                </c:pt>
                <c:pt idx="413">
                  <c:v>0.99996668403749389</c:v>
                </c:pt>
                <c:pt idx="414">
                  <c:v>0.99996796268412558</c:v>
                </c:pt>
                <c:pt idx="415">
                  <c:v>0.99997994110209276</c:v>
                </c:pt>
                <c:pt idx="416">
                  <c:v>0.99997975363224778</c:v>
                </c:pt>
                <c:pt idx="417">
                  <c:v>0.9999705054143998</c:v>
                </c:pt>
                <c:pt idx="418">
                  <c:v>0.99998317509081891</c:v>
                </c:pt>
                <c:pt idx="419">
                  <c:v>0.99997977370763258</c:v>
                </c:pt>
                <c:pt idx="420">
                  <c:v>0.99998609883142142</c:v>
                </c:pt>
                <c:pt idx="421">
                  <c:v>0.9999691187452312</c:v>
                </c:pt>
                <c:pt idx="422">
                  <c:v>0.99996792695497527</c:v>
                </c:pt>
                <c:pt idx="423">
                  <c:v>0.99997566824508632</c:v>
                </c:pt>
                <c:pt idx="424">
                  <c:v>0.99995276271447542</c:v>
                </c:pt>
                <c:pt idx="425">
                  <c:v>0.99996186967336709</c:v>
                </c:pt>
                <c:pt idx="426">
                  <c:v>0.99995789988567674</c:v>
                </c:pt>
                <c:pt idx="427">
                  <c:v>0.9999591028625231</c:v>
                </c:pt>
                <c:pt idx="428">
                  <c:v>0.99996409393413377</c:v>
                </c:pt>
                <c:pt idx="429">
                  <c:v>0.99995327785047872</c:v>
                </c:pt>
                <c:pt idx="430">
                  <c:v>0.99995347230980347</c:v>
                </c:pt>
                <c:pt idx="431">
                  <c:v>0.99996406003086802</c:v>
                </c:pt>
                <c:pt idx="432">
                  <c:v>0.99995786710698875</c:v>
                </c:pt>
                <c:pt idx="433">
                  <c:v>0.99994923845183914</c:v>
                </c:pt>
                <c:pt idx="434">
                  <c:v>0.99996119161395747</c:v>
                </c:pt>
                <c:pt idx="435">
                  <c:v>0.9999591561106328</c:v>
                </c:pt>
                <c:pt idx="436">
                  <c:v>0.99995803405009454</c:v>
                </c:pt>
                <c:pt idx="437">
                  <c:v>0.9999477430254331</c:v>
                </c:pt>
                <c:pt idx="438">
                  <c:v>0.99994989305050175</c:v>
                </c:pt>
                <c:pt idx="439">
                  <c:v>0.9999420729460865</c:v>
                </c:pt>
                <c:pt idx="440">
                  <c:v>0.99994431531585193</c:v>
                </c:pt>
                <c:pt idx="441">
                  <c:v>0.99994582024610357</c:v>
                </c:pt>
                <c:pt idx="442">
                  <c:v>0.99993539019336686</c:v>
                </c:pt>
                <c:pt idx="443">
                  <c:v>0.99993898332132569</c:v>
                </c:pt>
                <c:pt idx="444">
                  <c:v>0.99994762036469664</c:v>
                </c:pt>
                <c:pt idx="445">
                  <c:v>0.99994189458757277</c:v>
                </c:pt>
                <c:pt idx="446">
                  <c:v>0.99993585956698205</c:v>
                </c:pt>
                <c:pt idx="447">
                  <c:v>0.99993070979076704</c:v>
                </c:pt>
                <c:pt idx="448">
                  <c:v>0.99992940886282011</c:v>
                </c:pt>
                <c:pt idx="449">
                  <c:v>0.99992066255168421</c:v>
                </c:pt>
                <c:pt idx="450">
                  <c:v>0.99991568080783599</c:v>
                </c:pt>
                <c:pt idx="451">
                  <c:v>0.99992198412716504</c:v>
                </c:pt>
                <c:pt idx="452">
                  <c:v>0.99992675334106507</c:v>
                </c:pt>
                <c:pt idx="453">
                  <c:v>0.99993587734365275</c:v>
                </c:pt>
                <c:pt idx="454">
                  <c:v>0.99992273283108468</c:v>
                </c:pt>
                <c:pt idx="455">
                  <c:v>0.99992189467421289</c:v>
                </c:pt>
                <c:pt idx="456">
                  <c:v>0.99991733037761288</c:v>
                </c:pt>
                <c:pt idx="457">
                  <c:v>0.99992357654588215</c:v>
                </c:pt>
                <c:pt idx="458">
                  <c:v>0.9999329289598039</c:v>
                </c:pt>
                <c:pt idx="459">
                  <c:v>0.99993607522904371</c:v>
                </c:pt>
                <c:pt idx="460">
                  <c:v>0.9999223304149224</c:v>
                </c:pt>
                <c:pt idx="461">
                  <c:v>0.99993445224112942</c:v>
                </c:pt>
                <c:pt idx="462">
                  <c:v>0.99994565860218709</c:v>
                </c:pt>
                <c:pt idx="463">
                  <c:v>0.99995804341281591</c:v>
                </c:pt>
                <c:pt idx="464">
                  <c:v>0.99996516084592368</c:v>
                </c:pt>
                <c:pt idx="465">
                  <c:v>0.9999651996129596</c:v>
                </c:pt>
                <c:pt idx="466">
                  <c:v>0.99996981705803123</c:v>
                </c:pt>
                <c:pt idx="467">
                  <c:v>0.99997884021872641</c:v>
                </c:pt>
                <c:pt idx="468">
                  <c:v>0.99998017604358758</c:v>
                </c:pt>
                <c:pt idx="469">
                  <c:v>0.99997026846443349</c:v>
                </c:pt>
                <c:pt idx="470">
                  <c:v>0.99995477016299739</c:v>
                </c:pt>
                <c:pt idx="471">
                  <c:v>0.99994760534361027</c:v>
                </c:pt>
                <c:pt idx="472">
                  <c:v>0.99994946467555279</c:v>
                </c:pt>
                <c:pt idx="473">
                  <c:v>0.99993936371870218</c:v>
                </c:pt>
                <c:pt idx="474">
                  <c:v>0.99995736236319777</c:v>
                </c:pt>
                <c:pt idx="475">
                  <c:v>0.99997012489761283</c:v>
                </c:pt>
                <c:pt idx="476">
                  <c:v>0.99996471077064919</c:v>
                </c:pt>
                <c:pt idx="477">
                  <c:v>0.99996269929147907</c:v>
                </c:pt>
                <c:pt idx="478">
                  <c:v>0.99996660355182687</c:v>
                </c:pt>
                <c:pt idx="479">
                  <c:v>0.99996594166655661</c:v>
                </c:pt>
                <c:pt idx="480">
                  <c:v>0.99997601886566323</c:v>
                </c:pt>
                <c:pt idx="481">
                  <c:v>0.99997331238492659</c:v>
                </c:pt>
                <c:pt idx="482">
                  <c:v>0.99998397367782277</c:v>
                </c:pt>
                <c:pt idx="483">
                  <c:v>0.99997561956261971</c:v>
                </c:pt>
                <c:pt idx="484">
                  <c:v>0.99998506015973609</c:v>
                </c:pt>
                <c:pt idx="485">
                  <c:v>1.0000008678867744</c:v>
                </c:pt>
                <c:pt idx="486">
                  <c:v>0.99998507696130956</c:v>
                </c:pt>
                <c:pt idx="487">
                  <c:v>1.000000133973485</c:v>
                </c:pt>
                <c:pt idx="488">
                  <c:v>1.000005383746785</c:v>
                </c:pt>
                <c:pt idx="489">
                  <c:v>0.99999721418305509</c:v>
                </c:pt>
                <c:pt idx="490">
                  <c:v>0.99999842453540366</c:v>
                </c:pt>
                <c:pt idx="491">
                  <c:v>0.99999310304715239</c:v>
                </c:pt>
                <c:pt idx="492">
                  <c:v>0.99999582190270897</c:v>
                </c:pt>
                <c:pt idx="493">
                  <c:v>1.0000069743289923</c:v>
                </c:pt>
                <c:pt idx="494">
                  <c:v>1.0000152881878892</c:v>
                </c:pt>
                <c:pt idx="495">
                  <c:v>1.0000327325934102</c:v>
                </c:pt>
                <c:pt idx="496">
                  <c:v>1.0000182349481905</c:v>
                </c:pt>
                <c:pt idx="497">
                  <c:v>1.0000140764751373</c:v>
                </c:pt>
                <c:pt idx="498">
                  <c:v>1.0000048023526533</c:v>
                </c:pt>
                <c:pt idx="499">
                  <c:v>1.0000077774079656</c:v>
                </c:pt>
                <c:pt idx="500">
                  <c:v>1.0000145145497465</c:v>
                </c:pt>
                <c:pt idx="501">
                  <c:v>1.0000243300547071</c:v>
                </c:pt>
                <c:pt idx="502">
                  <c:v>1.0000177246734563</c:v>
                </c:pt>
                <c:pt idx="503">
                  <c:v>1.0000279353467538</c:v>
                </c:pt>
                <c:pt idx="504">
                  <c:v>1.0000136555657151</c:v>
                </c:pt>
                <c:pt idx="505">
                  <c:v>1.0000170598620013</c:v>
                </c:pt>
                <c:pt idx="506">
                  <c:v>1.0000206701980925</c:v>
                </c:pt>
                <c:pt idx="507">
                  <c:v>1.0000238747688115</c:v>
                </c:pt>
                <c:pt idx="508">
                  <c:v>1.000030105744901</c:v>
                </c:pt>
                <c:pt idx="509">
                  <c:v>1.0000249592178223</c:v>
                </c:pt>
                <c:pt idx="510">
                  <c:v>1.0000240894727161</c:v>
                </c:pt>
                <c:pt idx="511">
                  <c:v>1.0000209473634578</c:v>
                </c:pt>
                <c:pt idx="512">
                  <c:v>1.0000292134744446</c:v>
                </c:pt>
                <c:pt idx="513">
                  <c:v>1.0000158085220823</c:v>
                </c:pt>
                <c:pt idx="514">
                  <c:v>1.0000218465923258</c:v>
                </c:pt>
                <c:pt idx="515">
                  <c:v>1.0000041648650455</c:v>
                </c:pt>
                <c:pt idx="516">
                  <c:v>0.99999919677038873</c:v>
                </c:pt>
                <c:pt idx="517">
                  <c:v>1.0000102811122145</c:v>
                </c:pt>
                <c:pt idx="518">
                  <c:v>0.99999990567858599</c:v>
                </c:pt>
                <c:pt idx="519">
                  <c:v>1.0000062512580739</c:v>
                </c:pt>
                <c:pt idx="520">
                  <c:v>0.99999425319458546</c:v>
                </c:pt>
                <c:pt idx="521">
                  <c:v>0.99999551038896717</c:v>
                </c:pt>
                <c:pt idx="522">
                  <c:v>0.999998016549971</c:v>
                </c:pt>
                <c:pt idx="523">
                  <c:v>0.99999767403923545</c:v>
                </c:pt>
                <c:pt idx="524">
                  <c:v>1.0000174791365508</c:v>
                </c:pt>
                <c:pt idx="525">
                  <c:v>1.0000106341849295</c:v>
                </c:pt>
                <c:pt idx="526">
                  <c:v>1.0000086293103809</c:v>
                </c:pt>
                <c:pt idx="527">
                  <c:v>0.99999987590406303</c:v>
                </c:pt>
                <c:pt idx="528">
                  <c:v>0.99999630781437066</c:v>
                </c:pt>
                <c:pt idx="529">
                  <c:v>1.0000015392099109</c:v>
                </c:pt>
                <c:pt idx="530">
                  <c:v>0.99999485564019086</c:v>
                </c:pt>
                <c:pt idx="531">
                  <c:v>0.99999366791278288</c:v>
                </c:pt>
                <c:pt idx="532">
                  <c:v>0.99999058938134555</c:v>
                </c:pt>
                <c:pt idx="533">
                  <c:v>0.99998170732589142</c:v>
                </c:pt>
                <c:pt idx="534">
                  <c:v>0.99997229828979806</c:v>
                </c:pt>
                <c:pt idx="535">
                  <c:v>0.99998506435957957</c:v>
                </c:pt>
                <c:pt idx="536">
                  <c:v>0.99996574478732514</c:v>
                </c:pt>
                <c:pt idx="537">
                  <c:v>0.9999545035967794</c:v>
                </c:pt>
                <c:pt idx="538">
                  <c:v>0.99993269903186244</c:v>
                </c:pt>
                <c:pt idx="539">
                  <c:v>0.99993246031236704</c:v>
                </c:pt>
                <c:pt idx="540">
                  <c:v>0.9999381576174402</c:v>
                </c:pt>
                <c:pt idx="541">
                  <c:v>0.99993115816361178</c:v>
                </c:pt>
                <c:pt idx="542">
                  <c:v>0.99991386176464614</c:v>
                </c:pt>
                <c:pt idx="543">
                  <c:v>0.99991688871678885</c:v>
                </c:pt>
                <c:pt idx="544">
                  <c:v>0.99992674904555545</c:v>
                </c:pt>
                <c:pt idx="545">
                  <c:v>0.99992059018527879</c:v>
                </c:pt>
                <c:pt idx="546">
                  <c:v>0.99991933485558437</c:v>
                </c:pt>
                <c:pt idx="547">
                  <c:v>0.99991928128772212</c:v>
                </c:pt>
                <c:pt idx="548">
                  <c:v>0.99992195229992453</c:v>
                </c:pt>
                <c:pt idx="549">
                  <c:v>0.99992295858006874</c:v>
                </c:pt>
                <c:pt idx="550">
                  <c:v>0.99992338610453302</c:v>
                </c:pt>
                <c:pt idx="551">
                  <c:v>0.99991794906357456</c:v>
                </c:pt>
                <c:pt idx="552">
                  <c:v>0.99992294145012228</c:v>
                </c:pt>
                <c:pt idx="553">
                  <c:v>0.99992200161466693</c:v>
                </c:pt>
                <c:pt idx="554">
                  <c:v>0.99992889480117175</c:v>
                </c:pt>
                <c:pt idx="555">
                  <c:v>0.99993396317195693</c:v>
                </c:pt>
                <c:pt idx="556">
                  <c:v>0.99992768758114536</c:v>
                </c:pt>
                <c:pt idx="557">
                  <c:v>0.99992895192625297</c:v>
                </c:pt>
                <c:pt idx="558">
                  <c:v>0.99992972548302339</c:v>
                </c:pt>
                <c:pt idx="559">
                  <c:v>0.99992213839679511</c:v>
                </c:pt>
                <c:pt idx="560">
                  <c:v>0.99992954333670514</c:v>
                </c:pt>
                <c:pt idx="561">
                  <c:v>0.99992628931009864</c:v>
                </c:pt>
                <c:pt idx="562">
                  <c:v>0.99992859626307506</c:v>
                </c:pt>
                <c:pt idx="563">
                  <c:v>0.9999065319030731</c:v>
                </c:pt>
                <c:pt idx="564">
                  <c:v>0.9998965427682156</c:v>
                </c:pt>
                <c:pt idx="565">
                  <c:v>0.99990690178713415</c:v>
                </c:pt>
                <c:pt idx="566">
                  <c:v>0.99991291544227656</c:v>
                </c:pt>
                <c:pt idx="567">
                  <c:v>0.99990148084908514</c:v>
                </c:pt>
                <c:pt idx="568">
                  <c:v>0.99991966432307067</c:v>
                </c:pt>
                <c:pt idx="569">
                  <c:v>0.99991824381840011</c:v>
                </c:pt>
                <c:pt idx="570">
                  <c:v>0.99992656816011838</c:v>
                </c:pt>
                <c:pt idx="571">
                  <c:v>0.99992479108903243</c:v>
                </c:pt>
                <c:pt idx="572">
                  <c:v>0.99994185852014283</c:v>
                </c:pt>
                <c:pt idx="573">
                  <c:v>0.99992678745198826</c:v>
                </c:pt>
                <c:pt idx="574">
                  <c:v>0.99990691778994822</c:v>
                </c:pt>
                <c:pt idx="575">
                  <c:v>0.99990251856146162</c:v>
                </c:pt>
                <c:pt idx="576">
                  <c:v>0.9999106239779636</c:v>
                </c:pt>
                <c:pt idx="577">
                  <c:v>0.99991053211912384</c:v>
                </c:pt>
                <c:pt idx="578">
                  <c:v>0.99992552572864668</c:v>
                </c:pt>
                <c:pt idx="579">
                  <c:v>0.99991869960671309</c:v>
                </c:pt>
                <c:pt idx="580">
                  <c:v>0.9999160484709807</c:v>
                </c:pt>
                <c:pt idx="581">
                  <c:v>0.99993115823603251</c:v>
                </c:pt>
                <c:pt idx="582">
                  <c:v>0.99993390075754818</c:v>
                </c:pt>
                <c:pt idx="583">
                  <c:v>0.99994550434515816</c:v>
                </c:pt>
                <c:pt idx="584">
                  <c:v>0.99993764068085922</c:v>
                </c:pt>
                <c:pt idx="585">
                  <c:v>0.99991226846647596</c:v>
                </c:pt>
                <c:pt idx="586">
                  <c:v>0.99990939514442778</c:v>
                </c:pt>
                <c:pt idx="587">
                  <c:v>0.99992293222801554</c:v>
                </c:pt>
                <c:pt idx="588">
                  <c:v>0.99990892141465082</c:v>
                </c:pt>
                <c:pt idx="589">
                  <c:v>0.99992032567862799</c:v>
                </c:pt>
                <c:pt idx="590">
                  <c:v>0.99992278421411884</c:v>
                </c:pt>
                <c:pt idx="591">
                  <c:v>0.99991811483775139</c:v>
                </c:pt>
                <c:pt idx="592">
                  <c:v>0.9999241115527896</c:v>
                </c:pt>
                <c:pt idx="593">
                  <c:v>0.99991328655274281</c:v>
                </c:pt>
                <c:pt idx="594">
                  <c:v>0.99989565789302737</c:v>
                </c:pt>
                <c:pt idx="595">
                  <c:v>0.99991111418227496</c:v>
                </c:pt>
                <c:pt idx="596">
                  <c:v>0.99989608046277256</c:v>
                </c:pt>
                <c:pt idx="597">
                  <c:v>0.99990668844487696</c:v>
                </c:pt>
                <c:pt idx="598">
                  <c:v>0.99990708186454469</c:v>
                </c:pt>
                <c:pt idx="599">
                  <c:v>0.99990565556138666</c:v>
                </c:pt>
                <c:pt idx="600">
                  <c:v>0.99989247061384423</c:v>
                </c:pt>
                <c:pt idx="601">
                  <c:v>0.99987356761943269</c:v>
                </c:pt>
                <c:pt idx="602">
                  <c:v>0.99987793285437854</c:v>
                </c:pt>
                <c:pt idx="603">
                  <c:v>0.99986936071506216</c:v>
                </c:pt>
                <c:pt idx="604">
                  <c:v>0.99987327773857093</c:v>
                </c:pt>
                <c:pt idx="605">
                  <c:v>0.99987570591601194</c:v>
                </c:pt>
                <c:pt idx="606">
                  <c:v>0.99986609964167472</c:v>
                </c:pt>
                <c:pt idx="607">
                  <c:v>0.99985903265558895</c:v>
                </c:pt>
                <c:pt idx="608">
                  <c:v>0.99985236488047424</c:v>
                </c:pt>
                <c:pt idx="609">
                  <c:v>0.99984787368242256</c:v>
                </c:pt>
                <c:pt idx="610">
                  <c:v>0.99984650602903491</c:v>
                </c:pt>
                <c:pt idx="611">
                  <c:v>0.99985425524487981</c:v>
                </c:pt>
                <c:pt idx="612">
                  <c:v>0.99986987511159198</c:v>
                </c:pt>
                <c:pt idx="613">
                  <c:v>0.9998742542351855</c:v>
                </c:pt>
                <c:pt idx="614">
                  <c:v>0.99988588946409029</c:v>
                </c:pt>
                <c:pt idx="615">
                  <c:v>0.99988818486294362</c:v>
                </c:pt>
                <c:pt idx="616">
                  <c:v>0.99987677191845725</c:v>
                </c:pt>
                <c:pt idx="617">
                  <c:v>0.99988314926106747</c:v>
                </c:pt>
                <c:pt idx="618">
                  <c:v>0.99988469488862275</c:v>
                </c:pt>
                <c:pt idx="619">
                  <c:v>0.99989587545093883</c:v>
                </c:pt>
                <c:pt idx="620">
                  <c:v>0.99989793607019495</c:v>
                </c:pt>
                <c:pt idx="621">
                  <c:v>0.99992748106524909</c:v>
                </c:pt>
                <c:pt idx="622">
                  <c:v>0.99993405630805032</c:v>
                </c:pt>
                <c:pt idx="623">
                  <c:v>0.99995848861905523</c:v>
                </c:pt>
                <c:pt idx="624">
                  <c:v>0.9999431323691147</c:v>
                </c:pt>
                <c:pt idx="625">
                  <c:v>0.99994495021776764</c:v>
                </c:pt>
                <c:pt idx="626">
                  <c:v>0.99993095071681559</c:v>
                </c:pt>
                <c:pt idx="627">
                  <c:v>0.99993722029255994</c:v>
                </c:pt>
                <c:pt idx="628">
                  <c:v>0.99994927391205657</c:v>
                </c:pt>
                <c:pt idx="629">
                  <c:v>0.99997227621342499</c:v>
                </c:pt>
                <c:pt idx="630">
                  <c:v>0.99998617401921275</c:v>
                </c:pt>
                <c:pt idx="631">
                  <c:v>0.99998304811393945</c:v>
                </c:pt>
                <c:pt idx="632">
                  <c:v>0.99996816848404491</c:v>
                </c:pt>
                <c:pt idx="633">
                  <c:v>0.99998330813689185</c:v>
                </c:pt>
                <c:pt idx="634">
                  <c:v>0.9999987944704003</c:v>
                </c:pt>
                <c:pt idx="635">
                  <c:v>0.99998225869713653</c:v>
                </c:pt>
                <c:pt idx="636">
                  <c:v>0.99998499462530754</c:v>
                </c:pt>
                <c:pt idx="637">
                  <c:v>0.99997828434193659</c:v>
                </c:pt>
                <c:pt idx="638">
                  <c:v>0.99996479757601719</c:v>
                </c:pt>
                <c:pt idx="639">
                  <c:v>0.99996701536691068</c:v>
                </c:pt>
                <c:pt idx="640">
                  <c:v>0.99995399856256073</c:v>
                </c:pt>
                <c:pt idx="641">
                  <c:v>0.99996333435467399</c:v>
                </c:pt>
                <c:pt idx="642">
                  <c:v>0.99997663326096742</c:v>
                </c:pt>
                <c:pt idx="643">
                  <c:v>0.99997300811611012</c:v>
                </c:pt>
                <c:pt idx="644">
                  <c:v>0.99997486617981202</c:v>
                </c:pt>
                <c:pt idx="645">
                  <c:v>0.99997870960212187</c:v>
                </c:pt>
                <c:pt idx="646">
                  <c:v>0.99995422868562822</c:v>
                </c:pt>
                <c:pt idx="647">
                  <c:v>0.99994083297249892</c:v>
                </c:pt>
                <c:pt idx="648">
                  <c:v>0.99993220680023898</c:v>
                </c:pt>
                <c:pt idx="649">
                  <c:v>0.99993762367956063</c:v>
                </c:pt>
                <c:pt idx="650">
                  <c:v>0.99995092431032961</c:v>
                </c:pt>
                <c:pt idx="651">
                  <c:v>0.99995689589596892</c:v>
                </c:pt>
                <c:pt idx="652">
                  <c:v>0.99996467613557727</c:v>
                </c:pt>
                <c:pt idx="653">
                  <c:v>0.99996109691068813</c:v>
                </c:pt>
                <c:pt idx="654">
                  <c:v>0.99996207410522098</c:v>
                </c:pt>
                <c:pt idx="655">
                  <c:v>0.99994833608806599</c:v>
                </c:pt>
                <c:pt idx="656">
                  <c:v>0.99993485839199492</c:v>
                </c:pt>
                <c:pt idx="657">
                  <c:v>0.99993146510055353</c:v>
                </c:pt>
                <c:pt idx="658">
                  <c:v>0.99993595932883483</c:v>
                </c:pt>
                <c:pt idx="659">
                  <c:v>0.99993573640552103</c:v>
                </c:pt>
                <c:pt idx="660">
                  <c:v>0.99991947860848529</c:v>
                </c:pt>
                <c:pt idx="661">
                  <c:v>0.9999217953938272</c:v>
                </c:pt>
                <c:pt idx="662">
                  <c:v>0.99991283159823385</c:v>
                </c:pt>
                <c:pt idx="663">
                  <c:v>0.99991781000202795</c:v>
                </c:pt>
                <c:pt idx="664">
                  <c:v>0.99991756911990604</c:v>
                </c:pt>
                <c:pt idx="665">
                  <c:v>0.99991501667293003</c:v>
                </c:pt>
                <c:pt idx="666">
                  <c:v>0.99992557765787604</c:v>
                </c:pt>
                <c:pt idx="667">
                  <c:v>0.99993375934742701</c:v>
                </c:pt>
                <c:pt idx="668">
                  <c:v>0.99992633054209124</c:v>
                </c:pt>
                <c:pt idx="669">
                  <c:v>0.99992732531568163</c:v>
                </c:pt>
                <c:pt idx="670">
                  <c:v>0.99992404250339562</c:v>
                </c:pt>
                <c:pt idx="671">
                  <c:v>0.99993480697378556</c:v>
                </c:pt>
                <c:pt idx="672">
                  <c:v>0.99995177897689536</c:v>
                </c:pt>
                <c:pt idx="673">
                  <c:v>0.99995210195411377</c:v>
                </c:pt>
                <c:pt idx="674">
                  <c:v>0.99994662507902143</c:v>
                </c:pt>
                <c:pt idx="675">
                  <c:v>0.99995689721566583</c:v>
                </c:pt>
                <c:pt idx="676">
                  <c:v>0.99994808015561298</c:v>
                </c:pt>
                <c:pt idx="677">
                  <c:v>0.99993649448631827</c:v>
                </c:pt>
                <c:pt idx="678">
                  <c:v>0.99992939351959675</c:v>
                </c:pt>
                <c:pt idx="679">
                  <c:v>0.99993020427874535</c:v>
                </c:pt>
                <c:pt idx="680">
                  <c:v>0.9999272333339031</c:v>
                </c:pt>
                <c:pt idx="681">
                  <c:v>0.99992215865612877</c:v>
                </c:pt>
                <c:pt idx="682">
                  <c:v>0.99991757176885965</c:v>
                </c:pt>
                <c:pt idx="683">
                  <c:v>0.99993664211380351</c:v>
                </c:pt>
                <c:pt idx="684">
                  <c:v>0.99992378625153489</c:v>
                </c:pt>
                <c:pt idx="685">
                  <c:v>0.99992650954580464</c:v>
                </c:pt>
                <c:pt idx="686">
                  <c:v>0.99990853060070339</c:v>
                </c:pt>
                <c:pt idx="687">
                  <c:v>0.9999133281042305</c:v>
                </c:pt>
                <c:pt idx="688">
                  <c:v>0.99990555998190367</c:v>
                </c:pt>
                <c:pt idx="689">
                  <c:v>0.99992156778115626</c:v>
                </c:pt>
                <c:pt idx="690">
                  <c:v>0.9999134080262575</c:v>
                </c:pt>
                <c:pt idx="691">
                  <c:v>0.99992489231617443</c:v>
                </c:pt>
                <c:pt idx="692">
                  <c:v>0.99992294618348854</c:v>
                </c:pt>
                <c:pt idx="693">
                  <c:v>0.99991606352022977</c:v>
                </c:pt>
                <c:pt idx="694">
                  <c:v>0.99992007602578303</c:v>
                </c:pt>
                <c:pt idx="695">
                  <c:v>0.9999184544742088</c:v>
                </c:pt>
                <c:pt idx="696">
                  <c:v>0.99991463549150128</c:v>
                </c:pt>
                <c:pt idx="697">
                  <c:v>0.99990434474964185</c:v>
                </c:pt>
                <c:pt idx="698">
                  <c:v>0.99990924468056919</c:v>
                </c:pt>
                <c:pt idx="699">
                  <c:v>0.99988690556815873</c:v>
                </c:pt>
                <c:pt idx="700">
                  <c:v>0.99988279564662141</c:v>
                </c:pt>
                <c:pt idx="701">
                  <c:v>0.99988648896245635</c:v>
                </c:pt>
                <c:pt idx="702">
                  <c:v>0.99988719336503784</c:v>
                </c:pt>
                <c:pt idx="703">
                  <c:v>0.99990026148771249</c:v>
                </c:pt>
                <c:pt idx="704">
                  <c:v>0.99989463371462606</c:v>
                </c:pt>
                <c:pt idx="705">
                  <c:v>0.99990548411092883</c:v>
                </c:pt>
                <c:pt idx="706">
                  <c:v>0.99990910101067099</c:v>
                </c:pt>
                <c:pt idx="707">
                  <c:v>0.99989429978566902</c:v>
                </c:pt>
                <c:pt idx="708">
                  <c:v>0.99989784289929107</c:v>
                </c:pt>
                <c:pt idx="709">
                  <c:v>0.9998835343394511</c:v>
                </c:pt>
                <c:pt idx="710">
                  <c:v>0.99988316388327969</c:v>
                </c:pt>
                <c:pt idx="711">
                  <c:v>0.99987172110829703</c:v>
                </c:pt>
                <c:pt idx="712">
                  <c:v>0.99987295091218797</c:v>
                </c:pt>
                <c:pt idx="713">
                  <c:v>0.99985923473464577</c:v>
                </c:pt>
                <c:pt idx="714">
                  <c:v>0.99984956278802173</c:v>
                </c:pt>
                <c:pt idx="715">
                  <c:v>0.99985540925945227</c:v>
                </c:pt>
                <c:pt idx="716">
                  <c:v>0.99985898381014249</c:v>
                </c:pt>
                <c:pt idx="717">
                  <c:v>0.99986567692637673</c:v>
                </c:pt>
                <c:pt idx="718">
                  <c:v>0.99985458311612141</c:v>
                </c:pt>
                <c:pt idx="719">
                  <c:v>0.99987213183274015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Output!$L$12:$L$731</c:f>
              <c:numCache>
                <c:formatCode>General</c:formatCode>
                <c:ptCount val="720"/>
                <c:pt idx="0">
                  <c:v>1.0242825717428259</c:v>
                </c:pt>
                <c:pt idx="1">
                  <c:v>1.0318163438494301</c:v>
                </c:pt>
                <c:pt idx="2">
                  <c:v>1.0357058200464628</c:v>
                </c:pt>
                <c:pt idx="3">
                  <c:v>1.0455684310977664</c:v>
                </c:pt>
                <c:pt idx="4">
                  <c:v>1.046061885227721</c:v>
                </c:pt>
                <c:pt idx="5">
                  <c:v>1.0511295837768326</c:v>
                </c:pt>
                <c:pt idx="6">
                  <c:v>1.0586230673450587</c:v>
                </c:pt>
                <c:pt idx="7">
                  <c:v>1.0695078986583668</c:v>
                </c:pt>
                <c:pt idx="8">
                  <c:v>1.074411384468184</c:v>
                </c:pt>
                <c:pt idx="9">
                  <c:v>1.0678366733622535</c:v>
                </c:pt>
                <c:pt idx="10">
                  <c:v>1.0787948368829463</c:v>
                </c:pt>
                <c:pt idx="11">
                  <c:v>1.07725141956449</c:v>
                </c:pt>
                <c:pt idx="12">
                  <c:v>1.0900617343313743</c:v>
                </c:pt>
                <c:pt idx="13">
                  <c:v>1.0889878902818981</c:v>
                </c:pt>
                <c:pt idx="14">
                  <c:v>1.0873256000662952</c:v>
                </c:pt>
                <c:pt idx="15">
                  <c:v>1.086671322697798</c:v>
                </c:pt>
                <c:pt idx="16">
                  <c:v>1.093751172322504</c:v>
                </c:pt>
                <c:pt idx="17">
                  <c:v>1.1001277494510957</c:v>
                </c:pt>
                <c:pt idx="18">
                  <c:v>1.1061386960923421</c:v>
                </c:pt>
                <c:pt idx="19">
                  <c:v>1.0982547632820716</c:v>
                </c:pt>
                <c:pt idx="20">
                  <c:v>1.1009597093408512</c:v>
                </c:pt>
                <c:pt idx="21">
                  <c:v>1.1130129899271439</c:v>
                </c:pt>
                <c:pt idx="22">
                  <c:v>1.1117621012189047</c:v>
                </c:pt>
                <c:pt idx="23">
                  <c:v>1.1101123302854594</c:v>
                </c:pt>
                <c:pt idx="24">
                  <c:v>1.1189065448703612</c:v>
                </c:pt>
                <c:pt idx="25">
                  <c:v>1.1200198163328101</c:v>
                </c:pt>
                <c:pt idx="26">
                  <c:v>1.1300586276308677</c:v>
                </c:pt>
                <c:pt idx="27">
                  <c:v>1.1253818297862845</c:v>
                </c:pt>
                <c:pt idx="28">
                  <c:v>1.1297303434632482</c:v>
                </c:pt>
                <c:pt idx="29">
                  <c:v>1.1288697980514701</c:v>
                </c:pt>
                <c:pt idx="30">
                  <c:v>1.1331288595761855</c:v>
                </c:pt>
                <c:pt idx="31">
                  <c:v>1.1348744434214408</c:v>
                </c:pt>
                <c:pt idx="32">
                  <c:v>1.1473278412347787</c:v>
                </c:pt>
                <c:pt idx="33">
                  <c:v>1.1609997868291344</c:v>
                </c:pt>
                <c:pt idx="34">
                  <c:v>1.1637029317608354</c:v>
                </c:pt>
                <c:pt idx="35">
                  <c:v>1.1725209995451953</c:v>
                </c:pt>
                <c:pt idx="36">
                  <c:v>1.1665621810202738</c:v>
                </c:pt>
                <c:pt idx="37">
                  <c:v>1.1690710635540469</c:v>
                </c:pt>
                <c:pt idx="38">
                  <c:v>1.1767514631963694</c:v>
                </c:pt>
                <c:pt idx="39">
                  <c:v>1.1847157869560279</c:v>
                </c:pt>
                <c:pt idx="40">
                  <c:v>1.1801685132008477</c:v>
                </c:pt>
                <c:pt idx="41">
                  <c:v>1.1757635920659477</c:v>
                </c:pt>
                <c:pt idx="42">
                  <c:v>1.1764217112745206</c:v>
                </c:pt>
                <c:pt idx="43">
                  <c:v>1.1770568050625985</c:v>
                </c:pt>
                <c:pt idx="44">
                  <c:v>1.1836906815218406</c:v>
                </c:pt>
                <c:pt idx="45">
                  <c:v>1.1789165507464228</c:v>
                </c:pt>
                <c:pt idx="46">
                  <c:v>1.1786356402135272</c:v>
                </c:pt>
                <c:pt idx="47">
                  <c:v>1.1754083755248423</c:v>
                </c:pt>
                <c:pt idx="48">
                  <c:v>1.1807468498234062</c:v>
                </c:pt>
                <c:pt idx="49">
                  <c:v>1.1801749287238463</c:v>
                </c:pt>
                <c:pt idx="50">
                  <c:v>1.1861597126309043</c:v>
                </c:pt>
                <c:pt idx="51">
                  <c:v>1.1899113096167433</c:v>
                </c:pt>
                <c:pt idx="52">
                  <c:v>1.184069834234468</c:v>
                </c:pt>
                <c:pt idx="53">
                  <c:v>1.1879259494694185</c:v>
                </c:pt>
                <c:pt idx="54">
                  <c:v>1.1946253785605381</c:v>
                </c:pt>
                <c:pt idx="55">
                  <c:v>1.191453735595412</c:v>
                </c:pt>
                <c:pt idx="56">
                  <c:v>1.1862632350048921</c:v>
                </c:pt>
                <c:pt idx="57">
                  <c:v>1.183961103384553</c:v>
                </c:pt>
                <c:pt idx="58">
                  <c:v>1.189297040481879</c:v>
                </c:pt>
                <c:pt idx="59">
                  <c:v>1.1857983903240974</c:v>
                </c:pt>
                <c:pt idx="60">
                  <c:v>1.1846175010772304</c:v>
                </c:pt>
                <c:pt idx="61">
                  <c:v>1.1973994325943034</c:v>
                </c:pt>
                <c:pt idx="62">
                  <c:v>1.198616932571569</c:v>
                </c:pt>
                <c:pt idx="63">
                  <c:v>1.2007963588344339</c:v>
                </c:pt>
                <c:pt idx="64">
                  <c:v>1.2043928505825523</c:v>
                </c:pt>
                <c:pt idx="65">
                  <c:v>1.2082745140550073</c:v>
                </c:pt>
                <c:pt idx="66">
                  <c:v>1.1995387131491775</c:v>
                </c:pt>
                <c:pt idx="67">
                  <c:v>1.2039976048825347</c:v>
                </c:pt>
                <c:pt idx="68">
                  <c:v>1.1955934235638943</c:v>
                </c:pt>
                <c:pt idx="69">
                  <c:v>1.1990041810017185</c:v>
                </c:pt>
                <c:pt idx="70">
                  <c:v>1.2026904273198942</c:v>
                </c:pt>
                <c:pt idx="71">
                  <c:v>1.203522305341751</c:v>
                </c:pt>
                <c:pt idx="72">
                  <c:v>1.1944516164880929</c:v>
                </c:pt>
                <c:pt idx="73">
                  <c:v>1.1904998564037077</c:v>
                </c:pt>
                <c:pt idx="74">
                  <c:v>1.2002090350170604</c:v>
                </c:pt>
                <c:pt idx="75">
                  <c:v>1.1968163059388162</c:v>
                </c:pt>
                <c:pt idx="76">
                  <c:v>1.1958591744188016</c:v>
                </c:pt>
                <c:pt idx="77">
                  <c:v>1.2025721959271818</c:v>
                </c:pt>
                <c:pt idx="78">
                  <c:v>1.2097372013270169</c:v>
                </c:pt>
                <c:pt idx="79">
                  <c:v>1.2042795925433096</c:v>
                </c:pt>
                <c:pt idx="80">
                  <c:v>1.2008384003672621</c:v>
                </c:pt>
                <c:pt idx="81">
                  <c:v>1.19904583794077</c:v>
                </c:pt>
                <c:pt idx="82">
                  <c:v>1.205785890895241</c:v>
                </c:pt>
                <c:pt idx="83">
                  <c:v>1.2023317870729693</c:v>
                </c:pt>
                <c:pt idx="84">
                  <c:v>1.1996453914617868</c:v>
                </c:pt>
                <c:pt idx="85">
                  <c:v>1.2026498165079229</c:v>
                </c:pt>
                <c:pt idx="86">
                  <c:v>1.2042500088282855</c:v>
                </c:pt>
                <c:pt idx="87">
                  <c:v>1.2032268036563047</c:v>
                </c:pt>
                <c:pt idx="88">
                  <c:v>1.1962069303329079</c:v>
                </c:pt>
                <c:pt idx="89">
                  <c:v>1.1985413636463698</c:v>
                </c:pt>
                <c:pt idx="90">
                  <c:v>1.2144865110020431</c:v>
                </c:pt>
                <c:pt idx="91">
                  <c:v>1.2059980024461696</c:v>
                </c:pt>
                <c:pt idx="92">
                  <c:v>1.204045386409069</c:v>
                </c:pt>
                <c:pt idx="93">
                  <c:v>1.1977560089592101</c:v>
                </c:pt>
                <c:pt idx="94">
                  <c:v>1.1990504437748299</c:v>
                </c:pt>
                <c:pt idx="95">
                  <c:v>1.2123352795192539</c:v>
                </c:pt>
                <c:pt idx="96">
                  <c:v>1.2195906194714869</c:v>
                </c:pt>
                <c:pt idx="97">
                  <c:v>1.2237887316438127</c:v>
                </c:pt>
                <c:pt idx="98">
                  <c:v>1.2208697874583649</c:v>
                </c:pt>
                <c:pt idx="99">
                  <c:v>1.2144255256171752</c:v>
                </c:pt>
                <c:pt idx="100">
                  <c:v>1.2222274482324456</c:v>
                </c:pt>
                <c:pt idx="101">
                  <c:v>1.2221877587137373</c:v>
                </c:pt>
                <c:pt idx="102">
                  <c:v>1.2223410597498738</c:v>
                </c:pt>
                <c:pt idx="103">
                  <c:v>1.2205665096581737</c:v>
                </c:pt>
                <c:pt idx="104">
                  <c:v>1.2196451643514403</c:v>
                </c:pt>
                <c:pt idx="105">
                  <c:v>1.2203377084133518</c:v>
                </c:pt>
                <c:pt idx="106">
                  <c:v>1.2212534116999167</c:v>
                </c:pt>
                <c:pt idx="107">
                  <c:v>1.2149792524958616</c:v>
                </c:pt>
                <c:pt idx="108">
                  <c:v>1.2146067814187818</c:v>
                </c:pt>
                <c:pt idx="109">
                  <c:v>1.2130036468972556</c:v>
                </c:pt>
                <c:pt idx="110">
                  <c:v>1.219180095367119</c:v>
                </c:pt>
                <c:pt idx="111">
                  <c:v>1.2279536381245486</c:v>
                </c:pt>
                <c:pt idx="112">
                  <c:v>1.2264891234170694</c:v>
                </c:pt>
                <c:pt idx="113">
                  <c:v>1.2268306462356795</c:v>
                </c:pt>
                <c:pt idx="114">
                  <c:v>1.2332709884206756</c:v>
                </c:pt>
                <c:pt idx="115">
                  <c:v>1.2322429654265898</c:v>
                </c:pt>
                <c:pt idx="116">
                  <c:v>1.2373662782057704</c:v>
                </c:pt>
                <c:pt idx="117">
                  <c:v>1.2419172213550753</c:v>
                </c:pt>
                <c:pt idx="118">
                  <c:v>1.2321173439938506</c:v>
                </c:pt>
                <c:pt idx="119">
                  <c:v>1.2381079538854958</c:v>
                </c:pt>
                <c:pt idx="120">
                  <c:v>1.2350717408097234</c:v>
                </c:pt>
                <c:pt idx="121">
                  <c:v>1.2419687437477167</c:v>
                </c:pt>
                <c:pt idx="122">
                  <c:v>1.2415892664594728</c:v>
                </c:pt>
                <c:pt idx="123">
                  <c:v>1.2441955482142641</c:v>
                </c:pt>
                <c:pt idx="124">
                  <c:v>1.2396345619749431</c:v>
                </c:pt>
                <c:pt idx="125">
                  <c:v>1.2534141209130638</c:v>
                </c:pt>
                <c:pt idx="126">
                  <c:v>1.2509919842284998</c:v>
                </c:pt>
                <c:pt idx="127">
                  <c:v>1.2530495577473852</c:v>
                </c:pt>
                <c:pt idx="128">
                  <c:v>1.2554387955372561</c:v>
                </c:pt>
                <c:pt idx="129">
                  <c:v>1.2561021249789903</c:v>
                </c:pt>
                <c:pt idx="130">
                  <c:v>1.2525858911242858</c:v>
                </c:pt>
                <c:pt idx="131">
                  <c:v>1.2559772850825379</c:v>
                </c:pt>
                <c:pt idx="132">
                  <c:v>1.2562711400820263</c:v>
                </c:pt>
                <c:pt idx="133">
                  <c:v>1.2677966473673909</c:v>
                </c:pt>
                <c:pt idx="134">
                  <c:v>1.2816425178693842</c:v>
                </c:pt>
                <c:pt idx="135">
                  <c:v>1.2835800335952505</c:v>
                </c:pt>
                <c:pt idx="136">
                  <c:v>1.2808870800040106</c:v>
                </c:pt>
                <c:pt idx="137">
                  <c:v>1.2750582176203911</c:v>
                </c:pt>
                <c:pt idx="138">
                  <c:v>1.2844833326576222</c:v>
                </c:pt>
                <c:pt idx="139">
                  <c:v>1.2902101262576078</c:v>
                </c:pt>
                <c:pt idx="140">
                  <c:v>1.2932040901334099</c:v>
                </c:pt>
                <c:pt idx="141">
                  <c:v>1.2981416747027965</c:v>
                </c:pt>
                <c:pt idx="142">
                  <c:v>1.2940066309608764</c:v>
                </c:pt>
                <c:pt idx="143">
                  <c:v>1.2963751017497682</c:v>
                </c:pt>
                <c:pt idx="144">
                  <c:v>1.2947737566572326</c:v>
                </c:pt>
                <c:pt idx="145">
                  <c:v>1.278496278910795</c:v>
                </c:pt>
                <c:pt idx="146">
                  <c:v>1.283184749029129</c:v>
                </c:pt>
                <c:pt idx="147">
                  <c:v>1.2812591213927624</c:v>
                </c:pt>
                <c:pt idx="148">
                  <c:v>1.2750960363684878</c:v>
                </c:pt>
                <c:pt idx="149">
                  <c:v>1.293054530987916</c:v>
                </c:pt>
                <c:pt idx="150">
                  <c:v>1.3000694492097202</c:v>
                </c:pt>
                <c:pt idx="151">
                  <c:v>1.3131937917732581</c:v>
                </c:pt>
                <c:pt idx="152">
                  <c:v>1.3145836206585668</c:v>
                </c:pt>
                <c:pt idx="153">
                  <c:v>1.310211931403753</c:v>
                </c:pt>
                <c:pt idx="154">
                  <c:v>1.3178108832004982</c:v>
                </c:pt>
                <c:pt idx="155">
                  <c:v>1.3148948380717824</c:v>
                </c:pt>
                <c:pt idx="156">
                  <c:v>1.3114026932098966</c:v>
                </c:pt>
                <c:pt idx="157">
                  <c:v>1.3077882656779902</c:v>
                </c:pt>
                <c:pt idx="158">
                  <c:v>1.3214504906290496</c:v>
                </c:pt>
                <c:pt idx="159">
                  <c:v>1.3193184864076002</c:v>
                </c:pt>
                <c:pt idx="160">
                  <c:v>1.3210402764452001</c:v>
                </c:pt>
                <c:pt idx="161">
                  <c:v>1.3283494823200581</c:v>
                </c:pt>
                <c:pt idx="162">
                  <c:v>1.3365023020970759</c:v>
                </c:pt>
                <c:pt idx="163">
                  <c:v>1.3433396755148541</c:v>
                </c:pt>
                <c:pt idx="164">
                  <c:v>1.3385385306027884</c:v>
                </c:pt>
                <c:pt idx="165">
                  <c:v>1.3420251950833713</c:v>
                </c:pt>
                <c:pt idx="166">
                  <c:v>1.3380831800608164</c:v>
                </c:pt>
                <c:pt idx="167">
                  <c:v>1.3464725261385697</c:v>
                </c:pt>
                <c:pt idx="168">
                  <c:v>1.350767784240269</c:v>
                </c:pt>
                <c:pt idx="169">
                  <c:v>1.3563391723844063</c:v>
                </c:pt>
                <c:pt idx="170">
                  <c:v>1.3488060561325201</c:v>
                </c:pt>
                <c:pt idx="171">
                  <c:v>1.3575874206747636</c:v>
                </c:pt>
                <c:pt idx="172">
                  <c:v>1.3440591159926547</c:v>
                </c:pt>
                <c:pt idx="173">
                  <c:v>1.3573349720524626</c:v>
                </c:pt>
                <c:pt idx="174">
                  <c:v>1.3622148911765593</c:v>
                </c:pt>
                <c:pt idx="175">
                  <c:v>1.3581288625659556</c:v>
                </c:pt>
                <c:pt idx="176">
                  <c:v>1.356450033192655</c:v>
                </c:pt>
                <c:pt idx="177">
                  <c:v>1.366851019219012</c:v>
                </c:pt>
                <c:pt idx="178">
                  <c:v>1.374970662718449</c:v>
                </c:pt>
                <c:pt idx="179">
                  <c:v>1.3709179460488869</c:v>
                </c:pt>
                <c:pt idx="180">
                  <c:v>1.3630916570847653</c:v>
                </c:pt>
                <c:pt idx="181">
                  <c:v>1.3727050241484036</c:v>
                </c:pt>
                <c:pt idx="182">
                  <c:v>1.3704690707675951</c:v>
                </c:pt>
                <c:pt idx="183">
                  <c:v>1.3495539470984061</c:v>
                </c:pt>
                <c:pt idx="184">
                  <c:v>1.353396195234466</c:v>
                </c:pt>
                <c:pt idx="185">
                  <c:v>1.3524000619724623</c:v>
                </c:pt>
                <c:pt idx="186">
                  <c:v>1.35602708066402</c:v>
                </c:pt>
                <c:pt idx="187">
                  <c:v>1.3661917497641913</c:v>
                </c:pt>
                <c:pt idx="188">
                  <c:v>1.3747127748297197</c:v>
                </c:pt>
                <c:pt idx="189">
                  <c:v>1.3722845084377051</c:v>
                </c:pt>
                <c:pt idx="190">
                  <c:v>1.3763811785905238</c:v>
                </c:pt>
                <c:pt idx="191">
                  <c:v>1.3767556291077743</c:v>
                </c:pt>
                <c:pt idx="192">
                  <c:v>1.379171386127942</c:v>
                </c:pt>
                <c:pt idx="193">
                  <c:v>1.376117786428356</c:v>
                </c:pt>
                <c:pt idx="194">
                  <c:v>1.3856559738846803</c:v>
                </c:pt>
                <c:pt idx="195">
                  <c:v>1.4014651285102206</c:v>
                </c:pt>
                <c:pt idx="196">
                  <c:v>1.3914856127175097</c:v>
                </c:pt>
                <c:pt idx="197">
                  <c:v>1.3939020752549756</c:v>
                </c:pt>
                <c:pt idx="198">
                  <c:v>1.3959019878598291</c:v>
                </c:pt>
                <c:pt idx="199">
                  <c:v>1.4051254532703013</c:v>
                </c:pt>
                <c:pt idx="200">
                  <c:v>1.3929451219059408</c:v>
                </c:pt>
                <c:pt idx="201">
                  <c:v>1.3803905500354892</c:v>
                </c:pt>
                <c:pt idx="202">
                  <c:v>1.3710664770542385</c:v>
                </c:pt>
                <c:pt idx="203">
                  <c:v>1.3777270680129694</c:v>
                </c:pt>
                <c:pt idx="204">
                  <c:v>1.3823574862909911</c:v>
                </c:pt>
                <c:pt idx="205">
                  <c:v>1.3768062369110932</c:v>
                </c:pt>
                <c:pt idx="206">
                  <c:v>1.3961626936207681</c:v>
                </c:pt>
                <c:pt idx="207">
                  <c:v>1.3844880502134447</c:v>
                </c:pt>
                <c:pt idx="208">
                  <c:v>1.3640457627582114</c:v>
                </c:pt>
                <c:pt idx="209">
                  <c:v>1.3518825119316542</c:v>
                </c:pt>
                <c:pt idx="210">
                  <c:v>1.3516612974761599</c:v>
                </c:pt>
                <c:pt idx="211">
                  <c:v>1.3617781740092283</c:v>
                </c:pt>
                <c:pt idx="212">
                  <c:v>1.3710409269765336</c:v>
                </c:pt>
                <c:pt idx="213">
                  <c:v>1.3657944303026359</c:v>
                </c:pt>
                <c:pt idx="214">
                  <c:v>1.3701667059108458</c:v>
                </c:pt>
                <c:pt idx="215">
                  <c:v>1.3679521946768185</c:v>
                </c:pt>
                <c:pt idx="216">
                  <c:v>1.3609700742293354</c:v>
                </c:pt>
                <c:pt idx="217">
                  <c:v>1.3606805348114894</c:v>
                </c:pt>
                <c:pt idx="218">
                  <c:v>1.356365160667919</c:v>
                </c:pt>
                <c:pt idx="219">
                  <c:v>1.3613138911575076</c:v>
                </c:pt>
                <c:pt idx="220">
                  <c:v>1.3611670692733151</c:v>
                </c:pt>
                <c:pt idx="221">
                  <c:v>1.3511507394857989</c:v>
                </c:pt>
                <c:pt idx="222">
                  <c:v>1.3477766069895201</c:v>
                </c:pt>
                <c:pt idx="223">
                  <c:v>1.3508579295645244</c:v>
                </c:pt>
                <c:pt idx="224">
                  <c:v>1.343117680720622</c:v>
                </c:pt>
                <c:pt idx="225">
                  <c:v>1.3372632803093534</c:v>
                </c:pt>
                <c:pt idx="226">
                  <c:v>1.3444620337162547</c:v>
                </c:pt>
                <c:pt idx="227">
                  <c:v>1.3396817903929987</c:v>
                </c:pt>
                <c:pt idx="228">
                  <c:v>1.3464818235391893</c:v>
                </c:pt>
                <c:pt idx="229">
                  <c:v>1.3466184451950471</c:v>
                </c:pt>
                <c:pt idx="230">
                  <c:v>1.3570983228940929</c:v>
                </c:pt>
                <c:pt idx="231">
                  <c:v>1.3491703053424629</c:v>
                </c:pt>
                <c:pt idx="232">
                  <c:v>1.3377221597292543</c:v>
                </c:pt>
                <c:pt idx="233">
                  <c:v>1.3381824221497993</c:v>
                </c:pt>
                <c:pt idx="234">
                  <c:v>1.3292800668853366</c:v>
                </c:pt>
                <c:pt idx="235">
                  <c:v>1.3339719591658283</c:v>
                </c:pt>
                <c:pt idx="236">
                  <c:v>1.3354916624398949</c:v>
                </c:pt>
                <c:pt idx="237">
                  <c:v>1.346934687431623</c:v>
                </c:pt>
                <c:pt idx="238">
                  <c:v>1.3513992944457547</c:v>
                </c:pt>
                <c:pt idx="239">
                  <c:v>1.3646441744259417</c:v>
                </c:pt>
                <c:pt idx="240">
                  <c:v>1.3671879002650873</c:v>
                </c:pt>
                <c:pt idx="241">
                  <c:v>1.3796145408840657</c:v>
                </c:pt>
                <c:pt idx="242">
                  <c:v>1.3787952585916305</c:v>
                </c:pt>
                <c:pt idx="243">
                  <c:v>1.3868847789845855</c:v>
                </c:pt>
                <c:pt idx="244">
                  <c:v>1.4037941809910055</c:v>
                </c:pt>
                <c:pt idx="245">
                  <c:v>1.3991697088034891</c:v>
                </c:pt>
                <c:pt idx="246">
                  <c:v>1.4026120990051856</c:v>
                </c:pt>
                <c:pt idx="247">
                  <c:v>1.4103274839365445</c:v>
                </c:pt>
                <c:pt idx="248">
                  <c:v>1.4129074116348308</c:v>
                </c:pt>
                <c:pt idx="249">
                  <c:v>1.4038530223849202</c:v>
                </c:pt>
                <c:pt idx="250">
                  <c:v>1.408191054047637</c:v>
                </c:pt>
                <c:pt idx="251">
                  <c:v>1.4089444843071834</c:v>
                </c:pt>
                <c:pt idx="252">
                  <c:v>1.4014575055092746</c:v>
                </c:pt>
                <c:pt idx="253">
                  <c:v>1.3999987672883392</c:v>
                </c:pt>
                <c:pt idx="254">
                  <c:v>1.4011488491779251</c:v>
                </c:pt>
                <c:pt idx="255">
                  <c:v>1.3961783352538142</c:v>
                </c:pt>
                <c:pt idx="256">
                  <c:v>1.4013943074147679</c:v>
                </c:pt>
                <c:pt idx="257">
                  <c:v>1.4017857991517113</c:v>
                </c:pt>
                <c:pt idx="258">
                  <c:v>1.411762681889454</c:v>
                </c:pt>
                <c:pt idx="259">
                  <c:v>1.4248338785581707</c:v>
                </c:pt>
                <c:pt idx="260">
                  <c:v>1.4113591542325439</c:v>
                </c:pt>
                <c:pt idx="261">
                  <c:v>1.4097749252641345</c:v>
                </c:pt>
                <c:pt idx="262">
                  <c:v>1.415929785145263</c:v>
                </c:pt>
                <c:pt idx="263">
                  <c:v>1.4179924619423654</c:v>
                </c:pt>
                <c:pt idx="264">
                  <c:v>1.4246194144968036</c:v>
                </c:pt>
                <c:pt idx="265">
                  <c:v>1.4345846560680209</c:v>
                </c:pt>
                <c:pt idx="266">
                  <c:v>1.4415862831292787</c:v>
                </c:pt>
                <c:pt idx="267">
                  <c:v>1.4348998513905222</c:v>
                </c:pt>
                <c:pt idx="268">
                  <c:v>1.4416441507000946</c:v>
                </c:pt>
                <c:pt idx="269">
                  <c:v>1.4596349345406237</c:v>
                </c:pt>
                <c:pt idx="270">
                  <c:v>1.4654264686186511</c:v>
                </c:pt>
                <c:pt idx="271">
                  <c:v>1.451706697698518</c:v>
                </c:pt>
                <c:pt idx="272">
                  <c:v>1.4554906968425154</c:v>
                </c:pt>
                <c:pt idx="273">
                  <c:v>1.4670950912733827</c:v>
                </c:pt>
                <c:pt idx="274">
                  <c:v>1.4590382414795597</c:v>
                </c:pt>
                <c:pt idx="275">
                  <c:v>1.4568575072512295</c:v>
                </c:pt>
                <c:pt idx="276">
                  <c:v>1.4579775309108496</c:v>
                </c:pt>
                <c:pt idx="277">
                  <c:v>1.4601661218158031</c:v>
                </c:pt>
                <c:pt idx="278">
                  <c:v>1.4689643538393646</c:v>
                </c:pt>
                <c:pt idx="279">
                  <c:v>1.4683606635053053</c:v>
                </c:pt>
                <c:pt idx="280">
                  <c:v>1.4633521355115302</c:v>
                </c:pt>
                <c:pt idx="281">
                  <c:v>1.4546610208150299</c:v>
                </c:pt>
                <c:pt idx="282">
                  <c:v>1.4525201770630558</c:v>
                </c:pt>
                <c:pt idx="283">
                  <c:v>1.449060595507349</c:v>
                </c:pt>
                <c:pt idx="284">
                  <c:v>1.4378896324150483</c:v>
                </c:pt>
                <c:pt idx="285">
                  <c:v>1.4436126840235908</c:v>
                </c:pt>
                <c:pt idx="286">
                  <c:v>1.4493375391021175</c:v>
                </c:pt>
                <c:pt idx="287">
                  <c:v>1.4646870614783964</c:v>
                </c:pt>
                <c:pt idx="288">
                  <c:v>1.4713147700871343</c:v>
                </c:pt>
                <c:pt idx="289">
                  <c:v>1.4634349697023796</c:v>
                </c:pt>
                <c:pt idx="290">
                  <c:v>1.4642109218511026</c:v>
                </c:pt>
                <c:pt idx="291">
                  <c:v>1.4623756637450489</c:v>
                </c:pt>
                <c:pt idx="292">
                  <c:v>1.4598872205208984</c:v>
                </c:pt>
                <c:pt idx="293">
                  <c:v>1.4539009494683073</c:v>
                </c:pt>
                <c:pt idx="294">
                  <c:v>1.4365892626961045</c:v>
                </c:pt>
                <c:pt idx="295">
                  <c:v>1.446908636342946</c:v>
                </c:pt>
                <c:pt idx="296">
                  <c:v>1.448354815721169</c:v>
                </c:pt>
                <c:pt idx="297">
                  <c:v>1.4442495370407438</c:v>
                </c:pt>
                <c:pt idx="298">
                  <c:v>1.4408250815912353</c:v>
                </c:pt>
                <c:pt idx="299">
                  <c:v>1.4314105362958287</c:v>
                </c:pt>
                <c:pt idx="300">
                  <c:v>1.4312608089410404</c:v>
                </c:pt>
                <c:pt idx="301">
                  <c:v>1.446088602109791</c:v>
                </c:pt>
                <c:pt idx="302">
                  <c:v>1.4623529417253018</c:v>
                </c:pt>
                <c:pt idx="303">
                  <c:v>1.4425107924059932</c:v>
                </c:pt>
                <c:pt idx="304">
                  <c:v>1.4437660608660017</c:v>
                </c:pt>
                <c:pt idx="305">
                  <c:v>1.4405708144638498</c:v>
                </c:pt>
                <c:pt idx="306">
                  <c:v>1.4361799514740223</c:v>
                </c:pt>
                <c:pt idx="307">
                  <c:v>1.4430470534079844</c:v>
                </c:pt>
                <c:pt idx="308">
                  <c:v>1.4458984890744657</c:v>
                </c:pt>
                <c:pt idx="309">
                  <c:v>1.4467428436506133</c:v>
                </c:pt>
                <c:pt idx="310">
                  <c:v>1.4457097327554156</c:v>
                </c:pt>
                <c:pt idx="311">
                  <c:v>1.4468548238314807</c:v>
                </c:pt>
                <c:pt idx="312">
                  <c:v>1.4581193360457483</c:v>
                </c:pt>
                <c:pt idx="313">
                  <c:v>1.4696051271281514</c:v>
                </c:pt>
                <c:pt idx="314">
                  <c:v>1.4747781851576223</c:v>
                </c:pt>
                <c:pt idx="315">
                  <c:v>1.4664177023541265</c:v>
                </c:pt>
                <c:pt idx="316">
                  <c:v>1.4604596252795952</c:v>
                </c:pt>
                <c:pt idx="317">
                  <c:v>1.4623236786518157</c:v>
                </c:pt>
                <c:pt idx="318">
                  <c:v>1.4618205984574022</c:v>
                </c:pt>
                <c:pt idx="319">
                  <c:v>1.4640807000105347</c:v>
                </c:pt>
                <c:pt idx="320">
                  <c:v>1.464501809169884</c:v>
                </c:pt>
                <c:pt idx="321">
                  <c:v>1.4611293483852816</c:v>
                </c:pt>
                <c:pt idx="322">
                  <c:v>1.4610494371237428</c:v>
                </c:pt>
                <c:pt idx="323">
                  <c:v>1.4618163333184979</c:v>
                </c:pt>
                <c:pt idx="324">
                  <c:v>1.4646288921238428</c:v>
                </c:pt>
                <c:pt idx="325">
                  <c:v>1.4623594170509717</c:v>
                </c:pt>
                <c:pt idx="326">
                  <c:v>1.4586068392100877</c:v>
                </c:pt>
                <c:pt idx="327">
                  <c:v>1.4622234965326248</c:v>
                </c:pt>
                <c:pt idx="328">
                  <c:v>1.469969027375156</c:v>
                </c:pt>
                <c:pt idx="329">
                  <c:v>1.4654646151552544</c:v>
                </c:pt>
                <c:pt idx="330">
                  <c:v>1.4773830781748476</c:v>
                </c:pt>
                <c:pt idx="331">
                  <c:v>1.4766464399743244</c:v>
                </c:pt>
                <c:pt idx="332">
                  <c:v>1.4957475403724894</c:v>
                </c:pt>
                <c:pt idx="333">
                  <c:v>1.4865987385578487</c:v>
                </c:pt>
                <c:pt idx="334">
                  <c:v>1.4892627868098773</c:v>
                </c:pt>
                <c:pt idx="335">
                  <c:v>1.4821923787497182</c:v>
                </c:pt>
                <c:pt idx="336">
                  <c:v>1.4898236354836913</c:v>
                </c:pt>
                <c:pt idx="337">
                  <c:v>1.480645948601107</c:v>
                </c:pt>
                <c:pt idx="338">
                  <c:v>1.4842790055799842</c:v>
                </c:pt>
                <c:pt idx="339">
                  <c:v>1.4749073919229931</c:v>
                </c:pt>
                <c:pt idx="340">
                  <c:v>1.4633579244292967</c:v>
                </c:pt>
                <c:pt idx="341">
                  <c:v>1.459643890591616</c:v>
                </c:pt>
                <c:pt idx="342">
                  <c:v>1.4710732268353846</c:v>
                </c:pt>
                <c:pt idx="343">
                  <c:v>1.4724539384792694</c:v>
                </c:pt>
                <c:pt idx="344">
                  <c:v>1.4774296376107574</c:v>
                </c:pt>
                <c:pt idx="345">
                  <c:v>1.475314730163958</c:v>
                </c:pt>
                <c:pt idx="346">
                  <c:v>1.4733652021508914</c:v>
                </c:pt>
                <c:pt idx="347">
                  <c:v>1.4673179960896938</c:v>
                </c:pt>
                <c:pt idx="348">
                  <c:v>1.4748625146457279</c:v>
                </c:pt>
                <c:pt idx="349">
                  <c:v>1.4864788009585854</c:v>
                </c:pt>
                <c:pt idx="350">
                  <c:v>1.4846738324736779</c:v>
                </c:pt>
                <c:pt idx="351">
                  <c:v>1.4929761392404048</c:v>
                </c:pt>
                <c:pt idx="352">
                  <c:v>1.4950219861144405</c:v>
                </c:pt>
                <c:pt idx="353">
                  <c:v>1.5008464923663838</c:v>
                </c:pt>
                <c:pt idx="354">
                  <c:v>1.5120022377464473</c:v>
                </c:pt>
                <c:pt idx="355">
                  <c:v>1.5180066238693499</c:v>
                </c:pt>
                <c:pt idx="356">
                  <c:v>1.5081570103295079</c:v>
                </c:pt>
                <c:pt idx="357">
                  <c:v>1.5170182157276908</c:v>
                </c:pt>
                <c:pt idx="358">
                  <c:v>1.5132442592951407</c:v>
                </c:pt>
                <c:pt idx="359">
                  <c:v>1.5205659790465103</c:v>
                </c:pt>
                <c:pt idx="360">
                  <c:v>1.5213688315742271</c:v>
                </c:pt>
                <c:pt idx="361">
                  <c:v>1.5365599231797118</c:v>
                </c:pt>
                <c:pt idx="362">
                  <c:v>1.5310669889882262</c:v>
                </c:pt>
                <c:pt idx="363">
                  <c:v>1.5227951822202217</c:v>
                </c:pt>
                <c:pt idx="364">
                  <c:v>1.522547192318056</c:v>
                </c:pt>
                <c:pt idx="365">
                  <c:v>1.51830088013918</c:v>
                </c:pt>
                <c:pt idx="366">
                  <c:v>1.5139909516304273</c:v>
                </c:pt>
                <c:pt idx="367">
                  <c:v>1.5253548786174749</c:v>
                </c:pt>
                <c:pt idx="368">
                  <c:v>1.5331250743258809</c:v>
                </c:pt>
                <c:pt idx="369">
                  <c:v>1.5404792322221659</c:v>
                </c:pt>
                <c:pt idx="370">
                  <c:v>1.5414107097749088</c:v>
                </c:pt>
                <c:pt idx="371">
                  <c:v>1.5408856495559031</c:v>
                </c:pt>
                <c:pt idx="372">
                  <c:v>1.5437252312215783</c:v>
                </c:pt>
                <c:pt idx="373">
                  <c:v>1.5323312096846677</c:v>
                </c:pt>
                <c:pt idx="374">
                  <c:v>1.5351503099351833</c:v>
                </c:pt>
                <c:pt idx="375">
                  <c:v>1.5458802084947902</c:v>
                </c:pt>
                <c:pt idx="376">
                  <c:v>1.546180557239049</c:v>
                </c:pt>
                <c:pt idx="377">
                  <c:v>1.548057955373203</c:v>
                </c:pt>
                <c:pt idx="378">
                  <c:v>1.548773453081209</c:v>
                </c:pt>
                <c:pt idx="379">
                  <c:v>1.5447401070687781</c:v>
                </c:pt>
                <c:pt idx="380">
                  <c:v>1.5472553075245454</c:v>
                </c:pt>
                <c:pt idx="381">
                  <c:v>1.548343721319692</c:v>
                </c:pt>
                <c:pt idx="382">
                  <c:v>1.5667586159108695</c:v>
                </c:pt>
                <c:pt idx="383">
                  <c:v>1.5715489429323648</c:v>
                </c:pt>
                <c:pt idx="384">
                  <c:v>1.5680494690908087</c:v>
                </c:pt>
                <c:pt idx="385">
                  <c:v>1.5739467672762519</c:v>
                </c:pt>
                <c:pt idx="386">
                  <c:v>1.5739204701433676</c:v>
                </c:pt>
                <c:pt idx="387">
                  <c:v>1.5793502149850152</c:v>
                </c:pt>
                <c:pt idx="388">
                  <c:v>1.5780298244611004</c:v>
                </c:pt>
                <c:pt idx="389">
                  <c:v>1.5818174971114918</c:v>
                </c:pt>
                <c:pt idx="390">
                  <c:v>1.5759399510965664</c:v>
                </c:pt>
                <c:pt idx="391">
                  <c:v>1.5726015130010296</c:v>
                </c:pt>
                <c:pt idx="392">
                  <c:v>1.5727276736037707</c:v>
                </c:pt>
                <c:pt idx="393">
                  <c:v>1.5685197714063894</c:v>
                </c:pt>
                <c:pt idx="394">
                  <c:v>1.566663844373301</c:v>
                </c:pt>
                <c:pt idx="395">
                  <c:v>1.5627110233076178</c:v>
                </c:pt>
                <c:pt idx="396">
                  <c:v>1.55366270400466</c:v>
                </c:pt>
                <c:pt idx="397">
                  <c:v>1.5524146756736932</c:v>
                </c:pt>
                <c:pt idx="398">
                  <c:v>1.5583518214235557</c:v>
                </c:pt>
                <c:pt idx="399">
                  <c:v>1.5717776825466492</c:v>
                </c:pt>
                <c:pt idx="400">
                  <c:v>1.5813256867995855</c:v>
                </c:pt>
                <c:pt idx="401">
                  <c:v>1.5603230875121985</c:v>
                </c:pt>
                <c:pt idx="402">
                  <c:v>1.5598270965681271</c:v>
                </c:pt>
                <c:pt idx="403">
                  <c:v>1.5601133029174474</c:v>
                </c:pt>
                <c:pt idx="404">
                  <c:v>1.562292348382714</c:v>
                </c:pt>
                <c:pt idx="405">
                  <c:v>1.5514563841174653</c:v>
                </c:pt>
                <c:pt idx="406">
                  <c:v>1.5573040764165185</c:v>
                </c:pt>
                <c:pt idx="407">
                  <c:v>1.5465496572062665</c:v>
                </c:pt>
                <c:pt idx="408">
                  <c:v>1.5470549158570699</c:v>
                </c:pt>
                <c:pt idx="409">
                  <c:v>1.5500750586741492</c:v>
                </c:pt>
                <c:pt idx="410">
                  <c:v>1.5496817196537931</c:v>
                </c:pt>
                <c:pt idx="411">
                  <c:v>1.5385185486648871</c:v>
                </c:pt>
                <c:pt idx="412">
                  <c:v>1.5448889942984405</c:v>
                </c:pt>
                <c:pt idx="413">
                  <c:v>1.5473578302701048</c:v>
                </c:pt>
                <c:pt idx="414">
                  <c:v>1.543243255705768</c:v>
                </c:pt>
                <c:pt idx="415">
                  <c:v>1.5400626173681859</c:v>
                </c:pt>
                <c:pt idx="416">
                  <c:v>1.5365876963996461</c:v>
                </c:pt>
                <c:pt idx="417">
                  <c:v>1.5358504068353978</c:v>
                </c:pt>
                <c:pt idx="418">
                  <c:v>1.5307638782713935</c:v>
                </c:pt>
                <c:pt idx="419">
                  <c:v>1.5299206341547253</c:v>
                </c:pt>
                <c:pt idx="420">
                  <c:v>1.5302086874812628</c:v>
                </c:pt>
                <c:pt idx="421">
                  <c:v>1.5412684868512068</c:v>
                </c:pt>
                <c:pt idx="422">
                  <c:v>1.5345496689289944</c:v>
                </c:pt>
                <c:pt idx="423">
                  <c:v>1.531579691453425</c:v>
                </c:pt>
                <c:pt idx="424">
                  <c:v>1.5315212623302976</c:v>
                </c:pt>
                <c:pt idx="425">
                  <c:v>1.5255812108214934</c:v>
                </c:pt>
                <c:pt idx="426">
                  <c:v>1.5264636783409962</c:v>
                </c:pt>
                <c:pt idx="427">
                  <c:v>1.5317413587678159</c:v>
                </c:pt>
                <c:pt idx="428">
                  <c:v>1.5232848084473458</c:v>
                </c:pt>
                <c:pt idx="429">
                  <c:v>1.5186401716640914</c:v>
                </c:pt>
                <c:pt idx="430">
                  <c:v>1.5157755258608598</c:v>
                </c:pt>
                <c:pt idx="431">
                  <c:v>1.5208294463078831</c:v>
                </c:pt>
                <c:pt idx="432">
                  <c:v>1.5122495204973754</c:v>
                </c:pt>
                <c:pt idx="433">
                  <c:v>1.5207065191388944</c:v>
                </c:pt>
                <c:pt idx="434">
                  <c:v>1.5116921048425649</c:v>
                </c:pt>
                <c:pt idx="435">
                  <c:v>1.5126458666424192</c:v>
                </c:pt>
                <c:pt idx="436">
                  <c:v>1.5127687427649341</c:v>
                </c:pt>
                <c:pt idx="437">
                  <c:v>1.5088843454470842</c:v>
                </c:pt>
                <c:pt idx="438">
                  <c:v>1.5061966404102298</c:v>
                </c:pt>
                <c:pt idx="439">
                  <c:v>1.5179182775961064</c:v>
                </c:pt>
                <c:pt idx="440">
                  <c:v>1.5308834442835118</c:v>
                </c:pt>
                <c:pt idx="441">
                  <c:v>1.5264249110083556</c:v>
                </c:pt>
                <c:pt idx="442">
                  <c:v>1.5341442007242456</c:v>
                </c:pt>
                <c:pt idx="443">
                  <c:v>1.534026494141268</c:v>
                </c:pt>
                <c:pt idx="444">
                  <c:v>1.5448555065247986</c:v>
                </c:pt>
                <c:pt idx="445">
                  <c:v>1.5469235238074799</c:v>
                </c:pt>
                <c:pt idx="446">
                  <c:v>1.5540614377959612</c:v>
                </c:pt>
                <c:pt idx="447">
                  <c:v>1.5469300648379625</c:v>
                </c:pt>
                <c:pt idx="448">
                  <c:v>1.536794245404377</c:v>
                </c:pt>
                <c:pt idx="449">
                  <c:v>1.535503047820427</c:v>
                </c:pt>
                <c:pt idx="450">
                  <c:v>1.5450599158215577</c:v>
                </c:pt>
                <c:pt idx="451">
                  <c:v>1.5484839735291804</c:v>
                </c:pt>
                <c:pt idx="452">
                  <c:v>1.5554416558958795</c:v>
                </c:pt>
                <c:pt idx="453">
                  <c:v>1.5571108318223144</c:v>
                </c:pt>
                <c:pt idx="454">
                  <c:v>1.540437079941575</c:v>
                </c:pt>
                <c:pt idx="455">
                  <c:v>1.5456576763919685</c:v>
                </c:pt>
                <c:pt idx="456">
                  <c:v>1.5441658542026899</c:v>
                </c:pt>
                <c:pt idx="457">
                  <c:v>1.5466192862954142</c:v>
                </c:pt>
                <c:pt idx="458">
                  <c:v>1.542919351919225</c:v>
                </c:pt>
                <c:pt idx="459">
                  <c:v>1.5534528419550948</c:v>
                </c:pt>
                <c:pt idx="460">
                  <c:v>1.544919082313436</c:v>
                </c:pt>
                <c:pt idx="461">
                  <c:v>1.5392344473552788</c:v>
                </c:pt>
                <c:pt idx="462">
                  <c:v>1.5355470129078124</c:v>
                </c:pt>
                <c:pt idx="463">
                  <c:v>1.5288234994759105</c:v>
                </c:pt>
                <c:pt idx="464">
                  <c:v>1.520283345976092</c:v>
                </c:pt>
                <c:pt idx="465">
                  <c:v>1.5224618244142583</c:v>
                </c:pt>
                <c:pt idx="466">
                  <c:v>1.525451683804719</c:v>
                </c:pt>
                <c:pt idx="467">
                  <c:v>1.5423508423830081</c:v>
                </c:pt>
                <c:pt idx="468">
                  <c:v>1.5452584500479585</c:v>
                </c:pt>
                <c:pt idx="469">
                  <c:v>1.5356211808597011</c:v>
                </c:pt>
                <c:pt idx="470">
                  <c:v>1.5296065364079248</c:v>
                </c:pt>
                <c:pt idx="471">
                  <c:v>1.5322826962397778</c:v>
                </c:pt>
                <c:pt idx="472">
                  <c:v>1.5327441158110731</c:v>
                </c:pt>
                <c:pt idx="473">
                  <c:v>1.5540112687187226</c:v>
                </c:pt>
                <c:pt idx="474">
                  <c:v>1.5566771983049454</c:v>
                </c:pt>
                <c:pt idx="475">
                  <c:v>1.5450840480483132</c:v>
                </c:pt>
                <c:pt idx="476">
                  <c:v>1.5380101885525774</c:v>
                </c:pt>
                <c:pt idx="477">
                  <c:v>1.540945262681211</c:v>
                </c:pt>
                <c:pt idx="478">
                  <c:v>1.5351713600678838</c:v>
                </c:pt>
                <c:pt idx="479">
                  <c:v>1.5471288682705466</c:v>
                </c:pt>
                <c:pt idx="480">
                  <c:v>1.5526671872516438</c:v>
                </c:pt>
                <c:pt idx="481">
                  <c:v>1.5466870558781542</c:v>
                </c:pt>
                <c:pt idx="482">
                  <c:v>1.5581238209618398</c:v>
                </c:pt>
                <c:pt idx="483">
                  <c:v>1.5513797530692737</c:v>
                </c:pt>
                <c:pt idx="484">
                  <c:v>1.5425324505728435</c:v>
                </c:pt>
                <c:pt idx="485">
                  <c:v>1.5638798494356165</c:v>
                </c:pt>
                <c:pt idx="486">
                  <c:v>1.5696180105480451</c:v>
                </c:pt>
                <c:pt idx="487">
                  <c:v>1.5510270752934876</c:v>
                </c:pt>
                <c:pt idx="488">
                  <c:v>1.5666757067924049</c:v>
                </c:pt>
                <c:pt idx="489">
                  <c:v>1.5675489001269904</c:v>
                </c:pt>
                <c:pt idx="490">
                  <c:v>1.5573854990106899</c:v>
                </c:pt>
                <c:pt idx="491">
                  <c:v>1.5610170929604603</c:v>
                </c:pt>
                <c:pt idx="492">
                  <c:v>1.5680369124826925</c:v>
                </c:pt>
                <c:pt idx="493">
                  <c:v>1.5606942086105997</c:v>
                </c:pt>
                <c:pt idx="494">
                  <c:v>1.5580399834817831</c:v>
                </c:pt>
                <c:pt idx="495">
                  <c:v>1.5537421201759334</c:v>
                </c:pt>
                <c:pt idx="496">
                  <c:v>1.5396329056977549</c:v>
                </c:pt>
                <c:pt idx="497">
                  <c:v>1.5470954720662085</c:v>
                </c:pt>
                <c:pt idx="498">
                  <c:v>1.5518057884930065</c:v>
                </c:pt>
                <c:pt idx="499">
                  <c:v>1.5599403038663897</c:v>
                </c:pt>
                <c:pt idx="500">
                  <c:v>1.554948244859363</c:v>
                </c:pt>
                <c:pt idx="501">
                  <c:v>1.564211708622822</c:v>
                </c:pt>
                <c:pt idx="502">
                  <c:v>1.5588831200089073</c:v>
                </c:pt>
                <c:pt idx="503">
                  <c:v>1.5755040789063475</c:v>
                </c:pt>
                <c:pt idx="504">
                  <c:v>1.5856473047258897</c:v>
                </c:pt>
                <c:pt idx="505">
                  <c:v>1.5829329833502741</c:v>
                </c:pt>
                <c:pt idx="506">
                  <c:v>1.5814729654575559</c:v>
                </c:pt>
                <c:pt idx="507">
                  <c:v>1.5779196868106395</c:v>
                </c:pt>
                <c:pt idx="508">
                  <c:v>1.5784308194861345</c:v>
                </c:pt>
                <c:pt idx="509">
                  <c:v>1.5687528269823412</c:v>
                </c:pt>
                <c:pt idx="510">
                  <c:v>1.5691127465391645</c:v>
                </c:pt>
                <c:pt idx="511">
                  <c:v>1.5727780651263223</c:v>
                </c:pt>
                <c:pt idx="512">
                  <c:v>1.5807493080854851</c:v>
                </c:pt>
                <c:pt idx="513">
                  <c:v>1.5906126159285663</c:v>
                </c:pt>
                <c:pt idx="514">
                  <c:v>1.5913460189245134</c:v>
                </c:pt>
                <c:pt idx="515">
                  <c:v>1.5977618773448568</c:v>
                </c:pt>
                <c:pt idx="516">
                  <c:v>1.5965302598035822</c:v>
                </c:pt>
                <c:pt idx="517">
                  <c:v>1.6011786888570714</c:v>
                </c:pt>
                <c:pt idx="518">
                  <c:v>1.5895601637545751</c:v>
                </c:pt>
                <c:pt idx="519">
                  <c:v>1.5997903675478975</c:v>
                </c:pt>
                <c:pt idx="520">
                  <c:v>1.6027600631755237</c:v>
                </c:pt>
                <c:pt idx="521">
                  <c:v>1.6033716642591902</c:v>
                </c:pt>
                <c:pt idx="522">
                  <c:v>1.6062657961935671</c:v>
                </c:pt>
                <c:pt idx="523">
                  <c:v>1.6166480824042107</c:v>
                </c:pt>
                <c:pt idx="524">
                  <c:v>1.6202761926344795</c:v>
                </c:pt>
                <c:pt idx="525">
                  <c:v>1.6296291810654018</c:v>
                </c:pt>
                <c:pt idx="526">
                  <c:v>1.6275054917530904</c:v>
                </c:pt>
                <c:pt idx="527">
                  <c:v>1.6343133961976515</c:v>
                </c:pt>
                <c:pt idx="528">
                  <c:v>1.6205717372327171</c:v>
                </c:pt>
                <c:pt idx="529">
                  <c:v>1.6308023037139749</c:v>
                </c:pt>
                <c:pt idx="530">
                  <c:v>1.6441189621494823</c:v>
                </c:pt>
                <c:pt idx="531">
                  <c:v>1.6284978007436162</c:v>
                </c:pt>
                <c:pt idx="532">
                  <c:v>1.6297741109582722</c:v>
                </c:pt>
                <c:pt idx="533">
                  <c:v>1.6362132124526503</c:v>
                </c:pt>
                <c:pt idx="534">
                  <c:v>1.6381514169864499</c:v>
                </c:pt>
                <c:pt idx="535">
                  <c:v>1.6359194108889286</c:v>
                </c:pt>
                <c:pt idx="536">
                  <c:v>1.6547379072195838</c:v>
                </c:pt>
                <c:pt idx="537">
                  <c:v>1.6521576638901545</c:v>
                </c:pt>
                <c:pt idx="538">
                  <c:v>1.6462458736566417</c:v>
                </c:pt>
                <c:pt idx="539">
                  <c:v>1.6352070548051161</c:v>
                </c:pt>
                <c:pt idx="540">
                  <c:v>1.6411899286299587</c:v>
                </c:pt>
                <c:pt idx="541">
                  <c:v>1.6489608178465116</c:v>
                </c:pt>
                <c:pt idx="542">
                  <c:v>1.6435950155934065</c:v>
                </c:pt>
                <c:pt idx="543">
                  <c:v>1.6481538853779756</c:v>
                </c:pt>
                <c:pt idx="544">
                  <c:v>1.6465654652590418</c:v>
                </c:pt>
                <c:pt idx="545">
                  <c:v>1.6563780896006777</c:v>
                </c:pt>
                <c:pt idx="546">
                  <c:v>1.6509883579345368</c:v>
                </c:pt>
                <c:pt idx="547">
                  <c:v>1.6552023996724725</c:v>
                </c:pt>
                <c:pt idx="548">
                  <c:v>1.6576698645393126</c:v>
                </c:pt>
                <c:pt idx="549">
                  <c:v>1.6664646113804122</c:v>
                </c:pt>
                <c:pt idx="550">
                  <c:v>1.6659592131382441</c:v>
                </c:pt>
                <c:pt idx="551">
                  <c:v>1.6644436191779912</c:v>
                </c:pt>
                <c:pt idx="552">
                  <c:v>1.6637950342025105</c:v>
                </c:pt>
                <c:pt idx="553">
                  <c:v>1.6717666197291681</c:v>
                </c:pt>
                <c:pt idx="554">
                  <c:v>1.6665716387633136</c:v>
                </c:pt>
                <c:pt idx="555">
                  <c:v>1.669827406100906</c:v>
                </c:pt>
                <c:pt idx="556">
                  <c:v>1.6735648459275452</c:v>
                </c:pt>
                <c:pt idx="557">
                  <c:v>1.6771830104523664</c:v>
                </c:pt>
                <c:pt idx="558">
                  <c:v>1.6823165351318492</c:v>
                </c:pt>
                <c:pt idx="559">
                  <c:v>1.6775865762225464</c:v>
                </c:pt>
                <c:pt idx="560">
                  <c:v>1.6580589864902056</c:v>
                </c:pt>
                <c:pt idx="561">
                  <c:v>1.6578003439565938</c:v>
                </c:pt>
                <c:pt idx="562">
                  <c:v>1.6562441386710411</c:v>
                </c:pt>
                <c:pt idx="563">
                  <c:v>1.6465755814484544</c:v>
                </c:pt>
                <c:pt idx="564">
                  <c:v>1.6426258269494836</c:v>
                </c:pt>
                <c:pt idx="565">
                  <c:v>1.6438209489904205</c:v>
                </c:pt>
                <c:pt idx="566">
                  <c:v>1.6515581451503922</c:v>
                </c:pt>
                <c:pt idx="567">
                  <c:v>1.6598876904811948</c:v>
                </c:pt>
                <c:pt idx="568">
                  <c:v>1.6577678623837877</c:v>
                </c:pt>
                <c:pt idx="569">
                  <c:v>1.6623596124376585</c:v>
                </c:pt>
                <c:pt idx="570">
                  <c:v>1.6606899111971378</c:v>
                </c:pt>
                <c:pt idx="571">
                  <c:v>1.6611746354174248</c:v>
                </c:pt>
                <c:pt idx="572">
                  <c:v>1.662222694153322</c:v>
                </c:pt>
                <c:pt idx="573">
                  <c:v>1.6619430898047607</c:v>
                </c:pt>
                <c:pt idx="574">
                  <c:v>1.6848413038686356</c:v>
                </c:pt>
                <c:pt idx="575">
                  <c:v>1.6853662987190865</c:v>
                </c:pt>
                <c:pt idx="576">
                  <c:v>1.6885204250336534</c:v>
                </c:pt>
                <c:pt idx="577">
                  <c:v>1.6929998206645049</c:v>
                </c:pt>
                <c:pt idx="578">
                  <c:v>1.700997098244563</c:v>
                </c:pt>
                <c:pt idx="579">
                  <c:v>1.7045513292802903</c:v>
                </c:pt>
                <c:pt idx="580">
                  <c:v>1.6947302780176736</c:v>
                </c:pt>
                <c:pt idx="581">
                  <c:v>1.7076080402823661</c:v>
                </c:pt>
                <c:pt idx="582">
                  <c:v>1.7172363210799051</c:v>
                </c:pt>
                <c:pt idx="583">
                  <c:v>1.7081119314494146</c:v>
                </c:pt>
                <c:pt idx="584">
                  <c:v>1.7232657897759034</c:v>
                </c:pt>
                <c:pt idx="585">
                  <c:v>1.7378585664682511</c:v>
                </c:pt>
                <c:pt idx="586">
                  <c:v>1.7447567207873238</c:v>
                </c:pt>
                <c:pt idx="587">
                  <c:v>1.7404224325597883</c:v>
                </c:pt>
                <c:pt idx="588">
                  <c:v>1.7272825895898112</c:v>
                </c:pt>
                <c:pt idx="589">
                  <c:v>1.7134879202251687</c:v>
                </c:pt>
                <c:pt idx="590">
                  <c:v>1.702109513482523</c:v>
                </c:pt>
                <c:pt idx="591">
                  <c:v>1.6979077279490697</c:v>
                </c:pt>
                <c:pt idx="592">
                  <c:v>1.6923524452532639</c:v>
                </c:pt>
                <c:pt idx="593">
                  <c:v>1.6949292111012777</c:v>
                </c:pt>
                <c:pt idx="594">
                  <c:v>1.6963021904663609</c:v>
                </c:pt>
                <c:pt idx="595">
                  <c:v>1.6928921915135264</c:v>
                </c:pt>
                <c:pt idx="596">
                  <c:v>1.6826884859991658</c:v>
                </c:pt>
                <c:pt idx="597">
                  <c:v>1.6898309015087665</c:v>
                </c:pt>
                <c:pt idx="598">
                  <c:v>1.6761937123393467</c:v>
                </c:pt>
                <c:pt idx="599">
                  <c:v>1.6873483042501347</c:v>
                </c:pt>
                <c:pt idx="600">
                  <c:v>1.6827138516883366</c:v>
                </c:pt>
                <c:pt idx="601">
                  <c:v>1.687473830185225</c:v>
                </c:pt>
                <c:pt idx="602">
                  <c:v>1.6887898209785492</c:v>
                </c:pt>
                <c:pt idx="603">
                  <c:v>1.6772042459541046</c:v>
                </c:pt>
                <c:pt idx="604">
                  <c:v>1.6804302951610552</c:v>
                </c:pt>
                <c:pt idx="605">
                  <c:v>1.6842616254212432</c:v>
                </c:pt>
                <c:pt idx="606">
                  <c:v>1.6835562541976536</c:v>
                </c:pt>
                <c:pt idx="607">
                  <c:v>1.689310169232181</c:v>
                </c:pt>
                <c:pt idx="608">
                  <c:v>1.6845924912615702</c:v>
                </c:pt>
                <c:pt idx="609">
                  <c:v>1.6774391363805674</c:v>
                </c:pt>
                <c:pt idx="610">
                  <c:v>1.6808920497652848</c:v>
                </c:pt>
                <c:pt idx="611">
                  <c:v>1.6782746065721397</c:v>
                </c:pt>
                <c:pt idx="612">
                  <c:v>1.6881361706835289</c:v>
                </c:pt>
                <c:pt idx="613">
                  <c:v>1.679459210631332</c:v>
                </c:pt>
                <c:pt idx="614">
                  <c:v>1.6735176546540622</c:v>
                </c:pt>
                <c:pt idx="615">
                  <c:v>1.668544796092867</c:v>
                </c:pt>
                <c:pt idx="616">
                  <c:v>1.6545948828568739</c:v>
                </c:pt>
                <c:pt idx="617">
                  <c:v>1.6567269115043803</c:v>
                </c:pt>
                <c:pt idx="618">
                  <c:v>1.6513399870779817</c:v>
                </c:pt>
                <c:pt idx="619">
                  <c:v>1.6507952916977209</c:v>
                </c:pt>
                <c:pt idx="620">
                  <c:v>1.6580515961978854</c:v>
                </c:pt>
                <c:pt idx="621">
                  <c:v>1.6681066699174565</c:v>
                </c:pt>
                <c:pt idx="622">
                  <c:v>1.6761311231949576</c:v>
                </c:pt>
                <c:pt idx="623">
                  <c:v>1.6766889991213434</c:v>
                </c:pt>
                <c:pt idx="624">
                  <c:v>1.670786890138962</c:v>
                </c:pt>
                <c:pt idx="625">
                  <c:v>1.686820532957839</c:v>
                </c:pt>
                <c:pt idx="626">
                  <c:v>1.6938303031939992</c:v>
                </c:pt>
                <c:pt idx="627">
                  <c:v>1.6991099250599702</c:v>
                </c:pt>
                <c:pt idx="628">
                  <c:v>1.6841808897036974</c:v>
                </c:pt>
                <c:pt idx="629">
                  <c:v>1.6863396248239413</c:v>
                </c:pt>
                <c:pt idx="630">
                  <c:v>1.6763801044487103</c:v>
                </c:pt>
                <c:pt idx="631">
                  <c:v>1.6844025814956285</c:v>
                </c:pt>
                <c:pt idx="632">
                  <c:v>1.6748800655511671</c:v>
                </c:pt>
                <c:pt idx="633">
                  <c:v>1.6795893958390817</c:v>
                </c:pt>
                <c:pt idx="634">
                  <c:v>1.6675316774310402</c:v>
                </c:pt>
                <c:pt idx="635">
                  <c:v>1.6646386459597349</c:v>
                </c:pt>
                <c:pt idx="636">
                  <c:v>1.6726271114251978</c:v>
                </c:pt>
                <c:pt idx="637">
                  <c:v>1.6824599848509976</c:v>
                </c:pt>
                <c:pt idx="638">
                  <c:v>1.6916407806680387</c:v>
                </c:pt>
                <c:pt idx="639">
                  <c:v>1.6873610189626009</c:v>
                </c:pt>
                <c:pt idx="640">
                  <c:v>1.6817035735130883</c:v>
                </c:pt>
                <c:pt idx="641">
                  <c:v>1.6709842052854762</c:v>
                </c:pt>
                <c:pt idx="642">
                  <c:v>1.668707041148076</c:v>
                </c:pt>
                <c:pt idx="643">
                  <c:v>1.6736150103746954</c:v>
                </c:pt>
                <c:pt idx="644">
                  <c:v>1.6700763952180608</c:v>
                </c:pt>
                <c:pt idx="645">
                  <c:v>1.6777447390965692</c:v>
                </c:pt>
                <c:pt idx="646">
                  <c:v>1.6727489027597959</c:v>
                </c:pt>
                <c:pt idx="647">
                  <c:v>1.6770219692121253</c:v>
                </c:pt>
                <c:pt idx="648">
                  <c:v>1.6840680216105552</c:v>
                </c:pt>
                <c:pt idx="649">
                  <c:v>1.6827166595947496</c:v>
                </c:pt>
                <c:pt idx="650">
                  <c:v>1.6917109420847425</c:v>
                </c:pt>
                <c:pt idx="651">
                  <c:v>1.685778379665084</c:v>
                </c:pt>
                <c:pt idx="652">
                  <c:v>1.6765333031354452</c:v>
                </c:pt>
                <c:pt idx="653">
                  <c:v>1.6768665086006769</c:v>
                </c:pt>
                <c:pt idx="654">
                  <c:v>1.6891438634112632</c:v>
                </c:pt>
                <c:pt idx="655">
                  <c:v>1.6883855142302424</c:v>
                </c:pt>
                <c:pt idx="656">
                  <c:v>1.7001733710741098</c:v>
                </c:pt>
                <c:pt idx="657">
                  <c:v>1.7079283906305156</c:v>
                </c:pt>
                <c:pt idx="658">
                  <c:v>1.7162716622913785</c:v>
                </c:pt>
                <c:pt idx="659">
                  <c:v>1.728802487075904</c:v>
                </c:pt>
                <c:pt idx="660">
                  <c:v>1.7413592680903158</c:v>
                </c:pt>
                <c:pt idx="661">
                  <c:v>1.7609571205563652</c:v>
                </c:pt>
                <c:pt idx="662">
                  <c:v>1.7658775149925723</c:v>
                </c:pt>
                <c:pt idx="663">
                  <c:v>1.7724678172720765</c:v>
                </c:pt>
                <c:pt idx="664">
                  <c:v>1.770202863424555</c:v>
                </c:pt>
                <c:pt idx="665">
                  <c:v>1.780674869020697</c:v>
                </c:pt>
                <c:pt idx="666">
                  <c:v>1.78064253053307</c:v>
                </c:pt>
                <c:pt idx="667">
                  <c:v>1.7814457954756719</c:v>
                </c:pt>
                <c:pt idx="668">
                  <c:v>1.7910954090417106</c:v>
                </c:pt>
                <c:pt idx="669">
                  <c:v>1.7929264179809512</c:v>
                </c:pt>
                <c:pt idx="670">
                  <c:v>1.7877165449832313</c:v>
                </c:pt>
                <c:pt idx="671">
                  <c:v>1.7891947480506218</c:v>
                </c:pt>
                <c:pt idx="672">
                  <c:v>1.7875013086289993</c:v>
                </c:pt>
                <c:pt idx="673">
                  <c:v>1.7967262168893323</c:v>
                </c:pt>
                <c:pt idx="674">
                  <c:v>1.8020599075500412</c:v>
                </c:pt>
                <c:pt idx="675">
                  <c:v>1.8137453510617012</c:v>
                </c:pt>
                <c:pt idx="676">
                  <c:v>1.8347817109382747</c:v>
                </c:pt>
                <c:pt idx="677">
                  <c:v>1.8316706455526401</c:v>
                </c:pt>
                <c:pt idx="678">
                  <c:v>1.8146976837136601</c:v>
                </c:pt>
                <c:pt idx="679">
                  <c:v>1.8218352242549463</c:v>
                </c:pt>
                <c:pt idx="680">
                  <c:v>1.8306426659926933</c:v>
                </c:pt>
                <c:pt idx="681">
                  <c:v>1.8286189369856805</c:v>
                </c:pt>
                <c:pt idx="682">
                  <c:v>1.8118591882883914</c:v>
                </c:pt>
                <c:pt idx="683">
                  <c:v>1.808133544798449</c:v>
                </c:pt>
                <c:pt idx="684">
                  <c:v>1.794445808031653</c:v>
                </c:pt>
                <c:pt idx="685">
                  <c:v>1.8087221232712325</c:v>
                </c:pt>
                <c:pt idx="686">
                  <c:v>1.8096551893008646</c:v>
                </c:pt>
                <c:pt idx="687">
                  <c:v>1.803142923363954</c:v>
                </c:pt>
                <c:pt idx="688">
                  <c:v>1.7980610810123396</c:v>
                </c:pt>
                <c:pt idx="689">
                  <c:v>1.8075206803595454</c:v>
                </c:pt>
                <c:pt idx="690">
                  <c:v>1.8087293525793107</c:v>
                </c:pt>
                <c:pt idx="691">
                  <c:v>1.825947110835896</c:v>
                </c:pt>
                <c:pt idx="692">
                  <c:v>1.839690411503911</c:v>
                </c:pt>
                <c:pt idx="693">
                  <c:v>1.844676526693882</c:v>
                </c:pt>
                <c:pt idx="694">
                  <c:v>1.8423271698707995</c:v>
                </c:pt>
                <c:pt idx="695">
                  <c:v>1.8333291640141125</c:v>
                </c:pt>
                <c:pt idx="696">
                  <c:v>1.8345370978735522</c:v>
                </c:pt>
                <c:pt idx="697">
                  <c:v>1.8161423530970335</c:v>
                </c:pt>
                <c:pt idx="698">
                  <c:v>1.8075570211636409</c:v>
                </c:pt>
                <c:pt idx="699">
                  <c:v>1.8058465003951274</c:v>
                </c:pt>
                <c:pt idx="700">
                  <c:v>1.8134180176245183</c:v>
                </c:pt>
                <c:pt idx="701">
                  <c:v>1.8016429257220796</c:v>
                </c:pt>
                <c:pt idx="702">
                  <c:v>1.7989737442712521</c:v>
                </c:pt>
                <c:pt idx="703">
                  <c:v>1.7880879205327751</c:v>
                </c:pt>
                <c:pt idx="704">
                  <c:v>1.7894331365675369</c:v>
                </c:pt>
                <c:pt idx="705">
                  <c:v>1.7768150398050986</c:v>
                </c:pt>
                <c:pt idx="706">
                  <c:v>1.7731359845025887</c:v>
                </c:pt>
                <c:pt idx="707">
                  <c:v>1.7798519118192149</c:v>
                </c:pt>
                <c:pt idx="708">
                  <c:v>1.7777456108294749</c:v>
                </c:pt>
                <c:pt idx="709">
                  <c:v>1.790983818752075</c:v>
                </c:pt>
                <c:pt idx="710">
                  <c:v>1.8023854320806243</c:v>
                </c:pt>
                <c:pt idx="711">
                  <c:v>1.7885327875358152</c:v>
                </c:pt>
                <c:pt idx="712">
                  <c:v>1.7902673672702829</c:v>
                </c:pt>
                <c:pt idx="713">
                  <c:v>1.7838575287560832</c:v>
                </c:pt>
                <c:pt idx="714">
                  <c:v>1.7918924705261776</c:v>
                </c:pt>
                <c:pt idx="715">
                  <c:v>1.7965794847835486</c:v>
                </c:pt>
                <c:pt idx="716">
                  <c:v>1.7997318323646467</c:v>
                </c:pt>
                <c:pt idx="717">
                  <c:v>1.8009216513708435</c:v>
                </c:pt>
                <c:pt idx="718">
                  <c:v>1.7852372825952079</c:v>
                </c:pt>
                <c:pt idx="719">
                  <c:v>1.7936367120005401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Output!$M$12:$M$731</c:f>
              <c:numCache>
                <c:formatCode>General</c:formatCode>
                <c:ptCount val="720"/>
                <c:pt idx="0">
                  <c:v>0.976244</c:v>
                </c:pt>
                <c:pt idx="1">
                  <c:v>0.96914535788823097</c:v>
                </c:pt>
                <c:pt idx="2">
                  <c:v>0.96540958237493602</c:v>
                </c:pt>
                <c:pt idx="3">
                  <c:v>0.95630884966962115</c:v>
                </c:pt>
                <c:pt idx="4">
                  <c:v>0.95584883483838223</c:v>
                </c:pt>
                <c:pt idx="5">
                  <c:v>0.95111957662332924</c:v>
                </c:pt>
                <c:pt idx="6">
                  <c:v>0.94436511995261307</c:v>
                </c:pt>
                <c:pt idx="7">
                  <c:v>0.93472672418745606</c:v>
                </c:pt>
                <c:pt idx="8">
                  <c:v>0.93042259006913253</c:v>
                </c:pt>
                <c:pt idx="9">
                  <c:v>0.93617513282421705</c:v>
                </c:pt>
                <c:pt idx="10">
                  <c:v>0.92659794574388954</c:v>
                </c:pt>
                <c:pt idx="11">
                  <c:v>0.92788734289001185</c:v>
                </c:pt>
                <c:pt idx="12">
                  <c:v>0.9169788898555834</c:v>
                </c:pt>
                <c:pt idx="13">
                  <c:v>0.91781396127934534</c:v>
                </c:pt>
                <c:pt idx="14">
                  <c:v>0.91918273427147767</c:v>
                </c:pt>
                <c:pt idx="15">
                  <c:v>0.91979290899813593</c:v>
                </c:pt>
                <c:pt idx="16">
                  <c:v>0.91378400675127269</c:v>
                </c:pt>
                <c:pt idx="17">
                  <c:v>0.90847604549934635</c:v>
                </c:pt>
                <c:pt idx="18">
                  <c:v>0.9034772439891039</c:v>
                </c:pt>
                <c:pt idx="19">
                  <c:v>0.90991173249232016</c:v>
                </c:pt>
                <c:pt idx="20">
                  <c:v>0.90765019989303697</c:v>
                </c:pt>
                <c:pt idx="21">
                  <c:v>0.89779690926533062</c:v>
                </c:pt>
                <c:pt idx="22">
                  <c:v>0.89876398033558447</c:v>
                </c:pt>
                <c:pt idx="23">
                  <c:v>0.90008789324719474</c:v>
                </c:pt>
                <c:pt idx="24">
                  <c:v>0.89296002536748065</c:v>
                </c:pt>
                <c:pt idx="25">
                  <c:v>0.8920347589735278</c:v>
                </c:pt>
                <c:pt idx="26">
                  <c:v>0.88410666026240647</c:v>
                </c:pt>
                <c:pt idx="27">
                  <c:v>0.88777370555555912</c:v>
                </c:pt>
                <c:pt idx="28">
                  <c:v>0.88431112361017461</c:v>
                </c:pt>
                <c:pt idx="29">
                  <c:v>0.88492170407398485</c:v>
                </c:pt>
                <c:pt idx="30">
                  <c:v>0.88162388780540979</c:v>
                </c:pt>
                <c:pt idx="31">
                  <c:v>0.88017312088747823</c:v>
                </c:pt>
                <c:pt idx="32">
                  <c:v>0.87065592487302679</c:v>
                </c:pt>
                <c:pt idx="33">
                  <c:v>0.86039292334826101</c:v>
                </c:pt>
                <c:pt idx="34">
                  <c:v>0.85835974520193303</c:v>
                </c:pt>
                <c:pt idx="35">
                  <c:v>0.85186355770819711</c:v>
                </c:pt>
                <c:pt idx="36">
                  <c:v>0.85615035458701216</c:v>
                </c:pt>
                <c:pt idx="37">
                  <c:v>0.85427013534029972</c:v>
                </c:pt>
                <c:pt idx="38">
                  <c:v>0.84869952258747272</c:v>
                </c:pt>
                <c:pt idx="39">
                  <c:v>0.8429256487919895</c:v>
                </c:pt>
                <c:pt idx="40">
                  <c:v>0.84615720718057275</c:v>
                </c:pt>
                <c:pt idx="41">
                  <c:v>0.84929888535810094</c:v>
                </c:pt>
                <c:pt idx="42">
                  <c:v>0.84877948222324107</c:v>
                </c:pt>
                <c:pt idx="43">
                  <c:v>0.84835288791739838</c:v>
                </c:pt>
                <c:pt idx="44">
                  <c:v>0.84352985260660707</c:v>
                </c:pt>
                <c:pt idx="45">
                  <c:v>0.84690159267954523</c:v>
                </c:pt>
                <c:pt idx="46">
                  <c:v>0.84707538554715089</c:v>
                </c:pt>
                <c:pt idx="47">
                  <c:v>0.84943623200088159</c:v>
                </c:pt>
                <c:pt idx="48">
                  <c:v>0.84555112067820115</c:v>
                </c:pt>
                <c:pt idx="49">
                  <c:v>0.84594494935179021</c:v>
                </c:pt>
                <c:pt idx="50">
                  <c:v>0.84160544997933973</c:v>
                </c:pt>
                <c:pt idx="51">
                  <c:v>0.83897940329984744</c:v>
                </c:pt>
                <c:pt idx="52">
                  <c:v>0.84307692408432766</c:v>
                </c:pt>
                <c:pt idx="53">
                  <c:v>0.84029737152026107</c:v>
                </c:pt>
                <c:pt idx="54">
                  <c:v>0.83552138457804725</c:v>
                </c:pt>
                <c:pt idx="55">
                  <c:v>0.83778509904156617</c:v>
                </c:pt>
                <c:pt idx="56">
                  <c:v>0.84137913771685635</c:v>
                </c:pt>
                <c:pt idx="57">
                  <c:v>0.84299061231013228</c:v>
                </c:pt>
                <c:pt idx="58">
                  <c:v>0.83919808036564558</c:v>
                </c:pt>
                <c:pt idx="59">
                  <c:v>0.84163734115124578</c:v>
                </c:pt>
                <c:pt idx="60">
                  <c:v>0.84239853755152261</c:v>
                </c:pt>
                <c:pt idx="61">
                  <c:v>0.8333845936016242</c:v>
                </c:pt>
                <c:pt idx="62">
                  <c:v>0.83251428694126905</c:v>
                </c:pt>
                <c:pt idx="63">
                  <c:v>0.83102001255483926</c:v>
                </c:pt>
                <c:pt idx="64">
                  <c:v>0.82847739600333048</c:v>
                </c:pt>
                <c:pt idx="65">
                  <c:v>0.82584290976864583</c:v>
                </c:pt>
                <c:pt idx="66">
                  <c:v>0.83178988456713632</c:v>
                </c:pt>
                <c:pt idx="67">
                  <c:v>0.82867837753816065</c:v>
                </c:pt>
                <c:pt idx="68">
                  <c:v>0.83451012005754754</c:v>
                </c:pt>
                <c:pt idx="69">
                  <c:v>0.83208642861502313</c:v>
                </c:pt>
                <c:pt idx="70">
                  <c:v>0.82949915254834772</c:v>
                </c:pt>
                <c:pt idx="71">
                  <c:v>0.82889799182161128</c:v>
                </c:pt>
                <c:pt idx="72">
                  <c:v>0.83516142659695847</c:v>
                </c:pt>
                <c:pt idx="73">
                  <c:v>0.83789208747490895</c:v>
                </c:pt>
                <c:pt idx="74">
                  <c:v>0.83111878573024189</c:v>
                </c:pt>
                <c:pt idx="75">
                  <c:v>0.83341803692416239</c:v>
                </c:pt>
                <c:pt idx="76">
                  <c:v>0.8341050367187588</c:v>
                </c:pt>
                <c:pt idx="77">
                  <c:v>0.82940012686502018</c:v>
                </c:pt>
                <c:pt idx="78">
                  <c:v>0.8244841135266836</c:v>
                </c:pt>
                <c:pt idx="79">
                  <c:v>0.82815389492839919</c:v>
                </c:pt>
                <c:pt idx="80">
                  <c:v>0.83048350340880139</c:v>
                </c:pt>
                <c:pt idx="81">
                  <c:v>0.8317531875553047</c:v>
                </c:pt>
                <c:pt idx="82">
                  <c:v>0.82704543342770098</c:v>
                </c:pt>
                <c:pt idx="83">
                  <c:v>0.82940998844650871</c:v>
                </c:pt>
                <c:pt idx="84">
                  <c:v>0.83119228969512959</c:v>
                </c:pt>
                <c:pt idx="85">
                  <c:v>0.82914161831559918</c:v>
                </c:pt>
                <c:pt idx="86">
                  <c:v>0.8279692520335773</c:v>
                </c:pt>
                <c:pt idx="87">
                  <c:v>0.82870099085221882</c:v>
                </c:pt>
                <c:pt idx="88">
                  <c:v>0.8334982902282615</c:v>
                </c:pt>
                <c:pt idx="89">
                  <c:v>0.83187760096589325</c:v>
                </c:pt>
                <c:pt idx="90">
                  <c:v>0.82087106122751485</c:v>
                </c:pt>
                <c:pt idx="91">
                  <c:v>0.82668230463015491</c:v>
                </c:pt>
                <c:pt idx="92">
                  <c:v>0.82795937264794262</c:v>
                </c:pt>
                <c:pt idx="93">
                  <c:v>0.83225414763140093</c:v>
                </c:pt>
                <c:pt idx="94">
                  <c:v>0.83134853025627198</c:v>
                </c:pt>
                <c:pt idx="95">
                  <c:v>0.82219291679227724</c:v>
                </c:pt>
                <c:pt idx="96">
                  <c:v>0.81727197760242476</c:v>
                </c:pt>
                <c:pt idx="97">
                  <c:v>0.81447477379739341</c:v>
                </c:pt>
                <c:pt idx="98">
                  <c:v>0.8164180428210277</c:v>
                </c:pt>
                <c:pt idx="99">
                  <c:v>0.82072302233268846</c:v>
                </c:pt>
                <c:pt idx="100">
                  <c:v>0.81539950945458228</c:v>
                </c:pt>
                <c:pt idx="101">
                  <c:v>0.81545893459730689</c:v>
                </c:pt>
                <c:pt idx="102">
                  <c:v>0.81527906382592086</c:v>
                </c:pt>
                <c:pt idx="103">
                  <c:v>0.8164659694648575</c:v>
                </c:pt>
                <c:pt idx="104">
                  <c:v>0.81707445304873094</c:v>
                </c:pt>
                <c:pt idx="105">
                  <c:v>0.81652530467122841</c:v>
                </c:pt>
                <c:pt idx="106">
                  <c:v>0.81588767950527641</c:v>
                </c:pt>
                <c:pt idx="107">
                  <c:v>0.82010782628685919</c:v>
                </c:pt>
                <c:pt idx="108">
                  <c:v>0.82032438984537581</c:v>
                </c:pt>
                <c:pt idx="109">
                  <c:v>0.821396618757815</c:v>
                </c:pt>
                <c:pt idx="110">
                  <c:v>0.81720469340310553</c:v>
                </c:pt>
                <c:pt idx="111">
                  <c:v>0.81131546994640868</c:v>
                </c:pt>
                <c:pt idx="112">
                  <c:v>0.81225731786155941</c:v>
                </c:pt>
                <c:pt idx="113">
                  <c:v>0.81201724041278867</c:v>
                </c:pt>
                <c:pt idx="114">
                  <c:v>0.80771823795573372</c:v>
                </c:pt>
                <c:pt idx="115">
                  <c:v>0.80844820425172959</c:v>
                </c:pt>
                <c:pt idx="116">
                  <c:v>0.80505631362700025</c:v>
                </c:pt>
                <c:pt idx="117">
                  <c:v>0.80208524124149971</c:v>
                </c:pt>
                <c:pt idx="118">
                  <c:v>0.80838244491693334</c:v>
                </c:pt>
                <c:pt idx="119">
                  <c:v>0.80448510449707367</c:v>
                </c:pt>
                <c:pt idx="120">
                  <c:v>0.80640748203020962</c:v>
                </c:pt>
                <c:pt idx="121">
                  <c:v>0.80196175569975825</c:v>
                </c:pt>
                <c:pt idx="122">
                  <c:v>0.80217513122470685</c:v>
                </c:pt>
                <c:pt idx="123">
                  <c:v>0.8004167474720687</c:v>
                </c:pt>
                <c:pt idx="124">
                  <c:v>0.80333501710003863</c:v>
                </c:pt>
                <c:pt idx="125">
                  <c:v>0.79447726377877725</c:v>
                </c:pt>
                <c:pt idx="126">
                  <c:v>0.79600971126293518</c:v>
                </c:pt>
                <c:pt idx="127">
                  <c:v>0.79464556505230788</c:v>
                </c:pt>
                <c:pt idx="128">
                  <c:v>0.7931180343408426</c:v>
                </c:pt>
                <c:pt idx="129">
                  <c:v>0.7926795865981725</c:v>
                </c:pt>
                <c:pt idx="130">
                  <c:v>0.79486731340828209</c:v>
                </c:pt>
                <c:pt idx="131">
                  <c:v>0.79267294749124373</c:v>
                </c:pt>
                <c:pt idx="132">
                  <c:v>0.79246965004411807</c:v>
                </c:pt>
                <c:pt idx="133">
                  <c:v>0.78525271521300133</c:v>
                </c:pt>
                <c:pt idx="134">
                  <c:v>0.77675362999761077</c:v>
                </c:pt>
                <c:pt idx="135">
                  <c:v>0.77552209213101786</c:v>
                </c:pt>
                <c:pt idx="136">
                  <c:v>0.77716823643550914</c:v>
                </c:pt>
                <c:pt idx="137">
                  <c:v>0.78067038605830885</c:v>
                </c:pt>
                <c:pt idx="138">
                  <c:v>0.77490854883505011</c:v>
                </c:pt>
                <c:pt idx="139">
                  <c:v>0.77145134749074562</c:v>
                </c:pt>
                <c:pt idx="140">
                  <c:v>0.76963326973047663</c:v>
                </c:pt>
                <c:pt idx="141">
                  <c:v>0.7667067648621918</c:v>
                </c:pt>
                <c:pt idx="142">
                  <c:v>0.76914408134110668</c:v>
                </c:pt>
                <c:pt idx="143">
                  <c:v>0.76770575097546823</c:v>
                </c:pt>
                <c:pt idx="144">
                  <c:v>0.76859183818246979</c:v>
                </c:pt>
                <c:pt idx="145">
                  <c:v>0.77836991642156217</c:v>
                </c:pt>
                <c:pt idx="146">
                  <c:v>0.77548157329870793</c:v>
                </c:pt>
                <c:pt idx="147">
                  <c:v>0.77665868391968695</c:v>
                </c:pt>
                <c:pt idx="148">
                  <c:v>0.78036203132608051</c:v>
                </c:pt>
                <c:pt idx="149">
                  <c:v>0.76950175846322144</c:v>
                </c:pt>
                <c:pt idx="150">
                  <c:v>0.76533711554391115</c:v>
                </c:pt>
                <c:pt idx="151">
                  <c:v>0.75764222345982624</c:v>
                </c:pt>
                <c:pt idx="152">
                  <c:v>0.7568328240239568</c:v>
                </c:pt>
                <c:pt idx="153">
                  <c:v>0.75933186976832512</c:v>
                </c:pt>
                <c:pt idx="154">
                  <c:v>0.75491803720117712</c:v>
                </c:pt>
                <c:pt idx="155">
                  <c:v>0.75658107434818078</c:v>
                </c:pt>
                <c:pt idx="156">
                  <c:v>0.75856473307112693</c:v>
                </c:pt>
                <c:pt idx="157">
                  <c:v>0.76061419950332398</c:v>
                </c:pt>
                <c:pt idx="158">
                  <c:v>0.75272240220991438</c:v>
                </c:pt>
                <c:pt idx="159">
                  <c:v>0.75392637979176924</c:v>
                </c:pt>
                <c:pt idx="160">
                  <c:v>0.75292961668828273</c:v>
                </c:pt>
                <c:pt idx="161">
                  <c:v>0.74877090940588509</c:v>
                </c:pt>
                <c:pt idx="162">
                  <c:v>0.74417630411422941</c:v>
                </c:pt>
                <c:pt idx="163">
                  <c:v>0.74036859630916574</c:v>
                </c:pt>
                <c:pt idx="164">
                  <c:v>0.74298784457627498</c:v>
                </c:pt>
                <c:pt idx="165">
                  <c:v>0.74105290548205727</c:v>
                </c:pt>
                <c:pt idx="166">
                  <c:v>0.74320441521843594</c:v>
                </c:pt>
                <c:pt idx="167">
                  <c:v>0.7385332051893907</c:v>
                </c:pt>
                <c:pt idx="168">
                  <c:v>0.73614372606456258</c:v>
                </c:pt>
                <c:pt idx="169">
                  <c:v>0.7331069285865035</c:v>
                </c:pt>
                <c:pt idx="170">
                  <c:v>0.73717072613590884</c:v>
                </c:pt>
                <c:pt idx="171">
                  <c:v>0.73238039231521723</c:v>
                </c:pt>
                <c:pt idx="172">
                  <c:v>0.73971951365777422</c:v>
                </c:pt>
                <c:pt idx="173">
                  <c:v>0.73248896397649754</c:v>
                </c:pt>
                <c:pt idx="174">
                  <c:v>0.72984416327910717</c:v>
                </c:pt>
                <c:pt idx="175">
                  <c:v>0.73201140088106453</c:v>
                </c:pt>
                <c:pt idx="176">
                  <c:v>0.73288077027926013</c:v>
                </c:pt>
                <c:pt idx="177">
                  <c:v>0.7272742663368833</c:v>
                </c:pt>
                <c:pt idx="178">
                  <c:v>0.72294849669640948</c:v>
                </c:pt>
                <c:pt idx="179">
                  <c:v>0.72507617232031618</c:v>
                </c:pt>
                <c:pt idx="180">
                  <c:v>0.72921233342446701</c:v>
                </c:pt>
                <c:pt idx="181">
                  <c:v>0.72407991524279602</c:v>
                </c:pt>
                <c:pt idx="182">
                  <c:v>0.72523729599710329</c:v>
                </c:pt>
                <c:pt idx="183">
                  <c:v>0.73646580957449281</c:v>
                </c:pt>
                <c:pt idx="184">
                  <c:v>0.7343457918287416</c:v>
                </c:pt>
                <c:pt idx="185">
                  <c:v>0.73485541431634926</c:v>
                </c:pt>
                <c:pt idx="186">
                  <c:v>0.73287474402090891</c:v>
                </c:pt>
                <c:pt idx="187">
                  <c:v>0.72739067580650185</c:v>
                </c:pt>
                <c:pt idx="188">
                  <c:v>0.72287814147638352</c:v>
                </c:pt>
                <c:pt idx="189">
                  <c:v>0.72410700804414196</c:v>
                </c:pt>
                <c:pt idx="190">
                  <c:v>0.72192673816648822</c:v>
                </c:pt>
                <c:pt idx="191">
                  <c:v>0.72171580869921159</c:v>
                </c:pt>
                <c:pt idx="192">
                  <c:v>0.72041485201314048</c:v>
                </c:pt>
                <c:pt idx="193">
                  <c:v>0.72200502098757724</c:v>
                </c:pt>
                <c:pt idx="194">
                  <c:v>0.71701684842556357</c:v>
                </c:pt>
                <c:pt idx="195">
                  <c:v>0.70887899350851669</c:v>
                </c:pt>
                <c:pt idx="196">
                  <c:v>0.71393213550911083</c:v>
                </c:pt>
                <c:pt idx="197">
                  <c:v>0.71268578462427101</c:v>
                </c:pt>
                <c:pt idx="198">
                  <c:v>0.71163958373205238</c:v>
                </c:pt>
                <c:pt idx="199">
                  <c:v>0.70693630800761154</c:v>
                </c:pt>
                <c:pt idx="200">
                  <c:v>0.7131210669385889</c:v>
                </c:pt>
                <c:pt idx="201">
                  <c:v>0.71955529324723055</c:v>
                </c:pt>
                <c:pt idx="202">
                  <c:v>0.72442518779236964</c:v>
                </c:pt>
                <c:pt idx="203">
                  <c:v>0.72093294932130692</c:v>
                </c:pt>
                <c:pt idx="204">
                  <c:v>0.7184599169784962</c:v>
                </c:pt>
                <c:pt idx="205">
                  <c:v>0.72135983249844549</c:v>
                </c:pt>
                <c:pt idx="206">
                  <c:v>0.71131370961207829</c:v>
                </c:pt>
                <c:pt idx="207">
                  <c:v>0.71731146476393348</c:v>
                </c:pt>
                <c:pt idx="208">
                  <c:v>0.7280101340527696</c:v>
                </c:pt>
                <c:pt idx="209">
                  <c:v>0.73456310623037202</c:v>
                </c:pt>
                <c:pt idx="210">
                  <c:v>0.73463671960449584</c:v>
                </c:pt>
                <c:pt idx="211">
                  <c:v>0.72914804095193497</c:v>
                </c:pt>
                <c:pt idx="212">
                  <c:v>0.72421815934990608</c:v>
                </c:pt>
                <c:pt idx="213">
                  <c:v>0.72696421480825324</c:v>
                </c:pt>
                <c:pt idx="214">
                  <c:v>0.72464228526626173</c:v>
                </c:pt>
                <c:pt idx="215">
                  <c:v>0.7257931750837624</c:v>
                </c:pt>
                <c:pt idx="216">
                  <c:v>0.72947570634979098</c:v>
                </c:pt>
                <c:pt idx="217">
                  <c:v>0.72959809669861353</c:v>
                </c:pt>
                <c:pt idx="218">
                  <c:v>0.73190614799606368</c:v>
                </c:pt>
                <c:pt idx="219">
                  <c:v>0.72919931727502962</c:v>
                </c:pt>
                <c:pt idx="220">
                  <c:v>0.72926620167865008</c:v>
                </c:pt>
                <c:pt idx="221">
                  <c:v>0.73466482727893656</c:v>
                </c:pt>
                <c:pt idx="222">
                  <c:v>0.73645641862347355</c:v>
                </c:pt>
                <c:pt idx="223">
                  <c:v>0.73476483423016958</c:v>
                </c:pt>
                <c:pt idx="224">
                  <c:v>0.73897357853220258</c:v>
                </c:pt>
                <c:pt idx="225">
                  <c:v>0.74218157413602626</c:v>
                </c:pt>
                <c:pt idx="226">
                  <c:v>0.73816928870549126</c:v>
                </c:pt>
                <c:pt idx="227">
                  <c:v>0.74079719762143692</c:v>
                </c:pt>
                <c:pt idx="228">
                  <c:v>0.73701833297676811</c:v>
                </c:pt>
                <c:pt idx="229">
                  <c:v>0.73692736822823868</c:v>
                </c:pt>
                <c:pt idx="230">
                  <c:v>0.73121013459432549</c:v>
                </c:pt>
                <c:pt idx="231">
                  <c:v>0.73549871627962504</c:v>
                </c:pt>
                <c:pt idx="232">
                  <c:v>0.741741191902626</c:v>
                </c:pt>
                <c:pt idx="233">
                  <c:v>0.74147960956687553</c:v>
                </c:pt>
                <c:pt idx="234">
                  <c:v>0.74640872656373791</c:v>
                </c:pt>
                <c:pt idx="235">
                  <c:v>0.74377574756933729</c:v>
                </c:pt>
                <c:pt idx="236">
                  <c:v>0.74293993854475571</c:v>
                </c:pt>
                <c:pt idx="237">
                  <c:v>0.73657623200069766</c:v>
                </c:pt>
                <c:pt idx="238">
                  <c:v>0.73409810582577417</c:v>
                </c:pt>
                <c:pt idx="239">
                  <c:v>0.7269498818186314</c:v>
                </c:pt>
                <c:pt idx="240">
                  <c:v>0.72558780701238434</c:v>
                </c:pt>
                <c:pt idx="241">
                  <c:v>0.71899806272092637</c:v>
                </c:pt>
                <c:pt idx="242">
                  <c:v>0.71942830140154634</c:v>
                </c:pt>
                <c:pt idx="243">
                  <c:v>0.71520924388018237</c:v>
                </c:pt>
                <c:pt idx="244">
                  <c:v>0.70655461382226536</c:v>
                </c:pt>
                <c:pt idx="245">
                  <c:v>0.70887254883379669</c:v>
                </c:pt>
                <c:pt idx="246">
                  <c:v>0.70709384457260926</c:v>
                </c:pt>
                <c:pt idx="247">
                  <c:v>0.70321882177637796</c:v>
                </c:pt>
                <c:pt idx="248">
                  <c:v>0.70191131741442447</c:v>
                </c:pt>
                <c:pt idx="249">
                  <c:v>0.70641996008037433</c:v>
                </c:pt>
                <c:pt idx="250">
                  <c:v>0.70420829658080453</c:v>
                </c:pt>
                <c:pt idx="251">
                  <c:v>0.70379840365689439</c:v>
                </c:pt>
                <c:pt idx="252">
                  <c:v>0.70756250302607537</c:v>
                </c:pt>
                <c:pt idx="253">
                  <c:v>0.70828032532114471</c:v>
                </c:pt>
                <c:pt idx="254">
                  <c:v>0.70765516821554708</c:v>
                </c:pt>
                <c:pt idx="255">
                  <c:v>0.71015749550238405</c:v>
                </c:pt>
                <c:pt idx="256">
                  <c:v>0.70747744149709946</c:v>
                </c:pt>
                <c:pt idx="257">
                  <c:v>0.70725991543278344</c:v>
                </c:pt>
                <c:pt idx="258">
                  <c:v>0.70224380322569568</c:v>
                </c:pt>
                <c:pt idx="259">
                  <c:v>0.69579139658905398</c:v>
                </c:pt>
                <c:pt idx="260">
                  <c:v>0.70240302216703498</c:v>
                </c:pt>
                <c:pt idx="261">
                  <c:v>0.70317324970664996</c:v>
                </c:pt>
                <c:pt idx="262">
                  <c:v>0.70007539888367742</c:v>
                </c:pt>
                <c:pt idx="263">
                  <c:v>0.69903449197152012</c:v>
                </c:pt>
                <c:pt idx="264">
                  <c:v>0.69578036002551891</c:v>
                </c:pt>
                <c:pt idx="265">
                  <c:v>0.69091809571714502</c:v>
                </c:pt>
                <c:pt idx="266">
                  <c:v>0.68753884743573501</c:v>
                </c:pt>
                <c:pt idx="267">
                  <c:v>0.69071159287352801</c:v>
                </c:pt>
                <c:pt idx="268">
                  <c:v>0.68745720457149462</c:v>
                </c:pt>
                <c:pt idx="269">
                  <c:v>0.67895764827909744</c:v>
                </c:pt>
                <c:pt idx="270">
                  <c:v>0.67625414845491583</c:v>
                </c:pt>
                <c:pt idx="271">
                  <c:v>0.68260960244983904</c:v>
                </c:pt>
                <c:pt idx="272">
                  <c:v>0.68081954410581769</c:v>
                </c:pt>
                <c:pt idx="273">
                  <c:v>0.67542434729222778</c:v>
                </c:pt>
                <c:pt idx="274">
                  <c:v>0.6791350645855363</c:v>
                </c:pt>
                <c:pt idx="275">
                  <c:v>0.68011719413430727</c:v>
                </c:pt>
                <c:pt idx="276">
                  <c:v>0.67958047332471583</c:v>
                </c:pt>
                <c:pt idx="277">
                  <c:v>0.67854919025729343</c:v>
                </c:pt>
                <c:pt idx="278">
                  <c:v>0.67446101626985366</c:v>
                </c:pt>
                <c:pt idx="279">
                  <c:v>0.67470825283357005</c:v>
                </c:pt>
                <c:pt idx="280">
                  <c:v>0.67697770819808212</c:v>
                </c:pt>
                <c:pt idx="281">
                  <c:v>0.68100416003672326</c:v>
                </c:pt>
                <c:pt idx="282">
                  <c:v>0.68198474307022694</c:v>
                </c:pt>
                <c:pt idx="283">
                  <c:v>0.68359764648765953</c:v>
                </c:pt>
                <c:pt idx="284">
                  <c:v>0.68889595228012812</c:v>
                </c:pt>
                <c:pt idx="285">
                  <c:v>0.68613460620050959</c:v>
                </c:pt>
                <c:pt idx="286">
                  <c:v>0.6833983873268531</c:v>
                </c:pt>
                <c:pt idx="287">
                  <c:v>0.67621534897014246</c:v>
                </c:pt>
                <c:pt idx="288">
                  <c:v>0.67315268272952977</c:v>
                </c:pt>
                <c:pt idx="289">
                  <c:v>0.67674165549498344</c:v>
                </c:pt>
                <c:pt idx="290">
                  <c:v>0.67637086173300243</c:v>
                </c:pt>
                <c:pt idx="291">
                  <c:v>0.67719250560800115</c:v>
                </c:pt>
                <c:pt idx="292">
                  <c:v>0.67833031372149455</c:v>
                </c:pt>
                <c:pt idx="293">
                  <c:v>0.68110005007462338</c:v>
                </c:pt>
                <c:pt idx="294">
                  <c:v>0.68926847675565406</c:v>
                </c:pt>
                <c:pt idx="295">
                  <c:v>0.68434637316531033</c:v>
                </c:pt>
                <c:pt idx="296">
                  <c:v>0.68362284177757771</c:v>
                </c:pt>
                <c:pt idx="297">
                  <c:v>0.68556161296678175</c:v>
                </c:pt>
                <c:pt idx="298">
                  <c:v>0.68716720984495561</c:v>
                </c:pt>
                <c:pt idx="299">
                  <c:v>0.69166008018071035</c:v>
                </c:pt>
                <c:pt idx="300">
                  <c:v>0.69171621248551507</c:v>
                </c:pt>
                <c:pt idx="301">
                  <c:v>0.68459485920186514</c:v>
                </c:pt>
                <c:pt idx="302">
                  <c:v>0.67696780945760848</c:v>
                </c:pt>
                <c:pt idx="303">
                  <c:v>0.68624920425504166</c:v>
                </c:pt>
                <c:pt idx="304">
                  <c:v>0.68563372728619076</c:v>
                </c:pt>
                <c:pt idx="305">
                  <c:v>0.68713144261079651</c:v>
                </c:pt>
                <c:pt idx="306">
                  <c:v>0.6892077962326344</c:v>
                </c:pt>
                <c:pt idx="307">
                  <c:v>0.68589761281953532</c:v>
                </c:pt>
                <c:pt idx="308">
                  <c:v>0.68452827286163864</c:v>
                </c:pt>
                <c:pt idx="309">
                  <c:v>0.68410460346378488</c:v>
                </c:pt>
                <c:pt idx="310">
                  <c:v>0.68457050470536163</c:v>
                </c:pt>
                <c:pt idx="311">
                  <c:v>0.68400247221716148</c:v>
                </c:pt>
                <c:pt idx="312">
                  <c:v>0.67869272751372256</c:v>
                </c:pt>
                <c:pt idx="313">
                  <c:v>0.67336241854049284</c:v>
                </c:pt>
                <c:pt idx="314">
                  <c:v>0.67099207908995806</c:v>
                </c:pt>
                <c:pt idx="315">
                  <c:v>0.67478140189592928</c:v>
                </c:pt>
                <c:pt idx="316">
                  <c:v>0.67752877224431252</c:v>
                </c:pt>
                <c:pt idx="317">
                  <c:v>0.67664038110489633</c:v>
                </c:pt>
                <c:pt idx="318">
                  <c:v>0.67684100871259734</c:v>
                </c:pt>
                <c:pt idx="319">
                  <c:v>0.67577937591710102</c:v>
                </c:pt>
                <c:pt idx="320">
                  <c:v>0.67555652973585834</c:v>
                </c:pt>
                <c:pt idx="321">
                  <c:v>0.67710127730517367</c:v>
                </c:pt>
                <c:pt idx="322">
                  <c:v>0.67710721226274118</c:v>
                </c:pt>
                <c:pt idx="323">
                  <c:v>0.67673509746899696</c:v>
                </c:pt>
                <c:pt idx="324">
                  <c:v>0.67540368973038667</c:v>
                </c:pt>
                <c:pt idx="325">
                  <c:v>0.67643301797162103</c:v>
                </c:pt>
                <c:pt idx="326">
                  <c:v>0.67812837195818065</c:v>
                </c:pt>
                <c:pt idx="327">
                  <c:v>0.67644773320848817</c:v>
                </c:pt>
                <c:pt idx="328">
                  <c:v>0.67283973907168171</c:v>
                </c:pt>
                <c:pt idx="329">
                  <c:v>0.67490705318183697</c:v>
                </c:pt>
                <c:pt idx="330">
                  <c:v>0.66944083540359423</c:v>
                </c:pt>
                <c:pt idx="331">
                  <c:v>0.66976512142887157</c:v>
                </c:pt>
                <c:pt idx="332">
                  <c:v>0.66117318039523687</c:v>
                </c:pt>
                <c:pt idx="333">
                  <c:v>0.66523216611450919</c:v>
                </c:pt>
                <c:pt idx="334">
                  <c:v>0.66400906577995877</c:v>
                </c:pt>
                <c:pt idx="335">
                  <c:v>0.66715914385676156</c:v>
                </c:pt>
                <c:pt idx="336">
                  <c:v>0.66371952018793401</c:v>
                </c:pt>
                <c:pt idx="337">
                  <c:v>0.66781824449457583</c:v>
                </c:pt>
                <c:pt idx="338">
                  <c:v>0.66614934192073272</c:v>
                </c:pt>
                <c:pt idx="339">
                  <c:v>0.67036727656441064</c:v>
                </c:pt>
                <c:pt idx="340">
                  <c:v>0.67562822350577234</c:v>
                </c:pt>
                <c:pt idx="341">
                  <c:v>0.67732205058027151</c:v>
                </c:pt>
                <c:pt idx="342">
                  <c:v>0.67206072534321382</c:v>
                </c:pt>
                <c:pt idx="343">
                  <c:v>0.6714010666668776</c:v>
                </c:pt>
                <c:pt idx="344">
                  <c:v>0.66911462900867358</c:v>
                </c:pt>
                <c:pt idx="345">
                  <c:v>0.67004153271057287</c:v>
                </c:pt>
                <c:pt idx="346">
                  <c:v>0.6709064825924258</c:v>
                </c:pt>
                <c:pt idx="347">
                  <c:v>0.67365890863408973</c:v>
                </c:pt>
                <c:pt idx="348">
                  <c:v>0.67018389829563807</c:v>
                </c:pt>
                <c:pt idx="349">
                  <c:v>0.66492636836990537</c:v>
                </c:pt>
                <c:pt idx="350">
                  <c:v>0.66571795028010261</c:v>
                </c:pt>
                <c:pt idx="351">
                  <c:v>0.661979938049858</c:v>
                </c:pt>
                <c:pt idx="352">
                  <c:v>0.66105845657765505</c:v>
                </c:pt>
                <c:pt idx="353">
                  <c:v>0.65847445576102692</c:v>
                </c:pt>
                <c:pt idx="354">
                  <c:v>0.65358816261681896</c:v>
                </c:pt>
                <c:pt idx="355">
                  <c:v>0.65098886036382086</c:v>
                </c:pt>
                <c:pt idx="356">
                  <c:v>0.65522077971822912</c:v>
                </c:pt>
                <c:pt idx="357">
                  <c:v>0.65137980548550178</c:v>
                </c:pt>
                <c:pt idx="358">
                  <c:v>0.65297056931824782</c:v>
                </c:pt>
                <c:pt idx="359">
                  <c:v>0.64980005934199436</c:v>
                </c:pt>
                <c:pt idx="360">
                  <c:v>0.64944325248503432</c:v>
                </c:pt>
                <c:pt idx="361">
                  <c:v>0.64300306003417329</c:v>
                </c:pt>
                <c:pt idx="362">
                  <c:v>0.64528996311319176</c:v>
                </c:pt>
                <c:pt idx="363">
                  <c:v>0.64875958707284886</c:v>
                </c:pt>
                <c:pt idx="364">
                  <c:v>0.64885506142334803</c:v>
                </c:pt>
                <c:pt idx="365">
                  <c:v>0.65064225100034867</c:v>
                </c:pt>
                <c:pt idx="366">
                  <c:v>0.65248167626949494</c:v>
                </c:pt>
                <c:pt idx="367">
                  <c:v>0.64759789162414649</c:v>
                </c:pt>
                <c:pt idx="368">
                  <c:v>0.64428189791198598</c:v>
                </c:pt>
                <c:pt idx="369">
                  <c:v>0.64119209852520564</c:v>
                </c:pt>
                <c:pt idx="370">
                  <c:v>0.6407749608427733</c:v>
                </c:pt>
                <c:pt idx="371">
                  <c:v>0.64097680413876257</c:v>
                </c:pt>
                <c:pt idx="372">
                  <c:v>0.63978509988610743</c:v>
                </c:pt>
                <c:pt idx="373">
                  <c:v>0.64450759451292428</c:v>
                </c:pt>
                <c:pt idx="374">
                  <c:v>0.64331250284634844</c:v>
                </c:pt>
                <c:pt idx="375">
                  <c:v>0.63882228891068116</c:v>
                </c:pt>
                <c:pt idx="376">
                  <c:v>0.63868510159134817</c:v>
                </c:pt>
                <c:pt idx="377">
                  <c:v>0.6378816707710312</c:v>
                </c:pt>
                <c:pt idx="378">
                  <c:v>0.63757003045363014</c:v>
                </c:pt>
                <c:pt idx="379">
                  <c:v>0.63921349265892147</c:v>
                </c:pt>
                <c:pt idx="380">
                  <c:v>0.63814451733710986</c:v>
                </c:pt>
                <c:pt idx="381">
                  <c:v>0.63767995196411364</c:v>
                </c:pt>
                <c:pt idx="382">
                  <c:v>0.6301665016576149</c:v>
                </c:pt>
                <c:pt idx="383">
                  <c:v>0.62823300579770569</c:v>
                </c:pt>
                <c:pt idx="384">
                  <c:v>0.6296071998538495</c:v>
                </c:pt>
                <c:pt idx="385">
                  <c:v>0.62721951783117613</c:v>
                </c:pt>
                <c:pt idx="386">
                  <c:v>0.62721336908251613</c:v>
                </c:pt>
                <c:pt idx="387">
                  <c:v>0.62502841252852748</c:v>
                </c:pt>
                <c:pt idx="388">
                  <c:v>0.62554796197840301</c:v>
                </c:pt>
                <c:pt idx="389">
                  <c:v>0.6240144280707961</c:v>
                </c:pt>
                <c:pt idx="390">
                  <c:v>0.62633488366498213</c:v>
                </c:pt>
                <c:pt idx="391">
                  <c:v>0.62762912385416647</c:v>
                </c:pt>
                <c:pt idx="392">
                  <c:v>0.62756297272913764</c:v>
                </c:pt>
                <c:pt idx="393">
                  <c:v>0.62923203856138366</c:v>
                </c:pt>
                <c:pt idx="394">
                  <c:v>0.62994773262635062</c:v>
                </c:pt>
                <c:pt idx="395">
                  <c:v>0.63151303909488776</c:v>
                </c:pt>
                <c:pt idx="396">
                  <c:v>0.63517904358355415</c:v>
                </c:pt>
                <c:pt idx="397">
                  <c:v>0.63566669061987502</c:v>
                </c:pt>
                <c:pt idx="398">
                  <c:v>0.63322164492092692</c:v>
                </c:pt>
                <c:pt idx="399">
                  <c:v>0.62779146378499839</c:v>
                </c:pt>
                <c:pt idx="400">
                  <c:v>0.62398505142198224</c:v>
                </c:pt>
                <c:pt idx="401">
                  <c:v>0.63236015939532531</c:v>
                </c:pt>
                <c:pt idx="402">
                  <c:v>0.63254399146889995</c:v>
                </c:pt>
                <c:pt idx="403">
                  <c:v>0.63240568058990509</c:v>
                </c:pt>
                <c:pt idx="404">
                  <c:v>0.63149903666537477</c:v>
                </c:pt>
                <c:pt idx="405">
                  <c:v>0.63589894509175093</c:v>
                </c:pt>
                <c:pt idx="406">
                  <c:v>0.63347597680555012</c:v>
                </c:pt>
                <c:pt idx="407">
                  <c:v>0.63786440278339873</c:v>
                </c:pt>
                <c:pt idx="408">
                  <c:v>0.63763670594571331</c:v>
                </c:pt>
                <c:pt idx="409">
                  <c:v>0.63636746442011571</c:v>
                </c:pt>
                <c:pt idx="410">
                  <c:v>0.63650414895261009</c:v>
                </c:pt>
                <c:pt idx="411">
                  <c:v>0.64111208465959157</c:v>
                </c:pt>
                <c:pt idx="412">
                  <c:v>0.63844544906018785</c:v>
                </c:pt>
                <c:pt idx="413">
                  <c:v>0.63740024936773632</c:v>
                </c:pt>
                <c:pt idx="414">
                  <c:v>0.63907934236909869</c:v>
                </c:pt>
                <c:pt idx="415">
                  <c:v>0.64037293034148657</c:v>
                </c:pt>
                <c:pt idx="416">
                  <c:v>0.64180226505487992</c:v>
                </c:pt>
                <c:pt idx="417">
                  <c:v>0.64210189157735154</c:v>
                </c:pt>
                <c:pt idx="418">
                  <c:v>0.64420899807716159</c:v>
                </c:pt>
                <c:pt idx="419">
                  <c:v>0.644546534165792</c:v>
                </c:pt>
                <c:pt idx="420">
                  <c:v>0.64439214039118675</c:v>
                </c:pt>
                <c:pt idx="421">
                  <c:v>0.63975069864686296</c:v>
                </c:pt>
                <c:pt idx="422">
                  <c:v>0.64253696213398626</c:v>
                </c:pt>
                <c:pt idx="423">
                  <c:v>0.64375256276507586</c:v>
                </c:pt>
                <c:pt idx="424">
                  <c:v>0.64376076499586599</c:v>
                </c:pt>
                <c:pt idx="425">
                  <c:v>0.64625099723208335</c:v>
                </c:pt>
                <c:pt idx="426">
                  <c:v>0.64585282566818891</c:v>
                </c:pt>
                <c:pt idx="427">
                  <c:v>0.64359421589234445</c:v>
                </c:pt>
                <c:pt idx="428">
                  <c:v>0.64715165496456573</c:v>
                </c:pt>
                <c:pt idx="429">
                  <c:v>0.64911299672131828</c:v>
                </c:pt>
                <c:pt idx="430">
                  <c:v>0.65031822558640151</c:v>
                </c:pt>
                <c:pt idx="431">
                  <c:v>0.64812790951213239</c:v>
                </c:pt>
                <c:pt idx="432">
                  <c:v>0.65178837823349256</c:v>
                </c:pt>
                <c:pt idx="433">
                  <c:v>0.64814505460328231</c:v>
                </c:pt>
                <c:pt idx="434">
                  <c:v>0.65198265101041852</c:v>
                </c:pt>
                <c:pt idx="435">
                  <c:v>0.6515444229154832</c:v>
                </c:pt>
                <c:pt idx="436">
                  <c:v>0.65148387221864845</c:v>
                </c:pt>
                <c:pt idx="437">
                  <c:v>0.65312591429493627</c:v>
                </c:pt>
                <c:pt idx="438">
                  <c:v>0.65426876967325021</c:v>
                </c:pt>
                <c:pt idx="439">
                  <c:v>0.64918196694464381</c:v>
                </c:pt>
                <c:pt idx="440">
                  <c:v>0.64368949654105778</c:v>
                </c:pt>
                <c:pt idx="441">
                  <c:v>0.64552848980297983</c:v>
                </c:pt>
                <c:pt idx="442">
                  <c:v>0.64229137953458582</c:v>
                </c:pt>
                <c:pt idx="443">
                  <c:v>0.64229987524614729</c:v>
                </c:pt>
                <c:pt idx="444">
                  <c:v>0.63778305663976509</c:v>
                </c:pt>
                <c:pt idx="445">
                  <c:v>0.63691889462335027</c:v>
                </c:pt>
                <c:pt idx="446">
                  <c:v>0.63397466451451667</c:v>
                </c:pt>
                <c:pt idx="447">
                  <c:v>0.63684737404815894</c:v>
                </c:pt>
                <c:pt idx="448">
                  <c:v>0.64106614525676708</c:v>
                </c:pt>
                <c:pt idx="449">
                  <c:v>0.64154821699405651</c:v>
                </c:pt>
                <c:pt idx="450">
                  <c:v>0.63756933840680263</c:v>
                </c:pt>
                <c:pt idx="451">
                  <c:v>0.63612991006215192</c:v>
                </c:pt>
                <c:pt idx="452">
                  <c:v>0.63325894724183152</c:v>
                </c:pt>
                <c:pt idx="453">
                  <c:v>0.63256523088794625</c:v>
                </c:pt>
                <c:pt idx="454">
                  <c:v>0.63940143356582713</c:v>
                </c:pt>
                <c:pt idx="455">
                  <c:v>0.63721321266959663</c:v>
                </c:pt>
                <c:pt idx="456">
                  <c:v>0.63780904056602217</c:v>
                </c:pt>
                <c:pt idx="457">
                  <c:v>0.63677291090374</c:v>
                </c:pt>
                <c:pt idx="458">
                  <c:v>0.63827952119526021</c:v>
                </c:pt>
                <c:pt idx="459">
                  <c:v>0.63393821058462729</c:v>
                </c:pt>
                <c:pt idx="460">
                  <c:v>0.6374093361301445</c:v>
                </c:pt>
                <c:pt idx="461">
                  <c:v>0.63973821170212997</c:v>
                </c:pt>
                <c:pt idx="462">
                  <c:v>0.64126035379620949</c:v>
                </c:pt>
                <c:pt idx="463">
                  <c:v>0.64404880005952869</c:v>
                </c:pt>
                <c:pt idx="464">
                  <c:v>0.64765757312358185</c:v>
                </c:pt>
                <c:pt idx="465">
                  <c:v>0.64670113994763245</c:v>
                </c:pt>
                <c:pt idx="466">
                  <c:v>0.64541445259594332</c:v>
                </c:pt>
                <c:pt idx="467">
                  <c:v>0.63833140119440301</c:v>
                </c:pt>
                <c:pt idx="468">
                  <c:v>0.63710725063365925</c:v>
                </c:pt>
                <c:pt idx="469">
                  <c:v>0.64108406814316332</c:v>
                </c:pt>
                <c:pt idx="470">
                  <c:v>0.64358314651114346</c:v>
                </c:pt>
                <c:pt idx="471">
                  <c:v>0.64241460601657552</c:v>
                </c:pt>
                <c:pt idx="472">
                  <c:v>0.64218641961257816</c:v>
                </c:pt>
                <c:pt idx="473">
                  <c:v>0.63338558511584431</c:v>
                </c:pt>
                <c:pt idx="474">
                  <c:v>0.63227402468636329</c:v>
                </c:pt>
                <c:pt idx="475">
                  <c:v>0.63702122352612567</c:v>
                </c:pt>
                <c:pt idx="476">
                  <c:v>0.63993180013690087</c:v>
                </c:pt>
                <c:pt idx="477">
                  <c:v>0.6387003352372802</c:v>
                </c:pt>
                <c:pt idx="478">
                  <c:v>0.64105641829417381</c:v>
                </c:pt>
                <c:pt idx="479">
                  <c:v>0.63609667860263719</c:v>
                </c:pt>
                <c:pt idx="480">
                  <c:v>0.6337787689363511</c:v>
                </c:pt>
                <c:pt idx="481">
                  <c:v>0.63626178135122968</c:v>
                </c:pt>
                <c:pt idx="482">
                  <c:v>0.63153886860967401</c:v>
                </c:pt>
                <c:pt idx="483">
                  <c:v>0.63428523571494122</c:v>
                </c:pt>
                <c:pt idx="484">
                  <c:v>0.63789109178146763</c:v>
                </c:pt>
                <c:pt idx="485">
                  <c:v>0.62916186116009365</c:v>
                </c:pt>
                <c:pt idx="486">
                  <c:v>0.62684146769362314</c:v>
                </c:pt>
                <c:pt idx="487">
                  <c:v>0.63432964445257667</c:v>
                </c:pt>
                <c:pt idx="488">
                  <c:v>0.62798162026758286</c:v>
                </c:pt>
                <c:pt idx="489">
                  <c:v>0.62761887829101637</c:v>
                </c:pt>
                <c:pt idx="490">
                  <c:v>0.63168119969796788</c:v>
                </c:pt>
                <c:pt idx="491">
                  <c:v>0.63017511275579685</c:v>
                </c:pt>
                <c:pt idx="492">
                  <c:v>0.62734247607039451</c:v>
                </c:pt>
                <c:pt idx="493">
                  <c:v>0.63027611507154724</c:v>
                </c:pt>
                <c:pt idx="494">
                  <c:v>0.6313250498239944</c:v>
                </c:pt>
                <c:pt idx="495">
                  <c:v>0.63304395978330064</c:v>
                </c:pt>
                <c:pt idx="496">
                  <c:v>0.63883301565667194</c:v>
                </c:pt>
                <c:pt idx="497">
                  <c:v>0.63569868060676438</c:v>
                </c:pt>
                <c:pt idx="498">
                  <c:v>0.63376193010963999</c:v>
                </c:pt>
                <c:pt idx="499">
                  <c:v>0.63047395856600841</c:v>
                </c:pt>
                <c:pt idx="500">
                  <c:v>0.63244332952775117</c:v>
                </c:pt>
                <c:pt idx="501">
                  <c:v>0.62869482628468298</c:v>
                </c:pt>
                <c:pt idx="502">
                  <c:v>0.63080504992205866</c:v>
                </c:pt>
                <c:pt idx="503">
                  <c:v>0.62412270391288061</c:v>
                </c:pt>
                <c:pt idx="504">
                  <c:v>0.62013561559214025</c:v>
                </c:pt>
                <c:pt idx="505">
                  <c:v>0.6211567296526751</c:v>
                </c:pt>
                <c:pt idx="506">
                  <c:v>0.62171133226385555</c:v>
                </c:pt>
                <c:pt idx="507">
                  <c:v>0.62309739158694544</c:v>
                </c:pt>
                <c:pt idx="508">
                  <c:v>0.62288214774970596</c:v>
                </c:pt>
                <c:pt idx="509">
                  <c:v>0.62669323546577216</c:v>
                </c:pt>
                <c:pt idx="510">
                  <c:v>0.62653628610977519</c:v>
                </c:pt>
                <c:pt idx="511">
                  <c:v>0.6250618208468417</c:v>
                </c:pt>
                <c:pt idx="512">
                  <c:v>0.62188854949973882</c:v>
                </c:pt>
                <c:pt idx="513">
                  <c:v>0.61800231506405823</c:v>
                </c:pt>
                <c:pt idx="514">
                  <c:v>0.61769540055619765</c:v>
                </c:pt>
                <c:pt idx="515">
                  <c:v>0.61520431349316029</c:v>
                </c:pt>
                <c:pt idx="516">
                  <c:v>0.61563014224987345</c:v>
                </c:pt>
                <c:pt idx="517">
                  <c:v>0.6138645624014204</c:v>
                </c:pt>
                <c:pt idx="518">
                  <c:v>0.61833093455426225</c:v>
                </c:pt>
                <c:pt idx="519">
                  <c:v>0.61433852275819656</c:v>
                </c:pt>
                <c:pt idx="520">
                  <c:v>0.61319319903580227</c:v>
                </c:pt>
                <c:pt idx="521">
                  <c:v>0.61295156897585712</c:v>
                </c:pt>
                <c:pt idx="522">
                  <c:v>0.61179447386595154</c:v>
                </c:pt>
                <c:pt idx="523">
                  <c:v>0.60785887346309386</c:v>
                </c:pt>
                <c:pt idx="524">
                  <c:v>0.60646740428347101</c:v>
                </c:pt>
                <c:pt idx="525">
                  <c:v>0.60295547274790118</c:v>
                </c:pt>
                <c:pt idx="526">
                  <c:v>0.60373923498677773</c:v>
                </c:pt>
                <c:pt idx="527">
                  <c:v>0.60120248790706343</c:v>
                </c:pt>
                <c:pt idx="528">
                  <c:v>0.60627365345581818</c:v>
                </c:pt>
                <c:pt idx="529">
                  <c:v>0.60246003580635821</c:v>
                </c:pt>
                <c:pt idx="530">
                  <c:v>0.59754858701528102</c:v>
                </c:pt>
                <c:pt idx="531">
                  <c:v>0.60327837507443771</c:v>
                </c:pt>
                <c:pt idx="532">
                  <c:v>0.60275606987652464</c:v>
                </c:pt>
                <c:pt idx="533">
                  <c:v>0.60038924663296322</c:v>
                </c:pt>
                <c:pt idx="534">
                  <c:v>0.59963834115598191</c:v>
                </c:pt>
                <c:pt idx="535">
                  <c:v>0.60045898127797714</c:v>
                </c:pt>
                <c:pt idx="536">
                  <c:v>0.59359796628723593</c:v>
                </c:pt>
                <c:pt idx="537">
                  <c:v>0.59448915624619825</c:v>
                </c:pt>
                <c:pt idx="538">
                  <c:v>0.59662761448801271</c:v>
                </c:pt>
                <c:pt idx="539">
                  <c:v>0.60062158689641321</c:v>
                </c:pt>
                <c:pt idx="540">
                  <c:v>0.59842227488979749</c:v>
                </c:pt>
                <c:pt idx="541">
                  <c:v>0.59556820184939785</c:v>
                </c:pt>
                <c:pt idx="542">
                  <c:v>0.59752270151229936</c:v>
                </c:pt>
                <c:pt idx="543">
                  <c:v>0.59583923894107405</c:v>
                </c:pt>
                <c:pt idx="544">
                  <c:v>0.59639103626863676</c:v>
                </c:pt>
                <c:pt idx="545">
                  <c:v>0.59282785712437824</c:v>
                </c:pt>
                <c:pt idx="546">
                  <c:v>0.59474511573659883</c:v>
                </c:pt>
                <c:pt idx="547">
                  <c:v>0.59320194975562512</c:v>
                </c:pt>
                <c:pt idx="548">
                  <c:v>0.59232053226059433</c:v>
                </c:pt>
                <c:pt idx="549">
                  <c:v>0.58916820768245359</c:v>
                </c:pt>
                <c:pt idx="550">
                  <c:v>0.58931909047094588</c:v>
                </c:pt>
                <c:pt idx="551">
                  <c:v>0.5898261456053473</c:v>
                </c:pt>
                <c:pt idx="552">
                  <c:v>0.59003991013699397</c:v>
                </c:pt>
                <c:pt idx="553">
                  <c:v>0.58721012014263785</c:v>
                </c:pt>
                <c:pt idx="554">
                  <c:v>0.58903788622024789</c:v>
                </c:pt>
                <c:pt idx="555">
                  <c:v>0.58785285407048149</c:v>
                </c:pt>
                <c:pt idx="556">
                  <c:v>0.586539111663132</c:v>
                </c:pt>
                <c:pt idx="557">
                  <c:v>0.58522917863421298</c:v>
                </c:pt>
                <c:pt idx="558">
                  <c:v>0.58344311838613816</c:v>
                </c:pt>
                <c:pt idx="559">
                  <c:v>0.58504402799533384</c:v>
                </c:pt>
                <c:pt idx="560">
                  <c:v>0.59194550592886264</c:v>
                </c:pt>
                <c:pt idx="561">
                  <c:v>0.59200983226721782</c:v>
                </c:pt>
                <c:pt idx="562">
                  <c:v>0.59253685607817375</c:v>
                </c:pt>
                <c:pt idx="563">
                  <c:v>0.59599747453869367</c:v>
                </c:pt>
                <c:pt idx="564">
                  <c:v>0.59742807028227352</c:v>
                </c:pt>
                <c:pt idx="565">
                  <c:v>0.59695008617489087</c:v>
                </c:pt>
                <c:pt idx="566">
                  <c:v>0.59415357525926149</c:v>
                </c:pt>
                <c:pt idx="567">
                  <c:v>0.59116909480459168</c:v>
                </c:pt>
                <c:pt idx="568">
                  <c:v>0.59186539331528709</c:v>
                </c:pt>
                <c:pt idx="569">
                  <c:v>0.59023754393887873</c:v>
                </c:pt>
                <c:pt idx="570">
                  <c:v>0.59082043417534813</c:v>
                </c:pt>
                <c:pt idx="571">
                  <c:v>0.59059049425811838</c:v>
                </c:pt>
                <c:pt idx="572">
                  <c:v>0.59023269015041746</c:v>
                </c:pt>
                <c:pt idx="573">
                  <c:v>0.59029239814453693</c:v>
                </c:pt>
                <c:pt idx="574">
                  <c:v>0.58227396510123985</c:v>
                </c:pt>
                <c:pt idx="575">
                  <c:v>0.58205714437555478</c:v>
                </c:pt>
                <c:pt idx="576">
                  <c:v>0.58093142369837369</c:v>
                </c:pt>
                <c:pt idx="577">
                  <c:v>0.57938641223109721</c:v>
                </c:pt>
                <c:pt idx="578">
                  <c:v>0.57665852249956362</c:v>
                </c:pt>
                <c:pt idx="579">
                  <c:v>0.57542471622107205</c:v>
                </c:pt>
                <c:pt idx="580">
                  <c:v>0.57876261639188098</c:v>
                </c:pt>
                <c:pt idx="581">
                  <c:v>0.57437101136263902</c:v>
                </c:pt>
                <c:pt idx="582">
                  <c:v>0.57112656638391912</c:v>
                </c:pt>
                <c:pt idx="583">
                  <c:v>0.57415423065252547</c:v>
                </c:pt>
                <c:pt idx="584">
                  <c:v>0.56909755773774418</c:v>
                </c:pt>
                <c:pt idx="585">
                  <c:v>0.56428296374374998</c:v>
                </c:pt>
                <c:pt idx="586">
                  <c:v>0.5620381021341877</c:v>
                </c:pt>
                <c:pt idx="587">
                  <c:v>0.56341020366365746</c:v>
                </c:pt>
                <c:pt idx="588">
                  <c:v>0.56767257805135229</c:v>
                </c:pt>
                <c:pt idx="589">
                  <c:v>0.57225266126690955</c:v>
                </c:pt>
                <c:pt idx="590">
                  <c:v>0.57603469821511355</c:v>
                </c:pt>
                <c:pt idx="591">
                  <c:v>0.57745916698486299</c:v>
                </c:pt>
                <c:pt idx="592">
                  <c:v>0.57931630403756618</c:v>
                </c:pt>
                <c:pt idx="593">
                  <c:v>0.57841209334914745</c:v>
                </c:pt>
                <c:pt idx="594">
                  <c:v>0.5779385382831006</c:v>
                </c:pt>
                <c:pt idx="595">
                  <c:v>0.57907631830915463</c:v>
                </c:pt>
                <c:pt idx="596">
                  <c:v>0.58257688688428555</c:v>
                </c:pt>
                <c:pt idx="597">
                  <c:v>0.5800983878306315</c:v>
                </c:pt>
                <c:pt idx="598">
                  <c:v>0.58478254683194397</c:v>
                </c:pt>
                <c:pt idx="599">
                  <c:v>0.58088916810469415</c:v>
                </c:pt>
                <c:pt idx="600">
                  <c:v>0.58248755901921523</c:v>
                </c:pt>
                <c:pt idx="601">
                  <c:v>0.58084544750646572</c:v>
                </c:pt>
                <c:pt idx="602">
                  <c:v>0.58036296841917479</c:v>
                </c:pt>
                <c:pt idx="603">
                  <c:v>0.5843457704318693</c:v>
                </c:pt>
                <c:pt idx="604">
                  <c:v>0.583198180747452</c:v>
                </c:pt>
                <c:pt idx="605">
                  <c:v>0.58185958971793383</c:v>
                </c:pt>
                <c:pt idx="606">
                  <c:v>0.58207057500991033</c:v>
                </c:pt>
                <c:pt idx="607">
                  <c:v>0.5800941067154578</c:v>
                </c:pt>
                <c:pt idx="608">
                  <c:v>0.58168313319392195</c:v>
                </c:pt>
                <c:pt idx="609">
                  <c:v>0.58412239743989602</c:v>
                </c:pt>
                <c:pt idx="610">
                  <c:v>0.58292871967432691</c:v>
                </c:pt>
                <c:pt idx="611">
                  <c:v>0.58382026628814598</c:v>
                </c:pt>
                <c:pt idx="612">
                  <c:v>0.58039994082907886</c:v>
                </c:pt>
                <c:pt idx="613">
                  <c:v>0.58338127637051462</c:v>
                </c:pt>
                <c:pt idx="614">
                  <c:v>0.58539810137279791</c:v>
                </c:pt>
                <c:pt idx="615">
                  <c:v>0.58712119194762347</c:v>
                </c:pt>
                <c:pt idx="616">
                  <c:v>0.59205291102209012</c:v>
                </c:pt>
                <c:pt idx="617">
                  <c:v>0.59127759310098871</c:v>
                </c:pt>
                <c:pt idx="618">
                  <c:v>0.5932035027838195</c:v>
                </c:pt>
                <c:pt idx="619">
                  <c:v>0.59337827863894621</c:v>
                </c:pt>
                <c:pt idx="620">
                  <c:v>0.59075908279455058</c:v>
                </c:pt>
                <c:pt idx="621">
                  <c:v>0.58717727096402039</c:v>
                </c:pt>
                <c:pt idx="622">
                  <c:v>0.58435434135297715</c:v>
                </c:pt>
                <c:pt idx="623">
                  <c:v>0.58413633480695948</c:v>
                </c:pt>
                <c:pt idx="624">
                  <c:v>0.58617845934122914</c:v>
                </c:pt>
                <c:pt idx="625">
                  <c:v>0.58058745766175524</c:v>
                </c:pt>
                <c:pt idx="626">
                  <c:v>0.57817007599313197</c:v>
                </c:pt>
                <c:pt idx="627">
                  <c:v>0.57635018750645706</c:v>
                </c:pt>
                <c:pt idx="628">
                  <c:v>0.58144096336373252</c:v>
                </c:pt>
                <c:pt idx="629">
                  <c:v>0.58067202594227629</c:v>
                </c:pt>
                <c:pt idx="630">
                  <c:v>0.58410861546752857</c:v>
                </c:pt>
                <c:pt idx="631">
                  <c:v>0.58130996361371967</c:v>
                </c:pt>
                <c:pt idx="632">
                  <c:v>0.58459879634302681</c:v>
                </c:pt>
                <c:pt idx="633">
                  <c:v>0.58293111568109723</c:v>
                </c:pt>
                <c:pt idx="634">
                  <c:v>0.58712883122058013</c:v>
                </c:pt>
                <c:pt idx="635">
                  <c:v>0.58813241860352816</c:v>
                </c:pt>
                <c:pt idx="636">
                  <c:v>0.58530096626666273</c:v>
                </c:pt>
                <c:pt idx="637">
                  <c:v>0.58186311733761076</c:v>
                </c:pt>
                <c:pt idx="638">
                  <c:v>0.57868624156076776</c:v>
                </c:pt>
                <c:pt idx="639">
                  <c:v>0.58013870097478759</c:v>
                </c:pt>
                <c:pt idx="640">
                  <c:v>0.5820672632634849</c:v>
                </c:pt>
                <c:pt idx="641">
                  <c:v>0.58577130175657521</c:v>
                </c:pt>
                <c:pt idx="642">
                  <c:v>0.58655484280477299</c:v>
                </c:pt>
                <c:pt idx="643">
                  <c:v>0.58480758136667599</c:v>
                </c:pt>
                <c:pt idx="644">
                  <c:v>0.58601703343023381</c:v>
                </c:pt>
                <c:pt idx="645">
                  <c:v>0.58333880696383622</c:v>
                </c:pt>
                <c:pt idx="646">
                  <c:v>0.5850748751998579</c:v>
                </c:pt>
                <c:pt idx="647">
                  <c:v>0.5835814795170482</c:v>
                </c:pt>
                <c:pt idx="648">
                  <c:v>0.5810980981809909</c:v>
                </c:pt>
                <c:pt idx="649">
                  <c:v>0.58151812172295392</c:v>
                </c:pt>
                <c:pt idx="650">
                  <c:v>0.57845231810496456</c:v>
                </c:pt>
                <c:pt idx="651">
                  <c:v>0.58046799073425925</c:v>
                </c:pt>
                <c:pt idx="652">
                  <c:v>0.58362300592691041</c:v>
                </c:pt>
                <c:pt idx="653">
                  <c:v>0.58349089418085121</c:v>
                </c:pt>
                <c:pt idx="654">
                  <c:v>0.57924334722871673</c:v>
                </c:pt>
                <c:pt idx="655">
                  <c:v>0.57944670046785884</c:v>
                </c:pt>
                <c:pt idx="656">
                  <c:v>0.57543663093288155</c:v>
                </c:pt>
                <c:pt idx="657">
                  <c:v>0.57279427294852481</c:v>
                </c:pt>
                <c:pt idx="658">
                  <c:v>0.56999398900272924</c:v>
                </c:pt>
                <c:pt idx="659">
                  <c:v>0.56582404795662467</c:v>
                </c:pt>
                <c:pt idx="660">
                  <c:v>0.56172704736437795</c:v>
                </c:pt>
                <c:pt idx="661">
                  <c:v>0.55546194502287982</c:v>
                </c:pt>
                <c:pt idx="662">
                  <c:v>0.55390368161580328</c:v>
                </c:pt>
                <c:pt idx="663">
                  <c:v>0.55184578835213438</c:v>
                </c:pt>
                <c:pt idx="664">
                  <c:v>0.55250949336533228</c:v>
                </c:pt>
                <c:pt idx="665">
                  <c:v>0.54924189852058158</c:v>
                </c:pt>
                <c:pt idx="666">
                  <c:v>0.54924283142426145</c:v>
                </c:pt>
                <c:pt idx="667">
                  <c:v>0.54896863027601372</c:v>
                </c:pt>
                <c:pt idx="668">
                  <c:v>0.54598558188914859</c:v>
                </c:pt>
                <c:pt idx="669">
                  <c:v>0.54542400604227159</c:v>
                </c:pt>
                <c:pt idx="670">
                  <c:v>0.5470197577929633</c:v>
                </c:pt>
                <c:pt idx="671">
                  <c:v>0.54652224460800192</c:v>
                </c:pt>
                <c:pt idx="672">
                  <c:v>0.54703145008872023</c:v>
                </c:pt>
                <c:pt idx="673">
                  <c:v>0.54420194550588941</c:v>
                </c:pt>
                <c:pt idx="674">
                  <c:v>0.54256372043187839</c:v>
                </c:pt>
                <c:pt idx="675">
                  <c:v>0.53905310040240906</c:v>
                </c:pt>
                <c:pt idx="676">
                  <c:v>0.53285288930661701</c:v>
                </c:pt>
                <c:pt idx="677">
                  <c:v>0.53375206661549257</c:v>
                </c:pt>
                <c:pt idx="678">
                  <c:v>0.53872586175646731</c:v>
                </c:pt>
                <c:pt idx="679">
                  <c:v>0.53659544908577239</c:v>
                </c:pt>
                <c:pt idx="680">
                  <c:v>0.53401096925336444</c:v>
                </c:pt>
                <c:pt idx="681">
                  <c:v>0.53456994095959454</c:v>
                </c:pt>
                <c:pt idx="682">
                  <c:v>0.53950381493641442</c:v>
                </c:pt>
                <c:pt idx="683">
                  <c:v>0.54060727902800043</c:v>
                </c:pt>
                <c:pt idx="684">
                  <c:v>0.54468409907719606</c:v>
                </c:pt>
                <c:pt idx="685">
                  <c:v>0.54036888370213654</c:v>
                </c:pt>
                <c:pt idx="686">
                  <c:v>0.54007932345945731</c:v>
                </c:pt>
                <c:pt idx="687">
                  <c:v>0.54200030385734133</c:v>
                </c:pt>
                <c:pt idx="688">
                  <c:v>0.54351939013617767</c:v>
                </c:pt>
                <c:pt idx="689">
                  <c:v>0.54067197383284271</c:v>
                </c:pt>
                <c:pt idx="690">
                  <c:v>0.54027623556618731</c:v>
                </c:pt>
                <c:pt idx="691">
                  <c:v>0.53518490947591024</c:v>
                </c:pt>
                <c:pt idx="692">
                  <c:v>0.5311476433467186</c:v>
                </c:pt>
                <c:pt idx="693">
                  <c:v>0.52968809551405049</c:v>
                </c:pt>
                <c:pt idx="694">
                  <c:v>0.53037271155013244</c:v>
                </c:pt>
                <c:pt idx="695">
                  <c:v>0.53295828778508159</c:v>
                </c:pt>
                <c:pt idx="696">
                  <c:v>0.53255997863062032</c:v>
                </c:pt>
                <c:pt idx="697">
                  <c:v>0.53795038990205013</c:v>
                </c:pt>
                <c:pt idx="698">
                  <c:v>0.54047936260984331</c:v>
                </c:pt>
                <c:pt idx="699">
                  <c:v>0.54098950363651965</c:v>
                </c:pt>
                <c:pt idx="700">
                  <c:v>0.53870375636472223</c:v>
                </c:pt>
                <c:pt idx="701">
                  <c:v>0.54219773543280625</c:v>
                </c:pt>
                <c:pt idx="702">
                  <c:v>0.54300680653672151</c:v>
                </c:pt>
                <c:pt idx="703">
                  <c:v>0.54627499151378067</c:v>
                </c:pt>
                <c:pt idx="704">
                  <c:v>0.54585837604264553</c:v>
                </c:pt>
                <c:pt idx="705">
                  <c:v>0.54970690324371752</c:v>
                </c:pt>
                <c:pt idx="706">
                  <c:v>0.55084488920530839</c:v>
                </c:pt>
                <c:pt idx="707">
                  <c:v>0.54875105571874883</c:v>
                </c:pt>
                <c:pt idx="708">
                  <c:v>0.54938654982021806</c:v>
                </c:pt>
                <c:pt idx="709">
                  <c:v>0.54529681446257439</c:v>
                </c:pt>
                <c:pt idx="710">
                  <c:v>0.54183564101692483</c:v>
                </c:pt>
                <c:pt idx="711">
                  <c:v>0.54598783440379739</c:v>
                </c:pt>
                <c:pt idx="712">
                  <c:v>0.54547419466775604</c:v>
                </c:pt>
                <c:pt idx="713">
                  <c:v>0.54738369247335306</c:v>
                </c:pt>
                <c:pt idx="714">
                  <c:v>0.54490965937634261</c:v>
                </c:pt>
                <c:pt idx="715">
                  <c:v>0.54347682653047313</c:v>
                </c:pt>
                <c:pt idx="716">
                  <c:v>0.54251047244239692</c:v>
                </c:pt>
                <c:pt idx="717">
                  <c:v>0.54215095610775088</c:v>
                </c:pt>
                <c:pt idx="718">
                  <c:v>0.54690083989262506</c:v>
                </c:pt>
                <c:pt idx="719">
                  <c:v>0.54429668832816958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7584"/>
        <c:axId val="95805440"/>
      </c:lineChart>
      <c:catAx>
        <c:axId val="69907584"/>
        <c:scaling>
          <c:orientation val="minMax"/>
        </c:scaling>
        <c:delete val="0"/>
        <c:axPos val="b"/>
        <c:majorTickMark val="out"/>
        <c:minorTickMark val="none"/>
        <c:tickLblPos val="nextTo"/>
        <c:crossAx val="95805440"/>
        <c:crosses val="autoZero"/>
        <c:auto val="1"/>
        <c:lblAlgn val="ctr"/>
        <c:lblOffset val="100"/>
        <c:noMultiLvlLbl val="0"/>
      </c:catAx>
      <c:valAx>
        <c:axId val="958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907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Output!$O$12:$O$731</c:f>
              <c:numCache>
                <c:formatCode>General</c:formatCode>
                <c:ptCount val="720"/>
                <c:pt idx="0">
                  <c:v>4.8740855742122327E-4</c:v>
                </c:pt>
                <c:pt idx="1">
                  <c:v>4.9648445639140421E-4</c:v>
                </c:pt>
                <c:pt idx="2">
                  <c:v>4.9970414747146615E-4</c:v>
                </c:pt>
                <c:pt idx="3">
                  <c:v>4.9918535891021597E-4</c:v>
                </c:pt>
                <c:pt idx="4">
                  <c:v>4.9920805810363357E-4</c:v>
                </c:pt>
                <c:pt idx="5">
                  <c:v>5.000450121799469E-4</c:v>
                </c:pt>
                <c:pt idx="6">
                  <c:v>4.9937906497711493E-4</c:v>
                </c:pt>
                <c:pt idx="7">
                  <c:v>5.0012579771612647E-4</c:v>
                </c:pt>
                <c:pt idx="8">
                  <c:v>4.9916945265753455E-4</c:v>
                </c:pt>
                <c:pt idx="9">
                  <c:v>4.9964282368922665E-4</c:v>
                </c:pt>
                <c:pt idx="10">
                  <c:v>4.994771251633079E-4</c:v>
                </c:pt>
                <c:pt idx="11">
                  <c:v>4.9959559243672818E-4</c:v>
                </c:pt>
                <c:pt idx="12">
                  <c:v>4.9943677636059324E-4</c:v>
                </c:pt>
                <c:pt idx="13">
                  <c:v>4.9928222362148958E-4</c:v>
                </c:pt>
                <c:pt idx="14">
                  <c:v>4.9888156605030587E-4</c:v>
                </c:pt>
                <c:pt idx="15">
                  <c:v>4.9886186610665186E-4</c:v>
                </c:pt>
                <c:pt idx="16">
                  <c:v>4.9855874504129197E-4</c:v>
                </c:pt>
                <c:pt idx="17">
                  <c:v>4.9858357826624926E-4</c:v>
                </c:pt>
                <c:pt idx="18">
                  <c:v>4.9862009105763189E-4</c:v>
                </c:pt>
                <c:pt idx="19">
                  <c:v>4.9802547228473717E-4</c:v>
                </c:pt>
                <c:pt idx="20">
                  <c:v>4.9823175999111672E-4</c:v>
                </c:pt>
                <c:pt idx="21">
                  <c:v>4.9788052836279809E-4</c:v>
                </c:pt>
                <c:pt idx="22">
                  <c:v>4.9787562693572702E-4</c:v>
                </c:pt>
                <c:pt idx="23">
                  <c:v>4.9770544571274783E-4</c:v>
                </c:pt>
                <c:pt idx="24">
                  <c:v>4.97822836863743E-4</c:v>
                </c:pt>
                <c:pt idx="25">
                  <c:v>4.9764759825683658E-4</c:v>
                </c:pt>
                <c:pt idx="26">
                  <c:v>4.9741797503726729E-4</c:v>
                </c:pt>
                <c:pt idx="27">
                  <c:v>4.9748105741813506E-4</c:v>
                </c:pt>
                <c:pt idx="28">
                  <c:v>4.9721939883715473E-4</c:v>
                </c:pt>
                <c:pt idx="29">
                  <c:v>4.9705669526192535E-4</c:v>
                </c:pt>
                <c:pt idx="30">
                  <c:v>4.9717627682817822E-4</c:v>
                </c:pt>
                <c:pt idx="31">
                  <c:v>4.9700652097321718E-4</c:v>
                </c:pt>
                <c:pt idx="32">
                  <c:v>4.9693840814260678E-4</c:v>
                </c:pt>
                <c:pt idx="33">
                  <c:v>4.9687264244049228E-4</c:v>
                </c:pt>
                <c:pt idx="34">
                  <c:v>4.9669462646029445E-4</c:v>
                </c:pt>
                <c:pt idx="35">
                  <c:v>4.9683885268416686E-4</c:v>
                </c:pt>
                <c:pt idx="36">
                  <c:v>4.9660514786627891E-4</c:v>
                </c:pt>
                <c:pt idx="37">
                  <c:v>4.9647548540572648E-4</c:v>
                </c:pt>
                <c:pt idx="38">
                  <c:v>4.9642705774712167E-4</c:v>
                </c:pt>
                <c:pt idx="39">
                  <c:v>4.9648947457409044E-4</c:v>
                </c:pt>
                <c:pt idx="40">
                  <c:v>4.9622901411860531E-4</c:v>
                </c:pt>
                <c:pt idx="41">
                  <c:v>4.9601649644836565E-4</c:v>
                </c:pt>
                <c:pt idx="42">
                  <c:v>4.9572958124601289E-4</c:v>
                </c:pt>
                <c:pt idx="43">
                  <c:v>4.9563849478967371E-4</c:v>
                </c:pt>
                <c:pt idx="44">
                  <c:v>4.9542701343250662E-4</c:v>
                </c:pt>
                <c:pt idx="45">
                  <c:v>4.9527496655157118E-4</c:v>
                </c:pt>
                <c:pt idx="46">
                  <c:v>4.9515459984718682E-4</c:v>
                </c:pt>
                <c:pt idx="47">
                  <c:v>4.9502341117598631E-4</c:v>
                </c:pt>
                <c:pt idx="48">
                  <c:v>4.9491646810512387E-4</c:v>
                </c:pt>
                <c:pt idx="49">
                  <c:v>4.9478045581434547E-4</c:v>
                </c:pt>
                <c:pt idx="50">
                  <c:v>4.9468627503066983E-4</c:v>
                </c:pt>
                <c:pt idx="51">
                  <c:v>4.9456841348031436E-4</c:v>
                </c:pt>
                <c:pt idx="52">
                  <c:v>4.9462365897705936E-4</c:v>
                </c:pt>
                <c:pt idx="53">
                  <c:v>4.9448223165153256E-4</c:v>
                </c:pt>
                <c:pt idx="54">
                  <c:v>4.9440097315032821E-4</c:v>
                </c:pt>
                <c:pt idx="55">
                  <c:v>4.9434141520499509E-4</c:v>
                </c:pt>
                <c:pt idx="56">
                  <c:v>4.9423393807769946E-4</c:v>
                </c:pt>
                <c:pt idx="57">
                  <c:v>4.9404068857879756E-4</c:v>
                </c:pt>
                <c:pt idx="58">
                  <c:v>4.9381933109193072E-4</c:v>
                </c:pt>
                <c:pt idx="59">
                  <c:v>4.9344596409322053E-4</c:v>
                </c:pt>
                <c:pt idx="60">
                  <c:v>4.931221136610178E-4</c:v>
                </c:pt>
                <c:pt idx="61">
                  <c:v>4.9273189689122052E-4</c:v>
                </c:pt>
                <c:pt idx="62">
                  <c:v>4.9227913572773253E-4</c:v>
                </c:pt>
                <c:pt idx="63">
                  <c:v>4.9185456020006549E-4</c:v>
                </c:pt>
                <c:pt idx="64">
                  <c:v>4.9142702793786774E-4</c:v>
                </c:pt>
                <c:pt idx="65">
                  <c:v>4.9112374760788499E-4</c:v>
                </c:pt>
                <c:pt idx="66">
                  <c:v>4.9090484896776242E-4</c:v>
                </c:pt>
                <c:pt idx="67">
                  <c:v>4.9077037299720882E-4</c:v>
                </c:pt>
                <c:pt idx="68">
                  <c:v>4.907660733464343E-4</c:v>
                </c:pt>
                <c:pt idx="69">
                  <c:v>4.9089614347207189E-4</c:v>
                </c:pt>
                <c:pt idx="70">
                  <c:v>4.9131406107583923E-4</c:v>
                </c:pt>
                <c:pt idx="71">
                  <c:v>4.9197575624927833E-4</c:v>
                </c:pt>
                <c:pt idx="72">
                  <c:v>4.9292197365866466E-4</c:v>
                </c:pt>
                <c:pt idx="73">
                  <c:v>4.939471333451767E-4</c:v>
                </c:pt>
                <c:pt idx="74">
                  <c:v>4.9508945675205706E-4</c:v>
                </c:pt>
                <c:pt idx="75">
                  <c:v>4.9610134951225148E-4</c:v>
                </c:pt>
                <c:pt idx="76">
                  <c:v>4.9698479513198327E-4</c:v>
                </c:pt>
                <c:pt idx="77">
                  <c:v>4.9763895847381649E-4</c:v>
                </c:pt>
                <c:pt idx="78">
                  <c:v>4.9804905757239236E-4</c:v>
                </c:pt>
                <c:pt idx="79">
                  <c:v>4.9797577374964953E-4</c:v>
                </c:pt>
                <c:pt idx="80">
                  <c:v>4.9747414527387401E-4</c:v>
                </c:pt>
                <c:pt idx="81">
                  <c:v>4.9634283225298483E-4</c:v>
                </c:pt>
                <c:pt idx="82">
                  <c:v>4.9439183135192508E-4</c:v>
                </c:pt>
                <c:pt idx="83">
                  <c:v>4.917119061483182E-4</c:v>
                </c:pt>
                <c:pt idx="84">
                  <c:v>4.8828922829984218E-4</c:v>
                </c:pt>
                <c:pt idx="85">
                  <c:v>4.8483989236844849E-4</c:v>
                </c:pt>
                <c:pt idx="86">
                  <c:v>4.8234296978528178E-4</c:v>
                </c:pt>
                <c:pt idx="87">
                  <c:v>4.8183250046897319E-4</c:v>
                </c:pt>
                <c:pt idx="88">
                  <c:v>4.8397187902205906E-4</c:v>
                </c:pt>
                <c:pt idx="89">
                  <c:v>4.8976288803913044E-4</c:v>
                </c:pt>
                <c:pt idx="90">
                  <c:v>5.0018316558235834E-4</c:v>
                </c:pt>
                <c:pt idx="91">
                  <c:v>5.1609607636021976E-4</c:v>
                </c:pt>
                <c:pt idx="92">
                  <c:v>5.3848076080802577E-4</c:v>
                </c:pt>
                <c:pt idx="93">
                  <c:v>5.681766546595451E-4</c:v>
                </c:pt>
                <c:pt idx="94">
                  <c:v>6.0617112004196147E-4</c:v>
                </c:pt>
                <c:pt idx="95">
                  <c:v>6.5332430041982448E-4</c:v>
                </c:pt>
                <c:pt idx="96">
                  <c:v>7.101903566598157E-4</c:v>
                </c:pt>
                <c:pt idx="97">
                  <c:v>7.7602540462880514E-4</c:v>
                </c:pt>
                <c:pt idx="98">
                  <c:v>8.4966278658944001E-4</c:v>
                </c:pt>
                <c:pt idx="99">
                  <c:v>9.3005492331445705E-4</c:v>
                </c:pt>
                <c:pt idx="100">
                  <c:v>1.0160989246759929E-3</c:v>
                </c:pt>
                <c:pt idx="101">
                  <c:v>1.1066448000584535E-3</c:v>
                </c:pt>
                <c:pt idx="102">
                  <c:v>1.2006747802937863E-3</c:v>
                </c:pt>
                <c:pt idx="103">
                  <c:v>1.2969366460558014E-3</c:v>
                </c:pt>
                <c:pt idx="104">
                  <c:v>1.3944375991701611E-3</c:v>
                </c:pt>
                <c:pt idx="105">
                  <c:v>1.4918942900157064E-3</c:v>
                </c:pt>
                <c:pt idx="106">
                  <c:v>1.5881864547314566E-3</c:v>
                </c:pt>
                <c:pt idx="107">
                  <c:v>1.6821571163003171E-3</c:v>
                </c:pt>
                <c:pt idx="108">
                  <c:v>1.7729522637292062E-3</c:v>
                </c:pt>
                <c:pt idx="109">
                  <c:v>1.8604273343239344E-3</c:v>
                </c:pt>
                <c:pt idx="110">
                  <c:v>1.9447174098650413E-3</c:v>
                </c:pt>
                <c:pt idx="111">
                  <c:v>2.0261533782345211E-3</c:v>
                </c:pt>
                <c:pt idx="112">
                  <c:v>2.1047765556998759E-3</c:v>
                </c:pt>
                <c:pt idx="113">
                  <c:v>2.1808823662008863E-3</c:v>
                </c:pt>
                <c:pt idx="114">
                  <c:v>2.2544216746834345E-3</c:v>
                </c:pt>
                <c:pt idx="115">
                  <c:v>2.3258498973032587E-3</c:v>
                </c:pt>
                <c:pt idx="116">
                  <c:v>2.3951407615044585E-3</c:v>
                </c:pt>
                <c:pt idx="117">
                  <c:v>2.4624294082918907E-3</c:v>
                </c:pt>
                <c:pt idx="118">
                  <c:v>2.5278923905751758E-3</c:v>
                </c:pt>
                <c:pt idx="119">
                  <c:v>2.5916952017028946E-3</c:v>
                </c:pt>
                <c:pt idx="120">
                  <c:v>2.6541409740121398E-3</c:v>
                </c:pt>
                <c:pt idx="121">
                  <c:v>2.7152906132920456E-3</c:v>
                </c:pt>
                <c:pt idx="122">
                  <c:v>2.7753495833046735E-3</c:v>
                </c:pt>
                <c:pt idx="123">
                  <c:v>2.8345730691907646E-3</c:v>
                </c:pt>
                <c:pt idx="124">
                  <c:v>2.8931753670459895E-3</c:v>
                </c:pt>
                <c:pt idx="125">
                  <c:v>2.9513305158705479E-3</c:v>
                </c:pt>
                <c:pt idx="126">
                  <c:v>3.0092840135879993E-3</c:v>
                </c:pt>
                <c:pt idx="127">
                  <c:v>3.0672423223634939E-3</c:v>
                </c:pt>
                <c:pt idx="128">
                  <c:v>3.1253614837615418E-3</c:v>
                </c:pt>
                <c:pt idx="129">
                  <c:v>3.1839521849204881E-3</c:v>
                </c:pt>
                <c:pt idx="130">
                  <c:v>3.2432332407136078E-3</c:v>
                </c:pt>
                <c:pt idx="131">
                  <c:v>3.3033564444471769E-3</c:v>
                </c:pt>
                <c:pt idx="132">
                  <c:v>3.3644930012908794E-3</c:v>
                </c:pt>
                <c:pt idx="133">
                  <c:v>3.426387126458414E-3</c:v>
                </c:pt>
                <c:pt idx="134">
                  <c:v>3.4886795625161194E-3</c:v>
                </c:pt>
                <c:pt idx="135">
                  <c:v>3.5510759482107242E-3</c:v>
                </c:pt>
                <c:pt idx="136">
                  <c:v>3.6132624581869293E-3</c:v>
                </c:pt>
                <c:pt idx="137">
                  <c:v>3.6749543305731333E-3</c:v>
                </c:pt>
                <c:pt idx="138">
                  <c:v>3.7357829877179682E-3</c:v>
                </c:pt>
                <c:pt idx="139">
                  <c:v>3.7953945459571516E-3</c:v>
                </c:pt>
                <c:pt idx="140">
                  <c:v>3.8534993629528967E-3</c:v>
                </c:pt>
                <c:pt idx="141">
                  <c:v>3.9098914534032771E-3</c:v>
                </c:pt>
                <c:pt idx="142">
                  <c:v>3.964197459077402E-3</c:v>
                </c:pt>
                <c:pt idx="143">
                  <c:v>4.0160591539010479E-3</c:v>
                </c:pt>
                <c:pt idx="144">
                  <c:v>4.0652951066077019E-3</c:v>
                </c:pt>
                <c:pt idx="145">
                  <c:v>4.1120840898340102E-3</c:v>
                </c:pt>
                <c:pt idx="146">
                  <c:v>4.1566469708647687E-3</c:v>
                </c:pt>
                <c:pt idx="147">
                  <c:v>4.1992714600419326E-3</c:v>
                </c:pt>
                <c:pt idx="148">
                  <c:v>4.240270032519285E-3</c:v>
                </c:pt>
                <c:pt idx="149">
                  <c:v>4.2798668757118002E-3</c:v>
                </c:pt>
                <c:pt idx="150">
                  <c:v>4.3183370245702679E-3</c:v>
                </c:pt>
                <c:pt idx="151">
                  <c:v>4.3560252317203238E-3</c:v>
                </c:pt>
                <c:pt idx="152">
                  <c:v>4.393189858304075E-3</c:v>
                </c:pt>
                <c:pt idx="153">
                  <c:v>4.4301360567224318E-3</c:v>
                </c:pt>
                <c:pt idx="154">
                  <c:v>4.4671601143367722E-3</c:v>
                </c:pt>
                <c:pt idx="155">
                  <c:v>4.5045785651667237E-3</c:v>
                </c:pt>
                <c:pt idx="156">
                  <c:v>4.5425494554393424E-3</c:v>
                </c:pt>
                <c:pt idx="157">
                  <c:v>4.5811341560576058E-3</c:v>
                </c:pt>
                <c:pt idx="158">
                  <c:v>4.6203049120557673E-3</c:v>
                </c:pt>
                <c:pt idx="159">
                  <c:v>4.6600107170941315E-3</c:v>
                </c:pt>
                <c:pt idx="160">
                  <c:v>4.7002984474519222E-3</c:v>
                </c:pt>
                <c:pt idx="161">
                  <c:v>4.7411241926746776E-3</c:v>
                </c:pt>
                <c:pt idx="162">
                  <c:v>4.782472015625483E-3</c:v>
                </c:pt>
                <c:pt idx="163">
                  <c:v>4.8243843019754257E-3</c:v>
                </c:pt>
                <c:pt idx="164">
                  <c:v>4.8668291186981048E-3</c:v>
                </c:pt>
                <c:pt idx="165">
                  <c:v>4.9098492743672156E-3</c:v>
                </c:pt>
                <c:pt idx="166">
                  <c:v>4.9533602627854067E-3</c:v>
                </c:pt>
                <c:pt idx="167">
                  <c:v>4.997399380548404E-3</c:v>
                </c:pt>
                <c:pt idx="168">
                  <c:v>5.0419625571445541E-3</c:v>
                </c:pt>
                <c:pt idx="169">
                  <c:v>5.0867886744070979E-3</c:v>
                </c:pt>
                <c:pt idx="170">
                  <c:v>5.1316131509822459E-3</c:v>
                </c:pt>
                <c:pt idx="171">
                  <c:v>5.1762340271987433E-3</c:v>
                </c:pt>
                <c:pt idx="172">
                  <c:v>5.2203579458535709E-3</c:v>
                </c:pt>
                <c:pt idx="173">
                  <c:v>5.2638106181989806E-3</c:v>
                </c:pt>
                <c:pt idx="174">
                  <c:v>5.3062956164114869E-3</c:v>
                </c:pt>
                <c:pt idx="175">
                  <c:v>5.34761353907984E-3</c:v>
                </c:pt>
                <c:pt idx="176">
                  <c:v>5.3875756282779569E-3</c:v>
                </c:pt>
                <c:pt idx="177">
                  <c:v>5.4257772624788578E-3</c:v>
                </c:pt>
                <c:pt idx="178">
                  <c:v>5.462067527995355E-3</c:v>
                </c:pt>
                <c:pt idx="179">
                  <c:v>5.4962004193338252E-3</c:v>
                </c:pt>
                <c:pt idx="180">
                  <c:v>5.5280256263197406E-3</c:v>
                </c:pt>
                <c:pt idx="181">
                  <c:v>5.5575941520122994E-3</c:v>
                </c:pt>
                <c:pt idx="182">
                  <c:v>5.5852445463621964E-3</c:v>
                </c:pt>
                <c:pt idx="183">
                  <c:v>5.6112866478280395E-3</c:v>
                </c:pt>
                <c:pt idx="184">
                  <c:v>5.6359425535274848E-3</c:v>
                </c:pt>
                <c:pt idx="185">
                  <c:v>5.6594075072222833E-3</c:v>
                </c:pt>
                <c:pt idx="186">
                  <c:v>5.6819611230613564E-3</c:v>
                </c:pt>
                <c:pt idx="187">
                  <c:v>5.7038663905516953E-3</c:v>
                </c:pt>
                <c:pt idx="188">
                  <c:v>5.7253549603991146E-3</c:v>
                </c:pt>
                <c:pt idx="189">
                  <c:v>5.7467050006425238E-3</c:v>
                </c:pt>
                <c:pt idx="190">
                  <c:v>5.768234140757748E-3</c:v>
                </c:pt>
                <c:pt idx="191">
                  <c:v>5.7901585950559586E-3</c:v>
                </c:pt>
                <c:pt idx="192">
                  <c:v>5.8126565143347079E-3</c:v>
                </c:pt>
                <c:pt idx="193">
                  <c:v>5.8357149486610062E-3</c:v>
                </c:pt>
                <c:pt idx="194">
                  <c:v>5.8592624135698507E-3</c:v>
                </c:pt>
                <c:pt idx="195">
                  <c:v>5.8833138646919442E-3</c:v>
                </c:pt>
                <c:pt idx="196">
                  <c:v>5.9077462812387261E-3</c:v>
                </c:pt>
                <c:pt idx="197">
                  <c:v>5.9325774807290604E-3</c:v>
                </c:pt>
                <c:pt idx="198">
                  <c:v>5.9576999925517009E-3</c:v>
                </c:pt>
                <c:pt idx="199">
                  <c:v>5.9831309656700063E-3</c:v>
                </c:pt>
                <c:pt idx="200">
                  <c:v>6.0087316453921961E-3</c:v>
                </c:pt>
                <c:pt idx="201">
                  <c:v>6.0344386533782912E-3</c:v>
                </c:pt>
                <c:pt idx="202">
                  <c:v>6.0601772258161452E-3</c:v>
                </c:pt>
                <c:pt idx="203">
                  <c:v>6.0859207431212467E-3</c:v>
                </c:pt>
                <c:pt idx="204">
                  <c:v>6.1115262118793274E-3</c:v>
                </c:pt>
                <c:pt idx="205">
                  <c:v>6.1369824915025514E-3</c:v>
                </c:pt>
                <c:pt idx="206">
                  <c:v>6.1623661724936381E-3</c:v>
                </c:pt>
                <c:pt idx="207">
                  <c:v>6.1876526547816439E-3</c:v>
                </c:pt>
                <c:pt idx="208">
                  <c:v>6.2128710838303576E-3</c:v>
                </c:pt>
                <c:pt idx="209">
                  <c:v>6.2379824100018853E-3</c:v>
                </c:pt>
                <c:pt idx="210">
                  <c:v>6.2629200539630753E-3</c:v>
                </c:pt>
                <c:pt idx="211">
                  <c:v>6.287723379228824E-3</c:v>
                </c:pt>
                <c:pt idx="212">
                  <c:v>6.3124535387315056E-3</c:v>
                </c:pt>
                <c:pt idx="213">
                  <c:v>6.3370771325030146E-3</c:v>
                </c:pt>
                <c:pt idx="214">
                  <c:v>6.3616407782153273E-3</c:v>
                </c:pt>
                <c:pt idx="215">
                  <c:v>6.3860427048427508E-3</c:v>
                </c:pt>
                <c:pt idx="216">
                  <c:v>6.4104763393118833E-3</c:v>
                </c:pt>
                <c:pt idx="217">
                  <c:v>6.4348508550066824E-3</c:v>
                </c:pt>
                <c:pt idx="218">
                  <c:v>6.4592496271403243E-3</c:v>
                </c:pt>
                <c:pt idx="219">
                  <c:v>6.4836614475950322E-3</c:v>
                </c:pt>
                <c:pt idx="220">
                  <c:v>6.5081044054279853E-3</c:v>
                </c:pt>
                <c:pt idx="221">
                  <c:v>6.5327133400058272E-3</c:v>
                </c:pt>
                <c:pt idx="222">
                  <c:v>6.5574490021252339E-3</c:v>
                </c:pt>
                <c:pt idx="223">
                  <c:v>6.5824689029291544E-3</c:v>
                </c:pt>
                <c:pt idx="224">
                  <c:v>6.6078443198106327E-3</c:v>
                </c:pt>
                <c:pt idx="225">
                  <c:v>6.6335443095843407E-3</c:v>
                </c:pt>
                <c:pt idx="226">
                  <c:v>6.6596531193771555E-3</c:v>
                </c:pt>
                <c:pt idx="227">
                  <c:v>6.6862486014234255E-3</c:v>
                </c:pt>
                <c:pt idx="228">
                  <c:v>6.7133540769864384E-3</c:v>
                </c:pt>
                <c:pt idx="229">
                  <c:v>6.7407905090025493E-3</c:v>
                </c:pt>
                <c:pt idx="230">
                  <c:v>6.7683067854398546E-3</c:v>
                </c:pt>
                <c:pt idx="231">
                  <c:v>6.7957242415192902E-3</c:v>
                </c:pt>
                <c:pt idx="232">
                  <c:v>6.8228189732600624E-3</c:v>
                </c:pt>
                <c:pt idx="233">
                  <c:v>6.8493204077050302E-3</c:v>
                </c:pt>
                <c:pt idx="234">
                  <c:v>6.8750416767323994E-3</c:v>
                </c:pt>
                <c:pt idx="235">
                  <c:v>6.8997571419109494E-3</c:v>
                </c:pt>
                <c:pt idx="236">
                  <c:v>6.9231754092083791E-3</c:v>
                </c:pt>
                <c:pt idx="237">
                  <c:v>6.9451431458069481E-3</c:v>
                </c:pt>
                <c:pt idx="238">
                  <c:v>6.9654499093797064E-3</c:v>
                </c:pt>
                <c:pt idx="239">
                  <c:v>6.9838517337974639E-3</c:v>
                </c:pt>
                <c:pt idx="240">
                  <c:v>7.0003022966927762E-3</c:v>
                </c:pt>
                <c:pt idx="241">
                  <c:v>7.0149441462600427E-3</c:v>
                </c:pt>
                <c:pt idx="242">
                  <c:v>7.0278827345708113E-3</c:v>
                </c:pt>
                <c:pt idx="243">
                  <c:v>7.0394029401594799E-3</c:v>
                </c:pt>
                <c:pt idx="244">
                  <c:v>7.0497485054124218E-3</c:v>
                </c:pt>
                <c:pt idx="245">
                  <c:v>7.0590995103228674E-3</c:v>
                </c:pt>
                <c:pt idx="246">
                  <c:v>7.0677229310131401E-3</c:v>
                </c:pt>
                <c:pt idx="247">
                  <c:v>7.0758011771693153E-3</c:v>
                </c:pt>
                <c:pt idx="248">
                  <c:v>7.0835302211536746E-3</c:v>
                </c:pt>
                <c:pt idx="249">
                  <c:v>7.0909888744891203E-3</c:v>
                </c:pt>
                <c:pt idx="250">
                  <c:v>7.0985094862131143E-3</c:v>
                </c:pt>
                <c:pt idx="251">
                  <c:v>7.1063900533897568E-3</c:v>
                </c:pt>
                <c:pt idx="252">
                  <c:v>7.1147231723878521E-3</c:v>
                </c:pt>
                <c:pt idx="253">
                  <c:v>7.1235673154715299E-3</c:v>
                </c:pt>
                <c:pt idx="254">
                  <c:v>7.1328456504547808E-3</c:v>
                </c:pt>
                <c:pt idx="255">
                  <c:v>7.142497220961469E-3</c:v>
                </c:pt>
                <c:pt idx="256">
                  <c:v>7.1524587232057847E-3</c:v>
                </c:pt>
                <c:pt idx="257">
                  <c:v>7.1626184082460263E-3</c:v>
                </c:pt>
                <c:pt idx="258">
                  <c:v>7.1730184099020088E-3</c:v>
                </c:pt>
                <c:pt idx="259">
                  <c:v>7.1835839152331413E-3</c:v>
                </c:pt>
                <c:pt idx="260">
                  <c:v>7.1942815827737748E-3</c:v>
                </c:pt>
                <c:pt idx="261">
                  <c:v>7.2050463489334955E-3</c:v>
                </c:pt>
                <c:pt idx="262">
                  <c:v>7.2158638695810785E-3</c:v>
                </c:pt>
                <c:pt idx="263">
                  <c:v>7.2266804638094111E-3</c:v>
                </c:pt>
                <c:pt idx="264">
                  <c:v>7.2373516663788448E-3</c:v>
                </c:pt>
                <c:pt idx="265">
                  <c:v>7.2479542655542826E-3</c:v>
                </c:pt>
                <c:pt idx="266">
                  <c:v>7.258432373581189E-3</c:v>
                </c:pt>
                <c:pt idx="267">
                  <c:v>7.2687651099795046E-3</c:v>
                </c:pt>
                <c:pt idx="268">
                  <c:v>7.2790063484645465E-3</c:v>
                </c:pt>
                <c:pt idx="269">
                  <c:v>7.2891733841693139E-3</c:v>
                </c:pt>
                <c:pt idx="270">
                  <c:v>7.2992913288987011E-3</c:v>
                </c:pt>
                <c:pt idx="271">
                  <c:v>7.3092679061331411E-3</c:v>
                </c:pt>
                <c:pt idx="272">
                  <c:v>7.3191417711620773E-3</c:v>
                </c:pt>
                <c:pt idx="273">
                  <c:v>7.3289857468152482E-3</c:v>
                </c:pt>
                <c:pt idx="274">
                  <c:v>7.3388231697549666E-3</c:v>
                </c:pt>
                <c:pt idx="275">
                  <c:v>7.3486558812192807E-3</c:v>
                </c:pt>
                <c:pt idx="276">
                  <c:v>7.3583891510688674E-3</c:v>
                </c:pt>
                <c:pt idx="277">
                  <c:v>7.3681119141032793E-3</c:v>
                </c:pt>
                <c:pt idx="278">
                  <c:v>7.3779500488948199E-3</c:v>
                </c:pt>
                <c:pt idx="279">
                  <c:v>7.3879307730636279E-3</c:v>
                </c:pt>
                <c:pt idx="280">
                  <c:v>7.3980184831549216E-3</c:v>
                </c:pt>
                <c:pt idx="281">
                  <c:v>7.4082468544150858E-3</c:v>
                </c:pt>
                <c:pt idx="282">
                  <c:v>7.4186410566374865E-3</c:v>
                </c:pt>
                <c:pt idx="283">
                  <c:v>7.4293080609833624E-3</c:v>
                </c:pt>
                <c:pt idx="284">
                  <c:v>7.440272558516748E-3</c:v>
                </c:pt>
                <c:pt idx="285">
                  <c:v>7.451492847653958E-3</c:v>
                </c:pt>
                <c:pt idx="286">
                  <c:v>7.4631025966889987E-3</c:v>
                </c:pt>
                <c:pt idx="287">
                  <c:v>7.4752149531713153E-3</c:v>
                </c:pt>
                <c:pt idx="288">
                  <c:v>7.4876193496677219E-3</c:v>
                </c:pt>
                <c:pt idx="289">
                  <c:v>7.5002497674294955E-3</c:v>
                </c:pt>
                <c:pt idx="290">
                  <c:v>7.5129701810063721E-3</c:v>
                </c:pt>
                <c:pt idx="291">
                  <c:v>7.5256397325943174E-3</c:v>
                </c:pt>
                <c:pt idx="292">
                  <c:v>7.5381142182896436E-3</c:v>
                </c:pt>
                <c:pt idx="293">
                  <c:v>7.5501422962129042E-3</c:v>
                </c:pt>
                <c:pt idx="294">
                  <c:v>7.5615752544960519E-3</c:v>
                </c:pt>
                <c:pt idx="295">
                  <c:v>7.5722637835802225E-3</c:v>
                </c:pt>
                <c:pt idx="296">
                  <c:v>7.5819112834452484E-3</c:v>
                </c:pt>
                <c:pt idx="297">
                  <c:v>7.5904056283718031E-3</c:v>
                </c:pt>
                <c:pt idx="298">
                  <c:v>7.5976758280920809E-3</c:v>
                </c:pt>
                <c:pt idx="299">
                  <c:v>7.6035111308804457E-3</c:v>
                </c:pt>
                <c:pt idx="300">
                  <c:v>7.6077048286138805E-3</c:v>
                </c:pt>
                <c:pt idx="301">
                  <c:v>7.6103088885943705E-3</c:v>
                </c:pt>
                <c:pt idx="302">
                  <c:v>7.6116226407373002E-3</c:v>
                </c:pt>
                <c:pt idx="303">
                  <c:v>7.6117345890572867E-3</c:v>
                </c:pt>
                <c:pt idx="304">
                  <c:v>7.6108761771641088E-3</c:v>
                </c:pt>
                <c:pt idx="305">
                  <c:v>7.6093167586667575E-3</c:v>
                </c:pt>
                <c:pt idx="306">
                  <c:v>7.6070902017760459E-3</c:v>
                </c:pt>
                <c:pt idx="307">
                  <c:v>7.6043756831228482E-3</c:v>
                </c:pt>
                <c:pt idx="308">
                  <c:v>7.6013745347807901E-3</c:v>
                </c:pt>
                <c:pt idx="309">
                  <c:v>7.5983055026479229E-3</c:v>
                </c:pt>
                <c:pt idx="310">
                  <c:v>7.595372410576836E-3</c:v>
                </c:pt>
                <c:pt idx="311">
                  <c:v>7.5926816409291938E-3</c:v>
                </c:pt>
                <c:pt idx="312">
                  <c:v>7.5903909349683447E-3</c:v>
                </c:pt>
                <c:pt idx="313">
                  <c:v>7.5885540263670066E-3</c:v>
                </c:pt>
                <c:pt idx="314">
                  <c:v>7.5870385399457625E-3</c:v>
                </c:pt>
                <c:pt idx="315">
                  <c:v>7.5858270950059569E-3</c:v>
                </c:pt>
                <c:pt idx="316">
                  <c:v>7.5848374831414605E-3</c:v>
                </c:pt>
                <c:pt idx="317">
                  <c:v>7.5840199585603778E-3</c:v>
                </c:pt>
                <c:pt idx="318">
                  <c:v>7.5833421127112907E-3</c:v>
                </c:pt>
                <c:pt idx="319">
                  <c:v>7.5827183709903118E-3</c:v>
                </c:pt>
                <c:pt idx="320">
                  <c:v>7.5822344692262726E-3</c:v>
                </c:pt>
                <c:pt idx="321">
                  <c:v>7.5817453920705531E-3</c:v>
                </c:pt>
                <c:pt idx="322">
                  <c:v>7.5811692559018427E-3</c:v>
                </c:pt>
                <c:pt idx="323">
                  <c:v>7.5804657893487294E-3</c:v>
                </c:pt>
                <c:pt idx="324">
                  <c:v>7.5796678796860488E-3</c:v>
                </c:pt>
                <c:pt idx="325">
                  <c:v>7.5787765475446196E-3</c:v>
                </c:pt>
                <c:pt idx="326">
                  <c:v>7.5778408008725668E-3</c:v>
                </c:pt>
                <c:pt idx="327">
                  <c:v>7.576888591944957E-3</c:v>
                </c:pt>
                <c:pt idx="328">
                  <c:v>7.5759396243890685E-3</c:v>
                </c:pt>
                <c:pt idx="329">
                  <c:v>7.5750189760689412E-3</c:v>
                </c:pt>
                <c:pt idx="330">
                  <c:v>7.574029615700948E-3</c:v>
                </c:pt>
                <c:pt idx="331">
                  <c:v>7.573040676646642E-3</c:v>
                </c:pt>
                <c:pt idx="332">
                  <c:v>7.5720096985239464E-3</c:v>
                </c:pt>
                <c:pt idx="333">
                  <c:v>7.5710791903614181E-3</c:v>
                </c:pt>
                <c:pt idx="334">
                  <c:v>7.5701505197984581E-3</c:v>
                </c:pt>
                <c:pt idx="335">
                  <c:v>7.5692935483094616E-3</c:v>
                </c:pt>
                <c:pt idx="336">
                  <c:v>7.5684215909543329E-3</c:v>
                </c:pt>
                <c:pt idx="337">
                  <c:v>7.567600576200163E-3</c:v>
                </c:pt>
                <c:pt idx="338">
                  <c:v>7.5669369267605631E-3</c:v>
                </c:pt>
                <c:pt idx="339">
                  <c:v>7.5662897695731824E-3</c:v>
                </c:pt>
                <c:pt idx="340">
                  <c:v>7.5656344548991937E-3</c:v>
                </c:pt>
                <c:pt idx="341">
                  <c:v>7.5650803139803184E-3</c:v>
                </c:pt>
                <c:pt idx="342">
                  <c:v>7.5645540810445489E-3</c:v>
                </c:pt>
                <c:pt idx="343">
                  <c:v>7.5639348793433408E-3</c:v>
                </c:pt>
                <c:pt idx="344">
                  <c:v>7.5633371314699476E-3</c:v>
                </c:pt>
                <c:pt idx="345">
                  <c:v>7.5626883684099871E-3</c:v>
                </c:pt>
                <c:pt idx="346">
                  <c:v>7.5619765359624643E-3</c:v>
                </c:pt>
                <c:pt idx="347">
                  <c:v>7.5613019179007254E-3</c:v>
                </c:pt>
                <c:pt idx="348">
                  <c:v>7.5605213428719736E-3</c:v>
                </c:pt>
                <c:pt idx="349">
                  <c:v>7.55977976044686E-3</c:v>
                </c:pt>
                <c:pt idx="350">
                  <c:v>7.5590779802528719E-3</c:v>
                </c:pt>
                <c:pt idx="351">
                  <c:v>7.5584062836673068E-3</c:v>
                </c:pt>
                <c:pt idx="352">
                  <c:v>7.5577944136494242E-3</c:v>
                </c:pt>
                <c:pt idx="353">
                  <c:v>7.5571936724734348E-3</c:v>
                </c:pt>
                <c:pt idx="354">
                  <c:v>7.5565963739652213E-3</c:v>
                </c:pt>
                <c:pt idx="355">
                  <c:v>7.5560336233782867E-3</c:v>
                </c:pt>
                <c:pt idx="356">
                  <c:v>7.5554511179236009E-3</c:v>
                </c:pt>
                <c:pt idx="357">
                  <c:v>7.5547963992198628E-3</c:v>
                </c:pt>
                <c:pt idx="358">
                  <c:v>7.5541818308321323E-3</c:v>
                </c:pt>
                <c:pt idx="359">
                  <c:v>7.5535379815800307E-3</c:v>
                </c:pt>
                <c:pt idx="360">
                  <c:v>7.5529285632897139E-3</c:v>
                </c:pt>
                <c:pt idx="361">
                  <c:v>7.5523262955308618E-3</c:v>
                </c:pt>
                <c:pt idx="362">
                  <c:v>7.5517741319940414E-3</c:v>
                </c:pt>
                <c:pt idx="363">
                  <c:v>7.5512877530102326E-3</c:v>
                </c:pt>
                <c:pt idx="364">
                  <c:v>7.5509038743891716E-3</c:v>
                </c:pt>
                <c:pt idx="365">
                  <c:v>7.5504823771364521E-3</c:v>
                </c:pt>
                <c:pt idx="366">
                  <c:v>7.5500833737698111E-3</c:v>
                </c:pt>
                <c:pt idx="367">
                  <c:v>7.5497573882029774E-3</c:v>
                </c:pt>
                <c:pt idx="368">
                  <c:v>7.5494288005118169E-3</c:v>
                </c:pt>
                <c:pt idx="369">
                  <c:v>7.5492125244951032E-3</c:v>
                </c:pt>
                <c:pt idx="370">
                  <c:v>7.5490356135765255E-3</c:v>
                </c:pt>
                <c:pt idx="371">
                  <c:v>7.5489040664158836E-3</c:v>
                </c:pt>
                <c:pt idx="372">
                  <c:v>7.5487888474439031E-3</c:v>
                </c:pt>
                <c:pt idx="373">
                  <c:v>7.5486503620729043E-3</c:v>
                </c:pt>
                <c:pt idx="374">
                  <c:v>7.5484923561645939E-3</c:v>
                </c:pt>
                <c:pt idx="375">
                  <c:v>7.5483473017884141E-3</c:v>
                </c:pt>
                <c:pt idx="376">
                  <c:v>7.5481739909003228E-3</c:v>
                </c:pt>
                <c:pt idx="377">
                  <c:v>7.5479370977188636E-3</c:v>
                </c:pt>
                <c:pt idx="378">
                  <c:v>7.5476673285944235E-3</c:v>
                </c:pt>
                <c:pt idx="379">
                  <c:v>7.547418016854917E-3</c:v>
                </c:pt>
                <c:pt idx="380">
                  <c:v>7.5471792565686632E-3</c:v>
                </c:pt>
                <c:pt idx="381">
                  <c:v>7.5469942049624789E-3</c:v>
                </c:pt>
                <c:pt idx="382">
                  <c:v>7.5468592868622487E-3</c:v>
                </c:pt>
                <c:pt idx="383">
                  <c:v>7.5467379540228845E-3</c:v>
                </c:pt>
                <c:pt idx="384">
                  <c:v>7.5466264255573496E-3</c:v>
                </c:pt>
                <c:pt idx="385">
                  <c:v>7.5465061787714609E-3</c:v>
                </c:pt>
                <c:pt idx="386">
                  <c:v>7.546347842980243E-3</c:v>
                </c:pt>
                <c:pt idx="387">
                  <c:v>7.5461390962752763E-3</c:v>
                </c:pt>
                <c:pt idx="388">
                  <c:v>7.5460489212064944E-3</c:v>
                </c:pt>
                <c:pt idx="389">
                  <c:v>7.5460247144033352E-3</c:v>
                </c:pt>
                <c:pt idx="390">
                  <c:v>7.5458867317542708E-3</c:v>
                </c:pt>
                <c:pt idx="391">
                  <c:v>7.545731294471834E-3</c:v>
                </c:pt>
                <c:pt idx="392">
                  <c:v>7.5455486573859244E-3</c:v>
                </c:pt>
                <c:pt idx="393">
                  <c:v>7.5453718898759632E-3</c:v>
                </c:pt>
                <c:pt idx="394">
                  <c:v>7.5452404956954013E-3</c:v>
                </c:pt>
                <c:pt idx="395">
                  <c:v>7.5450473179786938E-3</c:v>
                </c:pt>
                <c:pt idx="396">
                  <c:v>7.5449087831977475E-3</c:v>
                </c:pt>
                <c:pt idx="397">
                  <c:v>7.5447431424745682E-3</c:v>
                </c:pt>
                <c:pt idx="398">
                  <c:v>7.54455403045957E-3</c:v>
                </c:pt>
                <c:pt idx="399">
                  <c:v>7.5444022156972625E-3</c:v>
                </c:pt>
                <c:pt idx="400">
                  <c:v>7.5443330733194133E-3</c:v>
                </c:pt>
                <c:pt idx="401">
                  <c:v>7.5442131137334334E-3</c:v>
                </c:pt>
                <c:pt idx="402">
                  <c:v>7.5440527382395432E-3</c:v>
                </c:pt>
                <c:pt idx="403">
                  <c:v>7.5438394120765397E-3</c:v>
                </c:pt>
                <c:pt idx="404">
                  <c:v>7.5436880539665966E-3</c:v>
                </c:pt>
                <c:pt idx="405">
                  <c:v>7.5435438364860764E-3</c:v>
                </c:pt>
                <c:pt idx="406">
                  <c:v>7.543386431411411E-3</c:v>
                </c:pt>
                <c:pt idx="407">
                  <c:v>7.5431602117505157E-3</c:v>
                </c:pt>
                <c:pt idx="408">
                  <c:v>7.5429514203252598E-3</c:v>
                </c:pt>
                <c:pt idx="409">
                  <c:v>7.5427249276770799E-3</c:v>
                </c:pt>
                <c:pt idx="410">
                  <c:v>7.5424652631077109E-3</c:v>
                </c:pt>
                <c:pt idx="411">
                  <c:v>7.5422487399010134E-3</c:v>
                </c:pt>
                <c:pt idx="412">
                  <c:v>7.5421053068994966E-3</c:v>
                </c:pt>
                <c:pt idx="413">
                  <c:v>7.5419105747307784E-3</c:v>
                </c:pt>
                <c:pt idx="414">
                  <c:v>7.541709715555435E-3</c:v>
                </c:pt>
                <c:pt idx="415">
                  <c:v>7.5414887490732659E-3</c:v>
                </c:pt>
                <c:pt idx="416">
                  <c:v>7.5412150124424294E-3</c:v>
                </c:pt>
                <c:pt idx="417">
                  <c:v>7.5408632373430151E-3</c:v>
                </c:pt>
                <c:pt idx="418">
                  <c:v>7.5405426038377792E-3</c:v>
                </c:pt>
                <c:pt idx="419">
                  <c:v>7.5402052380153638E-3</c:v>
                </c:pt>
                <c:pt idx="420">
                  <c:v>7.5398454442888183E-3</c:v>
                </c:pt>
                <c:pt idx="421">
                  <c:v>7.5394279431201562E-3</c:v>
                </c:pt>
                <c:pt idx="422">
                  <c:v>7.5390779143211083E-3</c:v>
                </c:pt>
                <c:pt idx="423">
                  <c:v>7.5387037892122285E-3</c:v>
                </c:pt>
                <c:pt idx="424">
                  <c:v>7.5381852093652935E-3</c:v>
                </c:pt>
                <c:pt idx="425">
                  <c:v>7.5375747442495864E-3</c:v>
                </c:pt>
                <c:pt idx="426">
                  <c:v>7.5369817098409593E-3</c:v>
                </c:pt>
                <c:pt idx="427">
                  <c:v>7.5364183912529602E-3</c:v>
                </c:pt>
                <c:pt idx="428">
                  <c:v>7.5356621659181493E-3</c:v>
                </c:pt>
                <c:pt idx="429">
                  <c:v>7.5348566012782923E-3</c:v>
                </c:pt>
                <c:pt idx="430">
                  <c:v>7.5340470104064538E-3</c:v>
                </c:pt>
                <c:pt idx="431">
                  <c:v>7.5332252265695567E-3</c:v>
                </c:pt>
                <c:pt idx="432">
                  <c:v>7.5324113415291393E-3</c:v>
                </c:pt>
                <c:pt idx="433">
                  <c:v>7.5316041618826296E-3</c:v>
                </c:pt>
                <c:pt idx="434">
                  <c:v>7.5307082266668542E-3</c:v>
                </c:pt>
                <c:pt idx="435">
                  <c:v>7.5298812320249084E-3</c:v>
                </c:pt>
                <c:pt idx="436">
                  <c:v>7.5291025768962818E-3</c:v>
                </c:pt>
                <c:pt idx="437">
                  <c:v>7.5283900184675472E-3</c:v>
                </c:pt>
                <c:pt idx="438">
                  <c:v>7.5277546119811569E-3</c:v>
                </c:pt>
                <c:pt idx="439">
                  <c:v>7.527068841712726E-3</c:v>
                </c:pt>
                <c:pt idx="440">
                  <c:v>7.5263871158667327E-3</c:v>
                </c:pt>
                <c:pt idx="441">
                  <c:v>7.5257143250071368E-3</c:v>
                </c:pt>
                <c:pt idx="442">
                  <c:v>7.5250537321905888E-3</c:v>
                </c:pt>
                <c:pt idx="443">
                  <c:v>7.5243671284597503E-3</c:v>
                </c:pt>
                <c:pt idx="444">
                  <c:v>7.5237278803086862E-3</c:v>
                </c:pt>
                <c:pt idx="445">
                  <c:v>7.5230169953902186E-3</c:v>
                </c:pt>
                <c:pt idx="446">
                  <c:v>7.5222165468623514E-3</c:v>
                </c:pt>
                <c:pt idx="447">
                  <c:v>7.5213708515766142E-3</c:v>
                </c:pt>
                <c:pt idx="448">
                  <c:v>7.5205698910108193E-3</c:v>
                </c:pt>
                <c:pt idx="449">
                  <c:v>7.519768729490485E-3</c:v>
                </c:pt>
                <c:pt idx="450">
                  <c:v>7.5188329432881798E-3</c:v>
                </c:pt>
                <c:pt idx="451">
                  <c:v>7.5178081900335548E-3</c:v>
                </c:pt>
                <c:pt idx="452">
                  <c:v>7.5167927397765261E-3</c:v>
                </c:pt>
                <c:pt idx="453">
                  <c:v>7.5157178193633357E-3</c:v>
                </c:pt>
                <c:pt idx="454">
                  <c:v>7.5145915217302295E-3</c:v>
                </c:pt>
                <c:pt idx="455">
                  <c:v>7.5135420144374528E-3</c:v>
                </c:pt>
                <c:pt idx="456">
                  <c:v>7.5125035251610885E-3</c:v>
                </c:pt>
                <c:pt idx="457">
                  <c:v>7.5115078228914361E-3</c:v>
                </c:pt>
                <c:pt idx="458">
                  <c:v>7.5104882919654822E-3</c:v>
                </c:pt>
                <c:pt idx="459">
                  <c:v>7.5094599538607773E-3</c:v>
                </c:pt>
                <c:pt idx="460">
                  <c:v>7.5084384281921763E-3</c:v>
                </c:pt>
                <c:pt idx="461">
                  <c:v>7.5073950919769435E-3</c:v>
                </c:pt>
                <c:pt idx="462">
                  <c:v>7.506303986141152E-3</c:v>
                </c:pt>
                <c:pt idx="463">
                  <c:v>7.5050820415969947E-3</c:v>
                </c:pt>
                <c:pt idx="464">
                  <c:v>7.5037725938659604E-3</c:v>
                </c:pt>
                <c:pt idx="465">
                  <c:v>7.5024059502967026E-3</c:v>
                </c:pt>
                <c:pt idx="466">
                  <c:v>7.5009425166296948E-3</c:v>
                </c:pt>
                <c:pt idx="467">
                  <c:v>7.4994997069512195E-3</c:v>
                </c:pt>
                <c:pt idx="468">
                  <c:v>7.4979955952769982E-3</c:v>
                </c:pt>
                <c:pt idx="469">
                  <c:v>7.4965140931578479E-3</c:v>
                </c:pt>
                <c:pt idx="470">
                  <c:v>7.4951385711749269E-3</c:v>
                </c:pt>
                <c:pt idx="471">
                  <c:v>7.4938734542364296E-3</c:v>
                </c:pt>
                <c:pt idx="472">
                  <c:v>7.4926355959495355E-3</c:v>
                </c:pt>
                <c:pt idx="473">
                  <c:v>7.4914024735404233E-3</c:v>
                </c:pt>
                <c:pt idx="474">
                  <c:v>7.490111810422917E-3</c:v>
                </c:pt>
                <c:pt idx="475">
                  <c:v>7.4888254124846976E-3</c:v>
                </c:pt>
                <c:pt idx="476">
                  <c:v>7.4875097665713652E-3</c:v>
                </c:pt>
                <c:pt idx="477">
                  <c:v>7.4862013839667157E-3</c:v>
                </c:pt>
                <c:pt idx="478">
                  <c:v>7.4848702048735255E-3</c:v>
                </c:pt>
                <c:pt idx="479">
                  <c:v>7.4835962880588774E-3</c:v>
                </c:pt>
                <c:pt idx="480">
                  <c:v>7.4823039173268924E-3</c:v>
                </c:pt>
                <c:pt idx="481">
                  <c:v>7.4811151579727581E-3</c:v>
                </c:pt>
                <c:pt idx="482">
                  <c:v>7.4799746550082303E-3</c:v>
                </c:pt>
                <c:pt idx="483">
                  <c:v>7.4788573993502571E-3</c:v>
                </c:pt>
                <c:pt idx="484">
                  <c:v>7.4777560157314286E-3</c:v>
                </c:pt>
                <c:pt idx="485">
                  <c:v>7.4766576675514927E-3</c:v>
                </c:pt>
                <c:pt idx="486">
                  <c:v>7.4754703522690591E-3</c:v>
                </c:pt>
                <c:pt idx="487">
                  <c:v>7.4742539415961085E-3</c:v>
                </c:pt>
                <c:pt idx="488">
                  <c:v>7.4729956264041894E-3</c:v>
                </c:pt>
                <c:pt idx="489">
                  <c:v>7.4718599079102391E-3</c:v>
                </c:pt>
                <c:pt idx="490">
                  <c:v>7.4708088279413255E-3</c:v>
                </c:pt>
                <c:pt idx="491">
                  <c:v>7.4697675414996442E-3</c:v>
                </c:pt>
                <c:pt idx="492">
                  <c:v>7.4686859152086251E-3</c:v>
                </c:pt>
                <c:pt idx="493">
                  <c:v>7.4675831536295655E-3</c:v>
                </c:pt>
                <c:pt idx="494">
                  <c:v>7.4664649959779493E-3</c:v>
                </c:pt>
                <c:pt idx="495">
                  <c:v>7.4653525303183827E-3</c:v>
                </c:pt>
                <c:pt idx="496">
                  <c:v>7.4642645341429599E-3</c:v>
                </c:pt>
                <c:pt idx="497">
                  <c:v>7.4631165554896479E-3</c:v>
                </c:pt>
                <c:pt idx="498">
                  <c:v>7.4619249650760911E-3</c:v>
                </c:pt>
                <c:pt idx="499">
                  <c:v>7.4607339871189081E-3</c:v>
                </c:pt>
                <c:pt idx="500">
                  <c:v>7.4596525680039492E-3</c:v>
                </c:pt>
                <c:pt idx="501">
                  <c:v>7.4585534855167029E-3</c:v>
                </c:pt>
                <c:pt idx="502">
                  <c:v>7.4575249489947735E-3</c:v>
                </c:pt>
                <c:pt idx="503">
                  <c:v>7.4564927902545115E-3</c:v>
                </c:pt>
                <c:pt idx="504">
                  <c:v>7.455513018884437E-3</c:v>
                </c:pt>
                <c:pt idx="505">
                  <c:v>7.454541655636371E-3</c:v>
                </c:pt>
                <c:pt idx="506">
                  <c:v>7.4535439456365352E-3</c:v>
                </c:pt>
                <c:pt idx="507">
                  <c:v>7.4525586531183421E-3</c:v>
                </c:pt>
                <c:pt idx="508">
                  <c:v>7.451485959619383E-3</c:v>
                </c:pt>
                <c:pt idx="509">
                  <c:v>7.4503371215401647E-3</c:v>
                </c:pt>
                <c:pt idx="510">
                  <c:v>7.4491766022168771E-3</c:v>
                </c:pt>
                <c:pt idx="511">
                  <c:v>7.4480296920140954E-3</c:v>
                </c:pt>
                <c:pt idx="512">
                  <c:v>7.4468426187639537E-3</c:v>
                </c:pt>
                <c:pt idx="513">
                  <c:v>7.445629901949375E-3</c:v>
                </c:pt>
                <c:pt idx="514">
                  <c:v>7.444426765519813E-3</c:v>
                </c:pt>
                <c:pt idx="515">
                  <c:v>7.4433740357193181E-3</c:v>
                </c:pt>
                <c:pt idx="516">
                  <c:v>7.4423848987284153E-3</c:v>
                </c:pt>
                <c:pt idx="517">
                  <c:v>7.4413591564460348E-3</c:v>
                </c:pt>
                <c:pt idx="518">
                  <c:v>7.440271514150075E-3</c:v>
                </c:pt>
                <c:pt idx="519">
                  <c:v>7.4391107773927947E-3</c:v>
                </c:pt>
                <c:pt idx="520">
                  <c:v>7.4380430312753262E-3</c:v>
                </c:pt>
                <c:pt idx="521">
                  <c:v>7.436924182532223E-3</c:v>
                </c:pt>
                <c:pt idx="522">
                  <c:v>7.4358419190924891E-3</c:v>
                </c:pt>
                <c:pt idx="523">
                  <c:v>7.4348388731780785E-3</c:v>
                </c:pt>
                <c:pt idx="524">
                  <c:v>7.4338603399640175E-3</c:v>
                </c:pt>
                <c:pt idx="525">
                  <c:v>7.4329791956698268E-3</c:v>
                </c:pt>
                <c:pt idx="526">
                  <c:v>7.4321987976189831E-3</c:v>
                </c:pt>
                <c:pt idx="527">
                  <c:v>7.4314750975496956E-3</c:v>
                </c:pt>
                <c:pt idx="528">
                  <c:v>7.4308372620648499E-3</c:v>
                </c:pt>
                <c:pt idx="529">
                  <c:v>7.4302490304364501E-3</c:v>
                </c:pt>
                <c:pt idx="530">
                  <c:v>7.4296381498496419E-3</c:v>
                </c:pt>
                <c:pt idx="531">
                  <c:v>7.4289981736989294E-3</c:v>
                </c:pt>
                <c:pt idx="532">
                  <c:v>7.4283930857571637E-3</c:v>
                </c:pt>
                <c:pt idx="533">
                  <c:v>7.4278138550899538E-3</c:v>
                </c:pt>
                <c:pt idx="534">
                  <c:v>7.4272370536961931E-3</c:v>
                </c:pt>
                <c:pt idx="535">
                  <c:v>7.4266421103321625E-3</c:v>
                </c:pt>
                <c:pt idx="536">
                  <c:v>7.425961716768641E-3</c:v>
                </c:pt>
                <c:pt idx="537">
                  <c:v>7.4252639388444792E-3</c:v>
                </c:pt>
                <c:pt idx="538">
                  <c:v>7.4246081759292096E-3</c:v>
                </c:pt>
                <c:pt idx="539">
                  <c:v>7.4239120625716401E-3</c:v>
                </c:pt>
                <c:pt idx="540">
                  <c:v>7.4232408577658291E-3</c:v>
                </c:pt>
                <c:pt idx="541">
                  <c:v>7.42261603490477E-3</c:v>
                </c:pt>
                <c:pt idx="542">
                  <c:v>7.4219821555941545E-3</c:v>
                </c:pt>
                <c:pt idx="543">
                  <c:v>7.4212786662126414E-3</c:v>
                </c:pt>
                <c:pt idx="544">
                  <c:v>7.4205910133763233E-3</c:v>
                </c:pt>
                <c:pt idx="545">
                  <c:v>7.4199726443560047E-3</c:v>
                </c:pt>
                <c:pt idx="546">
                  <c:v>7.4194268259428243E-3</c:v>
                </c:pt>
                <c:pt idx="547">
                  <c:v>7.4189462516479447E-3</c:v>
                </c:pt>
                <c:pt idx="548">
                  <c:v>7.4185352194528244E-3</c:v>
                </c:pt>
                <c:pt idx="549">
                  <c:v>7.4181116704917774E-3</c:v>
                </c:pt>
                <c:pt idx="550">
                  <c:v>7.4176698461681555E-3</c:v>
                </c:pt>
                <c:pt idx="551">
                  <c:v>7.4171881919102428E-3</c:v>
                </c:pt>
                <c:pt idx="552">
                  <c:v>7.416805717482414E-3</c:v>
                </c:pt>
                <c:pt idx="553">
                  <c:v>7.4164774150331011E-3</c:v>
                </c:pt>
                <c:pt idx="554">
                  <c:v>7.4161458046220069E-3</c:v>
                </c:pt>
                <c:pt idx="555">
                  <c:v>7.4158657663868279E-3</c:v>
                </c:pt>
                <c:pt idx="556">
                  <c:v>7.4157549725662377E-3</c:v>
                </c:pt>
                <c:pt idx="557">
                  <c:v>7.4156192151368962E-3</c:v>
                </c:pt>
                <c:pt idx="558">
                  <c:v>7.4155231169091215E-3</c:v>
                </c:pt>
                <c:pt idx="559">
                  <c:v>7.4153412767541498E-3</c:v>
                </c:pt>
                <c:pt idx="560">
                  <c:v>7.4151136307058999E-3</c:v>
                </c:pt>
                <c:pt idx="561">
                  <c:v>7.4149213313370391E-3</c:v>
                </c:pt>
                <c:pt idx="562">
                  <c:v>7.4147626726425667E-3</c:v>
                </c:pt>
                <c:pt idx="563">
                  <c:v>7.4146537642931064E-3</c:v>
                </c:pt>
                <c:pt idx="564">
                  <c:v>7.4145190019722015E-3</c:v>
                </c:pt>
                <c:pt idx="565">
                  <c:v>7.4144403614993092E-3</c:v>
                </c:pt>
                <c:pt idx="566">
                  <c:v>7.4143356511436036E-3</c:v>
                </c:pt>
                <c:pt idx="567">
                  <c:v>7.4142602043325376E-3</c:v>
                </c:pt>
                <c:pt idx="568">
                  <c:v>7.414235175842776E-3</c:v>
                </c:pt>
                <c:pt idx="569">
                  <c:v>7.4144013537482643E-3</c:v>
                </c:pt>
                <c:pt idx="570">
                  <c:v>7.4146740766055201E-3</c:v>
                </c:pt>
                <c:pt idx="571">
                  <c:v>7.4149317843016874E-3</c:v>
                </c:pt>
                <c:pt idx="572">
                  <c:v>7.4151799421359769E-3</c:v>
                </c:pt>
                <c:pt idx="573">
                  <c:v>7.4154233096189147E-3</c:v>
                </c:pt>
                <c:pt idx="574">
                  <c:v>7.4158179194104626E-3</c:v>
                </c:pt>
                <c:pt idx="575">
                  <c:v>7.4161776295522397E-3</c:v>
                </c:pt>
                <c:pt idx="576">
                  <c:v>7.4164412175429578E-3</c:v>
                </c:pt>
                <c:pt idx="577">
                  <c:v>7.4167238492050206E-3</c:v>
                </c:pt>
                <c:pt idx="578">
                  <c:v>7.4169976677188115E-3</c:v>
                </c:pt>
                <c:pt idx="579">
                  <c:v>7.4172039921209885E-3</c:v>
                </c:pt>
                <c:pt idx="580">
                  <c:v>7.4174422669517105E-3</c:v>
                </c:pt>
                <c:pt idx="581">
                  <c:v>7.4178214114513858E-3</c:v>
                </c:pt>
                <c:pt idx="582">
                  <c:v>7.4181609336700146E-3</c:v>
                </c:pt>
                <c:pt idx="583">
                  <c:v>7.4185205357310781E-3</c:v>
                </c:pt>
                <c:pt idx="584">
                  <c:v>7.4189946501726362E-3</c:v>
                </c:pt>
                <c:pt idx="585">
                  <c:v>7.4195004841990549E-3</c:v>
                </c:pt>
                <c:pt idx="586">
                  <c:v>7.4199722812209983E-3</c:v>
                </c:pt>
                <c:pt idx="587">
                  <c:v>7.4204526707852807E-3</c:v>
                </c:pt>
                <c:pt idx="588">
                  <c:v>7.4209124757579521E-3</c:v>
                </c:pt>
                <c:pt idx="589">
                  <c:v>7.4213376892860311E-3</c:v>
                </c:pt>
                <c:pt idx="590">
                  <c:v>7.4217362485968445E-3</c:v>
                </c:pt>
                <c:pt idx="591">
                  <c:v>7.4221695377380131E-3</c:v>
                </c:pt>
                <c:pt idx="592">
                  <c:v>7.422575956832652E-3</c:v>
                </c:pt>
                <c:pt idx="593">
                  <c:v>7.4229854092825072E-3</c:v>
                </c:pt>
                <c:pt idx="594">
                  <c:v>7.4234122068357021E-3</c:v>
                </c:pt>
                <c:pt idx="595">
                  <c:v>7.4238985325981114E-3</c:v>
                </c:pt>
                <c:pt idx="596">
                  <c:v>7.4244044703266924E-3</c:v>
                </c:pt>
                <c:pt idx="597">
                  <c:v>7.4249293487881583E-3</c:v>
                </c:pt>
                <c:pt idx="598">
                  <c:v>7.4254195447543345E-3</c:v>
                </c:pt>
                <c:pt idx="599">
                  <c:v>7.4260912443683338E-3</c:v>
                </c:pt>
                <c:pt idx="600">
                  <c:v>7.4268075882275107E-3</c:v>
                </c:pt>
                <c:pt idx="601">
                  <c:v>7.4275008248567125E-3</c:v>
                </c:pt>
                <c:pt idx="602">
                  <c:v>7.4281200517939405E-3</c:v>
                </c:pt>
                <c:pt idx="603">
                  <c:v>7.4288536779671122E-3</c:v>
                </c:pt>
                <c:pt idx="604">
                  <c:v>7.4296566123848483E-3</c:v>
                </c:pt>
                <c:pt idx="605">
                  <c:v>7.4305178273198266E-3</c:v>
                </c:pt>
                <c:pt idx="606">
                  <c:v>7.4313653519767747E-3</c:v>
                </c:pt>
                <c:pt idx="607">
                  <c:v>7.4321978803906117E-3</c:v>
                </c:pt>
                <c:pt idx="608">
                  <c:v>7.433135809985102E-3</c:v>
                </c:pt>
                <c:pt idx="609">
                  <c:v>7.4341534122710513E-3</c:v>
                </c:pt>
                <c:pt idx="610">
                  <c:v>7.4352780039196389E-3</c:v>
                </c:pt>
                <c:pt idx="611">
                  <c:v>7.4364146038612515E-3</c:v>
                </c:pt>
                <c:pt idx="612">
                  <c:v>7.4375951717315378E-3</c:v>
                </c:pt>
                <c:pt idx="613">
                  <c:v>7.4388493637348625E-3</c:v>
                </c:pt>
                <c:pt idx="614">
                  <c:v>7.440139246052955E-3</c:v>
                </c:pt>
                <c:pt idx="615">
                  <c:v>7.4414261729667582E-3</c:v>
                </c:pt>
                <c:pt idx="616">
                  <c:v>7.4428003594493534E-3</c:v>
                </c:pt>
                <c:pt idx="617">
                  <c:v>7.4441651915610751E-3</c:v>
                </c:pt>
                <c:pt idx="618">
                  <c:v>7.4455182707247308E-3</c:v>
                </c:pt>
                <c:pt idx="619">
                  <c:v>7.4468240987670842E-3</c:v>
                </c:pt>
                <c:pt idx="620">
                  <c:v>7.4481922652997624E-3</c:v>
                </c:pt>
                <c:pt idx="621">
                  <c:v>7.4496841369146583E-3</c:v>
                </c:pt>
                <c:pt idx="622">
                  <c:v>7.451209334075292E-3</c:v>
                </c:pt>
                <c:pt idx="623">
                  <c:v>7.4526470460803277E-3</c:v>
                </c:pt>
                <c:pt idx="624">
                  <c:v>7.4541046426320557E-3</c:v>
                </c:pt>
                <c:pt idx="625">
                  <c:v>7.4556080457772039E-3</c:v>
                </c:pt>
                <c:pt idx="626">
                  <c:v>7.4571579388698801E-3</c:v>
                </c:pt>
                <c:pt idx="627">
                  <c:v>7.4586114055992777E-3</c:v>
                </c:pt>
                <c:pt idx="628">
                  <c:v>7.4601871956963654E-3</c:v>
                </c:pt>
                <c:pt idx="629">
                  <c:v>7.4617886663160514E-3</c:v>
                </c:pt>
                <c:pt idx="630">
                  <c:v>7.4633943248497512E-3</c:v>
                </c:pt>
                <c:pt idx="631">
                  <c:v>7.4650131505656454E-3</c:v>
                </c:pt>
                <c:pt idx="632">
                  <c:v>7.4666913569366306E-3</c:v>
                </c:pt>
                <c:pt idx="633">
                  <c:v>7.4684335165856831E-3</c:v>
                </c:pt>
                <c:pt idx="634">
                  <c:v>7.4701360115480356E-3</c:v>
                </c:pt>
                <c:pt idx="635">
                  <c:v>7.4718227108070707E-3</c:v>
                </c:pt>
                <c:pt idx="636">
                  <c:v>7.4733983500470036E-3</c:v>
                </c:pt>
                <c:pt idx="637">
                  <c:v>7.4749938019954745E-3</c:v>
                </c:pt>
                <c:pt idx="638">
                  <c:v>7.4766145821917847E-3</c:v>
                </c:pt>
                <c:pt idx="639">
                  <c:v>7.4782603313076415E-3</c:v>
                </c:pt>
                <c:pt idx="640">
                  <c:v>7.4799254174191653E-3</c:v>
                </c:pt>
                <c:pt idx="641">
                  <c:v>7.4817198360845102E-3</c:v>
                </c:pt>
                <c:pt idx="642">
                  <c:v>7.4834929936742492E-3</c:v>
                </c:pt>
                <c:pt idx="643">
                  <c:v>7.4852669145424261E-3</c:v>
                </c:pt>
                <c:pt idx="644">
                  <c:v>7.4870152970230863E-3</c:v>
                </c:pt>
                <c:pt idx="645">
                  <c:v>7.4888147798222171E-3</c:v>
                </c:pt>
                <c:pt idx="646">
                  <c:v>7.4906998402856691E-3</c:v>
                </c:pt>
                <c:pt idx="647">
                  <c:v>7.4925997160475511E-3</c:v>
                </c:pt>
                <c:pt idx="648">
                  <c:v>7.4945575104312517E-3</c:v>
                </c:pt>
                <c:pt idx="649">
                  <c:v>7.4964582201302934E-3</c:v>
                </c:pt>
                <c:pt idx="650">
                  <c:v>7.4982703253100684E-3</c:v>
                </c:pt>
                <c:pt idx="651">
                  <c:v>7.5000993534962892E-3</c:v>
                </c:pt>
                <c:pt idx="652">
                  <c:v>7.5018705245734583E-3</c:v>
                </c:pt>
                <c:pt idx="653">
                  <c:v>7.5036906583373086E-3</c:v>
                </c:pt>
                <c:pt idx="654">
                  <c:v>7.5055272468419736E-3</c:v>
                </c:pt>
                <c:pt idx="655">
                  <c:v>7.5074150756610442E-3</c:v>
                </c:pt>
                <c:pt idx="656">
                  <c:v>7.5093207265745253E-3</c:v>
                </c:pt>
                <c:pt idx="657">
                  <c:v>7.5112575176412592E-3</c:v>
                </c:pt>
                <c:pt idx="658">
                  <c:v>7.5131793945787256E-3</c:v>
                </c:pt>
                <c:pt idx="659">
                  <c:v>7.5150140834005699E-3</c:v>
                </c:pt>
                <c:pt idx="660">
                  <c:v>7.5168858362440489E-3</c:v>
                </c:pt>
                <c:pt idx="661">
                  <c:v>7.5187492024341232E-3</c:v>
                </c:pt>
                <c:pt idx="662">
                  <c:v>7.5204851591681304E-3</c:v>
                </c:pt>
                <c:pt idx="663">
                  <c:v>7.5223262352268521E-3</c:v>
                </c:pt>
                <c:pt idx="664">
                  <c:v>7.5241832735858955E-3</c:v>
                </c:pt>
                <c:pt idx="665">
                  <c:v>7.526092156962926E-3</c:v>
                </c:pt>
                <c:pt idx="666">
                  <c:v>7.5280801450809433E-3</c:v>
                </c:pt>
                <c:pt idx="667">
                  <c:v>7.5301728084846394E-3</c:v>
                </c:pt>
                <c:pt idx="668">
                  <c:v>7.5323579028851633E-3</c:v>
                </c:pt>
                <c:pt idx="669">
                  <c:v>7.5345177220662125E-3</c:v>
                </c:pt>
                <c:pt idx="670">
                  <c:v>7.5366712875548462E-3</c:v>
                </c:pt>
                <c:pt idx="671">
                  <c:v>7.5387818129042106E-3</c:v>
                </c:pt>
                <c:pt idx="672">
                  <c:v>7.540955328069001E-3</c:v>
                </c:pt>
                <c:pt idx="673">
                  <c:v>7.5431655583785466E-3</c:v>
                </c:pt>
                <c:pt idx="674">
                  <c:v>7.5452988932847541E-3</c:v>
                </c:pt>
                <c:pt idx="675">
                  <c:v>7.5474273592558757E-3</c:v>
                </c:pt>
                <c:pt idx="676">
                  <c:v>7.5496114621937845E-3</c:v>
                </c:pt>
                <c:pt idx="677">
                  <c:v>7.5518101452628356E-3</c:v>
                </c:pt>
                <c:pt idx="678">
                  <c:v>7.5538750810076744E-3</c:v>
                </c:pt>
                <c:pt idx="679">
                  <c:v>7.555927497019505E-3</c:v>
                </c:pt>
                <c:pt idx="680">
                  <c:v>7.5579254732038321E-3</c:v>
                </c:pt>
                <c:pt idx="681">
                  <c:v>7.5598747092508398E-3</c:v>
                </c:pt>
                <c:pt idx="682">
                  <c:v>7.5617737266825422E-3</c:v>
                </c:pt>
                <c:pt idx="683">
                  <c:v>7.5636911353749352E-3</c:v>
                </c:pt>
                <c:pt idx="684">
                  <c:v>7.5656135897394896E-3</c:v>
                </c:pt>
                <c:pt idx="685">
                  <c:v>7.5676301158328178E-3</c:v>
                </c:pt>
                <c:pt idx="686">
                  <c:v>7.5696800446556339E-3</c:v>
                </c:pt>
                <c:pt idx="687">
                  <c:v>7.5717215795903878E-3</c:v>
                </c:pt>
                <c:pt idx="688">
                  <c:v>7.5738171072804901E-3</c:v>
                </c:pt>
                <c:pt idx="689">
                  <c:v>7.5759164835208677E-3</c:v>
                </c:pt>
                <c:pt idx="690">
                  <c:v>7.5779650741427777E-3</c:v>
                </c:pt>
                <c:pt idx="691">
                  <c:v>7.5800281529535699E-3</c:v>
                </c:pt>
                <c:pt idx="692">
                  <c:v>7.5819691838083297E-3</c:v>
                </c:pt>
                <c:pt idx="693">
                  <c:v>7.583908537489777E-3</c:v>
                </c:pt>
                <c:pt idx="694">
                  <c:v>7.5856543772723052E-3</c:v>
                </c:pt>
                <c:pt idx="695">
                  <c:v>7.5874076006223557E-3</c:v>
                </c:pt>
                <c:pt idx="696">
                  <c:v>7.5891782354454602E-3</c:v>
                </c:pt>
                <c:pt idx="697">
                  <c:v>7.5909636815505999E-3</c:v>
                </c:pt>
                <c:pt idx="698">
                  <c:v>7.5927098749851776E-3</c:v>
                </c:pt>
                <c:pt idx="699">
                  <c:v>7.5944166820462004E-3</c:v>
                </c:pt>
                <c:pt idx="700">
                  <c:v>7.596119794303165E-3</c:v>
                </c:pt>
                <c:pt idx="701">
                  <c:v>7.597861443719307E-3</c:v>
                </c:pt>
                <c:pt idx="702">
                  <c:v>7.5996392580806177E-3</c:v>
                </c:pt>
                <c:pt idx="703">
                  <c:v>7.6013375212078717E-3</c:v>
                </c:pt>
                <c:pt idx="704">
                  <c:v>7.6029650623039898E-3</c:v>
                </c:pt>
                <c:pt idx="705">
                  <c:v>7.6045767108235719E-3</c:v>
                </c:pt>
                <c:pt idx="706">
                  <c:v>7.6062651128287039E-3</c:v>
                </c:pt>
                <c:pt idx="707">
                  <c:v>7.6080600227403164E-3</c:v>
                </c:pt>
                <c:pt idx="708">
                  <c:v>7.6098544340451853E-3</c:v>
                </c:pt>
                <c:pt idx="709">
                  <c:v>7.6114977162515651E-3</c:v>
                </c:pt>
                <c:pt idx="710">
                  <c:v>7.6131214213029123E-3</c:v>
                </c:pt>
                <c:pt idx="711">
                  <c:v>7.6147183239648249E-3</c:v>
                </c:pt>
                <c:pt idx="712">
                  <c:v>7.6164166910983166E-3</c:v>
                </c:pt>
                <c:pt idx="713">
                  <c:v>7.618028689296891E-3</c:v>
                </c:pt>
                <c:pt idx="714">
                  <c:v>7.6196254584597993E-3</c:v>
                </c:pt>
                <c:pt idx="715">
                  <c:v>7.6211900084027697E-3</c:v>
                </c:pt>
                <c:pt idx="716">
                  <c:v>7.6227360175644965E-3</c:v>
                </c:pt>
                <c:pt idx="717">
                  <c:v>7.6243265846884858E-3</c:v>
                </c:pt>
                <c:pt idx="718">
                  <c:v>7.6260086431814457E-3</c:v>
                </c:pt>
                <c:pt idx="719">
                  <c:v>7.627756468041114E-3</c:v>
                </c:pt>
              </c:numCache>
            </c:numRef>
          </c:val>
          <c:smooth val="0"/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noFill/>
            </c:spPr>
          </c:marker>
          <c:val>
            <c:numRef>
              <c:f>Output!$AC$12:$AC$731</c:f>
              <c:numCache>
                <c:formatCode>General</c:formatCode>
                <c:ptCount val="720"/>
                <c:pt idx="0">
                  <c:v>5.0000000290000002E-4</c:v>
                </c:pt>
                <c:pt idx="1">
                  <c:v>5.0000000000000001E-4</c:v>
                </c:pt>
                <c:pt idx="2">
                  <c:v>4.999999971E-4</c:v>
                </c:pt>
                <c:pt idx="3">
                  <c:v>5.0000000000000001E-4</c:v>
                </c:pt>
                <c:pt idx="4">
                  <c:v>5.0000001080000001E-4</c:v>
                </c:pt>
                <c:pt idx="5">
                  <c:v>5.0000001639999997E-4</c:v>
                </c:pt>
                <c:pt idx="6">
                  <c:v>5.0000000000000001E-4</c:v>
                </c:pt>
                <c:pt idx="7">
                  <c:v>4.9999995770000003E-4</c:v>
                </c:pt>
                <c:pt idx="8">
                  <c:v>4.9999993739999996E-4</c:v>
                </c:pt>
                <c:pt idx="9">
                  <c:v>5.0000000000000001E-4</c:v>
                </c:pt>
                <c:pt idx="10">
                  <c:v>5.0000015850000003E-4</c:v>
                </c:pt>
                <c:pt idx="11">
                  <c:v>5.0000023410000003E-4</c:v>
                </c:pt>
                <c:pt idx="12">
                  <c:v>5.0006249999999996E-4</c:v>
                </c:pt>
                <c:pt idx="13">
                  <c:v>5.0011149119999997E-4</c:v>
                </c:pt>
                <c:pt idx="14">
                  <c:v>5.001291698E-4</c:v>
                </c:pt>
                <c:pt idx="15">
                  <c:v>5.0012397669999995E-4</c:v>
                </c:pt>
                <c:pt idx="16">
                  <c:v>5.001043531E-4</c:v>
                </c:pt>
                <c:pt idx="17">
                  <c:v>5.0007874000000002E-4</c:v>
                </c:pt>
                <c:pt idx="18">
                  <c:v>5.0005557849999997E-4</c:v>
                </c:pt>
                <c:pt idx="19">
                  <c:v>5.0004155829999999E-4</c:v>
                </c:pt>
                <c:pt idx="20">
                  <c:v>5.0003636380000003E-4</c:v>
                </c:pt>
                <c:pt idx="21">
                  <c:v>5.0003792790000005E-4</c:v>
                </c:pt>
                <c:pt idx="22">
                  <c:v>5.0004418349999997E-4</c:v>
                </c:pt>
                <c:pt idx="23">
                  <c:v>5.000530637E-4</c:v>
                </c:pt>
                <c:pt idx="24">
                  <c:v>5.000625013E-4</c:v>
                </c:pt>
                <c:pt idx="25">
                  <c:v>5.0007078979999995E-4</c:v>
                </c:pt>
                <c:pt idx="26">
                  <c:v>5.0007766430000002E-4</c:v>
                </c:pt>
                <c:pt idx="27">
                  <c:v>5.0008322030000005E-4</c:v>
                </c:pt>
                <c:pt idx="28">
                  <c:v>5.0008755350000004E-4</c:v>
                </c:pt>
                <c:pt idx="29">
                  <c:v>5.0009075940000004E-4</c:v>
                </c:pt>
                <c:pt idx="30">
                  <c:v>5.0009293350000001E-4</c:v>
                </c:pt>
                <c:pt idx="31">
                  <c:v>5.0009404559999999E-4</c:v>
                </c:pt>
                <c:pt idx="32">
                  <c:v>5.0009356240000001E-4</c:v>
                </c:pt>
                <c:pt idx="33">
                  <c:v>5.0009082480000002E-4</c:v>
                </c:pt>
                <c:pt idx="34">
                  <c:v>5.0008517369999996E-4</c:v>
                </c:pt>
                <c:pt idx="35">
                  <c:v>5.0007595E-4</c:v>
                </c:pt>
                <c:pt idx="36">
                  <c:v>5.0006249449999999E-4</c:v>
                </c:pt>
                <c:pt idx="37">
                  <c:v>5.0004457260000002E-4</c:v>
                </c:pt>
                <c:pt idx="38">
                  <c:v>5.000236473E-4</c:v>
                </c:pt>
                <c:pt idx="39">
                  <c:v>5.0000160599999999E-4</c:v>
                </c:pt>
                <c:pt idx="40">
                  <c:v>4.9998033609999996E-4</c:v>
                </c:pt>
                <c:pt idx="41">
                  <c:v>4.9996172499999997E-4</c:v>
                </c:pt>
                <c:pt idx="42">
                  <c:v>4.9994766009999999E-4</c:v>
                </c:pt>
                <c:pt idx="43">
                  <c:v>4.9994001999999996E-4</c:v>
                </c:pt>
                <c:pt idx="44">
                  <c:v>4.9994064779999999E-4</c:v>
                </c:pt>
                <c:pt idx="45">
                  <c:v>4.9995137759999999E-4</c:v>
                </c:pt>
                <c:pt idx="46">
                  <c:v>4.9997404359999995E-4</c:v>
                </c:pt>
                <c:pt idx="47">
                  <c:v>5.0001047999999998E-4</c:v>
                </c:pt>
                <c:pt idx="48">
                  <c:v>5.0006252099999999E-4</c:v>
                </c:pt>
                <c:pt idx="49">
                  <c:v>5.0013054870000004E-4</c:v>
                </c:pt>
                <c:pt idx="50">
                  <c:v>5.0020913689999996E-4</c:v>
                </c:pt>
                <c:pt idx="51">
                  <c:v>5.0029140719999999E-4</c:v>
                </c:pt>
                <c:pt idx="52">
                  <c:v>5.0037048119999997E-4</c:v>
                </c:pt>
                <c:pt idx="53">
                  <c:v>5.0043948069999997E-4</c:v>
                </c:pt>
                <c:pt idx="54">
                  <c:v>5.0049152719999995E-4</c:v>
                </c:pt>
                <c:pt idx="55">
                  <c:v>5.0051974159999999E-4</c:v>
                </c:pt>
                <c:pt idx="56">
                  <c:v>5.0051724119999999E-4</c:v>
                </c:pt>
                <c:pt idx="57">
                  <c:v>5.0047714240000003E-4</c:v>
                </c:pt>
                <c:pt idx="58">
                  <c:v>5.0039256169999999E-4</c:v>
                </c:pt>
                <c:pt idx="59">
                  <c:v>5.0025661549999996E-4</c:v>
                </c:pt>
                <c:pt idx="60">
                  <c:v>5.000624203E-4</c:v>
                </c:pt>
                <c:pt idx="61">
                  <c:v>4.9980851990000003E-4</c:v>
                </c:pt>
                <c:pt idx="62">
                  <c:v>4.9951516800000005E-4</c:v>
                </c:pt>
                <c:pt idx="63">
                  <c:v>4.9920804560000002E-4</c:v>
                </c:pt>
                <c:pt idx="64">
                  <c:v>4.989128337E-4</c:v>
                </c:pt>
                <c:pt idx="65">
                  <c:v>4.9865521349999999E-4</c:v>
                </c:pt>
                <c:pt idx="66">
                  <c:v>4.9846086579999999E-4</c:v>
                </c:pt>
                <c:pt idx="67">
                  <c:v>4.983554773E-4</c:v>
                </c:pt>
                <c:pt idx="68">
                  <c:v>4.9836475560000005E-4</c:v>
                </c:pt>
                <c:pt idx="69">
                  <c:v>4.9851441390000003E-4</c:v>
                </c:pt>
                <c:pt idx="70">
                  <c:v>4.9883016540000003E-4</c:v>
                </c:pt>
                <c:pt idx="71">
                  <c:v>4.9933772319999997E-4</c:v>
                </c:pt>
                <c:pt idx="72">
                  <c:v>5.0006280060000004E-4</c:v>
                </c:pt>
                <c:pt idx="73">
                  <c:v>5.0101083490000002E-4</c:v>
                </c:pt>
                <c:pt idx="74">
                  <c:v>5.0210616069999996E-4</c:v>
                </c:pt>
                <c:pt idx="75">
                  <c:v>5.0325283660000004E-4</c:v>
                </c:pt>
                <c:pt idx="76">
                  <c:v>5.0435492129999998E-4</c:v>
                </c:pt>
                <c:pt idx="77">
                  <c:v>5.0531647370000003E-4</c:v>
                </c:pt>
                <c:pt idx="78">
                  <c:v>5.0604155240000003E-4</c:v>
                </c:pt>
                <c:pt idx="79">
                  <c:v>5.0643425329999995E-4</c:v>
                </c:pt>
                <c:pt idx="80">
                  <c:v>5.0639882019999996E-4</c:v>
                </c:pt>
                <c:pt idx="81">
                  <c:v>5.0583953429999997E-4</c:v>
                </c:pt>
                <c:pt idx="82">
                  <c:v>5.0466067649999999E-4</c:v>
                </c:pt>
                <c:pt idx="83">
                  <c:v>5.0276652800000004E-4</c:v>
                </c:pt>
                <c:pt idx="84">
                  <c:v>5.0006136979999997E-4</c:v>
                </c:pt>
                <c:pt idx="85">
                  <c:v>4.9661774360000002E-4</c:v>
                </c:pt>
                <c:pt idx="86">
                  <c:v>4.9318123440000004E-4</c:v>
                </c:pt>
                <c:pt idx="87">
                  <c:v>4.9066568800000001E-4</c:v>
                </c:pt>
                <c:pt idx="88">
                  <c:v>4.8998494999999995E-4</c:v>
                </c:pt>
                <c:pt idx="89">
                  <c:v>4.9205286609999997E-4</c:v>
                </c:pt>
                <c:pt idx="90">
                  <c:v>4.9778328220000004E-4</c:v>
                </c:pt>
                <c:pt idx="91">
                  <c:v>5.0809120860000002E-4</c:v>
                </c:pt>
                <c:pt idx="92">
                  <c:v>5.2389631480000002E-4</c:v>
                </c:pt>
                <c:pt idx="93">
                  <c:v>5.4611943489999999E-4</c:v>
                </c:pt>
                <c:pt idx="94">
                  <c:v>5.7568140309999997E-4</c:v>
                </c:pt>
                <c:pt idx="95">
                  <c:v>6.1350305360000003E-4</c:v>
                </c:pt>
                <c:pt idx="96">
                  <c:v>6.6050522040000004E-4</c:v>
                </c:pt>
                <c:pt idx="97">
                  <c:v>7.1726938839999997E-4</c:v>
                </c:pt>
                <c:pt idx="98">
                  <c:v>7.8301964399999995E-4</c:v>
                </c:pt>
                <c:pt idx="99">
                  <c:v>8.5664072450000002E-4</c:v>
                </c:pt>
                <c:pt idx="100">
                  <c:v>9.3701736680000005E-4</c:v>
                </c:pt>
                <c:pt idx="101">
                  <c:v>1.023034308E-3</c:v>
                </c:pt>
                <c:pt idx="102">
                  <c:v>1.113576286E-3</c:v>
                </c:pt>
                <c:pt idx="103">
                  <c:v>1.207524311E-3</c:v>
                </c:pt>
                <c:pt idx="104">
                  <c:v>1.3037444950000001E-3</c:v>
                </c:pt>
                <c:pt idx="105">
                  <c:v>1.401099223E-3</c:v>
                </c:pt>
                <c:pt idx="106">
                  <c:v>1.4984508810000001E-3</c:v>
                </c:pt>
                <c:pt idx="107">
                  <c:v>1.5946618530000001E-3</c:v>
                </c:pt>
                <c:pt idx="108">
                  <c:v>1.6885945259999999E-3</c:v>
                </c:pt>
                <c:pt idx="109">
                  <c:v>1.779327669E-3</c:v>
                </c:pt>
                <c:pt idx="110">
                  <c:v>1.8668055890000001E-3</c:v>
                </c:pt>
                <c:pt idx="111">
                  <c:v>1.951188975E-3</c:v>
                </c:pt>
                <c:pt idx="112">
                  <c:v>2.0326385199999999E-3</c:v>
                </c:pt>
                <c:pt idx="113">
                  <c:v>2.1113149129999998E-3</c:v>
                </c:pt>
                <c:pt idx="114">
                  <c:v>2.1873788459999999E-3</c:v>
                </c:pt>
                <c:pt idx="115">
                  <c:v>2.2609919879999999E-3</c:v>
                </c:pt>
                <c:pt idx="116">
                  <c:v>2.332319927E-3</c:v>
                </c:pt>
                <c:pt idx="117">
                  <c:v>2.4015292279999999E-3</c:v>
                </c:pt>
                <c:pt idx="118">
                  <c:v>2.4687864590000001E-3</c:v>
                </c:pt>
                <c:pt idx="119">
                  <c:v>2.5342581859999999E-3</c:v>
                </c:pt>
                <c:pt idx="120">
                  <c:v>2.5981109739999998E-3</c:v>
                </c:pt>
                <c:pt idx="121">
                  <c:v>2.6605188710000002E-3</c:v>
                </c:pt>
                <c:pt idx="122">
                  <c:v>2.7216858369999999E-3</c:v>
                </c:pt>
                <c:pt idx="123">
                  <c:v>2.7818233150000002E-3</c:v>
                </c:pt>
                <c:pt idx="124">
                  <c:v>2.8411427460000001E-3</c:v>
                </c:pt>
                <c:pt idx="125">
                  <c:v>2.8998555710000001E-3</c:v>
                </c:pt>
                <c:pt idx="126">
                  <c:v>2.9581732320000001E-3</c:v>
                </c:pt>
                <c:pt idx="127">
                  <c:v>3.0163078469999998E-3</c:v>
                </c:pt>
                <c:pt idx="128">
                  <c:v>3.0744742460000001E-3</c:v>
                </c:pt>
                <c:pt idx="129">
                  <c:v>3.1328879340000002E-3</c:v>
                </c:pt>
                <c:pt idx="130">
                  <c:v>3.1917644190000002E-3</c:v>
                </c:pt>
                <c:pt idx="131">
                  <c:v>3.251319206E-3</c:v>
                </c:pt>
                <c:pt idx="132">
                  <c:v>3.311767801E-3</c:v>
                </c:pt>
                <c:pt idx="133">
                  <c:v>3.3732362710000002E-3</c:v>
                </c:pt>
                <c:pt idx="134">
                  <c:v>3.4354929159999999E-3</c:v>
                </c:pt>
                <c:pt idx="135">
                  <c:v>3.498216598E-3</c:v>
                </c:pt>
                <c:pt idx="136">
                  <c:v>3.5610861769999999E-3</c:v>
                </c:pt>
                <c:pt idx="137">
                  <c:v>3.6237805150000002E-3</c:v>
                </c:pt>
                <c:pt idx="138">
                  <c:v>3.6859784720000002E-3</c:v>
                </c:pt>
                <c:pt idx="139">
                  <c:v>3.7473577770000001E-3</c:v>
                </c:pt>
                <c:pt idx="140">
                  <c:v>3.807591638E-3</c:v>
                </c:pt>
                <c:pt idx="141">
                  <c:v>3.8663521269999999E-3</c:v>
                </c:pt>
                <c:pt idx="142">
                  <c:v>3.9233113189999997E-3</c:v>
                </c:pt>
                <c:pt idx="143">
                  <c:v>3.9781412879999999E-3</c:v>
                </c:pt>
                <c:pt idx="144">
                  <c:v>4.0305141100000002E-3</c:v>
                </c:pt>
                <c:pt idx="145">
                  <c:v>4.0802033210000001E-3</c:v>
                </c:pt>
                <c:pt idx="146">
                  <c:v>4.1273883090000001E-3</c:v>
                </c:pt>
                <c:pt idx="147">
                  <c:v>4.1723499249999999E-3</c:v>
                </c:pt>
                <c:pt idx="148">
                  <c:v>4.21536902E-3</c:v>
                </c:pt>
                <c:pt idx="149">
                  <c:v>4.2567264439999997E-3</c:v>
                </c:pt>
                <c:pt idx="150">
                  <c:v>4.296703049E-3</c:v>
                </c:pt>
                <c:pt idx="151">
                  <c:v>4.3355804669999998E-3</c:v>
                </c:pt>
                <c:pt idx="152">
                  <c:v>4.3736434599999999E-3</c:v>
                </c:pt>
                <c:pt idx="153">
                  <c:v>4.4111775690000004E-3</c:v>
                </c:pt>
                <c:pt idx="154">
                  <c:v>4.4484683380000001E-3</c:v>
                </c:pt>
                <c:pt idx="155">
                  <c:v>4.4858013099999998E-3</c:v>
                </c:pt>
                <c:pt idx="156">
                  <c:v>4.5234620270000001E-3</c:v>
                </c:pt>
                <c:pt idx="157">
                  <c:v>4.5616866070000003E-3</c:v>
                </c:pt>
                <c:pt idx="158">
                  <c:v>4.6005134680000004E-3</c:v>
                </c:pt>
                <c:pt idx="159">
                  <c:v>4.6399316000000001E-3</c:v>
                </c:pt>
                <c:pt idx="160">
                  <c:v>4.6799299950000001E-3</c:v>
                </c:pt>
                <c:pt idx="161">
                  <c:v>4.7204976459999997E-3</c:v>
                </c:pt>
                <c:pt idx="162">
                  <c:v>4.761623544E-3</c:v>
                </c:pt>
                <c:pt idx="163">
                  <c:v>4.8032966840000002E-3</c:v>
                </c:pt>
                <c:pt idx="164">
                  <c:v>4.8455060810000004E-3</c:v>
                </c:pt>
                <c:pt idx="165">
                  <c:v>4.8882407510000003E-3</c:v>
                </c:pt>
                <c:pt idx="166">
                  <c:v>4.9314897119999996E-3</c:v>
                </c:pt>
                <c:pt idx="167">
                  <c:v>4.975241981E-3</c:v>
                </c:pt>
                <c:pt idx="168">
                  <c:v>5.0194865769999999E-3</c:v>
                </c:pt>
                <c:pt idx="169">
                  <c:v>5.0641743779999996E-3</c:v>
                </c:pt>
                <c:pt idx="170">
                  <c:v>5.109103714E-3</c:v>
                </c:pt>
                <c:pt idx="171">
                  <c:v>5.154034775E-3</c:v>
                </c:pt>
                <c:pt idx="172">
                  <c:v>5.1987277530000002E-3</c:v>
                </c:pt>
                <c:pt idx="173">
                  <c:v>5.2429428390000001E-3</c:v>
                </c:pt>
                <c:pt idx="174">
                  <c:v>5.2864402239999999E-3</c:v>
                </c:pt>
                <c:pt idx="175">
                  <c:v>5.328979381E-3</c:v>
                </c:pt>
                <c:pt idx="176">
                  <c:v>5.3703169079999998E-3</c:v>
                </c:pt>
                <c:pt idx="177">
                  <c:v>5.4102086860000004E-3</c:v>
                </c:pt>
                <c:pt idx="178">
                  <c:v>5.4484105960000001E-3</c:v>
                </c:pt>
                <c:pt idx="179">
                  <c:v>5.4846785180000003E-3</c:v>
                </c:pt>
                <c:pt idx="180">
                  <c:v>5.5187683330000003E-3</c:v>
                </c:pt>
                <c:pt idx="181">
                  <c:v>5.5505191039999999E-3</c:v>
                </c:pt>
                <c:pt idx="182">
                  <c:v>5.5801026249999996E-3</c:v>
                </c:pt>
                <c:pt idx="183">
                  <c:v>5.6077738719999999E-3</c:v>
                </c:pt>
                <c:pt idx="184">
                  <c:v>5.6337878219999997E-3</c:v>
                </c:pt>
                <c:pt idx="185">
                  <c:v>5.6583994519999996E-3</c:v>
                </c:pt>
                <c:pt idx="186">
                  <c:v>5.6818637369999998E-3</c:v>
                </c:pt>
                <c:pt idx="187">
                  <c:v>5.7044362200000002E-3</c:v>
                </c:pt>
                <c:pt idx="188">
                  <c:v>5.7263746969999996E-3</c:v>
                </c:pt>
                <c:pt idx="189">
                  <c:v>5.7479375309999999E-3</c:v>
                </c:pt>
                <c:pt idx="190">
                  <c:v>5.7693830850000004E-3</c:v>
                </c:pt>
                <c:pt idx="191">
                  <c:v>5.7909697199999997E-3</c:v>
                </c:pt>
                <c:pt idx="192">
                  <c:v>5.8129557980000001E-3</c:v>
                </c:pt>
                <c:pt idx="193">
                  <c:v>5.8355458269999999E-3</c:v>
                </c:pt>
                <c:pt idx="194">
                  <c:v>5.8587288899999996E-3</c:v>
                </c:pt>
                <c:pt idx="195">
                  <c:v>5.8824402149999996E-3</c:v>
                </c:pt>
                <c:pt idx="196">
                  <c:v>5.9066150300000004E-3</c:v>
                </c:pt>
                <c:pt idx="197">
                  <c:v>5.9311885639999999E-3</c:v>
                </c:pt>
                <c:pt idx="198">
                  <c:v>5.9560960450000004E-3</c:v>
                </c:pt>
                <c:pt idx="199">
                  <c:v>5.9812725470000001E-3</c:v>
                </c:pt>
                <c:pt idx="200">
                  <c:v>6.0066525270000004E-3</c:v>
                </c:pt>
                <c:pt idx="201">
                  <c:v>6.0321702899999996E-3</c:v>
                </c:pt>
                <c:pt idx="202">
                  <c:v>6.05776014E-3</c:v>
                </c:pt>
                <c:pt idx="203">
                  <c:v>6.0833563789999996E-3</c:v>
                </c:pt>
                <c:pt idx="204">
                  <c:v>6.1088933140000003E-3</c:v>
                </c:pt>
                <c:pt idx="205">
                  <c:v>6.1343167059999997E-3</c:v>
                </c:pt>
                <c:pt idx="206">
                  <c:v>6.1596181610000002E-3</c:v>
                </c:pt>
                <c:pt idx="207">
                  <c:v>6.1848007460000003E-3</c:v>
                </c:pt>
                <c:pt idx="208">
                  <c:v>6.2098675239999996E-3</c:v>
                </c:pt>
                <c:pt idx="209">
                  <c:v>6.2348215609999997E-3</c:v>
                </c:pt>
                <c:pt idx="210">
                  <c:v>6.2596659230000004E-3</c:v>
                </c:pt>
                <c:pt idx="211">
                  <c:v>6.2844036850000003E-3</c:v>
                </c:pt>
                <c:pt idx="212">
                  <c:v>6.3090379599999996E-3</c:v>
                </c:pt>
                <c:pt idx="213">
                  <c:v>6.3335718699999996E-3</c:v>
                </c:pt>
                <c:pt idx="214">
                  <c:v>6.3580085399999996E-3</c:v>
                </c:pt>
                <c:pt idx="215">
                  <c:v>6.3823510920000001E-3</c:v>
                </c:pt>
                <c:pt idx="216">
                  <c:v>6.40660265E-3</c:v>
                </c:pt>
                <c:pt idx="217">
                  <c:v>6.4307747450000003E-3</c:v>
                </c:pt>
                <c:pt idx="218">
                  <c:v>6.4549125499999997E-3</c:v>
                </c:pt>
                <c:pt idx="219">
                  <c:v>6.4790696439999997E-3</c:v>
                </c:pt>
                <c:pt idx="220">
                  <c:v>6.5032996079999999E-3</c:v>
                </c:pt>
                <c:pt idx="221">
                  <c:v>6.5276560219999996E-3</c:v>
                </c:pt>
                <c:pt idx="222">
                  <c:v>6.5521924670000004E-3</c:v>
                </c:pt>
                <c:pt idx="223">
                  <c:v>6.5769627009999998E-3</c:v>
                </c:pt>
                <c:pt idx="224">
                  <c:v>6.6020211879999997E-3</c:v>
                </c:pt>
                <c:pt idx="225">
                  <c:v>6.6274225689999999E-3</c:v>
                </c:pt>
                <c:pt idx="226">
                  <c:v>6.6532214870000002E-3</c:v>
                </c:pt>
                <c:pt idx="227">
                  <c:v>6.6794725839999999E-3</c:v>
                </c:pt>
                <c:pt idx="228">
                  <c:v>6.7062305009999998E-3</c:v>
                </c:pt>
                <c:pt idx="229">
                  <c:v>6.7335042729999997E-3</c:v>
                </c:pt>
                <c:pt idx="230">
                  <c:v>6.7611205080000004E-3</c:v>
                </c:pt>
                <c:pt idx="231">
                  <c:v>6.7888602070000003E-3</c:v>
                </c:pt>
                <c:pt idx="232">
                  <c:v>6.8165043720000004E-3</c:v>
                </c:pt>
                <c:pt idx="233">
                  <c:v>6.843834004E-3</c:v>
                </c:pt>
                <c:pt idx="234">
                  <c:v>6.870630103E-3</c:v>
                </c:pt>
                <c:pt idx="235">
                  <c:v>6.8966730920000004E-3</c:v>
                </c:pt>
                <c:pt idx="236">
                  <c:v>6.9217410720000001E-3</c:v>
                </c:pt>
                <c:pt idx="237">
                  <c:v>6.9456115660000003E-3</c:v>
                </c:pt>
                <c:pt idx="238">
                  <c:v>6.9680620960000002E-3</c:v>
                </c:pt>
                <c:pt idx="239">
                  <c:v>6.9888701859999996E-3</c:v>
                </c:pt>
                <c:pt idx="240">
                  <c:v>7.0078133569999998E-3</c:v>
                </c:pt>
                <c:pt idx="241">
                  <c:v>7.0247428319999998E-3</c:v>
                </c:pt>
                <c:pt idx="242">
                  <c:v>7.0398046420000002E-3</c:v>
                </c:pt>
                <c:pt idx="243">
                  <c:v>7.0532185159999997E-3</c:v>
                </c:pt>
                <c:pt idx="244">
                  <c:v>7.065204185E-3</c:v>
                </c:pt>
                <c:pt idx="245">
                  <c:v>7.0759813779999996E-3</c:v>
                </c:pt>
                <c:pt idx="246">
                  <c:v>7.0857698270000002E-3</c:v>
                </c:pt>
                <c:pt idx="247">
                  <c:v>7.0947896259999999E-3</c:v>
                </c:pt>
                <c:pt idx="248">
                  <c:v>7.1032623360000003E-3</c:v>
                </c:pt>
                <c:pt idx="249">
                  <c:v>7.1114098819999999E-3</c:v>
                </c:pt>
                <c:pt idx="250">
                  <c:v>7.1194541869999996E-3</c:v>
                </c:pt>
                <c:pt idx="251">
                  <c:v>7.1276171789999999E-3</c:v>
                </c:pt>
                <c:pt idx="252">
                  <c:v>7.1361207810000001E-3</c:v>
                </c:pt>
                <c:pt idx="253">
                  <c:v>7.1451405870000002E-3</c:v>
                </c:pt>
                <c:pt idx="254">
                  <c:v>7.1546668690000001E-3</c:v>
                </c:pt>
                <c:pt idx="255">
                  <c:v>7.1646435660000004E-3</c:v>
                </c:pt>
                <c:pt idx="256">
                  <c:v>7.1750146170000001E-3</c:v>
                </c:pt>
                <c:pt idx="257">
                  <c:v>7.1857239629999998E-3</c:v>
                </c:pt>
                <c:pt idx="258">
                  <c:v>7.1967155430000002E-3</c:v>
                </c:pt>
                <c:pt idx="259">
                  <c:v>7.2079332050000002E-3</c:v>
                </c:pt>
                <c:pt idx="260">
                  <c:v>7.2193204360000004E-3</c:v>
                </c:pt>
                <c:pt idx="261">
                  <c:v>7.2308206270000003E-3</c:v>
                </c:pt>
                <c:pt idx="262">
                  <c:v>7.2423771739999997E-3</c:v>
                </c:pt>
                <c:pt idx="263">
                  <c:v>7.253933469E-3</c:v>
                </c:pt>
                <c:pt idx="264">
                  <c:v>7.2654329060000003E-3</c:v>
                </c:pt>
                <c:pt idx="265">
                  <c:v>7.2768288670000004E-3</c:v>
                </c:pt>
                <c:pt idx="266">
                  <c:v>7.2881146879999999E-3</c:v>
                </c:pt>
                <c:pt idx="267">
                  <c:v>7.2992936919999999E-3</c:v>
                </c:pt>
                <c:pt idx="268">
                  <c:v>7.3103692019999998E-3</c:v>
                </c:pt>
                <c:pt idx="269">
                  <c:v>7.3213445409999996E-3</c:v>
                </c:pt>
                <c:pt idx="270">
                  <c:v>7.3322230320000004E-3</c:v>
                </c:pt>
                <c:pt idx="271">
                  <c:v>7.3430080079999998E-3</c:v>
                </c:pt>
                <c:pt idx="272">
                  <c:v>7.3537028329999999E-3</c:v>
                </c:pt>
                <c:pt idx="273">
                  <c:v>7.3643108799999997E-3</c:v>
                </c:pt>
                <c:pt idx="274">
                  <c:v>7.3748355229999998E-3</c:v>
                </c:pt>
                <c:pt idx="275">
                  <c:v>7.385280133E-3</c:v>
                </c:pt>
                <c:pt idx="276">
                  <c:v>7.395648084E-3</c:v>
                </c:pt>
                <c:pt idx="277">
                  <c:v>7.4059493820000004E-3</c:v>
                </c:pt>
                <c:pt idx="278">
                  <c:v>7.4162205570000002E-3</c:v>
                </c:pt>
                <c:pt idx="279">
                  <c:v>7.4265047739999999E-3</c:v>
                </c:pt>
                <c:pt idx="280">
                  <c:v>7.4368451949999997E-3</c:v>
                </c:pt>
                <c:pt idx="281">
                  <c:v>7.4472849850000002E-3</c:v>
                </c:pt>
                <c:pt idx="282">
                  <c:v>7.4578673059999996E-3</c:v>
                </c:pt>
                <c:pt idx="283">
                  <c:v>7.468635425E-3</c:v>
                </c:pt>
                <c:pt idx="284">
                  <c:v>7.4796330089999998E-3</c:v>
                </c:pt>
                <c:pt idx="285">
                  <c:v>7.4909038289999999E-3</c:v>
                </c:pt>
                <c:pt idx="286">
                  <c:v>7.5024916549999996E-3</c:v>
                </c:pt>
                <c:pt idx="287">
                  <c:v>7.5144402590000001E-3</c:v>
                </c:pt>
                <c:pt idx="288">
                  <c:v>7.526793409E-3</c:v>
                </c:pt>
                <c:pt idx="289">
                  <c:v>7.5395580370000003E-3</c:v>
                </c:pt>
                <c:pt idx="290">
                  <c:v>7.5525937140000004E-3</c:v>
                </c:pt>
                <c:pt idx="291">
                  <c:v>7.5657231700000001E-3</c:v>
                </c:pt>
                <c:pt idx="292">
                  <c:v>7.5787691349999999E-3</c:v>
                </c:pt>
                <c:pt idx="293">
                  <c:v>7.5915543419999999E-3</c:v>
                </c:pt>
                <c:pt idx="294">
                  <c:v>7.6039015200000002E-3</c:v>
                </c:pt>
                <c:pt idx="295">
                  <c:v>7.6156330990000002E-3</c:v>
                </c:pt>
                <c:pt idx="296">
                  <c:v>7.6265702990000002E-3</c:v>
                </c:pt>
                <c:pt idx="297">
                  <c:v>7.6365340369999998E-3</c:v>
                </c:pt>
                <c:pt idx="298">
                  <c:v>7.6453452340000004E-3</c:v>
                </c:pt>
                <c:pt idx="299">
                  <c:v>7.6528248069999997E-3</c:v>
                </c:pt>
                <c:pt idx="300">
                  <c:v>7.6587936739999996E-3</c:v>
                </c:pt>
                <c:pt idx="301">
                  <c:v>7.6631323939999997E-3</c:v>
                </c:pt>
                <c:pt idx="302">
                  <c:v>7.6659600830000004E-3</c:v>
                </c:pt>
                <c:pt idx="303">
                  <c:v>7.6674555010000003E-3</c:v>
                </c:pt>
                <c:pt idx="304">
                  <c:v>7.6677974030000002E-3</c:v>
                </c:pt>
                <c:pt idx="305">
                  <c:v>7.6671645460000002E-3</c:v>
                </c:pt>
                <c:pt idx="306">
                  <c:v>7.6657356890000002E-3</c:v>
                </c:pt>
                <c:pt idx="307">
                  <c:v>7.6636897100000002E-3</c:v>
                </c:pt>
                <c:pt idx="308">
                  <c:v>7.6612059749999999E-3</c:v>
                </c:pt>
                <c:pt idx="309">
                  <c:v>7.6584639720000004E-3</c:v>
                </c:pt>
                <c:pt idx="310">
                  <c:v>7.6556431900000003E-3</c:v>
                </c:pt>
                <c:pt idx="311">
                  <c:v>7.6529231149999998E-3</c:v>
                </c:pt>
                <c:pt idx="312">
                  <c:v>7.6504832360000004E-3</c:v>
                </c:pt>
                <c:pt idx="313">
                  <c:v>7.6484651070000001E-3</c:v>
                </c:pt>
                <c:pt idx="314">
                  <c:v>7.6468585450000003E-3</c:v>
                </c:pt>
                <c:pt idx="315">
                  <c:v>7.6456154330000001E-3</c:v>
                </c:pt>
                <c:pt idx="316">
                  <c:v>7.6446876539999998E-3</c:v>
                </c:pt>
                <c:pt idx="317">
                  <c:v>7.6440270899999999E-3</c:v>
                </c:pt>
                <c:pt idx="318">
                  <c:v>7.6435856250000002E-3</c:v>
                </c:pt>
                <c:pt idx="319">
                  <c:v>7.6433151199999999E-3</c:v>
                </c:pt>
                <c:pt idx="320">
                  <c:v>7.6431673450000001E-3</c:v>
                </c:pt>
                <c:pt idx="321">
                  <c:v>7.6430940500000003E-3</c:v>
                </c:pt>
                <c:pt idx="322">
                  <c:v>7.6430469809999997E-3</c:v>
                </c:pt>
                <c:pt idx="323">
                  <c:v>7.6429778889999999E-3</c:v>
                </c:pt>
                <c:pt idx="324">
                  <c:v>7.642838521E-3</c:v>
                </c:pt>
                <c:pt idx="325">
                  <c:v>7.6425908139999997E-3</c:v>
                </c:pt>
                <c:pt idx="326">
                  <c:v>7.6422374499999996E-3</c:v>
                </c:pt>
                <c:pt idx="327">
                  <c:v>7.6417913010000003E-3</c:v>
                </c:pt>
                <c:pt idx="328">
                  <c:v>7.6412652380000003E-3</c:v>
                </c:pt>
                <c:pt idx="329">
                  <c:v>7.6406721310000002E-3</c:v>
                </c:pt>
                <c:pt idx="330">
                  <c:v>7.6400248510000001E-3</c:v>
                </c:pt>
                <c:pt idx="331">
                  <c:v>7.6393362799999998E-3</c:v>
                </c:pt>
                <c:pt idx="332">
                  <c:v>7.6386193359999997E-3</c:v>
                </c:pt>
                <c:pt idx="333">
                  <c:v>7.6378869499999997E-3</c:v>
                </c:pt>
                <c:pt idx="334">
                  <c:v>7.6371520500000002E-3</c:v>
                </c:pt>
                <c:pt idx="335">
                  <c:v>7.6364275670000002E-3</c:v>
                </c:pt>
                <c:pt idx="336">
                  <c:v>7.6357264299999998E-3</c:v>
                </c:pt>
                <c:pt idx="337">
                  <c:v>7.6350588309999998E-3</c:v>
                </c:pt>
                <c:pt idx="338">
                  <c:v>7.6344240090000003E-3</c:v>
                </c:pt>
                <c:pt idx="339">
                  <c:v>7.6338184660000004E-3</c:v>
                </c:pt>
                <c:pt idx="340">
                  <c:v>7.6332387049999999E-3</c:v>
                </c:pt>
                <c:pt idx="341">
                  <c:v>7.6326812250000001E-3</c:v>
                </c:pt>
                <c:pt idx="342">
                  <c:v>7.6321425300000002E-3</c:v>
                </c:pt>
                <c:pt idx="343">
                  <c:v>7.631619119E-3</c:v>
                </c:pt>
                <c:pt idx="344">
                  <c:v>7.6311074839999996E-3</c:v>
                </c:pt>
                <c:pt idx="345">
                  <c:v>7.6306041139999996E-3</c:v>
                </c:pt>
                <c:pt idx="346">
                  <c:v>7.630105501E-3</c:v>
                </c:pt>
                <c:pt idx="347">
                  <c:v>7.6296081330000003E-3</c:v>
                </c:pt>
                <c:pt idx="348">
                  <c:v>7.6291085010000001E-3</c:v>
                </c:pt>
                <c:pt idx="349">
                  <c:v>7.628603831E-3</c:v>
                </c:pt>
                <c:pt idx="350">
                  <c:v>7.6280942930000003E-3</c:v>
                </c:pt>
                <c:pt idx="351">
                  <c:v>7.6275807940000004E-3</c:v>
                </c:pt>
                <c:pt idx="352">
                  <c:v>7.6270642409999997E-3</c:v>
                </c:pt>
                <c:pt idx="353">
                  <c:v>7.6265455390000002E-3</c:v>
                </c:pt>
                <c:pt idx="354">
                  <c:v>7.6260255949999996E-3</c:v>
                </c:pt>
                <c:pt idx="355">
                  <c:v>7.6255053179999999E-3</c:v>
                </c:pt>
                <c:pt idx="356">
                  <c:v>7.6249856169999996E-3</c:v>
                </c:pt>
                <c:pt idx="357">
                  <c:v>7.6244674060000003E-3</c:v>
                </c:pt>
                <c:pt idx="358">
                  <c:v>7.6239515959999997E-3</c:v>
                </c:pt>
                <c:pt idx="359">
                  <c:v>7.6234390999999997E-3</c:v>
                </c:pt>
                <c:pt idx="360">
                  <c:v>7.6229308300000001E-3</c:v>
                </c:pt>
                <c:pt idx="361">
                  <c:v>7.6224275019999999E-3</c:v>
                </c:pt>
                <c:pt idx="362">
                  <c:v>7.6219290380000002E-3</c:v>
                </c:pt>
                <c:pt idx="363">
                  <c:v>7.6214351680000004E-3</c:v>
                </c:pt>
                <c:pt idx="364">
                  <c:v>7.6209456179999998E-3</c:v>
                </c:pt>
                <c:pt idx="365">
                  <c:v>7.6204601140000003E-3</c:v>
                </c:pt>
                <c:pt idx="366">
                  <c:v>7.6199783859999997E-3</c:v>
                </c:pt>
                <c:pt idx="367">
                  <c:v>7.6195001590000002E-3</c:v>
                </c:pt>
                <c:pt idx="368">
                  <c:v>7.619025162E-3</c:v>
                </c:pt>
                <c:pt idx="369">
                  <c:v>7.6185531210000001E-3</c:v>
                </c:pt>
                <c:pt idx="370">
                  <c:v>7.6180837650000003E-3</c:v>
                </c:pt>
                <c:pt idx="371">
                  <c:v>7.6176168210000004E-3</c:v>
                </c:pt>
                <c:pt idx="372">
                  <c:v>7.6171520160000002E-3</c:v>
                </c:pt>
                <c:pt idx="373">
                  <c:v>7.6166891319999997E-3</c:v>
                </c:pt>
                <c:pt idx="374">
                  <c:v>7.6162281620000003E-3</c:v>
                </c:pt>
                <c:pt idx="375">
                  <c:v>7.6157691550000003E-3</c:v>
                </c:pt>
                <c:pt idx="376">
                  <c:v>7.6153121580000002E-3</c:v>
                </c:pt>
                <c:pt idx="377">
                  <c:v>7.6148572189999996E-3</c:v>
                </c:pt>
                <c:pt idx="378">
                  <c:v>7.6144043860000002E-3</c:v>
                </c:pt>
                <c:pt idx="379">
                  <c:v>7.6139537069999999E-3</c:v>
                </c:pt>
                <c:pt idx="380">
                  <c:v>7.6135052300000004E-3</c:v>
                </c:pt>
                <c:pt idx="381">
                  <c:v>7.6130590060000001E-3</c:v>
                </c:pt>
                <c:pt idx="382">
                  <c:v>7.6126150829999998E-3</c:v>
                </c:pt>
                <c:pt idx="383">
                  <c:v>7.6121735100000004E-3</c:v>
                </c:pt>
                <c:pt idx="384">
                  <c:v>7.6117343370000002E-3</c:v>
                </c:pt>
                <c:pt idx="385">
                  <c:v>7.6112975990000001E-3</c:v>
                </c:pt>
                <c:pt idx="386">
                  <c:v>7.610863275E-3</c:v>
                </c:pt>
                <c:pt idx="387">
                  <c:v>7.610431329E-3</c:v>
                </c:pt>
                <c:pt idx="388">
                  <c:v>7.610001727E-3</c:v>
                </c:pt>
                <c:pt idx="389">
                  <c:v>7.609574432E-3</c:v>
                </c:pt>
                <c:pt idx="390">
                  <c:v>7.6091494089999996E-3</c:v>
                </c:pt>
                <c:pt idx="391">
                  <c:v>7.6087266239999998E-3</c:v>
                </c:pt>
                <c:pt idx="392">
                  <c:v>7.6083060409999998E-3</c:v>
                </c:pt>
                <c:pt idx="393">
                  <c:v>7.6078876259999999E-3</c:v>
                </c:pt>
                <c:pt idx="394">
                  <c:v>7.6074713450000001E-3</c:v>
                </c:pt>
                <c:pt idx="395">
                  <c:v>7.6070571639999997E-3</c:v>
                </c:pt>
                <c:pt idx="396">
                  <c:v>7.6066450480000002E-3</c:v>
                </c:pt>
                <c:pt idx="397">
                  <c:v>7.6062349660000004E-3</c:v>
                </c:pt>
                <c:pt idx="398">
                  <c:v>7.6058269049999998E-3</c:v>
                </c:pt>
                <c:pt idx="399">
                  <c:v>7.6054208530000004E-3</c:v>
                </c:pt>
                <c:pt idx="400">
                  <c:v>7.6050168009999999E-3</c:v>
                </c:pt>
                <c:pt idx="401">
                  <c:v>7.6046147379999996E-3</c:v>
                </c:pt>
                <c:pt idx="402">
                  <c:v>7.6042146530000002E-3</c:v>
                </c:pt>
                <c:pt idx="403">
                  <c:v>7.6038165370000002E-3</c:v>
                </c:pt>
                <c:pt idx="404">
                  <c:v>7.6034203790000003E-3</c:v>
                </c:pt>
                <c:pt idx="405">
                  <c:v>7.6030261710000003E-3</c:v>
                </c:pt>
                <c:pt idx="406">
                  <c:v>7.6026339030000004E-3</c:v>
                </c:pt>
                <c:pt idx="407">
                  <c:v>7.6022435640000002E-3</c:v>
                </c:pt>
                <c:pt idx="408">
                  <c:v>7.6018551470000001E-3</c:v>
                </c:pt>
                <c:pt idx="409">
                  <c:v>7.6014686400000002E-3</c:v>
                </c:pt>
                <c:pt idx="410">
                  <c:v>7.6010840289999996E-3</c:v>
                </c:pt>
                <c:pt idx="411">
                  <c:v>7.6007012989999997E-3</c:v>
                </c:pt>
                <c:pt idx="412">
                  <c:v>7.6003204370000002E-3</c:v>
                </c:pt>
                <c:pt idx="413">
                  <c:v>7.5999414259999998E-3</c:v>
                </c:pt>
                <c:pt idx="414">
                  <c:v>7.5995642520000004E-3</c:v>
                </c:pt>
                <c:pt idx="415">
                  <c:v>7.5991888999999996E-3</c:v>
                </c:pt>
                <c:pt idx="416">
                  <c:v>7.5988153560000004E-3</c:v>
                </c:pt>
                <c:pt idx="417">
                  <c:v>7.5984436049999996E-3</c:v>
                </c:pt>
                <c:pt idx="418">
                  <c:v>7.598073635E-3</c:v>
                </c:pt>
                <c:pt idx="419">
                  <c:v>7.5977054299999998E-3</c:v>
                </c:pt>
                <c:pt idx="420">
                  <c:v>7.5973389770000004E-3</c:v>
                </c:pt>
                <c:pt idx="421">
                  <c:v>7.5969742609999997E-3</c:v>
                </c:pt>
                <c:pt idx="422">
                  <c:v>7.5966112709999999E-3</c:v>
                </c:pt>
                <c:pt idx="423">
                  <c:v>7.5962499950000002E-3</c:v>
                </c:pt>
                <c:pt idx="424">
                  <c:v>7.5958904209999997E-3</c:v>
                </c:pt>
                <c:pt idx="425">
                  <c:v>7.5955325370000003E-3</c:v>
                </c:pt>
                <c:pt idx="426">
                  <c:v>7.5951763330000003E-3</c:v>
                </c:pt>
                <c:pt idx="427">
                  <c:v>7.5948217949999997E-3</c:v>
                </c:pt>
                <c:pt idx="428">
                  <c:v>7.5944689130000003E-3</c:v>
                </c:pt>
                <c:pt idx="429">
                  <c:v>7.594117676E-3</c:v>
                </c:pt>
                <c:pt idx="430">
                  <c:v>7.593768073E-3</c:v>
                </c:pt>
                <c:pt idx="431">
                  <c:v>7.5934200919999997E-3</c:v>
                </c:pt>
                <c:pt idx="432">
                  <c:v>7.5930737229999998E-3</c:v>
                </c:pt>
                <c:pt idx="433">
                  <c:v>7.5927289550000001E-3</c:v>
                </c:pt>
                <c:pt idx="434">
                  <c:v>7.5923857759999996E-3</c:v>
                </c:pt>
                <c:pt idx="435">
                  <c:v>7.5920441760000002E-3</c:v>
                </c:pt>
                <c:pt idx="436">
                  <c:v>7.5917041439999998E-3</c:v>
                </c:pt>
                <c:pt idx="437">
                  <c:v>7.591365668E-3</c:v>
                </c:pt>
                <c:pt idx="438">
                  <c:v>7.5910287389999997E-3</c:v>
                </c:pt>
                <c:pt idx="439">
                  <c:v>7.5906933449999998E-3</c:v>
                </c:pt>
                <c:pt idx="440">
                  <c:v>7.5903594760000003E-3</c:v>
                </c:pt>
                <c:pt idx="441">
                  <c:v>7.590027121E-3</c:v>
                </c:pt>
                <c:pt idx="442">
                  <c:v>7.5896962699999997E-3</c:v>
                </c:pt>
                <c:pt idx="443">
                  <c:v>7.589366914E-3</c:v>
                </c:pt>
                <c:pt idx="444">
                  <c:v>7.5890390400000004E-3</c:v>
                </c:pt>
                <c:pt idx="445">
                  <c:v>7.5887126400000001E-3</c:v>
                </c:pt>
                <c:pt idx="446">
                  <c:v>7.588387704E-3</c:v>
                </c:pt>
                <c:pt idx="447">
                  <c:v>7.5880642209999998E-3</c:v>
                </c:pt>
                <c:pt idx="448">
                  <c:v>7.5877421830000003E-3</c:v>
                </c:pt>
                <c:pt idx="449">
                  <c:v>7.5874215790000003E-3</c:v>
                </c:pt>
                <c:pt idx="450">
                  <c:v>7.5871024000000002E-3</c:v>
                </c:pt>
                <c:pt idx="451">
                  <c:v>7.5867846360000001E-3</c:v>
                </c:pt>
                <c:pt idx="452">
                  <c:v>7.586468279E-3</c:v>
                </c:pt>
                <c:pt idx="453">
                  <c:v>7.5861533179999996E-3</c:v>
                </c:pt>
                <c:pt idx="454">
                  <c:v>7.5858397440000001E-3</c:v>
                </c:pt>
                <c:pt idx="455">
                  <c:v>7.5855275500000003E-3</c:v>
                </c:pt>
                <c:pt idx="456">
                  <c:v>7.5852167240000002E-3</c:v>
                </c:pt>
                <c:pt idx="457">
                  <c:v>7.5849072590000004E-3</c:v>
                </c:pt>
                <c:pt idx="458">
                  <c:v>7.5845991460000003E-3</c:v>
                </c:pt>
                <c:pt idx="459">
                  <c:v>7.5842923750000001E-3</c:v>
                </c:pt>
                <c:pt idx="460">
                  <c:v>7.5839869379999997E-3</c:v>
                </c:pt>
                <c:pt idx="461">
                  <c:v>7.5836828270000002E-3</c:v>
                </c:pt>
                <c:pt idx="462">
                  <c:v>7.5833800319999997E-3</c:v>
                </c:pt>
                <c:pt idx="463">
                  <c:v>7.583078545E-3</c:v>
                </c:pt>
                <c:pt idx="464">
                  <c:v>7.582778357E-3</c:v>
                </c:pt>
                <c:pt idx="465">
                  <c:v>7.5824794609999999E-3</c:v>
                </c:pt>
                <c:pt idx="466">
                  <c:v>7.5821818480000004E-3</c:v>
                </c:pt>
                <c:pt idx="467">
                  <c:v>7.5818855099999997E-3</c:v>
                </c:pt>
                <c:pt idx="468">
                  <c:v>7.581590438E-3</c:v>
                </c:pt>
                <c:pt idx="469">
                  <c:v>7.5812966239999996E-3</c:v>
                </c:pt>
                <c:pt idx="470">
                  <c:v>7.5810040609999999E-3</c:v>
                </c:pt>
                <c:pt idx="471">
                  <c:v>7.5807127400000004E-3</c:v>
                </c:pt>
                <c:pt idx="472">
                  <c:v>7.5804226539999998E-3</c:v>
                </c:pt>
                <c:pt idx="473">
                  <c:v>7.5801337939999996E-3</c:v>
                </c:pt>
                <c:pt idx="474">
                  <c:v>7.5798461530000001E-3</c:v>
                </c:pt>
                <c:pt idx="475">
                  <c:v>7.5795597229999997E-3</c:v>
                </c:pt>
                <c:pt idx="476">
                  <c:v>7.5792744969999997E-3</c:v>
                </c:pt>
                <c:pt idx="477">
                  <c:v>7.5789904670000002E-3</c:v>
                </c:pt>
                <c:pt idx="478">
                  <c:v>7.5787076250000002E-3</c:v>
                </c:pt>
                <c:pt idx="479">
                  <c:v>7.5784259649999998E-3</c:v>
                </c:pt>
                <c:pt idx="480">
                  <c:v>7.5781454780000004E-3</c:v>
                </c:pt>
                <c:pt idx="481">
                  <c:v>7.5778661569999997E-3</c:v>
                </c:pt>
                <c:pt idx="482">
                  <c:v>7.5775879959999997E-3</c:v>
                </c:pt>
                <c:pt idx="483">
                  <c:v>7.5773109859999998E-3</c:v>
                </c:pt>
                <c:pt idx="484">
                  <c:v>7.5770351210000001E-3</c:v>
                </c:pt>
                <c:pt idx="485">
                  <c:v>7.5767603940000003E-3</c:v>
                </c:pt>
                <c:pt idx="486">
                  <c:v>7.5764867979999997E-3</c:v>
                </c:pt>
                <c:pt idx="487">
                  <c:v>7.5762143250000004E-3</c:v>
                </c:pt>
                <c:pt idx="488">
                  <c:v>7.5759429689999996E-3</c:v>
                </c:pt>
                <c:pt idx="489">
                  <c:v>7.575672722E-3</c:v>
                </c:pt>
                <c:pt idx="490">
                  <c:v>7.5754035790000004E-3</c:v>
                </c:pt>
                <c:pt idx="491">
                  <c:v>7.5751355330000002E-3</c:v>
                </c:pt>
                <c:pt idx="492">
                  <c:v>7.5748685759999997E-3</c:v>
                </c:pt>
                <c:pt idx="493">
                  <c:v>7.5746027020000004E-3</c:v>
                </c:pt>
                <c:pt idx="494">
                  <c:v>7.5743379040000003E-3</c:v>
                </c:pt>
                <c:pt idx="495">
                  <c:v>7.5740741769999998E-3</c:v>
                </c:pt>
                <c:pt idx="496">
                  <c:v>7.5738115129999999E-3</c:v>
                </c:pt>
                <c:pt idx="497">
                  <c:v>7.5735499059999996E-3</c:v>
                </c:pt>
                <c:pt idx="498">
                  <c:v>7.5732893499999999E-3</c:v>
                </c:pt>
                <c:pt idx="499">
                  <c:v>7.5730298380000003E-3</c:v>
                </c:pt>
                <c:pt idx="500">
                  <c:v>7.5727713640000001E-3</c:v>
                </c:pt>
                <c:pt idx="501">
                  <c:v>7.5725139220000001E-3</c:v>
                </c:pt>
                <c:pt idx="502">
                  <c:v>7.5722575060000004E-3</c:v>
                </c:pt>
                <c:pt idx="503">
                  <c:v>7.5720021090000004E-3</c:v>
                </c:pt>
                <c:pt idx="504">
                  <c:v>7.5717477259999999E-3</c:v>
                </c:pt>
                <c:pt idx="505">
                  <c:v>7.5714943509999997E-3</c:v>
                </c:pt>
                <c:pt idx="506">
                  <c:v>7.5712419770000003E-3</c:v>
                </c:pt>
                <c:pt idx="507">
                  <c:v>7.5709905990000003E-3</c:v>
                </c:pt>
                <c:pt idx="508">
                  <c:v>7.5707402100000003E-3</c:v>
                </c:pt>
                <c:pt idx="509">
                  <c:v>7.5704908049999999E-3</c:v>
                </c:pt>
                <c:pt idx="510">
                  <c:v>7.5702423790000003E-3</c:v>
                </c:pt>
                <c:pt idx="511">
                  <c:v>7.5699949250000002E-3</c:v>
                </c:pt>
                <c:pt idx="512">
                  <c:v>7.5697484369999998E-3</c:v>
                </c:pt>
                <c:pt idx="513">
                  <c:v>7.5695029109999999E-3</c:v>
                </c:pt>
                <c:pt idx="514">
                  <c:v>7.5692583400000001E-3</c:v>
                </c:pt>
                <c:pt idx="515">
                  <c:v>7.5690147189999999E-3</c:v>
                </c:pt>
                <c:pt idx="516">
                  <c:v>7.5687720420000004E-3</c:v>
                </c:pt>
                <c:pt idx="517">
                  <c:v>7.568530304E-3</c:v>
                </c:pt>
                <c:pt idx="518">
                  <c:v>7.5682894989999999E-3</c:v>
                </c:pt>
                <c:pt idx="519">
                  <c:v>7.568049623E-3</c:v>
                </c:pt>
                <c:pt idx="520">
                  <c:v>7.5678106689999998E-3</c:v>
                </c:pt>
                <c:pt idx="521">
                  <c:v>7.5675726319999999E-3</c:v>
                </c:pt>
                <c:pt idx="522">
                  <c:v>7.5673355080000003E-3</c:v>
                </c:pt>
                <c:pt idx="523">
                  <c:v>7.5670992899999996E-3</c:v>
                </c:pt>
                <c:pt idx="524">
                  <c:v>7.5668639739999996E-3</c:v>
                </c:pt>
                <c:pt idx="525">
                  <c:v>7.5666295539999996E-3</c:v>
                </c:pt>
                <c:pt idx="526">
                  <c:v>7.5663960260000003E-3</c:v>
                </c:pt>
                <c:pt idx="527">
                  <c:v>7.5661633840000001E-3</c:v>
                </c:pt>
                <c:pt idx="528">
                  <c:v>7.5659316239999998E-3</c:v>
                </c:pt>
                <c:pt idx="529">
                  <c:v>7.5657007400000004E-3</c:v>
                </c:pt>
                <c:pt idx="530">
                  <c:v>7.5654707269999996E-3</c:v>
                </c:pt>
                <c:pt idx="531">
                  <c:v>7.5652415799999997E-3</c:v>
                </c:pt>
                <c:pt idx="532">
                  <c:v>7.5650132949999999E-3</c:v>
                </c:pt>
                <c:pt idx="533">
                  <c:v>7.5647858660000001E-3</c:v>
                </c:pt>
                <c:pt idx="534">
                  <c:v>7.5645592899999999E-3</c:v>
                </c:pt>
                <c:pt idx="535">
                  <c:v>7.5643335599999998E-3</c:v>
                </c:pt>
                <c:pt idx="536">
                  <c:v>7.5641086730000003E-3</c:v>
                </c:pt>
                <c:pt idx="537">
                  <c:v>7.563884624E-3</c:v>
                </c:pt>
                <c:pt idx="538">
                  <c:v>7.5636614069999998E-3</c:v>
                </c:pt>
                <c:pt idx="539">
                  <c:v>7.5634390190000003E-3</c:v>
                </c:pt>
                <c:pt idx="540">
                  <c:v>7.5632174539999996E-3</c:v>
                </c:pt>
                <c:pt idx="541">
                  <c:v>7.562996709E-3</c:v>
                </c:pt>
                <c:pt idx="542">
                  <c:v>7.5627767779999997E-3</c:v>
                </c:pt>
                <c:pt idx="543">
                  <c:v>7.5625576569999997E-3</c:v>
                </c:pt>
                <c:pt idx="544">
                  <c:v>7.5623393419999999E-3</c:v>
                </c:pt>
                <c:pt idx="545">
                  <c:v>7.5621218279999999E-3</c:v>
                </c:pt>
                <c:pt idx="546">
                  <c:v>7.5619051109999998E-3</c:v>
                </c:pt>
                <c:pt idx="547">
                  <c:v>7.561689186E-3</c:v>
                </c:pt>
                <c:pt idx="548">
                  <c:v>7.5614740500000001E-3</c:v>
                </c:pt>
                <c:pt idx="549">
                  <c:v>7.5612596970000001E-3</c:v>
                </c:pt>
                <c:pt idx="550">
                  <c:v>7.5610461239999996E-3</c:v>
                </c:pt>
                <c:pt idx="551">
                  <c:v>7.5608333259999999E-3</c:v>
                </c:pt>
                <c:pt idx="552">
                  <c:v>7.5606212990000001E-3</c:v>
                </c:pt>
                <c:pt idx="553">
                  <c:v>7.5604100390000003E-3</c:v>
                </c:pt>
                <c:pt idx="554">
                  <c:v>7.5601995410000001E-3</c:v>
                </c:pt>
                <c:pt idx="555">
                  <c:v>7.5599898019999999E-3</c:v>
                </c:pt>
                <c:pt idx="556">
                  <c:v>7.5597808179999997E-3</c:v>
                </c:pt>
                <c:pt idx="557">
                  <c:v>7.5595725839999999E-3</c:v>
                </c:pt>
                <c:pt idx="558">
                  <c:v>7.5593650970000002E-3</c:v>
                </c:pt>
                <c:pt idx="559">
                  <c:v>7.5591583520000002E-3</c:v>
                </c:pt>
                <c:pt idx="560">
                  <c:v>7.5589523449999998E-3</c:v>
                </c:pt>
                <c:pt idx="561">
                  <c:v>7.5587470730000004E-3</c:v>
                </c:pt>
                <c:pt idx="562">
                  <c:v>7.5585425309999997E-3</c:v>
                </c:pt>
                <c:pt idx="563">
                  <c:v>7.5583387160000001E-3</c:v>
                </c:pt>
                <c:pt idx="564">
                  <c:v>7.5581356239999998E-3</c:v>
                </c:pt>
                <c:pt idx="565">
                  <c:v>7.5579332509999996E-3</c:v>
                </c:pt>
                <c:pt idx="566">
                  <c:v>7.5577315929999996E-3</c:v>
                </c:pt>
                <c:pt idx="567">
                  <c:v>7.5575306459999998E-3</c:v>
                </c:pt>
                <c:pt idx="568">
                  <c:v>7.5573304069999998E-3</c:v>
                </c:pt>
                <c:pt idx="569">
                  <c:v>7.5571308720000004E-3</c:v>
                </c:pt>
                <c:pt idx="570">
                  <c:v>7.556932037E-3</c:v>
                </c:pt>
                <c:pt idx="571">
                  <c:v>7.5567338980000003E-3</c:v>
                </c:pt>
                <c:pt idx="572">
                  <c:v>7.5565364519999999E-3</c:v>
                </c:pt>
                <c:pt idx="573">
                  <c:v>7.5563396960000003E-3</c:v>
                </c:pt>
                <c:pt idx="574">
                  <c:v>7.5561436250000001E-3</c:v>
                </c:pt>
                <c:pt idx="575">
                  <c:v>7.5559482359999998E-3</c:v>
                </c:pt>
                <c:pt idx="576">
                  <c:v>7.5557535250000002E-3</c:v>
                </c:pt>
                <c:pt idx="577">
                  <c:v>7.5555594899999997E-3</c:v>
                </c:pt>
                <c:pt idx="578">
                  <c:v>7.5553661249999999E-3</c:v>
                </c:pt>
                <c:pt idx="579">
                  <c:v>7.5551734289999997E-3</c:v>
                </c:pt>
                <c:pt idx="580">
                  <c:v>7.5549813979999998E-3</c:v>
                </c:pt>
                <c:pt idx="581">
                  <c:v>7.5547900269999999E-3</c:v>
                </c:pt>
                <c:pt idx="582">
                  <c:v>7.554599314E-3</c:v>
                </c:pt>
                <c:pt idx="583">
                  <c:v>7.5544092559999996E-3</c:v>
                </c:pt>
                <c:pt idx="584">
                  <c:v>7.5542198480000001E-3</c:v>
                </c:pt>
                <c:pt idx="585">
                  <c:v>7.5540310879999998E-3</c:v>
                </c:pt>
                <c:pt idx="586">
                  <c:v>7.5538429720000003E-3</c:v>
                </c:pt>
                <c:pt idx="587">
                  <c:v>7.5536554969999996E-3</c:v>
                </c:pt>
                <c:pt idx="588">
                  <c:v>7.5534686599999998E-3</c:v>
                </c:pt>
                <c:pt idx="589">
                  <c:v>7.553282457E-3</c:v>
                </c:pt>
                <c:pt idx="590">
                  <c:v>7.5530968860000004E-3</c:v>
                </c:pt>
                <c:pt idx="591">
                  <c:v>7.5529119420000004E-3</c:v>
                </c:pt>
                <c:pt idx="592">
                  <c:v>7.5527276239999996E-3</c:v>
                </c:pt>
                <c:pt idx="593">
                  <c:v>7.5525439270000003E-3</c:v>
                </c:pt>
                <c:pt idx="594">
                  <c:v>7.5523608480000002E-3</c:v>
                </c:pt>
                <c:pt idx="595">
                  <c:v>7.5521783850000003E-3</c:v>
                </c:pt>
                <c:pt idx="596">
                  <c:v>7.5519965350000001E-3</c:v>
                </c:pt>
                <c:pt idx="597">
                  <c:v>7.551815293E-3</c:v>
                </c:pt>
                <c:pt idx="598">
                  <c:v>7.5516346579999998E-3</c:v>
                </c:pt>
                <c:pt idx="599">
                  <c:v>7.5514546260000001E-3</c:v>
                </c:pt>
                <c:pt idx="600">
                  <c:v>7.5512751939999997E-3</c:v>
                </c:pt>
                <c:pt idx="601">
                  <c:v>7.5510963599999996E-3</c:v>
                </c:pt>
                <c:pt idx="602">
                  <c:v>7.5509181190000002E-3</c:v>
                </c:pt>
                <c:pt idx="603">
                  <c:v>7.5507404689999997E-3</c:v>
                </c:pt>
                <c:pt idx="604">
                  <c:v>7.5505634079999998E-3</c:v>
                </c:pt>
                <c:pt idx="605">
                  <c:v>7.5503869330000003E-3</c:v>
                </c:pt>
                <c:pt idx="606">
                  <c:v>7.5502110389999997E-3</c:v>
                </c:pt>
                <c:pt idx="607">
                  <c:v>7.5500357259999998E-3</c:v>
                </c:pt>
                <c:pt idx="608">
                  <c:v>7.5498609890000002E-3</c:v>
                </c:pt>
                <c:pt idx="609">
                  <c:v>7.5496868260000001E-3</c:v>
                </c:pt>
                <c:pt idx="610">
                  <c:v>7.5495132330000003E-3</c:v>
                </c:pt>
                <c:pt idx="611">
                  <c:v>7.5493402099999999E-3</c:v>
                </c:pt>
                <c:pt idx="612">
                  <c:v>7.5491677509999999E-3</c:v>
                </c:pt>
                <c:pt idx="613">
                  <c:v>7.5489958560000002E-3</c:v>
                </c:pt>
                <c:pt idx="614">
                  <c:v>7.5488245199999996E-3</c:v>
                </c:pt>
                <c:pt idx="615">
                  <c:v>7.5486537420000003E-3</c:v>
                </c:pt>
                <c:pt idx="616">
                  <c:v>7.5484835179999996E-3</c:v>
                </c:pt>
                <c:pt idx="617">
                  <c:v>7.5483138449999997E-3</c:v>
                </c:pt>
                <c:pt idx="618">
                  <c:v>7.5481447220000003E-3</c:v>
                </c:pt>
                <c:pt idx="619">
                  <c:v>7.5479761459999999E-3</c:v>
                </c:pt>
                <c:pt idx="620">
                  <c:v>7.5478081129999996E-3</c:v>
                </c:pt>
                <c:pt idx="621">
                  <c:v>7.5476406219999997E-3</c:v>
                </c:pt>
                <c:pt idx="622">
                  <c:v>7.5474736690000002E-3</c:v>
                </c:pt>
                <c:pt idx="623">
                  <c:v>7.5473072520000004E-3</c:v>
                </c:pt>
                <c:pt idx="624">
                  <c:v>7.5471413679999997E-3</c:v>
                </c:pt>
                <c:pt idx="625">
                  <c:v>7.5469760149999999E-3</c:v>
                </c:pt>
                <c:pt idx="626">
                  <c:v>7.5468111910000002E-3</c:v>
                </c:pt>
                <c:pt idx="627">
                  <c:v>7.5466468919999996E-3</c:v>
                </c:pt>
                <c:pt idx="628">
                  <c:v>7.5464831169999996E-3</c:v>
                </c:pt>
                <c:pt idx="629">
                  <c:v>7.5463198629999997E-3</c:v>
                </c:pt>
                <c:pt idx="630">
                  <c:v>7.5461571259999999E-3</c:v>
                </c:pt>
                <c:pt idx="631">
                  <c:v>7.5459949060000002E-3</c:v>
                </c:pt>
                <c:pt idx="632">
                  <c:v>7.5458331989999997E-3</c:v>
                </c:pt>
                <c:pt idx="633">
                  <c:v>7.5456720030000002E-3</c:v>
                </c:pt>
                <c:pt idx="634">
                  <c:v>7.5455113149999996E-3</c:v>
                </c:pt>
                <c:pt idx="635">
                  <c:v>7.545351134E-3</c:v>
                </c:pt>
                <c:pt idx="636">
                  <c:v>7.5451914559999996E-3</c:v>
                </c:pt>
                <c:pt idx="637">
                  <c:v>7.5450322799999999E-3</c:v>
                </c:pt>
                <c:pt idx="638">
                  <c:v>7.5448736019999999E-3</c:v>
                </c:pt>
                <c:pt idx="639">
                  <c:v>7.5447154219999996E-3</c:v>
                </c:pt>
                <c:pt idx="640">
                  <c:v>7.5445577349999996E-3</c:v>
                </c:pt>
                <c:pt idx="641">
                  <c:v>7.5444005409999997E-3</c:v>
                </c:pt>
                <c:pt idx="642">
                  <c:v>7.5442438360000001E-3</c:v>
                </c:pt>
                <c:pt idx="643">
                  <c:v>7.5440876190000002E-3</c:v>
                </c:pt>
                <c:pt idx="644">
                  <c:v>7.5439318869999997E-3</c:v>
                </c:pt>
                <c:pt idx="645">
                  <c:v>7.5437766380000004E-3</c:v>
                </c:pt>
                <c:pt idx="646">
                  <c:v>7.5436218700000003E-3</c:v>
                </c:pt>
                <c:pt idx="647">
                  <c:v>7.5434675800000002E-3</c:v>
                </c:pt>
                <c:pt idx="648">
                  <c:v>7.5433137659999998E-3</c:v>
                </c:pt>
                <c:pt idx="649">
                  <c:v>7.5431604269999997E-3</c:v>
                </c:pt>
                <c:pt idx="650">
                  <c:v>7.5430075589999999E-3</c:v>
                </c:pt>
                <c:pt idx="651">
                  <c:v>7.542855161E-3</c:v>
                </c:pt>
                <c:pt idx="652">
                  <c:v>7.5427032300000004E-3</c:v>
                </c:pt>
                <c:pt idx="653">
                  <c:v>7.5425517649999997E-3</c:v>
                </c:pt>
                <c:pt idx="654">
                  <c:v>7.5424007630000003E-3</c:v>
                </c:pt>
                <c:pt idx="655">
                  <c:v>7.5422502220000003E-3</c:v>
                </c:pt>
                <c:pt idx="656">
                  <c:v>7.5421001399999998E-3</c:v>
                </c:pt>
                <c:pt idx="657">
                  <c:v>7.5419505140000001E-3</c:v>
                </c:pt>
                <c:pt idx="658">
                  <c:v>7.5418013440000002E-3</c:v>
                </c:pt>
                <c:pt idx="659">
                  <c:v>7.5416526269999999E-3</c:v>
                </c:pt>
                <c:pt idx="660">
                  <c:v>7.5415043600000004E-3</c:v>
                </c:pt>
                <c:pt idx="661">
                  <c:v>7.5413565409999999E-3</c:v>
                </c:pt>
                <c:pt idx="662">
                  <c:v>7.5412091700000003E-3</c:v>
                </c:pt>
                <c:pt idx="663">
                  <c:v>7.5410622429999997E-3</c:v>
                </c:pt>
                <c:pt idx="664">
                  <c:v>7.540915758E-3</c:v>
                </c:pt>
                <c:pt idx="665">
                  <c:v>7.5407697139999999E-3</c:v>
                </c:pt>
                <c:pt idx="666">
                  <c:v>7.5406241090000001E-3</c:v>
                </c:pt>
                <c:pt idx="667">
                  <c:v>7.5404789400000003E-3</c:v>
                </c:pt>
                <c:pt idx="668">
                  <c:v>7.5403342060000001E-3</c:v>
                </c:pt>
                <c:pt idx="669">
                  <c:v>7.5401899050000004E-3</c:v>
                </c:pt>
                <c:pt idx="670">
                  <c:v>7.5400460339999998E-3</c:v>
                </c:pt>
                <c:pt idx="671">
                  <c:v>7.539902593E-3</c:v>
                </c:pt>
                <c:pt idx="672">
                  <c:v>7.5397595780000003E-3</c:v>
                </c:pt>
                <c:pt idx="673">
                  <c:v>7.5396169880000002E-3</c:v>
                </c:pt>
                <c:pt idx="674">
                  <c:v>7.5394748209999998E-3</c:v>
                </c:pt>
                <c:pt idx="675">
                  <c:v>7.5393330760000002E-3</c:v>
                </c:pt>
                <c:pt idx="676">
                  <c:v>7.5391917500000002E-3</c:v>
                </c:pt>
                <c:pt idx="677">
                  <c:v>7.5390508420000004E-3</c:v>
                </c:pt>
                <c:pt idx="678">
                  <c:v>7.5389103490000001E-3</c:v>
                </c:pt>
                <c:pt idx="679">
                  <c:v>7.53877027E-3</c:v>
                </c:pt>
                <c:pt idx="680">
                  <c:v>7.5386306029999999E-3</c:v>
                </c:pt>
                <c:pt idx="681">
                  <c:v>7.5384913459999999E-3</c:v>
                </c:pt>
                <c:pt idx="682">
                  <c:v>7.5383524979999996E-3</c:v>
                </c:pt>
                <c:pt idx="683">
                  <c:v>7.5382140560000003E-3</c:v>
                </c:pt>
                <c:pt idx="684">
                  <c:v>7.5380760189999998E-3</c:v>
                </c:pt>
                <c:pt idx="685">
                  <c:v>7.5379383849999999E-3</c:v>
                </c:pt>
                <c:pt idx="686">
                  <c:v>7.537801153E-3</c:v>
                </c:pt>
                <c:pt idx="687">
                  <c:v>7.5376643199999999E-3</c:v>
                </c:pt>
                <c:pt idx="688">
                  <c:v>7.5375278840000004E-3</c:v>
                </c:pt>
                <c:pt idx="689">
                  <c:v>7.5373918449999997E-3</c:v>
                </c:pt>
                <c:pt idx="690">
                  <c:v>7.5372562000000001E-3</c:v>
                </c:pt>
                <c:pt idx="691">
                  <c:v>7.5371209480000001E-3</c:v>
                </c:pt>
                <c:pt idx="692">
                  <c:v>7.5369860869999999E-3</c:v>
                </c:pt>
                <c:pt idx="693">
                  <c:v>7.5368516150000004E-3</c:v>
                </c:pt>
                <c:pt idx="694">
                  <c:v>7.5367175299999997E-3</c:v>
                </c:pt>
                <c:pt idx="695">
                  <c:v>7.5365838310000001E-3</c:v>
                </c:pt>
                <c:pt idx="696">
                  <c:v>7.5364505170000002E-3</c:v>
                </c:pt>
                <c:pt idx="697">
                  <c:v>7.5363175849999997E-3</c:v>
                </c:pt>
                <c:pt idx="698">
                  <c:v>7.5361850339999998E-3</c:v>
                </c:pt>
                <c:pt idx="699">
                  <c:v>7.5360528619999997E-3</c:v>
                </c:pt>
                <c:pt idx="700">
                  <c:v>7.5359210679999998E-3</c:v>
                </c:pt>
                <c:pt idx="701">
                  <c:v>7.5357896500000002E-3</c:v>
                </c:pt>
                <c:pt idx="702">
                  <c:v>7.5356586070000004E-3</c:v>
                </c:pt>
                <c:pt idx="703">
                  <c:v>7.5355279359999999E-3</c:v>
                </c:pt>
                <c:pt idx="704">
                  <c:v>7.5353976360000002E-3</c:v>
                </c:pt>
                <c:pt idx="705">
                  <c:v>7.5352677059999998E-3</c:v>
                </c:pt>
                <c:pt idx="706">
                  <c:v>7.5351381439999997E-3</c:v>
                </c:pt>
                <c:pt idx="707">
                  <c:v>7.5350089490000003E-3</c:v>
                </c:pt>
                <c:pt idx="708">
                  <c:v>7.5348801189999998E-3</c:v>
                </c:pt>
                <c:pt idx="709">
                  <c:v>7.5347516520000001E-3</c:v>
                </c:pt>
                <c:pt idx="710">
                  <c:v>7.5346235469999998E-3</c:v>
                </c:pt>
                <c:pt idx="711">
                  <c:v>7.5344958019999998E-3</c:v>
                </c:pt>
                <c:pt idx="712">
                  <c:v>7.5343684170000001E-3</c:v>
                </c:pt>
                <c:pt idx="713">
                  <c:v>7.5342413879999999E-3</c:v>
                </c:pt>
                <c:pt idx="714">
                  <c:v>7.5341147160000004E-3</c:v>
                </c:pt>
                <c:pt idx="715">
                  <c:v>7.5339883980000003E-3</c:v>
                </c:pt>
                <c:pt idx="716">
                  <c:v>7.5338624319999997E-3</c:v>
                </c:pt>
                <c:pt idx="717">
                  <c:v>7.5337368180000003E-3</c:v>
                </c:pt>
                <c:pt idx="718">
                  <c:v>7.5336115540000003E-3</c:v>
                </c:pt>
                <c:pt idx="719">
                  <c:v>7.5334866390000003E-3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826688"/>
        <c:axId val="370430336"/>
      </c:lineChart>
      <c:catAx>
        <c:axId val="119826688"/>
        <c:scaling>
          <c:orientation val="minMax"/>
        </c:scaling>
        <c:delete val="0"/>
        <c:axPos val="b"/>
        <c:majorTickMark val="out"/>
        <c:minorTickMark val="none"/>
        <c:tickLblPos val="nextTo"/>
        <c:crossAx val="370430336"/>
        <c:crosses val="autoZero"/>
        <c:auto val="1"/>
        <c:lblAlgn val="ctr"/>
        <c:lblOffset val="100"/>
        <c:noMultiLvlLbl val="0"/>
      </c:catAx>
      <c:valAx>
        <c:axId val="3704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826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Output!$P$12:$P$731</c:f>
              <c:numCache>
                <c:formatCode>General</c:formatCode>
                <c:ptCount val="720"/>
                <c:pt idx="0">
                  <c:v>0.9999593834450895</c:v>
                </c:pt>
                <c:pt idx="1">
                  <c:v>0.99991725601407389</c:v>
                </c:pt>
                <c:pt idx="2">
                  <c:v>0.99987508176606454</c:v>
                </c:pt>
                <c:pt idx="3">
                  <c:v>0.99983361872326337</c:v>
                </c:pt>
                <c:pt idx="4">
                  <c:v>0.99979201827365538</c:v>
                </c:pt>
                <c:pt idx="5">
                  <c:v>0.9997500087469321</c:v>
                </c:pt>
                <c:pt idx="6">
                  <c:v>0.99970873797045301</c:v>
                </c:pt>
                <c:pt idx="7">
                  <c:v>0.99966663837885972</c:v>
                </c:pt>
                <c:pt idx="8">
                  <c:v>0.9996256929808649</c:v>
                </c:pt>
                <c:pt idx="9">
                  <c:v>0.99958371764981002</c:v>
                </c:pt>
                <c:pt idx="10">
                  <c:v>0.99954225076776249</c:v>
                </c:pt>
                <c:pt idx="11">
                  <c:v>0.99950052918466104</c:v>
                </c:pt>
                <c:pt idx="12">
                  <c:v>0.99945908983695353</c:v>
                </c:pt>
                <c:pt idx="13">
                  <c:v>0.99941767369025891</c:v>
                </c:pt>
                <c:pt idx="14">
                  <c:v>0.9993765924417265</c:v>
                </c:pt>
                <c:pt idx="15">
                  <c:v>0.9993350720078521</c:v>
                </c:pt>
                <c:pt idx="16">
                  <c:v>0.99929395780969388</c:v>
                </c:pt>
                <c:pt idx="17">
                  <c:v>0.9992524042216796</c:v>
                </c:pt>
                <c:pt idx="18">
                  <c:v>0.99921082974792819</c:v>
                </c:pt>
                <c:pt idx="19">
                  <c:v>0.99917030193613698</c:v>
                </c:pt>
                <c:pt idx="20">
                  <c:v>0.99912847441923658</c:v>
                </c:pt>
                <c:pt idx="21">
                  <c:v>0.99908763548916202</c:v>
                </c:pt>
                <c:pt idx="22">
                  <c:v>0.99904619354453161</c:v>
                </c:pt>
                <c:pt idx="23">
                  <c:v>0.99900508436565416</c:v>
                </c:pt>
                <c:pt idx="24">
                  <c:v>0.99896340672424777</c:v>
                </c:pt>
                <c:pt idx="25">
                  <c:v>0.99892234462517626</c:v>
                </c:pt>
                <c:pt idx="26">
                  <c:v>0.99888143561620901</c:v>
                </c:pt>
                <c:pt idx="27">
                  <c:v>0.99883988432112614</c:v>
                </c:pt>
                <c:pt idx="28">
                  <c:v>0.99879910810129213</c:v>
                </c:pt>
                <c:pt idx="29">
                  <c:v>0.99875813002138325</c:v>
                </c:pt>
                <c:pt idx="30">
                  <c:v>0.99871645240430085</c:v>
                </c:pt>
                <c:pt idx="31">
                  <c:v>0.99867552716679375</c:v>
                </c:pt>
                <c:pt idx="32">
                  <c:v>0.99863435272369394</c:v>
                </c:pt>
                <c:pt idx="33">
                  <c:v>0.99859318467350355</c:v>
                </c:pt>
                <c:pt idx="34">
                  <c:v>0.99855235618815552</c:v>
                </c:pt>
                <c:pt idx="35">
                  <c:v>0.99851059371005957</c:v>
                </c:pt>
                <c:pt idx="36">
                  <c:v>0.99846997248147784</c:v>
                </c:pt>
                <c:pt idx="37">
                  <c:v>0.99842906284512101</c:v>
                </c:pt>
                <c:pt idx="38">
                  <c:v>0.99838791287297579</c:v>
                </c:pt>
                <c:pt idx="39">
                  <c:v>0.9983464037840345</c:v>
                </c:pt>
                <c:pt idx="40">
                  <c:v>0.99830598733037623</c:v>
                </c:pt>
                <c:pt idx="41">
                  <c:v>0.99826544833899344</c:v>
                </c:pt>
                <c:pt idx="42">
                  <c:v>0.99822521246852713</c:v>
                </c:pt>
                <c:pt idx="43">
                  <c:v>0.99818430921695134</c:v>
                </c:pt>
                <c:pt idx="44">
                  <c:v>0.99814387343708799</c:v>
                </c:pt>
                <c:pt idx="45">
                  <c:v>0.99810324707525322</c:v>
                </c:pt>
                <c:pt idx="46">
                  <c:v>0.99806252381874494</c:v>
                </c:pt>
                <c:pt idx="47">
                  <c:v>0.99802186544744165</c:v>
                </c:pt>
                <c:pt idx="48">
                  <c:v>0.99798113175008973</c:v>
                </c:pt>
                <c:pt idx="49">
                  <c:v>0.99794053837469265</c:v>
                </c:pt>
                <c:pt idx="50">
                  <c:v>0.99789979186102329</c:v>
                </c:pt>
                <c:pt idx="51">
                  <c:v>0.99785916507121497</c:v>
                </c:pt>
                <c:pt idx="52">
                  <c:v>0.99781779664815728</c:v>
                </c:pt>
                <c:pt idx="53">
                  <c:v>0.99777730381317031</c:v>
                </c:pt>
                <c:pt idx="54">
                  <c:v>0.9977365609896951</c:v>
                </c:pt>
                <c:pt idx="55">
                  <c:v>0.99769573230585895</c:v>
                </c:pt>
                <c:pt idx="56">
                  <c:v>0.99765514227819307</c:v>
                </c:pt>
                <c:pt idx="57">
                  <c:v>0.99761498534963722</c:v>
                </c:pt>
                <c:pt idx="58">
                  <c:v>0.99757500003005906</c:v>
                </c:pt>
                <c:pt idx="59">
                  <c:v>0.99753581128947422</c:v>
                </c:pt>
                <c:pt idx="60">
                  <c:v>0.9974964350813611</c:v>
                </c:pt>
                <c:pt idx="61">
                  <c:v>0.99745745628624782</c:v>
                </c:pt>
                <c:pt idx="62">
                  <c:v>0.99741887139301133</c:v>
                </c:pt>
                <c:pt idx="63">
                  <c:v>0.99738021332528948</c:v>
                </c:pt>
                <c:pt idx="64">
                  <c:v>0.99734164330342323</c:v>
                </c:pt>
                <c:pt idx="65">
                  <c:v>0.99730246429391733</c:v>
                </c:pt>
                <c:pt idx="66">
                  <c:v>0.99726286739022463</c:v>
                </c:pt>
                <c:pt idx="67">
                  <c:v>0.99722283137383361</c:v>
                </c:pt>
                <c:pt idx="68">
                  <c:v>0.99718207290938488</c:v>
                </c:pt>
                <c:pt idx="69">
                  <c:v>0.99714053524268909</c:v>
                </c:pt>
                <c:pt idx="70">
                  <c:v>0.99709727953537286</c:v>
                </c:pt>
                <c:pt idx="71">
                  <c:v>0.99705249790146744</c:v>
                </c:pt>
                <c:pt idx="72">
                  <c:v>0.99700588266352175</c:v>
                </c:pt>
                <c:pt idx="73">
                  <c:v>0.99695862705136895</c:v>
                </c:pt>
                <c:pt idx="74">
                  <c:v>0.99691047333566274</c:v>
                </c:pt>
                <c:pt idx="75">
                  <c:v>0.99686295562500105</c:v>
                </c:pt>
                <c:pt idx="76">
                  <c:v>0.99681609364552526</c:v>
                </c:pt>
                <c:pt idx="77">
                  <c:v>0.99677057262455193</c:v>
                </c:pt>
                <c:pt idx="78">
                  <c:v>0.99672654650754078</c:v>
                </c:pt>
                <c:pt idx="79">
                  <c:v>0.99668566607902764</c:v>
                </c:pt>
                <c:pt idx="80">
                  <c:v>0.99664768112979663</c:v>
                </c:pt>
                <c:pt idx="81">
                  <c:v>0.99661406921555651</c:v>
                </c:pt>
                <c:pt idx="82">
                  <c:v>0.99658629648010533</c:v>
                </c:pt>
                <c:pt idx="83">
                  <c:v>0.9965639334911337</c:v>
                </c:pt>
                <c:pt idx="84">
                  <c:v>0.99654725909889419</c:v>
                </c:pt>
                <c:pt idx="85">
                  <c:v>0.99653134383989461</c:v>
                </c:pt>
                <c:pt idx="86">
                  <c:v>0.99650912080529053</c:v>
                </c:pt>
                <c:pt idx="87">
                  <c:v>0.99647279691035173</c:v>
                </c:pt>
                <c:pt idx="88">
                  <c:v>0.99641697630101222</c:v>
                </c:pt>
                <c:pt idx="89">
                  <c:v>0.99633351636577683</c:v>
                </c:pt>
                <c:pt idx="90">
                  <c:v>0.99621412887666516</c:v>
                </c:pt>
                <c:pt idx="91">
                  <c:v>0.99605108098269013</c:v>
                </c:pt>
                <c:pt idx="92">
                  <c:v>0.99583546991020122</c:v>
                </c:pt>
                <c:pt idx="93">
                  <c:v>0.99555917263569038</c:v>
                </c:pt>
                <c:pt idx="94">
                  <c:v>0.99521264140615207</c:v>
                </c:pt>
                <c:pt idx="95">
                  <c:v>0.99478704047616562</c:v>
                </c:pt>
                <c:pt idx="96">
                  <c:v>0.99427574097985594</c:v>
                </c:pt>
                <c:pt idx="97">
                  <c:v>0.99368249905044093</c:v>
                </c:pt>
                <c:pt idx="98">
                  <c:v>0.99301479277915172</c:v>
                </c:pt>
                <c:pt idx="99">
                  <c:v>0.99227949965858864</c:v>
                </c:pt>
                <c:pt idx="100">
                  <c:v>0.99148429979411634</c:v>
                </c:pt>
                <c:pt idx="101">
                  <c:v>0.99063762174843972</c:v>
                </c:pt>
                <c:pt idx="102">
                  <c:v>0.98974713084926735</c:v>
                </c:pt>
                <c:pt idx="103">
                  <c:v>0.98882281650639015</c:v>
                </c:pt>
                <c:pt idx="104">
                  <c:v>0.9878728054028173</c:v>
                </c:pt>
                <c:pt idx="105">
                  <c:v>0.98690805534986992</c:v>
                </c:pt>
                <c:pt idx="106">
                  <c:v>0.98593847074581376</c:v>
                </c:pt>
                <c:pt idx="107">
                  <c:v>0.98497461073411641</c:v>
                </c:pt>
                <c:pt idx="108">
                  <c:v>0.98402466479491069</c:v>
                </c:pt>
                <c:pt idx="109">
                  <c:v>0.98309067767846836</c:v>
                </c:pt>
                <c:pt idx="110">
                  <c:v>0.98217219365917485</c:v>
                </c:pt>
                <c:pt idx="111">
                  <c:v>0.98126692182374242</c:v>
                </c:pt>
                <c:pt idx="112">
                  <c:v>0.98037514530772862</c:v>
                </c:pt>
                <c:pt idx="113">
                  <c:v>0.97949476862067131</c:v>
                </c:pt>
                <c:pt idx="114">
                  <c:v>0.97862683920183458</c:v>
                </c:pt>
                <c:pt idx="115">
                  <c:v>0.97776764822663897</c:v>
                </c:pt>
                <c:pt idx="116">
                  <c:v>0.97691793985723707</c:v>
                </c:pt>
                <c:pt idx="117">
                  <c:v>0.97607691513675432</c:v>
                </c:pt>
                <c:pt idx="118">
                  <c:v>0.97524333359299487</c:v>
                </c:pt>
                <c:pt idx="119">
                  <c:v>0.97441600953275098</c:v>
                </c:pt>
                <c:pt idx="120">
                  <c:v>0.97359235644653064</c:v>
                </c:pt>
                <c:pt idx="121">
                  <c:v>0.97277209388294783</c:v>
                </c:pt>
                <c:pt idx="122">
                  <c:v>0.97195348244976976</c:v>
                </c:pt>
                <c:pt idx="123">
                  <c:v>0.97113422313831055</c:v>
                </c:pt>
                <c:pt idx="124">
                  <c:v>0.97031235543655692</c:v>
                </c:pt>
                <c:pt idx="125">
                  <c:v>0.96948626604664334</c:v>
                </c:pt>
                <c:pt idx="126">
                  <c:v>0.96865355847667189</c:v>
                </c:pt>
                <c:pt idx="127">
                  <c:v>0.9678121684043357</c:v>
                </c:pt>
                <c:pt idx="128">
                  <c:v>0.96696049651523075</c:v>
                </c:pt>
                <c:pt idx="129">
                  <c:v>0.9660952807309241</c:v>
                </c:pt>
                <c:pt idx="130">
                  <c:v>0.96521413933779954</c:v>
                </c:pt>
                <c:pt idx="131">
                  <c:v>0.96431534076270931</c:v>
                </c:pt>
                <c:pt idx="132">
                  <c:v>0.96339690494281982</c:v>
                </c:pt>
                <c:pt idx="133">
                  <c:v>0.96246139481075987</c:v>
                </c:pt>
                <c:pt idx="134">
                  <c:v>0.96151256580541922</c:v>
                </c:pt>
                <c:pt idx="135">
                  <c:v>0.96055356796444391</c:v>
                </c:pt>
                <c:pt idx="136">
                  <c:v>0.95958784669718522</c:v>
                </c:pt>
                <c:pt idx="137">
                  <c:v>0.95861861375309276</c:v>
                </c:pt>
                <c:pt idx="138">
                  <c:v>0.95765008870303803</c:v>
                </c:pt>
                <c:pt idx="139">
                  <c:v>0.95668642764388456</c:v>
                </c:pt>
                <c:pt idx="140">
                  <c:v>0.95573116129316171</c:v>
                </c:pt>
                <c:pt idx="141">
                  <c:v>0.95478695336984798</c:v>
                </c:pt>
                <c:pt idx="142">
                  <c:v>0.95385842527973874</c:v>
                </c:pt>
                <c:pt idx="143">
                  <c:v>0.95295012650857358</c:v>
                </c:pt>
                <c:pt idx="144">
                  <c:v>0.95206466995637329</c:v>
                </c:pt>
                <c:pt idx="145">
                  <c:v>0.95120054901306217</c:v>
                </c:pt>
                <c:pt idx="146">
                  <c:v>0.95035571712531097</c:v>
                </c:pt>
                <c:pt idx="147">
                  <c:v>0.94952728337809988</c:v>
                </c:pt>
                <c:pt idx="148">
                  <c:v>0.94871198501500176</c:v>
                </c:pt>
                <c:pt idx="149">
                  <c:v>0.94790751837141152</c:v>
                </c:pt>
                <c:pt idx="150">
                  <c:v>0.94711091115135759</c:v>
                </c:pt>
                <c:pt idx="151">
                  <c:v>0.9463182787806812</c:v>
                </c:pt>
                <c:pt idx="152">
                  <c:v>0.94552668256637118</c:v>
                </c:pt>
                <c:pt idx="153">
                  <c:v>0.94473254498349135</c:v>
                </c:pt>
                <c:pt idx="154">
                  <c:v>0.94393231261710631</c:v>
                </c:pt>
                <c:pt idx="155">
                  <c:v>0.94312210283088749</c:v>
                </c:pt>
                <c:pt idx="156">
                  <c:v>0.94229990111576101</c:v>
                </c:pt>
                <c:pt idx="157">
                  <c:v>0.9414648492799621</c:v>
                </c:pt>
                <c:pt idx="158">
                  <c:v>0.94061718434186858</c:v>
                </c:pt>
                <c:pt idx="159">
                  <c:v>0.93975744314073073</c:v>
                </c:pt>
                <c:pt idx="160">
                  <c:v>0.93888494412154366</c:v>
                </c:pt>
                <c:pt idx="161">
                  <c:v>0.9380001438655774</c:v>
                </c:pt>
                <c:pt idx="162">
                  <c:v>0.93710315550849599</c:v>
                </c:pt>
                <c:pt idx="163">
                  <c:v>0.9361933511210706</c:v>
                </c:pt>
                <c:pt idx="164">
                  <c:v>0.93527104838580966</c:v>
                </c:pt>
                <c:pt idx="165">
                  <c:v>0.93433560830389084</c:v>
                </c:pt>
                <c:pt idx="166">
                  <c:v>0.93338803557750516</c:v>
                </c:pt>
                <c:pt idx="167">
                  <c:v>0.93242776774500669</c:v>
                </c:pt>
                <c:pt idx="168">
                  <c:v>0.93145477639467067</c:v>
                </c:pt>
                <c:pt idx="169">
                  <c:v>0.93047242350184234</c:v>
                </c:pt>
                <c:pt idx="170">
                  <c:v>0.92948418415215017</c:v>
                </c:pt>
                <c:pt idx="171">
                  <c:v>0.92849276744603082</c:v>
                </c:pt>
                <c:pt idx="172">
                  <c:v>0.92750215561869553</c:v>
                </c:pt>
                <c:pt idx="173">
                  <c:v>0.92651480493309968</c:v>
                </c:pt>
                <c:pt idx="174">
                  <c:v>0.92553486352830849</c:v>
                </c:pt>
                <c:pt idx="175">
                  <c:v>0.92456523771668297</c:v>
                </c:pt>
                <c:pt idx="176">
                  <c:v>0.923608738206802</c:v>
                </c:pt>
                <c:pt idx="177">
                  <c:v>0.92267117684389588</c:v>
                </c:pt>
                <c:pt idx="178">
                  <c:v>0.92175497860821498</c:v>
                </c:pt>
                <c:pt idx="179">
                  <c:v>0.92086391981240812</c:v>
                </c:pt>
                <c:pt idx="180">
                  <c:v>0.92000051128283877</c:v>
                </c:pt>
                <c:pt idx="181">
                  <c:v>0.91916449610347462</c:v>
                </c:pt>
                <c:pt idx="182">
                  <c:v>0.9183515777960547</c:v>
                </c:pt>
                <c:pt idx="183">
                  <c:v>0.91755777721008724</c:v>
                </c:pt>
                <c:pt idx="184">
                  <c:v>0.9167802755548855</c:v>
                </c:pt>
                <c:pt idx="185">
                  <c:v>0.91601657786860446</c:v>
                </c:pt>
                <c:pt idx="186">
                  <c:v>0.91526293514949641</c:v>
                </c:pt>
                <c:pt idx="187">
                  <c:v>0.91451576401182233</c:v>
                </c:pt>
                <c:pt idx="188">
                  <c:v>0.91377186382450959</c:v>
                </c:pt>
                <c:pt idx="189">
                  <c:v>0.91302730143055244</c:v>
                </c:pt>
                <c:pt idx="190">
                  <c:v>0.91227749890612331</c:v>
                </c:pt>
                <c:pt idx="191">
                  <c:v>0.91151927600652805</c:v>
                </c:pt>
                <c:pt idx="192">
                  <c:v>0.9107499552104521</c:v>
                </c:pt>
                <c:pt idx="193">
                  <c:v>0.90996962573937712</c:v>
                </c:pt>
                <c:pt idx="194">
                  <c:v>0.90917924573140274</c:v>
                </c:pt>
                <c:pt idx="195">
                  <c:v>0.90837850959416699</c:v>
                </c:pt>
                <c:pt idx="196">
                  <c:v>0.90756916447448888</c:v>
                </c:pt>
                <c:pt idx="197">
                  <c:v>0.90675088171242779</c:v>
                </c:pt>
                <c:pt idx="198">
                  <c:v>0.90592521103181345</c:v>
                </c:pt>
                <c:pt idx="199">
                  <c:v>0.90509184935883813</c:v>
                </c:pt>
                <c:pt idx="200">
                  <c:v>0.90425285118577525</c:v>
                </c:pt>
                <c:pt idx="201">
                  <c:v>0.90340915910387942</c:v>
                </c:pt>
                <c:pt idx="202">
                  <c:v>0.90256190523434032</c:v>
                </c:pt>
                <c:pt idx="203">
                  <c:v>0.90171150201718564</c:v>
                </c:pt>
                <c:pt idx="204">
                  <c:v>0.90086015936387365</c:v>
                </c:pt>
                <c:pt idx="205">
                  <c:v>0.90000808463464088</c:v>
                </c:pt>
                <c:pt idx="206">
                  <c:v>0.89915412701393449</c:v>
                </c:pt>
                <c:pt idx="207">
                  <c:v>0.89829869273259377</c:v>
                </c:pt>
                <c:pt idx="208">
                  <c:v>0.8974413538000886</c:v>
                </c:pt>
                <c:pt idx="209">
                  <c:v>0.89658274517593117</c:v>
                </c:pt>
                <c:pt idx="210">
                  <c:v>0.89572394466699845</c:v>
                </c:pt>
                <c:pt idx="211">
                  <c:v>0.8948643709461529</c:v>
                </c:pt>
                <c:pt idx="212">
                  <c:v>0.8940030874308792</c:v>
                </c:pt>
                <c:pt idx="213">
                  <c:v>0.89314064896876122</c:v>
                </c:pt>
                <c:pt idx="214">
                  <c:v>0.89227633901586145</c:v>
                </c:pt>
                <c:pt idx="215">
                  <c:v>0.89141181093437727</c:v>
                </c:pt>
                <c:pt idx="216">
                  <c:v>0.89054398803134005</c:v>
                </c:pt>
                <c:pt idx="217">
                  <c:v>0.88967434248853472</c:v>
                </c:pt>
                <c:pt idx="218">
                  <c:v>0.88880154203503525</c:v>
                </c:pt>
                <c:pt idx="219">
                  <c:v>0.8879257746945538</c:v>
                </c:pt>
                <c:pt idx="220">
                  <c:v>0.88704675252374254</c:v>
                </c:pt>
                <c:pt idx="221">
                  <c:v>0.88616226944391308</c:v>
                </c:pt>
                <c:pt idx="222">
                  <c:v>0.88527295249944704</c:v>
                </c:pt>
                <c:pt idx="223">
                  <c:v>0.88437618974682386</c:v>
                </c:pt>
                <c:pt idx="224">
                  <c:v>0.88347076213441333</c:v>
                </c:pt>
                <c:pt idx="225">
                  <c:v>0.88255713402645253</c:v>
                </c:pt>
                <c:pt idx="226">
                  <c:v>0.88163385621349988</c:v>
                </c:pt>
                <c:pt idx="227">
                  <c:v>0.88069956823136319</c:v>
                </c:pt>
                <c:pt idx="228">
                  <c:v>0.87975380857322161</c:v>
                </c:pt>
                <c:pt idx="229">
                  <c:v>0.87879951992557592</c:v>
                </c:pt>
                <c:pt idx="230">
                  <c:v>0.87784090301680695</c:v>
                </c:pt>
                <c:pt idx="231">
                  <c:v>0.87688098567677675</c:v>
                </c:pt>
                <c:pt idx="232">
                  <c:v>0.87592360414332326</c:v>
                </c:pt>
                <c:pt idx="233">
                  <c:v>0.87497343949311868</c:v>
                </c:pt>
                <c:pt idx="234">
                  <c:v>0.8740337986622787</c:v>
                </c:pt>
                <c:pt idx="235">
                  <c:v>0.87310869470003327</c:v>
                </c:pt>
                <c:pt idx="236">
                  <c:v>0.87220332242685628</c:v>
                </c:pt>
                <c:pt idx="237">
                  <c:v>0.87132055480750292</c:v>
                </c:pt>
                <c:pt idx="238">
                  <c:v>0.87046428911889417</c:v>
                </c:pt>
                <c:pt idx="239">
                  <c:v>0.86963905330780011</c:v>
                </c:pt>
                <c:pt idx="240">
                  <c:v>0.86884598275558411</c:v>
                </c:pt>
                <c:pt idx="241">
                  <c:v>0.86808291882605193</c:v>
                </c:pt>
                <c:pt idx="242">
                  <c:v>0.86734832376071502</c:v>
                </c:pt>
                <c:pt idx="243">
                  <c:v>0.8666374753902869</c:v>
                </c:pt>
                <c:pt idx="244">
                  <c:v>0.86594631408149281</c:v>
                </c:pt>
                <c:pt idx="245">
                  <c:v>0.8652718534669771</c:v>
                </c:pt>
                <c:pt idx="246">
                  <c:v>0.86460951908391004</c:v>
                </c:pt>
                <c:pt idx="247">
                  <c:v>0.86395618408537989</c:v>
                </c:pt>
                <c:pt idx="248">
                  <c:v>0.86330843590814732</c:v>
                </c:pt>
                <c:pt idx="249">
                  <c:v>0.86266492161821806</c:v>
                </c:pt>
                <c:pt idx="250">
                  <c:v>0.8620196982742292</c:v>
                </c:pt>
                <c:pt idx="251">
                  <c:v>0.86136736668670388</c:v>
                </c:pt>
                <c:pt idx="252">
                  <c:v>0.86070618596682913</c:v>
                </c:pt>
                <c:pt idx="253">
                  <c:v>0.86003501551859685</c:v>
                </c:pt>
                <c:pt idx="254">
                  <c:v>0.85935517277602447</c:v>
                </c:pt>
                <c:pt idx="255">
                  <c:v>0.85866770254457547</c:v>
                </c:pt>
                <c:pt idx="256">
                  <c:v>0.85797370714060617</c:v>
                </c:pt>
                <c:pt idx="257">
                  <c:v>0.85727519654382811</c:v>
                </c:pt>
                <c:pt idx="258">
                  <c:v>0.85657136130308698</c:v>
                </c:pt>
                <c:pt idx="259">
                  <c:v>0.85586355135981174</c:v>
                </c:pt>
                <c:pt idx="260">
                  <c:v>0.85515236227912084</c:v>
                </c:pt>
                <c:pt idx="261">
                  <c:v>0.85443898900521542</c:v>
                </c:pt>
                <c:pt idx="262">
                  <c:v>0.85372369206108778</c:v>
                </c:pt>
                <c:pt idx="263">
                  <c:v>0.85300747341025152</c:v>
                </c:pt>
                <c:pt idx="264">
                  <c:v>0.85229305561972946</c:v>
                </c:pt>
                <c:pt idx="265">
                  <c:v>0.85157901661568003</c:v>
                </c:pt>
                <c:pt idx="266">
                  <c:v>0.85086642909577104</c:v>
                </c:pt>
                <c:pt idx="267">
                  <c:v>0.85015571332965278</c:v>
                </c:pt>
                <c:pt idx="268">
                  <c:v>0.84944587064342314</c:v>
                </c:pt>
                <c:pt idx="269">
                  <c:v>0.84873658897785587</c:v>
                </c:pt>
                <c:pt idx="270">
                  <c:v>0.84802740272543264</c:v>
                </c:pt>
                <c:pt idx="271">
                  <c:v>0.84732009528977925</c:v>
                </c:pt>
                <c:pt idx="272">
                  <c:v>0.84661394835902881</c:v>
                </c:pt>
                <c:pt idx="273">
                  <c:v>0.84590757516983039</c:v>
                </c:pt>
                <c:pt idx="274">
                  <c:v>0.84520053157463526</c:v>
                </c:pt>
                <c:pt idx="275">
                  <c:v>0.84449278586105225</c:v>
                </c:pt>
                <c:pt idx="276">
                  <c:v>0.8437861868719736</c:v>
                </c:pt>
                <c:pt idx="277">
                  <c:v>0.84307901666288843</c:v>
                </c:pt>
                <c:pt idx="278">
                  <c:v>0.84236881452959145</c:v>
                </c:pt>
                <c:pt idx="279">
                  <c:v>0.84165503034293454</c:v>
                </c:pt>
                <c:pt idx="280">
                  <c:v>0.84093834535035283</c:v>
                </c:pt>
                <c:pt idx="281">
                  <c:v>0.84021808059957737</c:v>
                </c:pt>
                <c:pt idx="282">
                  <c:v>0.83949371850295407</c:v>
                </c:pt>
                <c:pt idx="283">
                  <c:v>0.83876311249342594</c:v>
                </c:pt>
                <c:pt idx="284">
                  <c:v>0.83802573138220771</c:v>
                </c:pt>
                <c:pt idx="285">
                  <c:v>0.83728236405433576</c:v>
                </c:pt>
                <c:pt idx="286">
                  <c:v>0.83653029979260407</c:v>
                </c:pt>
                <c:pt idx="287">
                  <c:v>0.83576721228620321</c:v>
                </c:pt>
                <c:pt idx="288">
                  <c:v>0.83499726242368555</c:v>
                </c:pt>
                <c:pt idx="289">
                  <c:v>0.83422174051387321</c:v>
                </c:pt>
                <c:pt idx="290">
                  <c:v>0.83344336551740128</c:v>
                </c:pt>
                <c:pt idx="291">
                  <c:v>0.83266498202127481</c:v>
                </c:pt>
                <c:pt idx="292">
                  <c:v>0.83188953104449515</c:v>
                </c:pt>
                <c:pt idx="293">
                  <c:v>0.83112216420825102</c:v>
                </c:pt>
                <c:pt idx="294">
                  <c:v>0.83036598881139878</c:v>
                </c:pt>
                <c:pt idx="295">
                  <c:v>0.82962415449176452</c:v>
                </c:pt>
                <c:pt idx="296">
                  <c:v>0.82890286312450434</c:v>
                </c:pt>
                <c:pt idx="297">
                  <c:v>0.82820458390597251</c:v>
                </c:pt>
                <c:pt idx="298">
                  <c:v>0.82753096205522236</c:v>
                </c:pt>
                <c:pt idx="299">
                  <c:v>0.82688654808533812</c:v>
                </c:pt>
                <c:pt idx="300">
                  <c:v>0.82627585517041746</c:v>
                </c:pt>
                <c:pt idx="301">
                  <c:v>0.82569806830116155</c:v>
                </c:pt>
                <c:pt idx="302">
                  <c:v>0.82514721043161576</c:v>
                </c:pt>
                <c:pt idx="303">
                  <c:v>0.82462164530834203</c:v>
                </c:pt>
                <c:pt idx="304">
                  <c:v>0.82411672476541931</c:v>
                </c:pt>
                <c:pt idx="305">
                  <c:v>0.82362695397203922</c:v>
                </c:pt>
                <c:pt idx="306">
                  <c:v>0.82315173730875058</c:v>
                </c:pt>
                <c:pt idx="307">
                  <c:v>0.82268740368772564</c:v>
                </c:pt>
                <c:pt idx="308">
                  <c:v>0.82222977260473651</c:v>
                </c:pt>
                <c:pt idx="309">
                  <c:v>0.82177424824399714</c:v>
                </c:pt>
                <c:pt idx="310">
                  <c:v>0.82131650276177381</c:v>
                </c:pt>
                <c:pt idx="311">
                  <c:v>0.82085424181691047</c:v>
                </c:pt>
                <c:pt idx="312">
                  <c:v>0.82038404821283617</c:v>
                </c:pt>
                <c:pt idx="313">
                  <c:v>0.81990470106596425</c:v>
                </c:pt>
                <c:pt idx="314">
                  <c:v>0.81941897112884121</c:v>
                </c:pt>
                <c:pt idx="315">
                  <c:v>0.81892717909031931</c:v>
                </c:pt>
                <c:pt idx="316">
                  <c:v>0.81843105136574423</c:v>
                </c:pt>
                <c:pt idx="317">
                  <c:v>0.81793162908211114</c:v>
                </c:pt>
                <c:pt idx="318">
                  <c:v>0.81742958770911611</c:v>
                </c:pt>
                <c:pt idx="319">
                  <c:v>0.8169267681340765</c:v>
                </c:pt>
                <c:pt idx="320">
                  <c:v>0.81642128871958886</c:v>
                </c:pt>
                <c:pt idx="321">
                  <c:v>0.81591630118680969</c:v>
                </c:pt>
                <c:pt idx="322">
                  <c:v>0.81541360326230539</c:v>
                </c:pt>
                <c:pt idx="323">
                  <c:v>0.81491409491225153</c:v>
                </c:pt>
                <c:pt idx="324">
                  <c:v>0.81441707117922202</c:v>
                </c:pt>
                <c:pt idx="325">
                  <c:v>0.81392252453907998</c:v>
                </c:pt>
                <c:pt idx="326">
                  <c:v>0.81342938353628813</c:v>
                </c:pt>
                <c:pt idx="327">
                  <c:v>0.8129370338983658</c:v>
                </c:pt>
                <c:pt idx="328">
                  <c:v>0.81244503900426468</c:v>
                </c:pt>
                <c:pt idx="329">
                  <c:v>0.81195283795626361</c:v>
                </c:pt>
                <c:pt idx="330">
                  <c:v>0.81146259757813521</c:v>
                </c:pt>
                <c:pt idx="331">
                  <c:v>0.81097277746810259</c:v>
                </c:pt>
                <c:pt idx="332">
                  <c:v>0.81048433211039428</c:v>
                </c:pt>
                <c:pt idx="333">
                  <c:v>0.80999405504079691</c:v>
                </c:pt>
                <c:pt idx="334">
                  <c:v>0.8095041585633479</c:v>
                </c:pt>
                <c:pt idx="335">
                  <c:v>0.80901305944532942</c:v>
                </c:pt>
                <c:pt idx="336">
                  <c:v>0.80852271401002584</c:v>
                </c:pt>
                <c:pt idx="337">
                  <c:v>0.80803162377114224</c:v>
                </c:pt>
                <c:pt idx="338">
                  <c:v>0.80753735234512702</c:v>
                </c:pt>
                <c:pt idx="339">
                  <c:v>0.8070430954140948</c:v>
                </c:pt>
                <c:pt idx="340">
                  <c:v>0.80654941495434651</c:v>
                </c:pt>
                <c:pt idx="341">
                  <c:v>0.80605380030231677</c:v>
                </c:pt>
                <c:pt idx="342">
                  <c:v>0.80555792200181664</c:v>
                </c:pt>
                <c:pt idx="343">
                  <c:v>0.80506456494877132</c:v>
                </c:pt>
                <c:pt idx="344">
                  <c:v>0.80457109682240779</c:v>
                </c:pt>
                <c:pt idx="345">
                  <c:v>0.8040791940253198</c:v>
                </c:pt>
                <c:pt idx="346">
                  <c:v>0.80358914440949947</c:v>
                </c:pt>
                <c:pt idx="347">
                  <c:v>0.80309862201698445</c:v>
                </c:pt>
                <c:pt idx="348">
                  <c:v>0.80261096259628095</c:v>
                </c:pt>
                <c:pt idx="349">
                  <c:v>0.80212279140406417</c:v>
                </c:pt>
                <c:pt idx="350">
                  <c:v>0.80163408293623817</c:v>
                </c:pt>
                <c:pt idx="351">
                  <c:v>0.80114505895519761</c:v>
                </c:pt>
                <c:pt idx="352">
                  <c:v>0.80065501385584137</c:v>
                </c:pt>
                <c:pt idx="353">
                  <c:v>0.80016508741231029</c:v>
                </c:pt>
                <c:pt idx="354">
                  <c:v>0.79967545938113316</c:v>
                </c:pt>
                <c:pt idx="355">
                  <c:v>0.79918539141358347</c:v>
                </c:pt>
                <c:pt idx="356">
                  <c:v>0.79869616808665478</c:v>
                </c:pt>
                <c:pt idx="357">
                  <c:v>0.79820904136167159</c:v>
                </c:pt>
                <c:pt idx="358">
                  <c:v>0.79772134058930733</c:v>
                </c:pt>
                <c:pt idx="359">
                  <c:v>0.79723471976956639</c:v>
                </c:pt>
                <c:pt idx="360">
                  <c:v>0.79674765602262654</c:v>
                </c:pt>
                <c:pt idx="361">
                  <c:v>0.79626079895951773</c:v>
                </c:pt>
                <c:pt idx="362">
                  <c:v>0.79577311315471477</c:v>
                </c:pt>
                <c:pt idx="363">
                  <c:v>0.79528421226755985</c:v>
                </c:pt>
                <c:pt idx="364">
                  <c:v>0.79479319823016403</c:v>
                </c:pt>
                <c:pt idx="365">
                  <c:v>0.79430344952561127</c:v>
                </c:pt>
                <c:pt idx="366">
                  <c:v>0.79381351227283703</c:v>
                </c:pt>
                <c:pt idx="367">
                  <c:v>0.79332215355766567</c:v>
                </c:pt>
                <c:pt idx="368">
                  <c:v>0.79283120550009756</c:v>
                </c:pt>
                <c:pt idx="369">
                  <c:v>0.79233786083252611</c:v>
                </c:pt>
                <c:pt idx="370">
                  <c:v>0.7918438879905213</c:v>
                </c:pt>
                <c:pt idx="371">
                  <c:v>0.79134913358614112</c:v>
                </c:pt>
                <c:pt idx="372">
                  <c:v>0.79085430426392012</c:v>
                </c:pt>
                <c:pt idx="373">
                  <c:v>0.79036037265370673</c:v>
                </c:pt>
                <c:pt idx="374">
                  <c:v>0.78986724959367027</c:v>
                </c:pt>
                <c:pt idx="375">
                  <c:v>0.78937413465182316</c:v>
                </c:pt>
                <c:pt idx="376">
                  <c:v>0.7888820469442589</c:v>
                </c:pt>
                <c:pt idx="377">
                  <c:v>0.78839186779482862</c:v>
                </c:pt>
                <c:pt idx="378">
                  <c:v>0.78790284243504827</c:v>
                </c:pt>
                <c:pt idx="379">
                  <c:v>0.78741364571201966</c:v>
                </c:pt>
                <c:pt idx="380">
                  <c:v>0.78692452179539674</c:v>
                </c:pt>
                <c:pt idx="381">
                  <c:v>0.78643438841793478</c:v>
                </c:pt>
                <c:pt idx="382">
                  <c:v>0.78594332697398184</c:v>
                </c:pt>
                <c:pt idx="383">
                  <c:v>0.78545224835969929</c:v>
                </c:pt>
                <c:pt idx="384">
                  <c:v>0.78496124554310853</c:v>
                </c:pt>
                <c:pt idx="385">
                  <c:v>0.7844707842409756</c:v>
                </c:pt>
                <c:pt idx="386">
                  <c:v>0.78398160812109441</c:v>
                </c:pt>
                <c:pt idx="387">
                  <c:v>0.7834940347721967</c:v>
                </c:pt>
                <c:pt idx="388">
                  <c:v>0.78300378226105594</c:v>
                </c:pt>
                <c:pt idx="389">
                  <c:v>0.78251217059080269</c:v>
                </c:pt>
                <c:pt idx="390">
                  <c:v>0.78202376984595989</c:v>
                </c:pt>
                <c:pt idx="391">
                  <c:v>0.78153613752667817</c:v>
                </c:pt>
                <c:pt idx="392">
                  <c:v>0.7810495252589984</c:v>
                </c:pt>
                <c:pt idx="393">
                  <c:v>0.78056308930506213</c:v>
                </c:pt>
                <c:pt idx="394">
                  <c:v>0.7800758142100952</c:v>
                </c:pt>
                <c:pt idx="395">
                  <c:v>0.77959044984579218</c:v>
                </c:pt>
                <c:pt idx="396">
                  <c:v>0.77910400411776359</c:v>
                </c:pt>
                <c:pt idx="397">
                  <c:v>0.77861857988629768</c:v>
                </c:pt>
                <c:pt idx="398">
                  <c:v>0.7781340868538531</c:v>
                </c:pt>
                <c:pt idx="399">
                  <c:v>0.77764895299995673</c:v>
                </c:pt>
                <c:pt idx="400">
                  <c:v>0.77716199425247401</c:v>
                </c:pt>
                <c:pt idx="401">
                  <c:v>0.77667667158057474</c:v>
                </c:pt>
                <c:pt idx="402">
                  <c:v>0.77619272102829551</c:v>
                </c:pt>
                <c:pt idx="403">
                  <c:v>0.77571047559831519</c:v>
                </c:pt>
                <c:pt idx="404">
                  <c:v>0.77522693602004267</c:v>
                </c:pt>
                <c:pt idx="405">
                  <c:v>0.77474353022909026</c:v>
                </c:pt>
                <c:pt idx="406">
                  <c:v>0.77426079079495846</c:v>
                </c:pt>
                <c:pt idx="407">
                  <c:v>0.77378018286140526</c:v>
                </c:pt>
                <c:pt idx="408">
                  <c:v>0.77329944306262832</c:v>
                </c:pt>
                <c:pt idx="409">
                  <c:v>0.77281949622911894</c:v>
                </c:pt>
                <c:pt idx="410">
                  <c:v>0.77234075391399881</c:v>
                </c:pt>
                <c:pt idx="411">
                  <c:v>0.77186119830051092</c:v>
                </c:pt>
                <c:pt idx="412">
                  <c:v>0.77138002786058024</c:v>
                </c:pt>
                <c:pt idx="413">
                  <c:v>0.77090054016111476</c:v>
                </c:pt>
                <c:pt idx="414">
                  <c:v>0.77042153876056974</c:v>
                </c:pt>
                <c:pt idx="415">
                  <c:v>0.76994339745542084</c:v>
                </c:pt>
                <c:pt idx="416">
                  <c:v>0.76946699225198256</c:v>
                </c:pt>
                <c:pt idx="417">
                  <c:v>0.7689930072910488</c:v>
                </c:pt>
                <c:pt idx="418">
                  <c:v>0.76851852370111484</c:v>
                </c:pt>
                <c:pt idx="419">
                  <c:v>0.76804482371101535</c:v>
                </c:pt>
                <c:pt idx="420">
                  <c:v>0.76757206281966905</c:v>
                </c:pt>
                <c:pt idx="421">
                  <c:v>0.76710119566729595</c:v>
                </c:pt>
                <c:pt idx="422">
                  <c:v>0.76662884736027803</c:v>
                </c:pt>
                <c:pt idx="423">
                  <c:v>0.76615748690989116</c:v>
                </c:pt>
                <c:pt idx="424">
                  <c:v>0.76569038136103607</c:v>
                </c:pt>
                <c:pt idx="425">
                  <c:v>0.76522612283979907</c:v>
                </c:pt>
                <c:pt idx="426">
                  <c:v>0.76476174928299567</c:v>
                </c:pt>
                <c:pt idx="427">
                  <c:v>0.76429692301995189</c:v>
                </c:pt>
                <c:pt idx="428">
                  <c:v>0.76383771871893746</c:v>
                </c:pt>
                <c:pt idx="429">
                  <c:v>0.76338023617988526</c:v>
                </c:pt>
                <c:pt idx="430">
                  <c:v>0.76292324039525494</c:v>
                </c:pt>
                <c:pt idx="431">
                  <c:v>0.76246695575338586</c:v>
                </c:pt>
                <c:pt idx="432">
                  <c:v>0.76201083118712687</c:v>
                </c:pt>
                <c:pt idx="433">
                  <c:v>0.7615548981016641</c:v>
                </c:pt>
                <c:pt idx="434">
                  <c:v>0.76110178896165326</c:v>
                </c:pt>
                <c:pt idx="435">
                  <c:v>0.7606471576916265</c:v>
                </c:pt>
                <c:pt idx="436">
                  <c:v>0.76019156455213066</c:v>
                </c:pt>
                <c:pt idx="437">
                  <c:v>0.7597345100035201</c:v>
                </c:pt>
                <c:pt idx="438">
                  <c:v>0.75927567738438373</c:v>
                </c:pt>
                <c:pt idx="439">
                  <c:v>0.75881860351908748</c:v>
                </c:pt>
                <c:pt idx="440">
                  <c:v>0.7583617787659499</c:v>
                </c:pt>
                <c:pt idx="441">
                  <c:v>0.75790506571421412</c:v>
                </c:pt>
                <c:pt idx="442">
                  <c:v>0.75744837155830524</c:v>
                </c:pt>
                <c:pt idx="443">
                  <c:v>0.75699276447087926</c:v>
                </c:pt>
                <c:pt idx="444">
                  <c:v>0.7565361894493805</c:v>
                </c:pt>
                <c:pt idx="445">
                  <c:v>0.75608198342726551</c:v>
                </c:pt>
                <c:pt idx="446">
                  <c:v>0.75563066059128425</c:v>
                </c:pt>
                <c:pt idx="447">
                  <c:v>0.7551809835673482</c:v>
                </c:pt>
                <c:pt idx="448">
                  <c:v>0.75473041723874168</c:v>
                </c:pt>
                <c:pt idx="449">
                  <c:v>0.7542802261086804</c:v>
                </c:pt>
                <c:pt idx="450">
                  <c:v>0.75383421829430941</c:v>
                </c:pt>
                <c:pt idx="451">
                  <c:v>0.75339111638620004</c:v>
                </c:pt>
                <c:pt idx="452">
                  <c:v>0.75294813910350022</c:v>
                </c:pt>
                <c:pt idx="453">
                  <c:v>0.75250724274189984</c:v>
                </c:pt>
                <c:pt idx="454">
                  <c:v>0.75206820435414057</c:v>
                </c:pt>
                <c:pt idx="455">
                  <c:v>0.75162736993281698</c:v>
                </c:pt>
                <c:pt idx="456">
                  <c:v>0.75118661010819177</c:v>
                </c:pt>
                <c:pt idx="457">
                  <c:v>0.75074501269298011</c:v>
                </c:pt>
                <c:pt idx="458">
                  <c:v>0.75030448325305388</c:v>
                </c:pt>
                <c:pt idx="459">
                  <c:v>0.74986459289020002</c:v>
                </c:pt>
                <c:pt idx="460">
                  <c:v>0.74942489273824231</c:v>
                </c:pt>
                <c:pt idx="461">
                  <c:v>0.74898620686043482</c:v>
                </c:pt>
                <c:pt idx="462">
                  <c:v>0.74854928759608086</c:v>
                </c:pt>
                <c:pt idx="463">
                  <c:v>0.74811654403691019</c:v>
                </c:pt>
                <c:pt idx="464">
                  <c:v>0.74768673813576725</c:v>
                </c:pt>
                <c:pt idx="465">
                  <c:v>0.74725900198684048</c:v>
                </c:pt>
                <c:pt idx="466">
                  <c:v>0.74683449377771705</c:v>
                </c:pt>
                <c:pt idx="467">
                  <c:v>0.74640980841571403</c:v>
                </c:pt>
                <c:pt idx="468">
                  <c:v>0.7459873312344133</c:v>
                </c:pt>
                <c:pt idx="469">
                  <c:v>0.74556461985437616</c:v>
                </c:pt>
                <c:pt idx="470">
                  <c:v>0.74513923241344404</c:v>
                </c:pt>
                <c:pt idx="471">
                  <c:v>0.74471102442099846</c:v>
                </c:pt>
                <c:pt idx="472">
                  <c:v>0.74428241974927778</c:v>
                </c:pt>
                <c:pt idx="473">
                  <c:v>0.74385407606670073</c:v>
                </c:pt>
                <c:pt idx="474">
                  <c:v>0.74342782495911797</c:v>
                </c:pt>
                <c:pt idx="475">
                  <c:v>0.74300185222885495</c:v>
                </c:pt>
                <c:pt idx="476">
                  <c:v>0.74257714610740366</c:v>
                </c:pt>
                <c:pt idx="477">
                  <c:v>0.74215263076563009</c:v>
                </c:pt>
                <c:pt idx="478">
                  <c:v>0.74172919479768917</c:v>
                </c:pt>
                <c:pt idx="479">
                  <c:v>0.74130446693685448</c:v>
                </c:pt>
                <c:pt idx="480">
                  <c:v>0.7408806876114945</c:v>
                </c:pt>
                <c:pt idx="481">
                  <c:v>0.74045422846537301</c:v>
                </c:pt>
                <c:pt idx="482">
                  <c:v>0.74002672404322056</c:v>
                </c:pt>
                <c:pt idx="483">
                  <c:v>0.73959891354962959</c:v>
                </c:pt>
                <c:pt idx="484">
                  <c:v>0.73917101383986472</c:v>
                </c:pt>
                <c:pt idx="485">
                  <c:v>0.73874340648325232</c:v>
                </c:pt>
                <c:pt idx="486">
                  <c:v>0.73831884740602571</c:v>
                </c:pt>
                <c:pt idx="487">
                  <c:v>0.73789555143044616</c:v>
                </c:pt>
                <c:pt idx="488">
                  <c:v>0.73747390696834281</c:v>
                </c:pt>
                <c:pt idx="489">
                  <c:v>0.73704896831438149</c:v>
                </c:pt>
                <c:pt idx="490">
                  <c:v>0.73662186292764464</c:v>
                </c:pt>
                <c:pt idx="491">
                  <c:v>0.73619483839895949</c:v>
                </c:pt>
                <c:pt idx="492">
                  <c:v>0.73576940849639427</c:v>
                </c:pt>
                <c:pt idx="493">
                  <c:v>0.73534499680204812</c:v>
                </c:pt>
                <c:pt idx="494">
                  <c:v>0.73492143173322966</c:v>
                </c:pt>
                <c:pt idx="495">
                  <c:v>0.73449807471769069</c:v>
                </c:pt>
                <c:pt idx="496">
                  <c:v>0.7340743537417167</c:v>
                </c:pt>
                <c:pt idx="497">
                  <c:v>0.7336528364987539</c:v>
                </c:pt>
                <c:pt idx="498">
                  <c:v>0.73323303132007622</c:v>
                </c:pt>
                <c:pt idx="499">
                  <c:v>0.73281359319400263</c:v>
                </c:pt>
                <c:pt idx="500">
                  <c:v>0.73239119035586597</c:v>
                </c:pt>
                <c:pt idx="501">
                  <c:v>0.73196970378872295</c:v>
                </c:pt>
                <c:pt idx="502">
                  <c:v>0.73154643056601176</c:v>
                </c:pt>
                <c:pt idx="503">
                  <c:v>0.73112363866717733</c:v>
                </c:pt>
                <c:pt idx="504">
                  <c:v>0.73069960588993321</c:v>
                </c:pt>
                <c:pt idx="505">
                  <c:v>0.73027567937749061</c:v>
                </c:pt>
                <c:pt idx="506">
                  <c:v>0.7298529294065802</c:v>
                </c:pt>
                <c:pt idx="507">
                  <c:v>0.72943016201301736</c:v>
                </c:pt>
                <c:pt idx="508">
                  <c:v>0.72901046184687346</c:v>
                </c:pt>
                <c:pt idx="509">
                  <c:v>0.72859349125745121</c:v>
                </c:pt>
                <c:pt idx="510">
                  <c:v>0.72817726080247436</c:v>
                </c:pt>
                <c:pt idx="511">
                  <c:v>0.72776098631613306</c:v>
                </c:pt>
                <c:pt idx="512">
                  <c:v>0.72734633766414258</c:v>
                </c:pt>
                <c:pt idx="513">
                  <c:v>0.72693286754451369</c:v>
                </c:pt>
                <c:pt idx="514">
                  <c:v>0.72651948059699334</c:v>
                </c:pt>
                <c:pt idx="515">
                  <c:v>0.72610177826464739</c:v>
                </c:pt>
                <c:pt idx="516">
                  <c:v>0.72568245518899976</c:v>
                </c:pt>
                <c:pt idx="517">
                  <c:v>0.72526463984653244</c:v>
                </c:pt>
                <c:pt idx="518">
                  <c:v>0.72484912952688185</c:v>
                </c:pt>
                <c:pt idx="519">
                  <c:v>0.72443628317263964</c:v>
                </c:pt>
                <c:pt idx="520">
                  <c:v>0.72402088889971528</c:v>
                </c:pt>
                <c:pt idx="521">
                  <c:v>0.72360747013824267</c:v>
                </c:pt>
                <c:pt idx="522">
                  <c:v>0.72319326915857984</c:v>
                </c:pt>
                <c:pt idx="523">
                  <c:v>0.72277693543592236</c:v>
                </c:pt>
                <c:pt idx="524">
                  <c:v>0.72236018747019182</c:v>
                </c:pt>
                <c:pt idx="525">
                  <c:v>0.72194071565374573</c:v>
                </c:pt>
                <c:pt idx="526">
                  <c:v>0.72151840106240461</c:v>
                </c:pt>
                <c:pt idx="527">
                  <c:v>0.72109462837826155</c:v>
                </c:pt>
                <c:pt idx="528">
                  <c:v>0.72066846363807691</c:v>
                </c:pt>
                <c:pt idx="529">
                  <c:v>0.72024104939354572</c:v>
                </c:pt>
                <c:pt idx="530">
                  <c:v>0.71981468061924458</c:v>
                </c:pt>
                <c:pt idx="531">
                  <c:v>0.71938956543283494</c:v>
                </c:pt>
                <c:pt idx="532">
                  <c:v>0.71896366388195942</c:v>
                </c:pt>
                <c:pt idx="533">
                  <c:v>0.71853726015704189</c:v>
                </c:pt>
                <c:pt idx="534">
                  <c:v>0.71811110087432173</c:v>
                </c:pt>
                <c:pt idx="535">
                  <c:v>0.71768584490752074</c:v>
                </c:pt>
                <c:pt idx="536">
                  <c:v>0.71726365463000286</c:v>
                </c:pt>
                <c:pt idx="537">
                  <c:v>0.71684235270769037</c:v>
                </c:pt>
                <c:pt idx="538">
                  <c:v>0.71642002955364492</c:v>
                </c:pt>
                <c:pt idx="539">
                  <c:v>0.7159993335516398</c:v>
                </c:pt>
                <c:pt idx="540">
                  <c:v>0.71557816404482322</c:v>
                </c:pt>
                <c:pt idx="541">
                  <c:v>0.71515582408948175</c:v>
                </c:pt>
                <c:pt idx="542">
                  <c:v>0.71473410073397103</c:v>
                </c:pt>
                <c:pt idx="543">
                  <c:v>0.71431495566012415</c:v>
                </c:pt>
                <c:pt idx="544">
                  <c:v>0.71389562662597772</c:v>
                </c:pt>
                <c:pt idx="545">
                  <c:v>0.71347437635413558</c:v>
                </c:pt>
                <c:pt idx="546">
                  <c:v>0.71305109000481115</c:v>
                </c:pt>
                <c:pt idx="547">
                  <c:v>0.71262599634912249</c:v>
                </c:pt>
                <c:pt idx="548">
                  <c:v>0.71219894726127475</c:v>
                </c:pt>
                <c:pt idx="549">
                  <c:v>0.71177261118080426</c:v>
                </c:pt>
                <c:pt idx="550">
                  <c:v>0.71134717745065712</c:v>
                </c:pt>
                <c:pt idx="551">
                  <c:v>0.71092335289322517</c:v>
                </c:pt>
                <c:pt idx="552">
                  <c:v>0.710496590530173</c:v>
                </c:pt>
                <c:pt idx="553">
                  <c:v>0.71006835377321509</c:v>
                </c:pt>
                <c:pt idx="554">
                  <c:v>0.70964052252651921</c:v>
                </c:pt>
                <c:pt idx="555">
                  <c:v>0.70921129358421031</c:v>
                </c:pt>
                <c:pt idx="556">
                  <c:v>0.70877678934045163</c:v>
                </c:pt>
                <c:pt idx="557">
                  <c:v>0.70834338662941221</c:v>
                </c:pt>
                <c:pt idx="558">
                  <c:v>0.70790895711959823</c:v>
                </c:pt>
                <c:pt idx="559">
                  <c:v>0.70747763619560355</c:v>
                </c:pt>
                <c:pt idx="560">
                  <c:v>0.70704811358806163</c:v>
                </c:pt>
                <c:pt idx="561">
                  <c:v>0.70661770882346486</c:v>
                </c:pt>
                <c:pt idx="562">
                  <c:v>0.70618647411358959</c:v>
                </c:pt>
                <c:pt idx="563">
                  <c:v>0.70575387099767861</c:v>
                </c:pt>
                <c:pt idx="564">
                  <c:v>0.7053224042750903</c:v>
                </c:pt>
                <c:pt idx="565">
                  <c:v>0.70488935126299024</c:v>
                </c:pt>
                <c:pt idx="566">
                  <c:v>0.70445744112092146</c:v>
                </c:pt>
                <c:pt idx="567">
                  <c:v>0.7040248327372195</c:v>
                </c:pt>
                <c:pt idx="568">
                  <c:v>0.70359081681170543</c:v>
                </c:pt>
                <c:pt idx="569">
                  <c:v>0.70315068512356316</c:v>
                </c:pt>
                <c:pt idx="570">
                  <c:v>0.70270724672867857</c:v>
                </c:pt>
                <c:pt idx="571">
                  <c:v>0.70226455869187077</c:v>
                </c:pt>
                <c:pt idx="572">
                  <c:v>0.70182243942842615</c:v>
                </c:pt>
                <c:pt idx="573">
                  <c:v>0.70138073021102798</c:v>
                </c:pt>
                <c:pt idx="574">
                  <c:v>0.70093419085560615</c:v>
                </c:pt>
                <c:pt idx="575">
                  <c:v>0.70048906316946946</c:v>
                </c:pt>
                <c:pt idx="576">
                  <c:v>0.70004741171552876</c:v>
                </c:pt>
                <c:pt idx="577">
                  <c:v>0.69960536625642744</c:v>
                </c:pt>
                <c:pt idx="578">
                  <c:v>0.69916386430143196</c:v>
                </c:pt>
                <c:pt idx="579">
                  <c:v>0.6987248884665066</c:v>
                </c:pt>
                <c:pt idx="580">
                  <c:v>0.69828508403270706</c:v>
                </c:pt>
                <c:pt idx="581">
                  <c:v>0.69784076092639424</c:v>
                </c:pt>
                <c:pt idx="582">
                  <c:v>0.69739801895427556</c:v>
                </c:pt>
                <c:pt idx="583">
                  <c:v>0.69695483736134578</c:v>
                </c:pt>
                <c:pt idx="584">
                  <c:v>0.69650800740449892</c:v>
                </c:pt>
                <c:pt idx="585">
                  <c:v>0.69606033073649998</c:v>
                </c:pt>
                <c:pt idx="586">
                  <c:v>0.69561404134636706</c:v>
                </c:pt>
                <c:pt idx="587">
                  <c:v>0.69516769074855889</c:v>
                </c:pt>
                <c:pt idx="588">
                  <c:v>0.69472227285459587</c:v>
                </c:pt>
                <c:pt idx="589">
                  <c:v>0.69427826793988201</c:v>
                </c:pt>
                <c:pt idx="590">
                  <c:v>0.69383540843361891</c:v>
                </c:pt>
                <c:pt idx="591">
                  <c:v>0.6933915973392043</c:v>
                </c:pt>
                <c:pt idx="592">
                  <c:v>0.69294894020343523</c:v>
                </c:pt>
                <c:pt idx="593">
                  <c:v>0.69250641476881336</c:v>
                </c:pt>
                <c:pt idx="594">
                  <c:v>0.6920635295140064</c:v>
                </c:pt>
                <c:pt idx="595">
                  <c:v>0.69161883348388331</c:v>
                </c:pt>
                <c:pt idx="596">
                  <c:v>0.69117369280209473</c:v>
                </c:pt>
                <c:pt idx="597">
                  <c:v>0.69072812841340703</c:v>
                </c:pt>
                <c:pt idx="598">
                  <c:v>0.69028398591402207</c:v>
                </c:pt>
                <c:pt idx="599">
                  <c:v>0.68983381224549201</c:v>
                </c:pt>
                <c:pt idx="600">
                  <c:v>0.68938231357035606</c:v>
                </c:pt>
                <c:pt idx="601">
                  <c:v>0.68893182676884246</c:v>
                </c:pt>
                <c:pt idx="602">
                  <c:v>0.68848411525636888</c:v>
                </c:pt>
                <c:pt idx="603">
                  <c:v>0.6880326619179542</c:v>
                </c:pt>
                <c:pt idx="604">
                  <c:v>0.68757901793043974</c:v>
                </c:pt>
                <c:pt idx="605">
                  <c:v>0.68712355877170805</c:v>
                </c:pt>
                <c:pt idx="606">
                  <c:v>0.68666877827002581</c:v>
                </c:pt>
                <c:pt idx="607">
                  <c:v>0.68621472323175259</c:v>
                </c:pt>
                <c:pt idx="608">
                  <c:v>0.68575720508121807</c:v>
                </c:pt>
                <c:pt idx="609">
                  <c:v>0.68529710936495081</c:v>
                </c:pt>
                <c:pt idx="610">
                  <c:v>0.68483347552338059</c:v>
                </c:pt>
                <c:pt idx="611">
                  <c:v>0.68436960795404189</c:v>
                </c:pt>
                <c:pt idx="612">
                  <c:v>0.68390438895747052</c:v>
                </c:pt>
                <c:pt idx="613">
                  <c:v>0.68343677715128537</c:v>
                </c:pt>
                <c:pt idx="614">
                  <c:v>0.6829680930692269</c:v>
                </c:pt>
                <c:pt idx="615">
                  <c:v>0.68249968721764398</c:v>
                </c:pt>
                <c:pt idx="616">
                  <c:v>0.68202839633654944</c:v>
                </c:pt>
                <c:pt idx="617">
                  <c:v>0.68155760314151348</c:v>
                </c:pt>
                <c:pt idx="618">
                  <c:v>0.68108739291252962</c:v>
                </c:pt>
                <c:pt idx="619">
                  <c:v>0.680619015194456</c:v>
                </c:pt>
                <c:pt idx="620">
                  <c:v>0.68014861737441734</c:v>
                </c:pt>
                <c:pt idx="621">
                  <c:v>0.67967403156032946</c:v>
                </c:pt>
                <c:pt idx="622">
                  <c:v>0.67919843290012338</c:v>
                </c:pt>
                <c:pt idx="623">
                  <c:v>0.67872608217946029</c:v>
                </c:pt>
                <c:pt idx="624">
                  <c:v>0.67825319499865966</c:v>
                </c:pt>
                <c:pt idx="625">
                  <c:v>0.67777885302941021</c:v>
                </c:pt>
                <c:pt idx="626">
                  <c:v>0.67730302784616148</c:v>
                </c:pt>
                <c:pt idx="627">
                  <c:v>0.67683077736565023</c:v>
                </c:pt>
                <c:pt idx="628">
                  <c:v>0.6763543556668915</c:v>
                </c:pt>
                <c:pt idx="629">
                  <c:v>0.67587718057793211</c:v>
                </c:pt>
                <c:pt idx="630">
                  <c:v>0.67540001313584597</c:v>
                </c:pt>
                <c:pt idx="631">
                  <c:v>0.67492253391689705</c:v>
                </c:pt>
                <c:pt idx="632">
                  <c:v>0.67444309770595345</c:v>
                </c:pt>
                <c:pt idx="633">
                  <c:v>0.6739615363288477</c:v>
                </c:pt>
                <c:pt idx="634">
                  <c:v>0.67348153682572476</c:v>
                </c:pt>
                <c:pt idx="635">
                  <c:v>0.67300225163606564</c:v>
                </c:pt>
                <c:pt idx="636">
                  <c:v>0.67252708330247268</c:v>
                </c:pt>
                <c:pt idx="637">
                  <c:v>0.67205136604979343</c:v>
                </c:pt>
                <c:pt idx="638">
                  <c:v>0.6715749009482721</c:v>
                </c:pt>
                <c:pt idx="639">
                  <c:v>0.67109769867780455</c:v>
                </c:pt>
                <c:pt idx="640">
                  <c:v>0.6706199588526055</c:v>
                </c:pt>
                <c:pt idx="641">
                  <c:v>0.67013773625135253</c:v>
                </c:pt>
                <c:pt idx="642">
                  <c:v>0.66965642302652051</c:v>
                </c:pt>
                <c:pt idx="643">
                  <c:v>0.66917523032537052</c:v>
                </c:pt>
                <c:pt idx="644">
                  <c:v>0.66869510360074003</c:v>
                </c:pt>
                <c:pt idx="645">
                  <c:v>0.66821328845562056</c:v>
                </c:pt>
                <c:pt idx="646">
                  <c:v>0.66772853926274378</c:v>
                </c:pt>
                <c:pt idx="647">
                  <c:v>0.66724339828180057</c:v>
                </c:pt>
                <c:pt idx="648">
                  <c:v>0.66675631008353253</c:v>
                </c:pt>
                <c:pt idx="649">
                  <c:v>0.66627142022299202</c:v>
                </c:pt>
                <c:pt idx="650">
                  <c:v>0.66578987238892073</c:v>
                </c:pt>
                <c:pt idx="651">
                  <c:v>0.66530785991903307</c:v>
                </c:pt>
                <c:pt idx="652">
                  <c:v>0.66482808688333439</c:v>
                </c:pt>
                <c:pt idx="653">
                  <c:v>0.66434669092436416</c:v>
                </c:pt>
                <c:pt idx="654">
                  <c:v>0.66386484589893768</c:v>
                </c:pt>
                <c:pt idx="655">
                  <c:v>0.66338128906668281</c:v>
                </c:pt>
                <c:pt idx="656">
                  <c:v>0.66289722905385207</c:v>
                </c:pt>
                <c:pt idx="657">
                  <c:v>0.66241218078273933</c:v>
                </c:pt>
                <c:pt idx="658">
                  <c:v>0.66192781589827421</c:v>
                </c:pt>
                <c:pt idx="659">
                  <c:v>0.66144676517789869</c:v>
                </c:pt>
                <c:pt idx="660">
                  <c:v>0.66096451251308175</c:v>
                </c:pt>
                <c:pt idx="661">
                  <c:v>0.66048271099070199</c:v>
                </c:pt>
                <c:pt idx="662">
                  <c:v>0.66000570171026185</c:v>
                </c:pt>
                <c:pt idx="663">
                  <c:v>0.65952500990716512</c:v>
                </c:pt>
                <c:pt idx="664">
                  <c:v>0.65904388299810901</c:v>
                </c:pt>
                <c:pt idx="665">
                  <c:v>0.65856100829898079</c:v>
                </c:pt>
                <c:pt idx="666">
                  <c:v>0.65807538452994929</c:v>
                </c:pt>
                <c:pt idx="667">
                  <c:v>0.65758606926497953</c:v>
                </c:pt>
                <c:pt idx="668">
                  <c:v>0.6570935026223732</c:v>
                </c:pt>
                <c:pt idx="669">
                  <c:v>0.65660199241147765</c:v>
                </c:pt>
                <c:pt idx="670">
                  <c:v>0.65611084310582013</c:v>
                </c:pt>
                <c:pt idx="671">
                  <c:v>0.65562140607614894</c:v>
                </c:pt>
                <c:pt idx="672">
                  <c:v>0.65512978933760302</c:v>
                </c:pt>
                <c:pt idx="673">
                  <c:v>0.65463695412040557</c:v>
                </c:pt>
                <c:pt idx="674">
                  <c:v>0.65414707810031925</c:v>
                </c:pt>
                <c:pt idx="675">
                  <c:v>0.65365751553846441</c:v>
                </c:pt>
                <c:pt idx="676">
                  <c:v>0.65316603746180579</c:v>
                </c:pt>
                <c:pt idx="677">
                  <c:v>0.65267415367896942</c:v>
                </c:pt>
                <c:pt idx="678">
                  <c:v>0.65218733698158049</c:v>
                </c:pt>
                <c:pt idx="679">
                  <c:v>0.65170112145459957</c:v>
                </c:pt>
                <c:pt idx="680">
                  <c:v>0.65121705755399439</c:v>
                </c:pt>
                <c:pt idx="681">
                  <c:v>0.65073493908507829</c:v>
                </c:pt>
                <c:pt idx="682">
                  <c:v>0.65025482490087949</c:v>
                </c:pt>
                <c:pt idx="683">
                  <c:v>0.64977417813086225</c:v>
                </c:pt>
                <c:pt idx="684">
                  <c:v>0.64929349213338672</c:v>
                </c:pt>
                <c:pt idx="685">
                  <c:v>0.64880946469368306</c:v>
                </c:pt>
                <c:pt idx="686">
                  <c:v>0.64832434039072584</c:v>
                </c:pt>
                <c:pt idx="687">
                  <c:v>0.64783966925731673</c:v>
                </c:pt>
                <c:pt idx="688">
                  <c:v>0.64735313333336031</c:v>
                </c:pt>
                <c:pt idx="689">
                  <c:v>0.64686659373672195</c:v>
                </c:pt>
                <c:pt idx="690">
                  <c:v>0.64638208392941499</c:v>
                </c:pt>
                <c:pt idx="691">
                  <c:v>0.64589717685696579</c:v>
                </c:pt>
                <c:pt idx="692">
                  <c:v>0.64541696068903098</c:v>
                </c:pt>
                <c:pt idx="693">
                  <c:v>0.64493695547178853</c:v>
                </c:pt>
                <c:pt idx="694">
                  <c:v>0.64446432184516578</c:v>
                </c:pt>
                <c:pt idx="695">
                  <c:v>0.64399157141000296</c:v>
                </c:pt>
                <c:pt idx="696">
                  <c:v>0.64351832892384386</c:v>
                </c:pt>
                <c:pt idx="697">
                  <c:v>0.64304469043942547</c:v>
                </c:pt>
                <c:pt idx="698">
                  <c:v>0.64257267856703892</c:v>
                </c:pt>
                <c:pt idx="699">
                  <c:v>0.64210230154486447</c:v>
                </c:pt>
                <c:pt idx="700">
                  <c:v>0.64163222481375515</c:v>
                </c:pt>
                <c:pt idx="701">
                  <c:v>0.64116086477595424</c:v>
                </c:pt>
                <c:pt idx="702">
                  <c:v>0.64068830763149853</c:v>
                </c:pt>
                <c:pt idx="703">
                  <c:v>0.64021889697832357</c:v>
                </c:pt>
                <c:pt idx="704">
                  <c:v>0.63975230728293053</c:v>
                </c:pt>
                <c:pt idx="705">
                  <c:v>0.63928648196712412</c:v>
                </c:pt>
                <c:pt idx="706">
                  <c:v>0.63881793546277932</c:v>
                </c:pt>
                <c:pt idx="707">
                  <c:v>0.63834554137962674</c:v>
                </c:pt>
                <c:pt idx="708">
                  <c:v>0.63787332459363799</c:v>
                </c:pt>
                <c:pt idx="709">
                  <c:v>0.6374069660471221</c:v>
                </c:pt>
                <c:pt idx="710">
                  <c:v>0.63694151283419376</c:v>
                </c:pt>
                <c:pt idx="711">
                  <c:v>0.63647723944028822</c:v>
                </c:pt>
                <c:pt idx="712">
                  <c:v>0.63600930087641461</c:v>
                </c:pt>
                <c:pt idx="713">
                  <c:v>0.63554479246972706</c:v>
                </c:pt>
                <c:pt idx="714">
                  <c:v>0.63508102896142726</c:v>
                </c:pt>
                <c:pt idx="715">
                  <c:v>0.63461865497473813</c:v>
                </c:pt>
                <c:pt idx="716">
                  <c:v>0.6341571547865098</c:v>
                </c:pt>
                <c:pt idx="717">
                  <c:v>0.63369413745853975</c:v>
                </c:pt>
                <c:pt idx="718">
                  <c:v>0.63322781905295389</c:v>
                </c:pt>
                <c:pt idx="719">
                  <c:v>0.63275916954688982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37600"/>
        <c:axId val="376211328"/>
      </c:lineChart>
      <c:catAx>
        <c:axId val="376137600"/>
        <c:scaling>
          <c:orientation val="minMax"/>
        </c:scaling>
        <c:delete val="0"/>
        <c:axPos val="b"/>
        <c:majorTickMark val="out"/>
        <c:minorTickMark val="none"/>
        <c:tickLblPos val="nextTo"/>
        <c:crossAx val="376211328"/>
        <c:crosses val="autoZero"/>
        <c:auto val="1"/>
        <c:lblAlgn val="ctr"/>
        <c:lblOffset val="100"/>
        <c:noMultiLvlLbl val="0"/>
      </c:catAx>
      <c:valAx>
        <c:axId val="37621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137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Output!$AA$12:$AA$731</c:f>
              <c:numCache>
                <c:formatCode>_-* #\,##0.00_-;\-* #\,##0.00_-;_-*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cat>
          <c:val>
            <c:numRef>
              <c:f>Output!$Y$12:$Y$731</c:f>
              <c:numCache>
                <c:formatCode>0.00000%</c:formatCode>
                <c:ptCount val="720"/>
                <c:pt idx="0">
                  <c:v>2.0166259150868171E-2</c:v>
                </c:pt>
                <c:pt idx="1">
                  <c:v>1.9949212902239818E-2</c:v>
                </c:pt>
                <c:pt idx="2">
                  <c:v>2.0044280952640905E-2</c:v>
                </c:pt>
                <c:pt idx="3">
                  <c:v>2.0163035922462588E-2</c:v>
                </c:pt>
                <c:pt idx="4">
                  <c:v>2.007962919874804E-2</c:v>
                </c:pt>
                <c:pt idx="5">
                  <c:v>1.9954756931875046E-2</c:v>
                </c:pt>
                <c:pt idx="6">
                  <c:v>2.0048059799252047E-2</c:v>
                </c:pt>
                <c:pt idx="7">
                  <c:v>1.9935642578778053E-2</c:v>
                </c:pt>
                <c:pt idx="8">
                  <c:v>1.9829776084783927E-2</c:v>
                </c:pt>
                <c:pt idx="9">
                  <c:v>1.9886448208691766E-2</c:v>
                </c:pt>
                <c:pt idx="10">
                  <c:v>1.9870171175514907E-2</c:v>
                </c:pt>
                <c:pt idx="11">
                  <c:v>1.9832183216737395E-2</c:v>
                </c:pt>
                <c:pt idx="12">
                  <c:v>1.9973823078374989E-2</c:v>
                </c:pt>
                <c:pt idx="13">
                  <c:v>1.9977166130623759E-2</c:v>
                </c:pt>
                <c:pt idx="14">
                  <c:v>2.0019469779147737E-2</c:v>
                </c:pt>
                <c:pt idx="15">
                  <c:v>1.9874895294850224E-2</c:v>
                </c:pt>
                <c:pt idx="16">
                  <c:v>1.9938964664813225E-2</c:v>
                </c:pt>
                <c:pt idx="17">
                  <c:v>1.9861579775398257E-2</c:v>
                </c:pt>
                <c:pt idx="18">
                  <c:v>1.9888799156941063E-2</c:v>
                </c:pt>
                <c:pt idx="19">
                  <c:v>1.9865564833460962E-2</c:v>
                </c:pt>
                <c:pt idx="20">
                  <c:v>1.9810764335617688E-2</c:v>
                </c:pt>
                <c:pt idx="21">
                  <c:v>1.9902195389667945E-2</c:v>
                </c:pt>
                <c:pt idx="22">
                  <c:v>1.9839302875404908E-2</c:v>
                </c:pt>
                <c:pt idx="23">
                  <c:v>1.9873687926112542E-2</c:v>
                </c:pt>
                <c:pt idx="24">
                  <c:v>1.9855660762216211E-2</c:v>
                </c:pt>
                <c:pt idx="25">
                  <c:v>1.9796313238889682E-2</c:v>
                </c:pt>
                <c:pt idx="26">
                  <c:v>1.9723167070903113E-2</c:v>
                </c:pt>
                <c:pt idx="27">
                  <c:v>1.9668040775581298E-2</c:v>
                </c:pt>
                <c:pt idx="28">
                  <c:v>1.9598265790161794E-2</c:v>
                </c:pt>
                <c:pt idx="29">
                  <c:v>1.9705162920870475E-2</c:v>
                </c:pt>
                <c:pt idx="30">
                  <c:v>1.9714864006313497E-2</c:v>
                </c:pt>
                <c:pt idx="31">
                  <c:v>1.9774849924537888E-2</c:v>
                </c:pt>
                <c:pt idx="32">
                  <c:v>1.9872843962143075E-2</c:v>
                </c:pt>
                <c:pt idx="33">
                  <c:v>1.9783187289560588E-2</c:v>
                </c:pt>
                <c:pt idx="34">
                  <c:v>1.9825363894844433E-2</c:v>
                </c:pt>
                <c:pt idx="35">
                  <c:v>1.9849656724604418E-2</c:v>
                </c:pt>
                <c:pt idx="36">
                  <c:v>1.9952104769971252E-2</c:v>
                </c:pt>
                <c:pt idx="37">
                  <c:v>1.9952197555696695E-2</c:v>
                </c:pt>
                <c:pt idx="38">
                  <c:v>1.9930593654384612E-2</c:v>
                </c:pt>
                <c:pt idx="39">
                  <c:v>1.9986303268419929E-2</c:v>
                </c:pt>
                <c:pt idx="40">
                  <c:v>2.0011551902456716E-2</c:v>
                </c:pt>
                <c:pt idx="41">
                  <c:v>2.0161248875726234E-2</c:v>
                </c:pt>
                <c:pt idx="42">
                  <c:v>2.0332572735276562E-2</c:v>
                </c:pt>
                <c:pt idx="43">
                  <c:v>2.0283700470209179E-2</c:v>
                </c:pt>
                <c:pt idx="44">
                  <c:v>2.0265953979611041E-2</c:v>
                </c:pt>
                <c:pt idx="45">
                  <c:v>2.0259449194141049E-2</c:v>
                </c:pt>
                <c:pt idx="46">
                  <c:v>2.0270680683137868E-2</c:v>
                </c:pt>
                <c:pt idx="47">
                  <c:v>2.0407180577068008E-2</c:v>
                </c:pt>
                <c:pt idx="48">
                  <c:v>2.0449732873659445E-2</c:v>
                </c:pt>
                <c:pt idx="49">
                  <c:v>2.0459882040221773E-2</c:v>
                </c:pt>
                <c:pt idx="50">
                  <c:v>2.0481509568705723E-2</c:v>
                </c:pt>
                <c:pt idx="51">
                  <c:v>2.0532578821858577E-2</c:v>
                </c:pt>
                <c:pt idx="52">
                  <c:v>2.0446002824449239E-2</c:v>
                </c:pt>
                <c:pt idx="53">
                  <c:v>2.0462218982230634E-2</c:v>
                </c:pt>
                <c:pt idx="54">
                  <c:v>2.0540554201678028E-2</c:v>
                </c:pt>
                <c:pt idx="55">
                  <c:v>2.0540282878565443E-2</c:v>
                </c:pt>
                <c:pt idx="56">
                  <c:v>2.061615119022938E-2</c:v>
                </c:pt>
                <c:pt idx="57">
                  <c:v>2.0603059945592798E-2</c:v>
                </c:pt>
                <c:pt idx="58">
                  <c:v>2.0580705659270442E-2</c:v>
                </c:pt>
                <c:pt idx="59">
                  <c:v>2.0545146338595187E-2</c:v>
                </c:pt>
                <c:pt idx="60">
                  <c:v>2.0421501305725953E-2</c:v>
                </c:pt>
                <c:pt idx="61">
                  <c:v>2.0472383673262248E-2</c:v>
                </c:pt>
                <c:pt idx="62">
                  <c:v>2.0540921605447383E-2</c:v>
                </c:pt>
                <c:pt idx="63">
                  <c:v>2.0568973136686267E-2</c:v>
                </c:pt>
                <c:pt idx="64">
                  <c:v>2.0588564736143677E-2</c:v>
                </c:pt>
                <c:pt idx="65">
                  <c:v>2.050376637040421E-2</c:v>
                </c:pt>
                <c:pt idx="66">
                  <c:v>2.0531450053887762E-2</c:v>
                </c:pt>
                <c:pt idx="67">
                  <c:v>2.058485212612508E-2</c:v>
                </c:pt>
                <c:pt idx="68">
                  <c:v>2.0604331157480782E-2</c:v>
                </c:pt>
                <c:pt idx="69">
                  <c:v>2.0572298279727466E-2</c:v>
                </c:pt>
                <c:pt idx="70">
                  <c:v>2.0551735105293976E-2</c:v>
                </c:pt>
                <c:pt idx="71">
                  <c:v>2.0632609184681072E-2</c:v>
                </c:pt>
                <c:pt idx="72">
                  <c:v>2.0617147340612735E-2</c:v>
                </c:pt>
                <c:pt idx="73">
                  <c:v>2.0632409954788586E-2</c:v>
                </c:pt>
                <c:pt idx="74">
                  <c:v>2.0559519806491212E-2</c:v>
                </c:pt>
                <c:pt idx="75">
                  <c:v>2.0515755614918495E-2</c:v>
                </c:pt>
                <c:pt idx="76">
                  <c:v>2.0459963839416201E-2</c:v>
                </c:pt>
                <c:pt idx="77">
                  <c:v>2.0395300221738522E-2</c:v>
                </c:pt>
                <c:pt idx="78">
                  <c:v>2.0421049645053126E-2</c:v>
                </c:pt>
                <c:pt idx="79">
                  <c:v>2.0368167425881281E-2</c:v>
                </c:pt>
                <c:pt idx="80">
                  <c:v>2.0333515694581174E-2</c:v>
                </c:pt>
                <c:pt idx="81">
                  <c:v>2.0381844831836995E-2</c:v>
                </c:pt>
                <c:pt idx="82">
                  <c:v>2.026501914226421E-2</c:v>
                </c:pt>
                <c:pt idx="83">
                  <c:v>2.0282606400736748E-2</c:v>
                </c:pt>
                <c:pt idx="84">
                  <c:v>2.0263861135907321E-2</c:v>
                </c:pt>
                <c:pt idx="85">
                  <c:v>2.0244195332467112E-2</c:v>
                </c:pt>
                <c:pt idx="86">
                  <c:v>2.0208934135454298E-2</c:v>
                </c:pt>
                <c:pt idx="87">
                  <c:v>2.0093429877297567E-2</c:v>
                </c:pt>
                <c:pt idx="88">
                  <c:v>2.0042405313678482E-2</c:v>
                </c:pt>
                <c:pt idx="89">
                  <c:v>1.991297276985312E-2</c:v>
                </c:pt>
                <c:pt idx="90">
                  <c:v>1.9921556854387425E-2</c:v>
                </c:pt>
                <c:pt idx="91">
                  <c:v>1.9937929542180849E-2</c:v>
                </c:pt>
                <c:pt idx="92">
                  <c:v>1.9847173855561423E-2</c:v>
                </c:pt>
                <c:pt idx="93">
                  <c:v>1.987966818197923E-2</c:v>
                </c:pt>
                <c:pt idx="94">
                  <c:v>1.9860810649720503E-2</c:v>
                </c:pt>
                <c:pt idx="95">
                  <c:v>1.983021167619416E-2</c:v>
                </c:pt>
                <c:pt idx="96">
                  <c:v>1.9866408508940177E-2</c:v>
                </c:pt>
                <c:pt idx="97">
                  <c:v>1.9777500811833514E-2</c:v>
                </c:pt>
                <c:pt idx="98">
                  <c:v>1.973205150600689E-2</c:v>
                </c:pt>
                <c:pt idx="99">
                  <c:v>1.9725134939801488E-2</c:v>
                </c:pt>
                <c:pt idx="100">
                  <c:v>1.9717833757785068E-2</c:v>
                </c:pt>
                <c:pt idx="101">
                  <c:v>1.9658004291057816E-2</c:v>
                </c:pt>
                <c:pt idx="102">
                  <c:v>1.9759893043132075E-2</c:v>
                </c:pt>
                <c:pt idx="103">
                  <c:v>1.9711465010658142E-2</c:v>
                </c:pt>
                <c:pt idx="104">
                  <c:v>1.971605104976976E-2</c:v>
                </c:pt>
                <c:pt idx="105">
                  <c:v>1.9724367883155368E-2</c:v>
                </c:pt>
                <c:pt idx="106">
                  <c:v>1.9686224431381731E-2</c:v>
                </c:pt>
                <c:pt idx="107">
                  <c:v>1.9697856769921952E-2</c:v>
                </c:pt>
                <c:pt idx="108">
                  <c:v>1.9709825358451987E-2</c:v>
                </c:pt>
                <c:pt idx="109">
                  <c:v>1.96201759517972E-2</c:v>
                </c:pt>
                <c:pt idx="110">
                  <c:v>1.9624883876625598E-2</c:v>
                </c:pt>
                <c:pt idx="111">
                  <c:v>1.9579694668594157E-2</c:v>
                </c:pt>
                <c:pt idx="112">
                  <c:v>1.9533828777772752E-2</c:v>
                </c:pt>
                <c:pt idx="113">
                  <c:v>1.9491987221658055E-2</c:v>
                </c:pt>
                <c:pt idx="114">
                  <c:v>1.9502664050670384E-2</c:v>
                </c:pt>
                <c:pt idx="115">
                  <c:v>1.9458548303357203E-2</c:v>
                </c:pt>
                <c:pt idx="116">
                  <c:v>1.9428596750393955E-2</c:v>
                </c:pt>
                <c:pt idx="117">
                  <c:v>1.9443763751844357E-2</c:v>
                </c:pt>
                <c:pt idx="118">
                  <c:v>1.9470378636608381E-2</c:v>
                </c:pt>
                <c:pt idx="119">
                  <c:v>1.9470007357784029E-2</c:v>
                </c:pt>
                <c:pt idx="120">
                  <c:v>1.9463535208849594E-2</c:v>
                </c:pt>
                <c:pt idx="121">
                  <c:v>1.9532277327584967E-2</c:v>
                </c:pt>
                <c:pt idx="122">
                  <c:v>1.9522390393202624E-2</c:v>
                </c:pt>
                <c:pt idx="123">
                  <c:v>1.956416837732183E-2</c:v>
                </c:pt>
                <c:pt idx="124">
                  <c:v>1.9484487238696079E-2</c:v>
                </c:pt>
                <c:pt idx="125">
                  <c:v>1.9454232760573807E-2</c:v>
                </c:pt>
                <c:pt idx="126">
                  <c:v>1.9480842826841052E-2</c:v>
                </c:pt>
                <c:pt idx="127">
                  <c:v>1.9448368555355425E-2</c:v>
                </c:pt>
                <c:pt idx="128">
                  <c:v>1.9411833373562278E-2</c:v>
                </c:pt>
                <c:pt idx="129">
                  <c:v>1.9371789545275908E-2</c:v>
                </c:pt>
                <c:pt idx="130">
                  <c:v>1.929052161090088E-2</c:v>
                </c:pt>
                <c:pt idx="131">
                  <c:v>1.9259856340257241E-2</c:v>
                </c:pt>
                <c:pt idx="132">
                  <c:v>1.9275803247825258E-2</c:v>
                </c:pt>
                <c:pt idx="133">
                  <c:v>1.9225811868749332E-2</c:v>
                </c:pt>
                <c:pt idx="134">
                  <c:v>1.9284398233606264E-2</c:v>
                </c:pt>
                <c:pt idx="135">
                  <c:v>1.9245552763143027E-2</c:v>
                </c:pt>
                <c:pt idx="136">
                  <c:v>1.9248916471387684E-2</c:v>
                </c:pt>
                <c:pt idx="137">
                  <c:v>1.9222546847394436E-2</c:v>
                </c:pt>
                <c:pt idx="138">
                  <c:v>1.915839476648537E-2</c:v>
                </c:pt>
                <c:pt idx="139">
                  <c:v>1.9066227209812849E-2</c:v>
                </c:pt>
                <c:pt idx="140">
                  <c:v>1.9072211746385723E-2</c:v>
                </c:pt>
                <c:pt idx="141">
                  <c:v>1.8973067014390822E-2</c:v>
                </c:pt>
                <c:pt idx="142">
                  <c:v>1.898522204689344E-2</c:v>
                </c:pt>
                <c:pt idx="143">
                  <c:v>1.9052326674399194E-2</c:v>
                </c:pt>
                <c:pt idx="144">
                  <c:v>1.9070816044403329E-2</c:v>
                </c:pt>
                <c:pt idx="145">
                  <c:v>1.9095648598258977E-2</c:v>
                </c:pt>
                <c:pt idx="146">
                  <c:v>1.9181540948266712E-2</c:v>
                </c:pt>
                <c:pt idx="147">
                  <c:v>1.9175405068818423E-2</c:v>
                </c:pt>
                <c:pt idx="148">
                  <c:v>1.9162408134514683E-2</c:v>
                </c:pt>
                <c:pt idx="149">
                  <c:v>1.9213127420859937E-2</c:v>
                </c:pt>
                <c:pt idx="150">
                  <c:v>1.9325596826424013E-2</c:v>
                </c:pt>
                <c:pt idx="151">
                  <c:v>1.9310807736584924E-2</c:v>
                </c:pt>
                <c:pt idx="152">
                  <c:v>1.9340263017958895E-2</c:v>
                </c:pt>
                <c:pt idx="153">
                  <c:v>1.9301331902165986E-2</c:v>
                </c:pt>
                <c:pt idx="154">
                  <c:v>1.9257609087442493E-2</c:v>
                </c:pt>
                <c:pt idx="155">
                  <c:v>1.9225833222615344E-2</c:v>
                </c:pt>
                <c:pt idx="156">
                  <c:v>1.9219195277373938E-2</c:v>
                </c:pt>
                <c:pt idx="157">
                  <c:v>1.9237592979778666E-2</c:v>
                </c:pt>
                <c:pt idx="158">
                  <c:v>1.9274501804703036E-2</c:v>
                </c:pt>
                <c:pt idx="159">
                  <c:v>1.9303335816108429E-2</c:v>
                </c:pt>
                <c:pt idx="160">
                  <c:v>1.9283583217936426E-2</c:v>
                </c:pt>
                <c:pt idx="161">
                  <c:v>1.9303550490305878E-2</c:v>
                </c:pt>
                <c:pt idx="162">
                  <c:v>1.9284348751447584E-2</c:v>
                </c:pt>
                <c:pt idx="163">
                  <c:v>1.9287363629561318E-2</c:v>
                </c:pt>
                <c:pt idx="164">
                  <c:v>1.9276763982823936E-2</c:v>
                </c:pt>
                <c:pt idx="165">
                  <c:v>1.9325664220147091E-2</c:v>
                </c:pt>
                <c:pt idx="166">
                  <c:v>1.9378116795947007E-2</c:v>
                </c:pt>
                <c:pt idx="167">
                  <c:v>1.9325415233535981E-2</c:v>
                </c:pt>
                <c:pt idx="168">
                  <c:v>1.9303080842237839E-2</c:v>
                </c:pt>
                <c:pt idx="169">
                  <c:v>1.9344247728121423E-2</c:v>
                </c:pt>
                <c:pt idx="170">
                  <c:v>1.9390594607283745E-2</c:v>
                </c:pt>
                <c:pt idx="171">
                  <c:v>1.9341169948461825E-2</c:v>
                </c:pt>
                <c:pt idx="172">
                  <c:v>1.9379467620888671E-2</c:v>
                </c:pt>
                <c:pt idx="173">
                  <c:v>1.9325915224482001E-2</c:v>
                </c:pt>
                <c:pt idx="174">
                  <c:v>1.9369601830269194E-2</c:v>
                </c:pt>
                <c:pt idx="175">
                  <c:v>1.9291502288770562E-2</c:v>
                </c:pt>
                <c:pt idx="176">
                  <c:v>1.9311113940817425E-2</c:v>
                </c:pt>
                <c:pt idx="177">
                  <c:v>1.9290617298607482E-2</c:v>
                </c:pt>
                <c:pt idx="178">
                  <c:v>1.9361412588677414E-2</c:v>
                </c:pt>
                <c:pt idx="179">
                  <c:v>1.9377623900582043E-2</c:v>
                </c:pt>
                <c:pt idx="180">
                  <c:v>1.9395891236782002E-2</c:v>
                </c:pt>
                <c:pt idx="181">
                  <c:v>1.9373761370355298E-2</c:v>
                </c:pt>
                <c:pt idx="182">
                  <c:v>1.9331750232623741E-2</c:v>
                </c:pt>
                <c:pt idx="183">
                  <c:v>1.937341135634945E-2</c:v>
                </c:pt>
                <c:pt idx="184">
                  <c:v>1.9377995375712657E-2</c:v>
                </c:pt>
                <c:pt idx="185">
                  <c:v>1.9410672996342276E-2</c:v>
                </c:pt>
                <c:pt idx="186">
                  <c:v>1.9401890063027942E-2</c:v>
                </c:pt>
                <c:pt idx="187">
                  <c:v>1.944751172891946E-2</c:v>
                </c:pt>
                <c:pt idx="188">
                  <c:v>1.943559704995149E-2</c:v>
                </c:pt>
                <c:pt idx="189">
                  <c:v>1.9493037410990181E-2</c:v>
                </c:pt>
                <c:pt idx="190">
                  <c:v>1.9443170249868347E-2</c:v>
                </c:pt>
                <c:pt idx="191">
                  <c:v>1.9450089168359434E-2</c:v>
                </c:pt>
                <c:pt idx="192">
                  <c:v>1.935326699627718E-2</c:v>
                </c:pt>
                <c:pt idx="193">
                  <c:v>1.9419036428144944E-2</c:v>
                </c:pt>
                <c:pt idx="194">
                  <c:v>1.9459693676667084E-2</c:v>
                </c:pt>
                <c:pt idx="195">
                  <c:v>1.9393296951426595E-2</c:v>
                </c:pt>
                <c:pt idx="196">
                  <c:v>1.9330776237520747E-2</c:v>
                </c:pt>
                <c:pt idx="197">
                  <c:v>1.9346731379693574E-2</c:v>
                </c:pt>
                <c:pt idx="198">
                  <c:v>1.9324550279614931E-2</c:v>
                </c:pt>
                <c:pt idx="199">
                  <c:v>1.9279805773953915E-2</c:v>
                </c:pt>
                <c:pt idx="200">
                  <c:v>1.9247836318902783E-2</c:v>
                </c:pt>
                <c:pt idx="201">
                  <c:v>1.9141706723104994E-2</c:v>
                </c:pt>
                <c:pt idx="202">
                  <c:v>1.9145459713115695E-2</c:v>
                </c:pt>
                <c:pt idx="203">
                  <c:v>1.9095037324466019E-2</c:v>
                </c:pt>
                <c:pt idx="204">
                  <c:v>1.9042440388874982E-2</c:v>
                </c:pt>
                <c:pt idx="205">
                  <c:v>1.9082702118276437E-2</c:v>
                </c:pt>
                <c:pt idx="206">
                  <c:v>1.9041362682488946E-2</c:v>
                </c:pt>
                <c:pt idx="207">
                  <c:v>1.9029207940589869E-2</c:v>
                </c:pt>
                <c:pt idx="208">
                  <c:v>1.9087861846738954E-2</c:v>
                </c:pt>
                <c:pt idx="209">
                  <c:v>1.9125067385543489E-2</c:v>
                </c:pt>
                <c:pt idx="210">
                  <c:v>1.9068057491524799E-2</c:v>
                </c:pt>
                <c:pt idx="211">
                  <c:v>1.9074501838388366E-2</c:v>
                </c:pt>
                <c:pt idx="212">
                  <c:v>1.9005813986920205E-2</c:v>
                </c:pt>
                <c:pt idx="213">
                  <c:v>1.8963140694070263E-2</c:v>
                </c:pt>
                <c:pt idx="214">
                  <c:v>1.8928946035782112E-2</c:v>
                </c:pt>
                <c:pt idx="215">
                  <c:v>1.8976476665685211E-2</c:v>
                </c:pt>
                <c:pt idx="216">
                  <c:v>1.89415234083052E-2</c:v>
                </c:pt>
                <c:pt idx="217">
                  <c:v>1.8886414879456574E-2</c:v>
                </c:pt>
                <c:pt idx="218">
                  <c:v>1.8824115876861617E-2</c:v>
                </c:pt>
                <c:pt idx="219">
                  <c:v>1.8832046636013584E-2</c:v>
                </c:pt>
                <c:pt idx="220">
                  <c:v>1.8828120782917436E-2</c:v>
                </c:pt>
                <c:pt idx="221">
                  <c:v>1.8782432875893543E-2</c:v>
                </c:pt>
                <c:pt idx="222">
                  <c:v>1.8791324517199323E-2</c:v>
                </c:pt>
                <c:pt idx="223">
                  <c:v>1.8818619919603922E-2</c:v>
                </c:pt>
                <c:pt idx="224">
                  <c:v>1.8825451948673674E-2</c:v>
                </c:pt>
                <c:pt idx="225">
                  <c:v>1.8751523652906998E-2</c:v>
                </c:pt>
                <c:pt idx="226">
                  <c:v>1.8693017875071161E-2</c:v>
                </c:pt>
                <c:pt idx="227">
                  <c:v>1.8777440966955404E-2</c:v>
                </c:pt>
                <c:pt idx="228">
                  <c:v>1.8758660343317978E-2</c:v>
                </c:pt>
                <c:pt idx="229">
                  <c:v>1.8748315944322521E-2</c:v>
                </c:pt>
                <c:pt idx="230">
                  <c:v>1.8756117021283322E-2</c:v>
                </c:pt>
                <c:pt idx="231">
                  <c:v>1.8847259936911342E-2</c:v>
                </c:pt>
                <c:pt idx="232">
                  <c:v>1.8841282140939761E-2</c:v>
                </c:pt>
                <c:pt idx="233">
                  <c:v>1.8910374179324139E-2</c:v>
                </c:pt>
                <c:pt idx="234">
                  <c:v>1.8868893301115321E-2</c:v>
                </c:pt>
                <c:pt idx="235">
                  <c:v>1.890042653270432E-2</c:v>
                </c:pt>
                <c:pt idx="236">
                  <c:v>1.8928454383855282E-2</c:v>
                </c:pt>
                <c:pt idx="237">
                  <c:v>1.9020022719308714E-2</c:v>
                </c:pt>
                <c:pt idx="238">
                  <c:v>1.9059523642684973E-2</c:v>
                </c:pt>
                <c:pt idx="239">
                  <c:v>1.9126367128523773E-2</c:v>
                </c:pt>
                <c:pt idx="240">
                  <c:v>1.9107129162047584E-2</c:v>
                </c:pt>
                <c:pt idx="241">
                  <c:v>1.9164401476122164E-2</c:v>
                </c:pt>
                <c:pt idx="242">
                  <c:v>1.9225477365439596E-2</c:v>
                </c:pt>
                <c:pt idx="243">
                  <c:v>1.9175343539169928E-2</c:v>
                </c:pt>
                <c:pt idx="244">
                  <c:v>1.9239762880457513E-2</c:v>
                </c:pt>
                <c:pt idx="245">
                  <c:v>1.9275433001091302E-2</c:v>
                </c:pt>
                <c:pt idx="246">
                  <c:v>1.9322106853315542E-2</c:v>
                </c:pt>
                <c:pt idx="247">
                  <c:v>1.9408960411047903E-2</c:v>
                </c:pt>
                <c:pt idx="248">
                  <c:v>1.9422152162684718E-2</c:v>
                </c:pt>
                <c:pt idx="249">
                  <c:v>1.94781319083921E-2</c:v>
                </c:pt>
                <c:pt idx="250">
                  <c:v>1.9533682028466413E-2</c:v>
                </c:pt>
                <c:pt idx="251">
                  <c:v>1.9540311195328126E-2</c:v>
                </c:pt>
                <c:pt idx="252">
                  <c:v>1.9604069218785634E-2</c:v>
                </c:pt>
                <c:pt idx="253">
                  <c:v>1.9704625665485469E-2</c:v>
                </c:pt>
                <c:pt idx="254">
                  <c:v>1.9778346882238014E-2</c:v>
                </c:pt>
                <c:pt idx="255">
                  <c:v>1.9827087300880369E-2</c:v>
                </c:pt>
                <c:pt idx="256">
                  <c:v>1.9945265020544688E-2</c:v>
                </c:pt>
                <c:pt idx="257">
                  <c:v>1.9923470086023912E-2</c:v>
                </c:pt>
                <c:pt idx="258">
                  <c:v>2.0022923515201876E-2</c:v>
                </c:pt>
                <c:pt idx="259">
                  <c:v>2.0026175234970391E-2</c:v>
                </c:pt>
                <c:pt idx="260">
                  <c:v>2.0077827735413063E-2</c:v>
                </c:pt>
                <c:pt idx="261">
                  <c:v>2.0090508549409893E-2</c:v>
                </c:pt>
                <c:pt idx="262">
                  <c:v>2.0103361736300788E-2</c:v>
                </c:pt>
                <c:pt idx="263">
                  <c:v>2.0139485272652011E-2</c:v>
                </c:pt>
                <c:pt idx="264">
                  <c:v>2.0192352535509987E-2</c:v>
                </c:pt>
                <c:pt idx="265">
                  <c:v>2.0209438960154234E-2</c:v>
                </c:pt>
                <c:pt idx="266">
                  <c:v>2.0224760524212702E-2</c:v>
                </c:pt>
                <c:pt idx="267">
                  <c:v>2.0217163151736599E-2</c:v>
                </c:pt>
                <c:pt idx="268">
                  <c:v>2.018472383175992E-2</c:v>
                </c:pt>
                <c:pt idx="269">
                  <c:v>2.0124477707230127E-2</c:v>
                </c:pt>
                <c:pt idx="270">
                  <c:v>2.0190170879530532E-2</c:v>
                </c:pt>
                <c:pt idx="271">
                  <c:v>2.0160890318232625E-2</c:v>
                </c:pt>
                <c:pt idx="272">
                  <c:v>2.0146147520221761E-2</c:v>
                </c:pt>
                <c:pt idx="273">
                  <c:v>2.0138565311308719E-2</c:v>
                </c:pt>
                <c:pt idx="274">
                  <c:v>2.0165302610105868E-2</c:v>
                </c:pt>
                <c:pt idx="275">
                  <c:v>2.0102209757864278E-2</c:v>
                </c:pt>
                <c:pt idx="276">
                  <c:v>2.0119618262912975E-2</c:v>
                </c:pt>
                <c:pt idx="277">
                  <c:v>2.0125954295510638E-2</c:v>
                </c:pt>
                <c:pt idx="278">
                  <c:v>2.0075161783073867E-2</c:v>
                </c:pt>
                <c:pt idx="279">
                  <c:v>2.0030041941636448E-2</c:v>
                </c:pt>
                <c:pt idx="280">
                  <c:v>2.0026182935877022E-2</c:v>
                </c:pt>
                <c:pt idx="281">
                  <c:v>2.005863706729763E-2</c:v>
                </c:pt>
                <c:pt idx="282">
                  <c:v>2.0061821699853689E-2</c:v>
                </c:pt>
                <c:pt idx="283">
                  <c:v>1.9986577668417587E-2</c:v>
                </c:pt>
                <c:pt idx="284">
                  <c:v>1.9978044359558064E-2</c:v>
                </c:pt>
                <c:pt idx="285">
                  <c:v>1.9997300410772408E-2</c:v>
                </c:pt>
                <c:pt idx="286">
                  <c:v>1.994522700169106E-2</c:v>
                </c:pt>
                <c:pt idx="287">
                  <c:v>1.9950063618377444E-2</c:v>
                </c:pt>
                <c:pt idx="288">
                  <c:v>1.9998873525349358E-2</c:v>
                </c:pt>
                <c:pt idx="289">
                  <c:v>2.0039064800856415E-2</c:v>
                </c:pt>
                <c:pt idx="290">
                  <c:v>2.0020017235571372E-2</c:v>
                </c:pt>
                <c:pt idx="291">
                  <c:v>2.0020742488712578E-2</c:v>
                </c:pt>
                <c:pt idx="292">
                  <c:v>2.0053763590976732E-2</c:v>
                </c:pt>
                <c:pt idx="293">
                  <c:v>2.0098048779404448E-2</c:v>
                </c:pt>
                <c:pt idx="294">
                  <c:v>2.0198498284389878E-2</c:v>
                </c:pt>
                <c:pt idx="295">
                  <c:v>2.0242184913357268E-2</c:v>
                </c:pt>
                <c:pt idx="296">
                  <c:v>2.0258884981736842E-2</c:v>
                </c:pt>
                <c:pt idx="297">
                  <c:v>2.0319971070666156E-2</c:v>
                </c:pt>
                <c:pt idx="298">
                  <c:v>2.0271221233286396E-2</c:v>
                </c:pt>
                <c:pt idx="299">
                  <c:v>2.0240368181124423E-2</c:v>
                </c:pt>
                <c:pt idx="300">
                  <c:v>2.0288784876329766E-2</c:v>
                </c:pt>
                <c:pt idx="301">
                  <c:v>2.0289299598740394E-2</c:v>
                </c:pt>
                <c:pt idx="302">
                  <c:v>2.0329815583400419E-2</c:v>
                </c:pt>
                <c:pt idx="303">
                  <c:v>2.0347615882992342E-2</c:v>
                </c:pt>
                <c:pt idx="304">
                  <c:v>2.0374264278427832E-2</c:v>
                </c:pt>
                <c:pt idx="305">
                  <c:v>2.0419567459526198E-2</c:v>
                </c:pt>
                <c:pt idx="306">
                  <c:v>2.0373534121342969E-2</c:v>
                </c:pt>
                <c:pt idx="307">
                  <c:v>2.0444317085853911E-2</c:v>
                </c:pt>
                <c:pt idx="308">
                  <c:v>2.0490502601882669E-2</c:v>
                </c:pt>
                <c:pt idx="309">
                  <c:v>2.0546273495645657E-2</c:v>
                </c:pt>
                <c:pt idx="310">
                  <c:v>2.0586533057110747E-2</c:v>
                </c:pt>
                <c:pt idx="311">
                  <c:v>2.0603869594242624E-2</c:v>
                </c:pt>
                <c:pt idx="312">
                  <c:v>2.056964073124596E-2</c:v>
                </c:pt>
                <c:pt idx="313">
                  <c:v>2.0539566272462489E-2</c:v>
                </c:pt>
                <c:pt idx="314">
                  <c:v>2.0515848726460083E-2</c:v>
                </c:pt>
                <c:pt idx="315">
                  <c:v>2.0478765641752914E-2</c:v>
                </c:pt>
                <c:pt idx="316">
                  <c:v>2.0505476324424839E-2</c:v>
                </c:pt>
                <c:pt idx="317">
                  <c:v>2.0482288775346157E-2</c:v>
                </c:pt>
                <c:pt idx="318">
                  <c:v>2.0587794210915458E-2</c:v>
                </c:pt>
                <c:pt idx="319">
                  <c:v>2.0697046983240847E-2</c:v>
                </c:pt>
                <c:pt idx="320">
                  <c:v>2.0713450433897617E-2</c:v>
                </c:pt>
                <c:pt idx="321">
                  <c:v>2.0753456487483179E-2</c:v>
                </c:pt>
                <c:pt idx="322">
                  <c:v>2.0775820520750568E-2</c:v>
                </c:pt>
                <c:pt idx="323">
                  <c:v>2.088562445821935E-2</c:v>
                </c:pt>
                <c:pt idx="324">
                  <c:v>2.0858411552782265E-2</c:v>
                </c:pt>
                <c:pt idx="325">
                  <c:v>2.0848707880993793E-2</c:v>
                </c:pt>
                <c:pt idx="326">
                  <c:v>2.0815687440977032E-2</c:v>
                </c:pt>
                <c:pt idx="327">
                  <c:v>2.0890077438723641E-2</c:v>
                </c:pt>
                <c:pt idx="328">
                  <c:v>2.0810923889230667E-2</c:v>
                </c:pt>
                <c:pt idx="329">
                  <c:v>2.0826758270100609E-2</c:v>
                </c:pt>
                <c:pt idx="330">
                  <c:v>2.0747003889368738E-2</c:v>
                </c:pt>
                <c:pt idx="331">
                  <c:v>2.0713313202053805E-2</c:v>
                </c:pt>
                <c:pt idx="332">
                  <c:v>2.0692701317674748E-2</c:v>
                </c:pt>
                <c:pt idx="333">
                  <c:v>2.0623703156028139E-2</c:v>
                </c:pt>
                <c:pt idx="334">
                  <c:v>2.0659424614017104E-2</c:v>
                </c:pt>
                <c:pt idx="335">
                  <c:v>2.0608990966209138E-2</c:v>
                </c:pt>
                <c:pt idx="336">
                  <c:v>2.0555939854125699E-2</c:v>
                </c:pt>
                <c:pt idx="337">
                  <c:v>2.0503157874676544E-2</c:v>
                </c:pt>
                <c:pt idx="338">
                  <c:v>2.0426624110689694E-2</c:v>
                </c:pt>
                <c:pt idx="339">
                  <c:v>2.0558489704948005E-2</c:v>
                </c:pt>
                <c:pt idx="340">
                  <c:v>2.0482582685781042E-2</c:v>
                </c:pt>
                <c:pt idx="341">
                  <c:v>2.0524284562246461E-2</c:v>
                </c:pt>
                <c:pt idx="342">
                  <c:v>2.0546620675133905E-2</c:v>
                </c:pt>
                <c:pt idx="343">
                  <c:v>2.0547317359138593E-2</c:v>
                </c:pt>
                <c:pt idx="344">
                  <c:v>2.0556122837510571E-2</c:v>
                </c:pt>
                <c:pt idx="345">
                  <c:v>2.0574657924788735E-2</c:v>
                </c:pt>
                <c:pt idx="346">
                  <c:v>2.0637316049446915E-2</c:v>
                </c:pt>
                <c:pt idx="347">
                  <c:v>2.0662362349241743E-2</c:v>
                </c:pt>
                <c:pt idx="348">
                  <c:v>2.0756962508754237E-2</c:v>
                </c:pt>
                <c:pt idx="349">
                  <c:v>2.0710773122828124E-2</c:v>
                </c:pt>
                <c:pt idx="350">
                  <c:v>2.0650221290887893E-2</c:v>
                </c:pt>
                <c:pt idx="351">
                  <c:v>2.069155102266133E-2</c:v>
                </c:pt>
                <c:pt idx="352">
                  <c:v>2.0689236959762655E-2</c:v>
                </c:pt>
                <c:pt idx="353">
                  <c:v>2.0639332425554126E-2</c:v>
                </c:pt>
                <c:pt idx="354">
                  <c:v>2.0576416602270001E-2</c:v>
                </c:pt>
                <c:pt idx="355">
                  <c:v>2.0571586844052622E-2</c:v>
                </c:pt>
                <c:pt idx="356">
                  <c:v>2.0519326048878184E-2</c:v>
                </c:pt>
                <c:pt idx="357">
                  <c:v>2.0524411493638366E-2</c:v>
                </c:pt>
                <c:pt idx="358">
                  <c:v>2.0550689108398454E-2</c:v>
                </c:pt>
                <c:pt idx="359">
                  <c:v>2.0560256815876275E-2</c:v>
                </c:pt>
                <c:pt idx="360">
                  <c:v>2.0580937137071556E-2</c:v>
                </c:pt>
                <c:pt idx="361">
                  <c:v>2.0558057553387854E-2</c:v>
                </c:pt>
                <c:pt idx="362">
                  <c:v>2.0596367302764484E-2</c:v>
                </c:pt>
                <c:pt idx="363">
                  <c:v>2.0596137930015752E-2</c:v>
                </c:pt>
                <c:pt idx="364">
                  <c:v>2.0531191275065315E-2</c:v>
                </c:pt>
                <c:pt idx="365">
                  <c:v>2.0523616942085193E-2</c:v>
                </c:pt>
                <c:pt idx="366">
                  <c:v>2.0485941433763116E-2</c:v>
                </c:pt>
                <c:pt idx="367">
                  <c:v>2.0466888100192419E-2</c:v>
                </c:pt>
                <c:pt idx="368">
                  <c:v>2.048012465929935E-2</c:v>
                </c:pt>
                <c:pt idx="369">
                  <c:v>2.0414165955402536E-2</c:v>
                </c:pt>
                <c:pt idx="370">
                  <c:v>2.043647652037232E-2</c:v>
                </c:pt>
                <c:pt idx="371">
                  <c:v>2.0464144558574683E-2</c:v>
                </c:pt>
                <c:pt idx="372">
                  <c:v>2.0468845929042183E-2</c:v>
                </c:pt>
                <c:pt idx="373">
                  <c:v>2.0487338613833853E-2</c:v>
                </c:pt>
                <c:pt idx="374">
                  <c:v>2.0445197706801536E-2</c:v>
                </c:pt>
                <c:pt idx="375">
                  <c:v>2.0397530373244654E-2</c:v>
                </c:pt>
                <c:pt idx="376">
                  <c:v>2.0395264205996463E-2</c:v>
                </c:pt>
                <c:pt idx="377">
                  <c:v>2.0409791841599002E-2</c:v>
                </c:pt>
                <c:pt idx="378">
                  <c:v>2.0407382477150619E-2</c:v>
                </c:pt>
                <c:pt idx="379">
                  <c:v>2.0421916157150742E-2</c:v>
                </c:pt>
                <c:pt idx="380">
                  <c:v>2.0419291641049258E-2</c:v>
                </c:pt>
                <c:pt idx="381">
                  <c:v>2.0443819286400652E-2</c:v>
                </c:pt>
                <c:pt idx="382">
                  <c:v>2.0514688912756186E-2</c:v>
                </c:pt>
                <c:pt idx="383">
                  <c:v>2.0465861960800767E-2</c:v>
                </c:pt>
                <c:pt idx="384">
                  <c:v>2.0419777843645327E-2</c:v>
                </c:pt>
                <c:pt idx="385">
                  <c:v>2.0387668641771391E-2</c:v>
                </c:pt>
                <c:pt idx="386">
                  <c:v>2.0426447467384114E-2</c:v>
                </c:pt>
                <c:pt idx="387">
                  <c:v>2.0423332031654102E-2</c:v>
                </c:pt>
                <c:pt idx="388">
                  <c:v>2.033588888685291E-2</c:v>
                </c:pt>
                <c:pt idx="389">
                  <c:v>2.0340653323757053E-2</c:v>
                </c:pt>
                <c:pt idx="390">
                  <c:v>2.0326730471119894E-2</c:v>
                </c:pt>
                <c:pt idx="391">
                  <c:v>2.0358040427695203E-2</c:v>
                </c:pt>
                <c:pt idx="392">
                  <c:v>2.0343170584993298E-2</c:v>
                </c:pt>
                <c:pt idx="393">
                  <c:v>2.027900876904945E-2</c:v>
                </c:pt>
                <c:pt idx="394">
                  <c:v>2.0258074754527775E-2</c:v>
                </c:pt>
                <c:pt idx="395">
                  <c:v>2.0191992913037544E-2</c:v>
                </c:pt>
                <c:pt idx="396">
                  <c:v>2.0147911380015489E-2</c:v>
                </c:pt>
                <c:pt idx="397">
                  <c:v>2.0154233573976135E-2</c:v>
                </c:pt>
                <c:pt idx="398">
                  <c:v>2.0089018715438937E-2</c:v>
                </c:pt>
                <c:pt idx="399">
                  <c:v>2.0098888295666768E-2</c:v>
                </c:pt>
                <c:pt idx="400">
                  <c:v>2.0030147693367945E-2</c:v>
                </c:pt>
                <c:pt idx="401">
                  <c:v>2.0043031865444417E-2</c:v>
                </c:pt>
                <c:pt idx="402">
                  <c:v>2.0096394880553231E-2</c:v>
                </c:pt>
                <c:pt idx="403">
                  <c:v>2.0125351794044601E-2</c:v>
                </c:pt>
                <c:pt idx="404">
                  <c:v>2.0129533508699001E-2</c:v>
                </c:pt>
                <c:pt idx="405">
                  <c:v>2.0121514470077213E-2</c:v>
                </c:pt>
                <c:pt idx="406">
                  <c:v>2.0120225429215516E-2</c:v>
                </c:pt>
                <c:pt idx="407">
                  <c:v>2.0100969378627709E-2</c:v>
                </c:pt>
                <c:pt idx="408">
                  <c:v>2.0148157687014855E-2</c:v>
                </c:pt>
                <c:pt idx="409">
                  <c:v>2.0167454768691636E-2</c:v>
                </c:pt>
                <c:pt idx="410">
                  <c:v>2.0131697971175824E-2</c:v>
                </c:pt>
                <c:pt idx="411">
                  <c:v>2.0111242915744169E-2</c:v>
                </c:pt>
                <c:pt idx="412">
                  <c:v>2.0131234160243084E-2</c:v>
                </c:pt>
                <c:pt idx="413">
                  <c:v>2.0068545870568465E-2</c:v>
                </c:pt>
                <c:pt idx="414">
                  <c:v>2.0086887135950832E-2</c:v>
                </c:pt>
                <c:pt idx="415">
                  <c:v>2.0062527122629199E-2</c:v>
                </c:pt>
                <c:pt idx="416">
                  <c:v>2.0052198687617213E-2</c:v>
                </c:pt>
                <c:pt idx="417">
                  <c:v>1.9949229093273641E-2</c:v>
                </c:pt>
                <c:pt idx="418">
                  <c:v>1.9982046207035919E-2</c:v>
                </c:pt>
                <c:pt idx="419">
                  <c:v>1.9950094497053351E-2</c:v>
                </c:pt>
                <c:pt idx="420">
                  <c:v>1.998837654526664E-2</c:v>
                </c:pt>
                <c:pt idx="421">
                  <c:v>1.994172655965509E-2</c:v>
                </c:pt>
                <c:pt idx="422">
                  <c:v>1.9962376333882256E-2</c:v>
                </c:pt>
                <c:pt idx="423">
                  <c:v>1.9979324236497085E-2</c:v>
                </c:pt>
                <c:pt idx="424">
                  <c:v>1.9935911976232443E-2</c:v>
                </c:pt>
                <c:pt idx="425">
                  <c:v>1.9969869032914634E-2</c:v>
                </c:pt>
                <c:pt idx="426">
                  <c:v>2.0017285176663693E-2</c:v>
                </c:pt>
                <c:pt idx="427">
                  <c:v>1.9975200325867182E-2</c:v>
                </c:pt>
                <c:pt idx="428">
                  <c:v>2.0018372081697801E-2</c:v>
                </c:pt>
                <c:pt idx="429">
                  <c:v>2.0046422829423562E-2</c:v>
                </c:pt>
                <c:pt idx="430">
                  <c:v>2.0022063396728712E-2</c:v>
                </c:pt>
                <c:pt idx="431">
                  <c:v>2.0014727479885905E-2</c:v>
                </c:pt>
                <c:pt idx="432">
                  <c:v>2.00158222652266E-2</c:v>
                </c:pt>
                <c:pt idx="433">
                  <c:v>2.0030897485803483E-2</c:v>
                </c:pt>
                <c:pt idx="434">
                  <c:v>2.0003926537688062E-2</c:v>
                </c:pt>
                <c:pt idx="435">
                  <c:v>1.9952334922939026E-2</c:v>
                </c:pt>
                <c:pt idx="436">
                  <c:v>1.9919974065674244E-2</c:v>
                </c:pt>
                <c:pt idx="437">
                  <c:v>1.9875941342546801E-2</c:v>
                </c:pt>
                <c:pt idx="438">
                  <c:v>1.9848414892460663E-2</c:v>
                </c:pt>
                <c:pt idx="439">
                  <c:v>1.9885195137262127E-2</c:v>
                </c:pt>
                <c:pt idx="440">
                  <c:v>1.9882631993610698E-2</c:v>
                </c:pt>
                <c:pt idx="441">
                  <c:v>1.9893022136356561E-2</c:v>
                </c:pt>
                <c:pt idx="442">
                  <c:v>1.9899153420050535E-2</c:v>
                </c:pt>
                <c:pt idx="443">
                  <c:v>1.9874408318084735E-2</c:v>
                </c:pt>
                <c:pt idx="444">
                  <c:v>1.9847276591178818E-2</c:v>
                </c:pt>
                <c:pt idx="445">
                  <c:v>1.9875720719769119E-2</c:v>
                </c:pt>
                <c:pt idx="446">
                  <c:v>1.9852161974537763E-2</c:v>
                </c:pt>
                <c:pt idx="447">
                  <c:v>1.985279810546799E-2</c:v>
                </c:pt>
                <c:pt idx="448">
                  <c:v>1.987211588392488E-2</c:v>
                </c:pt>
                <c:pt idx="449">
                  <c:v>1.98709788573301E-2</c:v>
                </c:pt>
                <c:pt idx="450">
                  <c:v>1.9854222845106819E-2</c:v>
                </c:pt>
                <c:pt idx="451">
                  <c:v>1.9820133398559994E-2</c:v>
                </c:pt>
                <c:pt idx="452">
                  <c:v>1.9838042425270822E-2</c:v>
                </c:pt>
                <c:pt idx="453">
                  <c:v>1.9834108715986728E-2</c:v>
                </c:pt>
                <c:pt idx="454">
                  <c:v>1.9838956293249898E-2</c:v>
                </c:pt>
                <c:pt idx="455">
                  <c:v>1.9833204537486732E-2</c:v>
                </c:pt>
                <c:pt idx="456">
                  <c:v>1.983207664920782E-2</c:v>
                </c:pt>
                <c:pt idx="457">
                  <c:v>1.9826245455210088E-2</c:v>
                </c:pt>
                <c:pt idx="458">
                  <c:v>1.9866643154098241E-2</c:v>
                </c:pt>
                <c:pt idx="459">
                  <c:v>1.9829002055889253E-2</c:v>
                </c:pt>
                <c:pt idx="460">
                  <c:v>1.981195531768461E-2</c:v>
                </c:pt>
                <c:pt idx="461">
                  <c:v>1.9813199577952183E-2</c:v>
                </c:pt>
                <c:pt idx="462">
                  <c:v>1.9883260487933124E-2</c:v>
                </c:pt>
                <c:pt idx="463">
                  <c:v>1.9912550788610005E-2</c:v>
                </c:pt>
                <c:pt idx="464">
                  <c:v>1.9987931241919839E-2</c:v>
                </c:pt>
                <c:pt idx="465">
                  <c:v>2.0019369494259157E-2</c:v>
                </c:pt>
                <c:pt idx="466">
                  <c:v>2.0104649512726735E-2</c:v>
                </c:pt>
                <c:pt idx="467">
                  <c:v>2.0136605392402161E-2</c:v>
                </c:pt>
                <c:pt idx="468">
                  <c:v>2.0213771389715651E-2</c:v>
                </c:pt>
                <c:pt idx="469">
                  <c:v>2.0299844313190013E-2</c:v>
                </c:pt>
                <c:pt idx="470">
                  <c:v>2.0329611016566322E-2</c:v>
                </c:pt>
                <c:pt idx="471">
                  <c:v>2.0291777352399041E-2</c:v>
                </c:pt>
                <c:pt idx="472">
                  <c:v>2.0323465776040099E-2</c:v>
                </c:pt>
                <c:pt idx="473">
                  <c:v>2.0354753215906012E-2</c:v>
                </c:pt>
                <c:pt idx="474">
                  <c:v>2.0385562522320034E-2</c:v>
                </c:pt>
                <c:pt idx="475">
                  <c:v>2.0461454329315776E-2</c:v>
                </c:pt>
                <c:pt idx="476">
                  <c:v>2.0475870148093201E-2</c:v>
                </c:pt>
                <c:pt idx="477">
                  <c:v>2.0520861031057554E-2</c:v>
                </c:pt>
                <c:pt idx="478">
                  <c:v>2.059397916849505E-2</c:v>
                </c:pt>
                <c:pt idx="479">
                  <c:v>2.0643625573238004E-2</c:v>
                </c:pt>
                <c:pt idx="480">
                  <c:v>2.0719015722683393E-2</c:v>
                </c:pt>
                <c:pt idx="481">
                  <c:v>2.074652590369688E-2</c:v>
                </c:pt>
                <c:pt idx="482">
                  <c:v>2.0807451676665176E-2</c:v>
                </c:pt>
                <c:pt idx="483">
                  <c:v>2.0808630232371034E-2</c:v>
                </c:pt>
                <c:pt idx="484">
                  <c:v>2.0779979498743849E-2</c:v>
                </c:pt>
                <c:pt idx="485">
                  <c:v>2.0771429928649221E-2</c:v>
                </c:pt>
                <c:pt idx="486">
                  <c:v>2.0749727425634173E-2</c:v>
                </c:pt>
                <c:pt idx="487">
                  <c:v>2.0724971693571282E-2</c:v>
                </c:pt>
                <c:pt idx="488">
                  <c:v>2.0763890217524464E-2</c:v>
                </c:pt>
                <c:pt idx="489">
                  <c:v>2.0791852549750967E-2</c:v>
                </c:pt>
                <c:pt idx="490">
                  <c:v>2.0829909060494096E-2</c:v>
                </c:pt>
                <c:pt idx="491">
                  <c:v>2.0855635332915005E-2</c:v>
                </c:pt>
                <c:pt idx="492">
                  <c:v>2.0874585723777175E-2</c:v>
                </c:pt>
                <c:pt idx="493">
                  <c:v>2.0898846762063505E-2</c:v>
                </c:pt>
                <c:pt idx="494">
                  <c:v>2.0911397607075253E-2</c:v>
                </c:pt>
                <c:pt idx="495">
                  <c:v>2.0853446068878526E-2</c:v>
                </c:pt>
                <c:pt idx="496">
                  <c:v>2.0875149836640069E-2</c:v>
                </c:pt>
                <c:pt idx="497">
                  <c:v>2.0896262393701709E-2</c:v>
                </c:pt>
                <c:pt idx="498">
                  <c:v>2.0913186108725678E-2</c:v>
                </c:pt>
                <c:pt idx="499">
                  <c:v>2.102986456211715E-2</c:v>
                </c:pt>
                <c:pt idx="500">
                  <c:v>2.1099102351336139E-2</c:v>
                </c:pt>
                <c:pt idx="501">
                  <c:v>2.114568197071395E-2</c:v>
                </c:pt>
                <c:pt idx="502">
                  <c:v>2.1119014989921935E-2</c:v>
                </c:pt>
                <c:pt idx="503">
                  <c:v>2.1176823487159584E-2</c:v>
                </c:pt>
                <c:pt idx="504">
                  <c:v>2.1173016277522411E-2</c:v>
                </c:pt>
                <c:pt idx="505">
                  <c:v>2.1230385334621123E-2</c:v>
                </c:pt>
                <c:pt idx="506">
                  <c:v>2.126230952816139E-2</c:v>
                </c:pt>
                <c:pt idx="507">
                  <c:v>2.1336725214879969E-2</c:v>
                </c:pt>
                <c:pt idx="508">
                  <c:v>2.1406637135814977E-2</c:v>
                </c:pt>
                <c:pt idx="509">
                  <c:v>2.1405666452519297E-2</c:v>
                </c:pt>
                <c:pt idx="510">
                  <c:v>2.1413291777726075E-2</c:v>
                </c:pt>
                <c:pt idx="511">
                  <c:v>2.1411538033443759E-2</c:v>
                </c:pt>
                <c:pt idx="512">
                  <c:v>2.1449067076625195E-2</c:v>
                </c:pt>
                <c:pt idx="513">
                  <c:v>2.1465860881200782E-2</c:v>
                </c:pt>
                <c:pt idx="514">
                  <c:v>2.1517873003166731E-2</c:v>
                </c:pt>
                <c:pt idx="515">
                  <c:v>2.1538639309388281E-2</c:v>
                </c:pt>
                <c:pt idx="516">
                  <c:v>2.1619816886757116E-2</c:v>
                </c:pt>
                <c:pt idx="517">
                  <c:v>2.1683998914038497E-2</c:v>
                </c:pt>
                <c:pt idx="518">
                  <c:v>2.1729099015700661E-2</c:v>
                </c:pt>
                <c:pt idx="519">
                  <c:v>2.1778222222695109E-2</c:v>
                </c:pt>
                <c:pt idx="520">
                  <c:v>2.1786388644069947E-2</c:v>
                </c:pt>
                <c:pt idx="521">
                  <c:v>2.1854106747669199E-2</c:v>
                </c:pt>
                <c:pt idx="522">
                  <c:v>2.1853865630753894E-2</c:v>
                </c:pt>
                <c:pt idx="523">
                  <c:v>2.1883486445467403E-2</c:v>
                </c:pt>
                <c:pt idx="524">
                  <c:v>2.1949603194204421E-2</c:v>
                </c:pt>
                <c:pt idx="525">
                  <c:v>2.1953567432973085E-2</c:v>
                </c:pt>
                <c:pt idx="526">
                  <c:v>2.1932763153145227E-2</c:v>
                </c:pt>
                <c:pt idx="527">
                  <c:v>2.1943988320230076E-2</c:v>
                </c:pt>
                <c:pt idx="528">
                  <c:v>2.1974966830773629E-2</c:v>
                </c:pt>
                <c:pt idx="529">
                  <c:v>2.198005335960285E-2</c:v>
                </c:pt>
                <c:pt idx="530">
                  <c:v>2.2007059408445807E-2</c:v>
                </c:pt>
                <c:pt idx="531">
                  <c:v>2.20018744602462E-2</c:v>
                </c:pt>
                <c:pt idx="532">
                  <c:v>2.2052069563111447E-2</c:v>
                </c:pt>
                <c:pt idx="533">
                  <c:v>2.201284103736921E-2</c:v>
                </c:pt>
                <c:pt idx="534">
                  <c:v>2.1983826707022501E-2</c:v>
                </c:pt>
                <c:pt idx="535">
                  <c:v>2.2055973705789864E-2</c:v>
                </c:pt>
                <c:pt idx="536">
                  <c:v>2.2092115639584811E-2</c:v>
                </c:pt>
                <c:pt idx="537">
                  <c:v>2.2142483585341134E-2</c:v>
                </c:pt>
                <c:pt idx="538">
                  <c:v>2.2167534762673559E-2</c:v>
                </c:pt>
                <c:pt idx="539">
                  <c:v>2.2214987989574601E-2</c:v>
                </c:pt>
                <c:pt idx="540">
                  <c:v>2.224896766955535E-2</c:v>
                </c:pt>
                <c:pt idx="541">
                  <c:v>2.2235073815348515E-2</c:v>
                </c:pt>
                <c:pt idx="542">
                  <c:v>2.2287507092319882E-2</c:v>
                </c:pt>
                <c:pt idx="543">
                  <c:v>2.2357204130623313E-2</c:v>
                </c:pt>
                <c:pt idx="544">
                  <c:v>2.2351440037437255E-2</c:v>
                </c:pt>
                <c:pt idx="545">
                  <c:v>2.2360295327759488E-2</c:v>
                </c:pt>
                <c:pt idx="546">
                  <c:v>2.2382693830808625E-2</c:v>
                </c:pt>
                <c:pt idx="547">
                  <c:v>2.244717261468426E-2</c:v>
                </c:pt>
                <c:pt idx="548">
                  <c:v>2.2483983477418503E-2</c:v>
                </c:pt>
                <c:pt idx="549">
                  <c:v>2.25927355498916E-2</c:v>
                </c:pt>
                <c:pt idx="550">
                  <c:v>2.2615212278447983E-2</c:v>
                </c:pt>
                <c:pt idx="551">
                  <c:v>2.2638423574403096E-2</c:v>
                </c:pt>
                <c:pt idx="552">
                  <c:v>2.265264376764381E-2</c:v>
                </c:pt>
                <c:pt idx="553">
                  <c:v>2.2662129727941016E-2</c:v>
                </c:pt>
                <c:pt idx="554">
                  <c:v>2.2685511463562423E-2</c:v>
                </c:pt>
                <c:pt idx="555">
                  <c:v>2.273918085128776E-2</c:v>
                </c:pt>
                <c:pt idx="556">
                  <c:v>2.2779682253289035E-2</c:v>
                </c:pt>
                <c:pt idx="557">
                  <c:v>2.2831886945777233E-2</c:v>
                </c:pt>
                <c:pt idx="558">
                  <c:v>2.2875076906460127E-2</c:v>
                </c:pt>
                <c:pt idx="559">
                  <c:v>2.2858856573616637E-2</c:v>
                </c:pt>
                <c:pt idx="560">
                  <c:v>2.28564183237191E-2</c:v>
                </c:pt>
                <c:pt idx="561">
                  <c:v>2.2861304040373485E-2</c:v>
                </c:pt>
                <c:pt idx="562">
                  <c:v>2.2849051067760723E-2</c:v>
                </c:pt>
                <c:pt idx="563">
                  <c:v>2.2851302387474282E-2</c:v>
                </c:pt>
                <c:pt idx="564">
                  <c:v>2.2835958633638315E-2</c:v>
                </c:pt>
                <c:pt idx="565">
                  <c:v>2.2773857725809411E-2</c:v>
                </c:pt>
                <c:pt idx="566">
                  <c:v>2.2803991154486357E-2</c:v>
                </c:pt>
                <c:pt idx="567">
                  <c:v>2.2813867599578271E-2</c:v>
                </c:pt>
                <c:pt idx="568">
                  <c:v>2.2754990891918535E-2</c:v>
                </c:pt>
                <c:pt idx="569">
                  <c:v>2.2780471425231725E-2</c:v>
                </c:pt>
                <c:pt idx="570">
                  <c:v>2.2806218239622415E-2</c:v>
                </c:pt>
                <c:pt idx="571">
                  <c:v>2.2849557718222915E-2</c:v>
                </c:pt>
                <c:pt idx="572">
                  <c:v>2.2854626902257754E-2</c:v>
                </c:pt>
                <c:pt idx="573">
                  <c:v>2.2899087705658995E-2</c:v>
                </c:pt>
                <c:pt idx="574">
                  <c:v>2.293390411415067E-2</c:v>
                </c:pt>
                <c:pt idx="575">
                  <c:v>2.2943959944244495E-2</c:v>
                </c:pt>
                <c:pt idx="576">
                  <c:v>2.2991220627938402E-2</c:v>
                </c:pt>
                <c:pt idx="577">
                  <c:v>2.3006819035855237E-2</c:v>
                </c:pt>
                <c:pt idx="578">
                  <c:v>2.2962302480590814E-2</c:v>
                </c:pt>
                <c:pt idx="579">
                  <c:v>2.2947812856605521E-2</c:v>
                </c:pt>
                <c:pt idx="580">
                  <c:v>2.2951937009295903E-2</c:v>
                </c:pt>
                <c:pt idx="581">
                  <c:v>2.2919066869172007E-2</c:v>
                </c:pt>
                <c:pt idx="582">
                  <c:v>2.2948416497531564E-2</c:v>
                </c:pt>
                <c:pt idx="583">
                  <c:v>2.2985412530867933E-2</c:v>
                </c:pt>
                <c:pt idx="584">
                  <c:v>2.2949385644733974E-2</c:v>
                </c:pt>
                <c:pt idx="585">
                  <c:v>2.2927106450390502E-2</c:v>
                </c:pt>
                <c:pt idx="586">
                  <c:v>2.2898159934785368E-2</c:v>
                </c:pt>
                <c:pt idx="587">
                  <c:v>2.2839737383303062E-2</c:v>
                </c:pt>
                <c:pt idx="588">
                  <c:v>2.2767761730114962E-2</c:v>
                </c:pt>
                <c:pt idx="589">
                  <c:v>2.2695962536842421E-2</c:v>
                </c:pt>
                <c:pt idx="590">
                  <c:v>2.2718377661184421E-2</c:v>
                </c:pt>
                <c:pt idx="591">
                  <c:v>2.2646995865403936E-2</c:v>
                </c:pt>
                <c:pt idx="592">
                  <c:v>2.2628994171877213E-2</c:v>
                </c:pt>
                <c:pt idx="593">
                  <c:v>2.2594327760288024E-2</c:v>
                </c:pt>
                <c:pt idx="594">
                  <c:v>2.2572719207681984E-2</c:v>
                </c:pt>
                <c:pt idx="595">
                  <c:v>2.2585987131113983E-2</c:v>
                </c:pt>
                <c:pt idx="596">
                  <c:v>2.2576501277638342E-2</c:v>
                </c:pt>
                <c:pt idx="597">
                  <c:v>2.2577008553226717E-2</c:v>
                </c:pt>
                <c:pt idx="598">
                  <c:v>2.2518391227334414E-2</c:v>
                </c:pt>
                <c:pt idx="599">
                  <c:v>2.2466945198252028E-2</c:v>
                </c:pt>
                <c:pt idx="600">
                  <c:v>2.2433615887954655E-2</c:v>
                </c:pt>
                <c:pt idx="601">
                  <c:v>2.2432792282658057E-2</c:v>
                </c:pt>
                <c:pt idx="602">
                  <c:v>2.2436009771627331E-2</c:v>
                </c:pt>
                <c:pt idx="603">
                  <c:v>2.2451540664095281E-2</c:v>
                </c:pt>
                <c:pt idx="604">
                  <c:v>2.2439829822752489E-2</c:v>
                </c:pt>
                <c:pt idx="605">
                  <c:v>2.2432182278405349E-2</c:v>
                </c:pt>
                <c:pt idx="606">
                  <c:v>2.2419788669611751E-2</c:v>
                </c:pt>
                <c:pt idx="607">
                  <c:v>2.2346734982678272E-2</c:v>
                </c:pt>
                <c:pt idx="608">
                  <c:v>2.2342083616548457E-2</c:v>
                </c:pt>
                <c:pt idx="609">
                  <c:v>2.2333620443209443E-2</c:v>
                </c:pt>
                <c:pt idx="610">
                  <c:v>2.230792210117738E-2</c:v>
                </c:pt>
                <c:pt idx="611">
                  <c:v>2.233166245028077E-2</c:v>
                </c:pt>
                <c:pt idx="612">
                  <c:v>2.234099028772683E-2</c:v>
                </c:pt>
                <c:pt idx="613">
                  <c:v>2.2326250551765906E-2</c:v>
                </c:pt>
                <c:pt idx="614">
                  <c:v>2.2345717796695579E-2</c:v>
                </c:pt>
                <c:pt idx="615">
                  <c:v>2.231008572860186E-2</c:v>
                </c:pt>
                <c:pt idx="616">
                  <c:v>2.2254129409225519E-2</c:v>
                </c:pt>
                <c:pt idx="617">
                  <c:v>2.2248173775790629E-2</c:v>
                </c:pt>
                <c:pt idx="618">
                  <c:v>2.2229121085673386E-2</c:v>
                </c:pt>
                <c:pt idx="619">
                  <c:v>2.2233555391636954E-2</c:v>
                </c:pt>
                <c:pt idx="620">
                  <c:v>2.2164802952085186E-2</c:v>
                </c:pt>
                <c:pt idx="621">
                  <c:v>2.2092650404180427E-2</c:v>
                </c:pt>
                <c:pt idx="622">
                  <c:v>2.2037834967986801E-2</c:v>
                </c:pt>
                <c:pt idx="623">
                  <c:v>2.2034036668276708E-2</c:v>
                </c:pt>
                <c:pt idx="624">
                  <c:v>2.2000135104740547E-2</c:v>
                </c:pt>
                <c:pt idx="625">
                  <c:v>2.1949174762933496E-2</c:v>
                </c:pt>
                <c:pt idx="626">
                  <c:v>2.1876080164632765E-2</c:v>
                </c:pt>
                <c:pt idx="627">
                  <c:v>2.1807446570230302E-2</c:v>
                </c:pt>
                <c:pt idx="628">
                  <c:v>2.1787905238223278E-2</c:v>
                </c:pt>
                <c:pt idx="629">
                  <c:v>2.17536337414279E-2</c:v>
                </c:pt>
                <c:pt idx="630">
                  <c:v>2.1708940740792153E-2</c:v>
                </c:pt>
                <c:pt idx="631">
                  <c:v>2.1673142138457009E-2</c:v>
                </c:pt>
                <c:pt idx="632">
                  <c:v>2.1645765841920447E-2</c:v>
                </c:pt>
                <c:pt idx="633">
                  <c:v>2.169820606654083E-2</c:v>
                </c:pt>
                <c:pt idx="634">
                  <c:v>2.1660470502190107E-2</c:v>
                </c:pt>
                <c:pt idx="635">
                  <c:v>2.159287248673749E-2</c:v>
                </c:pt>
                <c:pt idx="636">
                  <c:v>2.1562611276740577E-2</c:v>
                </c:pt>
                <c:pt idx="637">
                  <c:v>2.1569615225558551E-2</c:v>
                </c:pt>
                <c:pt idx="638">
                  <c:v>2.1518721933187008E-2</c:v>
                </c:pt>
                <c:pt idx="639">
                  <c:v>2.1523873470437486E-2</c:v>
                </c:pt>
                <c:pt idx="640">
                  <c:v>2.1475433242370327E-2</c:v>
                </c:pt>
                <c:pt idx="641">
                  <c:v>2.1458102174525193E-2</c:v>
                </c:pt>
                <c:pt idx="642">
                  <c:v>2.1463125716853357E-2</c:v>
                </c:pt>
                <c:pt idx="643">
                  <c:v>2.1440737566581922E-2</c:v>
                </c:pt>
                <c:pt idx="644">
                  <c:v>2.1373792874073819E-2</c:v>
                </c:pt>
                <c:pt idx="645">
                  <c:v>2.1314704111445898E-2</c:v>
                </c:pt>
                <c:pt idx="646">
                  <c:v>2.1272151626601683E-2</c:v>
                </c:pt>
                <c:pt idx="647">
                  <c:v>2.1317478422610402E-2</c:v>
                </c:pt>
                <c:pt idx="648">
                  <c:v>2.1244856994595756E-2</c:v>
                </c:pt>
                <c:pt idx="649">
                  <c:v>2.1197998899367038E-2</c:v>
                </c:pt>
                <c:pt idx="650">
                  <c:v>2.1135490456183244E-2</c:v>
                </c:pt>
                <c:pt idx="651">
                  <c:v>2.1107856975725318E-2</c:v>
                </c:pt>
                <c:pt idx="652">
                  <c:v>2.1086801062172672E-2</c:v>
                </c:pt>
                <c:pt idx="653">
                  <c:v>2.1053799975237708E-2</c:v>
                </c:pt>
                <c:pt idx="654">
                  <c:v>2.1017087896828136E-2</c:v>
                </c:pt>
                <c:pt idx="655">
                  <c:v>2.0961533021264998E-2</c:v>
                </c:pt>
                <c:pt idx="656">
                  <c:v>2.0916108684285176E-2</c:v>
                </c:pt>
                <c:pt idx="657">
                  <c:v>2.086217291074639E-2</c:v>
                </c:pt>
                <c:pt idx="658">
                  <c:v>2.0869730979834137E-2</c:v>
                </c:pt>
                <c:pt idx="659">
                  <c:v>2.0880983885952744E-2</c:v>
                </c:pt>
                <c:pt idx="660">
                  <c:v>2.0889000574965032E-2</c:v>
                </c:pt>
                <c:pt idx="661">
                  <c:v>2.0888993084967687E-2</c:v>
                </c:pt>
                <c:pt idx="662">
                  <c:v>2.088926483318515E-2</c:v>
                </c:pt>
                <c:pt idx="663">
                  <c:v>2.089513738711498E-2</c:v>
                </c:pt>
                <c:pt idx="664">
                  <c:v>2.0827973940041877E-2</c:v>
                </c:pt>
                <c:pt idx="665">
                  <c:v>2.0797476953130389E-2</c:v>
                </c:pt>
                <c:pt idx="666">
                  <c:v>2.0811357844264623E-2</c:v>
                </c:pt>
                <c:pt idx="667">
                  <c:v>2.077930218686181E-2</c:v>
                </c:pt>
                <c:pt idx="668">
                  <c:v>2.0760517093821606E-2</c:v>
                </c:pt>
                <c:pt idx="669">
                  <c:v>2.0735400390194565E-2</c:v>
                </c:pt>
                <c:pt idx="670">
                  <c:v>2.0736682189437347E-2</c:v>
                </c:pt>
                <c:pt idx="671">
                  <c:v>2.0714151896107418E-2</c:v>
                </c:pt>
                <c:pt idx="672">
                  <c:v>2.0686164472405115E-2</c:v>
                </c:pt>
                <c:pt idx="673">
                  <c:v>2.0661292791067647E-2</c:v>
                </c:pt>
                <c:pt idx="674">
                  <c:v>2.068743249771229E-2</c:v>
                </c:pt>
                <c:pt idx="675">
                  <c:v>2.0637585753440879E-2</c:v>
                </c:pt>
                <c:pt idx="676">
                  <c:v>2.0573251021376734E-2</c:v>
                </c:pt>
                <c:pt idx="677">
                  <c:v>2.0533368735856677E-2</c:v>
                </c:pt>
                <c:pt idx="678">
                  <c:v>2.0443731225541342E-2</c:v>
                </c:pt>
                <c:pt idx="679">
                  <c:v>2.0429700946123078E-2</c:v>
                </c:pt>
                <c:pt idx="680">
                  <c:v>2.0413466297316551E-2</c:v>
                </c:pt>
                <c:pt idx="681">
                  <c:v>2.0432218678925477E-2</c:v>
                </c:pt>
                <c:pt idx="682">
                  <c:v>2.0388471397080454E-2</c:v>
                </c:pt>
                <c:pt idx="683">
                  <c:v>2.0398469875759079E-2</c:v>
                </c:pt>
                <c:pt idx="684">
                  <c:v>2.0398148363946801E-2</c:v>
                </c:pt>
                <c:pt idx="685">
                  <c:v>2.0302174955875919E-2</c:v>
                </c:pt>
                <c:pt idx="686">
                  <c:v>2.0289645071078159E-2</c:v>
                </c:pt>
                <c:pt idx="687">
                  <c:v>2.0217590339539813E-2</c:v>
                </c:pt>
                <c:pt idx="688">
                  <c:v>2.0145100602185301E-2</c:v>
                </c:pt>
                <c:pt idx="689">
                  <c:v>2.0142682989405074E-2</c:v>
                </c:pt>
                <c:pt idx="690">
                  <c:v>2.0067208643322738E-2</c:v>
                </c:pt>
                <c:pt idx="691">
                  <c:v>2.005183831700948E-2</c:v>
                </c:pt>
                <c:pt idx="692">
                  <c:v>2.0047902841396036E-2</c:v>
                </c:pt>
                <c:pt idx="693">
                  <c:v>2.0057295021294771E-2</c:v>
                </c:pt>
                <c:pt idx="694">
                  <c:v>2.0066191422299186E-2</c:v>
                </c:pt>
                <c:pt idx="695">
                  <c:v>2.0036039017227905E-2</c:v>
                </c:pt>
                <c:pt idx="696">
                  <c:v>1.9937175671596634E-2</c:v>
                </c:pt>
                <c:pt idx="697">
                  <c:v>1.9837854357527732E-2</c:v>
                </c:pt>
                <c:pt idx="698">
                  <c:v>1.9798774248111418E-2</c:v>
                </c:pt>
                <c:pt idx="699">
                  <c:v>1.9807047676960409E-2</c:v>
                </c:pt>
                <c:pt idx="700">
                  <c:v>1.9826653727349527E-2</c:v>
                </c:pt>
                <c:pt idx="701">
                  <c:v>1.9823179459042384E-2</c:v>
                </c:pt>
                <c:pt idx="702">
                  <c:v>1.9775665836371598E-2</c:v>
                </c:pt>
                <c:pt idx="703">
                  <c:v>1.9787387048042813E-2</c:v>
                </c:pt>
                <c:pt idx="704">
                  <c:v>1.9738629111669213E-2</c:v>
                </c:pt>
                <c:pt idx="705">
                  <c:v>1.9768941051551994E-2</c:v>
                </c:pt>
                <c:pt idx="706">
                  <c:v>1.9753253793238282E-2</c:v>
                </c:pt>
                <c:pt idx="707">
                  <c:v>1.9699305115663746E-2</c:v>
                </c:pt>
                <c:pt idx="708">
                  <c:v>1.9683375735667117E-2</c:v>
                </c:pt>
                <c:pt idx="709">
                  <c:v>1.9733075491284932E-2</c:v>
                </c:pt>
                <c:pt idx="710">
                  <c:v>1.9696369699377225E-2</c:v>
                </c:pt>
                <c:pt idx="711">
                  <c:v>1.9675971110679265E-2</c:v>
                </c:pt>
                <c:pt idx="712">
                  <c:v>1.9649636991305761E-2</c:v>
                </c:pt>
                <c:pt idx="713">
                  <c:v>1.9631349228603018E-2</c:v>
                </c:pt>
                <c:pt idx="714">
                  <c:v>1.961506104821412E-2</c:v>
                </c:pt>
                <c:pt idx="715">
                  <c:v>1.9571388576710848E-2</c:v>
                </c:pt>
                <c:pt idx="716">
                  <c:v>1.9540907627082712E-2</c:v>
                </c:pt>
                <c:pt idx="717">
                  <c:v>1.950551322339612E-2</c:v>
                </c:pt>
                <c:pt idx="718">
                  <c:v>1.9492861784687447E-2</c:v>
                </c:pt>
                <c:pt idx="719">
                  <c:v>1.9492061877178654E-2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582080"/>
        <c:axId val="433583616"/>
      </c:lineChart>
      <c:catAx>
        <c:axId val="433582080"/>
        <c:scaling>
          <c:orientation val="minMax"/>
        </c:scaling>
        <c:delete val="0"/>
        <c:axPos val="b"/>
        <c:numFmt formatCode="_-* #\,##0.00_-;\-* #\,##0.00_-;_-* &quot;-&quot;??_-;_-@_-" sourceLinked="1"/>
        <c:majorTickMark val="out"/>
        <c:minorTickMark val="none"/>
        <c:tickLblPos val="nextTo"/>
        <c:crossAx val="433583616"/>
        <c:crosses val="autoZero"/>
        <c:auto val="1"/>
        <c:lblAlgn val="ctr"/>
        <c:lblOffset val="100"/>
        <c:noMultiLvlLbl val="0"/>
      </c:catAx>
      <c:valAx>
        <c:axId val="433583616"/>
        <c:scaling>
          <c:orientation val="minMax"/>
          <c:max val="7.0000000000000021E-2"/>
          <c:min val="3.0000000000000002E-2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33582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Output!$AF$12:$AF$731</c:f>
              <c:numCache>
                <c:formatCode>_-* #\,##0.00_-;\-* #\,##0.00_-;_-*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xVal>
          <c:yVal>
            <c:numRef>
              <c:f>Output!$AG$12:$AG$731</c:f>
              <c:numCache>
                <c:formatCode>General</c:formatCode>
                <c:ptCount val="720"/>
                <c:pt idx="0">
                  <c:v>2.027573800325182E-2</c:v>
                </c:pt>
                <c:pt idx="1">
                  <c:v>2.0178853718137303E-2</c:v>
                </c:pt>
                <c:pt idx="2">
                  <c:v>2.0404092745427434E-2</c:v>
                </c:pt>
                <c:pt idx="3">
                  <c:v>2.0662599399057537E-2</c:v>
                </c:pt>
                <c:pt idx="4">
                  <c:v>2.0729383216836577E-2</c:v>
                </c:pt>
                <c:pt idx="5">
                  <c:v>2.0764869385170266E-2</c:v>
                </c:pt>
                <c:pt idx="6">
                  <c:v>2.1025737077655447E-2</c:v>
                </c:pt>
                <c:pt idx="7">
                  <c:v>2.1092290121210097E-2</c:v>
                </c:pt>
                <c:pt idx="8">
                  <c:v>2.1174649509956792E-2</c:v>
                </c:pt>
                <c:pt idx="9">
                  <c:v>2.142481597144821E-2</c:v>
                </c:pt>
                <c:pt idx="10">
                  <c:v>2.1611571923933297E-2</c:v>
                </c:pt>
                <c:pt idx="11">
                  <c:v>2.178515942226128E-2</c:v>
                </c:pt>
                <c:pt idx="12">
                  <c:v>2.2139346517841482E-2</c:v>
                </c:pt>
                <c:pt idx="13">
                  <c:v>2.2366815314703539E-2</c:v>
                </c:pt>
                <c:pt idx="14">
                  <c:v>2.263813632220844E-2</c:v>
                </c:pt>
                <c:pt idx="15">
                  <c:v>2.2738638008564117E-2</c:v>
                </c:pt>
                <c:pt idx="16">
                  <c:v>2.3043284260239449E-2</c:v>
                </c:pt>
                <c:pt idx="17">
                  <c:v>2.3220965655747747E-2</c:v>
                </c:pt>
                <c:pt idx="18">
                  <c:v>2.3502446831331736E-2</c:v>
                </c:pt>
                <c:pt idx="19">
                  <c:v>2.3742542706864229E-2</c:v>
                </c:pt>
                <c:pt idx="20">
                  <c:v>2.3959252353132683E-2</c:v>
                </c:pt>
                <c:pt idx="21">
                  <c:v>2.4314743549574237E-2</c:v>
                </c:pt>
                <c:pt idx="22">
                  <c:v>2.4534374109042179E-2</c:v>
                </c:pt>
                <c:pt idx="23">
                  <c:v>2.4846688115025811E-2</c:v>
                </c:pt>
                <c:pt idx="24">
                  <c:v>2.5116199968129561E-2</c:v>
                </c:pt>
                <c:pt idx="25">
                  <c:v>2.5353528475743951E-2</c:v>
                </c:pt>
                <c:pt idx="26">
                  <c:v>2.558347535797223E-2</c:v>
                </c:pt>
                <c:pt idx="27">
                  <c:v>2.5833845680941582E-2</c:v>
                </c:pt>
                <c:pt idx="28">
                  <c:v>2.6075862409354836E-2</c:v>
                </c:pt>
                <c:pt idx="29">
                  <c:v>2.6473728335121523E-2</c:v>
                </c:pt>
                <c:pt idx="30">
                  <c:v>2.6790698147766186E-2</c:v>
                </c:pt>
                <c:pt idx="31">
                  <c:v>2.7153179896982352E-2</c:v>
                </c:pt>
                <c:pt idx="32">
                  <c:v>2.7549851554559725E-2</c:v>
                </c:pt>
                <c:pt idx="33">
                  <c:v>2.7791389339640437E-2</c:v>
                </c:pt>
                <c:pt idx="34">
                  <c:v>2.8145919774087442E-2</c:v>
                </c:pt>
                <c:pt idx="35">
                  <c:v>2.8487721421918494E-2</c:v>
                </c:pt>
                <c:pt idx="36">
                  <c:v>2.8895534675502901E-2</c:v>
                </c:pt>
                <c:pt idx="37">
                  <c:v>2.9221253791511578E-2</c:v>
                </c:pt>
                <c:pt idx="38">
                  <c:v>2.9531582177738776E-2</c:v>
                </c:pt>
                <c:pt idx="39">
                  <c:v>2.9906105023731099E-2</c:v>
                </c:pt>
                <c:pt idx="40">
                  <c:v>3.0257664078406799E-2</c:v>
                </c:pt>
                <c:pt idx="41">
                  <c:v>3.070927644231557E-2</c:v>
                </c:pt>
                <c:pt idx="42">
                  <c:v>3.1178275034224951E-2</c:v>
                </c:pt>
                <c:pt idx="43">
                  <c:v>3.1474634770141306E-2</c:v>
                </c:pt>
                <c:pt idx="44">
                  <c:v>3.1797265093581197E-2</c:v>
                </c:pt>
                <c:pt idx="45">
                  <c:v>3.2130197854108054E-2</c:v>
                </c:pt>
                <c:pt idx="46">
                  <c:v>3.2478150528870223E-2</c:v>
                </c:pt>
                <c:pt idx="47">
                  <c:v>3.2922850828754915E-2</c:v>
                </c:pt>
                <c:pt idx="48">
                  <c:v>3.3296198497034794E-2</c:v>
                </c:pt>
                <c:pt idx="49">
                  <c:v>3.3645811235357606E-2</c:v>
                </c:pt>
                <c:pt idx="50">
                  <c:v>3.4004988995284487E-2</c:v>
                </c:pt>
                <c:pt idx="51">
                  <c:v>3.4386906956715001E-2</c:v>
                </c:pt>
                <c:pt idx="52">
                  <c:v>3.4667310793545632E-2</c:v>
                </c:pt>
                <c:pt idx="53">
                  <c:v>3.5025028427015728E-2</c:v>
                </c:pt>
                <c:pt idx="54">
                  <c:v>3.5428846241731413E-2</c:v>
                </c:pt>
                <c:pt idx="55">
                  <c:v>3.5775550055144857E-2</c:v>
                </c:pt>
                <c:pt idx="56">
                  <c:v>3.6178038903662696E-2</c:v>
                </c:pt>
                <c:pt idx="57">
                  <c:v>3.6516518770595377E-2</c:v>
                </c:pt>
                <c:pt idx="58">
                  <c:v>3.6849084493805431E-2</c:v>
                </c:pt>
                <c:pt idx="59">
                  <c:v>3.7173011824862767E-2</c:v>
                </c:pt>
                <c:pt idx="60">
                  <c:v>3.7435658343409971E-2</c:v>
                </c:pt>
                <c:pt idx="61">
                  <c:v>3.7822093754463944E-2</c:v>
                </c:pt>
                <c:pt idx="62">
                  <c:v>3.8220864196499532E-2</c:v>
                </c:pt>
                <c:pt idx="63">
                  <c:v>3.8591396678945414E-2</c:v>
                </c:pt>
                <c:pt idx="64">
                  <c:v>3.8956201788856698E-2</c:v>
                </c:pt>
                <c:pt idx="65">
                  <c:v>3.9249527141860772E-2</c:v>
                </c:pt>
                <c:pt idx="66">
                  <c:v>3.9620471149145173E-2</c:v>
                </c:pt>
                <c:pt idx="67">
                  <c:v>4.0008885912660754E-2</c:v>
                </c:pt>
                <c:pt idx="68">
                  <c:v>4.0374203235979789E-2</c:v>
                </c:pt>
                <c:pt idx="69">
                  <c:v>4.0704933577974868E-2</c:v>
                </c:pt>
                <c:pt idx="70">
                  <c:v>4.104368509281707E-2</c:v>
                </c:pt>
                <c:pt idx="71">
                  <c:v>4.1450071147547556E-2</c:v>
                </c:pt>
                <c:pt idx="72">
                  <c:v>4.1792266325732484E-2</c:v>
                </c:pt>
                <c:pt idx="73">
                  <c:v>4.2154823364764733E-2</c:v>
                </c:pt>
                <c:pt idx="74">
                  <c:v>4.2459605053465743E-2</c:v>
                </c:pt>
                <c:pt idx="75">
                  <c:v>4.2783851484118125E-2</c:v>
                </c:pt>
                <c:pt idx="76">
                  <c:v>4.3100599132496975E-2</c:v>
                </c:pt>
                <c:pt idx="77">
                  <c:v>4.3411986723155348E-2</c:v>
                </c:pt>
                <c:pt idx="78">
                  <c:v>4.3781460160620463E-2</c:v>
                </c:pt>
                <c:pt idx="79">
                  <c:v>4.4100684490233272E-2</c:v>
                </c:pt>
                <c:pt idx="80">
                  <c:v>4.4431646077488188E-2</c:v>
                </c:pt>
                <c:pt idx="81">
                  <c:v>4.4814836251296397E-2</c:v>
                </c:pt>
                <c:pt idx="82">
                  <c:v>4.5094249990416176E-2</c:v>
                </c:pt>
                <c:pt idx="83">
                  <c:v>4.5457807513465898E-2</c:v>
                </c:pt>
                <c:pt idx="84">
                  <c:v>4.5798558840386402E-2</c:v>
                </c:pt>
                <c:pt idx="85">
                  <c:v>4.6138620021190964E-2</c:v>
                </c:pt>
                <c:pt idx="86">
                  <c:v>4.646899326815223E-2</c:v>
                </c:pt>
                <c:pt idx="87">
                  <c:v>4.6750475933782377E-2</c:v>
                </c:pt>
                <c:pt idx="88">
                  <c:v>4.7071440090556416E-2</c:v>
                </c:pt>
                <c:pt idx="89">
                  <c:v>4.7345306604946034E-2</c:v>
                </c:pt>
                <c:pt idx="90">
                  <c:v>4.7702123531130805E-2</c:v>
                </c:pt>
                <c:pt idx="91">
                  <c:v>4.8063195165147177E-2</c:v>
                </c:pt>
                <c:pt idx="92">
                  <c:v>4.8360389717631617E-2</c:v>
                </c:pt>
                <c:pt idx="93">
                  <c:v>4.8730337955782223E-2</c:v>
                </c:pt>
                <c:pt idx="94">
                  <c:v>4.9069615910118033E-2</c:v>
                </c:pt>
                <c:pt idx="95">
                  <c:v>4.9401747945838695E-2</c:v>
                </c:pt>
                <c:pt idx="96">
                  <c:v>4.9772482813959108E-2</c:v>
                </c:pt>
                <c:pt idx="97">
                  <c:v>5.0070192316772053E-2</c:v>
                </c:pt>
                <c:pt idx="98">
                  <c:v>5.0392999523083813E-2</c:v>
                </c:pt>
                <c:pt idx="99">
                  <c:v>5.0737683879256083E-2</c:v>
                </c:pt>
                <c:pt idx="100">
                  <c:v>5.1081739552981141E-2</c:v>
                </c:pt>
                <c:pt idx="101">
                  <c:v>5.1395542619704034E-2</c:v>
                </c:pt>
                <c:pt idx="102">
                  <c:v>5.1800685127424306E-2</c:v>
                </c:pt>
                <c:pt idx="103">
                  <c:v>5.2120129229789265E-2</c:v>
                </c:pt>
                <c:pt idx="104">
                  <c:v>5.2469107961466172E-2</c:v>
                </c:pt>
                <c:pt idx="105">
                  <c:v>5.2819673968141412E-2</c:v>
                </c:pt>
                <c:pt idx="106">
                  <c:v>5.3143810430145204E-2</c:v>
                </c:pt>
                <c:pt idx="107">
                  <c:v>5.3495255850228074E-2</c:v>
                </c:pt>
                <c:pt idx="108">
                  <c:v>5.3846338257583178E-2</c:v>
                </c:pt>
                <c:pt idx="109">
                  <c:v>5.4140870899667896E-2</c:v>
                </c:pt>
                <c:pt idx="110">
                  <c:v>5.4487038819576526E-2</c:v>
                </c:pt>
                <c:pt idx="111">
                  <c:v>5.4805408132416973E-2</c:v>
                </c:pt>
                <c:pt idx="112">
                  <c:v>5.5123079649294318E-2</c:v>
                </c:pt>
                <c:pt idx="113">
                  <c:v>5.5442592501473174E-2</c:v>
                </c:pt>
                <c:pt idx="114">
                  <c:v>5.5790046595898361E-2</c:v>
                </c:pt>
                <c:pt idx="115">
                  <c:v>5.6107477724087765E-2</c:v>
                </c:pt>
                <c:pt idx="116">
                  <c:v>5.6432113190962363E-2</c:v>
                </c:pt>
                <c:pt idx="117">
                  <c:v>5.6780349522976184E-2</c:v>
                </c:pt>
                <c:pt idx="118">
                  <c:v>5.7134058157479857E-2</c:v>
                </c:pt>
                <c:pt idx="119">
                  <c:v>5.747281046527164E-2</c:v>
                </c:pt>
                <c:pt idx="120">
                  <c:v>5.7807771462422906E-2</c:v>
                </c:pt>
                <c:pt idx="121">
                  <c:v>5.8181806886673251E-2</c:v>
                </c:pt>
                <c:pt idx="122">
                  <c:v>5.8513734235704169E-2</c:v>
                </c:pt>
                <c:pt idx="123">
                  <c:v>5.8872190875096292E-2</c:v>
                </c:pt>
                <c:pt idx="124">
                  <c:v>5.916648622485933E-2</c:v>
                </c:pt>
                <c:pt idx="125">
                  <c:v>5.9486206441542712E-2</c:v>
                </c:pt>
                <c:pt idx="126">
                  <c:v>5.9834908879870502E-2</c:v>
                </c:pt>
                <c:pt idx="127">
                  <c:v>6.0152401382978629E-2</c:v>
                </c:pt>
                <c:pt idx="128">
                  <c:v>6.046732151624306E-2</c:v>
                </c:pt>
                <c:pt idx="129">
                  <c:v>6.0779971690329684E-2</c:v>
                </c:pt>
                <c:pt idx="130">
                  <c:v>6.1071122739471628E-2</c:v>
                </c:pt>
                <c:pt idx="131">
                  <c:v>6.1387689933591692E-2</c:v>
                </c:pt>
                <c:pt idx="132">
                  <c:v>6.17273643822163E-2</c:v>
                </c:pt>
                <c:pt idx="133">
                  <c:v>6.2033066996231151E-2</c:v>
                </c:pt>
                <c:pt idx="134">
                  <c:v>6.2392996655182435E-2</c:v>
                </c:pt>
                <c:pt idx="135">
                  <c:v>6.2703191630912813E-2</c:v>
                </c:pt>
                <c:pt idx="136">
                  <c:v>6.3034027813692772E-2</c:v>
                </c:pt>
                <c:pt idx="137">
                  <c:v>6.3349386168614699E-2</c:v>
                </c:pt>
                <c:pt idx="138">
                  <c:v>6.3645412893893499E-2</c:v>
                </c:pt>
                <c:pt idx="139">
                  <c:v>6.3927173965792269E-2</c:v>
                </c:pt>
                <c:pt idx="140">
                  <c:v>6.4257026358753105E-2</c:v>
                </c:pt>
                <c:pt idx="141">
                  <c:v>6.4534557117501543E-2</c:v>
                </c:pt>
                <c:pt idx="142">
                  <c:v>6.486627078701751E-2</c:v>
                </c:pt>
                <c:pt idx="143">
                  <c:v>6.5224192265379788E-2</c:v>
                </c:pt>
                <c:pt idx="144">
                  <c:v>6.5557612731065501E-2</c:v>
                </c:pt>
                <c:pt idx="145">
                  <c:v>6.5893448294156109E-2</c:v>
                </c:pt>
                <c:pt idx="146">
                  <c:v>6.6258313659217111E-2</c:v>
                </c:pt>
                <c:pt idx="147">
                  <c:v>6.6577666468211227E-2</c:v>
                </c:pt>
                <c:pt idx="148">
                  <c:v>6.6893076321854511E-2</c:v>
                </c:pt>
                <c:pt idx="149">
                  <c:v>6.7238686074723442E-2</c:v>
                </c:pt>
                <c:pt idx="150">
                  <c:v>6.7613427236021262E-2</c:v>
                </c:pt>
                <c:pt idx="151">
                  <c:v>6.7925912492329626E-2</c:v>
                </c:pt>
                <c:pt idx="152">
                  <c:v>6.8259101385985524E-2</c:v>
                </c:pt>
                <c:pt idx="153">
                  <c:v>6.8558735808737031E-2</c:v>
                </c:pt>
                <c:pt idx="154">
                  <c:v>6.8855546369151449E-2</c:v>
                </c:pt>
                <c:pt idx="155">
                  <c:v>6.9157537402158201E-2</c:v>
                </c:pt>
                <c:pt idx="156">
                  <c:v>6.9470930334388933E-2</c:v>
                </c:pt>
                <c:pt idx="157">
                  <c:v>6.9795586951767602E-2</c:v>
                </c:pt>
                <c:pt idx="158">
                  <c:v>7.0128345980086881E-2</c:v>
                </c:pt>
                <c:pt idx="159">
                  <c:v>7.0456577652868072E-2</c:v>
                </c:pt>
                <c:pt idx="160">
                  <c:v>7.0761160113322702E-2</c:v>
                </c:pt>
                <c:pt idx="161">
                  <c:v>7.1083865694031051E-2</c:v>
                </c:pt>
                <c:pt idx="162">
                  <c:v>7.138747035218658E-2</c:v>
                </c:pt>
                <c:pt idx="163">
                  <c:v>7.1700900339742427E-2</c:v>
                </c:pt>
                <c:pt idx="164">
                  <c:v>7.2007311748046463E-2</c:v>
                </c:pt>
                <c:pt idx="165">
                  <c:v>7.2340907724256609E-2</c:v>
                </c:pt>
                <c:pt idx="166">
                  <c:v>7.2675452111609168E-2</c:v>
                </c:pt>
                <c:pt idx="167">
                  <c:v>7.2960266115284028E-2</c:v>
                </c:pt>
                <c:pt idx="168">
                  <c:v>7.3258671368363379E-2</c:v>
                </c:pt>
                <c:pt idx="169">
                  <c:v>7.3585919831884464E-2</c:v>
                </c:pt>
                <c:pt idx="170">
                  <c:v>7.3914869258076318E-2</c:v>
                </c:pt>
                <c:pt idx="171">
                  <c:v>7.4198829206686037E-2</c:v>
                </c:pt>
                <c:pt idx="172">
                  <c:v>7.4522702930542487E-2</c:v>
                </c:pt>
                <c:pt idx="173">
                  <c:v>7.4803598523557682E-2</c:v>
                </c:pt>
                <c:pt idx="174">
                  <c:v>7.512861043372171E-2</c:v>
                </c:pt>
                <c:pt idx="175">
                  <c:v>7.5397106600662289E-2</c:v>
                </c:pt>
                <c:pt idx="176">
                  <c:v>7.5709775607835969E-2</c:v>
                </c:pt>
                <c:pt idx="177">
                  <c:v>7.6003483199386504E-2</c:v>
                </c:pt>
                <c:pt idx="178">
                  <c:v>7.6338159333670164E-2</c:v>
                </c:pt>
                <c:pt idx="179">
                  <c:v>7.6647273965973234E-2</c:v>
                </c:pt>
                <c:pt idx="180">
                  <c:v>7.695666282984838E-2</c:v>
                </c:pt>
                <c:pt idx="181">
                  <c:v>7.7247069539288671E-2</c:v>
                </c:pt>
                <c:pt idx="182">
                  <c:v>7.7527896737022539E-2</c:v>
                </c:pt>
                <c:pt idx="183">
                  <c:v>7.7845930449438341E-2</c:v>
                </c:pt>
                <c:pt idx="184">
                  <c:v>7.8146557705157868E-2</c:v>
                </c:pt>
                <c:pt idx="185">
                  <c:v>7.8459193088721457E-2</c:v>
                </c:pt>
                <c:pt idx="186">
                  <c:v>7.8752512612192307E-2</c:v>
                </c:pt>
                <c:pt idx="187">
                  <c:v>7.9069633613389936E-2</c:v>
                </c:pt>
                <c:pt idx="188">
                  <c:v>7.9360270750239228E-2</c:v>
                </c:pt>
                <c:pt idx="189">
                  <c:v>7.9681342022825272E-2</c:v>
                </c:pt>
                <c:pt idx="190">
                  <c:v>7.995374094897402E-2</c:v>
                </c:pt>
                <c:pt idx="191">
                  <c:v>8.0250922470972014E-2</c:v>
                </c:pt>
                <c:pt idx="192">
                  <c:v>8.0501330972306218E-2</c:v>
                </c:pt>
                <c:pt idx="193">
                  <c:v>8.0823429481143155E-2</c:v>
                </c:pt>
                <c:pt idx="194">
                  <c:v>8.113369894358255E-2</c:v>
                </c:pt>
                <c:pt idx="195">
                  <c:v>8.1395888377887388E-2</c:v>
                </c:pt>
                <c:pt idx="196">
                  <c:v>8.1659305276668384E-2</c:v>
                </c:pt>
                <c:pt idx="197">
                  <c:v>8.1956759689410685E-2</c:v>
                </c:pt>
                <c:pt idx="198">
                  <c:v>8.2236803921397206E-2</c:v>
                </c:pt>
                <c:pt idx="199">
                  <c:v>8.2506370706995708E-2</c:v>
                </c:pt>
                <c:pt idx="200">
                  <c:v>8.2780984788736411E-2</c:v>
                </c:pt>
                <c:pt idx="201">
                  <c:v>8.3022706600663562E-2</c:v>
                </c:pt>
                <c:pt idx="202">
                  <c:v>8.3311792573633622E-2</c:v>
                </c:pt>
                <c:pt idx="203">
                  <c:v>8.3576743321831098E-2</c:v>
                </c:pt>
                <c:pt idx="204">
                  <c:v>8.3840227849955207E-2</c:v>
                </c:pt>
                <c:pt idx="205">
                  <c:v>8.4143285795516706E-2</c:v>
                </c:pt>
                <c:pt idx="206">
                  <c:v>8.4410472568915762E-2</c:v>
                </c:pt>
                <c:pt idx="207">
                  <c:v>8.4689670237492923E-2</c:v>
                </c:pt>
                <c:pt idx="208">
                  <c:v>8.4998713244179805E-2</c:v>
                </c:pt>
                <c:pt idx="209">
                  <c:v>8.5297872944961758E-2</c:v>
                </c:pt>
                <c:pt idx="210">
                  <c:v>8.555594198681056E-2</c:v>
                </c:pt>
                <c:pt idx="211">
                  <c:v>8.5840655744545385E-2</c:v>
                </c:pt>
                <c:pt idx="212">
                  <c:v>8.6092646244299298E-2</c:v>
                </c:pt>
                <c:pt idx="213">
                  <c:v>8.6355233287227495E-2</c:v>
                </c:pt>
                <c:pt idx="214">
                  <c:v>8.6620883004101201E-2</c:v>
                </c:pt>
                <c:pt idx="215">
                  <c:v>8.6920661511451558E-2</c:v>
                </c:pt>
                <c:pt idx="216">
                  <c:v>8.718480115995586E-2</c:v>
                </c:pt>
                <c:pt idx="217">
                  <c:v>8.7439864822281749E-2</c:v>
                </c:pt>
                <c:pt idx="218">
                  <c:v>8.7691384873936046E-2</c:v>
                </c:pt>
                <c:pt idx="219">
                  <c:v>8.7971955763523929E-2</c:v>
                </c:pt>
                <c:pt idx="220">
                  <c:v>8.8246927586286744E-2</c:v>
                </c:pt>
                <c:pt idx="221">
                  <c:v>8.8503776541256754E-2</c:v>
                </c:pt>
                <c:pt idx="222">
                  <c:v>8.878294540048641E-2</c:v>
                </c:pt>
                <c:pt idx="223">
                  <c:v>8.9069205300248783E-2</c:v>
                </c:pt>
                <c:pt idx="224">
                  <c:v>8.9346282709426295E-2</c:v>
                </c:pt>
                <c:pt idx="225">
                  <c:v>8.9589057420295923E-2</c:v>
                </c:pt>
                <c:pt idx="226">
                  <c:v>8.9837777197906601E-2</c:v>
                </c:pt>
                <c:pt idx="227">
                  <c:v>9.0145358934832803E-2</c:v>
                </c:pt>
                <c:pt idx="228">
                  <c:v>9.0409410229524936E-2</c:v>
                </c:pt>
                <c:pt idx="229">
                  <c:v>9.0676387467355429E-2</c:v>
                </c:pt>
                <c:pt idx="230">
                  <c:v>9.0950296467560102E-2</c:v>
                </c:pt>
                <c:pt idx="231">
                  <c:v>9.1258115960089634E-2</c:v>
                </c:pt>
                <c:pt idx="232">
                  <c:v>9.1525082447398251E-2</c:v>
                </c:pt>
                <c:pt idx="233">
                  <c:v>9.1822517659148326E-2</c:v>
                </c:pt>
                <c:pt idx="234">
                  <c:v>9.20736026018113E-2</c:v>
                </c:pt>
                <c:pt idx="235">
                  <c:v>9.2354278588996308E-2</c:v>
                </c:pt>
                <c:pt idx="236">
                  <c:v>9.2632897834476424E-2</c:v>
                </c:pt>
                <c:pt idx="237">
                  <c:v>9.2937127979544967E-2</c:v>
                </c:pt>
                <c:pt idx="238">
                  <c:v>9.3219252823701165E-2</c:v>
                </c:pt>
                <c:pt idx="239">
                  <c:v>9.3512053540458454E-2</c:v>
                </c:pt>
                <c:pt idx="240">
                  <c:v>9.3768732770138405E-2</c:v>
                </c:pt>
                <c:pt idx="241">
                  <c:v>9.4056363902672288E-2</c:v>
                </c:pt>
                <c:pt idx="242">
                  <c:v>9.4344956116811554E-2</c:v>
                </c:pt>
                <c:pt idx="243">
                  <c:v>9.4587150416119051E-2</c:v>
                </c:pt>
                <c:pt idx="244">
                  <c:v>9.4875904543152673E-2</c:v>
                </c:pt>
                <c:pt idx="245">
                  <c:v>9.5152232362883879E-2</c:v>
                </c:pt>
                <c:pt idx="246">
                  <c:v>9.5432486311585379E-2</c:v>
                </c:pt>
                <c:pt idx="247">
                  <c:v>9.5728664416039375E-2</c:v>
                </c:pt>
                <c:pt idx="248">
                  <c:v>9.5993953579520647E-2</c:v>
                </c:pt>
                <c:pt idx="249">
                  <c:v>9.6276241510830973E-2</c:v>
                </c:pt>
                <c:pt idx="250">
                  <c:v>9.6557758668474603E-2</c:v>
                </c:pt>
                <c:pt idx="251">
                  <c:v>9.6818584402628277E-2</c:v>
                </c:pt>
                <c:pt idx="252">
                  <c:v>9.7102288199693423E-2</c:v>
                </c:pt>
                <c:pt idx="253">
                  <c:v>9.7400525681622399E-2</c:v>
                </c:pt>
                <c:pt idx="254">
                  <c:v>9.7687153805504218E-2</c:v>
                </c:pt>
                <c:pt idx="255">
                  <c:v>9.7962923297167326E-2</c:v>
                </c:pt>
                <c:pt idx="256">
                  <c:v>9.8266680452852945E-2</c:v>
                </c:pt>
                <c:pt idx="257">
                  <c:v>9.8512258621469034E-2</c:v>
                </c:pt>
                <c:pt idx="258">
                  <c:v>9.8807137791191865E-2</c:v>
                </c:pt>
                <c:pt idx="259">
                  <c:v>9.9061866970035772E-2</c:v>
                </c:pt>
                <c:pt idx="260">
                  <c:v>9.9335925718128798E-2</c:v>
                </c:pt>
                <c:pt idx="261">
                  <c:v>9.9593393347883336E-2</c:v>
                </c:pt>
                <c:pt idx="262">
                  <c:v>9.9850369583855889E-2</c:v>
                </c:pt>
                <c:pt idx="263">
                  <c:v>0.10011632996331245</c:v>
                </c:pt>
                <c:pt idx="264">
                  <c:v>0.1003885883905215</c:v>
                </c:pt>
                <c:pt idx="265">
                  <c:v>0.10064560045000552</c:v>
                </c:pt>
                <c:pt idx="266">
                  <c:v>0.10090132988682679</c:v>
                </c:pt>
                <c:pt idx="267">
                  <c:v>0.10114712150060044</c:v>
                </c:pt>
                <c:pt idx="268">
                  <c:v>0.10138222441502888</c:v>
                </c:pt>
                <c:pt idx="269">
                  <c:v>0.10160548234735925</c:v>
                </c:pt>
                <c:pt idx="270">
                  <c:v>0.10187956034680186</c:v>
                </c:pt>
                <c:pt idx="271">
                  <c:v>0.10211438023600497</c:v>
                </c:pt>
                <c:pt idx="272">
                  <c:v>0.10235460008432293</c:v>
                </c:pt>
                <c:pt idx="273">
                  <c:v>0.10259720192992292</c:v>
                </c:pt>
                <c:pt idx="274">
                  <c:v>0.10285319703859765</c:v>
                </c:pt>
                <c:pt idx="275">
                  <c:v>0.10307222864210092</c:v>
                </c:pt>
                <c:pt idx="276">
                  <c:v>0.10332336038827221</c:v>
                </c:pt>
                <c:pt idx="277">
                  <c:v>0.10356946827191341</c:v>
                </c:pt>
                <c:pt idx="278">
                  <c:v>0.10379196987605616</c:v>
                </c:pt>
                <c:pt idx="279">
                  <c:v>0.10401628435312456</c:v>
                </c:pt>
                <c:pt idx="280">
                  <c:v>0.1042567149770344</c:v>
                </c:pt>
                <c:pt idx="281">
                  <c:v>0.10451122086695611</c:v>
                </c:pt>
                <c:pt idx="282">
                  <c:v>0.10475341409137204</c:v>
                </c:pt>
                <c:pt idx="283">
                  <c:v>0.10496360762747044</c:v>
                </c:pt>
                <c:pt idx="284">
                  <c:v>0.10520007560907962</c:v>
                </c:pt>
                <c:pt idx="285">
                  <c:v>0.10544714518222048</c:v>
                </c:pt>
                <c:pt idx="286">
                  <c:v>0.10566516309493444</c:v>
                </c:pt>
                <c:pt idx="287">
                  <c:v>0.10590542104448059</c:v>
                </c:pt>
                <c:pt idx="288">
                  <c:v>0.10616269939011941</c:v>
                </c:pt>
                <c:pt idx="289">
                  <c:v>0.10641599983588552</c:v>
                </c:pt>
                <c:pt idx="290">
                  <c:v>0.10664513582227669</c:v>
                </c:pt>
                <c:pt idx="291">
                  <c:v>0.10688164339637636</c:v>
                </c:pt>
                <c:pt idx="292">
                  <c:v>0.10713048879530576</c:v>
                </c:pt>
                <c:pt idx="293">
                  <c:v>0.1073832879040349</c:v>
                </c:pt>
                <c:pt idx="294">
                  <c:v>0.10765793205468818</c:v>
                </c:pt>
                <c:pt idx="295">
                  <c:v>0.10790943232341094</c:v>
                </c:pt>
                <c:pt idx="296">
                  <c:v>0.10814965072641497</c:v>
                </c:pt>
                <c:pt idx="297">
                  <c:v>0.10840702964975306</c:v>
                </c:pt>
                <c:pt idx="298">
                  <c:v>0.10862014662313246</c:v>
                </c:pt>
                <c:pt idx="299">
                  <c:v>0.10883991439881173</c:v>
                </c:pt>
                <c:pt idx="300">
                  <c:v>0.10909066857032189</c:v>
                </c:pt>
                <c:pt idx="301">
                  <c:v>0.10932187982351536</c:v>
                </c:pt>
                <c:pt idx="302">
                  <c:v>0.10956845562925768</c:v>
                </c:pt>
                <c:pt idx="303">
                  <c:v>0.10980549982377168</c:v>
                </c:pt>
                <c:pt idx="304">
                  <c:v>0.11004554045422821</c:v>
                </c:pt>
                <c:pt idx="305">
                  <c:v>0.11029246424924811</c:v>
                </c:pt>
                <c:pt idx="306">
                  <c:v>0.11050268115765144</c:v>
                </c:pt>
                <c:pt idx="307">
                  <c:v>0.11075866629335347</c:v>
                </c:pt>
                <c:pt idx="308">
                  <c:v>0.11100439911371777</c:v>
                </c:pt>
                <c:pt idx="309">
                  <c:v>0.11125341935817869</c:v>
                </c:pt>
                <c:pt idx="310">
                  <c:v>0.11149578483183387</c:v>
                </c:pt>
                <c:pt idx="311">
                  <c:v>0.11172856210382151</c:v>
                </c:pt>
                <c:pt idx="312">
                  <c:v>0.11194043526657459</c:v>
                </c:pt>
                <c:pt idx="313">
                  <c:v>0.11215348756179171</c:v>
                </c:pt>
                <c:pt idx="314">
                  <c:v>0.11236858187614947</c:v>
                </c:pt>
                <c:pt idx="315">
                  <c:v>0.11257794081918736</c:v>
                </c:pt>
                <c:pt idx="316">
                  <c:v>0.11281194680457855</c:v>
                </c:pt>
                <c:pt idx="317">
                  <c:v>0.11302582215882538</c:v>
                </c:pt>
                <c:pt idx="318">
                  <c:v>0.11328983860057218</c:v>
                </c:pt>
                <c:pt idx="319">
                  <c:v>0.11355486594097293</c:v>
                </c:pt>
                <c:pt idx="320">
                  <c:v>0.11378281116838893</c:v>
                </c:pt>
                <c:pt idx="321">
                  <c:v>0.1140195645940103</c:v>
                </c:pt>
                <c:pt idx="322">
                  <c:v>0.11424887356294004</c:v>
                </c:pt>
                <c:pt idx="323">
                  <c:v>0.11451215384520634</c:v>
                </c:pt>
                <c:pt idx="324">
                  <c:v>0.11472093318115556</c:v>
                </c:pt>
                <c:pt idx="325">
                  <c:v>0.11493614622456627</c:v>
                </c:pt>
                <c:pt idx="326">
                  <c:v>0.11514172258407358</c:v>
                </c:pt>
                <c:pt idx="327">
                  <c:v>0.11538905152755624</c:v>
                </c:pt>
                <c:pt idx="328">
                  <c:v>0.11557556354965336</c:v>
                </c:pt>
                <c:pt idx="329">
                  <c:v>0.11579891932008447</c:v>
                </c:pt>
                <c:pt idx="330">
                  <c:v>0.11598435074960511</c:v>
                </c:pt>
                <c:pt idx="331">
                  <c:v>0.11618739877165697</c:v>
                </c:pt>
                <c:pt idx="332">
                  <c:v>0.11639510928137276</c:v>
                </c:pt>
                <c:pt idx="333">
                  <c:v>0.1165835035924605</c:v>
                </c:pt>
                <c:pt idx="334">
                  <c:v>0.11681226339816038</c:v>
                </c:pt>
                <c:pt idx="335">
                  <c:v>0.11700700630611104</c:v>
                </c:pt>
                <c:pt idx="336">
                  <c:v>0.11720031275249454</c:v>
                </c:pt>
                <c:pt idx="337">
                  <c:v>0.11739330765585208</c:v>
                </c:pt>
                <c:pt idx="338">
                  <c:v>0.11757669682129547</c:v>
                </c:pt>
                <c:pt idx="339">
                  <c:v>0.11784031010356046</c:v>
                </c:pt>
                <c:pt idx="340">
                  <c:v>0.11802301218609274</c:v>
                </c:pt>
                <c:pt idx="341">
                  <c:v>0.11825077076371285</c:v>
                </c:pt>
                <c:pt idx="342">
                  <c:v>0.11847057105609531</c:v>
                </c:pt>
                <c:pt idx="343">
                  <c:v>0.11868154163873579</c:v>
                </c:pt>
                <c:pt idx="344">
                  <c:v>0.1188951857147014</c:v>
                </c:pt>
                <c:pt idx="345">
                  <c:v>0.11911212535673008</c:v>
                </c:pt>
                <c:pt idx="346">
                  <c:v>0.11934563861549422</c:v>
                </c:pt>
                <c:pt idx="347">
                  <c:v>0.11956416352914263</c:v>
                </c:pt>
                <c:pt idx="348">
                  <c:v>0.11980909934895241</c:v>
                </c:pt>
                <c:pt idx="349">
                  <c:v>0.11999918130988708</c:v>
                </c:pt>
                <c:pt idx="350">
                  <c:v>0.12018331594992533</c:v>
                </c:pt>
                <c:pt idx="351">
                  <c:v>0.12040628330449217</c:v>
                </c:pt>
                <c:pt idx="352">
                  <c:v>0.12061197897835996</c:v>
                </c:pt>
                <c:pt idx="353">
                  <c:v>0.1207989211868893</c:v>
                </c:pt>
                <c:pt idx="354">
                  <c:v>0.12098046437158656</c:v>
                </c:pt>
                <c:pt idx="355">
                  <c:v>0.12118388733932581</c:v>
                </c:pt>
                <c:pt idx="356">
                  <c:v>0.12136869735683882</c:v>
                </c:pt>
                <c:pt idx="357">
                  <c:v>0.12157504481604241</c:v>
                </c:pt>
                <c:pt idx="358">
                  <c:v>0.12178905568005169</c:v>
                </c:pt>
                <c:pt idx="359">
                  <c:v>0.1219962248564686</c:v>
                </c:pt>
                <c:pt idx="360">
                  <c:v>0.12220719897988087</c:v>
                </c:pt>
                <c:pt idx="361">
                  <c:v>0.12240107982097014</c:v>
                </c:pt>
                <c:pt idx="362">
                  <c:v>0.12261790119990644</c:v>
                </c:pt>
                <c:pt idx="363">
                  <c:v>0.12281955777166705</c:v>
                </c:pt>
                <c:pt idx="364">
                  <c:v>0.12299609792615206</c:v>
                </c:pt>
                <c:pt idx="365">
                  <c:v>0.12319410108061614</c:v>
                </c:pt>
                <c:pt idx="366">
                  <c:v>0.12338022155270834</c:v>
                </c:pt>
                <c:pt idx="367">
                  <c:v>0.12357301119265067</c:v>
                </c:pt>
                <c:pt idx="368">
                  <c:v>0.12377764223516381</c:v>
                </c:pt>
                <c:pt idx="369">
                  <c:v>0.12395178580336849</c:v>
                </c:pt>
                <c:pt idx="370">
                  <c:v>0.12415899671155711</c:v>
                </c:pt>
                <c:pt idx="371">
                  <c:v>0.12436780305489512</c:v>
                </c:pt>
                <c:pt idx="372">
                  <c:v>0.1245674705651417</c:v>
                </c:pt>
                <c:pt idx="373">
                  <c:v>0.12477193295148563</c:v>
                </c:pt>
                <c:pt idx="374">
                  <c:v>0.12495301314469028</c:v>
                </c:pt>
                <c:pt idx="375">
                  <c:v>0.1251316111432392</c:v>
                </c:pt>
                <c:pt idx="376">
                  <c:v>0.12532695471787078</c:v>
                </c:pt>
                <c:pt idx="377">
                  <c:v>0.12552821377255236</c:v>
                </c:pt>
                <c:pt idx="378">
                  <c:v>0.12572265680618072</c:v>
                </c:pt>
                <c:pt idx="379">
                  <c:v>0.12592306797222738</c:v>
                </c:pt>
                <c:pt idx="380">
                  <c:v>0.12611658760077032</c:v>
                </c:pt>
                <c:pt idx="381">
                  <c:v>0.12631991828031774</c:v>
                </c:pt>
                <c:pt idx="382">
                  <c:v>0.12654029252803567</c:v>
                </c:pt>
                <c:pt idx="383">
                  <c:v>0.12671513524506736</c:v>
                </c:pt>
                <c:pt idx="384">
                  <c:v>0.12689062992694985</c:v>
                </c:pt>
                <c:pt idx="385">
                  <c:v>0.12707099151184156</c:v>
                </c:pt>
                <c:pt idx="386">
                  <c:v>0.1272775724849288</c:v>
                </c:pt>
                <c:pt idx="387">
                  <c:v>0.1274680004501563</c:v>
                </c:pt>
                <c:pt idx="388">
                  <c:v>0.12762640058556518</c:v>
                </c:pt>
                <c:pt idx="389">
                  <c:v>0.12781897800841033</c:v>
                </c:pt>
                <c:pt idx="390">
                  <c:v>0.12800415005597068</c:v>
                </c:pt>
                <c:pt idx="391">
                  <c:v>0.12820583960642981</c:v>
                </c:pt>
                <c:pt idx="392">
                  <c:v>0.12838984135684353</c:v>
                </c:pt>
                <c:pt idx="393">
                  <c:v>0.12855503540002133</c:v>
                </c:pt>
                <c:pt idx="394">
                  <c:v>0.12873599165138716</c:v>
                </c:pt>
                <c:pt idx="395">
                  <c:v>0.12889973768935187</c:v>
                </c:pt>
                <c:pt idx="396">
                  <c:v>0.12907131297515978</c:v>
                </c:pt>
                <c:pt idx="397">
                  <c:v>0.12926124086608762</c:v>
                </c:pt>
                <c:pt idx="398">
                  <c:v>0.12942420248584613</c:v>
                </c:pt>
                <c:pt idx="399">
                  <c:v>0.12961464911312304</c:v>
                </c:pt>
                <c:pt idx="400">
                  <c:v>0.12977556235118218</c:v>
                </c:pt>
                <c:pt idx="401">
                  <c:v>0.12996632883036294</c:v>
                </c:pt>
                <c:pt idx="402">
                  <c:v>0.1301716803175865</c:v>
                </c:pt>
                <c:pt idx="403">
                  <c:v>0.13036759222902089</c:v>
                </c:pt>
                <c:pt idx="404">
                  <c:v>0.13055392826078321</c:v>
                </c:pt>
                <c:pt idx="405">
                  <c:v>0.13073535282331603</c:v>
                </c:pt>
                <c:pt idx="406">
                  <c:v>0.13091887498731028</c:v>
                </c:pt>
                <c:pt idx="407">
                  <c:v>0.13109536427515878</c:v>
                </c:pt>
                <c:pt idx="408">
                  <c:v>0.13129601608939398</c:v>
                </c:pt>
                <c:pt idx="409">
                  <c:v>0.13148596355922382</c:v>
                </c:pt>
                <c:pt idx="410">
                  <c:v>0.13165518171639473</c:v>
                </c:pt>
                <c:pt idx="411">
                  <c:v>0.13182967474936425</c:v>
                </c:pt>
                <c:pt idx="412">
                  <c:v>0.13201870114068975</c:v>
                </c:pt>
                <c:pt idx="413">
                  <c:v>0.13217686735120787</c:v>
                </c:pt>
                <c:pt idx="414">
                  <c:v>0.13236450662812596</c:v>
                </c:pt>
                <c:pt idx="415">
                  <c:v>0.13253604207379804</c:v>
                </c:pt>
                <c:pt idx="416">
                  <c:v>0.13271236241333847</c:v>
                </c:pt>
                <c:pt idx="417">
                  <c:v>0.13285429613834279</c:v>
                </c:pt>
                <c:pt idx="418">
                  <c:v>0.13304570040139019</c:v>
                </c:pt>
                <c:pt idx="419">
                  <c:v>0.1332129702790624</c:v>
                </c:pt>
                <c:pt idx="420">
                  <c:v>0.13340560316994693</c:v>
                </c:pt>
                <c:pt idx="421">
                  <c:v>0.13356673845651565</c:v>
                </c:pt>
                <c:pt idx="422">
                  <c:v>0.13375214323196136</c:v>
                </c:pt>
                <c:pt idx="423">
                  <c:v>0.13393581066612503</c:v>
                </c:pt>
                <c:pt idx="424">
                  <c:v>0.13409702111765573</c:v>
                </c:pt>
                <c:pt idx="425">
                  <c:v>0.13428614781483544</c:v>
                </c:pt>
                <c:pt idx="426">
                  <c:v>0.13447981725981045</c:v>
                </c:pt>
                <c:pt idx="427">
                  <c:v>0.1346403897746927</c:v>
                </c:pt>
                <c:pt idx="428">
                  <c:v>0.13483174510598131</c:v>
                </c:pt>
                <c:pt idx="429">
                  <c:v>0.13501719904908327</c:v>
                </c:pt>
                <c:pt idx="430">
                  <c:v>0.13518313153303424</c:v>
                </c:pt>
                <c:pt idx="431">
                  <c:v>0.13535491589134674</c:v>
                </c:pt>
                <c:pt idx="432">
                  <c:v>0.13552940784158399</c:v>
                </c:pt>
                <c:pt idx="433">
                  <c:v>0.13570862853040025</c:v>
                </c:pt>
                <c:pt idx="434">
                  <c:v>0.13587215051890808</c:v>
                </c:pt>
                <c:pt idx="435">
                  <c:v>0.13602635625934331</c:v>
                </c:pt>
                <c:pt idx="436">
                  <c:v>0.1361872183819508</c:v>
                </c:pt>
                <c:pt idx="437">
                  <c:v>0.1363434925097802</c:v>
                </c:pt>
                <c:pt idx="438">
                  <c:v>0.13650541492832843</c:v>
                </c:pt>
                <c:pt idx="439">
                  <c:v>0.13669030889739384</c:v>
                </c:pt>
                <c:pt idx="440">
                  <c:v>0.13686056199556823</c:v>
                </c:pt>
                <c:pt idx="441">
                  <c:v>0.13703515041709441</c:v>
                </c:pt>
                <c:pt idx="442">
                  <c:v>0.13720783111441293</c:v>
                </c:pt>
                <c:pt idx="443">
                  <c:v>0.13736896274077628</c:v>
                </c:pt>
                <c:pt idx="444">
                  <c:v>0.13752888216480716</c:v>
                </c:pt>
                <c:pt idx="445">
                  <c:v>0.13770856059727446</c:v>
                </c:pt>
                <c:pt idx="446">
                  <c:v>0.13786906304555094</c:v>
                </c:pt>
                <c:pt idx="447">
                  <c:v>0.13803796350366587</c:v>
                </c:pt>
                <c:pt idx="448">
                  <c:v>0.13821325966139852</c:v>
                </c:pt>
                <c:pt idx="449">
                  <c:v>0.13838080514437104</c:v>
                </c:pt>
                <c:pt idx="450">
                  <c:v>0.13854235607082216</c:v>
                </c:pt>
                <c:pt idx="451">
                  <c:v>0.13869730637818739</c:v>
                </c:pt>
                <c:pt idx="452">
                  <c:v>0.13887066839295653</c:v>
                </c:pt>
                <c:pt idx="453">
                  <c:v>0.13903579900629809</c:v>
                </c:pt>
                <c:pt idx="454">
                  <c:v>0.13920374468923644</c:v>
                </c:pt>
                <c:pt idx="455">
                  <c:v>0.13936752030730051</c:v>
                </c:pt>
                <c:pt idx="456">
                  <c:v>0.13953261355409341</c:v>
                </c:pt>
                <c:pt idx="457">
                  <c:v>0.13969566580594667</c:v>
                </c:pt>
                <c:pt idx="458">
                  <c:v>0.13987501055166571</c:v>
                </c:pt>
                <c:pt idx="459">
                  <c:v>0.14002591967796771</c:v>
                </c:pt>
                <c:pt idx="460">
                  <c:v>0.14018390315540502</c:v>
                </c:pt>
                <c:pt idx="461">
                  <c:v>0.14034811926368601</c:v>
                </c:pt>
                <c:pt idx="462">
                  <c:v>0.14053672387012767</c:v>
                </c:pt>
                <c:pt idx="463">
                  <c:v>0.14071032804675301</c:v>
                </c:pt>
                <c:pt idx="464">
                  <c:v>0.14090017314391259</c:v>
                </c:pt>
                <c:pt idx="465">
                  <c:v>0.14107386406443284</c:v>
                </c:pt>
                <c:pt idx="466">
                  <c:v>0.14126661057048354</c:v>
                </c:pt>
                <c:pt idx="467">
                  <c:v>0.14143980654374519</c:v>
                </c:pt>
                <c:pt idx="468">
                  <c:v>0.14162896966610988</c:v>
                </c:pt>
                <c:pt idx="469">
                  <c:v>0.14182102841510238</c:v>
                </c:pt>
                <c:pt idx="470">
                  <c:v>0.14199241926260264</c:v>
                </c:pt>
                <c:pt idx="471">
                  <c:v>0.14213905750477934</c:v>
                </c:pt>
                <c:pt idx="472">
                  <c:v>0.14231046208004777</c:v>
                </c:pt>
                <c:pt idx="473">
                  <c:v>0.142481385098993</c:v>
                </c:pt>
                <c:pt idx="474">
                  <c:v>0.14265179948193762</c:v>
                </c:pt>
                <c:pt idx="475">
                  <c:v>0.14283816803231522</c:v>
                </c:pt>
                <c:pt idx="476">
                  <c:v>0.14300198983004625</c:v>
                </c:pt>
                <c:pt idx="477">
                  <c:v>0.14317652986791035</c:v>
                </c:pt>
                <c:pt idx="478">
                  <c:v>0.14336091644885388</c:v>
                </c:pt>
                <c:pt idx="479">
                  <c:v>0.14353648741510483</c:v>
                </c:pt>
                <c:pt idx="480">
                  <c:v>0.14372105884501354</c:v>
                </c:pt>
                <c:pt idx="481">
                  <c:v>0.14388795788351219</c:v>
                </c:pt>
                <c:pt idx="482">
                  <c:v>0.14406664248070525</c:v>
                </c:pt>
                <c:pt idx="483">
                  <c:v>0.1442233361563677</c:v>
                </c:pt>
                <c:pt idx="484">
                  <c:v>0.14436889593686034</c:v>
                </c:pt>
                <c:pt idx="485">
                  <c:v>0.14452141983426434</c:v>
                </c:pt>
                <c:pt idx="486">
                  <c:v>0.14466886297529594</c:v>
                </c:pt>
                <c:pt idx="487">
                  <c:v>0.14481488728202696</c:v>
                </c:pt>
                <c:pt idx="488">
                  <c:v>0.14498361446796992</c:v>
                </c:pt>
                <c:pt idx="489">
                  <c:v>0.14514805642329434</c:v>
                </c:pt>
                <c:pt idx="490">
                  <c:v>0.14531582713891122</c:v>
                </c:pt>
                <c:pt idx="491">
                  <c:v>0.14547881531507736</c:v>
                </c:pt>
                <c:pt idx="492">
                  <c:v>0.14563903018003654</c:v>
                </c:pt>
                <c:pt idx="493">
                  <c:v>0.14580084570647103</c:v>
                </c:pt>
                <c:pt idx="494">
                  <c:v>0.14595810411569796</c:v>
                </c:pt>
                <c:pt idx="495">
                  <c:v>0.14608955404061669</c:v>
                </c:pt>
                <c:pt idx="496">
                  <c:v>0.14624948563311721</c:v>
                </c:pt>
                <c:pt idx="497">
                  <c:v>0.14640888588654311</c:v>
                </c:pt>
                <c:pt idx="498">
                  <c:v>0.14656645561521711</c:v>
                </c:pt>
                <c:pt idx="499">
                  <c:v>0.14675978125893405</c:v>
                </c:pt>
                <c:pt idx="500">
                  <c:v>0.14693565753769447</c:v>
                </c:pt>
                <c:pt idx="501">
                  <c:v>0.14710302189798649</c:v>
                </c:pt>
                <c:pt idx="502">
                  <c:v>0.14724354010421262</c:v>
                </c:pt>
                <c:pt idx="503">
                  <c:v>0.14741434246366411</c:v>
                </c:pt>
                <c:pt idx="504">
                  <c:v>0.14756251525744302</c:v>
                </c:pt>
                <c:pt idx="505">
                  <c:v>0.14773253798964059</c:v>
                </c:pt>
                <c:pt idx="506">
                  <c:v>0.14789303397574091</c:v>
                </c:pt>
                <c:pt idx="507">
                  <c:v>0.14806863041156459</c:v>
                </c:pt>
                <c:pt idx="508">
                  <c:v>0.14824230007501751</c:v>
                </c:pt>
                <c:pt idx="509">
                  <c:v>0.14838993505462636</c:v>
                </c:pt>
                <c:pt idx="510">
                  <c:v>0.14854038408244002</c:v>
                </c:pt>
                <c:pt idx="511">
                  <c:v>0.14868712470951628</c:v>
                </c:pt>
                <c:pt idx="512">
                  <c:v>0.14884781140406264</c:v>
                </c:pt>
                <c:pt idx="513">
                  <c:v>0.14900066998311484</c:v>
                </c:pt>
                <c:pt idx="514">
                  <c:v>0.14916600572552316</c:v>
                </c:pt>
                <c:pt idx="515">
                  <c:v>0.14931969777711893</c:v>
                </c:pt>
                <c:pt idx="516">
                  <c:v>0.14949502933481459</c:v>
                </c:pt>
                <c:pt idx="517">
                  <c:v>0.14966389951833475</c:v>
                </c:pt>
                <c:pt idx="518">
                  <c:v>0.14982553680362326</c:v>
                </c:pt>
                <c:pt idx="519">
                  <c:v>0.14998834149987511</c:v>
                </c:pt>
                <c:pt idx="520">
                  <c:v>0.15013594203687164</c:v>
                </c:pt>
                <c:pt idx="521">
                  <c:v>0.1503049218785015</c:v>
                </c:pt>
                <c:pt idx="522">
                  <c:v>0.15044886126323825</c:v>
                </c:pt>
                <c:pt idx="523">
                  <c:v>0.15060337635786639</c:v>
                </c:pt>
                <c:pt idx="524">
                  <c:v>0.15077089057339157</c:v>
                </c:pt>
                <c:pt idx="525">
                  <c:v>0.15091546695975058</c:v>
                </c:pt>
                <c:pt idx="526">
                  <c:v>0.15105072956498775</c:v>
                </c:pt>
                <c:pt idx="527">
                  <c:v>0.15119736369374848</c:v>
                </c:pt>
                <c:pt idx="528">
                  <c:v>0.15135089544327876</c:v>
                </c:pt>
                <c:pt idx="529">
                  <c:v>0.15149470733562503</c:v>
                </c:pt>
                <c:pt idx="530">
                  <c:v>0.15164620679107674</c:v>
                </c:pt>
                <c:pt idx="531">
                  <c:v>0.1517856962525958</c:v>
                </c:pt>
                <c:pt idx="532">
                  <c:v>0.15194505405165634</c:v>
                </c:pt>
                <c:pt idx="533">
                  <c:v>0.15207157305888933</c:v>
                </c:pt>
                <c:pt idx="534">
                  <c:v>0.15220153426056296</c:v>
                </c:pt>
                <c:pt idx="535">
                  <c:v>0.15236799485578789</c:v>
                </c:pt>
                <c:pt idx="536">
                  <c:v>0.15252107683948357</c:v>
                </c:pt>
                <c:pt idx="537">
                  <c:v>0.15267905216394256</c:v>
                </c:pt>
                <c:pt idx="538">
                  <c:v>0.15282752579325312</c:v>
                </c:pt>
                <c:pt idx="539">
                  <c:v>0.15298387323636972</c:v>
                </c:pt>
                <c:pt idx="540">
                  <c:v>0.15313502989072997</c:v>
                </c:pt>
                <c:pt idx="541">
                  <c:v>0.15326846088201843</c:v>
                </c:pt>
                <c:pt idx="542">
                  <c:v>0.1534257708745628</c:v>
                </c:pt>
                <c:pt idx="543">
                  <c:v>0.15358909917630836</c:v>
                </c:pt>
                <c:pt idx="544">
                  <c:v>0.15372463416620569</c:v>
                </c:pt>
                <c:pt idx="545">
                  <c:v>0.15386521869377576</c:v>
                </c:pt>
                <c:pt idx="546">
                  <c:v>0.15401045881261421</c:v>
                </c:pt>
                <c:pt idx="547">
                  <c:v>0.15417076369093929</c:v>
                </c:pt>
                <c:pt idx="548">
                  <c:v>0.15432070298148387</c:v>
                </c:pt>
                <c:pt idx="549">
                  <c:v>0.15449663753780152</c:v>
                </c:pt>
                <c:pt idx="550">
                  <c:v>0.15464079216354254</c:v>
                </c:pt>
                <c:pt idx="551">
                  <c:v>0.1547849376235563</c:v>
                </c:pt>
                <c:pt idx="552">
                  <c:v>0.15492552040121566</c:v>
                </c:pt>
                <c:pt idx="553">
                  <c:v>0.15506409707664379</c:v>
                </c:pt>
                <c:pt idx="554">
                  <c:v>0.15520747555927669</c:v>
                </c:pt>
                <c:pt idx="555">
                  <c:v>0.15536164997513954</c:v>
                </c:pt>
                <c:pt idx="556">
                  <c:v>0.15551074075231155</c:v>
                </c:pt>
                <c:pt idx="557">
                  <c:v>0.15566384282114007</c:v>
                </c:pt>
                <c:pt idx="558">
                  <c:v>0.15581337828772532</c:v>
                </c:pt>
                <c:pt idx="559">
                  <c:v>0.15594089868405184</c:v>
                </c:pt>
                <c:pt idx="560">
                  <c:v>0.15607319432152958</c:v>
                </c:pt>
                <c:pt idx="561">
                  <c:v>0.15620789941931151</c:v>
                </c:pt>
                <c:pt idx="562">
                  <c:v>0.15633606978438913</c:v>
                </c:pt>
                <c:pt idx="563">
                  <c:v>0.15646927528871565</c:v>
                </c:pt>
                <c:pt idx="564">
                  <c:v>0.15659578561608242</c:v>
                </c:pt>
                <c:pt idx="565">
                  <c:v>0.15670496996796138</c:v>
                </c:pt>
                <c:pt idx="566">
                  <c:v>0.15684755285514382</c:v>
                </c:pt>
                <c:pt idx="567">
                  <c:v>0.15698247789073677</c:v>
                </c:pt>
                <c:pt idx="568">
                  <c:v>0.1570920687584284</c:v>
                </c:pt>
                <c:pt idx="569">
                  <c:v>0.15723215159953746</c:v>
                </c:pt>
                <c:pt idx="570">
                  <c:v>0.157372066787799</c:v>
                </c:pt>
                <c:pt idx="571">
                  <c:v>0.15751813237354409</c:v>
                </c:pt>
                <c:pt idx="572">
                  <c:v>0.15764998092786725</c:v>
                </c:pt>
                <c:pt idx="573">
                  <c:v>0.1577959306022603</c:v>
                </c:pt>
                <c:pt idx="574">
                  <c:v>0.15793810299370942</c:v>
                </c:pt>
                <c:pt idx="575">
                  <c:v>0.15807098092970737</c:v>
                </c:pt>
                <c:pt idx="576">
                  <c:v>0.15821717261203236</c:v>
                </c:pt>
                <c:pt idx="577">
                  <c:v>0.15835155060197995</c:v>
                </c:pt>
                <c:pt idx="578">
                  <c:v>0.15846373958066257</c:v>
                </c:pt>
                <c:pt idx="579">
                  <c:v>0.15858663072599474</c:v>
                </c:pt>
                <c:pt idx="580">
                  <c:v>0.15871605010091799</c:v>
                </c:pt>
                <c:pt idx="581">
                  <c:v>0.15883173856632041</c:v>
                </c:pt>
                <c:pt idx="582">
                  <c:v>0.15896983158123881</c:v>
                </c:pt>
                <c:pt idx="583">
                  <c:v>0.15911045401878468</c:v>
                </c:pt>
                <c:pt idx="584">
                  <c:v>0.15922422742113787</c:v>
                </c:pt>
                <c:pt idx="585">
                  <c:v>0.15934276110349366</c:v>
                </c:pt>
                <c:pt idx="586">
                  <c:v>0.15945862401729047</c:v>
                </c:pt>
                <c:pt idx="587">
                  <c:v>0.15956353753581687</c:v>
                </c:pt>
                <c:pt idx="588">
                  <c:v>0.15966331204025361</c:v>
                </c:pt>
                <c:pt idx="589">
                  <c:v>0.15976293958680796</c:v>
                </c:pt>
                <c:pt idx="590">
                  <c:v>0.15989645828812449</c:v>
                </c:pt>
                <c:pt idx="591">
                  <c:v>0.15999577126814105</c:v>
                </c:pt>
                <c:pt idx="592">
                  <c:v>0.16011416649579738</c:v>
                </c:pt>
                <c:pt idx="593">
                  <c:v>0.16022629579958766</c:v>
                </c:pt>
                <c:pt idx="594">
                  <c:v>0.16034290324725012</c:v>
                </c:pt>
                <c:pt idx="595">
                  <c:v>0.16047185815076423</c:v>
                </c:pt>
                <c:pt idx="596">
                  <c:v>0.16059235023142276</c:v>
                </c:pt>
                <c:pt idx="597">
                  <c:v>0.16071620313829513</c:v>
                </c:pt>
                <c:pt idx="598">
                  <c:v>0.16081848876697194</c:v>
                </c:pt>
                <c:pt idx="599">
                  <c:v>0.16092313909309475</c:v>
                </c:pt>
                <c:pt idx="600">
                  <c:v>0.16103408493701687</c:v>
                </c:pt>
                <c:pt idx="601">
                  <c:v>0.16115648821575163</c:v>
                </c:pt>
                <c:pt idx="602">
                  <c:v>0.16128010094145476</c:v>
                </c:pt>
                <c:pt idx="603">
                  <c:v>0.1614078980563195</c:v>
                </c:pt>
                <c:pt idx="604">
                  <c:v>0.16152565481520251</c:v>
                </c:pt>
                <c:pt idx="605">
                  <c:v>0.16164463218191127</c:v>
                </c:pt>
                <c:pt idx="606">
                  <c:v>0.16176166418984736</c:v>
                </c:pt>
                <c:pt idx="607">
                  <c:v>0.16185668400776096</c:v>
                </c:pt>
                <c:pt idx="608">
                  <c:v>0.16197602552169019</c:v>
                </c:pt>
                <c:pt idx="609">
                  <c:v>0.16209376102304027</c:v>
                </c:pt>
                <c:pt idx="610">
                  <c:v>0.16220508193492536</c:v>
                </c:pt>
                <c:pt idx="611">
                  <c:v>0.16233388305390742</c:v>
                </c:pt>
                <c:pt idx="612">
                  <c:v>0.16245727969318052</c:v>
                </c:pt>
                <c:pt idx="613">
                  <c:v>0.16257181497625894</c:v>
                </c:pt>
                <c:pt idx="614">
                  <c:v>0.16269836717088543</c:v>
                </c:pt>
                <c:pt idx="615">
                  <c:v>0.16280495035871981</c:v>
                </c:pt>
                <c:pt idx="616">
                  <c:v>0.16290404108993198</c:v>
                </c:pt>
                <c:pt idx="617">
                  <c:v>0.1630207887624108</c:v>
                </c:pt>
                <c:pt idx="618">
                  <c:v>0.16313262257324088</c:v>
                </c:pt>
                <c:pt idx="619">
                  <c:v>0.1632526158051941</c:v>
                </c:pt>
                <c:pt idx="620">
                  <c:v>0.16334624741303302</c:v>
                </c:pt>
                <c:pt idx="621">
                  <c:v>0.16343846967982534</c:v>
                </c:pt>
                <c:pt idx="622">
                  <c:v>0.16353666841948519</c:v>
                </c:pt>
                <c:pt idx="623">
                  <c:v>0.16365280783444064</c:v>
                </c:pt>
                <c:pt idx="624">
                  <c:v>0.16375800841715552</c:v>
                </c:pt>
                <c:pt idx="625">
                  <c:v>0.16385692761261225</c:v>
                </c:pt>
                <c:pt idx="626">
                  <c:v>0.16394778267301854</c:v>
                </c:pt>
                <c:pt idx="627">
                  <c:v>0.1640400275332716</c:v>
                </c:pt>
                <c:pt idx="628">
                  <c:v>0.16414945971698369</c:v>
                </c:pt>
                <c:pt idx="629">
                  <c:v>0.16425345347043405</c:v>
                </c:pt>
                <c:pt idx="630">
                  <c:v>0.16435354417241674</c:v>
                </c:pt>
                <c:pt idx="631">
                  <c:v>0.16445656668145683</c:v>
                </c:pt>
                <c:pt idx="632">
                  <c:v>0.16456234779870396</c:v>
                </c:pt>
                <c:pt idx="633">
                  <c:v>0.16469609716402081</c:v>
                </c:pt>
                <c:pt idx="634">
                  <c:v>0.16479776532663126</c:v>
                </c:pt>
                <c:pt idx="635">
                  <c:v>0.16488868667297465</c:v>
                </c:pt>
                <c:pt idx="636">
                  <c:v>0.16499257141752174</c:v>
                </c:pt>
                <c:pt idx="637">
                  <c:v>0.16510936906012924</c:v>
                </c:pt>
                <c:pt idx="638">
                  <c:v>0.16520554927355866</c:v>
                </c:pt>
                <c:pt idx="639">
                  <c:v>0.16532124720083774</c:v>
                </c:pt>
                <c:pt idx="640">
                  <c:v>0.16541786556601709</c:v>
                </c:pt>
                <c:pt idx="641">
                  <c:v>0.16552521375468932</c:v>
                </c:pt>
                <c:pt idx="642">
                  <c:v>0.16564019998630322</c:v>
                </c:pt>
                <c:pt idx="643">
                  <c:v>0.16574533193557955</c:v>
                </c:pt>
                <c:pt idx="644">
                  <c:v>0.16583460856821949</c:v>
                </c:pt>
                <c:pt idx="645">
                  <c:v>0.16592645060734945</c:v>
                </c:pt>
                <c:pt idx="646">
                  <c:v>0.16602388944782226</c:v>
                </c:pt>
                <c:pt idx="647">
                  <c:v>0.16615189613411011</c:v>
                </c:pt>
                <c:pt idx="648">
                  <c:v>0.16623837606739025</c:v>
                </c:pt>
                <c:pt idx="649">
                  <c:v>0.16633368076187793</c:v>
                </c:pt>
                <c:pt idx="650">
                  <c:v>0.16642331860188339</c:v>
                </c:pt>
                <c:pt idx="651">
                  <c:v>0.16652493681605926</c:v>
                </c:pt>
                <c:pt idx="652">
                  <c:v>0.16662864004818007</c:v>
                </c:pt>
                <c:pt idx="653">
                  <c:v>0.16672796701862488</c:v>
                </c:pt>
                <c:pt idx="654">
                  <c:v>0.16682579502994035</c:v>
                </c:pt>
                <c:pt idx="655">
                  <c:v>0.16691686078714738</c:v>
                </c:pt>
                <c:pt idx="656">
                  <c:v>0.16701125688171897</c:v>
                </c:pt>
                <c:pt idx="657">
                  <c:v>0.167102498168504</c:v>
                </c:pt>
                <c:pt idx="658">
                  <c:v>0.16721489676128451</c:v>
                </c:pt>
                <c:pt idx="659">
                  <c:v>0.16732836450639671</c:v>
                </c:pt>
                <c:pt idx="660">
                  <c:v>0.16744049446962728</c:v>
                </c:pt>
                <c:pt idx="661">
                  <c:v>0.16754962461817491</c:v>
                </c:pt>
                <c:pt idx="662">
                  <c:v>0.16765863968708683</c:v>
                </c:pt>
                <c:pt idx="663">
                  <c:v>0.16776938754531254</c:v>
                </c:pt>
                <c:pt idx="664">
                  <c:v>0.16785458401784731</c:v>
                </c:pt>
                <c:pt idx="665">
                  <c:v>0.16795230446287757</c:v>
                </c:pt>
                <c:pt idx="666">
                  <c:v>0.16806519745034837</c:v>
                </c:pt>
                <c:pt idx="667">
                  <c:v>0.16816196573692921</c:v>
                </c:pt>
                <c:pt idx="668">
                  <c:v>0.16826312750046568</c:v>
                </c:pt>
                <c:pt idx="669">
                  <c:v>0.16836189403453453</c:v>
                </c:pt>
                <c:pt idx="670">
                  <c:v>0.16846958882491447</c:v>
                </c:pt>
                <c:pt idx="671">
                  <c:v>0.16856884134857847</c:v>
                </c:pt>
                <c:pt idx="672">
                  <c:v>0.16866600624768638</c:v>
                </c:pt>
                <c:pt idx="673">
                  <c:v>0.16876404785299229</c:v>
                </c:pt>
                <c:pt idx="674">
                  <c:v>0.16887950387663522</c:v>
                </c:pt>
                <c:pt idx="675">
                  <c:v>0.16896851523031825</c:v>
                </c:pt>
                <c:pt idx="676">
                  <c:v>0.16905234504431171</c:v>
                </c:pt>
                <c:pt idx="677">
                  <c:v>0.16914442043168748</c:v>
                </c:pt>
                <c:pt idx="678">
                  <c:v>0.16921918499044239</c:v>
                </c:pt>
                <c:pt idx="679">
                  <c:v>0.16931977748804811</c:v>
                </c:pt>
                <c:pt idx="680">
                  <c:v>0.16941941166339797</c:v>
                </c:pt>
                <c:pt idx="681">
                  <c:v>0.16953086857877547</c:v>
                </c:pt>
                <c:pt idx="682">
                  <c:v>0.16962064828509316</c:v>
                </c:pt>
                <c:pt idx="683">
                  <c:v>0.16972869128111989</c:v>
                </c:pt>
                <c:pt idx="684">
                  <c:v>0.16983298839898175</c:v>
                </c:pt>
                <c:pt idx="685">
                  <c:v>0.16990426929536817</c:v>
                </c:pt>
                <c:pt idx="686">
                  <c:v>0.17000398616909471</c:v>
                </c:pt>
                <c:pt idx="687">
                  <c:v>0.17008312209076504</c:v>
                </c:pt>
                <c:pt idx="688">
                  <c:v>0.17016194437048321</c:v>
                </c:pt>
                <c:pt idx="689">
                  <c:v>0.17026453906735697</c:v>
                </c:pt>
                <c:pt idx="690">
                  <c:v>0.17034198459592489</c:v>
                </c:pt>
                <c:pt idx="691">
                  <c:v>0.17043976781649642</c:v>
                </c:pt>
                <c:pt idx="692">
                  <c:v>0.17054125660536582</c:v>
                </c:pt>
                <c:pt idx="693">
                  <c:v>0.17064709462741329</c:v>
                </c:pt>
                <c:pt idx="694">
                  <c:v>0.17075256621973872</c:v>
                </c:pt>
                <c:pt idx="695">
                  <c:v>0.17084452462138516</c:v>
                </c:pt>
                <c:pt idx="696">
                  <c:v>0.17091289662559414</c:v>
                </c:pt>
                <c:pt idx="697">
                  <c:v>0.17098097817106095</c:v>
                </c:pt>
                <c:pt idx="698">
                  <c:v>0.17106937054765858</c:v>
                </c:pt>
                <c:pt idx="699">
                  <c:v>0.1711736523904174</c:v>
                </c:pt>
                <c:pt idx="700">
                  <c:v>0.1712815877064584</c:v>
                </c:pt>
                <c:pt idx="701">
                  <c:v>0.17138149193513283</c:v>
                </c:pt>
                <c:pt idx="702">
                  <c:v>0.17146625932873752</c:v>
                </c:pt>
                <c:pt idx="703">
                  <c:v>0.17157093561772568</c:v>
                </c:pt>
                <c:pt idx="704">
                  <c:v>0.17165491145362485</c:v>
                </c:pt>
                <c:pt idx="705">
                  <c:v>0.17176550414669736</c:v>
                </c:pt>
                <c:pt idx="706">
                  <c:v>0.17186031220533474</c:v>
                </c:pt>
                <c:pt idx="707">
                  <c:v>0.17194197363956862</c:v>
                </c:pt>
                <c:pt idx="708">
                  <c:v>0.17203632880671921</c:v>
                </c:pt>
                <c:pt idx="709">
                  <c:v>0.1721527117497324</c:v>
                </c:pt>
                <c:pt idx="710">
                  <c:v>0.17223965201544267</c:v>
                </c:pt>
                <c:pt idx="711">
                  <c:v>0.17233192913270132</c:v>
                </c:pt>
                <c:pt idx="712">
                  <c:v>0.17242201474903512</c:v>
                </c:pt>
                <c:pt idx="713">
                  <c:v>0.17251463720902585</c:v>
                </c:pt>
                <c:pt idx="714">
                  <c:v>0.1726077507280861</c:v>
                </c:pt>
                <c:pt idx="715">
                  <c:v>0.17269143424904468</c:v>
                </c:pt>
                <c:pt idx="716">
                  <c:v>0.17277939427443087</c:v>
                </c:pt>
                <c:pt idx="717">
                  <c:v>0.17286551883552914</c:v>
                </c:pt>
                <c:pt idx="718">
                  <c:v>0.17295913016827977</c:v>
                </c:pt>
                <c:pt idx="719">
                  <c:v>0.17305655088751457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952256"/>
        <c:axId val="433983488"/>
      </c:scatterChart>
      <c:valAx>
        <c:axId val="433952256"/>
        <c:scaling>
          <c:orientation val="minMax"/>
        </c:scaling>
        <c:delete val="0"/>
        <c:axPos val="b"/>
        <c:majorGridlines/>
        <c:numFmt formatCode="_-* #\,##0.00_-;\-* #\,##0.00_-;_-* &quot;-&quot;??_-;_-@_-" sourceLinked="1"/>
        <c:majorTickMark val="out"/>
        <c:minorTickMark val="none"/>
        <c:tickLblPos val="nextTo"/>
        <c:crossAx val="433983488"/>
        <c:crosses val="autoZero"/>
        <c:crossBetween val="midCat"/>
      </c:valAx>
      <c:valAx>
        <c:axId val="43398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952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Output!$Y$12:$Y$131</c:f>
              <c:numCache>
                <c:formatCode>0.00000%</c:formatCode>
                <c:ptCount val="120"/>
                <c:pt idx="0">
                  <c:v>2.0166259150868171E-2</c:v>
                </c:pt>
                <c:pt idx="1">
                  <c:v>1.9949212902239818E-2</c:v>
                </c:pt>
                <c:pt idx="2">
                  <c:v>2.0044280952640905E-2</c:v>
                </c:pt>
                <c:pt idx="3">
                  <c:v>2.0163035922462588E-2</c:v>
                </c:pt>
                <c:pt idx="4">
                  <c:v>2.007962919874804E-2</c:v>
                </c:pt>
                <c:pt idx="5">
                  <c:v>1.9954756931875046E-2</c:v>
                </c:pt>
                <c:pt idx="6">
                  <c:v>2.0048059799252047E-2</c:v>
                </c:pt>
                <c:pt idx="7">
                  <c:v>1.9935642578778053E-2</c:v>
                </c:pt>
                <c:pt idx="8">
                  <c:v>1.9829776084783927E-2</c:v>
                </c:pt>
                <c:pt idx="9">
                  <c:v>1.9886448208691766E-2</c:v>
                </c:pt>
                <c:pt idx="10">
                  <c:v>1.9870171175514907E-2</c:v>
                </c:pt>
                <c:pt idx="11">
                  <c:v>1.9832183216737395E-2</c:v>
                </c:pt>
                <c:pt idx="12">
                  <c:v>1.9973823078374989E-2</c:v>
                </c:pt>
                <c:pt idx="13">
                  <c:v>1.9977166130623759E-2</c:v>
                </c:pt>
                <c:pt idx="14">
                  <c:v>2.0019469779147737E-2</c:v>
                </c:pt>
                <c:pt idx="15">
                  <c:v>1.9874895294850224E-2</c:v>
                </c:pt>
                <c:pt idx="16">
                  <c:v>1.9938964664813225E-2</c:v>
                </c:pt>
                <c:pt idx="17">
                  <c:v>1.9861579775398257E-2</c:v>
                </c:pt>
                <c:pt idx="18">
                  <c:v>1.9888799156941063E-2</c:v>
                </c:pt>
                <c:pt idx="19">
                  <c:v>1.9865564833460962E-2</c:v>
                </c:pt>
                <c:pt idx="20">
                  <c:v>1.9810764335617688E-2</c:v>
                </c:pt>
                <c:pt idx="21">
                  <c:v>1.9902195389667945E-2</c:v>
                </c:pt>
                <c:pt idx="22">
                  <c:v>1.9839302875404908E-2</c:v>
                </c:pt>
                <c:pt idx="23">
                  <c:v>1.9873687926112542E-2</c:v>
                </c:pt>
                <c:pt idx="24">
                  <c:v>1.9855660762216211E-2</c:v>
                </c:pt>
                <c:pt idx="25">
                  <c:v>1.9796313238889682E-2</c:v>
                </c:pt>
                <c:pt idx="26">
                  <c:v>1.9723167070903113E-2</c:v>
                </c:pt>
                <c:pt idx="27">
                  <c:v>1.9668040775581298E-2</c:v>
                </c:pt>
                <c:pt idx="28">
                  <c:v>1.9598265790161794E-2</c:v>
                </c:pt>
                <c:pt idx="29">
                  <c:v>1.9705162920870475E-2</c:v>
                </c:pt>
                <c:pt idx="30">
                  <c:v>1.9714864006313497E-2</c:v>
                </c:pt>
                <c:pt idx="31">
                  <c:v>1.9774849924537888E-2</c:v>
                </c:pt>
                <c:pt idx="32">
                  <c:v>1.9872843962143075E-2</c:v>
                </c:pt>
                <c:pt idx="33">
                  <c:v>1.9783187289560588E-2</c:v>
                </c:pt>
                <c:pt idx="34">
                  <c:v>1.9825363894844433E-2</c:v>
                </c:pt>
                <c:pt idx="35">
                  <c:v>1.9849656724604418E-2</c:v>
                </c:pt>
                <c:pt idx="36">
                  <c:v>1.9952104769971252E-2</c:v>
                </c:pt>
                <c:pt idx="37">
                  <c:v>1.9952197555696695E-2</c:v>
                </c:pt>
                <c:pt idx="38">
                  <c:v>1.9930593654384612E-2</c:v>
                </c:pt>
                <c:pt idx="39">
                  <c:v>1.9986303268419929E-2</c:v>
                </c:pt>
                <c:pt idx="40">
                  <c:v>2.0011551902456716E-2</c:v>
                </c:pt>
                <c:pt idx="41">
                  <c:v>2.0161248875726234E-2</c:v>
                </c:pt>
                <c:pt idx="42">
                  <c:v>2.0332572735276562E-2</c:v>
                </c:pt>
                <c:pt idx="43">
                  <c:v>2.0283700470209179E-2</c:v>
                </c:pt>
                <c:pt idx="44">
                  <c:v>2.0265953979611041E-2</c:v>
                </c:pt>
                <c:pt idx="45">
                  <c:v>2.0259449194141049E-2</c:v>
                </c:pt>
                <c:pt idx="46">
                  <c:v>2.0270680683137868E-2</c:v>
                </c:pt>
                <c:pt idx="47">
                  <c:v>2.0407180577068008E-2</c:v>
                </c:pt>
                <c:pt idx="48">
                  <c:v>2.0449732873659445E-2</c:v>
                </c:pt>
                <c:pt idx="49">
                  <c:v>2.0459882040221773E-2</c:v>
                </c:pt>
                <c:pt idx="50">
                  <c:v>2.0481509568705723E-2</c:v>
                </c:pt>
                <c:pt idx="51">
                  <c:v>2.0532578821858577E-2</c:v>
                </c:pt>
                <c:pt idx="52">
                  <c:v>2.0446002824449239E-2</c:v>
                </c:pt>
                <c:pt idx="53">
                  <c:v>2.0462218982230634E-2</c:v>
                </c:pt>
                <c:pt idx="54">
                  <c:v>2.0540554201678028E-2</c:v>
                </c:pt>
                <c:pt idx="55">
                  <c:v>2.0540282878565443E-2</c:v>
                </c:pt>
                <c:pt idx="56">
                  <c:v>2.061615119022938E-2</c:v>
                </c:pt>
                <c:pt idx="57">
                  <c:v>2.0603059945592798E-2</c:v>
                </c:pt>
                <c:pt idx="58">
                  <c:v>2.0580705659270442E-2</c:v>
                </c:pt>
                <c:pt idx="59">
                  <c:v>2.0545146338595187E-2</c:v>
                </c:pt>
                <c:pt idx="60">
                  <c:v>2.0421501305725953E-2</c:v>
                </c:pt>
                <c:pt idx="61">
                  <c:v>2.0472383673262248E-2</c:v>
                </c:pt>
                <c:pt idx="62">
                  <c:v>2.0540921605447383E-2</c:v>
                </c:pt>
                <c:pt idx="63">
                  <c:v>2.0568973136686267E-2</c:v>
                </c:pt>
                <c:pt idx="64">
                  <c:v>2.0588564736143677E-2</c:v>
                </c:pt>
                <c:pt idx="65">
                  <c:v>2.050376637040421E-2</c:v>
                </c:pt>
                <c:pt idx="66">
                  <c:v>2.0531450053887762E-2</c:v>
                </c:pt>
                <c:pt idx="67">
                  <c:v>2.058485212612508E-2</c:v>
                </c:pt>
                <c:pt idx="68">
                  <c:v>2.0604331157480782E-2</c:v>
                </c:pt>
                <c:pt idx="69">
                  <c:v>2.0572298279727466E-2</c:v>
                </c:pt>
                <c:pt idx="70">
                  <c:v>2.0551735105293976E-2</c:v>
                </c:pt>
                <c:pt idx="71">
                  <c:v>2.0632609184681072E-2</c:v>
                </c:pt>
                <c:pt idx="72">
                  <c:v>2.0617147340612735E-2</c:v>
                </c:pt>
                <c:pt idx="73">
                  <c:v>2.0632409954788586E-2</c:v>
                </c:pt>
                <c:pt idx="74">
                  <c:v>2.0559519806491212E-2</c:v>
                </c:pt>
                <c:pt idx="75">
                  <c:v>2.0515755614918495E-2</c:v>
                </c:pt>
                <c:pt idx="76">
                  <c:v>2.0459963839416201E-2</c:v>
                </c:pt>
                <c:pt idx="77">
                  <c:v>2.0395300221738522E-2</c:v>
                </c:pt>
                <c:pt idx="78">
                  <c:v>2.0421049645053126E-2</c:v>
                </c:pt>
                <c:pt idx="79">
                  <c:v>2.0368167425881281E-2</c:v>
                </c:pt>
                <c:pt idx="80">
                  <c:v>2.0333515694581174E-2</c:v>
                </c:pt>
                <c:pt idx="81">
                  <c:v>2.0381844831836995E-2</c:v>
                </c:pt>
                <c:pt idx="82">
                  <c:v>2.026501914226421E-2</c:v>
                </c:pt>
                <c:pt idx="83">
                  <c:v>2.0282606400736748E-2</c:v>
                </c:pt>
                <c:pt idx="84">
                  <c:v>2.0263861135907321E-2</c:v>
                </c:pt>
                <c:pt idx="85">
                  <c:v>2.0244195332467112E-2</c:v>
                </c:pt>
                <c:pt idx="86">
                  <c:v>2.0208934135454298E-2</c:v>
                </c:pt>
                <c:pt idx="87">
                  <c:v>2.0093429877297567E-2</c:v>
                </c:pt>
                <c:pt idx="88">
                  <c:v>2.0042405313678482E-2</c:v>
                </c:pt>
                <c:pt idx="89">
                  <c:v>1.991297276985312E-2</c:v>
                </c:pt>
                <c:pt idx="90">
                  <c:v>1.9921556854387425E-2</c:v>
                </c:pt>
                <c:pt idx="91">
                  <c:v>1.9937929542180849E-2</c:v>
                </c:pt>
                <c:pt idx="92">
                  <c:v>1.9847173855561423E-2</c:v>
                </c:pt>
                <c:pt idx="93">
                  <c:v>1.987966818197923E-2</c:v>
                </c:pt>
                <c:pt idx="94">
                  <c:v>1.9860810649720503E-2</c:v>
                </c:pt>
                <c:pt idx="95">
                  <c:v>1.983021167619416E-2</c:v>
                </c:pt>
                <c:pt idx="96">
                  <c:v>1.9866408508940177E-2</c:v>
                </c:pt>
                <c:pt idx="97">
                  <c:v>1.9777500811833514E-2</c:v>
                </c:pt>
                <c:pt idx="98">
                  <c:v>1.973205150600689E-2</c:v>
                </c:pt>
                <c:pt idx="99">
                  <c:v>1.9725134939801488E-2</c:v>
                </c:pt>
                <c:pt idx="100">
                  <c:v>1.9717833757785068E-2</c:v>
                </c:pt>
                <c:pt idx="101">
                  <c:v>1.9658004291057816E-2</c:v>
                </c:pt>
                <c:pt idx="102">
                  <c:v>1.9759893043132075E-2</c:v>
                </c:pt>
                <c:pt idx="103">
                  <c:v>1.9711465010658142E-2</c:v>
                </c:pt>
                <c:pt idx="104">
                  <c:v>1.971605104976976E-2</c:v>
                </c:pt>
                <c:pt idx="105">
                  <c:v>1.9724367883155368E-2</c:v>
                </c:pt>
                <c:pt idx="106">
                  <c:v>1.9686224431381731E-2</c:v>
                </c:pt>
                <c:pt idx="107">
                  <c:v>1.9697856769921952E-2</c:v>
                </c:pt>
                <c:pt idx="108">
                  <c:v>1.9709825358451987E-2</c:v>
                </c:pt>
                <c:pt idx="109">
                  <c:v>1.96201759517972E-2</c:v>
                </c:pt>
                <c:pt idx="110">
                  <c:v>1.9624883876625598E-2</c:v>
                </c:pt>
                <c:pt idx="111">
                  <c:v>1.9579694668594157E-2</c:v>
                </c:pt>
                <c:pt idx="112">
                  <c:v>1.9533828777772752E-2</c:v>
                </c:pt>
                <c:pt idx="113">
                  <c:v>1.9491987221658055E-2</c:v>
                </c:pt>
                <c:pt idx="114">
                  <c:v>1.9502664050670384E-2</c:v>
                </c:pt>
                <c:pt idx="115">
                  <c:v>1.9458548303357203E-2</c:v>
                </c:pt>
                <c:pt idx="116">
                  <c:v>1.9428596750393955E-2</c:v>
                </c:pt>
                <c:pt idx="117">
                  <c:v>1.9443763751844357E-2</c:v>
                </c:pt>
                <c:pt idx="118">
                  <c:v>1.9470378636608381E-2</c:v>
                </c:pt>
                <c:pt idx="119">
                  <c:v>1.9470007357784029E-2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23520"/>
        <c:axId val="70125056"/>
      </c:lineChart>
      <c:catAx>
        <c:axId val="70123520"/>
        <c:scaling>
          <c:orientation val="minMax"/>
        </c:scaling>
        <c:delete val="0"/>
        <c:axPos val="b"/>
        <c:majorTickMark val="out"/>
        <c:minorTickMark val="none"/>
        <c:tickLblPos val="nextTo"/>
        <c:crossAx val="70125056"/>
        <c:crosses val="autoZero"/>
        <c:auto val="1"/>
        <c:lblAlgn val="ctr"/>
        <c:lblOffset val="100"/>
        <c:noMultiLvlLbl val="0"/>
      </c:catAx>
      <c:valAx>
        <c:axId val="7012505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0123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46571101689212E-2"/>
          <c:y val="4.9066344967341809E-2"/>
          <c:w val="0.86329793391210718"/>
          <c:h val="0.88067733447348484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Output!$G$12:$G$131</c:f>
              <c:numCache>
                <c:formatCode>General</c:formatCode>
                <c:ptCount val="120"/>
                <c:pt idx="0">
                  <c:v>0.99999646761142069</c:v>
                </c:pt>
                <c:pt idx="1">
                  <c:v>0.99999204606546521</c:v>
                </c:pt>
                <c:pt idx="2">
                  <c:v>0.99997615327833123</c:v>
                </c:pt>
                <c:pt idx="3">
                  <c:v>0.99998760599828473</c:v>
                </c:pt>
                <c:pt idx="4">
                  <c:v>0.99996079052579867</c:v>
                </c:pt>
                <c:pt idx="5">
                  <c:v>0.9999122934904684</c:v>
                </c:pt>
                <c:pt idx="6">
                  <c:v>0.99992271730508397</c:v>
                </c:pt>
                <c:pt idx="7">
                  <c:v>0.99990702717927327</c:v>
                </c:pt>
                <c:pt idx="8">
                  <c:v>0.99991077358741642</c:v>
                </c:pt>
                <c:pt idx="9">
                  <c:v>0.99991444030637888</c:v>
                </c:pt>
                <c:pt idx="10">
                  <c:v>0.99992220014876276</c:v>
                </c:pt>
                <c:pt idx="11">
                  <c:v>0.99987393204959751</c:v>
                </c:pt>
                <c:pt idx="12">
                  <c:v>0.9998857385195834</c:v>
                </c:pt>
                <c:pt idx="13">
                  <c:v>0.99987582253165952</c:v>
                </c:pt>
                <c:pt idx="14">
                  <c:v>0.99987571844871437</c:v>
                </c:pt>
                <c:pt idx="15">
                  <c:v>0.99985941806231626</c:v>
                </c:pt>
                <c:pt idx="16">
                  <c:v>0.99989015938727011</c:v>
                </c:pt>
                <c:pt idx="17">
                  <c:v>0.99990784427310242</c:v>
                </c:pt>
                <c:pt idx="18">
                  <c:v>0.99981799265485627</c:v>
                </c:pt>
                <c:pt idx="19">
                  <c:v>0.99984168710555876</c:v>
                </c:pt>
                <c:pt idx="20">
                  <c:v>0.99991608223667061</c:v>
                </c:pt>
                <c:pt idx="21">
                  <c:v>0.99995316559157121</c:v>
                </c:pt>
                <c:pt idx="22">
                  <c:v>0.99993764552915576</c:v>
                </c:pt>
                <c:pt idx="23">
                  <c:v>0.99987258320341421</c:v>
                </c:pt>
                <c:pt idx="24">
                  <c:v>0.99985711975755354</c:v>
                </c:pt>
                <c:pt idx="25">
                  <c:v>0.99989712683561627</c:v>
                </c:pt>
                <c:pt idx="26">
                  <c:v>0.99991035549142349</c:v>
                </c:pt>
                <c:pt idx="27">
                  <c:v>0.99990754776412993</c:v>
                </c:pt>
                <c:pt idx="28">
                  <c:v>0.99985607958023648</c:v>
                </c:pt>
                <c:pt idx="29">
                  <c:v>0.99978743001552994</c:v>
                </c:pt>
                <c:pt idx="30">
                  <c:v>0.99968605251920217</c:v>
                </c:pt>
                <c:pt idx="31">
                  <c:v>0.99969533339245287</c:v>
                </c:pt>
                <c:pt idx="32">
                  <c:v>0.99975772713675137</c:v>
                </c:pt>
                <c:pt idx="33">
                  <c:v>0.99978729811695211</c:v>
                </c:pt>
                <c:pt idx="34">
                  <c:v>0.9997936790178692</c:v>
                </c:pt>
                <c:pt idx="35">
                  <c:v>0.99971531943278225</c:v>
                </c:pt>
                <c:pt idx="36">
                  <c:v>0.99970006483490359</c:v>
                </c:pt>
                <c:pt idx="37">
                  <c:v>0.99969620313451846</c:v>
                </c:pt>
                <c:pt idx="38">
                  <c:v>0.99967547143884095</c:v>
                </c:pt>
                <c:pt idx="39">
                  <c:v>0.99965124715597597</c:v>
                </c:pt>
                <c:pt idx="40">
                  <c:v>0.99975428810365885</c:v>
                </c:pt>
                <c:pt idx="41">
                  <c:v>0.99977524386398653</c:v>
                </c:pt>
                <c:pt idx="42">
                  <c:v>0.99989707910752901</c:v>
                </c:pt>
                <c:pt idx="43">
                  <c:v>0.99989728298522873</c:v>
                </c:pt>
                <c:pt idx="44">
                  <c:v>0.99985496604424284</c:v>
                </c:pt>
                <c:pt idx="45">
                  <c:v>0.99990741812186279</c:v>
                </c:pt>
                <c:pt idx="46">
                  <c:v>0.99990466046647419</c:v>
                </c:pt>
                <c:pt idx="47">
                  <c:v>0.99982920402127529</c:v>
                </c:pt>
                <c:pt idx="48">
                  <c:v>0.99991529255886036</c:v>
                </c:pt>
                <c:pt idx="49">
                  <c:v>0.99999970755922407</c:v>
                </c:pt>
                <c:pt idx="50">
                  <c:v>1.0000249952146494</c:v>
                </c:pt>
                <c:pt idx="51">
                  <c:v>1.0000126728015886</c:v>
                </c:pt>
                <c:pt idx="52">
                  <c:v>1.0000791693971016</c:v>
                </c:pt>
                <c:pt idx="53">
                  <c:v>1.000126080754081</c:v>
                </c:pt>
                <c:pt idx="54">
                  <c:v>1.0001759710863614</c:v>
                </c:pt>
                <c:pt idx="55">
                  <c:v>1.0002048373614933</c:v>
                </c:pt>
                <c:pt idx="56">
                  <c:v>1.0002517924374814</c:v>
                </c:pt>
                <c:pt idx="57">
                  <c:v>1.0002364833647801</c:v>
                </c:pt>
                <c:pt idx="58">
                  <c:v>1.0002437945281857</c:v>
                </c:pt>
                <c:pt idx="59">
                  <c:v>1.0003022274594853</c:v>
                </c:pt>
                <c:pt idx="60">
                  <c:v>1.0002711529047066</c:v>
                </c:pt>
                <c:pt idx="61">
                  <c:v>1.0001367466270499</c:v>
                </c:pt>
                <c:pt idx="62">
                  <c:v>1.0002011660140371</c:v>
                </c:pt>
                <c:pt idx="63">
                  <c:v>1.0000879977171901</c:v>
                </c:pt>
                <c:pt idx="64">
                  <c:v>1.000125948608487</c:v>
                </c:pt>
                <c:pt idx="65">
                  <c:v>1.0000502504887288</c:v>
                </c:pt>
                <c:pt idx="66">
                  <c:v>1.0001034250085354</c:v>
                </c:pt>
                <c:pt idx="67">
                  <c:v>1.0001691136664368</c:v>
                </c:pt>
                <c:pt idx="68">
                  <c:v>1.0001817955098176</c:v>
                </c:pt>
                <c:pt idx="69">
                  <c:v>1.0000499773207896</c:v>
                </c:pt>
                <c:pt idx="70">
                  <c:v>1.0000151922823775</c:v>
                </c:pt>
                <c:pt idx="71">
                  <c:v>0.99997439401145183</c:v>
                </c:pt>
                <c:pt idx="72">
                  <c:v>0.99990940291093267</c:v>
                </c:pt>
                <c:pt idx="73">
                  <c:v>0.99987041314856984</c:v>
                </c:pt>
                <c:pt idx="74">
                  <c:v>0.99979117289945929</c:v>
                </c:pt>
                <c:pt idx="75">
                  <c:v>0.99970188157133544</c:v>
                </c:pt>
                <c:pt idx="76">
                  <c:v>0.99981351350089354</c:v>
                </c:pt>
                <c:pt idx="77">
                  <c:v>0.99967534776027911</c:v>
                </c:pt>
                <c:pt idx="78">
                  <c:v>0.99963960333658164</c:v>
                </c:pt>
                <c:pt idx="79">
                  <c:v>0.99978160902090618</c:v>
                </c:pt>
                <c:pt idx="80">
                  <c:v>0.99968269572305868</c:v>
                </c:pt>
                <c:pt idx="81">
                  <c:v>0.99961433439812442</c:v>
                </c:pt>
                <c:pt idx="82">
                  <c:v>0.99951714989183926</c:v>
                </c:pt>
                <c:pt idx="83">
                  <c:v>0.99948259660745631</c:v>
                </c:pt>
                <c:pt idx="84">
                  <c:v>0.99944205493098048</c:v>
                </c:pt>
                <c:pt idx="85">
                  <c:v>0.99933156339141005</c:v>
                </c:pt>
                <c:pt idx="86">
                  <c:v>0.99928364390826863</c:v>
                </c:pt>
                <c:pt idx="87">
                  <c:v>0.9991447743280687</c:v>
                </c:pt>
                <c:pt idx="88">
                  <c:v>0.99920967198009936</c:v>
                </c:pt>
                <c:pt idx="89">
                  <c:v>0.99921459841168414</c:v>
                </c:pt>
                <c:pt idx="90">
                  <c:v>0.99916429766958026</c:v>
                </c:pt>
                <c:pt idx="91">
                  <c:v>0.99921691316813033</c:v>
                </c:pt>
                <c:pt idx="92">
                  <c:v>0.9990082608420231</c:v>
                </c:pt>
                <c:pt idx="93">
                  <c:v>0.99900683369955401</c:v>
                </c:pt>
                <c:pt idx="94">
                  <c:v>0.99912443432628717</c:v>
                </c:pt>
                <c:pt idx="95">
                  <c:v>0.99921340659596958</c:v>
                </c:pt>
                <c:pt idx="96">
                  <c:v>0.99921336010912343</c:v>
                </c:pt>
                <c:pt idx="97">
                  <c:v>0.9991247829828972</c:v>
                </c:pt>
                <c:pt idx="98">
                  <c:v>0.99927660270480845</c:v>
                </c:pt>
                <c:pt idx="99">
                  <c:v>0.99938651714667881</c:v>
                </c:pt>
                <c:pt idx="100">
                  <c:v>0.99925724776682268</c:v>
                </c:pt>
                <c:pt idx="101">
                  <c:v>0.99936509737714208</c:v>
                </c:pt>
                <c:pt idx="102">
                  <c:v>0.99927010409419403</c:v>
                </c:pt>
                <c:pt idx="103">
                  <c:v>0.99921125777760766</c:v>
                </c:pt>
                <c:pt idx="104">
                  <c:v>0.99932858786084822</c:v>
                </c:pt>
                <c:pt idx="105">
                  <c:v>0.99932566932393807</c:v>
                </c:pt>
                <c:pt idx="106">
                  <c:v>0.99939309206993932</c:v>
                </c:pt>
                <c:pt idx="107">
                  <c:v>0.99950520453845471</c:v>
                </c:pt>
                <c:pt idx="108">
                  <c:v>0.99947735102545465</c:v>
                </c:pt>
                <c:pt idx="109">
                  <c:v>0.99937037797626127</c:v>
                </c:pt>
                <c:pt idx="110">
                  <c:v>0.99948400551335703</c:v>
                </c:pt>
                <c:pt idx="111">
                  <c:v>0.99946528169891968</c:v>
                </c:pt>
                <c:pt idx="112">
                  <c:v>0.99946648399341464</c:v>
                </c:pt>
                <c:pt idx="113">
                  <c:v>0.99957466185188659</c:v>
                </c:pt>
                <c:pt idx="114">
                  <c:v>0.99965589780586184</c:v>
                </c:pt>
                <c:pt idx="115">
                  <c:v>0.99984216689336369</c:v>
                </c:pt>
                <c:pt idx="116">
                  <c:v>0.99966728439218655</c:v>
                </c:pt>
                <c:pt idx="117">
                  <c:v>0.99962404180280173</c:v>
                </c:pt>
                <c:pt idx="118">
                  <c:v>0.99971669946612696</c:v>
                </c:pt>
                <c:pt idx="119">
                  <c:v>0.9997957011398878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53344"/>
        <c:axId val="70154880"/>
      </c:lineChart>
      <c:catAx>
        <c:axId val="7015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70154880"/>
        <c:crosses val="autoZero"/>
        <c:auto val="1"/>
        <c:lblAlgn val="ctr"/>
        <c:lblOffset val="100"/>
        <c:noMultiLvlLbl val="0"/>
      </c:catAx>
      <c:valAx>
        <c:axId val="7015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5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462640</xdr:colOff>
      <xdr:row>47</xdr:row>
      <xdr:rowOff>108858</xdr:rowOff>
    </xdr:from>
    <xdr:to>
      <xdr:col>11</xdr:col>
      <xdr:colOff>367391</xdr:colOff>
      <xdr:row>67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312962</xdr:colOff>
      <xdr:row>17</xdr:row>
      <xdr:rowOff>176894</xdr:rowOff>
    </xdr:from>
    <xdr:to>
      <xdr:col>12</xdr:col>
      <xdr:colOff>136070</xdr:colOff>
      <xdr:row>43</xdr:row>
      <xdr:rowOff>81643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693963</xdr:colOff>
      <xdr:row>25</xdr:row>
      <xdr:rowOff>176892</xdr:rowOff>
    </xdr:from>
    <xdr:to>
      <xdr:col>23</xdr:col>
      <xdr:colOff>775606</xdr:colOff>
      <xdr:row>47</xdr:row>
      <xdr:rowOff>1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666748</xdr:colOff>
      <xdr:row>51</xdr:row>
      <xdr:rowOff>108857</xdr:rowOff>
    </xdr:from>
    <xdr:to>
      <xdr:col>22</xdr:col>
      <xdr:colOff>17687</xdr:colOff>
      <xdr:row>70</xdr:row>
      <xdr:rowOff>163286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816428</xdr:colOff>
      <xdr:row>19</xdr:row>
      <xdr:rowOff>40822</xdr:rowOff>
    </xdr:from>
    <xdr:to>
      <xdr:col>35</xdr:col>
      <xdr:colOff>585107</xdr:colOff>
      <xdr:row>41</xdr:row>
      <xdr:rowOff>40822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108857</xdr:colOff>
      <xdr:row>1</xdr:row>
      <xdr:rowOff>149679</xdr:rowOff>
    </xdr:from>
    <xdr:to>
      <xdr:col>20</xdr:col>
      <xdr:colOff>748393</xdr:colOff>
      <xdr:row>31</xdr:row>
      <xdr:rowOff>58510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136071</xdr:colOff>
      <xdr:row>24</xdr:row>
      <xdr:rowOff>13607</xdr:rowOff>
    </xdr:from>
    <xdr:to>
      <xdr:col>15</xdr:col>
      <xdr:colOff>312964</xdr:colOff>
      <xdr:row>45</xdr:row>
      <xdr:rowOff>180974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5:F10"/>
  <sheetViews>
    <sheetView zoomScale="70" zoomScaleNormal="70" workbookViewId="0">
      <selection activeCell="H14" sqref="H14"/>
    </sheetView>
  </sheetViews>
  <sheetFormatPr defaultColWidth="11" defaultRowHeight="14.25" x14ac:dyDescent="0.2"/>
  <cols>
    <col min="1" max="11" width="11" style="1"/>
    <col min="12" max="12" width="12.25" style="1" bestFit="1" customWidth="1"/>
    <col min="13" max="16384" width="11" style="1"/>
  </cols>
  <sheetData>
    <row r="5" spans="5:6" x14ac:dyDescent="0.2">
      <c r="E5" s="1" t="s">
        <v>1</v>
      </c>
      <c r="F5" s="1" t="s">
        <v>7</v>
      </c>
    </row>
    <row r="6" spans="5:6" x14ac:dyDescent="0.2">
      <c r="E6" s="1" t="s">
        <v>0</v>
      </c>
      <c r="F6" s="1" t="s">
        <v>8</v>
      </c>
    </row>
    <row r="7" spans="5:6" x14ac:dyDescent="0.2">
      <c r="E7" s="1" t="s">
        <v>2</v>
      </c>
      <c r="F7" s="1">
        <v>12000</v>
      </c>
    </row>
    <row r="8" spans="5:6" x14ac:dyDescent="0.2">
      <c r="E8" s="1" t="s">
        <v>3</v>
      </c>
      <c r="F8" s="1">
        <v>0.04</v>
      </c>
    </row>
    <row r="9" spans="5:6" x14ac:dyDescent="0.2">
      <c r="E9" s="1" t="s">
        <v>4</v>
      </c>
      <c r="F9" s="1">
        <v>0.01</v>
      </c>
    </row>
    <row r="10" spans="5:6" x14ac:dyDescent="0.2">
      <c r="E10" s="1" t="s">
        <v>5</v>
      </c>
      <c r="F10" s="1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6:AG1212"/>
  <sheetViews>
    <sheetView tabSelected="1" zoomScale="70" zoomScaleNormal="70" workbookViewId="0">
      <selection activeCell="N51" sqref="N51"/>
    </sheetView>
  </sheetViews>
  <sheetFormatPr defaultColWidth="11" defaultRowHeight="14.25" x14ac:dyDescent="0.2"/>
  <cols>
    <col min="1" max="19" width="11" style="1"/>
    <col min="20" max="20" width="12.5" style="1" customWidth="1"/>
    <col min="21" max="22" width="12.375" style="1" bestFit="1" customWidth="1"/>
    <col min="23" max="23" width="16.375" style="1" bestFit="1" customWidth="1"/>
    <col min="24" max="24" width="13.875" style="1" bestFit="1" customWidth="1"/>
    <col min="25" max="25" width="11.125" style="1" bestFit="1" customWidth="1"/>
    <col min="26" max="29" width="11" style="1"/>
    <col min="30" max="30" width="12.25" style="1" bestFit="1" customWidth="1"/>
    <col min="31" max="16384" width="11" style="1"/>
  </cols>
  <sheetData>
    <row r="6" spans="2:33" ht="15" x14ac:dyDescent="0.25">
      <c r="S6" s="1">
        <v>18</v>
      </c>
      <c r="T6" s="7">
        <f>8%*S6*8%</f>
        <v>0.1152</v>
      </c>
      <c r="U6" s="1">
        <f>sigma*sigma/alpha/alpha*(S6+2/alpha*EXP(-alpha*S6)-1/2/alpha*EXP(-2*alpha*S6)-3/2/alpha)</f>
        <v>0.11725098840450432</v>
      </c>
      <c r="V6" s="1">
        <f>2*sigma/alpha*corel*(S6-1/alpha*(1-EXP(-alpha*S6)))</f>
        <v>0.64610079987491176</v>
      </c>
      <c r="W6" s="5">
        <f>U6-T6</f>
        <v>2.0509884045043225E-3</v>
      </c>
      <c r="X6" s="1">
        <f>V6*V6-4*W6*S6</f>
        <v>0.26977507847468957</v>
      </c>
      <c r="Y6" s="3">
        <f>(-V6+SQRT(X6))/2/S6</f>
        <v>-3.5195009315473697E-3</v>
      </c>
    </row>
    <row r="11" spans="2:33" x14ac:dyDescent="0.2">
      <c r="C11" s="1">
        <v>0</v>
      </c>
      <c r="D11" s="1">
        <v>0</v>
      </c>
      <c r="E11" s="1">
        <v>1</v>
      </c>
      <c r="G11" s="1">
        <v>0</v>
      </c>
      <c r="H11" s="1">
        <v>0</v>
      </c>
      <c r="I11" s="1">
        <v>1</v>
      </c>
      <c r="K11" s="1">
        <v>0</v>
      </c>
      <c r="L11" s="1">
        <v>0</v>
      </c>
      <c r="M11" s="1">
        <v>1</v>
      </c>
      <c r="O11" s="1">
        <v>0</v>
      </c>
      <c r="P11" s="1">
        <v>0</v>
      </c>
      <c r="R11" s="1">
        <v>0</v>
      </c>
      <c r="V11" s="1">
        <v>2</v>
      </c>
      <c r="W11" s="1">
        <v>1</v>
      </c>
      <c r="X11" s="1" t="s">
        <v>6</v>
      </c>
    </row>
    <row r="12" spans="2:33" ht="15" x14ac:dyDescent="0.25">
      <c r="B12" s="1">
        <v>1</v>
      </c>
      <c r="C12" s="1">
        <v>0.9999997383545508</v>
      </c>
      <c r="D12" s="1">
        <v>1.0091769214894037</v>
      </c>
      <c r="E12" s="1">
        <v>0.99090009715243765</v>
      </c>
      <c r="G12" s="1">
        <v>0.99999646761142069</v>
      </c>
      <c r="H12" s="1">
        <v>1.0852424858265532</v>
      </c>
      <c r="I12" s="1">
        <v>0.92099983277758335</v>
      </c>
      <c r="K12" s="1">
        <v>1.0000012424050029</v>
      </c>
      <c r="L12" s="1">
        <v>1.0242825717428259</v>
      </c>
      <c r="M12" s="1">
        <v>0.976244</v>
      </c>
      <c r="O12" s="1">
        <v>4.8740855742122327E-4</v>
      </c>
      <c r="P12" s="1">
        <v>0.9999593834450895</v>
      </c>
      <c r="R12" s="1">
        <v>2.314759510726344E-3</v>
      </c>
      <c r="S12" s="2">
        <f>optim_vol_implied(P12,R12)</f>
        <v>5.8531013970978818E-3</v>
      </c>
      <c r="T12" s="4">
        <f>S12*S12</f>
        <v>3.4258795964709179E-5</v>
      </c>
      <c r="U12" s="1">
        <f t="shared" ref="U12:U56" si="0">sigma*sigma/alpha/alpha*(B12/12+2/alpha*EXP(-alpha*B12/12)-1/2/alpha*EXP(-2*alpha*B12/12)-3/2/alpha)</f>
        <v>1.9241972903927262E-8</v>
      </c>
      <c r="V12" s="6">
        <f>2*sigma/alpha*corel*(B12/12-1/alpha*(1-EXP(-alpha*Output!B12/12)))</f>
        <v>1.7341837051898859E-5</v>
      </c>
      <c r="W12" s="5">
        <f>U12-T12</f>
        <v>-3.4239553991805252E-5</v>
      </c>
      <c r="X12" s="1">
        <f>V12*V12-4*W12*B12/12</f>
        <v>1.1413485403247418E-5</v>
      </c>
      <c r="Y12" s="3">
        <f>(-V12+SQRT(X12))/2/B12*12</f>
        <v>2.0166259150868171E-2</v>
      </c>
      <c r="Z12" s="1">
        <f>S12/SQRT(B12/12)</f>
        <v>2.027573800325182E-2</v>
      </c>
      <c r="AA12" s="8">
        <v>0</v>
      </c>
      <c r="AB12" s="1">
        <v>8.3330000000000001E-2</v>
      </c>
      <c r="AC12" s="1">
        <v>5.0000000290000002E-4</v>
      </c>
      <c r="AD12" s="8">
        <f>(AC12-O12)*10000</f>
        <v>0.12591445478776753</v>
      </c>
      <c r="AE12" s="3">
        <f>AD12/AC12/10000</f>
        <v>2.5182890811492737E-2</v>
      </c>
      <c r="AF12" s="11">
        <f>AA12</f>
        <v>0</v>
      </c>
      <c r="AG12" s="1">
        <f>Z12</f>
        <v>2.027573800325182E-2</v>
      </c>
    </row>
    <row r="13" spans="2:33" ht="15" x14ac:dyDescent="0.25">
      <c r="B13" s="1">
        <v>2</v>
      </c>
      <c r="C13" s="1">
        <v>0.99999948513628789</v>
      </c>
      <c r="D13" s="1">
        <v>1.0123396927755772</v>
      </c>
      <c r="E13" s="1">
        <v>0.98779794377489627</v>
      </c>
      <c r="G13" s="1">
        <v>0.99999204606546521</v>
      </c>
      <c r="H13" s="1">
        <v>1.116438090898356</v>
      </c>
      <c r="I13" s="1">
        <v>0.89482490464793729</v>
      </c>
      <c r="K13" s="1">
        <v>1.0000005167476178</v>
      </c>
      <c r="L13" s="1">
        <v>1.0318163438494301</v>
      </c>
      <c r="M13" s="1">
        <v>0.96914535788823097</v>
      </c>
      <c r="O13" s="1">
        <v>4.9648445639140421E-4</v>
      </c>
      <c r="P13" s="1">
        <v>0.99991725601407389</v>
      </c>
      <c r="R13" s="1">
        <v>3.2451445895861956E-3</v>
      </c>
      <c r="S13" s="2">
        <f>optim_vol_implied(P13,R13)</f>
        <v>8.2379825339499203E-3</v>
      </c>
      <c r="T13" s="4">
        <f t="shared" ref="T13:T56" si="1">S13*S13</f>
        <v>6.7864356229663944E-5</v>
      </c>
      <c r="U13" s="1">
        <f t="shared" si="0"/>
        <v>1.5355177751530391E-7</v>
      </c>
      <c r="V13" s="6">
        <f>2*sigma/alpha*corel*(B13/12-1/alpha*(1-EXP(-alpha*Output!B13/12)))</f>
        <v>6.9290380315948502E-5</v>
      </c>
      <c r="W13" s="5">
        <f t="shared" ref="W13:W56" si="2">U13-T13</f>
        <v>-6.771080445214864E-5</v>
      </c>
      <c r="X13" s="1">
        <f t="shared" ref="X13:X56" si="3">V13*V13-4*W13*B13/12</f>
        <v>4.5145337458236758E-5</v>
      </c>
      <c r="Y13" s="3">
        <f t="shared" ref="Y13:Y76" si="4">(-V13+SQRT(X13))/2/B13*12</f>
        <v>1.9949212902239818E-2</v>
      </c>
      <c r="Z13" s="1">
        <f t="shared" ref="Z13:Z76" si="5">S13/SQRT(B13/12)</f>
        <v>2.0178853718137303E-2</v>
      </c>
      <c r="AA13" s="8">
        <f>AA12+1/12</f>
        <v>8.3333333333333329E-2</v>
      </c>
      <c r="AB13" s="1">
        <v>0.16669999999999999</v>
      </c>
      <c r="AC13" s="1">
        <v>5.0000000000000001E-4</v>
      </c>
      <c r="AD13" s="8">
        <f t="shared" ref="AD13:AD76" si="6">(AC13-O13)*10000</f>
        <v>3.5155436085957961E-2</v>
      </c>
      <c r="AE13" s="3">
        <f t="shared" ref="AE13:AE76" si="7">AD13/AC13/10000</f>
        <v>7.0310872171915921E-3</v>
      </c>
      <c r="AF13" s="11">
        <f t="shared" ref="AF13:AF76" si="8">AA13</f>
        <v>8.3333333333333329E-2</v>
      </c>
      <c r="AG13" s="1">
        <f t="shared" ref="AG13:AG76" si="9">Z13</f>
        <v>2.0178853718137303E-2</v>
      </c>
    </row>
    <row r="14" spans="2:33" ht="15" x14ac:dyDescent="0.25">
      <c r="B14" s="1">
        <v>3</v>
      </c>
      <c r="C14" s="1">
        <v>0.99999912346041275</v>
      </c>
      <c r="D14" s="1">
        <v>1.0144181739652227</v>
      </c>
      <c r="E14" s="1">
        <v>0.98576770386726953</v>
      </c>
      <c r="G14" s="1">
        <v>0.99997615327833123</v>
      </c>
      <c r="H14" s="1">
        <v>1.1378727072718411</v>
      </c>
      <c r="I14" s="1">
        <v>0.87753698293102778</v>
      </c>
      <c r="K14" s="1">
        <v>0.99999980672993272</v>
      </c>
      <c r="L14" s="1">
        <v>1.0357058200464628</v>
      </c>
      <c r="M14" s="1">
        <v>0.96540958237493602</v>
      </c>
      <c r="O14" s="1">
        <v>4.9970414747146615E-4</v>
      </c>
      <c r="P14" s="1">
        <v>0.99987508176606454</v>
      </c>
      <c r="R14" s="1">
        <v>4.00762109434876E-3</v>
      </c>
      <c r="S14" s="2">
        <f t="shared" ref="S14:S77" si="10">optim_vol_implied(P14,R14)</f>
        <v>1.0202046372713717E-2</v>
      </c>
      <c r="T14" s="4">
        <f t="shared" si="1"/>
        <v>1.0408175019100111E-4</v>
      </c>
      <c r="U14" s="1">
        <f t="shared" si="0"/>
        <v>5.1694524749734683E-7</v>
      </c>
      <c r="V14" s="6">
        <f>2*sigma/alpha*corel*(B14/12-1/alpha*(1-EXP(-alpha*Output!B14/12)))</f>
        <v>1.5573046615033337E-4</v>
      </c>
      <c r="W14" s="5">
        <f t="shared" si="2"/>
        <v>-1.0356480494350376E-4</v>
      </c>
      <c r="X14" s="1">
        <f t="shared" si="3"/>
        <v>1.0358905692159117E-4</v>
      </c>
      <c r="Y14" s="3">
        <f t="shared" si="4"/>
        <v>2.0044280952640905E-2</v>
      </c>
      <c r="Z14" s="1">
        <f t="shared" si="5"/>
        <v>2.0404092745427434E-2</v>
      </c>
      <c r="AA14" s="8">
        <f t="shared" ref="AA14:AA77" si="11">AA13+1/12</f>
        <v>0.16666666666666666</v>
      </c>
      <c r="AB14" s="1">
        <v>0.25</v>
      </c>
      <c r="AC14" s="1">
        <v>4.999999971E-4</v>
      </c>
      <c r="AD14" s="8">
        <f t="shared" si="6"/>
        <v>2.9584962853385164E-3</v>
      </c>
      <c r="AE14" s="3">
        <f t="shared" si="7"/>
        <v>5.9169926049955899E-4</v>
      </c>
      <c r="AF14" s="11">
        <f t="shared" si="8"/>
        <v>0.16666666666666666</v>
      </c>
      <c r="AG14" s="1">
        <f t="shared" si="9"/>
        <v>2.0404092745427434E-2</v>
      </c>
    </row>
    <row r="15" spans="2:33" ht="15" x14ac:dyDescent="0.25">
      <c r="B15" s="1">
        <v>4</v>
      </c>
      <c r="C15" s="1">
        <v>0.99999911064876246</v>
      </c>
      <c r="D15" s="1">
        <v>1.0168919375454519</v>
      </c>
      <c r="E15" s="1">
        <v>0.98336341610956912</v>
      </c>
      <c r="G15" s="1">
        <v>0.99998760599828473</v>
      </c>
      <c r="H15" s="1">
        <v>1.1636037836230084</v>
      </c>
      <c r="I15" s="1">
        <v>0.85770988613789667</v>
      </c>
      <c r="K15" s="1">
        <v>1.0000004532174731</v>
      </c>
      <c r="L15" s="1">
        <v>1.0455684310977664</v>
      </c>
      <c r="M15" s="1">
        <v>0.95630884966962115</v>
      </c>
      <c r="O15" s="1">
        <v>4.9918535891021597E-4</v>
      </c>
      <c r="P15" s="1">
        <v>0.99983361872326337</v>
      </c>
      <c r="R15" s="1">
        <v>4.6760744990845546E-3</v>
      </c>
      <c r="S15" s="2">
        <f t="shared" si="10"/>
        <v>1.1929557325203267E-2</v>
      </c>
      <c r="T15" s="4">
        <f t="shared" si="1"/>
        <v>1.4231433797531093E-4</v>
      </c>
      <c r="U15" s="1">
        <f t="shared" si="0"/>
        <v>1.2222986756071919E-6</v>
      </c>
      <c r="V15" s="6">
        <f>2*sigma/alpha*corel*(B15/12-1/alpha*(1-EXP(-alpha*Output!B15/12)))</f>
        <v>2.765473141531985E-4</v>
      </c>
      <c r="W15" s="5">
        <f t="shared" si="2"/>
        <v>-1.4109203929970373E-4</v>
      </c>
      <c r="X15" s="1">
        <f t="shared" si="3"/>
        <v>1.8819919748323699E-4</v>
      </c>
      <c r="Y15" s="3">
        <f t="shared" si="4"/>
        <v>2.0163035922462588E-2</v>
      </c>
      <c r="Z15" s="1">
        <f t="shared" si="5"/>
        <v>2.0662599399057537E-2</v>
      </c>
      <c r="AA15" s="8">
        <f t="shared" si="11"/>
        <v>0.25</v>
      </c>
      <c r="AB15" s="1">
        <v>0.33329999999999999</v>
      </c>
      <c r="AC15" s="1">
        <v>5.0000000000000001E-4</v>
      </c>
      <c r="AD15" s="8">
        <f t="shared" si="6"/>
        <v>8.1464108978403834E-3</v>
      </c>
      <c r="AE15" s="3">
        <f t="shared" si="7"/>
        <v>1.6292821795680767E-3</v>
      </c>
      <c r="AF15" s="11">
        <f t="shared" si="8"/>
        <v>0.25</v>
      </c>
      <c r="AG15" s="1">
        <f t="shared" si="9"/>
        <v>2.0662599399057537E-2</v>
      </c>
    </row>
    <row r="16" spans="2:33" ht="15" x14ac:dyDescent="0.25">
      <c r="B16" s="1">
        <v>5</v>
      </c>
      <c r="C16" s="1">
        <v>0.99999863507941589</v>
      </c>
      <c r="D16" s="1">
        <v>1.0201052427015513</v>
      </c>
      <c r="E16" s="1">
        <v>0.98025967330961461</v>
      </c>
      <c r="G16" s="1">
        <v>0.99996079052579867</v>
      </c>
      <c r="H16" s="1">
        <v>1.1966048937314391</v>
      </c>
      <c r="I16" s="1">
        <v>0.83364514948820345</v>
      </c>
      <c r="K16" s="1">
        <v>0.99999950794824943</v>
      </c>
      <c r="L16" s="1">
        <v>1.046061885227721</v>
      </c>
      <c r="M16" s="1">
        <v>0.95584883483838223</v>
      </c>
      <c r="O16" s="1">
        <v>4.9920805810363357E-4</v>
      </c>
      <c r="P16" s="1">
        <v>0.99979201827365538</v>
      </c>
      <c r="R16" s="1">
        <v>5.2342328761519194E-3</v>
      </c>
      <c r="S16" s="2">
        <f t="shared" si="10"/>
        <v>1.33807593293266E-2</v>
      </c>
      <c r="T16" s="4">
        <f t="shared" si="1"/>
        <v>1.7904472022936083E-4</v>
      </c>
      <c r="U16" s="1">
        <f t="shared" si="0"/>
        <v>2.3813576541797943E-6</v>
      </c>
      <c r="V16" s="6">
        <f>2*sigma/alpha*corel*(B16/12-1/alpha*(1-EXP(-alpha*Output!B16/12)))</f>
        <v>4.3162652588799727E-4</v>
      </c>
      <c r="W16" s="5">
        <f t="shared" si="2"/>
        <v>-1.7666336257518103E-4</v>
      </c>
      <c r="X16" s="1">
        <f t="shared" si="3"/>
        <v>2.946252390831519E-4</v>
      </c>
      <c r="Y16" s="3">
        <f>(-V16+SQRT(X16))/2/B16*12</f>
        <v>2.007962919874804E-2</v>
      </c>
      <c r="Z16" s="1">
        <f t="shared" si="5"/>
        <v>2.0729383216836577E-2</v>
      </c>
      <c r="AA16" s="8">
        <f t="shared" si="11"/>
        <v>0.33333333333333331</v>
      </c>
      <c r="AB16" s="1">
        <v>0.41670000000000001</v>
      </c>
      <c r="AC16" s="1">
        <v>5.0000001080000001E-4</v>
      </c>
      <c r="AD16" s="8">
        <f t="shared" si="6"/>
        <v>7.9195269636644396E-3</v>
      </c>
      <c r="AE16" s="3">
        <f t="shared" si="7"/>
        <v>1.5839053585205321E-3</v>
      </c>
      <c r="AF16" s="11">
        <f t="shared" si="8"/>
        <v>0.33333333333333331</v>
      </c>
      <c r="AG16" s="1">
        <f t="shared" si="9"/>
        <v>2.0729383216836577E-2</v>
      </c>
    </row>
    <row r="17" spans="2:33" ht="15" x14ac:dyDescent="0.25">
      <c r="B17" s="1">
        <v>6</v>
      </c>
      <c r="C17" s="1">
        <v>0.99999795057555951</v>
      </c>
      <c r="D17" s="1">
        <v>1.0211745402781622</v>
      </c>
      <c r="E17" s="1">
        <v>0.97922709839294753</v>
      </c>
      <c r="G17" s="1">
        <v>0.9999122934904684</v>
      </c>
      <c r="H17" s="1">
        <v>1.205604522327234</v>
      </c>
      <c r="I17" s="1">
        <v>0.8270154553737602</v>
      </c>
      <c r="K17" s="1">
        <v>0.99999853813569495</v>
      </c>
      <c r="L17" s="1">
        <v>1.0511295837768326</v>
      </c>
      <c r="M17" s="1">
        <v>0.95111957662332924</v>
      </c>
      <c r="O17" s="1">
        <v>5.000450121799469E-4</v>
      </c>
      <c r="P17" s="1">
        <v>0.9997500087469321</v>
      </c>
      <c r="R17" s="1">
        <v>5.7327545411909485E-3</v>
      </c>
      <c r="S17" s="2">
        <f t="shared" si="10"/>
        <v>1.4682979952706832E-2</v>
      </c>
      <c r="T17" s="4">
        <f t="shared" si="1"/>
        <v>2.1558990029159073E-4</v>
      </c>
      <c r="U17" s="1">
        <f t="shared" si="0"/>
        <v>4.1047458578802321E-6</v>
      </c>
      <c r="V17" s="6">
        <f>2*sigma/alpha*corel*(B17/12-1/alpha*(1-EXP(-alpha*Output!B17/12)))</f>
        <v>6.2085408361016448E-4</v>
      </c>
      <c r="W17" s="5">
        <f t="shared" si="2"/>
        <v>-2.114851544337105E-4</v>
      </c>
      <c r="X17" s="1">
        <f t="shared" si="3"/>
        <v>4.2335576866055642E-4</v>
      </c>
      <c r="Y17" s="3">
        <f t="shared" si="4"/>
        <v>1.9954756931875046E-2</v>
      </c>
      <c r="Z17" s="1">
        <f t="shared" si="5"/>
        <v>2.0764869385170266E-2</v>
      </c>
      <c r="AA17" s="8">
        <f t="shared" si="11"/>
        <v>0.41666666666666663</v>
      </c>
      <c r="AB17" s="1">
        <v>0.5</v>
      </c>
      <c r="AC17" s="1">
        <v>5.0000001639999997E-4</v>
      </c>
      <c r="AD17" s="8">
        <f t="shared" si="6"/>
        <v>-4.4995779946931623E-4</v>
      </c>
      <c r="AE17" s="3">
        <f t="shared" si="7"/>
        <v>-8.9991556942140179E-5</v>
      </c>
      <c r="AF17" s="11">
        <f t="shared" si="8"/>
        <v>0.41666666666666663</v>
      </c>
      <c r="AG17" s="1">
        <f t="shared" si="9"/>
        <v>2.0764869385170266E-2</v>
      </c>
    </row>
    <row r="18" spans="2:33" ht="15" x14ac:dyDescent="0.25">
      <c r="B18" s="1">
        <v>7</v>
      </c>
      <c r="C18" s="1">
        <v>0.99999799494513086</v>
      </c>
      <c r="D18" s="1">
        <v>1.0202628442228387</v>
      </c>
      <c r="E18" s="1">
        <v>0.98009604673158435</v>
      </c>
      <c r="G18" s="1">
        <v>0.99992271730508397</v>
      </c>
      <c r="H18" s="1">
        <v>1.1986334474161371</v>
      </c>
      <c r="I18" s="1">
        <v>0.83141647149723685</v>
      </c>
      <c r="K18" s="1">
        <v>0.99999896495105467</v>
      </c>
      <c r="L18" s="1">
        <v>1.0586230673450587</v>
      </c>
      <c r="M18" s="1">
        <v>0.94436511995261307</v>
      </c>
      <c r="O18" s="1">
        <v>4.9937906497711493E-4</v>
      </c>
      <c r="P18" s="1">
        <v>0.99970873797045301</v>
      </c>
      <c r="R18" s="1">
        <v>6.260930057937244E-3</v>
      </c>
      <c r="S18" s="2">
        <f t="shared" si="10"/>
        <v>1.6058671950099281E-2</v>
      </c>
      <c r="T18" s="4">
        <f t="shared" si="1"/>
        <v>2.5788094480090542E-4</v>
      </c>
      <c r="U18" s="1">
        <f t="shared" si="0"/>
        <v>6.5019737585103599E-6</v>
      </c>
      <c r="V18" s="6">
        <f>2*sigma/alpha*corel*(B18/12-1/alpha*(1-EXP(-alpha*Output!B18/12)))</f>
        <v>8.4411634900290189E-4</v>
      </c>
      <c r="W18" s="5">
        <f t="shared" si="2"/>
        <v>-2.5137897104239506E-4</v>
      </c>
      <c r="X18" s="1">
        <f t="shared" si="3"/>
        <v>5.8726346484290915E-4</v>
      </c>
      <c r="Y18" s="3">
        <f t="shared" si="4"/>
        <v>2.0048059799252047E-2</v>
      </c>
      <c r="Z18" s="1">
        <f t="shared" si="5"/>
        <v>2.1025737077655447E-2</v>
      </c>
      <c r="AA18" s="8">
        <f t="shared" si="11"/>
        <v>0.49999999999999994</v>
      </c>
      <c r="AB18" s="1">
        <v>0.58330000000000004</v>
      </c>
      <c r="AC18" s="1">
        <v>5.0000000000000001E-4</v>
      </c>
      <c r="AD18" s="8">
        <f t="shared" si="6"/>
        <v>6.2093502288507706E-3</v>
      </c>
      <c r="AE18" s="3">
        <f t="shared" si="7"/>
        <v>1.2418700457701541E-3</v>
      </c>
      <c r="AF18" s="11">
        <f t="shared" si="8"/>
        <v>0.49999999999999994</v>
      </c>
      <c r="AG18" s="1">
        <f t="shared" si="9"/>
        <v>2.1025737077655447E-2</v>
      </c>
    </row>
    <row r="19" spans="2:33" ht="15" x14ac:dyDescent="0.25">
      <c r="B19" s="1">
        <v>8</v>
      </c>
      <c r="C19" s="1">
        <v>0.99999774094708882</v>
      </c>
      <c r="D19" s="1">
        <v>1.0226535980001561</v>
      </c>
      <c r="E19" s="1">
        <v>0.9777987639018153</v>
      </c>
      <c r="G19" s="1">
        <v>0.99990702717927327</v>
      </c>
      <c r="H19" s="1">
        <v>1.2188668604171071</v>
      </c>
      <c r="I19" s="1">
        <v>0.8172130609628987</v>
      </c>
      <c r="K19" s="1">
        <v>0.99999774006627695</v>
      </c>
      <c r="L19" s="1">
        <v>1.0695078986583668</v>
      </c>
      <c r="M19" s="1">
        <v>0.93472672418745606</v>
      </c>
      <c r="O19" s="1">
        <v>5.0012579771612647E-4</v>
      </c>
      <c r="P19" s="1">
        <v>0.99966663837885972</v>
      </c>
      <c r="R19" s="1">
        <v>6.7039004365514144E-3</v>
      </c>
      <c r="S19" s="2">
        <f t="shared" si="10"/>
        <v>1.7221782767903697E-2</v>
      </c>
      <c r="T19" s="4">
        <f t="shared" si="1"/>
        <v>2.965898017048647E-4</v>
      </c>
      <c r="U19" s="1">
        <f t="shared" si="0"/>
        <v>9.6814472794193307E-6</v>
      </c>
      <c r="V19" s="6">
        <f>2*sigma/alpha*corel*(B19/12-1/alpha*(1-EXP(-alpha*Output!B19/12)))</f>
        <v>1.1013000619114616E-3</v>
      </c>
      <c r="W19" s="5">
        <f t="shared" si="2"/>
        <v>-2.8690835442544537E-4</v>
      </c>
      <c r="X19" s="1">
        <f t="shared" si="3"/>
        <v>7.6630180696088727E-4</v>
      </c>
      <c r="Y19" s="3">
        <f t="shared" si="4"/>
        <v>1.9935642578778053E-2</v>
      </c>
      <c r="Z19" s="1">
        <f t="shared" si="5"/>
        <v>2.1092290121210097E-2</v>
      </c>
      <c r="AA19" s="8">
        <f t="shared" si="11"/>
        <v>0.58333333333333326</v>
      </c>
      <c r="AB19" s="1">
        <v>0.66669999999999996</v>
      </c>
      <c r="AC19" s="1">
        <v>4.9999995770000003E-4</v>
      </c>
      <c r="AD19" s="8">
        <f t="shared" si="6"/>
        <v>-1.2584001612644426E-3</v>
      </c>
      <c r="AE19" s="3">
        <f t="shared" si="7"/>
        <v>-2.5168005354502101E-4</v>
      </c>
      <c r="AF19" s="11">
        <f t="shared" si="8"/>
        <v>0.58333333333333326</v>
      </c>
      <c r="AG19" s="1">
        <f t="shared" si="9"/>
        <v>2.1092290121210097E-2</v>
      </c>
    </row>
    <row r="20" spans="2:33" ht="15" x14ac:dyDescent="0.25">
      <c r="B20" s="1">
        <v>9</v>
      </c>
      <c r="C20" s="1">
        <v>0.99999775672821267</v>
      </c>
      <c r="D20" s="1">
        <v>1.0249981833212614</v>
      </c>
      <c r="E20" s="1">
        <v>0.97555618263757371</v>
      </c>
      <c r="G20" s="1">
        <v>0.99991077358741642</v>
      </c>
      <c r="H20" s="1">
        <v>1.2500970376189631</v>
      </c>
      <c r="I20" s="1">
        <v>0.79640581782572262</v>
      </c>
      <c r="K20" s="1">
        <v>0.99999566121612926</v>
      </c>
      <c r="L20" s="1">
        <v>1.074411384468184</v>
      </c>
      <c r="M20" s="1">
        <v>0.93042259006913253</v>
      </c>
      <c r="O20" s="1">
        <v>4.9916945265753455E-4</v>
      </c>
      <c r="P20" s="1">
        <v>0.9996256929808649</v>
      </c>
      <c r="R20" s="1">
        <v>7.1286441493012779E-3</v>
      </c>
      <c r="S20" s="2">
        <f t="shared" si="10"/>
        <v>1.8337784391854295E-2</v>
      </c>
      <c r="T20" s="4">
        <f t="shared" si="1"/>
        <v>3.36274336402135E-4</v>
      </c>
      <c r="U20" s="1">
        <f t="shared" si="0"/>
        <v>1.3750476393958877E-5</v>
      </c>
      <c r="V20" s="6">
        <f>2*sigma/alpha*corel*(B20/12-1/alpha*(1-EXP(-alpha*Output!B20/12)))</f>
        <v>1.3922923390879832E-3</v>
      </c>
      <c r="W20" s="5">
        <f t="shared" si="2"/>
        <v>-3.2252386000817613E-4</v>
      </c>
      <c r="X20" s="1">
        <f t="shared" si="3"/>
        <v>9.6951005798201148E-4</v>
      </c>
      <c r="Y20" s="3">
        <f t="shared" si="4"/>
        <v>1.9829776084783927E-2</v>
      </c>
      <c r="Z20" s="1">
        <f t="shared" si="5"/>
        <v>2.1174649509956792E-2</v>
      </c>
      <c r="AA20" s="8">
        <f t="shared" si="11"/>
        <v>0.66666666666666663</v>
      </c>
      <c r="AB20" s="1">
        <v>0.75</v>
      </c>
      <c r="AC20" s="1">
        <v>4.9999993739999996E-4</v>
      </c>
      <c r="AD20" s="8">
        <f t="shared" si="6"/>
        <v>8.3048474246540972E-3</v>
      </c>
      <c r="AE20" s="3">
        <f t="shared" si="7"/>
        <v>1.660969692884225E-3</v>
      </c>
      <c r="AF20" s="11">
        <f t="shared" si="8"/>
        <v>0.66666666666666663</v>
      </c>
      <c r="AG20" s="1">
        <f t="shared" si="9"/>
        <v>2.1174649509956792E-2</v>
      </c>
    </row>
    <row r="21" spans="2:33" ht="15" x14ac:dyDescent="0.25">
      <c r="B21" s="1">
        <v>10</v>
      </c>
      <c r="C21" s="1">
        <v>0.99999779705182068</v>
      </c>
      <c r="D21" s="1">
        <v>1.0266827199885311</v>
      </c>
      <c r="E21" s="1">
        <v>0.97394962659622553</v>
      </c>
      <c r="G21" s="1">
        <v>0.99991444030637888</v>
      </c>
      <c r="H21" s="1">
        <v>1.2651016533748338</v>
      </c>
      <c r="I21" s="1">
        <v>0.78657354872482188</v>
      </c>
      <c r="K21" s="1">
        <v>0.9999958507180976</v>
      </c>
      <c r="L21" s="1">
        <v>1.0678366733622535</v>
      </c>
      <c r="M21" s="1">
        <v>0.93617513282421705</v>
      </c>
      <c r="O21" s="1">
        <v>4.9964282368922665E-4</v>
      </c>
      <c r="P21" s="1">
        <v>0.99958371764981002</v>
      </c>
      <c r="R21" s="1">
        <v>7.5944564262840145E-3</v>
      </c>
      <c r="S21" s="2">
        <f t="shared" si="10"/>
        <v>1.9558091663265241E-2</v>
      </c>
      <c r="T21" s="4">
        <f t="shared" si="1"/>
        <v>3.8251894950868531E-4</v>
      </c>
      <c r="U21" s="1">
        <f t="shared" si="0"/>
        <v>1.8815283650219783E-5</v>
      </c>
      <c r="V21" s="6">
        <f>2*sigma/alpha*corel*(B21/12-1/alpha*(1-EXP(-alpha*Output!B21/12)))</f>
        <v>1.7169806729351172E-3</v>
      </c>
      <c r="W21" s="5">
        <f t="shared" si="2"/>
        <v>-3.6370366585846553E-4</v>
      </c>
      <c r="X21" s="1">
        <f t="shared" si="3"/>
        <v>1.2152935754927844E-3</v>
      </c>
      <c r="Y21" s="3">
        <f t="shared" si="4"/>
        <v>1.9886448208691766E-2</v>
      </c>
      <c r="Z21" s="1">
        <f t="shared" si="5"/>
        <v>2.142481597144821E-2</v>
      </c>
      <c r="AA21" s="8">
        <f t="shared" si="11"/>
        <v>0.75</v>
      </c>
      <c r="AB21" s="1">
        <v>0.83330000000000004</v>
      </c>
      <c r="AC21" s="1">
        <v>5.0000000000000001E-4</v>
      </c>
      <c r="AD21" s="8">
        <f t="shared" si="6"/>
        <v>3.5717631077336436E-3</v>
      </c>
      <c r="AE21" s="3">
        <f t="shared" si="7"/>
        <v>7.1435262154672871E-4</v>
      </c>
      <c r="AF21" s="11">
        <f t="shared" si="8"/>
        <v>0.75</v>
      </c>
      <c r="AG21" s="1">
        <f t="shared" si="9"/>
        <v>2.142481597144821E-2</v>
      </c>
    </row>
    <row r="22" spans="2:33" ht="15" x14ac:dyDescent="0.25">
      <c r="B22" s="1">
        <v>11</v>
      </c>
      <c r="C22" s="1">
        <v>0.99999791257493653</v>
      </c>
      <c r="D22" s="1">
        <v>1.0286391295857518</v>
      </c>
      <c r="E22" s="1">
        <v>0.97209138292018016</v>
      </c>
      <c r="G22" s="1">
        <v>0.99992220014876276</v>
      </c>
      <c r="H22" s="1">
        <v>1.2878307371480742</v>
      </c>
      <c r="I22" s="1">
        <v>0.77231170084409351</v>
      </c>
      <c r="K22" s="1">
        <v>0.99999553241616967</v>
      </c>
      <c r="L22" s="1">
        <v>1.0787948368829463</v>
      </c>
      <c r="M22" s="1">
        <v>0.92659794574388954</v>
      </c>
      <c r="O22" s="1">
        <v>4.994771251633079E-4</v>
      </c>
      <c r="P22" s="1">
        <v>0.99954225076776249</v>
      </c>
      <c r="R22" s="1">
        <v>8.0258547990504307E-3</v>
      </c>
      <c r="S22" s="2">
        <f>optim_vol_implied(P22,R22)</f>
        <v>2.0691504801199537E-2</v>
      </c>
      <c r="T22" s="4">
        <f>S22*S22</f>
        <v>4.2813837093806347E-4</v>
      </c>
      <c r="U22" s="1">
        <f>sigma*sigma/alpha/alpha*(B22/12+2/alpha*EXP(-alpha*B22/12)-1/2/alpha*EXP(-2*alpha*B22/12)-3/2/alpha)</f>
        <v>2.4981012649138989E-5</v>
      </c>
      <c r="V22" s="6">
        <f>2*sigma/alpha*corel*(B22/12-1/alpha*(1-EXP(-alpha*Output!B22/12)))</f>
        <v>2.0752529302563716E-3</v>
      </c>
      <c r="W22" s="5">
        <f>U22-T22</f>
        <v>-4.0315735828892448E-4</v>
      </c>
      <c r="X22" s="1">
        <f>V22*V22-4*W22*B22/12</f>
        <v>1.4825503217839276E-3</v>
      </c>
      <c r="Y22" s="3">
        <f>(-V22+SQRT(X22))/2/B22*12</f>
        <v>1.9870171175514907E-2</v>
      </c>
      <c r="Z22" s="1">
        <f>S22/SQRT(B22/12)</f>
        <v>2.1611571923933297E-2</v>
      </c>
      <c r="AA22" s="8">
        <f t="shared" si="11"/>
        <v>0.83333333333333337</v>
      </c>
      <c r="AB22" s="1">
        <v>0.91669999999999996</v>
      </c>
      <c r="AC22" s="1">
        <v>5.0000015850000003E-4</v>
      </c>
      <c r="AD22" s="8">
        <f t="shared" si="6"/>
        <v>5.2303333669212557E-3</v>
      </c>
      <c r="AE22" s="3">
        <f t="shared" si="7"/>
        <v>1.0460663417812207E-3</v>
      </c>
      <c r="AF22" s="11">
        <f t="shared" si="8"/>
        <v>0.83333333333333337</v>
      </c>
      <c r="AG22" s="1">
        <f t="shared" si="9"/>
        <v>2.1611571923933297E-2</v>
      </c>
    </row>
    <row r="23" spans="2:33" ht="15" x14ac:dyDescent="0.25">
      <c r="B23" s="1">
        <v>12</v>
      </c>
      <c r="C23" s="1">
        <v>0.99999734695796028</v>
      </c>
      <c r="D23" s="1">
        <v>1.0316896949733607</v>
      </c>
      <c r="E23" s="1">
        <v>0.96921125256747764</v>
      </c>
      <c r="G23" s="1">
        <v>0.99987393204959751</v>
      </c>
      <c r="H23" s="1">
        <v>1.3219177529181327</v>
      </c>
      <c r="I23" s="1">
        <v>0.75202734945629757</v>
      </c>
      <c r="K23" s="1">
        <v>0.99999445594447767</v>
      </c>
      <c r="L23" s="1">
        <v>1.07725141956449</v>
      </c>
      <c r="M23" s="1">
        <v>0.92788734289001185</v>
      </c>
      <c r="O23" s="1">
        <v>4.9959559243672818E-4</v>
      </c>
      <c r="P23" s="1">
        <v>0.99950052918466104</v>
      </c>
      <c r="R23" s="1">
        <v>8.4412584573727353E-3</v>
      </c>
      <c r="S23" s="2">
        <f t="shared" si="10"/>
        <v>2.178515942226128E-2</v>
      </c>
      <c r="T23" s="4">
        <f t="shared" si="1"/>
        <v>4.7459317105333939E-4</v>
      </c>
      <c r="U23" s="1">
        <f t="shared" si="0"/>
        <v>3.2351736450664248E-5</v>
      </c>
      <c r="V23" s="6">
        <f>2*sigma/alpha*corel*(B23/12-1/alpha*(1-EXP(-alpha*Output!B23/12)))</f>
        <v>2.466997351009928E-3</v>
      </c>
      <c r="W23" s="5">
        <f t="shared" si="2"/>
        <v>-4.4224143460267515E-4</v>
      </c>
      <c r="X23" s="1">
        <f t="shared" si="3"/>
        <v>1.7750518143405905E-3</v>
      </c>
      <c r="Y23" s="3">
        <f t="shared" si="4"/>
        <v>1.9832183216737395E-2</v>
      </c>
      <c r="Z23" s="1">
        <f t="shared" si="5"/>
        <v>2.178515942226128E-2</v>
      </c>
      <c r="AA23" s="8">
        <f t="shared" si="11"/>
        <v>0.91666666666666674</v>
      </c>
      <c r="AB23" s="1">
        <v>1</v>
      </c>
      <c r="AC23" s="1">
        <v>5.0000023410000003E-4</v>
      </c>
      <c r="AD23" s="8">
        <f t="shared" si="6"/>
        <v>4.0464166327185136E-3</v>
      </c>
      <c r="AE23" s="3">
        <f t="shared" si="7"/>
        <v>8.0928294763742668E-4</v>
      </c>
      <c r="AF23" s="11">
        <f t="shared" si="8"/>
        <v>0.91666666666666674</v>
      </c>
      <c r="AG23" s="1">
        <f t="shared" si="9"/>
        <v>2.178515942226128E-2</v>
      </c>
    </row>
    <row r="24" spans="2:33" ht="15" x14ac:dyDescent="0.25">
      <c r="B24" s="1">
        <v>13</v>
      </c>
      <c r="C24" s="1">
        <v>0.99999756081693447</v>
      </c>
      <c r="D24" s="1">
        <v>1.0326398970795081</v>
      </c>
      <c r="E24" s="1">
        <v>0.96831367498358523</v>
      </c>
      <c r="G24" s="1">
        <v>0.9998857385195834</v>
      </c>
      <c r="H24" s="1">
        <v>1.3355850578139921</v>
      </c>
      <c r="I24" s="1">
        <v>0.74396621928386253</v>
      </c>
      <c r="K24" s="1">
        <v>0.99999553641483863</v>
      </c>
      <c r="L24" s="1">
        <v>1.0900617343313743</v>
      </c>
      <c r="M24" s="1">
        <v>0.9169788898555834</v>
      </c>
      <c r="O24" s="1">
        <v>4.9943677636059324E-4</v>
      </c>
      <c r="P24" s="1">
        <v>0.99945908983695353</v>
      </c>
      <c r="R24" s="1">
        <v>8.9223915930212727E-3</v>
      </c>
      <c r="S24" s="2">
        <f t="shared" si="10"/>
        <v>2.3043362448294767E-2</v>
      </c>
      <c r="T24" s="4">
        <f t="shared" si="1"/>
        <v>5.3099655292348136E-4</v>
      </c>
      <c r="U24" s="1">
        <f t="shared" si="0"/>
        <v>4.1030465927072157E-5</v>
      </c>
      <c r="V24" s="6">
        <f>2*sigma/alpha*corel*(B24/12-1/alpha*(1-EXP(-alpha*Output!B24/12)))</f>
        <v>2.8921025470685646E-3</v>
      </c>
      <c r="W24" s="5">
        <f t="shared" si="2"/>
        <v>-4.899660869964092E-4</v>
      </c>
      <c r="X24" s="1">
        <f t="shared" si="3"/>
        <v>2.1315506341272003E-3</v>
      </c>
      <c r="Y24" s="3">
        <f t="shared" si="4"/>
        <v>1.9973823078374989E-2</v>
      </c>
      <c r="Z24" s="1">
        <f t="shared" si="5"/>
        <v>2.2139346517841482E-2</v>
      </c>
      <c r="AA24" s="8">
        <f t="shared" si="11"/>
        <v>1</v>
      </c>
      <c r="AB24" s="1">
        <v>1.083</v>
      </c>
      <c r="AC24" s="1">
        <v>5.0006249999999996E-4</v>
      </c>
      <c r="AD24" s="8">
        <f t="shared" si="6"/>
        <v>6.2572363940672625E-3</v>
      </c>
      <c r="AE24" s="3">
        <f t="shared" si="7"/>
        <v>1.2512908674550207E-3</v>
      </c>
      <c r="AF24" s="11">
        <f t="shared" si="8"/>
        <v>1</v>
      </c>
      <c r="AG24" s="1">
        <f t="shared" si="9"/>
        <v>2.2139346517841482E-2</v>
      </c>
    </row>
    <row r="25" spans="2:33" ht="15" x14ac:dyDescent="0.25">
      <c r="B25" s="1">
        <v>14</v>
      </c>
      <c r="C25" s="1">
        <v>0.99999753574547268</v>
      </c>
      <c r="D25" s="1">
        <v>1.0354006241331151</v>
      </c>
      <c r="E25" s="1">
        <v>0.9657261433696871</v>
      </c>
      <c r="G25" s="1">
        <v>0.99987582253165952</v>
      </c>
      <c r="H25" s="1">
        <v>1.3595375331891444</v>
      </c>
      <c r="I25" s="1">
        <v>0.73050012230693484</v>
      </c>
      <c r="K25" s="1">
        <v>0.99999488656866409</v>
      </c>
      <c r="L25" s="1">
        <v>1.0889878902818981</v>
      </c>
      <c r="M25" s="1">
        <v>0.91781396127934534</v>
      </c>
      <c r="O25" s="1">
        <v>4.9928222362148958E-4</v>
      </c>
      <c r="P25" s="1">
        <v>0.99941767369025891</v>
      </c>
      <c r="R25" s="1">
        <v>9.3466444701022968E-3</v>
      </c>
      <c r="S25" s="2">
        <f t="shared" si="10"/>
        <v>2.4158921717295244E-2</v>
      </c>
      <c r="T25" s="4">
        <f t="shared" si="1"/>
        <v>5.836534985423998E-4</v>
      </c>
      <c r="U25" s="1">
        <f t="shared" si="0"/>
        <v>5.1119158052781444E-5</v>
      </c>
      <c r="V25" s="6">
        <f>2*sigma/alpha*corel*(B25/12-1/alpha*(1-EXP(-alpha*Output!B25/12)))</f>
        <v>3.3504575009790927E-3</v>
      </c>
      <c r="W25" s="5">
        <f t="shared" si="2"/>
        <v>-5.3253434048961836E-4</v>
      </c>
      <c r="X25" s="1">
        <f t="shared" si="3"/>
        <v>2.496385821084086E-3</v>
      </c>
      <c r="Y25" s="3">
        <f t="shared" si="4"/>
        <v>1.9977166130623759E-2</v>
      </c>
      <c r="Z25" s="1">
        <f t="shared" si="5"/>
        <v>2.2366815314703539E-2</v>
      </c>
      <c r="AA25" s="8">
        <f t="shared" si="11"/>
        <v>1.0833333333333333</v>
      </c>
      <c r="AB25" s="1">
        <v>1.167</v>
      </c>
      <c r="AC25" s="1">
        <v>5.0011149119999997E-4</v>
      </c>
      <c r="AD25" s="8">
        <f t="shared" si="6"/>
        <v>8.2926757851038962E-3</v>
      </c>
      <c r="AE25" s="3">
        <f t="shared" si="7"/>
        <v>1.6581654153168749E-3</v>
      </c>
      <c r="AF25" s="11">
        <f t="shared" si="8"/>
        <v>1.0833333333333333</v>
      </c>
      <c r="AG25" s="1">
        <f t="shared" si="9"/>
        <v>2.2366815314703539E-2</v>
      </c>
    </row>
    <row r="26" spans="2:33" ht="15" x14ac:dyDescent="0.25">
      <c r="B26" s="1">
        <v>15</v>
      </c>
      <c r="C26" s="1">
        <v>0.99999763356893168</v>
      </c>
      <c r="D26" s="1">
        <v>1.0357883766582878</v>
      </c>
      <c r="E26" s="1">
        <v>0.96535898157371614</v>
      </c>
      <c r="G26" s="1">
        <v>0.99987571844871437</v>
      </c>
      <c r="H26" s="1">
        <v>1.3708872343411695</v>
      </c>
      <c r="I26" s="1">
        <v>0.72409661480268828</v>
      </c>
      <c r="K26" s="1">
        <v>0.99999562715332979</v>
      </c>
      <c r="L26" s="1">
        <v>1.0873256000662952</v>
      </c>
      <c r="M26" s="1">
        <v>0.91918273427147767</v>
      </c>
      <c r="O26" s="1">
        <v>4.9888156605030587E-4</v>
      </c>
      <c r="P26" s="1">
        <v>0.9993765924417265</v>
      </c>
      <c r="R26" s="1">
        <v>9.7852876145127794E-3</v>
      </c>
      <c r="S26" s="2">
        <f t="shared" si="10"/>
        <v>2.5310205850182579E-2</v>
      </c>
      <c r="T26" s="4">
        <f t="shared" si="1"/>
        <v>6.4060652017861649E-4</v>
      </c>
      <c r="U26" s="1">
        <f t="shared" si="0"/>
        <v>6.2718724137766912E-5</v>
      </c>
      <c r="V26" s="6">
        <f>2*sigma/alpha*corel*(B26/12-1/alpha*(1-EXP(-alpha*Output!B26/12)))</f>
        <v>3.8419515647312996E-3</v>
      </c>
      <c r="W26" s="5">
        <f t="shared" si="2"/>
        <v>-5.7788779604084958E-4</v>
      </c>
      <c r="X26" s="1">
        <f t="shared" si="3"/>
        <v>2.9041995720299886E-3</v>
      </c>
      <c r="Y26" s="3">
        <f t="shared" si="4"/>
        <v>2.0019469779147737E-2</v>
      </c>
      <c r="Z26" s="1">
        <f t="shared" si="5"/>
        <v>2.263813632220844E-2</v>
      </c>
      <c r="AA26" s="8">
        <f t="shared" si="11"/>
        <v>1.1666666666666665</v>
      </c>
      <c r="AB26" s="1">
        <v>1.25</v>
      </c>
      <c r="AC26" s="1">
        <v>5.001291698E-4</v>
      </c>
      <c r="AD26" s="8">
        <f t="shared" si="6"/>
        <v>1.2476037496941296E-2</v>
      </c>
      <c r="AE26" s="3">
        <f t="shared" si="7"/>
        <v>2.4945630549664641E-3</v>
      </c>
      <c r="AF26" s="11">
        <f t="shared" si="8"/>
        <v>1.1666666666666665</v>
      </c>
      <c r="AG26" s="1">
        <f t="shared" si="9"/>
        <v>2.263813632220844E-2</v>
      </c>
    </row>
    <row r="27" spans="2:33" ht="15" x14ac:dyDescent="0.25">
      <c r="B27" s="1">
        <v>16</v>
      </c>
      <c r="C27" s="1">
        <v>0.99999756266281858</v>
      </c>
      <c r="D27" s="1">
        <v>1.0391716629570831</v>
      </c>
      <c r="E27" s="1">
        <v>0.96221043410240104</v>
      </c>
      <c r="G27" s="1">
        <v>0.99985941806231626</v>
      </c>
      <c r="H27" s="1">
        <v>1.4123876249855241</v>
      </c>
      <c r="I27" s="1">
        <v>0.70247541325039653</v>
      </c>
      <c r="K27" s="1">
        <v>0.99999183970778993</v>
      </c>
      <c r="L27" s="1">
        <v>1.086671322697798</v>
      </c>
      <c r="M27" s="1">
        <v>0.91979290899813593</v>
      </c>
      <c r="O27" s="1">
        <v>4.9886186610665186E-4</v>
      </c>
      <c r="P27" s="1">
        <v>0.9993350720078521</v>
      </c>
      <c r="R27" s="1">
        <v>1.0141901507141574E-2</v>
      </c>
      <c r="S27" s="2">
        <f t="shared" si="10"/>
        <v>2.6256317550499897E-2</v>
      </c>
      <c r="T27" s="4">
        <f t="shared" si="1"/>
        <v>6.8939421131268888E-4</v>
      </c>
      <c r="U27" s="1">
        <f t="shared" si="0"/>
        <v>7.5929038000133176E-5</v>
      </c>
      <c r="V27" s="6">
        <f>2*sigma/alpha*corel*(B27/12-1/alpha*(1-EXP(-alpha*Output!B27/12)))</f>
        <v>4.3664744585277249E-3</v>
      </c>
      <c r="W27" s="5">
        <f t="shared" si="2"/>
        <v>-6.1346517331255571E-4</v>
      </c>
      <c r="X27" s="1">
        <f t="shared" si="3"/>
        <v>3.2908803568639389E-3</v>
      </c>
      <c r="Y27" s="3">
        <f t="shared" si="4"/>
        <v>1.9874895294850224E-2</v>
      </c>
      <c r="Z27" s="1">
        <f t="shared" si="5"/>
        <v>2.2738638008564117E-2</v>
      </c>
      <c r="AA27" s="8">
        <f t="shared" si="11"/>
        <v>1.2499999999999998</v>
      </c>
      <c r="AB27" s="1">
        <v>1.333</v>
      </c>
      <c r="AC27" s="1">
        <v>5.0012397669999995E-4</v>
      </c>
      <c r="AD27" s="8">
        <f t="shared" si="6"/>
        <v>1.2621105933480941E-2</v>
      </c>
      <c r="AE27" s="3">
        <f t="shared" si="7"/>
        <v>2.523595452623486E-3</v>
      </c>
      <c r="AF27" s="11">
        <f t="shared" si="8"/>
        <v>1.2499999999999998</v>
      </c>
      <c r="AG27" s="1">
        <f t="shared" si="9"/>
        <v>2.2738638008564117E-2</v>
      </c>
    </row>
    <row r="28" spans="2:33" ht="15" x14ac:dyDescent="0.25">
      <c r="B28" s="1">
        <v>17</v>
      </c>
      <c r="C28" s="1">
        <v>0.99999810807234257</v>
      </c>
      <c r="D28" s="1">
        <v>1.0396301953242659</v>
      </c>
      <c r="E28" s="1">
        <v>0.96178051565995437</v>
      </c>
      <c r="G28" s="1">
        <v>0.99989015938727011</v>
      </c>
      <c r="H28" s="1">
        <v>1.4101400205931118</v>
      </c>
      <c r="I28" s="1">
        <v>0.7032497798123496</v>
      </c>
      <c r="K28" s="1">
        <v>0.99999282302212045</v>
      </c>
      <c r="L28" s="1">
        <v>1.093751172322504</v>
      </c>
      <c r="M28" s="1">
        <v>0.91378400675127269</v>
      </c>
      <c r="O28" s="1">
        <v>4.9855874504129197E-4</v>
      </c>
      <c r="P28" s="1">
        <v>0.99929395780969388</v>
      </c>
      <c r="R28" s="1">
        <v>1.0588222310657121E-2</v>
      </c>
      <c r="S28" s="2">
        <f t="shared" si="10"/>
        <v>2.7426994217178001E-2</v>
      </c>
      <c r="T28" s="4">
        <f t="shared" si="1"/>
        <v>7.5224001178911552E-4</v>
      </c>
      <c r="U28" s="1">
        <f t="shared" si="0"/>
        <v>9.0848944079624516E-5</v>
      </c>
      <c r="V28" s="6">
        <f>2*sigma/alpha*corel*(B28/12-1/alpha*(1-EXP(-alpha*Output!B28/12)))</f>
        <v>4.9239162695575989E-3</v>
      </c>
      <c r="W28" s="5">
        <f t="shared" si="2"/>
        <v>-6.6139106770949101E-4</v>
      </c>
      <c r="X28" s="1">
        <f t="shared" si="3"/>
        <v>3.7721276684500632E-3</v>
      </c>
      <c r="Y28" s="3">
        <f t="shared" si="4"/>
        <v>1.9938964664813225E-2</v>
      </c>
      <c r="Z28" s="1">
        <f t="shared" si="5"/>
        <v>2.3043284260239449E-2</v>
      </c>
      <c r="AA28" s="8">
        <f t="shared" si="11"/>
        <v>1.333333333333333</v>
      </c>
      <c r="AB28" s="1">
        <v>1.417</v>
      </c>
      <c r="AC28" s="1">
        <v>5.001043531E-4</v>
      </c>
      <c r="AD28" s="8">
        <f t="shared" si="6"/>
        <v>1.5456080587080258E-2</v>
      </c>
      <c r="AE28" s="3">
        <f t="shared" si="7"/>
        <v>3.0905710960667616E-3</v>
      </c>
      <c r="AF28" s="11">
        <f t="shared" si="8"/>
        <v>1.333333333333333</v>
      </c>
      <c r="AG28" s="1">
        <f t="shared" si="9"/>
        <v>2.3043284260239449E-2</v>
      </c>
    </row>
    <row r="29" spans="2:33" ht="15" x14ac:dyDescent="0.25">
      <c r="B29" s="1">
        <v>18</v>
      </c>
      <c r="C29" s="1">
        <v>0.99999848244771261</v>
      </c>
      <c r="D29" s="1">
        <v>1.0440374800921808</v>
      </c>
      <c r="E29" s="1">
        <v>0.95771500244550056</v>
      </c>
      <c r="G29" s="1">
        <v>0.99990784427310242</v>
      </c>
      <c r="H29" s="1">
        <v>1.4632950868540358</v>
      </c>
      <c r="I29" s="1">
        <v>0.67737126245396517</v>
      </c>
      <c r="K29" s="1">
        <v>0.99999145620635332</v>
      </c>
      <c r="L29" s="1">
        <v>1.1001277494510957</v>
      </c>
      <c r="M29" s="1">
        <v>0.90847604549934635</v>
      </c>
      <c r="O29" s="1">
        <v>4.9858357826624926E-4</v>
      </c>
      <c r="P29" s="1">
        <v>0.9992524042216796</v>
      </c>
      <c r="R29" s="1">
        <v>1.0971357632730116E-2</v>
      </c>
      <c r="S29" s="2">
        <f t="shared" si="10"/>
        <v>2.8439758595637278E-2</v>
      </c>
      <c r="T29" s="4">
        <f t="shared" si="1"/>
        <v>8.0881986897812449E-4</v>
      </c>
      <c r="U29" s="1">
        <f t="shared" si="0"/>
        <v>1.0757626549784405E-4</v>
      </c>
      <c r="V29" s="6">
        <f>2*sigma/alpha*corel*(B29/12-1/alpha*(1-EXP(-alpha*Output!B29/12)))</f>
        <v>5.5141674507772631E-3</v>
      </c>
      <c r="W29" s="5">
        <f t="shared" si="2"/>
        <v>-7.0124360348028044E-4</v>
      </c>
      <c r="X29" s="1">
        <f t="shared" si="3"/>
        <v>4.2378676635568945E-3</v>
      </c>
      <c r="Y29" s="3">
        <f t="shared" si="4"/>
        <v>1.9861579775398257E-2</v>
      </c>
      <c r="Z29" s="1">
        <f t="shared" si="5"/>
        <v>2.3220965655747747E-2</v>
      </c>
      <c r="AA29" s="8">
        <f t="shared" si="11"/>
        <v>1.4166666666666663</v>
      </c>
      <c r="AB29" s="1">
        <v>1.5</v>
      </c>
      <c r="AC29" s="1">
        <v>5.0007874000000002E-4</v>
      </c>
      <c r="AD29" s="8">
        <f t="shared" si="6"/>
        <v>1.4951617337507529E-2</v>
      </c>
      <c r="AE29" s="3">
        <f t="shared" si="7"/>
        <v>2.9898526255100403E-3</v>
      </c>
      <c r="AF29" s="11">
        <f t="shared" si="8"/>
        <v>1.4166666666666663</v>
      </c>
      <c r="AG29" s="1">
        <f t="shared" si="9"/>
        <v>2.3220965655747747E-2</v>
      </c>
    </row>
    <row r="30" spans="2:33" ht="15" x14ac:dyDescent="0.25">
      <c r="B30" s="1">
        <v>19</v>
      </c>
      <c r="C30" s="1">
        <v>0.99999757473397</v>
      </c>
      <c r="D30" s="1">
        <v>1.0423541806856063</v>
      </c>
      <c r="E30" s="1">
        <v>0.9592561821252924</v>
      </c>
      <c r="G30" s="1">
        <v>0.99981799265485627</v>
      </c>
      <c r="H30" s="1">
        <v>1.4431313013194762</v>
      </c>
      <c r="I30" s="1">
        <v>0.68649867224795191</v>
      </c>
      <c r="K30" s="1">
        <v>0.9999907138974321</v>
      </c>
      <c r="L30" s="1">
        <v>1.1061386960923421</v>
      </c>
      <c r="M30" s="1">
        <v>0.9034772439891039</v>
      </c>
      <c r="O30" s="1">
        <v>4.9862009105763189E-4</v>
      </c>
      <c r="P30" s="1">
        <v>0.99921082974792819</v>
      </c>
      <c r="R30" s="1">
        <v>1.1402593471984713E-2</v>
      </c>
      <c r="S30" s="2">
        <f t="shared" si="10"/>
        <v>2.957326373338471E-2</v>
      </c>
      <c r="T30" s="4">
        <f t="shared" si="1"/>
        <v>8.7457792784432727E-4</v>
      </c>
      <c r="U30" s="1">
        <f t="shared" si="0"/>
        <v>1.2620781205407994E-4</v>
      </c>
      <c r="V30" s="6">
        <f>2*sigma/alpha*corel*(B30/12-1/alpha*(1-EXP(-alpha*Output!B30/12)))</f>
        <v>6.1371188196906179E-3</v>
      </c>
      <c r="W30" s="5">
        <f t="shared" si="2"/>
        <v>-7.4837011579024734E-4</v>
      </c>
      <c r="X30" s="1">
        <f t="shared" si="3"/>
        <v>4.7773416274119003E-3</v>
      </c>
      <c r="Y30" s="3">
        <f t="shared" si="4"/>
        <v>1.9888799156941063E-2</v>
      </c>
      <c r="Z30" s="1">
        <f t="shared" si="5"/>
        <v>2.3502446831331736E-2</v>
      </c>
      <c r="AA30" s="8">
        <f t="shared" si="11"/>
        <v>1.4999999999999996</v>
      </c>
      <c r="AB30" s="1">
        <v>1.583</v>
      </c>
      <c r="AC30" s="1">
        <v>5.0005557849999997E-4</v>
      </c>
      <c r="AD30" s="8">
        <f t="shared" si="6"/>
        <v>1.4354874423680875E-2</v>
      </c>
      <c r="AE30" s="3">
        <f t="shared" si="7"/>
        <v>2.870655791250387E-3</v>
      </c>
      <c r="AF30" s="11">
        <f t="shared" si="8"/>
        <v>1.4999999999999996</v>
      </c>
      <c r="AG30" s="1">
        <f t="shared" si="9"/>
        <v>2.3502446831331736E-2</v>
      </c>
    </row>
    <row r="31" spans="2:33" ht="15" x14ac:dyDescent="0.25">
      <c r="B31" s="1">
        <v>20</v>
      </c>
      <c r="C31" s="1">
        <v>0.99999808374253174</v>
      </c>
      <c r="D31" s="1">
        <v>1.0383008341522399</v>
      </c>
      <c r="E31" s="1">
        <v>0.96299553644066715</v>
      </c>
      <c r="G31" s="1">
        <v>0.99984168710555876</v>
      </c>
      <c r="H31" s="1">
        <v>1.3921955141530273</v>
      </c>
      <c r="I31" s="1">
        <v>0.71126626656366376</v>
      </c>
      <c r="K31" s="1">
        <v>0.99999185345488317</v>
      </c>
      <c r="L31" s="1">
        <v>1.0982547632820716</v>
      </c>
      <c r="M31" s="1">
        <v>0.90991173249232016</v>
      </c>
      <c r="O31" s="1">
        <v>4.9802547228473717E-4</v>
      </c>
      <c r="P31" s="1">
        <v>0.99917030193613698</v>
      </c>
      <c r="R31" s="1">
        <v>1.1812293893300758E-2</v>
      </c>
      <c r="S31" s="2">
        <f t="shared" si="10"/>
        <v>3.0651490833434505E-2</v>
      </c>
      <c r="T31" s="4">
        <f t="shared" si="1"/>
        <v>9.3951389031211949E-4</v>
      </c>
      <c r="U31" s="1">
        <f t="shared" si="0"/>
        <v>1.4683938816961728E-4</v>
      </c>
      <c r="V31" s="6">
        <f>2*sigma/alpha*corel*(B31/12-1/alpha*(1-EXP(-alpha*Output!B31/12)))</f>
        <v>6.792661557138896E-3</v>
      </c>
      <c r="W31" s="5">
        <f t="shared" si="2"/>
        <v>-7.9267450214250221E-4</v>
      </c>
      <c r="X31" s="1">
        <f t="shared" si="3"/>
        <v>5.3306369319798472E-3</v>
      </c>
      <c r="Y31" s="3">
        <f t="shared" si="4"/>
        <v>1.9865564833460962E-2</v>
      </c>
      <c r="Z31" s="1">
        <f t="shared" si="5"/>
        <v>2.3742542706864229E-2</v>
      </c>
      <c r="AA31" s="8">
        <f t="shared" si="11"/>
        <v>1.5833333333333328</v>
      </c>
      <c r="AB31" s="1">
        <v>1.667</v>
      </c>
      <c r="AC31" s="1">
        <v>5.0004155829999999E-4</v>
      </c>
      <c r="AD31" s="8">
        <f t="shared" si="6"/>
        <v>2.0160860152628128E-2</v>
      </c>
      <c r="AE31" s="3">
        <f t="shared" si="7"/>
        <v>4.0318369179492518E-3</v>
      </c>
      <c r="AF31" s="11">
        <f t="shared" si="8"/>
        <v>1.5833333333333328</v>
      </c>
      <c r="AG31" s="1">
        <f t="shared" si="9"/>
        <v>2.3742542706864229E-2</v>
      </c>
    </row>
    <row r="32" spans="2:33" ht="15" x14ac:dyDescent="0.25">
      <c r="B32" s="1">
        <v>21</v>
      </c>
      <c r="C32" s="1">
        <v>0.9999992322067468</v>
      </c>
      <c r="D32" s="1">
        <v>1.0407314920478232</v>
      </c>
      <c r="E32" s="1">
        <v>0.9607410698890535</v>
      </c>
      <c r="G32" s="1">
        <v>0.99991608223667061</v>
      </c>
      <c r="H32" s="1">
        <v>1.4243574867904181</v>
      </c>
      <c r="I32" s="1">
        <v>0.69486487615887993</v>
      </c>
      <c r="K32" s="1">
        <v>0.99999079094939891</v>
      </c>
      <c r="L32" s="1">
        <v>1.1009597093408512</v>
      </c>
      <c r="M32" s="1">
        <v>0.90765019989303697</v>
      </c>
      <c r="O32" s="1">
        <v>4.9823175999111672E-4</v>
      </c>
      <c r="P32" s="1">
        <v>0.99912847441923658</v>
      </c>
      <c r="R32" s="1">
        <v>1.2207538103169121E-2</v>
      </c>
      <c r="S32" s="2">
        <f t="shared" si="10"/>
        <v>3.169511166271409E-2</v>
      </c>
      <c r="T32" s="4">
        <f t="shared" si="1"/>
        <v>1.0045801033119147E-3</v>
      </c>
      <c r="U32" s="1">
        <f t="shared" si="0"/>
        <v>1.6956580077120975E-4</v>
      </c>
      <c r="V32" s="6">
        <f>2*sigma/alpha*corel*(B32/12-1/alpha*(1-EXP(-alpha*Output!B32/12)))</f>
        <v>7.4806872060883545E-3</v>
      </c>
      <c r="W32" s="5">
        <f t="shared" si="2"/>
        <v>-8.3501430254070497E-4</v>
      </c>
      <c r="X32" s="1">
        <f t="shared" si="3"/>
        <v>5.9010607988602684E-3</v>
      </c>
      <c r="Y32" s="3">
        <f t="shared" si="4"/>
        <v>1.9810764335617688E-2</v>
      </c>
      <c r="Z32" s="1">
        <f t="shared" si="5"/>
        <v>2.3959252353132683E-2</v>
      </c>
      <c r="AA32" s="8">
        <f t="shared" si="11"/>
        <v>1.6666666666666661</v>
      </c>
      <c r="AB32" s="1">
        <v>1.75</v>
      </c>
      <c r="AC32" s="1">
        <v>5.0003636380000003E-4</v>
      </c>
      <c r="AD32" s="8">
        <f t="shared" si="6"/>
        <v>1.8046038088833163E-2</v>
      </c>
      <c r="AE32" s="3">
        <f t="shared" si="7"/>
        <v>3.6089451478474978E-3</v>
      </c>
      <c r="AF32" s="11">
        <f t="shared" si="8"/>
        <v>1.6666666666666661</v>
      </c>
      <c r="AG32" s="1">
        <f t="shared" si="9"/>
        <v>2.3959252353132683E-2</v>
      </c>
    </row>
    <row r="33" spans="2:33" ht="15" x14ac:dyDescent="0.25">
      <c r="B33" s="1">
        <v>22</v>
      </c>
      <c r="C33" s="1">
        <v>0.99999992590246112</v>
      </c>
      <c r="D33" s="1">
        <v>1.043194975346696</v>
      </c>
      <c r="E33" s="1">
        <v>0.95846698995856161</v>
      </c>
      <c r="G33" s="1">
        <v>0.99995316559157121</v>
      </c>
      <c r="H33" s="1">
        <v>1.4504695087554533</v>
      </c>
      <c r="I33" s="1">
        <v>0.68202093611413428</v>
      </c>
      <c r="K33" s="1">
        <v>0.99998995095481713</v>
      </c>
      <c r="L33" s="1">
        <v>1.1130129899271439</v>
      </c>
      <c r="M33" s="1">
        <v>0.89779690926533062</v>
      </c>
      <c r="O33" s="1">
        <v>4.9788052836279809E-4</v>
      </c>
      <c r="P33" s="1">
        <v>0.99908763548916202</v>
      </c>
      <c r="R33" s="1">
        <v>1.267642249029201E-2</v>
      </c>
      <c r="S33" s="2">
        <f t="shared" si="10"/>
        <v>3.2922318399269263E-2</v>
      </c>
      <c r="T33" s="4">
        <f t="shared" si="1"/>
        <v>1.0838790487828634E-3</v>
      </c>
      <c r="U33" s="1">
        <f t="shared" si="0"/>
        <v>1.9448086712259283E-4</v>
      </c>
      <c r="V33" s="6">
        <f>2*sigma/alpha*corel*(B33/12-1/alpha*(1-EXP(-alpha*Output!B33/12)))</f>
        <v>8.2010876704277924E-3</v>
      </c>
      <c r="W33" s="5">
        <f t="shared" si="2"/>
        <v>-8.8939818166027061E-4</v>
      </c>
      <c r="X33" s="1">
        <f t="shared" si="3"/>
        <v>6.5895111711533607E-3</v>
      </c>
      <c r="Y33" s="3">
        <f t="shared" si="4"/>
        <v>1.9902195389667945E-2</v>
      </c>
      <c r="Z33" s="1">
        <f t="shared" si="5"/>
        <v>2.4314743549574237E-2</v>
      </c>
      <c r="AA33" s="8">
        <f t="shared" si="11"/>
        <v>1.7499999999999993</v>
      </c>
      <c r="AB33" s="1">
        <v>1.833</v>
      </c>
      <c r="AC33" s="1">
        <v>5.0003792790000005E-4</v>
      </c>
      <c r="AD33" s="8">
        <f t="shared" si="6"/>
        <v>2.1573995372019608E-2</v>
      </c>
      <c r="AE33" s="3">
        <f t="shared" si="7"/>
        <v>4.3144717966942057E-3</v>
      </c>
      <c r="AF33" s="11">
        <f t="shared" si="8"/>
        <v>1.7499999999999993</v>
      </c>
      <c r="AG33" s="1">
        <f t="shared" si="9"/>
        <v>2.4314743549574237E-2</v>
      </c>
    </row>
    <row r="34" spans="2:33" ht="15" x14ac:dyDescent="0.25">
      <c r="B34" s="1">
        <v>23</v>
      </c>
      <c r="C34" s="1">
        <v>1.0000000031023191</v>
      </c>
      <c r="D34" s="1">
        <v>1.0444121997802405</v>
      </c>
      <c r="E34" s="1">
        <v>0.9573446667492248</v>
      </c>
      <c r="G34" s="1">
        <v>0.99993764552915576</v>
      </c>
      <c r="H34" s="1">
        <v>1.4663677324661699</v>
      </c>
      <c r="I34" s="1">
        <v>0.67429569807238809</v>
      </c>
      <c r="K34" s="1">
        <v>0.99998981903813133</v>
      </c>
      <c r="L34" s="1">
        <v>1.1117621012189047</v>
      </c>
      <c r="M34" s="1">
        <v>0.89876398033558447</v>
      </c>
      <c r="O34" s="1">
        <v>4.9787562693572702E-4</v>
      </c>
      <c r="P34" s="1">
        <v>0.99904619354453161</v>
      </c>
      <c r="R34" s="1">
        <v>1.3071962194286099E-2</v>
      </c>
      <c r="S34" s="2">
        <f t="shared" si="10"/>
        <v>3.3966302905988191E-2</v>
      </c>
      <c r="T34" s="4">
        <f t="shared" si="1"/>
        <v>1.1537097331013417E-3</v>
      </c>
      <c r="U34" s="1">
        <f t="shared" si="0"/>
        <v>2.2167742259426859E-4</v>
      </c>
      <c r="V34" s="6">
        <f>2*sigma/alpha*corel*(B34/12-1/alpha*(1-EXP(-alpha*Output!B34/12)))</f>
        <v>8.9537552137662901E-3</v>
      </c>
      <c r="W34" s="5">
        <f t="shared" si="2"/>
        <v>-9.3203231050707313E-4</v>
      </c>
      <c r="X34" s="1">
        <f t="shared" si="3"/>
        <v>7.2257507796489413E-3</v>
      </c>
      <c r="Y34" s="3">
        <f t="shared" si="4"/>
        <v>1.9839302875404908E-2</v>
      </c>
      <c r="Z34" s="1">
        <f t="shared" si="5"/>
        <v>2.4534374109042179E-2</v>
      </c>
      <c r="AA34" s="8">
        <f t="shared" si="11"/>
        <v>1.8333333333333326</v>
      </c>
      <c r="AB34" s="1">
        <v>1.917</v>
      </c>
      <c r="AC34" s="1">
        <v>5.0004418349999997E-4</v>
      </c>
      <c r="AD34" s="8">
        <f t="shared" si="6"/>
        <v>2.1685565642729505E-2</v>
      </c>
      <c r="AE34" s="3">
        <f t="shared" si="7"/>
        <v>4.3367299047344099E-3</v>
      </c>
      <c r="AF34" s="11">
        <f t="shared" si="8"/>
        <v>1.8333333333333326</v>
      </c>
      <c r="AG34" s="1">
        <f t="shared" si="9"/>
        <v>2.4534374109042179E-2</v>
      </c>
    </row>
    <row r="35" spans="2:33" ht="15" x14ac:dyDescent="0.25">
      <c r="B35" s="1">
        <v>24</v>
      </c>
      <c r="C35" s="1">
        <v>0.99999951669782272</v>
      </c>
      <c r="D35" s="1">
        <v>1.0478851047408249</v>
      </c>
      <c r="E35" s="1">
        <v>0.9541666239763682</v>
      </c>
      <c r="G35" s="1">
        <v>0.99987258320341421</v>
      </c>
      <c r="H35" s="1">
        <v>1.5202181104491117</v>
      </c>
      <c r="I35" s="1">
        <v>0.65009134406590163</v>
      </c>
      <c r="K35" s="1">
        <v>0.99998891626064412</v>
      </c>
      <c r="L35" s="1">
        <v>1.1101123302854594</v>
      </c>
      <c r="M35" s="1">
        <v>0.90008789324719474</v>
      </c>
      <c r="O35" s="1">
        <v>4.9770544571274783E-4</v>
      </c>
      <c r="P35" s="1">
        <v>0.99900508436565416</v>
      </c>
      <c r="R35" s="1">
        <v>1.3518752765577612E-2</v>
      </c>
      <c r="S35" s="2">
        <f t="shared" si="10"/>
        <v>3.5138523312323894E-2</v>
      </c>
      <c r="T35" s="4">
        <f t="shared" si="1"/>
        <v>1.2347158205707298E-3</v>
      </c>
      <c r="U35" s="1">
        <f t="shared" si="0"/>
        <v>2.5124732838399666E-4</v>
      </c>
      <c r="V35" s="6">
        <f>2*sigma/alpha*corel*(B35/12-1/alpha*(1-EXP(-alpha*Output!B35/12)))</f>
        <v>9.738582458236722E-3</v>
      </c>
      <c r="W35" s="5">
        <f t="shared" si="2"/>
        <v>-9.8346849218673314E-4</v>
      </c>
      <c r="X35" s="1">
        <f t="shared" si="3"/>
        <v>7.9625879257897419E-3</v>
      </c>
      <c r="Y35" s="3">
        <f t="shared" si="4"/>
        <v>1.9873687926112542E-2</v>
      </c>
      <c r="Z35" s="1">
        <f t="shared" si="5"/>
        <v>2.4846688115025811E-2</v>
      </c>
      <c r="AA35" s="8">
        <f t="shared" si="11"/>
        <v>1.9166666666666659</v>
      </c>
      <c r="AB35" s="1">
        <v>2</v>
      </c>
      <c r="AC35" s="1">
        <v>5.000530637E-4</v>
      </c>
      <c r="AD35" s="8">
        <f t="shared" si="6"/>
        <v>2.3476179872521749E-2</v>
      </c>
      <c r="AE35" s="3">
        <f t="shared" si="7"/>
        <v>4.6947377341949375E-3</v>
      </c>
      <c r="AF35" s="11">
        <f t="shared" si="8"/>
        <v>1.9166666666666659</v>
      </c>
      <c r="AG35" s="1">
        <f t="shared" si="9"/>
        <v>2.4846688115025811E-2</v>
      </c>
    </row>
    <row r="36" spans="2:33" ht="15" x14ac:dyDescent="0.25">
      <c r="B36" s="1">
        <v>25</v>
      </c>
      <c r="C36" s="1">
        <v>0.99999964001913699</v>
      </c>
      <c r="D36" s="1">
        <v>1.0496900330408265</v>
      </c>
      <c r="E36" s="1">
        <v>0.95252078613986224</v>
      </c>
      <c r="G36" s="1">
        <v>0.99985711975755354</v>
      </c>
      <c r="H36" s="1">
        <v>1.53274548043397</v>
      </c>
      <c r="I36" s="1">
        <v>0.6444619309835915</v>
      </c>
      <c r="K36" s="1">
        <v>0.99998954010144903</v>
      </c>
      <c r="L36" s="1">
        <v>1.1189065448703612</v>
      </c>
      <c r="M36" s="1">
        <v>0.89296002536748065</v>
      </c>
      <c r="O36" s="1">
        <v>4.97822836863743E-4</v>
      </c>
      <c r="P36" s="1">
        <v>0.99896340672424777</v>
      </c>
      <c r="R36" s="1">
        <v>1.394187285125404E-2</v>
      </c>
      <c r="S36" s="2">
        <f t="shared" si="10"/>
        <v>3.6252112031550182E-2</v>
      </c>
      <c r="T36" s="4">
        <f t="shared" si="1"/>
        <v>1.3142156267480654E-3</v>
      </c>
      <c r="U36" s="1">
        <f t="shared" si="0"/>
        <v>2.8328147917644486E-4</v>
      </c>
      <c r="V36" s="6">
        <f>2*sigma/alpha*corel*(B36/12-1/alpha*(1-EXP(-alpha*Output!B36/12)))</f>
        <v>1.0555462383301961E-2</v>
      </c>
      <c r="W36" s="5">
        <f t="shared" si="2"/>
        <v>-1.0309341475716206E-3</v>
      </c>
      <c r="X36" s="1">
        <f t="shared" si="3"/>
        <v>8.702535682555473E-3</v>
      </c>
      <c r="Y36" s="3">
        <f t="shared" si="4"/>
        <v>1.9855660762216211E-2</v>
      </c>
      <c r="Z36" s="1">
        <f t="shared" si="5"/>
        <v>2.5116199968129561E-2</v>
      </c>
      <c r="AA36" s="8">
        <f t="shared" si="11"/>
        <v>1.9999999999999991</v>
      </c>
      <c r="AB36" s="1">
        <v>2.0830000000000002</v>
      </c>
      <c r="AC36" s="1">
        <v>5.000625013E-4</v>
      </c>
      <c r="AD36" s="8">
        <f t="shared" si="6"/>
        <v>2.2396644362570078E-2</v>
      </c>
      <c r="AE36" s="3">
        <f t="shared" si="7"/>
        <v>4.4787690147423728E-3</v>
      </c>
      <c r="AF36" s="11">
        <f t="shared" si="8"/>
        <v>1.9999999999999991</v>
      </c>
      <c r="AG36" s="1">
        <f t="shared" si="9"/>
        <v>2.5116199968129561E-2</v>
      </c>
    </row>
    <row r="37" spans="2:33" ht="15" x14ac:dyDescent="0.25">
      <c r="B37" s="1">
        <v>26</v>
      </c>
      <c r="C37" s="1">
        <v>1.0000004807181677</v>
      </c>
      <c r="D37" s="1">
        <v>1.047931225711243</v>
      </c>
      <c r="E37" s="1">
        <v>0.95411433074642527</v>
      </c>
      <c r="G37" s="1">
        <v>0.99989712683561627</v>
      </c>
      <c r="H37" s="1">
        <v>1.5098494871040717</v>
      </c>
      <c r="I37" s="1">
        <v>0.65391411282257317</v>
      </c>
      <c r="K37" s="1">
        <v>0.99998800333089821</v>
      </c>
      <c r="L37" s="1">
        <v>1.1200198163328101</v>
      </c>
      <c r="M37" s="1">
        <v>0.8920347589735278</v>
      </c>
      <c r="O37" s="1">
        <v>4.9764759825683658E-4</v>
      </c>
      <c r="P37" s="1">
        <v>0.99892234462517626</v>
      </c>
      <c r="R37" s="1">
        <v>1.4346819144041806E-2</v>
      </c>
      <c r="S37" s="2">
        <f t="shared" si="10"/>
        <v>3.7319383435900688E-2</v>
      </c>
      <c r="T37" s="4">
        <f t="shared" si="1"/>
        <v>1.3927363800357786E-3</v>
      </c>
      <c r="U37" s="1">
        <f t="shared" si="0"/>
        <v>3.1786981074954923E-4</v>
      </c>
      <c r="V37" s="6">
        <f>2*sigma/alpha*corel*(B37/12-1/alpha*(1-EXP(-alpha*Output!B37/12)))</f>
        <v>1.1404288324565526E-2</v>
      </c>
      <c r="W37" s="5">
        <f t="shared" si="2"/>
        <v>-1.0748665692862293E-3</v>
      </c>
      <c r="X37" s="1">
        <f t="shared" si="3"/>
        <v>9.4455680593371425E-3</v>
      </c>
      <c r="Y37" s="3">
        <f t="shared" si="4"/>
        <v>1.9796313238889682E-2</v>
      </c>
      <c r="Z37" s="1">
        <f t="shared" si="5"/>
        <v>2.5353528475743951E-2</v>
      </c>
      <c r="AA37" s="8">
        <f t="shared" si="11"/>
        <v>2.0833333333333326</v>
      </c>
      <c r="AB37" s="1">
        <v>2.1669999999999998</v>
      </c>
      <c r="AC37" s="1">
        <v>5.0007078979999995E-4</v>
      </c>
      <c r="AD37" s="8">
        <f t="shared" si="6"/>
        <v>2.4231915431633701E-2</v>
      </c>
      <c r="AE37" s="3">
        <f t="shared" si="7"/>
        <v>4.8456970344788776E-3</v>
      </c>
      <c r="AF37" s="11">
        <f t="shared" si="8"/>
        <v>2.0833333333333326</v>
      </c>
      <c r="AG37" s="1">
        <f t="shared" si="9"/>
        <v>2.5353528475743951E-2</v>
      </c>
    </row>
    <row r="38" spans="2:33" ht="15" x14ac:dyDescent="0.25">
      <c r="B38" s="1">
        <v>27</v>
      </c>
      <c r="C38" s="1">
        <v>1.0000010385620492</v>
      </c>
      <c r="D38" s="1">
        <v>1.0504272886979584</v>
      </c>
      <c r="E38" s="1">
        <v>0.95184204989755461</v>
      </c>
      <c r="G38" s="1">
        <v>0.99991035549142349</v>
      </c>
      <c r="H38" s="1">
        <v>1.5428657337832321</v>
      </c>
      <c r="I38" s="1">
        <v>0.63960715278929248</v>
      </c>
      <c r="K38" s="1">
        <v>0.9999858284042219</v>
      </c>
      <c r="L38" s="1">
        <v>1.1300586276308677</v>
      </c>
      <c r="M38" s="1">
        <v>0.88410666026240647</v>
      </c>
      <c r="O38" s="1">
        <v>4.9741797503726729E-4</v>
      </c>
      <c r="P38" s="1">
        <v>0.99888143561620901</v>
      </c>
      <c r="R38" s="1">
        <v>1.4747261482308731E-2</v>
      </c>
      <c r="S38" s="2">
        <f t="shared" si="10"/>
        <v>3.8375213036958344E-2</v>
      </c>
      <c r="T38" s="4">
        <f t="shared" si="1"/>
        <v>1.4726569756319376E-3</v>
      </c>
      <c r="U38" s="1">
        <f t="shared" si="0"/>
        <v>3.5510130753202418E-4</v>
      </c>
      <c r="V38" s="6">
        <f>2*sigma/alpha*corel*(B38/12-1/alpha*(1-EXP(-alpha*Output!B38/12)))</f>
        <v>1.2284953972588109E-2</v>
      </c>
      <c r="W38" s="5">
        <f t="shared" si="2"/>
        <v>-1.1175556680999134E-3</v>
      </c>
      <c r="X38" s="1">
        <f t="shared" si="3"/>
        <v>1.0208921107007829E-2</v>
      </c>
      <c r="Y38" s="3">
        <f t="shared" si="4"/>
        <v>1.9723167070903113E-2</v>
      </c>
      <c r="Z38" s="1">
        <f t="shared" si="5"/>
        <v>2.558347535797223E-2</v>
      </c>
      <c r="AA38" s="8">
        <f t="shared" si="11"/>
        <v>2.1666666666666661</v>
      </c>
      <c r="AB38" s="1">
        <v>2.25</v>
      </c>
      <c r="AC38" s="1">
        <v>5.0007766430000002E-4</v>
      </c>
      <c r="AD38" s="8">
        <f t="shared" si="6"/>
        <v>2.6596892627327347E-2</v>
      </c>
      <c r="AE38" s="3">
        <f t="shared" si="7"/>
        <v>5.3185524021668136E-3</v>
      </c>
      <c r="AF38" s="11">
        <f t="shared" si="8"/>
        <v>2.1666666666666661</v>
      </c>
      <c r="AG38" s="1">
        <f t="shared" si="9"/>
        <v>2.558347535797223E-2</v>
      </c>
    </row>
    <row r="39" spans="2:33" ht="15" x14ac:dyDescent="0.25">
      <c r="B39" s="1">
        <v>28</v>
      </c>
      <c r="C39" s="1">
        <v>1.0000013693362775</v>
      </c>
      <c r="D39" s="1">
        <v>1.0505645658635205</v>
      </c>
      <c r="E39" s="1">
        <v>0.9517126316706509</v>
      </c>
      <c r="G39" s="1">
        <v>0.99990754776412993</v>
      </c>
      <c r="H39" s="1">
        <v>1.5440766476538559</v>
      </c>
      <c r="I39" s="1">
        <v>0.63879233474510044</v>
      </c>
      <c r="K39" s="1">
        <v>0.99998413293723543</v>
      </c>
      <c r="L39" s="1">
        <v>1.1253818297862845</v>
      </c>
      <c r="M39" s="1">
        <v>0.88777370555555912</v>
      </c>
      <c r="O39" s="1">
        <v>4.9748105741813506E-4</v>
      </c>
      <c r="P39" s="1">
        <v>0.99883988432112614</v>
      </c>
      <c r="R39" s="1">
        <v>1.5159640767480418E-2</v>
      </c>
      <c r="S39" s="2">
        <f t="shared" si="10"/>
        <v>3.9461851108240936E-2</v>
      </c>
      <c r="T39" s="4">
        <f t="shared" si="1"/>
        <v>1.5572376928889764E-3</v>
      </c>
      <c r="U39" s="1">
        <f t="shared" si="0"/>
        <v>3.9506401009470338E-4</v>
      </c>
      <c r="V39" s="6">
        <f>2*sigma/alpha*corel*(B39/12-1/alpha*(1-EXP(-alpha*Output!B39/12)))</f>
        <v>1.3197353371704523E-2</v>
      </c>
      <c r="W39" s="5">
        <f t="shared" si="2"/>
        <v>-1.162173682794273E-3</v>
      </c>
      <c r="X39" s="1">
        <f t="shared" si="3"/>
        <v>1.1021124508764189E-2</v>
      </c>
      <c r="Y39" s="3">
        <f t="shared" si="4"/>
        <v>1.9668040775581298E-2</v>
      </c>
      <c r="Z39" s="1">
        <f t="shared" si="5"/>
        <v>2.5833845680941582E-2</v>
      </c>
      <c r="AA39" s="8">
        <f t="shared" si="11"/>
        <v>2.2499999999999996</v>
      </c>
      <c r="AB39" s="1">
        <v>2.3330000000000002</v>
      </c>
      <c r="AC39" s="1">
        <v>5.0008322030000005E-4</v>
      </c>
      <c r="AD39" s="8">
        <f t="shared" si="6"/>
        <v>2.6021628818649917E-2</v>
      </c>
      <c r="AE39" s="3">
        <f t="shared" si="7"/>
        <v>5.2034596967759751E-3</v>
      </c>
      <c r="AF39" s="11">
        <f t="shared" si="8"/>
        <v>2.2499999999999996</v>
      </c>
      <c r="AG39" s="1">
        <f t="shared" si="9"/>
        <v>2.5833845680941582E-2</v>
      </c>
    </row>
    <row r="40" spans="2:33" ht="15" x14ac:dyDescent="0.25">
      <c r="B40" s="1">
        <v>29</v>
      </c>
      <c r="C40" s="1">
        <v>1.0000011578752037</v>
      </c>
      <c r="D40" s="1">
        <v>1.04711566571255</v>
      </c>
      <c r="E40" s="1">
        <v>0.95484228067629828</v>
      </c>
      <c r="G40" s="1">
        <v>0.99985607958023648</v>
      </c>
      <c r="H40" s="1">
        <v>1.4980922475877396</v>
      </c>
      <c r="I40" s="1">
        <v>0.65807762539725023</v>
      </c>
      <c r="K40" s="1">
        <v>0.99998127356784017</v>
      </c>
      <c r="L40" s="1">
        <v>1.1297303434632482</v>
      </c>
      <c r="M40" s="1">
        <v>0.88431112361017461</v>
      </c>
      <c r="O40" s="1">
        <v>4.9721939883715473E-4</v>
      </c>
      <c r="P40" s="1">
        <v>0.99879910810129213</v>
      </c>
      <c r="R40" s="1">
        <v>1.5567636022023996E-2</v>
      </c>
      <c r="S40" s="2">
        <f t="shared" si="10"/>
        <v>4.0536575471373723E-2</v>
      </c>
      <c r="T40" s="4">
        <f t="shared" si="1"/>
        <v>1.6432139509463778E-3</v>
      </c>
      <c r="U40" s="1">
        <f t="shared" si="0"/>
        <v>4.3784502260280078E-4</v>
      </c>
      <c r="V40" s="6">
        <f>2*sigma/alpha*corel*(B40/12-1/alpha*(1-EXP(-alpha*Output!B40/12)))</f>
        <v>1.414138091884759E-2</v>
      </c>
      <c r="W40" s="5">
        <f t="shared" si="2"/>
        <v>-1.205368928343577E-3</v>
      </c>
      <c r="X40" s="1">
        <f t="shared" si="3"/>
        <v>1.1851878294946525E-2</v>
      </c>
      <c r="Y40" s="3">
        <f t="shared" si="4"/>
        <v>1.9598265790161794E-2</v>
      </c>
      <c r="Z40" s="1">
        <f t="shared" si="5"/>
        <v>2.6075862409354836E-2</v>
      </c>
      <c r="AA40" s="8">
        <f t="shared" si="11"/>
        <v>2.333333333333333</v>
      </c>
      <c r="AB40" s="1">
        <v>2.4169999999999998</v>
      </c>
      <c r="AC40" s="1">
        <v>5.0008755350000004E-4</v>
      </c>
      <c r="AD40" s="8">
        <f t="shared" si="6"/>
        <v>2.8681546628453024E-2</v>
      </c>
      <c r="AE40" s="3">
        <f t="shared" si="7"/>
        <v>5.7353050336320802E-3</v>
      </c>
      <c r="AF40" s="11">
        <f t="shared" si="8"/>
        <v>2.333333333333333</v>
      </c>
      <c r="AG40" s="1">
        <f t="shared" si="9"/>
        <v>2.6075862409354836E-2</v>
      </c>
    </row>
    <row r="41" spans="2:33" ht="15" x14ac:dyDescent="0.25">
      <c r="B41" s="1">
        <v>30</v>
      </c>
      <c r="C41" s="1">
        <v>1.0000007375120541</v>
      </c>
      <c r="D41" s="1">
        <v>1.0450236553746748</v>
      </c>
      <c r="E41" s="1">
        <v>0.95674876541775922</v>
      </c>
      <c r="G41" s="1">
        <v>0.99978743001552994</v>
      </c>
      <c r="H41" s="1">
        <v>1.4751537220234368</v>
      </c>
      <c r="I41" s="1">
        <v>0.66798322835325974</v>
      </c>
      <c r="K41" s="1">
        <v>0.99998679384013844</v>
      </c>
      <c r="L41" s="1">
        <v>1.1288697980514701</v>
      </c>
      <c r="M41" s="1">
        <v>0.88492170407398485</v>
      </c>
      <c r="O41" s="1">
        <v>4.9705669526192535E-4</v>
      </c>
      <c r="P41" s="1">
        <v>0.99875813002138325</v>
      </c>
      <c r="R41" s="1">
        <v>1.607405825713603E-2</v>
      </c>
      <c r="S41" s="2">
        <f t="shared" si="10"/>
        <v>4.1858639847760712E-2</v>
      </c>
      <c r="T41" s="4">
        <f t="shared" si="1"/>
        <v>1.752145729904541E-3</v>
      </c>
      <c r="U41" s="1">
        <f t="shared" si="0"/>
        <v>4.8353052020022602E-4</v>
      </c>
      <c r="V41" s="6">
        <f>2*sigma/alpha*corel*(B41/12-1/alpha*(1-EXP(-alpha*Output!B41/12)))</f>
        <v>1.5116931362373853E-2</v>
      </c>
      <c r="W41" s="5">
        <f t="shared" si="2"/>
        <v>-1.268615209704315E-3</v>
      </c>
      <c r="X41" s="1">
        <f t="shared" si="3"/>
        <v>1.2914673710857872E-2</v>
      </c>
      <c r="Y41" s="3">
        <f t="shared" si="4"/>
        <v>1.9705162920870475E-2</v>
      </c>
      <c r="Z41" s="1">
        <f t="shared" si="5"/>
        <v>2.6473728335121523E-2</v>
      </c>
      <c r="AA41" s="8">
        <f t="shared" si="11"/>
        <v>2.4166666666666665</v>
      </c>
      <c r="AB41" s="1">
        <v>2.5</v>
      </c>
      <c r="AC41" s="1">
        <v>5.0009075940000004E-4</v>
      </c>
      <c r="AD41" s="8">
        <f t="shared" si="6"/>
        <v>3.0340641380746918E-2</v>
      </c>
      <c r="AE41" s="3">
        <f t="shared" si="7"/>
        <v>6.0670269966893765E-3</v>
      </c>
      <c r="AF41" s="11">
        <f t="shared" si="8"/>
        <v>2.4166666666666665</v>
      </c>
      <c r="AG41" s="1">
        <f t="shared" si="9"/>
        <v>2.6473728335121523E-2</v>
      </c>
    </row>
    <row r="42" spans="2:33" ht="15" x14ac:dyDescent="0.25">
      <c r="B42" s="1">
        <v>31</v>
      </c>
      <c r="C42" s="1">
        <v>0.99999992045029085</v>
      </c>
      <c r="D42" s="1">
        <v>1.0488832736370177</v>
      </c>
      <c r="E42" s="1">
        <v>0.95322324070329501</v>
      </c>
      <c r="G42" s="1">
        <v>0.99968605251920217</v>
      </c>
      <c r="H42" s="1">
        <v>1.5196311213200218</v>
      </c>
      <c r="I42" s="1">
        <v>0.64811465292753512</v>
      </c>
      <c r="K42" s="1">
        <v>0.99998431495784312</v>
      </c>
      <c r="L42" s="1">
        <v>1.1331288595761855</v>
      </c>
      <c r="M42" s="1">
        <v>0.88162388780540979</v>
      </c>
      <c r="O42" s="1">
        <v>4.9717627682817822E-4</v>
      </c>
      <c r="P42" s="1">
        <v>0.99871645240430085</v>
      </c>
      <c r="R42" s="1">
        <v>1.6532022301513259E-2</v>
      </c>
      <c r="S42" s="2">
        <f t="shared" si="10"/>
        <v>4.3060022763372993E-2</v>
      </c>
      <c r="T42" s="4">
        <f t="shared" si="1"/>
        <v>1.8541655603822003E-3</v>
      </c>
      <c r="U42" s="1">
        <f t="shared" si="0"/>
        <v>5.3220575635526401E-4</v>
      </c>
      <c r="V42" s="6">
        <f>2*sigma/alpha*corel*(B42/12-1/alpha*(1-EXP(-alpha*Output!B42/12)))</f>
        <v>1.612389980089457E-2</v>
      </c>
      <c r="W42" s="5">
        <f t="shared" si="2"/>
        <v>-1.3219598040269363E-3</v>
      </c>
      <c r="X42" s="1">
        <f t="shared" si="3"/>
        <v>1.3920231453067628E-2</v>
      </c>
      <c r="Y42" s="3">
        <f t="shared" si="4"/>
        <v>1.9714864006313497E-2</v>
      </c>
      <c r="Z42" s="1">
        <f t="shared" si="5"/>
        <v>2.6790698147766186E-2</v>
      </c>
      <c r="AA42" s="8">
        <f t="shared" si="11"/>
        <v>2.5</v>
      </c>
      <c r="AB42" s="1">
        <v>2.5830000000000002</v>
      </c>
      <c r="AC42" s="1">
        <v>5.0009293350000001E-4</v>
      </c>
      <c r="AD42" s="8">
        <f t="shared" si="6"/>
        <v>2.9166566718217886E-2</v>
      </c>
      <c r="AE42" s="3">
        <f t="shared" si="7"/>
        <v>5.8322293246756878E-3</v>
      </c>
      <c r="AF42" s="11">
        <f t="shared" si="8"/>
        <v>2.5</v>
      </c>
      <c r="AG42" s="1">
        <f t="shared" si="9"/>
        <v>2.6790698147766186E-2</v>
      </c>
    </row>
    <row r="43" spans="2:33" ht="15" x14ac:dyDescent="0.25">
      <c r="B43" s="1">
        <v>32</v>
      </c>
      <c r="C43" s="1">
        <v>1.0000004938634108</v>
      </c>
      <c r="D43" s="1">
        <v>1.0511768760125642</v>
      </c>
      <c r="E43" s="1">
        <v>0.95113847595963052</v>
      </c>
      <c r="G43" s="1">
        <v>0.99969533339245287</v>
      </c>
      <c r="H43" s="1">
        <v>1.5503254161486941</v>
      </c>
      <c r="I43" s="1">
        <v>0.63497168409444105</v>
      </c>
      <c r="K43" s="1">
        <v>0.99998404638537186</v>
      </c>
      <c r="L43" s="1">
        <v>1.1348744434214408</v>
      </c>
      <c r="M43" s="1">
        <v>0.88017312088747823</v>
      </c>
      <c r="O43" s="1">
        <v>4.9700652097321718E-4</v>
      </c>
      <c r="P43" s="1">
        <v>0.99867552716679375</v>
      </c>
      <c r="R43" s="1">
        <v>1.7022028011275864E-2</v>
      </c>
      <c r="S43" s="2">
        <f t="shared" si="10"/>
        <v>4.4340957094403111E-2</v>
      </c>
      <c r="T43" s="4">
        <f t="shared" si="1"/>
        <v>1.9661204760476974E-3</v>
      </c>
      <c r="U43" s="1">
        <f t="shared" si="0"/>
        <v>5.8395507013830894E-4</v>
      </c>
      <c r="V43" s="6">
        <f>2*sigma/alpha*corel*(B43/12-1/alpha*(1-EXP(-alpha*Output!B43/12)))</f>
        <v>1.7162181682111033E-2</v>
      </c>
      <c r="W43" s="5">
        <f t="shared" si="2"/>
        <v>-1.3821654059093884E-3</v>
      </c>
      <c r="X43" s="1">
        <f t="shared" si="3"/>
        <v>1.5037638143123264E-2</v>
      </c>
      <c r="Y43" s="3">
        <f t="shared" si="4"/>
        <v>1.9774849924537888E-2</v>
      </c>
      <c r="Z43" s="1">
        <f t="shared" si="5"/>
        <v>2.7153179896982352E-2</v>
      </c>
      <c r="AA43" s="8">
        <f t="shared" si="11"/>
        <v>2.5833333333333335</v>
      </c>
      <c r="AB43" s="1">
        <v>2.6669999999999998</v>
      </c>
      <c r="AC43" s="1">
        <v>5.0009404559999999E-4</v>
      </c>
      <c r="AD43" s="8">
        <f t="shared" si="6"/>
        <v>3.0875246267828046E-2</v>
      </c>
      <c r="AE43" s="3">
        <f t="shared" si="7"/>
        <v>6.1738879995631062E-3</v>
      </c>
      <c r="AF43" s="11">
        <f t="shared" si="8"/>
        <v>2.5833333333333335</v>
      </c>
      <c r="AG43" s="1">
        <f t="shared" si="9"/>
        <v>2.7153179896982352E-2</v>
      </c>
    </row>
    <row r="44" spans="2:33" ht="15" x14ac:dyDescent="0.25">
      <c r="B44" s="1">
        <v>33</v>
      </c>
      <c r="C44" s="1">
        <v>1.0000017818745786</v>
      </c>
      <c r="D44" s="1">
        <v>1.0538032152832331</v>
      </c>
      <c r="E44" s="1">
        <v>0.94876316019072138</v>
      </c>
      <c r="G44" s="1">
        <v>0.99975772713675137</v>
      </c>
      <c r="H44" s="1">
        <v>1.5842842937846349</v>
      </c>
      <c r="I44" s="1">
        <v>0.62105682723170363</v>
      </c>
      <c r="K44" s="1">
        <v>0.99998499169443689</v>
      </c>
      <c r="L44" s="1">
        <v>1.1473278412347787</v>
      </c>
      <c r="M44" s="1">
        <v>0.87065592487302679</v>
      </c>
      <c r="O44" s="1">
        <v>4.9693840814260678E-4</v>
      </c>
      <c r="P44" s="1">
        <v>0.99863435272369394</v>
      </c>
      <c r="R44" s="1">
        <v>1.7537525647541664E-2</v>
      </c>
      <c r="S44" s="2">
        <f t="shared" si="10"/>
        <v>4.5686260318232016E-2</v>
      </c>
      <c r="T44" s="4">
        <f t="shared" si="1"/>
        <v>2.0872343818652615E-3</v>
      </c>
      <c r="U44" s="1">
        <f t="shared" si="0"/>
        <v>6.3886189346407107E-4</v>
      </c>
      <c r="V44" s="6">
        <f>2*sigma/alpha*corel*(B44/12-1/alpha*(1-EXP(-alpha*Output!B44/12)))</f>
        <v>1.8231672801650722E-2</v>
      </c>
      <c r="W44" s="5">
        <f t="shared" si="2"/>
        <v>-1.4483724884011904E-3</v>
      </c>
      <c r="X44" s="1">
        <f t="shared" si="3"/>
        <v>1.6264491265559546E-2</v>
      </c>
      <c r="Y44" s="3">
        <f t="shared" si="4"/>
        <v>1.9872843962143075E-2</v>
      </c>
      <c r="Z44" s="1">
        <f t="shared" si="5"/>
        <v>2.7549851554559725E-2</v>
      </c>
      <c r="AA44" s="8">
        <f t="shared" si="11"/>
        <v>2.666666666666667</v>
      </c>
      <c r="AB44" s="1">
        <v>2.75</v>
      </c>
      <c r="AC44" s="1">
        <v>5.0009356240000001E-4</v>
      </c>
      <c r="AD44" s="8">
        <f t="shared" si="6"/>
        <v>3.1551542573932286E-2</v>
      </c>
      <c r="AE44" s="3">
        <f t="shared" si="7"/>
        <v>6.3091279204861616E-3</v>
      </c>
      <c r="AF44" s="11">
        <f t="shared" si="8"/>
        <v>2.666666666666667</v>
      </c>
      <c r="AG44" s="1">
        <f t="shared" si="9"/>
        <v>2.7549851554559725E-2</v>
      </c>
    </row>
    <row r="45" spans="2:33" ht="15" x14ac:dyDescent="0.25">
      <c r="B45" s="1">
        <v>34</v>
      </c>
      <c r="C45" s="1">
        <v>1.0000026185515496</v>
      </c>
      <c r="D45" s="1">
        <v>1.0529534562279317</v>
      </c>
      <c r="E45" s="1">
        <v>0.94952402542392267</v>
      </c>
      <c r="G45" s="1">
        <v>0.99978729811695211</v>
      </c>
      <c r="H45" s="1">
        <v>1.5718907950718215</v>
      </c>
      <c r="I45" s="1">
        <v>0.62564696573958523</v>
      </c>
      <c r="K45" s="1">
        <v>0.99998259130919298</v>
      </c>
      <c r="L45" s="1">
        <v>1.1609997868291344</v>
      </c>
      <c r="M45" s="1">
        <v>0.86039292334826101</v>
      </c>
      <c r="O45" s="1">
        <v>4.9687264244049228E-4</v>
      </c>
      <c r="P45" s="1">
        <v>0.99859318467350355</v>
      </c>
      <c r="R45" s="1">
        <v>1.7952731334029214E-2</v>
      </c>
      <c r="S45" s="2">
        <f t="shared" si="10"/>
        <v>4.6779878979940306E-2</v>
      </c>
      <c r="T45" s="4">
        <f t="shared" si="1"/>
        <v>2.1883570773778608E-3</v>
      </c>
      <c r="U45" s="1">
        <f t="shared" si="0"/>
        <v>6.9700875826672615E-4</v>
      </c>
      <c r="V45" s="6">
        <f>2*sigma/alpha*corel*(B45/12-1/alpha*(1-EXP(-alpha*Output!B45/12)))</f>
        <v>1.9332269301911842E-2</v>
      </c>
      <c r="W45" s="5">
        <f t="shared" si="2"/>
        <v>-1.4913483191111346E-3</v>
      </c>
      <c r="X45" s="1">
        <f t="shared" si="3"/>
        <v>1.7275684252954501E-2</v>
      </c>
      <c r="Y45" s="3">
        <f t="shared" si="4"/>
        <v>1.9783187289560588E-2</v>
      </c>
      <c r="Z45" s="1">
        <f t="shared" si="5"/>
        <v>2.7791389339640437E-2</v>
      </c>
      <c r="AA45" s="8">
        <f t="shared" si="11"/>
        <v>2.7500000000000004</v>
      </c>
      <c r="AB45" s="1">
        <v>2.8330000000000002</v>
      </c>
      <c r="AC45" s="1">
        <v>5.0009082480000002E-4</v>
      </c>
      <c r="AD45" s="8">
        <f t="shared" si="6"/>
        <v>3.2181823595077388E-2</v>
      </c>
      <c r="AE45" s="3">
        <f t="shared" si="7"/>
        <v>6.4351957682782486E-3</v>
      </c>
      <c r="AF45" s="11">
        <f t="shared" si="8"/>
        <v>2.7500000000000004</v>
      </c>
      <c r="AG45" s="1">
        <f t="shared" si="9"/>
        <v>2.7791389339640437E-2</v>
      </c>
    </row>
    <row r="46" spans="2:33" ht="15" x14ac:dyDescent="0.25">
      <c r="B46" s="1">
        <v>35</v>
      </c>
      <c r="C46" s="1">
        <v>1.0000031876638218</v>
      </c>
      <c r="D46" s="1">
        <v>1.0503007885164819</v>
      </c>
      <c r="E46" s="1">
        <v>0.95191738094293488</v>
      </c>
      <c r="G46" s="1">
        <v>0.9997936790178692</v>
      </c>
      <c r="H46" s="1">
        <v>1.5353332889893454</v>
      </c>
      <c r="I46" s="1">
        <v>0.64023045213957208</v>
      </c>
      <c r="K46" s="1">
        <v>0.99998634997779601</v>
      </c>
      <c r="L46" s="1">
        <v>1.1637029317608354</v>
      </c>
      <c r="M46" s="1">
        <v>0.85835974520193303</v>
      </c>
      <c r="O46" s="1">
        <v>4.9669462646029445E-4</v>
      </c>
      <c r="P46" s="1">
        <v>0.99855235618815552</v>
      </c>
      <c r="R46" s="1">
        <v>1.8445687995117893E-2</v>
      </c>
      <c r="S46" s="2">
        <f t="shared" si="10"/>
        <v>4.8068309031287115E-2</v>
      </c>
      <c r="T46" s="4">
        <f t="shared" si="1"/>
        <v>2.3105623331273186E-3</v>
      </c>
      <c r="U46" s="1">
        <f t="shared" si="0"/>
        <v>7.5847730363021171E-4</v>
      </c>
      <c r="V46" s="6">
        <f>2*sigma/alpha*corel*(B46/12-1/alpha*(1-EXP(-alpha*Output!B46/12)))</f>
        <v>2.0463867670907632E-2</v>
      </c>
      <c r="W46" s="5">
        <f t="shared" si="2"/>
        <v>-1.5520850294971069E-3</v>
      </c>
      <c r="X46" s="1">
        <f t="shared" si="3"/>
        <v>1.8526428557518668E-2</v>
      </c>
      <c r="Y46" s="3">
        <f t="shared" si="4"/>
        <v>1.9825363894844433E-2</v>
      </c>
      <c r="Z46" s="1">
        <f t="shared" si="5"/>
        <v>2.8145919774087442E-2</v>
      </c>
      <c r="AA46" s="8">
        <f t="shared" si="11"/>
        <v>2.8333333333333339</v>
      </c>
      <c r="AB46" s="1">
        <v>2.9169999999999998</v>
      </c>
      <c r="AC46" s="1">
        <v>5.0008517369999996E-4</v>
      </c>
      <c r="AD46" s="8">
        <f t="shared" si="6"/>
        <v>3.3905472397055159E-2</v>
      </c>
      <c r="AE46" s="3">
        <f t="shared" si="7"/>
        <v>6.7799395343392009E-3</v>
      </c>
      <c r="AF46" s="11">
        <f t="shared" si="8"/>
        <v>2.8333333333333339</v>
      </c>
      <c r="AG46" s="1">
        <f t="shared" si="9"/>
        <v>2.8145919774087442E-2</v>
      </c>
    </row>
    <row r="47" spans="2:33" ht="15" x14ac:dyDescent="0.25">
      <c r="B47" s="1">
        <v>36</v>
      </c>
      <c r="C47" s="1">
        <v>1.0000027242485725</v>
      </c>
      <c r="D47" s="1">
        <v>1.0497771042907167</v>
      </c>
      <c r="E47" s="1">
        <v>0.95238749416580515</v>
      </c>
      <c r="G47" s="1">
        <v>0.99971531943278225</v>
      </c>
      <c r="H47" s="1">
        <v>1.5454907175135619</v>
      </c>
      <c r="I47" s="1">
        <v>0.63571125097939984</v>
      </c>
      <c r="K47" s="1">
        <v>0.99998758915609098</v>
      </c>
      <c r="L47" s="1">
        <v>1.1725209995451953</v>
      </c>
      <c r="M47" s="1">
        <v>0.85186355770819711</v>
      </c>
      <c r="O47" s="1">
        <v>4.9683885268416686E-4</v>
      </c>
      <c r="P47" s="1">
        <v>0.99851059371005957</v>
      </c>
      <c r="R47" s="1">
        <v>1.8932351615088518E-2</v>
      </c>
      <c r="S47" s="2">
        <f t="shared" si="10"/>
        <v>4.9342180894631132E-2</v>
      </c>
      <c r="T47" s="4">
        <f t="shared" si="1"/>
        <v>2.4346508154385015E-3</v>
      </c>
      <c r="U47" s="1">
        <f t="shared" si="0"/>
        <v>8.2334828287233819E-4</v>
      </c>
      <c r="V47" s="6">
        <f>2*sigma/alpha*corel*(B47/12-1/alpha*(1-EXP(-alpha*Output!B47/12)))</f>
        <v>2.1626364741117121E-2</v>
      </c>
      <c r="W47" s="5">
        <f t="shared" si="2"/>
        <v>-1.6113025325661633E-3</v>
      </c>
      <c r="X47" s="1">
        <f t="shared" si="3"/>
        <v>1.9803330042709791E-2</v>
      </c>
      <c r="Y47" s="3">
        <f t="shared" si="4"/>
        <v>1.9849656724604418E-2</v>
      </c>
      <c r="Z47" s="1">
        <f t="shared" si="5"/>
        <v>2.8487721421918494E-2</v>
      </c>
      <c r="AA47" s="8">
        <f t="shared" si="11"/>
        <v>2.9166666666666674</v>
      </c>
      <c r="AB47" s="1">
        <v>3</v>
      </c>
      <c r="AC47" s="1">
        <v>5.0007595E-4</v>
      </c>
      <c r="AD47" s="8">
        <f t="shared" si="6"/>
        <v>3.2370973158331359E-2</v>
      </c>
      <c r="AE47" s="3">
        <f t="shared" si="7"/>
        <v>6.4732113508620759E-3</v>
      </c>
      <c r="AF47" s="11">
        <f t="shared" si="8"/>
        <v>2.9166666666666674</v>
      </c>
      <c r="AG47" s="1">
        <f t="shared" si="9"/>
        <v>2.8487721421918494E-2</v>
      </c>
    </row>
    <row r="48" spans="2:33" ht="15" x14ac:dyDescent="0.25">
      <c r="B48" s="1">
        <v>37</v>
      </c>
      <c r="C48" s="1">
        <v>1.0000030593969003</v>
      </c>
      <c r="D48" s="1">
        <v>1.0496640612321031</v>
      </c>
      <c r="E48" s="1">
        <v>0.95248534176823918</v>
      </c>
      <c r="G48" s="1">
        <v>0.99970006483490359</v>
      </c>
      <c r="H48" s="1">
        <v>1.5353211993043518</v>
      </c>
      <c r="I48" s="1">
        <v>0.63960872763324284</v>
      </c>
      <c r="K48" s="1">
        <v>0.99999403280162746</v>
      </c>
      <c r="L48" s="1">
        <v>1.1665621810202738</v>
      </c>
      <c r="M48" s="1">
        <v>0.85615035458701216</v>
      </c>
      <c r="O48" s="1">
        <v>4.9660514786627891E-4</v>
      </c>
      <c r="P48" s="1">
        <v>0.99846997248147784</v>
      </c>
      <c r="R48" s="1">
        <v>1.9468484821321286E-2</v>
      </c>
      <c r="S48" s="2">
        <f t="shared" si="10"/>
        <v>5.0738891390774768E-2</v>
      </c>
      <c r="T48" s="4">
        <f t="shared" si="1"/>
        <v>2.5744350995648381E-3</v>
      </c>
      <c r="U48" s="1">
        <f t="shared" si="0"/>
        <v>8.9170157056717159E-4</v>
      </c>
      <c r="V48" s="6">
        <f>2*sigma/alpha*corel*(B48/12-1/alpha*(1-EXP(-alpha*Output!B48/12)))</f>
        <v>2.2819657688338602E-2</v>
      </c>
      <c r="W48" s="5">
        <f t="shared" si="2"/>
        <v>-1.6827335289976665E-3</v>
      </c>
      <c r="X48" s="1">
        <f t="shared" si="3"/>
        <v>2.1274450301317506E-2</v>
      </c>
      <c r="Y48" s="3">
        <f t="shared" si="4"/>
        <v>1.9952104769971252E-2</v>
      </c>
      <c r="Z48" s="1">
        <f t="shared" si="5"/>
        <v>2.8895534675502901E-2</v>
      </c>
      <c r="AA48" s="8">
        <f t="shared" si="11"/>
        <v>3.0000000000000009</v>
      </c>
      <c r="AB48" s="1">
        <v>3.0830000000000002</v>
      </c>
      <c r="AC48" s="1">
        <v>5.0006249449999999E-4</v>
      </c>
      <c r="AD48" s="8">
        <f t="shared" si="6"/>
        <v>3.4573466337210798E-2</v>
      </c>
      <c r="AE48" s="3">
        <f t="shared" si="7"/>
        <v>6.9138291148549231E-3</v>
      </c>
      <c r="AF48" s="11">
        <f t="shared" si="8"/>
        <v>3.0000000000000009</v>
      </c>
      <c r="AG48" s="1">
        <f t="shared" si="9"/>
        <v>2.8895534675502901E-2</v>
      </c>
    </row>
    <row r="49" spans="2:33" ht="15" x14ac:dyDescent="0.25">
      <c r="B49" s="1">
        <v>38</v>
      </c>
      <c r="C49" s="1">
        <v>1.0000036265675842</v>
      </c>
      <c r="D49" s="1">
        <v>1.0500950985681388</v>
      </c>
      <c r="E49" s="1">
        <v>0.95208968771672209</v>
      </c>
      <c r="G49" s="1">
        <v>0.99969620313451846</v>
      </c>
      <c r="H49" s="1">
        <v>1.5372245619870539</v>
      </c>
      <c r="I49" s="1">
        <v>0.63850406341486987</v>
      </c>
      <c r="K49" s="1">
        <v>0.99999370691644995</v>
      </c>
      <c r="L49" s="1">
        <v>1.1690710635540469</v>
      </c>
      <c r="M49" s="1">
        <v>0.85427013534029972</v>
      </c>
      <c r="O49" s="1">
        <v>4.9647548540572648E-4</v>
      </c>
      <c r="P49" s="1">
        <v>0.99842906284512101</v>
      </c>
      <c r="R49" s="1">
        <v>1.9950271170219667E-2</v>
      </c>
      <c r="S49" s="2">
        <f t="shared" si="10"/>
        <v>5.1999602225739294E-2</v>
      </c>
      <c r="T49" s="4">
        <f t="shared" si="1"/>
        <v>2.7039586316351108E-3</v>
      </c>
      <c r="U49" s="1">
        <f t="shared" si="0"/>
        <v>9.6361616952389539E-4</v>
      </c>
      <c r="V49" s="6">
        <f>2*sigma/alpha*corel*(B49/12-1/alpha*(1-EXP(-alpha*Output!B49/12)))</f>
        <v>2.4043644030546429E-2</v>
      </c>
      <c r="W49" s="5">
        <f t="shared" si="2"/>
        <v>-1.7403424621112154E-3</v>
      </c>
      <c r="X49" s="1">
        <f t="shared" si="3"/>
        <v>2.2622434671676361E-2</v>
      </c>
      <c r="Y49" s="3">
        <f t="shared" si="4"/>
        <v>1.9952197555696695E-2</v>
      </c>
      <c r="Z49" s="1">
        <f t="shared" si="5"/>
        <v>2.9221253791511578E-2</v>
      </c>
      <c r="AA49" s="8">
        <f t="shared" si="11"/>
        <v>3.0833333333333344</v>
      </c>
      <c r="AB49" s="1">
        <v>3.1669999999999998</v>
      </c>
      <c r="AC49" s="1">
        <v>5.0004457260000002E-4</v>
      </c>
      <c r="AD49" s="8">
        <f t="shared" si="6"/>
        <v>3.5690871942735361E-2</v>
      </c>
      <c r="AE49" s="3">
        <f t="shared" si="7"/>
        <v>7.137538111284634E-3</v>
      </c>
      <c r="AF49" s="11">
        <f t="shared" si="8"/>
        <v>3.0833333333333344</v>
      </c>
      <c r="AG49" s="1">
        <f t="shared" si="9"/>
        <v>2.9221253791511578E-2</v>
      </c>
    </row>
    <row r="50" spans="2:33" ht="15" x14ac:dyDescent="0.25">
      <c r="B50" s="1">
        <v>39</v>
      </c>
      <c r="C50" s="1">
        <v>1.0000039796019822</v>
      </c>
      <c r="D50" s="1">
        <v>1.0527355600339587</v>
      </c>
      <c r="E50" s="1">
        <v>0.94969702900822672</v>
      </c>
      <c r="G50" s="1">
        <v>0.99967547143884095</v>
      </c>
      <c r="H50" s="1">
        <v>1.5720551550440915</v>
      </c>
      <c r="I50" s="1">
        <v>0.62405171109547675</v>
      </c>
      <c r="K50" s="1">
        <v>0.99999429276811214</v>
      </c>
      <c r="L50" s="1">
        <v>1.1767514631963694</v>
      </c>
      <c r="M50" s="1">
        <v>0.84869952258747272</v>
      </c>
      <c r="O50" s="1">
        <v>4.9642705774712167E-4</v>
      </c>
      <c r="P50" s="1">
        <v>0.99838791287297579</v>
      </c>
      <c r="R50" s="1">
        <v>2.0423347060127401E-2</v>
      </c>
      <c r="S50" s="2">
        <f t="shared" si="10"/>
        <v>5.3238816893707824E-2</v>
      </c>
      <c r="T50" s="4">
        <f t="shared" si="1"/>
        <v>2.8343716242417495E-3</v>
      </c>
      <c r="U50" s="1">
        <f t="shared" si="0"/>
        <v>1.0391702177177109E-3</v>
      </c>
      <c r="V50" s="6">
        <f>2*sigma/alpha*corel*(B50/12-1/alpha*(1-EXP(-alpha*Output!B50/12)))</f>
        <v>2.5298221626754103E-2</v>
      </c>
      <c r="W50" s="5">
        <f t="shared" si="2"/>
        <v>-1.7952014065240386E-3</v>
      </c>
      <c r="X50" s="1">
        <f t="shared" si="3"/>
        <v>2.397761830228887E-2</v>
      </c>
      <c r="Y50" s="3">
        <f t="shared" si="4"/>
        <v>1.9930593654384612E-2</v>
      </c>
      <c r="Z50" s="1">
        <f t="shared" si="5"/>
        <v>2.9531582177738776E-2</v>
      </c>
      <c r="AA50" s="8">
        <f t="shared" si="11"/>
        <v>3.1666666666666679</v>
      </c>
      <c r="AB50" s="1">
        <v>3.25</v>
      </c>
      <c r="AC50" s="1">
        <v>5.000236473E-4</v>
      </c>
      <c r="AD50" s="8">
        <f t="shared" si="6"/>
        <v>3.5965895528783293E-2</v>
      </c>
      <c r="AE50" s="3">
        <f t="shared" si="7"/>
        <v>7.192838923316916E-3</v>
      </c>
      <c r="AF50" s="11">
        <f t="shared" si="8"/>
        <v>3.1666666666666679</v>
      </c>
      <c r="AG50" s="1">
        <f t="shared" si="9"/>
        <v>2.9531582177738776E-2</v>
      </c>
    </row>
    <row r="51" spans="2:33" ht="15" x14ac:dyDescent="0.25">
      <c r="B51" s="1">
        <v>40</v>
      </c>
      <c r="C51" s="1">
        <v>1.0000043109604706</v>
      </c>
      <c r="D51" s="1">
        <v>1.0535131434246117</v>
      </c>
      <c r="E51" s="1">
        <v>0.94899147104628223</v>
      </c>
      <c r="G51" s="1">
        <v>0.99965124715597597</v>
      </c>
      <c r="H51" s="1">
        <v>1.5821578954750855</v>
      </c>
      <c r="I51" s="1">
        <v>0.61976341291355974</v>
      </c>
      <c r="K51" s="1">
        <v>0.99999728734570337</v>
      </c>
      <c r="L51" s="1">
        <v>1.1847157869560279</v>
      </c>
      <c r="M51" s="1">
        <v>0.8429256487919895</v>
      </c>
      <c r="O51" s="1">
        <v>4.9648947457409044E-4</v>
      </c>
      <c r="P51" s="1">
        <v>0.9983464037840345</v>
      </c>
      <c r="R51" s="1">
        <v>2.0945123118983042E-2</v>
      </c>
      <c r="S51" s="2">
        <f t="shared" si="10"/>
        <v>5.4600827762053647E-2</v>
      </c>
      <c r="T51" s="4">
        <f t="shared" si="1"/>
        <v>2.9812503923014482E-3</v>
      </c>
      <c r="U51" s="1">
        <f t="shared" si="0"/>
        <v>1.1184409951625618E-3</v>
      </c>
      <c r="V51" s="6">
        <f>2*sigma/alpha*corel*(B51/12-1/alpha*(1-EXP(-alpha*Output!B51/12)))</f>
        <v>2.6583288675877559E-2</v>
      </c>
      <c r="W51" s="5">
        <f t="shared" si="2"/>
        <v>-1.8628093971388864E-3</v>
      </c>
      <c r="X51" s="1">
        <f t="shared" si="3"/>
        <v>2.5544129865343525E-2</v>
      </c>
      <c r="Y51" s="3">
        <f t="shared" si="4"/>
        <v>1.9986303268419929E-2</v>
      </c>
      <c r="Z51" s="1">
        <f t="shared" si="5"/>
        <v>2.9906105023731099E-2</v>
      </c>
      <c r="AA51" s="8">
        <f t="shared" si="11"/>
        <v>3.2500000000000013</v>
      </c>
      <c r="AB51" s="1">
        <v>3.3330000000000002</v>
      </c>
      <c r="AC51" s="1">
        <v>5.0000160599999999E-4</v>
      </c>
      <c r="AD51" s="8">
        <f t="shared" si="6"/>
        <v>3.5121314259095461E-2</v>
      </c>
      <c r="AE51" s="3">
        <f t="shared" si="7"/>
        <v>7.0242402899592807E-3</v>
      </c>
      <c r="AF51" s="11">
        <f t="shared" si="8"/>
        <v>3.2500000000000013</v>
      </c>
      <c r="AG51" s="1">
        <f t="shared" si="9"/>
        <v>2.9906105023731099E-2</v>
      </c>
    </row>
    <row r="52" spans="2:33" ht="15" x14ac:dyDescent="0.25">
      <c r="B52" s="1">
        <v>41</v>
      </c>
      <c r="C52" s="1">
        <v>1.0000062285385489</v>
      </c>
      <c r="D52" s="1">
        <v>1.0534622187864036</v>
      </c>
      <c r="E52" s="1">
        <v>0.949032779598451</v>
      </c>
      <c r="G52" s="1">
        <v>0.99975428810365885</v>
      </c>
      <c r="H52" s="1">
        <v>1.5808012430477065</v>
      </c>
      <c r="I52" s="1">
        <v>0.61999175239544335</v>
      </c>
      <c r="K52" s="1">
        <v>0.99999787586786759</v>
      </c>
      <c r="L52" s="1">
        <v>1.1801685132008477</v>
      </c>
      <c r="M52" s="1">
        <v>0.84615720718057275</v>
      </c>
      <c r="O52" s="1">
        <v>4.9622901411860531E-4</v>
      </c>
      <c r="P52" s="1">
        <v>0.99830598733037623</v>
      </c>
      <c r="R52" s="1">
        <v>2.145391701032914E-2</v>
      </c>
      <c r="S52" s="2">
        <f t="shared" si="10"/>
        <v>5.5928954676707235E-2</v>
      </c>
      <c r="T52" s="4">
        <f t="shared" si="1"/>
        <v>3.1280479712291723E-3</v>
      </c>
      <c r="U52" s="1">
        <f t="shared" si="0"/>
        <v>1.201504930739894E-3</v>
      </c>
      <c r="V52" s="6">
        <f>2*sigma/alpha*corel*(B52/12-1/alpha*(1-EXP(-alpha*Output!B52/12)))</f>
        <v>2.7898743715604357E-2</v>
      </c>
      <c r="W52" s="5">
        <f t="shared" si="2"/>
        <v>-1.9265430404892783E-3</v>
      </c>
      <c r="X52" s="1">
        <f t="shared" si="3"/>
        <v>2.7107761454262441E-2</v>
      </c>
      <c r="Y52" s="3">
        <f t="shared" si="4"/>
        <v>2.0011551902456716E-2</v>
      </c>
      <c r="Z52" s="1">
        <f t="shared" si="5"/>
        <v>3.0257664078406799E-2</v>
      </c>
      <c r="AA52" s="8">
        <f t="shared" si="11"/>
        <v>3.3333333333333348</v>
      </c>
      <c r="AB52" s="1">
        <v>3.4169999999999998</v>
      </c>
      <c r="AC52" s="1">
        <v>4.9998033609999996E-4</v>
      </c>
      <c r="AD52" s="8">
        <f t="shared" si="6"/>
        <v>3.7513219813946425E-2</v>
      </c>
      <c r="AE52" s="3">
        <f t="shared" si="7"/>
        <v>7.5029390368751394E-3</v>
      </c>
      <c r="AF52" s="11">
        <f t="shared" si="8"/>
        <v>3.3333333333333348</v>
      </c>
      <c r="AG52" s="1">
        <f t="shared" si="9"/>
        <v>3.0257664078406799E-2</v>
      </c>
    </row>
    <row r="53" spans="2:33" ht="15" x14ac:dyDescent="0.25">
      <c r="B53" s="1">
        <v>42</v>
      </c>
      <c r="C53" s="1">
        <v>1.0000071400199921</v>
      </c>
      <c r="D53" s="1">
        <v>1.0554107017314835</v>
      </c>
      <c r="E53" s="1">
        <v>0.94727616691106453</v>
      </c>
      <c r="G53" s="1">
        <v>0.99977524386398653</v>
      </c>
      <c r="H53" s="1">
        <v>1.6051453866909837</v>
      </c>
      <c r="I53" s="1">
        <v>0.61028999937592421</v>
      </c>
      <c r="K53" s="1">
        <v>0.99999930193117825</v>
      </c>
      <c r="L53" s="1">
        <v>1.1757635920659477</v>
      </c>
      <c r="M53" s="1">
        <v>0.84929888535810094</v>
      </c>
      <c r="O53" s="1">
        <v>4.9601649644836565E-4</v>
      </c>
      <c r="P53" s="1">
        <v>0.99826544833899344</v>
      </c>
      <c r="R53" s="1">
        <v>2.204016376152175E-2</v>
      </c>
      <c r="S53" s="2">
        <f t="shared" si="10"/>
        <v>5.7451795521436519E-2</v>
      </c>
      <c r="T53" s="4">
        <f t="shared" si="1"/>
        <v>3.3007088086369533E-3</v>
      </c>
      <c r="U53" s="1">
        <f t="shared" si="0"/>
        <v>1.2884376089825622E-3</v>
      </c>
      <c r="V53" s="6">
        <f>2*sigma/alpha*corel*(B53/12-1/alpha*(1-EXP(-alpha*Output!B53/12)))</f>
        <v>2.9244485621268301E-2</v>
      </c>
      <c r="W53" s="5">
        <f t="shared" si="2"/>
        <v>-2.012271199654391E-3</v>
      </c>
      <c r="X53" s="1">
        <f t="shared" si="3"/>
        <v>2.9027036734414043E-2</v>
      </c>
      <c r="Y53" s="3">
        <f t="shared" si="4"/>
        <v>2.0161248875726234E-2</v>
      </c>
      <c r="Z53" s="1">
        <f t="shared" si="5"/>
        <v>3.070927644231557E-2</v>
      </c>
      <c r="AA53" s="8">
        <f t="shared" si="11"/>
        <v>3.4166666666666683</v>
      </c>
      <c r="AB53" s="1">
        <v>3.5</v>
      </c>
      <c r="AC53" s="1">
        <v>4.9996172499999997E-4</v>
      </c>
      <c r="AD53" s="8">
        <f t="shared" si="6"/>
        <v>3.9452285516343139E-2</v>
      </c>
      <c r="AE53" s="3">
        <f t="shared" si="7"/>
        <v>7.891061164000731E-3</v>
      </c>
      <c r="AF53" s="11">
        <f t="shared" si="8"/>
        <v>3.4166666666666683</v>
      </c>
      <c r="AG53" s="1">
        <f t="shared" si="9"/>
        <v>3.070927644231557E-2</v>
      </c>
    </row>
    <row r="54" spans="2:33" ht="15" x14ac:dyDescent="0.25">
      <c r="B54" s="1">
        <v>43</v>
      </c>
      <c r="C54" s="1">
        <v>1.0000093236128149</v>
      </c>
      <c r="D54" s="1">
        <v>1.057347327238221</v>
      </c>
      <c r="E54" s="1">
        <v>0.94553666386213808</v>
      </c>
      <c r="G54" s="1">
        <v>0.99989707910752901</v>
      </c>
      <c r="H54" s="1">
        <v>1.6306880544750602</v>
      </c>
      <c r="I54" s="1">
        <v>0.60043667100666431</v>
      </c>
      <c r="K54" s="1">
        <v>1.0000054982533051</v>
      </c>
      <c r="L54" s="1">
        <v>1.1764217112745206</v>
      </c>
      <c r="M54" s="1">
        <v>0.84877948222324107</v>
      </c>
      <c r="O54" s="1">
        <v>4.9572958124601289E-4</v>
      </c>
      <c r="P54" s="1">
        <v>0.99822521246852713</v>
      </c>
      <c r="R54" s="1">
        <v>2.264439948415754E-2</v>
      </c>
      <c r="S54" s="2">
        <f t="shared" si="10"/>
        <v>5.9019522099838795E-2</v>
      </c>
      <c r="T54" s="4">
        <f t="shared" si="1"/>
        <v>3.4833039888933601E-3</v>
      </c>
      <c r="U54" s="1">
        <f t="shared" si="0"/>
        <v>1.3793137767978969E-3</v>
      </c>
      <c r="V54" s="6">
        <f>2*sigma/alpha*corel*(B54/12-1/alpha*(1-EXP(-alpha*Output!B54/12)))</f>
        <v>3.0620413604722063E-2</v>
      </c>
      <c r="W54" s="5">
        <f t="shared" si="2"/>
        <v>-2.1039902120954632E-3</v>
      </c>
      <c r="X54" s="1">
        <f t="shared" si="3"/>
        <v>3.1094802769359223E-2</v>
      </c>
      <c r="Y54" s="3">
        <f t="shared" si="4"/>
        <v>2.0332572735276562E-2</v>
      </c>
      <c r="Z54" s="1">
        <f t="shared" si="5"/>
        <v>3.1178275034224951E-2</v>
      </c>
      <c r="AA54" s="8">
        <f t="shared" si="11"/>
        <v>3.5000000000000018</v>
      </c>
      <c r="AB54" s="1">
        <v>3.5830000000000002</v>
      </c>
      <c r="AC54" s="1">
        <v>4.9994766009999999E-4</v>
      </c>
      <c r="AD54" s="8">
        <f t="shared" si="6"/>
        <v>4.2180788539870936E-2</v>
      </c>
      <c r="AE54" s="3">
        <f t="shared" si="7"/>
        <v>8.4370408957277453E-3</v>
      </c>
      <c r="AF54" s="11">
        <f t="shared" si="8"/>
        <v>3.5000000000000018</v>
      </c>
      <c r="AG54" s="1">
        <f t="shared" si="9"/>
        <v>3.1178275034224951E-2</v>
      </c>
    </row>
    <row r="55" spans="2:33" ht="15" x14ac:dyDescent="0.25">
      <c r="B55" s="1">
        <v>44</v>
      </c>
      <c r="C55" s="1">
        <v>1.0000100289347293</v>
      </c>
      <c r="D55" s="1">
        <v>1.0548802714613776</v>
      </c>
      <c r="E55" s="1">
        <v>0.94774353625451246</v>
      </c>
      <c r="G55" s="1">
        <v>0.99989728298522873</v>
      </c>
      <c r="H55" s="1">
        <v>1.608874144834106</v>
      </c>
      <c r="I55" s="1">
        <v>0.60827997360326502</v>
      </c>
      <c r="K55" s="1">
        <v>1.0000033907491486</v>
      </c>
      <c r="L55" s="1">
        <v>1.1770568050625985</v>
      </c>
      <c r="M55" s="1">
        <v>0.84835288791739838</v>
      </c>
      <c r="O55" s="1">
        <v>4.9563849478967371E-4</v>
      </c>
      <c r="P55" s="1">
        <v>0.99818430921695134</v>
      </c>
      <c r="R55" s="1">
        <v>2.3121663229576407E-2</v>
      </c>
      <c r="S55" s="2">
        <f t="shared" si="10"/>
        <v>6.0269337071326937E-2</v>
      </c>
      <c r="T55" s="4">
        <f t="shared" si="1"/>
        <v>3.6323929910172235E-3</v>
      </c>
      <c r="U55" s="1">
        <f t="shared" si="0"/>
        <v>1.4742073501543551E-3</v>
      </c>
      <c r="V55" s="6">
        <f>2*sigma/alpha*corel*(B55/12-1/alpha*(1-EXP(-alpha*Output!B55/12)))</f>
        <v>3.2026427213221131E-2</v>
      </c>
      <c r="W55" s="5">
        <f t="shared" si="2"/>
        <v>-2.1581856408628684E-3</v>
      </c>
      <c r="X55" s="1">
        <f t="shared" si="3"/>
        <v>3.267908143936582E-2</v>
      </c>
      <c r="Y55" s="3">
        <f t="shared" si="4"/>
        <v>2.0283700470209179E-2</v>
      </c>
      <c r="Z55" s="1">
        <f t="shared" si="5"/>
        <v>3.1474634770141306E-2</v>
      </c>
      <c r="AA55" s="8">
        <f t="shared" si="11"/>
        <v>3.5833333333333353</v>
      </c>
      <c r="AB55" s="1">
        <v>3.6669999999999998</v>
      </c>
      <c r="AC55" s="1">
        <v>4.9994001999999996E-4</v>
      </c>
      <c r="AD55" s="8">
        <f t="shared" si="6"/>
        <v>4.3015252103262507E-2</v>
      </c>
      <c r="AE55" s="3">
        <f t="shared" si="7"/>
        <v>8.6040825663971678E-3</v>
      </c>
      <c r="AF55" s="11">
        <f t="shared" si="8"/>
        <v>3.5833333333333353</v>
      </c>
      <c r="AG55" s="1">
        <f t="shared" si="9"/>
        <v>3.1474634770141306E-2</v>
      </c>
    </row>
    <row r="56" spans="2:33" ht="15" x14ac:dyDescent="0.25">
      <c r="B56" s="1">
        <v>45</v>
      </c>
      <c r="C56" s="1">
        <v>1.0000102304522811</v>
      </c>
      <c r="D56" s="1">
        <v>1.0547126695718814</v>
      </c>
      <c r="E56" s="1">
        <v>0.94788971211932338</v>
      </c>
      <c r="G56" s="1">
        <v>0.99985496604424284</v>
      </c>
      <c r="H56" s="1">
        <v>1.602856722005608</v>
      </c>
      <c r="I56" s="1">
        <v>0.61026491697811447</v>
      </c>
      <c r="K56" s="1">
        <v>1.0000038391914934</v>
      </c>
      <c r="L56" s="1">
        <v>1.1836906815218406</v>
      </c>
      <c r="M56" s="1">
        <v>0.84352985260660707</v>
      </c>
      <c r="O56" s="1">
        <v>4.9542701343250662E-4</v>
      </c>
      <c r="P56" s="1">
        <v>0.99814387343708799</v>
      </c>
      <c r="R56" s="1">
        <v>2.3621426455585553E-2</v>
      </c>
      <c r="S56" s="2">
        <f t="shared" si="10"/>
        <v>6.1575139081191194E-2</v>
      </c>
      <c r="T56" s="4">
        <f t="shared" si="1"/>
        <v>3.7914977528680392E-3</v>
      </c>
      <c r="U56" s="1">
        <f t="shared" si="0"/>
        <v>1.5731914207135489E-3</v>
      </c>
      <c r="V56" s="6">
        <f>2*sigma/alpha*corel*(B56/12-1/alpha*(1-EXP(-alpha*Output!B56/12)))</f>
        <v>3.346242632830565E-2</v>
      </c>
      <c r="W56" s="5">
        <f t="shared" si="2"/>
        <v>-2.2183063321544903E-3</v>
      </c>
      <c r="X56" s="1">
        <f t="shared" si="3"/>
        <v>3.4394328958094633E-2</v>
      </c>
      <c r="Y56" s="3">
        <f t="shared" si="4"/>
        <v>2.0265953979611041E-2</v>
      </c>
      <c r="Z56" s="1">
        <f t="shared" si="5"/>
        <v>3.1797265093581197E-2</v>
      </c>
      <c r="AA56" s="8">
        <f t="shared" si="11"/>
        <v>3.6666666666666687</v>
      </c>
      <c r="AB56" s="1">
        <v>3.75</v>
      </c>
      <c r="AC56" s="1">
        <v>4.9994064779999999E-4</v>
      </c>
      <c r="AD56" s="8">
        <f t="shared" si="6"/>
        <v>4.5136343674933653E-2</v>
      </c>
      <c r="AE56" s="3">
        <f t="shared" si="7"/>
        <v>9.0283404387215046E-3</v>
      </c>
      <c r="AF56" s="11">
        <f t="shared" si="8"/>
        <v>3.6666666666666687</v>
      </c>
      <c r="AG56" s="1">
        <f t="shared" si="9"/>
        <v>3.1797265093581197E-2</v>
      </c>
    </row>
    <row r="57" spans="2:33" ht="15" x14ac:dyDescent="0.25">
      <c r="B57" s="1">
        <v>46</v>
      </c>
      <c r="C57" s="1">
        <v>1.0000116014975595</v>
      </c>
      <c r="D57" s="1">
        <v>1.055964073889474</v>
      </c>
      <c r="E57" s="1">
        <v>0.94676199396451988</v>
      </c>
      <c r="G57" s="1">
        <v>0.99990741812186279</v>
      </c>
      <c r="H57" s="1">
        <v>1.6176978110960134</v>
      </c>
      <c r="I57" s="1">
        <v>0.60437048508288849</v>
      </c>
      <c r="K57" s="1">
        <v>1.0000051400946548</v>
      </c>
      <c r="L57" s="1">
        <v>1.1789165507464228</v>
      </c>
      <c r="M57" s="1">
        <v>0.84690159267954523</v>
      </c>
      <c r="O57" s="1">
        <v>4.9527496655157118E-4</v>
      </c>
      <c r="P57" s="1">
        <v>0.99810324707525322</v>
      </c>
      <c r="R57" s="1">
        <v>2.4131594819522623E-2</v>
      </c>
      <c r="S57" s="2">
        <f t="shared" si="10"/>
        <v>6.2907393743124485E-2</v>
      </c>
      <c r="T57" s="4">
        <f t="shared" ref="T57:T86" si="12">S57*S57</f>
        <v>3.9573401875524971E-3</v>
      </c>
      <c r="U57" s="1">
        <f t="shared" ref="U57:U120" si="13">sigma*sigma/alpha/alpha*(B57/12+2/alpha*EXP(-alpha*B57/12)-1/2/alpha*EXP(-2*alpha*B57/12)-3/2/alpha)</f>
        <v>1.6763382624160883E-3</v>
      </c>
      <c r="V57" s="6">
        <f>2*sigma/alpha*corel*(B57/12-1/alpha*(1-EXP(-alpha*Output!B57/12)))</f>
        <v>3.4928311164687864E-2</v>
      </c>
      <c r="W57" s="5">
        <f t="shared" ref="W57:W86" si="14">U57-T57</f>
        <v>-2.2810019251364088E-3</v>
      </c>
      <c r="X57" s="1">
        <f t="shared" ref="X57:X86" si="15">V57*V57-4*W57*B57/12</f>
        <v>3.6195349772908864E-2</v>
      </c>
      <c r="Y57" s="3">
        <f t="shared" si="4"/>
        <v>2.0259449194141049E-2</v>
      </c>
      <c r="Z57" s="1">
        <f t="shared" si="5"/>
        <v>3.2130197854108054E-2</v>
      </c>
      <c r="AA57" s="8">
        <f t="shared" si="11"/>
        <v>3.7500000000000022</v>
      </c>
      <c r="AB57" s="1">
        <v>3.8330000000000002</v>
      </c>
      <c r="AC57" s="1">
        <v>4.9995137759999999E-4</v>
      </c>
      <c r="AD57" s="8">
        <f t="shared" si="6"/>
        <v>4.6764110484288086E-2</v>
      </c>
      <c r="AE57" s="3">
        <f t="shared" si="7"/>
        <v>9.3537316986259042E-3</v>
      </c>
      <c r="AF57" s="11">
        <f t="shared" si="8"/>
        <v>3.7500000000000022</v>
      </c>
      <c r="AG57" s="1">
        <f t="shared" si="9"/>
        <v>3.2130197854108054E-2</v>
      </c>
    </row>
    <row r="58" spans="2:33" ht="15" x14ac:dyDescent="0.25">
      <c r="B58" s="1">
        <v>47</v>
      </c>
      <c r="C58" s="1">
        <v>1.0000122703319225</v>
      </c>
      <c r="D58" s="1">
        <v>1.0602702966186006</v>
      </c>
      <c r="E58" s="1">
        <v>0.94291243675786107</v>
      </c>
      <c r="G58" s="1">
        <v>0.99990466046647419</v>
      </c>
      <c r="H58" s="1">
        <v>1.6819967569186887</v>
      </c>
      <c r="I58" s="1">
        <v>0.580982500302483</v>
      </c>
      <c r="K58" s="1">
        <v>1.0000055608561877</v>
      </c>
      <c r="L58" s="1">
        <v>1.1786356402135272</v>
      </c>
      <c r="M58" s="1">
        <v>0.84707538554715089</v>
      </c>
      <c r="O58" s="1">
        <v>4.9515459984718682E-4</v>
      </c>
      <c r="P58" s="1">
        <v>0.99806252381874494</v>
      </c>
      <c r="R58" s="1">
        <v>2.4656200510266211E-2</v>
      </c>
      <c r="S58" s="2">
        <f t="shared" si="10"/>
        <v>6.427611162235275E-2</v>
      </c>
      <c r="T58" s="4">
        <f t="shared" si="12"/>
        <v>4.1314185252891503E-3</v>
      </c>
      <c r="U58" s="1">
        <f t="shared" si="13"/>
        <v>1.7837193380185745E-3</v>
      </c>
      <c r="V58" s="6">
        <f>2*sigma/alpha*corel*(B58/12-1/alpha*(1-EXP(-alpha*Output!B58/12)))</f>
        <v>3.6423982269144284E-2</v>
      </c>
      <c r="W58" s="5">
        <f t="shared" si="14"/>
        <v>-2.3476991872705757E-3</v>
      </c>
      <c r="X58" s="1">
        <f t="shared" si="15"/>
        <v>3.8107327084915293E-2</v>
      </c>
      <c r="Y58" s="3">
        <f t="shared" si="4"/>
        <v>2.0270680683137868E-2</v>
      </c>
      <c r="Z58" s="1">
        <f t="shared" si="5"/>
        <v>3.2478150528870223E-2</v>
      </c>
      <c r="AA58" s="8">
        <f t="shared" si="11"/>
        <v>3.8333333333333357</v>
      </c>
      <c r="AB58" s="1">
        <v>3.9169999999999998</v>
      </c>
      <c r="AC58" s="1">
        <v>4.9997404359999995E-4</v>
      </c>
      <c r="AD58" s="8">
        <f t="shared" si="6"/>
        <v>4.8194437528131233E-2</v>
      </c>
      <c r="AE58" s="3">
        <f t="shared" si="7"/>
        <v>9.6393879132431089E-3</v>
      </c>
      <c r="AF58" s="11">
        <f t="shared" si="8"/>
        <v>3.8333333333333357</v>
      </c>
      <c r="AG58" s="1">
        <f t="shared" si="9"/>
        <v>3.2478150528870223E-2</v>
      </c>
    </row>
    <row r="59" spans="2:33" ht="15" x14ac:dyDescent="0.25">
      <c r="B59" s="1">
        <v>48</v>
      </c>
      <c r="C59" s="1">
        <v>1.0000121013276768</v>
      </c>
      <c r="D59" s="1">
        <v>1.0597280453760134</v>
      </c>
      <c r="E59" s="1">
        <v>0.94339060288374266</v>
      </c>
      <c r="G59" s="1">
        <v>0.99982920402127529</v>
      </c>
      <c r="H59" s="1">
        <v>1.6743313379343461</v>
      </c>
      <c r="I59" s="1">
        <v>0.58335695793959141</v>
      </c>
      <c r="K59" s="1">
        <v>1.0000080235540809</v>
      </c>
      <c r="L59" s="1">
        <v>1.1754083755248423</v>
      </c>
      <c r="M59" s="1">
        <v>0.84943623200088159</v>
      </c>
      <c r="O59" s="1">
        <v>4.9502341117598631E-4</v>
      </c>
      <c r="P59" s="1">
        <v>0.99802186544744165</v>
      </c>
      <c r="R59" s="1">
        <v>2.5260782487250593E-2</v>
      </c>
      <c r="S59" s="2">
        <f t="shared" si="10"/>
        <v>6.5845701657509831E-2</v>
      </c>
      <c r="T59" s="4">
        <f t="shared" si="12"/>
        <v>4.3356564267697925E-3</v>
      </c>
      <c r="U59" s="1">
        <f t="shared" si="13"/>
        <v>1.8954053055892928E-3</v>
      </c>
      <c r="V59" s="6">
        <f>2*sigma/alpha*corel*(B59/12-1/alpha*(1-EXP(-alpha*Output!B59/12)))</f>
        <v>3.7949340519410457E-2</v>
      </c>
      <c r="W59" s="5">
        <f t="shared" si="14"/>
        <v>-2.4402511211804997E-3</v>
      </c>
      <c r="X59" s="1">
        <f t="shared" si="15"/>
        <v>4.0484170384746165E-2</v>
      </c>
      <c r="Y59" s="3">
        <f t="shared" si="4"/>
        <v>2.0407180577068008E-2</v>
      </c>
      <c r="Z59" s="1">
        <f t="shared" si="5"/>
        <v>3.2922850828754915E-2</v>
      </c>
      <c r="AA59" s="8">
        <f t="shared" si="11"/>
        <v>3.9166666666666692</v>
      </c>
      <c r="AB59" s="1">
        <v>4</v>
      </c>
      <c r="AC59" s="1">
        <v>5.0001047999999998E-4</v>
      </c>
      <c r="AD59" s="8">
        <f t="shared" si="6"/>
        <v>4.9870688240136796E-2</v>
      </c>
      <c r="AE59" s="3">
        <f t="shared" si="7"/>
        <v>9.9739285944840193E-3</v>
      </c>
      <c r="AF59" s="11">
        <f t="shared" si="8"/>
        <v>3.9166666666666692</v>
      </c>
      <c r="AG59" s="1">
        <f t="shared" si="9"/>
        <v>3.2922850828754915E-2</v>
      </c>
    </row>
    <row r="60" spans="2:33" ht="15" x14ac:dyDescent="0.25">
      <c r="B60" s="1">
        <v>49</v>
      </c>
      <c r="C60" s="1">
        <v>1.0000139652143776</v>
      </c>
      <c r="D60" s="1">
        <v>1.0585799781308571</v>
      </c>
      <c r="E60" s="1">
        <v>0.94440945829173206</v>
      </c>
      <c r="G60" s="1">
        <v>0.99991529255886036</v>
      </c>
      <c r="H60" s="1">
        <v>1.6583792278066902</v>
      </c>
      <c r="I60" s="1">
        <v>0.58868035583663458</v>
      </c>
      <c r="K60" s="1">
        <v>1.0000082374229746</v>
      </c>
      <c r="L60" s="1">
        <v>1.1807468498234062</v>
      </c>
      <c r="M60" s="1">
        <v>0.84555112067820115</v>
      </c>
      <c r="O60" s="1">
        <v>4.9491646810512387E-4</v>
      </c>
      <c r="P60" s="1">
        <v>0.99798113175008973</v>
      </c>
      <c r="R60" s="1">
        <v>2.581241290433537E-2</v>
      </c>
      <c r="S60" s="2">
        <f t="shared" si="10"/>
        <v>6.7282492078389877E-2</v>
      </c>
      <c r="T60" s="4">
        <f t="shared" si="12"/>
        <v>4.5269337402785966E-3</v>
      </c>
      <c r="U60" s="1">
        <f t="shared" si="13"/>
        <v>2.0114660249475058E-3</v>
      </c>
      <c r="V60" s="6">
        <f>2*sigma/alpha*corel*(B60/12-1/alpha*(1-EXP(-alpha*Output!B60/12)))</f>
        <v>3.9504287123079018E-2</v>
      </c>
      <c r="W60" s="5">
        <f t="shared" si="14"/>
        <v>-2.5154677153310908E-3</v>
      </c>
      <c r="X60" s="1">
        <f t="shared" si="15"/>
        <v>4.2646561384843816E-2</v>
      </c>
      <c r="Y60" s="3">
        <f t="shared" si="4"/>
        <v>2.0449732873659445E-2</v>
      </c>
      <c r="Z60" s="1">
        <f t="shared" si="5"/>
        <v>3.3296198497034794E-2</v>
      </c>
      <c r="AA60" s="8">
        <f t="shared" si="11"/>
        <v>4.0000000000000027</v>
      </c>
      <c r="AB60" s="1">
        <v>4.0830000000000002</v>
      </c>
      <c r="AC60" s="1">
        <v>5.0006252099999999E-4</v>
      </c>
      <c r="AD60" s="8">
        <f t="shared" si="6"/>
        <v>5.1460528948761228E-2</v>
      </c>
      <c r="AE60" s="3">
        <f t="shared" si="7"/>
        <v>1.0290819005162204E-2</v>
      </c>
      <c r="AF60" s="11">
        <f t="shared" si="8"/>
        <v>4.0000000000000027</v>
      </c>
      <c r="AG60" s="1">
        <f t="shared" si="9"/>
        <v>3.3296198497034794E-2</v>
      </c>
    </row>
    <row r="61" spans="2:33" ht="15" x14ac:dyDescent="0.25">
      <c r="B61" s="1">
        <v>50</v>
      </c>
      <c r="C61" s="1">
        <v>1.0000157746981237</v>
      </c>
      <c r="D61" s="1">
        <v>1.0596974423446339</v>
      </c>
      <c r="E61" s="1">
        <v>0.94340931701693242</v>
      </c>
      <c r="G61" s="1">
        <v>0.99999970755922407</v>
      </c>
      <c r="H61" s="1">
        <v>1.6725468717746175</v>
      </c>
      <c r="I61" s="1">
        <v>0.58340845975197508</v>
      </c>
      <c r="K61" s="1">
        <v>1.0000039649811605</v>
      </c>
      <c r="L61" s="1">
        <v>1.1801749287238463</v>
      </c>
      <c r="M61" s="1">
        <v>0.84594494935179021</v>
      </c>
      <c r="O61" s="1">
        <v>4.9478045581434547E-4</v>
      </c>
      <c r="P61" s="1">
        <v>0.99794053837469265</v>
      </c>
      <c r="R61" s="1">
        <v>2.6348128725581219E-2</v>
      </c>
      <c r="S61" s="2">
        <f t="shared" si="10"/>
        <v>6.8679224590522892E-2</v>
      </c>
      <c r="T61" s="4">
        <f t="shared" si="12"/>
        <v>4.7168358903554846E-3</v>
      </c>
      <c r="U61" s="1">
        <f t="shared" si="13"/>
        <v>2.1319705640627795E-3</v>
      </c>
      <c r="V61" s="6">
        <f>2*sigma/alpha*corel*(B61/12-1/alpha*(1-EXP(-alpha*Output!B61/12)))</f>
        <v>4.1088723616502509E-2</v>
      </c>
      <c r="W61" s="5">
        <f t="shared" si="14"/>
        <v>-2.5848653262927051E-3</v>
      </c>
      <c r="X61" s="1">
        <f t="shared" si="15"/>
        <v>4.476937197997842E-2</v>
      </c>
      <c r="Y61" s="3">
        <f t="shared" si="4"/>
        <v>2.0459882040221773E-2</v>
      </c>
      <c r="Z61" s="1">
        <f t="shared" si="5"/>
        <v>3.3645811235357606E-2</v>
      </c>
      <c r="AA61" s="8">
        <f t="shared" si="11"/>
        <v>4.0833333333333357</v>
      </c>
      <c r="AB61" s="1">
        <v>4.1669999999999998</v>
      </c>
      <c r="AC61" s="1">
        <v>5.0013054870000004E-4</v>
      </c>
      <c r="AD61" s="8">
        <f t="shared" si="6"/>
        <v>5.3500928856545657E-2</v>
      </c>
      <c r="AE61" s="3">
        <f t="shared" si="7"/>
        <v>1.0697392709885799E-2</v>
      </c>
      <c r="AF61" s="11">
        <f t="shared" si="8"/>
        <v>4.0833333333333357</v>
      </c>
      <c r="AG61" s="1">
        <f t="shared" si="9"/>
        <v>3.3645811235357606E-2</v>
      </c>
    </row>
    <row r="62" spans="2:33" ht="15" x14ac:dyDescent="0.25">
      <c r="B62" s="1">
        <v>51</v>
      </c>
      <c r="C62" s="1">
        <v>1.0000168456467848</v>
      </c>
      <c r="D62" s="1">
        <v>1.0620431880857435</v>
      </c>
      <c r="E62" s="1">
        <v>0.94132138987029634</v>
      </c>
      <c r="G62" s="1">
        <v>1.0000249952146494</v>
      </c>
      <c r="H62" s="1">
        <v>1.7047657331829462</v>
      </c>
      <c r="I62" s="1">
        <v>0.57210265210984668</v>
      </c>
      <c r="K62" s="1">
        <v>1.0000066741792186</v>
      </c>
      <c r="L62" s="1">
        <v>1.1861597126309043</v>
      </c>
      <c r="M62" s="1">
        <v>0.84160544997933973</v>
      </c>
      <c r="O62" s="1">
        <v>4.9468627503066983E-4</v>
      </c>
      <c r="P62" s="1">
        <v>0.99789979186102329</v>
      </c>
      <c r="R62" s="1">
        <v>2.6894529626585197E-2</v>
      </c>
      <c r="S62" s="2">
        <f t="shared" si="10"/>
        <v>7.0103080712762056E-2</v>
      </c>
      <c r="T62" s="4">
        <f t="shared" si="12"/>
        <v>4.9144419254200317E-3</v>
      </c>
      <c r="U62" s="1">
        <f t="shared" si="13"/>
        <v>2.2569872054103435E-3</v>
      </c>
      <c r="V62" s="6">
        <f>2*sigma/alpha*corel*(B62/12-1/alpha*(1-EXP(-alpha*Output!B62/12)))</f>
        <v>4.270255186369909E-2</v>
      </c>
      <c r="W62" s="5">
        <f t="shared" si="14"/>
        <v>-2.6574547200096882E-3</v>
      </c>
      <c r="X62" s="1">
        <f t="shared" si="15"/>
        <v>4.7000238175836609E-2</v>
      </c>
      <c r="Y62" s="3">
        <f t="shared" si="4"/>
        <v>2.0481509568705723E-2</v>
      </c>
      <c r="Z62" s="1">
        <f t="shared" si="5"/>
        <v>3.4004988995284487E-2</v>
      </c>
      <c r="AA62" s="8">
        <f t="shared" si="11"/>
        <v>4.1666666666666687</v>
      </c>
      <c r="AB62" s="1">
        <v>4.25</v>
      </c>
      <c r="AC62" s="1">
        <v>5.0020913689999996E-4</v>
      </c>
      <c r="AD62" s="8">
        <f t="shared" si="6"/>
        <v>5.5228618693301285E-2</v>
      </c>
      <c r="AE62" s="3">
        <f t="shared" si="7"/>
        <v>1.1041105533492563E-2</v>
      </c>
      <c r="AF62" s="11">
        <f t="shared" si="8"/>
        <v>4.1666666666666687</v>
      </c>
      <c r="AG62" s="1">
        <f t="shared" si="9"/>
        <v>3.4004988995284487E-2</v>
      </c>
    </row>
    <row r="63" spans="2:33" ht="15" x14ac:dyDescent="0.25">
      <c r="B63" s="1">
        <v>52</v>
      </c>
      <c r="C63" s="1">
        <v>1.0000174878761605</v>
      </c>
      <c r="D63" s="1">
        <v>1.0623799378003183</v>
      </c>
      <c r="E63" s="1">
        <v>0.94101883555503985</v>
      </c>
      <c r="G63" s="1">
        <v>1.0000126728015886</v>
      </c>
      <c r="H63" s="1">
        <v>1.7091663025240942</v>
      </c>
      <c r="I63" s="1">
        <v>0.57035074955446008</v>
      </c>
      <c r="K63" s="1">
        <v>1.0000110003659781</v>
      </c>
      <c r="L63" s="1">
        <v>1.1899113096167433</v>
      </c>
      <c r="M63" s="1">
        <v>0.83897940329984744</v>
      </c>
      <c r="O63" s="1">
        <v>4.9456841348031436E-4</v>
      </c>
      <c r="P63" s="1">
        <v>0.99785916507121497</v>
      </c>
      <c r="R63" s="1">
        <v>2.7462895003348288E-2</v>
      </c>
      <c r="S63" s="2">
        <f t="shared" si="10"/>
        <v>7.1582055038599046E-2</v>
      </c>
      <c r="T63" s="4">
        <f t="shared" si="12"/>
        <v>5.1239906035490234E-3</v>
      </c>
      <c r="U63" s="1">
        <f t="shared" si="13"/>
        <v>2.3865834522722729E-3</v>
      </c>
      <c r="V63" s="6">
        <f>2*sigma/alpha*corel*(B63/12-1/alpha*(1-EXP(-alpha*Output!B63/12)))</f>
        <v>4.434567405526274E-2</v>
      </c>
      <c r="W63" s="5">
        <f t="shared" si="14"/>
        <v>-2.7374071512767505E-3</v>
      </c>
      <c r="X63" s="1">
        <f t="shared" si="15"/>
        <v>4.9414929429545951E-2</v>
      </c>
      <c r="Y63" s="3">
        <f t="shared" si="4"/>
        <v>2.0532578821858577E-2</v>
      </c>
      <c r="Z63" s="1">
        <f t="shared" si="5"/>
        <v>3.4386906956715001E-2</v>
      </c>
      <c r="AA63" s="8">
        <f t="shared" si="11"/>
        <v>4.2500000000000018</v>
      </c>
      <c r="AB63" s="1">
        <v>4.3330000000000002</v>
      </c>
      <c r="AC63" s="1">
        <v>5.0029140719999999E-4</v>
      </c>
      <c r="AD63" s="8">
        <f t="shared" si="6"/>
        <v>5.7229937196856366E-2</v>
      </c>
      <c r="AE63" s="3">
        <f t="shared" si="7"/>
        <v>1.1439320438693388E-2</v>
      </c>
      <c r="AF63" s="11">
        <f t="shared" si="8"/>
        <v>4.2500000000000018</v>
      </c>
      <c r="AG63" s="1">
        <f t="shared" si="9"/>
        <v>3.4386906956715001E-2</v>
      </c>
    </row>
    <row r="64" spans="2:33" ht="15" x14ac:dyDescent="0.25">
      <c r="B64" s="1">
        <v>53</v>
      </c>
      <c r="C64" s="1">
        <v>1.0000191898652255</v>
      </c>
      <c r="D64" s="1">
        <v>1.0631056696928394</v>
      </c>
      <c r="E64" s="1">
        <v>0.94037230185650889</v>
      </c>
      <c r="G64" s="1">
        <v>1.0000791693971016</v>
      </c>
      <c r="H64" s="1">
        <v>1.7196910177324414</v>
      </c>
      <c r="I64" s="1">
        <v>0.56658308785421652</v>
      </c>
      <c r="K64" s="1">
        <v>1.0000093921612907</v>
      </c>
      <c r="L64" s="1">
        <v>1.184069834234468</v>
      </c>
      <c r="M64" s="1">
        <v>0.84307692408432766</v>
      </c>
      <c r="O64" s="1">
        <v>4.9462365897705936E-4</v>
      </c>
      <c r="P64" s="1">
        <v>0.99781779664815728</v>
      </c>
      <c r="R64" s="1">
        <v>2.7949376042841763E-2</v>
      </c>
      <c r="S64" s="2">
        <f t="shared" si="10"/>
        <v>7.2856359363123513E-2</v>
      </c>
      <c r="T64" s="4">
        <f t="shared" si="12"/>
        <v>5.3080490996485954E-3</v>
      </c>
      <c r="U64" s="1">
        <f t="shared" si="13"/>
        <v>2.5208260350000344E-3</v>
      </c>
      <c r="V64" s="6">
        <f>2*sigma/alpha*corel*(B64/12-1/alpha*(1-EXP(-alpha*Output!B64/12)))</f>
        <v>4.6017992707275468E-2</v>
      </c>
      <c r="W64" s="5">
        <f t="shared" si="14"/>
        <v>-2.7872230646485609E-3</v>
      </c>
      <c r="X64" s="1">
        <f t="shared" si="15"/>
        <v>5.1358596461598099E-2</v>
      </c>
      <c r="Y64" s="3">
        <f t="shared" si="4"/>
        <v>2.0446002824449239E-2</v>
      </c>
      <c r="Z64" s="1">
        <f t="shared" si="5"/>
        <v>3.4667310793545632E-2</v>
      </c>
      <c r="AA64" s="8">
        <f t="shared" si="11"/>
        <v>4.3333333333333348</v>
      </c>
      <c r="AB64" s="1">
        <v>4.4169999999999998</v>
      </c>
      <c r="AC64" s="1">
        <v>5.0037048119999997E-4</v>
      </c>
      <c r="AD64" s="8">
        <f t="shared" si="6"/>
        <v>5.7468222229406077E-2</v>
      </c>
      <c r="AE64" s="3">
        <f t="shared" si="7"/>
        <v>1.1485134393136955E-2</v>
      </c>
      <c r="AF64" s="11">
        <f t="shared" si="8"/>
        <v>4.3333333333333348</v>
      </c>
      <c r="AG64" s="1">
        <f t="shared" si="9"/>
        <v>3.4667310793545632E-2</v>
      </c>
    </row>
    <row r="65" spans="2:33" ht="15" x14ac:dyDescent="0.25">
      <c r="B65" s="1">
        <v>54</v>
      </c>
      <c r="C65" s="1">
        <v>1.0000206420057496</v>
      </c>
      <c r="D65" s="1">
        <v>1.062040446785997</v>
      </c>
      <c r="E65" s="1">
        <v>0.94131137246003926</v>
      </c>
      <c r="G65" s="1">
        <v>1.000126080754081</v>
      </c>
      <c r="H65" s="1">
        <v>1.7045136127575309</v>
      </c>
      <c r="I65" s="1">
        <v>0.57134873237097916</v>
      </c>
      <c r="K65" s="1">
        <v>1.0000088249793064</v>
      </c>
      <c r="L65" s="1">
        <v>1.1879259494694185</v>
      </c>
      <c r="M65" s="1">
        <v>0.84029737152026107</v>
      </c>
      <c r="O65" s="1">
        <v>4.9448223165153256E-4</v>
      </c>
      <c r="P65" s="1">
        <v>0.99777730381317031</v>
      </c>
      <c r="R65" s="1">
        <v>2.850339195842257E-2</v>
      </c>
      <c r="S65" s="2">
        <f t="shared" si="10"/>
        <v>7.4299305335983251E-2</v>
      </c>
      <c r="T65" s="4">
        <f t="shared" si="12"/>
        <v>5.5203867734096692E-3</v>
      </c>
      <c r="U65" s="1">
        <f t="shared" si="13"/>
        <v>2.6597809172317355E-3</v>
      </c>
      <c r="V65" s="6">
        <f>2*sigma/alpha*corel*(B65/12-1/alpha*(1-EXP(-alpha*Output!B65/12)))</f>
        <v>4.7719410660225003E-2</v>
      </c>
      <c r="W65" s="5">
        <f t="shared" si="14"/>
        <v>-2.8606058561779337E-3</v>
      </c>
      <c r="X65" s="1">
        <f t="shared" si="15"/>
        <v>5.3768047564962E-2</v>
      </c>
      <c r="Y65" s="3">
        <f t="shared" si="4"/>
        <v>2.0462218982230634E-2</v>
      </c>
      <c r="Z65" s="1">
        <f t="shared" si="5"/>
        <v>3.5025028427015728E-2</v>
      </c>
      <c r="AA65" s="8">
        <f t="shared" si="11"/>
        <v>4.4166666666666679</v>
      </c>
      <c r="AB65" s="1">
        <v>4.5</v>
      </c>
      <c r="AC65" s="1">
        <v>5.0043948069999997E-4</v>
      </c>
      <c r="AD65" s="8">
        <f t="shared" si="6"/>
        <v>5.957249048467407E-2</v>
      </c>
      <c r="AE65" s="3">
        <f t="shared" si="7"/>
        <v>1.1904034909744897E-2</v>
      </c>
      <c r="AF65" s="11">
        <f t="shared" si="8"/>
        <v>4.4166666666666679</v>
      </c>
      <c r="AG65" s="1">
        <f t="shared" si="9"/>
        <v>3.5025028427015728E-2</v>
      </c>
    </row>
    <row r="66" spans="2:33" ht="15" x14ac:dyDescent="0.25">
      <c r="B66" s="1">
        <v>55</v>
      </c>
      <c r="C66" s="1">
        <v>1.0000221328983308</v>
      </c>
      <c r="D66" s="1">
        <v>1.0639402939905718</v>
      </c>
      <c r="E66" s="1">
        <v>0.93962641845959038</v>
      </c>
      <c r="G66" s="1">
        <v>1.0001759710863614</v>
      </c>
      <c r="H66" s="1">
        <v>1.7308187813893388</v>
      </c>
      <c r="I66" s="1">
        <v>0.5623903717524269</v>
      </c>
      <c r="K66" s="1">
        <v>1.0000089878692098</v>
      </c>
      <c r="L66" s="1">
        <v>1.1946253785605381</v>
      </c>
      <c r="M66" s="1">
        <v>0.83552138457804725</v>
      </c>
      <c r="O66" s="1">
        <v>4.9440097315032821E-4</v>
      </c>
      <c r="P66" s="1">
        <v>0.9977365609896951</v>
      </c>
      <c r="R66" s="1">
        <v>2.909958444647992E-2</v>
      </c>
      <c r="S66" s="2">
        <f t="shared" si="10"/>
        <v>7.5848628328134327E-2</v>
      </c>
      <c r="T66" s="4">
        <f t="shared" si="12"/>
        <v>5.7530144192594612E-3</v>
      </c>
      <c r="U66" s="1">
        <f t="shared" si="13"/>
        <v>2.8035133020591907E-3</v>
      </c>
      <c r="V66" s="6">
        <f>2*sigma/alpha*corel*(B66/12-1/alpha*(1-EXP(-alpha*Output!B66/12)))</f>
        <v>4.9449831077924777E-2</v>
      </c>
      <c r="W66" s="5">
        <f t="shared" si="14"/>
        <v>-2.9495011172002705E-3</v>
      </c>
      <c r="X66" s="1">
        <f t="shared" si="15"/>
        <v>5.6519472942306921E-2</v>
      </c>
      <c r="Y66" s="3">
        <f t="shared" si="4"/>
        <v>2.0540554201678028E-2</v>
      </c>
      <c r="Z66" s="1">
        <f t="shared" si="5"/>
        <v>3.5428846241731413E-2</v>
      </c>
      <c r="AA66" s="8">
        <f t="shared" si="11"/>
        <v>4.5000000000000009</v>
      </c>
      <c r="AB66" s="1">
        <v>4.5830000000000002</v>
      </c>
      <c r="AC66" s="1">
        <v>5.0049152719999995E-4</v>
      </c>
      <c r="AD66" s="8">
        <f t="shared" si="6"/>
        <v>6.0905540496717467E-2</v>
      </c>
      <c r="AE66" s="3">
        <f t="shared" si="7"/>
        <v>1.2169145167642205E-2</v>
      </c>
      <c r="AF66" s="11">
        <f t="shared" si="8"/>
        <v>4.5000000000000009</v>
      </c>
      <c r="AG66" s="1">
        <f t="shared" si="9"/>
        <v>3.5428846241731413E-2</v>
      </c>
    </row>
    <row r="67" spans="2:33" ht="15" x14ac:dyDescent="0.25">
      <c r="B67" s="1">
        <v>56</v>
      </c>
      <c r="C67" s="1">
        <v>1.000023333113115</v>
      </c>
      <c r="D67" s="1">
        <v>1.0665847982748748</v>
      </c>
      <c r="E67" s="1">
        <v>0.9372926540406944</v>
      </c>
      <c r="G67" s="1">
        <v>1.0002048373614933</v>
      </c>
      <c r="H67" s="1">
        <v>1.7556190257685078</v>
      </c>
      <c r="I67" s="1">
        <v>0.55417502822676878</v>
      </c>
      <c r="K67" s="1">
        <v>1.0000092168105432</v>
      </c>
      <c r="L67" s="1">
        <v>1.191453735595412</v>
      </c>
      <c r="M67" s="1">
        <v>0.83778509904156617</v>
      </c>
      <c r="O67" s="1">
        <v>4.9434141520499509E-4</v>
      </c>
      <c r="P67" s="1">
        <v>0.99769573230585895</v>
      </c>
      <c r="R67" s="1">
        <v>2.9650345208684342E-2</v>
      </c>
      <c r="S67" s="2">
        <f t="shared" si="10"/>
        <v>7.7284021083434962E-2</v>
      </c>
      <c r="T67" s="4">
        <f t="shared" si="12"/>
        <v>5.9728199148248199E-3</v>
      </c>
      <c r="U67" s="1">
        <f t="shared" si="13"/>
        <v>2.952087638155021E-3</v>
      </c>
      <c r="V67" s="6">
        <f>2*sigma/alpha*corel*(B67/12-1/alpha*(1-EXP(-alpha*Output!B67/12)))</f>
        <v>5.1209157446438947E-2</v>
      </c>
      <c r="W67" s="5">
        <f t="shared" si="14"/>
        <v>-3.020732276669799E-3</v>
      </c>
      <c r="X67" s="1">
        <f t="shared" si="15"/>
        <v>5.9009380304210414E-2</v>
      </c>
      <c r="Y67" s="3">
        <f t="shared" si="4"/>
        <v>2.0540282878565443E-2</v>
      </c>
      <c r="Z67" s="1">
        <f t="shared" si="5"/>
        <v>3.5775550055144857E-2</v>
      </c>
      <c r="AA67" s="8">
        <f t="shared" si="11"/>
        <v>4.5833333333333339</v>
      </c>
      <c r="AB67" s="1">
        <v>4.6669999999999998</v>
      </c>
      <c r="AC67" s="1">
        <v>5.0051974159999999E-4</v>
      </c>
      <c r="AD67" s="8">
        <f t="shared" si="6"/>
        <v>6.178326395004903E-2</v>
      </c>
      <c r="AE67" s="3">
        <f t="shared" si="7"/>
        <v>1.2343821594838175E-2</v>
      </c>
      <c r="AF67" s="11">
        <f t="shared" si="8"/>
        <v>4.5833333333333339</v>
      </c>
      <c r="AG67" s="1">
        <f t="shared" si="9"/>
        <v>3.5775550055144857E-2</v>
      </c>
    </row>
    <row r="68" spans="2:33" ht="15" x14ac:dyDescent="0.25">
      <c r="B68" s="1">
        <v>57</v>
      </c>
      <c r="C68" s="1">
        <v>1.0000248204623294</v>
      </c>
      <c r="D68" s="1">
        <v>1.0645894013742585</v>
      </c>
      <c r="E68" s="1">
        <v>0.93904543249803918</v>
      </c>
      <c r="G68" s="1">
        <v>1.0002517924374814</v>
      </c>
      <c r="H68" s="1">
        <v>1.7362726674562619</v>
      </c>
      <c r="I68" s="1">
        <v>0.56007614736527755</v>
      </c>
      <c r="K68" s="1">
        <v>1.0000100793960947</v>
      </c>
      <c r="L68" s="1">
        <v>1.1862632350048921</v>
      </c>
      <c r="M68" s="1">
        <v>0.84137913771685635</v>
      </c>
      <c r="O68" s="1">
        <v>4.9423393807769946E-4</v>
      </c>
      <c r="P68" s="1">
        <v>0.99765514227819307</v>
      </c>
      <c r="R68" s="1">
        <v>3.0252445701480817E-2</v>
      </c>
      <c r="S68" s="2">
        <f t="shared" si="10"/>
        <v>7.8848207778274365E-2</v>
      </c>
      <c r="T68" s="4">
        <f t="shared" si="12"/>
        <v>6.2170398698459259E-3</v>
      </c>
      <c r="U68" s="1">
        <f t="shared" si="13"/>
        <v>3.1055676258544551E-3</v>
      </c>
      <c r="V68" s="6">
        <f>2*sigma/alpha*corel*(B68/12-1/alpha*(1-EXP(-alpha*Output!B68/12)))</f>
        <v>5.2997293573007198E-2</v>
      </c>
      <c r="W68" s="5">
        <f t="shared" si="14"/>
        <v>-3.1114722439914708E-3</v>
      </c>
      <c r="X68" s="1">
        <f t="shared" si="15"/>
        <v>6.1926685761901461E-2</v>
      </c>
      <c r="Y68" s="3">
        <f t="shared" si="4"/>
        <v>2.061615119022938E-2</v>
      </c>
      <c r="Z68" s="1">
        <f t="shared" si="5"/>
        <v>3.6178038903662696E-2</v>
      </c>
      <c r="AA68" s="8">
        <f t="shared" si="11"/>
        <v>4.666666666666667</v>
      </c>
      <c r="AB68" s="1">
        <v>4.75</v>
      </c>
      <c r="AC68" s="1">
        <v>5.0051724119999999E-4</v>
      </c>
      <c r="AD68" s="8">
        <f t="shared" si="6"/>
        <v>6.2833031223005292E-2</v>
      </c>
      <c r="AE68" s="3">
        <f t="shared" si="7"/>
        <v>1.2553619745917614E-2</v>
      </c>
      <c r="AF68" s="11">
        <f t="shared" si="8"/>
        <v>4.666666666666667</v>
      </c>
      <c r="AG68" s="1">
        <f t="shared" si="9"/>
        <v>3.6178038903662696E-2</v>
      </c>
    </row>
    <row r="69" spans="2:33" ht="15" x14ac:dyDescent="0.25">
      <c r="B69" s="1">
        <v>58</v>
      </c>
      <c r="C69" s="1">
        <v>1.0000255205342736</v>
      </c>
      <c r="D69" s="1">
        <v>1.0646030605476011</v>
      </c>
      <c r="E69" s="1">
        <v>0.93902939208886349</v>
      </c>
      <c r="G69" s="1">
        <v>1.0002364833647801</v>
      </c>
      <c r="H69" s="1">
        <v>1.7268252194653997</v>
      </c>
      <c r="I69" s="1">
        <v>0.56286522673241501</v>
      </c>
      <c r="K69" s="1">
        <v>1.0000140889194582</v>
      </c>
      <c r="L69" s="1">
        <v>1.183961103384553</v>
      </c>
      <c r="M69" s="1">
        <v>0.84299061231013228</v>
      </c>
      <c r="O69" s="1">
        <v>4.9404068857879756E-4</v>
      </c>
      <c r="P69" s="1">
        <v>0.99761498534963722</v>
      </c>
      <c r="R69" s="1">
        <v>3.080242669003997E-2</v>
      </c>
      <c r="S69" s="2">
        <f t="shared" si="10"/>
        <v>8.0280994171071901E-2</v>
      </c>
      <c r="T69" s="4">
        <f t="shared" si="12"/>
        <v>6.4450380250956809E-3</v>
      </c>
      <c r="U69" s="1">
        <f t="shared" si="13"/>
        <v>3.2640162231931669E-3</v>
      </c>
      <c r="V69" s="6">
        <f>2*sigma/alpha*corel*(B69/12-1/alpha*(1-EXP(-alpha*Output!B69/12)))</f>
        <v>5.4814143584980157E-2</v>
      </c>
      <c r="W69" s="5">
        <f t="shared" si="14"/>
        <v>-3.181021801902514E-3</v>
      </c>
      <c r="X69" s="1">
        <f t="shared" si="15"/>
        <v>6.4504345173736766E-2</v>
      </c>
      <c r="Y69" s="3">
        <f t="shared" si="4"/>
        <v>2.0603059945592798E-2</v>
      </c>
      <c r="Z69" s="1">
        <f t="shared" si="5"/>
        <v>3.6516518770595377E-2</v>
      </c>
      <c r="AA69" s="8">
        <f t="shared" si="11"/>
        <v>4.75</v>
      </c>
      <c r="AB69" s="1">
        <v>4.8330000000000002</v>
      </c>
      <c r="AC69" s="1">
        <v>5.0047714240000003E-4</v>
      </c>
      <c r="AD69" s="8">
        <f t="shared" si="6"/>
        <v>6.4364538212024772E-2</v>
      </c>
      <c r="AE69" s="3">
        <f t="shared" si="7"/>
        <v>1.2860634933969118E-2</v>
      </c>
      <c r="AF69" s="11">
        <f t="shared" si="8"/>
        <v>4.75</v>
      </c>
      <c r="AG69" s="1">
        <f t="shared" si="9"/>
        <v>3.6516518770595377E-2</v>
      </c>
    </row>
    <row r="70" spans="2:33" ht="15" x14ac:dyDescent="0.25">
      <c r="B70" s="1">
        <v>59</v>
      </c>
      <c r="C70" s="1">
        <v>1.0000265233387504</v>
      </c>
      <c r="D70" s="1">
        <v>1.065937538721321</v>
      </c>
      <c r="E70" s="1">
        <v>0.93784983524425258</v>
      </c>
      <c r="G70" s="1">
        <v>1.0002437945281857</v>
      </c>
      <c r="H70" s="1">
        <v>1.7463122443983543</v>
      </c>
      <c r="I70" s="1">
        <v>0.55631237303543002</v>
      </c>
      <c r="K70" s="1">
        <v>1.0000130585966509</v>
      </c>
      <c r="L70" s="1">
        <v>1.189297040481879</v>
      </c>
      <c r="M70" s="1">
        <v>0.83919808036564558</v>
      </c>
      <c r="O70" s="1">
        <v>4.9381933109193072E-4</v>
      </c>
      <c r="P70" s="1">
        <v>0.99757500003005906</v>
      </c>
      <c r="R70" s="1">
        <v>3.1349967697326953E-2</v>
      </c>
      <c r="S70" s="2">
        <f t="shared" si="10"/>
        <v>8.170753058616298E-2</v>
      </c>
      <c r="T70" s="4">
        <f t="shared" si="12"/>
        <v>6.6761205544887585E-3</v>
      </c>
      <c r="U70" s="1">
        <f t="shared" si="13"/>
        <v>3.4274956518998145E-3</v>
      </c>
      <c r="V70" s="6">
        <f>2*sigma/alpha*corel*(B70/12-1/alpha*(1-EXP(-alpha*Output!B70/12)))</f>
        <v>5.6659611928750686E-2</v>
      </c>
      <c r="W70" s="5">
        <f t="shared" si="14"/>
        <v>-3.248624902588944E-3</v>
      </c>
      <c r="X70" s="1">
        <f t="shared" si="15"/>
        <v>6.7099934708165859E-2</v>
      </c>
      <c r="Y70" s="3">
        <f t="shared" si="4"/>
        <v>2.0580705659270442E-2</v>
      </c>
      <c r="Z70" s="1">
        <f t="shared" si="5"/>
        <v>3.6849084493805431E-2</v>
      </c>
      <c r="AA70" s="8">
        <f t="shared" si="11"/>
        <v>4.833333333333333</v>
      </c>
      <c r="AB70" s="1">
        <v>4.9169999999999998</v>
      </c>
      <c r="AC70" s="1">
        <v>5.0039256169999999E-4</v>
      </c>
      <c r="AD70" s="8">
        <f t="shared" si="6"/>
        <v>6.5732306080692679E-2</v>
      </c>
      <c r="AE70" s="3">
        <f t="shared" si="7"/>
        <v>1.3136147719178353E-2</v>
      </c>
      <c r="AF70" s="11">
        <f t="shared" si="8"/>
        <v>4.833333333333333</v>
      </c>
      <c r="AG70" s="1">
        <f t="shared" si="9"/>
        <v>3.6849084493805431E-2</v>
      </c>
    </row>
    <row r="71" spans="2:33" ht="15" x14ac:dyDescent="0.25">
      <c r="B71" s="1">
        <v>60</v>
      </c>
      <c r="C71" s="1">
        <v>1.00002816109209</v>
      </c>
      <c r="D71" s="1">
        <v>1.0688253353580184</v>
      </c>
      <c r="E71" s="1">
        <v>0.93531199322283309</v>
      </c>
      <c r="G71" s="1">
        <v>1.0003022274594853</v>
      </c>
      <c r="H71" s="1">
        <v>1.7895373601476829</v>
      </c>
      <c r="I71" s="1">
        <v>0.54260986499472941</v>
      </c>
      <c r="K71" s="1">
        <v>1.0000117448642849</v>
      </c>
      <c r="L71" s="1">
        <v>1.1857983903240974</v>
      </c>
      <c r="M71" s="1">
        <v>0.84163734115124578</v>
      </c>
      <c r="O71" s="1">
        <v>4.9344596409322053E-4</v>
      </c>
      <c r="P71" s="1">
        <v>0.99753581128947422</v>
      </c>
      <c r="R71" s="1">
        <v>3.1892823451028916E-2</v>
      </c>
      <c r="S71" s="2">
        <f t="shared" si="10"/>
        <v>8.3121381368796654E-2</v>
      </c>
      <c r="T71" s="4">
        <f t="shared" si="12"/>
        <v>6.9091640406569359E-3</v>
      </c>
      <c r="U71" s="1">
        <f t="shared" si="13"/>
        <v>3.5960674033503892E-3</v>
      </c>
      <c r="V71" s="6">
        <f>2*sigma/alpha*corel*(B71/12-1/alpha*(1-EXP(-alpha*Output!B71/12)))</f>
        <v>5.8533603368693177E-2</v>
      </c>
      <c r="W71" s="5">
        <f t="shared" si="14"/>
        <v>-3.3130966373065467E-3</v>
      </c>
      <c r="X71" s="1">
        <f t="shared" si="15"/>
        <v>6.9688115469454415E-2</v>
      </c>
      <c r="Y71" s="3">
        <f t="shared" si="4"/>
        <v>2.0545146338595187E-2</v>
      </c>
      <c r="Z71" s="1">
        <f t="shared" si="5"/>
        <v>3.7173011824862767E-2</v>
      </c>
      <c r="AA71" s="8">
        <f t="shared" si="11"/>
        <v>4.9166666666666661</v>
      </c>
      <c r="AB71" s="1">
        <v>5</v>
      </c>
      <c r="AC71" s="1">
        <v>5.0025661549999996E-4</v>
      </c>
      <c r="AD71" s="8">
        <f t="shared" si="6"/>
        <v>6.8106514067794263E-2</v>
      </c>
      <c r="AE71" s="3">
        <f t="shared" si="7"/>
        <v>1.361431552478775E-2</v>
      </c>
      <c r="AF71" s="11">
        <f t="shared" si="8"/>
        <v>4.9166666666666661</v>
      </c>
      <c r="AG71" s="1">
        <f t="shared" si="9"/>
        <v>3.7173011824862767E-2</v>
      </c>
    </row>
    <row r="72" spans="2:33" ht="15" x14ac:dyDescent="0.25">
      <c r="B72" s="1">
        <v>61</v>
      </c>
      <c r="C72" s="1">
        <v>1.0000287755171713</v>
      </c>
      <c r="D72" s="1">
        <v>1.0714104467022334</v>
      </c>
      <c r="E72" s="1">
        <v>0.93305137972447527</v>
      </c>
      <c r="G72" s="1">
        <v>1.0002711529047066</v>
      </c>
      <c r="H72" s="1">
        <v>1.827163288641974</v>
      </c>
      <c r="I72" s="1">
        <v>0.53117662000735755</v>
      </c>
      <c r="K72" s="1">
        <v>1.0000073297318739</v>
      </c>
      <c r="L72" s="1">
        <v>1.1846175010772304</v>
      </c>
      <c r="M72" s="1">
        <v>0.84239853755152261</v>
      </c>
      <c r="O72" s="1">
        <v>4.931221136610178E-4</v>
      </c>
      <c r="P72" s="1">
        <v>0.9974964350813611</v>
      </c>
      <c r="R72" s="1">
        <v>3.2383074763596212E-2</v>
      </c>
      <c r="S72" s="2">
        <f t="shared" si="10"/>
        <v>8.4403366565891869E-2</v>
      </c>
      <c r="T72" s="4">
        <f t="shared" si="12"/>
        <v>7.1239282876563136E-3</v>
      </c>
      <c r="U72" s="1">
        <f t="shared" si="13"/>
        <v>3.7697922444688281E-3</v>
      </c>
      <c r="V72" s="6">
        <f>2*sigma/alpha*corel*(B72/12-1/alpha*(1-EXP(-alpha*Output!B72/12)))</f>
        <v>6.0436022986107174E-2</v>
      </c>
      <c r="W72" s="5">
        <f t="shared" si="14"/>
        <v>-3.3541360431874855E-3</v>
      </c>
      <c r="X72" s="1">
        <f t="shared" si="15"/>
        <v>7.1853279085856148E-2</v>
      </c>
      <c r="Y72" s="3">
        <f t="shared" si="4"/>
        <v>2.0421501305725953E-2</v>
      </c>
      <c r="Z72" s="1">
        <f t="shared" si="5"/>
        <v>3.7435658343409971E-2</v>
      </c>
      <c r="AA72" s="8">
        <f t="shared" si="11"/>
        <v>4.9999999999999991</v>
      </c>
      <c r="AB72" s="1">
        <v>5.0830000000000002</v>
      </c>
      <c r="AC72" s="1">
        <v>5.000624203E-4</v>
      </c>
      <c r="AD72" s="8">
        <f t="shared" si="6"/>
        <v>6.9403066389822021E-2</v>
      </c>
      <c r="AE72" s="3">
        <f t="shared" si="7"/>
        <v>1.3878880630179205E-2</v>
      </c>
      <c r="AF72" s="11">
        <f t="shared" si="8"/>
        <v>4.9999999999999991</v>
      </c>
      <c r="AG72" s="1">
        <f t="shared" si="9"/>
        <v>3.7435658343409971E-2</v>
      </c>
    </row>
    <row r="73" spans="2:33" ht="15" x14ac:dyDescent="0.25">
      <c r="B73" s="1">
        <v>62</v>
      </c>
      <c r="C73" s="1">
        <v>1.0000281108751734</v>
      </c>
      <c r="D73" s="1">
        <v>1.0708322856242909</v>
      </c>
      <c r="E73" s="1">
        <v>0.93355129319943475</v>
      </c>
      <c r="G73" s="1">
        <v>1.0001367466270499</v>
      </c>
      <c r="H73" s="1">
        <v>1.8185234582261258</v>
      </c>
      <c r="I73" s="1">
        <v>0.53343963497258395</v>
      </c>
      <c r="K73" s="1">
        <v>1.0000096285576132</v>
      </c>
      <c r="L73" s="1">
        <v>1.1973994325943034</v>
      </c>
      <c r="M73" s="1">
        <v>0.8333845936016242</v>
      </c>
      <c r="O73" s="1">
        <v>4.9273189689122052E-4</v>
      </c>
      <c r="P73" s="1">
        <v>0.99745745628624782</v>
      </c>
      <c r="R73" s="1">
        <v>3.2987057072324626E-2</v>
      </c>
      <c r="S73" s="2">
        <f t="shared" si="10"/>
        <v>8.5970764463968868E-2</v>
      </c>
      <c r="T73" s="4">
        <f t="shared" si="12"/>
        <v>7.3909723425192126E-3</v>
      </c>
      <c r="U73" s="1">
        <f t="shared" si="13"/>
        <v>3.9487302235983179E-3</v>
      </c>
      <c r="V73" s="6">
        <f>2*sigma/alpha*corel*(B73/12-1/alpha*(1-EXP(-alpha*Output!B73/12)))</f>
        <v>6.2366776178159111E-2</v>
      </c>
      <c r="W73" s="5">
        <f t="shared" si="14"/>
        <v>-3.4422421189208947E-3</v>
      </c>
      <c r="X73" s="1">
        <f t="shared" si="15"/>
        <v>7.5029285228555093E-2</v>
      </c>
      <c r="Y73" s="3">
        <f t="shared" si="4"/>
        <v>2.0472383673262248E-2</v>
      </c>
      <c r="Z73" s="1">
        <f t="shared" si="5"/>
        <v>3.7822093754463944E-2</v>
      </c>
      <c r="AA73" s="8">
        <f t="shared" si="11"/>
        <v>5.0833333333333321</v>
      </c>
      <c r="AB73" s="1">
        <v>5.1669999999999998</v>
      </c>
      <c r="AC73" s="1">
        <v>4.9980851990000003E-4</v>
      </c>
      <c r="AD73" s="8">
        <f t="shared" si="6"/>
        <v>7.0766230087795062E-2</v>
      </c>
      <c r="AE73" s="3">
        <f t="shared" si="7"/>
        <v>1.4158668223973799E-2</v>
      </c>
      <c r="AF73" s="11">
        <f t="shared" si="8"/>
        <v>5.0833333333333321</v>
      </c>
      <c r="AG73" s="1">
        <f t="shared" si="9"/>
        <v>3.7822093754463944E-2</v>
      </c>
    </row>
    <row r="74" spans="2:33" ht="15" x14ac:dyDescent="0.25">
      <c r="B74" s="1">
        <v>63</v>
      </c>
      <c r="C74" s="1">
        <v>1.0000298608714679</v>
      </c>
      <c r="D74" s="1">
        <v>1.0730668442546654</v>
      </c>
      <c r="E74" s="1">
        <v>0.93160344014231211</v>
      </c>
      <c r="G74" s="1">
        <v>1.0002011660140371</v>
      </c>
      <c r="H74" s="1">
        <v>1.853013623299866</v>
      </c>
      <c r="I74" s="1">
        <v>0.52325510340057535</v>
      </c>
      <c r="K74" s="1">
        <v>1.0000144710627707</v>
      </c>
      <c r="L74" s="1">
        <v>1.198616932571569</v>
      </c>
      <c r="M74" s="1">
        <v>0.83251428694126905</v>
      </c>
      <c r="O74" s="1">
        <v>4.9227913572773253E-4</v>
      </c>
      <c r="P74" s="1">
        <v>0.99741887139301133</v>
      </c>
      <c r="R74" s="1">
        <v>3.3605850773520865E-2</v>
      </c>
      <c r="S74" s="2">
        <f t="shared" si="10"/>
        <v>8.7575001653543316E-2</v>
      </c>
      <c r="T74" s="4">
        <f t="shared" si="12"/>
        <v>7.6693809146181147E-3</v>
      </c>
      <c r="U74" s="1">
        <f t="shared" si="13"/>
        <v>4.1329406763219723E-3</v>
      </c>
      <c r="V74" s="6">
        <f>2*sigma/alpha*corel*(B74/12-1/alpha*(1-EXP(-alpha*Output!B74/12)))</f>
        <v>6.4325768656834592E-2</v>
      </c>
      <c r="W74" s="5">
        <f t="shared" si="14"/>
        <v>-3.5364402382961424E-3</v>
      </c>
      <c r="X74" s="1">
        <f t="shared" si="15"/>
        <v>7.8403049517511592E-2</v>
      </c>
      <c r="Y74" s="3">
        <f t="shared" si="4"/>
        <v>2.0540921605447383E-2</v>
      </c>
      <c r="Z74" s="1">
        <f t="shared" si="5"/>
        <v>3.8220864196499532E-2</v>
      </c>
      <c r="AA74" s="8">
        <f t="shared" si="11"/>
        <v>5.1666666666666652</v>
      </c>
      <c r="AB74" s="1">
        <v>5.25</v>
      </c>
      <c r="AC74" s="1">
        <v>4.9951516800000005E-4</v>
      </c>
      <c r="AD74" s="8">
        <f t="shared" si="6"/>
        <v>7.236032272267523E-2</v>
      </c>
      <c r="AE74" s="3">
        <f t="shared" si="7"/>
        <v>1.4486111205070597E-2</v>
      </c>
      <c r="AF74" s="11">
        <f t="shared" si="8"/>
        <v>5.1666666666666652</v>
      </c>
      <c r="AG74" s="1">
        <f t="shared" si="9"/>
        <v>3.8220864196499532E-2</v>
      </c>
    </row>
    <row r="75" spans="2:33" ht="15" x14ac:dyDescent="0.25">
      <c r="B75" s="1">
        <v>64</v>
      </c>
      <c r="C75" s="1">
        <v>1.0000294930723037</v>
      </c>
      <c r="D75" s="1">
        <v>1.0728234578902212</v>
      </c>
      <c r="E75" s="1">
        <v>0.9318109930027636</v>
      </c>
      <c r="G75" s="1">
        <v>1.0000879977171901</v>
      </c>
      <c r="H75" s="1">
        <v>1.8484491397450846</v>
      </c>
      <c r="I75" s="1">
        <v>0.52429111251860261</v>
      </c>
      <c r="K75" s="1">
        <v>1.0000112922318709</v>
      </c>
      <c r="L75" s="1">
        <v>1.2007963588344339</v>
      </c>
      <c r="M75" s="1">
        <v>0.83102001255483926</v>
      </c>
      <c r="O75" s="1">
        <v>4.9185456020006549E-4</v>
      </c>
      <c r="P75" s="1">
        <v>0.99738021332528948</v>
      </c>
      <c r="R75" s="1">
        <v>3.4202191020251307E-2</v>
      </c>
      <c r="S75" s="2">
        <f t="shared" si="10"/>
        <v>8.912301304397105E-2</v>
      </c>
      <c r="T75" s="4">
        <f t="shared" si="12"/>
        <v>7.9429114540358337E-3</v>
      </c>
      <c r="U75" s="1">
        <f t="shared" si="13"/>
        <v>4.3224822312390998E-3</v>
      </c>
      <c r="V75" s="6">
        <f>2*sigma/alpha*corel*(B75/12-1/alpha*(1-EXP(-alpha*Output!B75/12)))</f>
        <v>6.6312906447889119E-2</v>
      </c>
      <c r="W75" s="5">
        <f t="shared" si="14"/>
        <v>-3.6204292227967338E-3</v>
      </c>
      <c r="X75" s="1">
        <f t="shared" si="15"/>
        <v>8.1633224981230157E-2</v>
      </c>
      <c r="Y75" s="3">
        <f t="shared" si="4"/>
        <v>2.0568973136686267E-2</v>
      </c>
      <c r="Z75" s="1">
        <f t="shared" si="5"/>
        <v>3.8591396678945414E-2</v>
      </c>
      <c r="AA75" s="8">
        <f t="shared" si="11"/>
        <v>5.2499999999999982</v>
      </c>
      <c r="AB75" s="1">
        <v>5.3330000000000002</v>
      </c>
      <c r="AC75" s="1">
        <v>4.9920804560000002E-4</v>
      </c>
      <c r="AD75" s="8">
        <f t="shared" si="6"/>
        <v>7.3534853999345298E-2</v>
      </c>
      <c r="AE75" s="3">
        <f t="shared" si="7"/>
        <v>1.4730302255237792E-2</v>
      </c>
      <c r="AF75" s="11">
        <f t="shared" si="8"/>
        <v>5.2499999999999982</v>
      </c>
      <c r="AG75" s="1">
        <f t="shared" si="9"/>
        <v>3.8591396678945414E-2</v>
      </c>
    </row>
    <row r="76" spans="2:33" ht="15" x14ac:dyDescent="0.25">
      <c r="B76" s="1">
        <v>65</v>
      </c>
      <c r="C76" s="1">
        <v>1.0000309594153394</v>
      </c>
      <c r="D76" s="1">
        <v>1.0722019760551333</v>
      </c>
      <c r="E76" s="1">
        <v>0.93234732856445723</v>
      </c>
      <c r="G76" s="1">
        <v>1.000125948608487</v>
      </c>
      <c r="H76" s="1">
        <v>1.8382051579325509</v>
      </c>
      <c r="I76" s="1">
        <v>0.52695551793263695</v>
      </c>
      <c r="K76" s="1">
        <v>1.0000167580882704</v>
      </c>
      <c r="L76" s="1">
        <v>1.2043928505825523</v>
      </c>
      <c r="M76" s="1">
        <v>0.82847739600333048</v>
      </c>
      <c r="O76" s="1">
        <v>4.9142702793786774E-4</v>
      </c>
      <c r="P76" s="1">
        <v>0.99734164330342323</v>
      </c>
      <c r="R76" s="1">
        <v>3.4796383023501014E-2</v>
      </c>
      <c r="S76" s="2">
        <f t="shared" si="10"/>
        <v>9.0665625495515989E-2</v>
      </c>
      <c r="T76" s="4">
        <f t="shared" si="12"/>
        <v>8.2202556464931586E-3</v>
      </c>
      <c r="U76" s="1">
        <f t="shared" si="13"/>
        <v>4.5174128157072779E-3</v>
      </c>
      <c r="V76" s="6">
        <f>2*sigma/alpha*corel*(B76/12-1/alpha*(1-EXP(-alpha*Output!B76/12)))</f>
        <v>6.832809588980393E-2</v>
      </c>
      <c r="W76" s="5">
        <f t="shared" si="14"/>
        <v>-3.7028428307858807E-3</v>
      </c>
      <c r="X76" s="1">
        <f t="shared" si="15"/>
        <v>8.4896990021620322E-2</v>
      </c>
      <c r="Y76" s="3">
        <f t="shared" si="4"/>
        <v>2.0588564736143677E-2</v>
      </c>
      <c r="Z76" s="1">
        <f t="shared" si="5"/>
        <v>3.8956201788856698E-2</v>
      </c>
      <c r="AA76" s="8">
        <f t="shared" si="11"/>
        <v>5.3333333333333313</v>
      </c>
      <c r="AB76" s="1">
        <v>5.4169999999999998</v>
      </c>
      <c r="AC76" s="1">
        <v>4.989128337E-4</v>
      </c>
      <c r="AD76" s="8">
        <f t="shared" si="6"/>
        <v>7.4858057621322555E-2</v>
      </c>
      <c r="AE76" s="3">
        <f t="shared" si="7"/>
        <v>1.5004235723135409E-2</v>
      </c>
      <c r="AF76" s="11">
        <f t="shared" si="8"/>
        <v>5.3333333333333313</v>
      </c>
      <c r="AG76" s="1">
        <f t="shared" si="9"/>
        <v>3.8956201788856698E-2</v>
      </c>
    </row>
    <row r="77" spans="2:33" ht="15" x14ac:dyDescent="0.25">
      <c r="B77" s="1">
        <v>66</v>
      </c>
      <c r="C77" s="1">
        <v>1.0000310218774768</v>
      </c>
      <c r="D77" s="1">
        <v>1.0750973894679621</v>
      </c>
      <c r="E77" s="1">
        <v>0.92983263076645206</v>
      </c>
      <c r="G77" s="1">
        <v>1.0000502504887288</v>
      </c>
      <c r="H77" s="1">
        <v>1.8813085849667845</v>
      </c>
      <c r="I77" s="1">
        <v>0.51463089521579097</v>
      </c>
      <c r="K77" s="1">
        <v>1.0000150534374048</v>
      </c>
      <c r="L77" s="1">
        <v>1.2082745140550073</v>
      </c>
      <c r="M77" s="1">
        <v>0.82584290976864583</v>
      </c>
      <c r="O77" s="1">
        <v>4.9112374760788499E-4</v>
      </c>
      <c r="P77" s="1">
        <v>0.99730246429391733</v>
      </c>
      <c r="R77" s="1">
        <v>3.5326596339739995E-2</v>
      </c>
      <c r="S77" s="2">
        <f t="shared" si="10"/>
        <v>9.2048300335900612E-2</v>
      </c>
      <c r="T77" s="4">
        <f t="shared" si="12"/>
        <v>8.4728895947281616E-3</v>
      </c>
      <c r="U77" s="1">
        <f t="shared" si="13"/>
        <v>4.7177896615409054E-3</v>
      </c>
      <c r="V77" s="6">
        <f>2*sigma/alpha*corel*(B77/12-1/alpha*(1-EXP(-alpha*Output!B77/12)))</f>
        <v>7.0371243632745273E-2</v>
      </c>
      <c r="W77" s="5">
        <f t="shared" si="14"/>
        <v>-3.7550999331872562E-3</v>
      </c>
      <c r="X77" s="1">
        <f t="shared" si="15"/>
        <v>8.7564310460538836E-2</v>
      </c>
      <c r="Y77" s="3">
        <f t="shared" ref="Y77:Y140" si="16">(-V77+SQRT(X77))/2/B77*12</f>
        <v>2.050376637040421E-2</v>
      </c>
      <c r="Z77" s="1">
        <f t="shared" ref="Z77:Z140" si="17">S77/SQRT(B77/12)</f>
        <v>3.9249527141860772E-2</v>
      </c>
      <c r="AA77" s="8">
        <f t="shared" si="11"/>
        <v>5.4166666666666643</v>
      </c>
      <c r="AB77" s="1">
        <v>5.5</v>
      </c>
      <c r="AC77" s="1">
        <v>4.9865521349999999E-4</v>
      </c>
      <c r="AD77" s="8">
        <f t="shared" ref="AD77:AD140" si="18">(AC77-O77)*10000</f>
        <v>7.5314658921149996E-2</v>
      </c>
      <c r="AE77" s="3">
        <f t="shared" ref="AE77:AE140" si="19">AD77/AC77/10000</f>
        <v>1.5103553894990008E-2</v>
      </c>
      <c r="AF77" s="11">
        <f t="shared" ref="AF77:AF140" si="20">AA77</f>
        <v>5.4166666666666643</v>
      </c>
      <c r="AG77" s="1">
        <f t="shared" ref="AG77:AG140" si="21">Z77</f>
        <v>3.9249527141860772E-2</v>
      </c>
    </row>
    <row r="78" spans="2:33" ht="15" x14ac:dyDescent="0.25">
      <c r="B78" s="1">
        <v>67</v>
      </c>
      <c r="C78" s="1">
        <v>1.0000327263289039</v>
      </c>
      <c r="D78" s="1">
        <v>1.0719956930163146</v>
      </c>
      <c r="E78" s="1">
        <v>0.93251927520472055</v>
      </c>
      <c r="G78" s="1">
        <v>1.0001034250085354</v>
      </c>
      <c r="H78" s="1">
        <v>1.8312298597705239</v>
      </c>
      <c r="I78" s="1">
        <v>0.52844647462450667</v>
      </c>
      <c r="K78" s="1">
        <v>1.0000138146653896</v>
      </c>
      <c r="L78" s="1">
        <v>1.1995387131491775</v>
      </c>
      <c r="M78" s="1">
        <v>0.83178988456713632</v>
      </c>
      <c r="O78" s="1">
        <v>4.9090484896776242E-4</v>
      </c>
      <c r="P78" s="1">
        <v>0.99726286739022463</v>
      </c>
      <c r="R78" s="1">
        <v>3.5931560431976019E-2</v>
      </c>
      <c r="S78" s="2">
        <f t="shared" ref="S78:S85" si="22">optim_vol_implied(P78,R78)</f>
        <v>9.3619520838060438E-2</v>
      </c>
      <c r="T78" s="4">
        <f t="shared" si="12"/>
        <v>8.7646146819480332E-3</v>
      </c>
      <c r="U78" s="1">
        <f t="shared" si="13"/>
        <v>4.9236693106600171E-3</v>
      </c>
      <c r="V78" s="6">
        <f>2*sigma/alpha*corel*(B78/12-1/alpha*(1-EXP(-alpha*Output!B78/12)))</f>
        <v>7.2442256637528013E-2</v>
      </c>
      <c r="W78" s="5">
        <f t="shared" si="14"/>
        <v>-3.8409453712880161E-3</v>
      </c>
      <c r="X78" s="1">
        <f t="shared" si="15"/>
        <v>9.1028993838836503E-2</v>
      </c>
      <c r="Y78" s="3">
        <f t="shared" si="16"/>
        <v>2.0531450053887762E-2</v>
      </c>
      <c r="Z78" s="1">
        <f t="shared" si="17"/>
        <v>3.9620471149145173E-2</v>
      </c>
      <c r="AA78" s="8">
        <f t="shared" ref="AA78:AA141" si="23">AA77+1/12</f>
        <v>5.4999999999999973</v>
      </c>
      <c r="AB78" s="1">
        <v>5.5830000000000002</v>
      </c>
      <c r="AC78" s="1">
        <v>4.9846086579999999E-4</v>
      </c>
      <c r="AD78" s="8">
        <f t="shared" si="18"/>
        <v>7.5560168322375693E-2</v>
      </c>
      <c r="AE78" s="3">
        <f t="shared" si="19"/>
        <v>1.5158696199972715E-2</v>
      </c>
      <c r="AF78" s="11">
        <f t="shared" si="20"/>
        <v>5.4999999999999973</v>
      </c>
      <c r="AG78" s="1">
        <f t="shared" si="21"/>
        <v>3.9620471149145173E-2</v>
      </c>
    </row>
    <row r="79" spans="2:33" ht="15" x14ac:dyDescent="0.25">
      <c r="B79" s="1">
        <v>68</v>
      </c>
      <c r="C79" s="1">
        <v>1.0000346295923834</v>
      </c>
      <c r="D79" s="1">
        <v>1.0732503917934955</v>
      </c>
      <c r="E79" s="1">
        <v>0.9314254120783747</v>
      </c>
      <c r="G79" s="1">
        <v>1.0001691136664368</v>
      </c>
      <c r="H79" s="1">
        <v>1.8503801516549909</v>
      </c>
      <c r="I79" s="1">
        <v>0.52272214402221095</v>
      </c>
      <c r="K79" s="1">
        <v>1.000016801814968</v>
      </c>
      <c r="L79" s="1">
        <v>1.2039976048825347</v>
      </c>
      <c r="M79" s="1">
        <v>0.82867837753816065</v>
      </c>
      <c r="O79" s="1">
        <v>4.9077037299720882E-4</v>
      </c>
      <c r="P79" s="1">
        <v>0.99722283137383361</v>
      </c>
      <c r="R79" s="1">
        <v>3.6555926512428553E-2</v>
      </c>
      <c r="S79" s="2">
        <f t="shared" si="22"/>
        <v>9.5240198417001015E-2</v>
      </c>
      <c r="T79" s="4">
        <f t="shared" si="12"/>
        <v>9.0706953945097219E-3</v>
      </c>
      <c r="U79" s="1">
        <f t="shared" si="13"/>
        <v>5.1351076207102331E-3</v>
      </c>
      <c r="V79" s="6">
        <f>2*sigma/alpha*corel*(B79/12-1/alpha*(1-EXP(-alpha*Output!B79/12)))</f>
        <v>7.4541042174581684E-2</v>
      </c>
      <c r="W79" s="5">
        <f t="shared" si="14"/>
        <v>-3.9355877737994888E-3</v>
      </c>
      <c r="X79" s="1">
        <f t="shared" si="15"/>
        <v>9.4763023174594507E-2</v>
      </c>
      <c r="Y79" s="3">
        <f t="shared" si="16"/>
        <v>2.058485212612508E-2</v>
      </c>
      <c r="Z79" s="1">
        <f t="shared" si="17"/>
        <v>4.0008885912660754E-2</v>
      </c>
      <c r="AA79" s="8">
        <f t="shared" si="23"/>
        <v>5.5833333333333304</v>
      </c>
      <c r="AB79" s="1">
        <v>5.6669999999999998</v>
      </c>
      <c r="AC79" s="1">
        <v>4.983554773E-4</v>
      </c>
      <c r="AD79" s="8">
        <f t="shared" si="18"/>
        <v>7.5851043027911791E-2</v>
      </c>
      <c r="AE79" s="3">
        <f t="shared" si="19"/>
        <v>1.5220268760535961E-2</v>
      </c>
      <c r="AF79" s="11">
        <f t="shared" si="20"/>
        <v>5.5833333333333304</v>
      </c>
      <c r="AG79" s="1">
        <f t="shared" si="21"/>
        <v>4.0008885912660754E-2</v>
      </c>
    </row>
    <row r="80" spans="2:33" ht="15" x14ac:dyDescent="0.25">
      <c r="B80" s="1">
        <v>69</v>
      </c>
      <c r="C80" s="1">
        <v>1.0000359181175638</v>
      </c>
      <c r="D80" s="1">
        <v>1.0748669607706578</v>
      </c>
      <c r="E80" s="1">
        <v>0.93002091837044842</v>
      </c>
      <c r="G80" s="1">
        <v>1.0001817955098176</v>
      </c>
      <c r="H80" s="1">
        <v>1.8767311360933088</v>
      </c>
      <c r="I80" s="1">
        <v>0.51513115047393343</v>
      </c>
      <c r="K80" s="1">
        <v>1.0000163592781177</v>
      </c>
      <c r="L80" s="1">
        <v>1.1955934235638943</v>
      </c>
      <c r="M80" s="1">
        <v>0.83451012005754754</v>
      </c>
      <c r="O80" s="1">
        <v>4.907660733464343E-4</v>
      </c>
      <c r="P80" s="1">
        <v>0.99718207290938488</v>
      </c>
      <c r="R80" s="1">
        <v>3.7161205949998895E-2</v>
      </c>
      <c r="S80" s="2">
        <f t="shared" si="22"/>
        <v>9.6813938303873137E-2</v>
      </c>
      <c r="T80" s="4">
        <f t="shared" si="12"/>
        <v>9.372938649906154E-3</v>
      </c>
      <c r="U80" s="1">
        <f t="shared" si="13"/>
        <v>5.3521597706329693E-3</v>
      </c>
      <c r="V80" s="6">
        <f>2*sigma/alpha*corel*(B80/12-1/alpha*(1-EXP(-alpha*Output!B80/12)))</f>
        <v>7.6667507822918868E-2</v>
      </c>
      <c r="W80" s="5">
        <f t="shared" si="14"/>
        <v>-4.0207788792731847E-3</v>
      </c>
      <c r="X80" s="1">
        <f t="shared" si="15"/>
        <v>9.8355820979060593E-2</v>
      </c>
      <c r="Y80" s="3">
        <f t="shared" si="16"/>
        <v>2.0604331157480782E-2</v>
      </c>
      <c r="Z80" s="1">
        <f t="shared" si="17"/>
        <v>4.0374203235979789E-2</v>
      </c>
      <c r="AA80" s="8">
        <f t="shared" si="23"/>
        <v>5.6666666666666634</v>
      </c>
      <c r="AB80" s="1">
        <v>5.75</v>
      </c>
      <c r="AC80" s="1">
        <v>4.9836475560000005E-4</v>
      </c>
      <c r="AD80" s="8">
        <f t="shared" si="18"/>
        <v>7.5986822535657528E-2</v>
      </c>
      <c r="AE80" s="3">
        <f t="shared" si="19"/>
        <v>1.5247230403396832E-2</v>
      </c>
      <c r="AF80" s="11">
        <f t="shared" si="20"/>
        <v>5.6666666666666634</v>
      </c>
      <c r="AG80" s="1">
        <f t="shared" si="21"/>
        <v>4.0374203235979789E-2</v>
      </c>
    </row>
    <row r="81" spans="2:33" ht="15" x14ac:dyDescent="0.25">
      <c r="B81" s="1">
        <v>70</v>
      </c>
      <c r="C81" s="1">
        <v>1.0000354003542713</v>
      </c>
      <c r="D81" s="1">
        <v>1.0731587740856738</v>
      </c>
      <c r="E81" s="1">
        <v>0.93149763000784291</v>
      </c>
      <c r="G81" s="1">
        <v>1.0000499773207896</v>
      </c>
      <c r="H81" s="1">
        <v>1.8561073277146656</v>
      </c>
      <c r="I81" s="1">
        <v>0.52060078410948551</v>
      </c>
      <c r="K81" s="1">
        <v>1.0000163168492391</v>
      </c>
      <c r="L81" s="1">
        <v>1.1990041810017185</v>
      </c>
      <c r="M81" s="1">
        <v>0.83208642861502313</v>
      </c>
      <c r="O81" s="1">
        <v>4.9089614347207189E-4</v>
      </c>
      <c r="P81" s="1">
        <v>0.99714053524268909</v>
      </c>
      <c r="R81" s="1">
        <v>3.7735843645832344E-2</v>
      </c>
      <c r="S81" s="2">
        <f t="shared" si="22"/>
        <v>9.8311754651175115E-2</v>
      </c>
      <c r="T81" s="4">
        <f t="shared" si="12"/>
        <v>9.6652011025928526E-3</v>
      </c>
      <c r="U81" s="1">
        <f t="shared" si="13"/>
        <v>5.57488026620101E-3</v>
      </c>
      <c r="V81" s="6">
        <f>2*sigma/alpha*corel*(B81/12-1/alpha*(1-EXP(-alpha*Output!B81/12)))</f>
        <v>7.8821561469109236E-2</v>
      </c>
      <c r="W81" s="5">
        <f t="shared" si="14"/>
        <v>-4.0903208363918427E-3</v>
      </c>
      <c r="X81" s="1">
        <f t="shared" si="15"/>
        <v>0.10165365806823823</v>
      </c>
      <c r="Y81" s="3">
        <f t="shared" si="16"/>
        <v>2.0572298279727466E-2</v>
      </c>
      <c r="Z81" s="1">
        <f t="shared" si="17"/>
        <v>4.0704933577974868E-2</v>
      </c>
      <c r="AA81" s="8">
        <f t="shared" si="23"/>
        <v>5.7499999999999964</v>
      </c>
      <c r="AB81" s="1">
        <v>5.8330000000000002</v>
      </c>
      <c r="AC81" s="1">
        <v>4.9851441390000003E-4</v>
      </c>
      <c r="AD81" s="8">
        <f t="shared" si="18"/>
        <v>7.6182704279281324E-2</v>
      </c>
      <c r="AE81" s="3">
        <f t="shared" si="19"/>
        <v>1.5281946149417311E-2</v>
      </c>
      <c r="AF81" s="11">
        <f t="shared" si="20"/>
        <v>5.7499999999999964</v>
      </c>
      <c r="AG81" s="1">
        <f t="shared" si="21"/>
        <v>4.0704933577974868E-2</v>
      </c>
    </row>
    <row r="82" spans="2:33" ht="15" x14ac:dyDescent="0.25">
      <c r="B82" s="1">
        <v>71</v>
      </c>
      <c r="C82" s="1">
        <v>1.0000361117058789</v>
      </c>
      <c r="D82" s="1">
        <v>1.0722110018118842</v>
      </c>
      <c r="E82" s="1">
        <v>0.93231740483341807</v>
      </c>
      <c r="G82" s="1">
        <v>1.0000151922823775</v>
      </c>
      <c r="H82" s="1">
        <v>1.8415268341257405</v>
      </c>
      <c r="I82" s="1">
        <v>0.52446667885894893</v>
      </c>
      <c r="K82" s="1">
        <v>1.0000182923268661</v>
      </c>
      <c r="L82" s="1">
        <v>1.2026904273198942</v>
      </c>
      <c r="M82" s="1">
        <v>0.82949915254834772</v>
      </c>
      <c r="O82" s="1">
        <v>4.9131406107583923E-4</v>
      </c>
      <c r="P82" s="1">
        <v>0.99709727953537286</v>
      </c>
      <c r="R82" s="1">
        <v>3.8319864158426177E-2</v>
      </c>
      <c r="S82" s="2">
        <f t="shared" si="22"/>
        <v>9.9835477205367618E-2</v>
      </c>
      <c r="T82" s="4">
        <f t="shared" si="12"/>
        <v>9.9671225088234765E-3</v>
      </c>
      <c r="U82" s="1">
        <f t="shared" si="13"/>
        <v>5.8033229455101143E-3</v>
      </c>
      <c r="V82" s="6">
        <f>2*sigma/alpha*corel*(B82/12-1/alpha*(1-EXP(-alpha*Output!B82/12)))</f>
        <v>8.1003111306257147E-2</v>
      </c>
      <c r="W82" s="5">
        <f t="shared" si="14"/>
        <v>-4.1637995633133622E-3</v>
      </c>
      <c r="X82" s="1">
        <f t="shared" si="15"/>
        <v>0.10510476037304346</v>
      </c>
      <c r="Y82" s="3">
        <f t="shared" si="16"/>
        <v>2.0551735105293976E-2</v>
      </c>
      <c r="Z82" s="1">
        <f t="shared" si="17"/>
        <v>4.104368509281707E-2</v>
      </c>
      <c r="AA82" s="8">
        <f t="shared" si="23"/>
        <v>5.8333333333333295</v>
      </c>
      <c r="AB82" s="1">
        <v>5.9169999999999998</v>
      </c>
      <c r="AC82" s="1">
        <v>4.9883016540000003E-4</v>
      </c>
      <c r="AD82" s="8">
        <f t="shared" si="18"/>
        <v>7.5161043241608022E-2</v>
      </c>
      <c r="AE82" s="3">
        <f t="shared" si="19"/>
        <v>1.5067461523971426E-2</v>
      </c>
      <c r="AF82" s="11">
        <f t="shared" si="20"/>
        <v>5.8333333333333295</v>
      </c>
      <c r="AG82" s="1">
        <f t="shared" si="21"/>
        <v>4.104368509281707E-2</v>
      </c>
    </row>
    <row r="83" spans="2:33" ht="15" x14ac:dyDescent="0.25">
      <c r="B83" s="1">
        <v>72</v>
      </c>
      <c r="C83" s="1">
        <v>1.0000367708425859</v>
      </c>
      <c r="D83" s="1">
        <v>1.0789285981547918</v>
      </c>
      <c r="E83" s="1">
        <v>0.92650906743404915</v>
      </c>
      <c r="G83" s="1">
        <v>0.99997439401145183</v>
      </c>
      <c r="H83" s="1">
        <v>1.9467604721321823</v>
      </c>
      <c r="I83" s="1">
        <v>0.49587418683237572</v>
      </c>
      <c r="K83" s="1">
        <v>1.0000248501551467</v>
      </c>
      <c r="L83" s="1">
        <v>1.203522305341751</v>
      </c>
      <c r="M83" s="1">
        <v>0.82889799182161128</v>
      </c>
      <c r="O83" s="1">
        <v>4.9197575624927833E-4</v>
      </c>
      <c r="P83" s="1">
        <v>0.99705249790146744</v>
      </c>
      <c r="R83" s="1">
        <v>3.8971588182380959E-2</v>
      </c>
      <c r="S83" s="2">
        <f t="shared" si="22"/>
        <v>0.10153152411355068</v>
      </c>
      <c r="T83" s="4">
        <f t="shared" si="12"/>
        <v>1.0308650388820523E-2</v>
      </c>
      <c r="U83" s="1">
        <f t="shared" si="13"/>
        <v>6.0375409844319883E-3</v>
      </c>
      <c r="V83" s="6">
        <f>2*sigma/alpha*corel*(B83/12-1/alpha*(1-EXP(-alpha*Output!B83/12)))</f>
        <v>8.3212065832979576E-2</v>
      </c>
      <c r="W83" s="5">
        <f t="shared" si="14"/>
        <v>-4.2711094043885352E-3</v>
      </c>
      <c r="X83" s="1">
        <f t="shared" si="15"/>
        <v>0.10943087360551695</v>
      </c>
      <c r="Y83" s="3">
        <f t="shared" si="16"/>
        <v>2.0632609184681072E-2</v>
      </c>
      <c r="Z83" s="1">
        <f t="shared" si="17"/>
        <v>4.1450071147547556E-2</v>
      </c>
      <c r="AA83" s="8">
        <f t="shared" si="23"/>
        <v>5.9166666666666625</v>
      </c>
      <c r="AB83" s="1">
        <v>6</v>
      </c>
      <c r="AC83" s="1">
        <v>4.9933772319999997E-4</v>
      </c>
      <c r="AD83" s="8">
        <f t="shared" si="18"/>
        <v>7.3619669507216406E-2</v>
      </c>
      <c r="AE83" s="3">
        <f t="shared" si="19"/>
        <v>1.4743462407651802E-2</v>
      </c>
      <c r="AF83" s="11">
        <f t="shared" si="20"/>
        <v>5.9166666666666625</v>
      </c>
      <c r="AG83" s="1">
        <f t="shared" si="21"/>
        <v>4.1450071147547556E-2</v>
      </c>
    </row>
    <row r="84" spans="2:33" ht="15" x14ac:dyDescent="0.25">
      <c r="B84" s="1">
        <v>73</v>
      </c>
      <c r="C84" s="1">
        <v>1.0000371168394968</v>
      </c>
      <c r="D84" s="1">
        <v>1.0801242311059165</v>
      </c>
      <c r="E84" s="1">
        <v>0.92547993879481827</v>
      </c>
      <c r="G84" s="1">
        <v>0.99990940291093267</v>
      </c>
      <c r="H84" s="1">
        <v>1.9641889186927113</v>
      </c>
      <c r="I84" s="1">
        <v>0.49123448942119552</v>
      </c>
      <c r="K84" s="1">
        <v>1.0000225065817838</v>
      </c>
      <c r="L84" s="1">
        <v>1.1944516164880929</v>
      </c>
      <c r="M84" s="1">
        <v>0.83516142659695847</v>
      </c>
      <c r="O84" s="1">
        <v>4.9292197365866466E-4</v>
      </c>
      <c r="P84" s="1">
        <v>0.99700588266352175</v>
      </c>
      <c r="R84" s="1">
        <v>3.9562913377166567E-2</v>
      </c>
      <c r="S84" s="2">
        <f t="shared" si="22"/>
        <v>0.10307817716778109</v>
      </c>
      <c r="T84" s="4">
        <f t="shared" si="12"/>
        <v>1.0625110608232466E-2</v>
      </c>
      <c r="U84" s="1">
        <f t="shared" si="13"/>
        <v>6.2775869020286201E-3</v>
      </c>
      <c r="V84" s="6">
        <f>2*sigma/alpha*corel*(B84/12-1/alpha*(1-EXP(-alpha*Output!B84/12)))</f>
        <v>8.5448333852390035E-2</v>
      </c>
      <c r="W84" s="5">
        <f t="shared" si="14"/>
        <v>-4.3475237062038461E-3</v>
      </c>
      <c r="X84" s="1">
        <f t="shared" si="15"/>
        <v>0.11309116127577643</v>
      </c>
      <c r="Y84" s="3">
        <f t="shared" si="16"/>
        <v>2.0617147340612735E-2</v>
      </c>
      <c r="Z84" s="1">
        <f t="shared" si="17"/>
        <v>4.1792266325732484E-2</v>
      </c>
      <c r="AA84" s="8">
        <f t="shared" si="23"/>
        <v>5.9999999999999956</v>
      </c>
      <c r="AB84" s="1">
        <v>6.0830000000000002</v>
      </c>
      <c r="AC84" s="1">
        <v>5.0006280060000004E-4</v>
      </c>
      <c r="AD84" s="8">
        <f t="shared" si="18"/>
        <v>7.1408269413353848E-2</v>
      </c>
      <c r="AE84" s="3">
        <f t="shared" si="19"/>
        <v>1.427986031507936E-2</v>
      </c>
      <c r="AF84" s="11">
        <f t="shared" si="20"/>
        <v>5.9999999999999956</v>
      </c>
      <c r="AG84" s="1">
        <f t="shared" si="21"/>
        <v>4.1792266325732484E-2</v>
      </c>
    </row>
    <row r="85" spans="2:33" ht="15" x14ac:dyDescent="0.25">
      <c r="B85" s="1">
        <v>74</v>
      </c>
      <c r="C85" s="1">
        <v>1.0000378298134014</v>
      </c>
      <c r="D85" s="1">
        <v>1.076862539341735</v>
      </c>
      <c r="E85" s="1">
        <v>0.92827958522706178</v>
      </c>
      <c r="G85" s="1">
        <v>0.99987041314856984</v>
      </c>
      <c r="H85" s="1">
        <v>1.9112466603745761</v>
      </c>
      <c r="I85" s="1">
        <v>0.50459561543985698</v>
      </c>
      <c r="K85" s="1">
        <v>1.0000251286272828</v>
      </c>
      <c r="L85" s="1">
        <v>1.1904998564037077</v>
      </c>
      <c r="M85" s="1">
        <v>0.83789208747490895</v>
      </c>
      <c r="O85" s="1">
        <v>4.939471333451767E-4</v>
      </c>
      <c r="P85" s="1">
        <v>0.99695862705136895</v>
      </c>
      <c r="R85" s="1">
        <v>4.0176639009566549E-2</v>
      </c>
      <c r="S85" s="2">
        <f t="shared" si="22"/>
        <v>0.10468212034363608</v>
      </c>
      <c r="T85" s="4">
        <f t="shared" si="12"/>
        <v>1.0958346319639507E-2</v>
      </c>
      <c r="U85" s="1">
        <f t="shared" si="13"/>
        <v>6.5235125659244275E-3</v>
      </c>
      <c r="V85" s="6">
        <f>2*sigma/alpha*corel*(B85/12-1/alpha*(1-EXP(-alpha*Output!B85/12)))</f>
        <v>8.7711824471086497E-2</v>
      </c>
      <c r="W85" s="5">
        <f t="shared" si="14"/>
        <v>-4.4348337537150791E-3</v>
      </c>
      <c r="X85" s="1">
        <f t="shared" si="15"/>
        <v>0.11708593007701863</v>
      </c>
      <c r="Y85" s="3">
        <f t="shared" si="16"/>
        <v>2.0632409954788586E-2</v>
      </c>
      <c r="Z85" s="1">
        <f t="shared" si="17"/>
        <v>4.2154823364764733E-2</v>
      </c>
      <c r="AA85" s="8">
        <f t="shared" si="23"/>
        <v>6.0833333333333286</v>
      </c>
      <c r="AB85" s="1">
        <v>6.1669999999999998</v>
      </c>
      <c r="AC85" s="1">
        <v>5.0101083490000002E-4</v>
      </c>
      <c r="AD85" s="8">
        <f t="shared" si="18"/>
        <v>7.0637015548233192E-2</v>
      </c>
      <c r="AE85" s="3">
        <f t="shared" si="19"/>
        <v>1.4098899789728517E-2</v>
      </c>
      <c r="AF85" s="11">
        <f t="shared" si="20"/>
        <v>6.0833333333333286</v>
      </c>
      <c r="AG85" s="1">
        <f t="shared" si="21"/>
        <v>4.2154823364764733E-2</v>
      </c>
    </row>
    <row r="86" spans="2:33" ht="15" x14ac:dyDescent="0.25">
      <c r="B86" s="1">
        <v>75</v>
      </c>
      <c r="C86" s="1">
        <v>1.0000379764287319</v>
      </c>
      <c r="D86" s="1">
        <v>1.0759135573056853</v>
      </c>
      <c r="E86" s="1">
        <v>0.92909484715651269</v>
      </c>
      <c r="G86" s="1">
        <v>0.99979117289945929</v>
      </c>
      <c r="H86" s="1">
        <v>1.8956398582019027</v>
      </c>
      <c r="I86" s="1">
        <v>0.5085018102007981</v>
      </c>
      <c r="K86" s="1">
        <v>1.0000271832029526</v>
      </c>
      <c r="L86" s="1">
        <v>1.2002090350170604</v>
      </c>
      <c r="M86" s="1">
        <v>0.83111878573024189</v>
      </c>
      <c r="O86" s="1">
        <v>4.9508945675205706E-4</v>
      </c>
      <c r="P86" s="1">
        <v>0.99691047333566274</v>
      </c>
      <c r="R86" s="1">
        <v>4.07353589914052E-2</v>
      </c>
      <c r="S86" s="2">
        <f>optim_vol_implied(P86,R86)</f>
        <v>0.10614901263366436</v>
      </c>
      <c r="T86" s="4">
        <f t="shared" si="12"/>
        <v>1.1267612883101836E-2</v>
      </c>
      <c r="U86" s="1">
        <f t="shared" si="13"/>
        <v>6.7753691976455421E-3</v>
      </c>
      <c r="V86" s="6">
        <f>2*sigma/alpha*corel*(B86/12-1/alpha*(1-EXP(-alpha*Output!B86/12)))</f>
        <v>9.0002447098140204E-2</v>
      </c>
      <c r="W86" s="5">
        <f t="shared" si="14"/>
        <v>-4.4922436854562941E-3</v>
      </c>
      <c r="X86" s="1">
        <f t="shared" si="15"/>
        <v>0.12040653262006087</v>
      </c>
      <c r="Y86" s="3">
        <f t="shared" si="16"/>
        <v>2.0559519806491212E-2</v>
      </c>
      <c r="Z86" s="1">
        <f t="shared" si="17"/>
        <v>4.2459605053465743E-2</v>
      </c>
      <c r="AA86" s="8">
        <f t="shared" si="23"/>
        <v>6.1666666666666616</v>
      </c>
      <c r="AB86" s="1">
        <v>6.25</v>
      </c>
      <c r="AC86" s="1">
        <v>5.0210616069999996E-4</v>
      </c>
      <c r="AD86" s="8">
        <f t="shared" si="18"/>
        <v>7.0167039479428941E-2</v>
      </c>
      <c r="AE86" s="3">
        <f t="shared" si="19"/>
        <v>1.397454263090641E-2</v>
      </c>
      <c r="AF86" s="11">
        <f t="shared" si="20"/>
        <v>6.1666666666666616</v>
      </c>
      <c r="AG86" s="1">
        <f t="shared" si="21"/>
        <v>4.2459605053465743E-2</v>
      </c>
    </row>
    <row r="87" spans="2:33" ht="15" x14ac:dyDescent="0.25">
      <c r="B87" s="1">
        <v>76</v>
      </c>
      <c r="C87" s="1">
        <v>1.000038027695304</v>
      </c>
      <c r="D87" s="1">
        <v>1.0781119579689653</v>
      </c>
      <c r="E87" s="1">
        <v>0.92719683785311524</v>
      </c>
      <c r="G87" s="1">
        <v>0.99970188157133544</v>
      </c>
      <c r="H87" s="1">
        <v>1.9315465029406995</v>
      </c>
      <c r="I87" s="1">
        <v>0.49880558431145916</v>
      </c>
      <c r="K87" s="1">
        <v>1.0000263907235667</v>
      </c>
      <c r="L87" s="1">
        <v>1.1968163059388162</v>
      </c>
      <c r="M87" s="1">
        <v>0.83341803692416239</v>
      </c>
      <c r="O87" s="1">
        <v>4.9610134951225148E-4</v>
      </c>
      <c r="P87" s="1">
        <v>0.99686295562500105</v>
      </c>
      <c r="R87" s="1">
        <v>4.131599096639503E-2</v>
      </c>
      <c r="S87" s="2">
        <f t="shared" ref="S87:S150" si="24">optim_vol_implied(P87,R87)</f>
        <v>0.10767033173610152</v>
      </c>
      <c r="T87" s="4">
        <f t="shared" ref="T87:T150" si="25">S87*S87</f>
        <v>1.159290033616215E-2</v>
      </c>
      <c r="U87" s="1">
        <f t="shared" si="13"/>
        <v>7.0332073779098003E-3</v>
      </c>
      <c r="V87" s="6">
        <f>2*sigma/alpha*corel*(B87/12-1/alpha*(1-EXP(-alpha*Output!B87/12)))</f>
        <v>9.2320111444089026E-2</v>
      </c>
      <c r="W87" s="5">
        <f t="shared" ref="W87:W150" si="26">U87-T87</f>
        <v>-4.5596929582523496E-3</v>
      </c>
      <c r="X87" s="1">
        <f t="shared" ref="X87:X150" si="27">V87*V87-4*W87*B87/12</f>
        <v>0.12403522458610855</v>
      </c>
      <c r="Y87" s="3">
        <f t="shared" si="16"/>
        <v>2.0515755614918495E-2</v>
      </c>
      <c r="Z87" s="1">
        <f t="shared" si="17"/>
        <v>4.2783851484118125E-2</v>
      </c>
      <c r="AA87" s="8">
        <f t="shared" si="23"/>
        <v>6.2499999999999947</v>
      </c>
      <c r="AB87" s="1">
        <v>6.3330000000000002</v>
      </c>
      <c r="AC87" s="1">
        <v>5.0325283660000004E-4</v>
      </c>
      <c r="AD87" s="8">
        <f t="shared" si="18"/>
        <v>7.1514870877485537E-2</v>
      </c>
      <c r="AE87" s="3">
        <f t="shared" si="19"/>
        <v>1.4210525142916904E-2</v>
      </c>
      <c r="AF87" s="11">
        <f t="shared" si="20"/>
        <v>6.2499999999999947</v>
      </c>
      <c r="AG87" s="1">
        <f t="shared" si="21"/>
        <v>4.2783851484118125E-2</v>
      </c>
    </row>
    <row r="88" spans="2:33" ht="15" x14ac:dyDescent="0.25">
      <c r="B88" s="1">
        <v>77</v>
      </c>
      <c r="C88" s="1">
        <v>1.0000406157574568</v>
      </c>
      <c r="D88" s="1">
        <v>1.0788602392883215</v>
      </c>
      <c r="E88" s="1">
        <v>0.92655030208620071</v>
      </c>
      <c r="G88" s="1">
        <v>0.99981351350089354</v>
      </c>
      <c r="H88" s="1">
        <v>1.9414531907461492</v>
      </c>
      <c r="I88" s="1">
        <v>0.49601831172199823</v>
      </c>
      <c r="K88" s="1">
        <v>1.0000318661888854</v>
      </c>
      <c r="L88" s="1">
        <v>1.1958591744188016</v>
      </c>
      <c r="M88" s="1">
        <v>0.8341050367187588</v>
      </c>
      <c r="O88" s="1">
        <v>4.9698479513198327E-4</v>
      </c>
      <c r="P88" s="1">
        <v>0.99681609364552526</v>
      </c>
      <c r="R88" s="1">
        <v>4.1891768117876066E-2</v>
      </c>
      <c r="S88" s="2">
        <f t="shared" si="24"/>
        <v>0.10917873217408056</v>
      </c>
      <c r="T88" s="4">
        <f t="shared" si="25"/>
        <v>1.1919995559139612E-2</v>
      </c>
      <c r="U88" s="1">
        <f t="shared" si="13"/>
        <v>7.2970770518896444E-3</v>
      </c>
      <c r="V88" s="6">
        <f>2*sigma/alpha*corel*(B88/12-1/alpha*(1-EXP(-alpha*Output!B88/12)))</f>
        <v>9.4664727519935377E-2</v>
      </c>
      <c r="W88" s="5">
        <f t="shared" si="26"/>
        <v>-4.6229185072499679E-3</v>
      </c>
      <c r="X88" s="1">
        <f t="shared" si="27"/>
        <v>0.12761631898917278</v>
      </c>
      <c r="Y88" s="3">
        <f t="shared" si="16"/>
        <v>2.0459963839416201E-2</v>
      </c>
      <c r="Z88" s="1">
        <f t="shared" si="17"/>
        <v>4.3100599132496975E-2</v>
      </c>
      <c r="AA88" s="8">
        <f t="shared" si="23"/>
        <v>6.3333333333333277</v>
      </c>
      <c r="AB88" s="1">
        <v>6.4169999999999998</v>
      </c>
      <c r="AC88" s="1">
        <v>5.0435492129999998E-4</v>
      </c>
      <c r="AD88" s="8">
        <f t="shared" si="18"/>
        <v>7.3701261680167135E-2</v>
      </c>
      <c r="AE88" s="3">
        <f t="shared" si="19"/>
        <v>1.461297561847884E-2</v>
      </c>
      <c r="AF88" s="11">
        <f t="shared" si="20"/>
        <v>6.3333333333333277</v>
      </c>
      <c r="AG88" s="1">
        <f t="shared" si="21"/>
        <v>4.3100599132496975E-2</v>
      </c>
    </row>
    <row r="89" spans="2:33" ht="15" x14ac:dyDescent="0.25">
      <c r="B89" s="1">
        <v>78</v>
      </c>
      <c r="C89" s="1">
        <v>1.0000401074240468</v>
      </c>
      <c r="D89" s="1">
        <v>1.0776597040997358</v>
      </c>
      <c r="E89" s="1">
        <v>0.92757907250891558</v>
      </c>
      <c r="G89" s="1">
        <v>0.99967534776027911</v>
      </c>
      <c r="H89" s="1">
        <v>1.9233491111681271</v>
      </c>
      <c r="I89" s="1">
        <v>0.50044308067453813</v>
      </c>
      <c r="K89" s="1">
        <v>1.0000278645260312</v>
      </c>
      <c r="L89" s="1">
        <v>1.2025721959271818</v>
      </c>
      <c r="M89" s="1">
        <v>0.82940012686502018</v>
      </c>
      <c r="O89" s="1">
        <v>4.9763895847381649E-4</v>
      </c>
      <c r="P89" s="1">
        <v>0.99677057262455193</v>
      </c>
      <c r="R89" s="1">
        <v>4.2465056769943693E-2</v>
      </c>
      <c r="S89" s="2">
        <f t="shared" si="24"/>
        <v>0.1106792837126</v>
      </c>
      <c r="T89" s="4">
        <f t="shared" si="25"/>
        <v>1.2249903843134203E-2</v>
      </c>
      <c r="U89" s="1">
        <f t="shared" si="13"/>
        <v>7.5670275344301707E-3</v>
      </c>
      <c r="V89" s="6">
        <f>2*sigma/alpha*corel*(B89/12-1/alpha*(1-EXP(-alpha*Output!B89/12)))</f>
        <v>9.7036205636144568E-2</v>
      </c>
      <c r="W89" s="5">
        <f t="shared" si="26"/>
        <v>-4.6828763087040318E-3</v>
      </c>
      <c r="X89" s="1">
        <f t="shared" si="27"/>
        <v>0.13117080923056498</v>
      </c>
      <c r="Y89" s="3">
        <f t="shared" si="16"/>
        <v>2.0395300221738522E-2</v>
      </c>
      <c r="Z89" s="1">
        <f t="shared" si="17"/>
        <v>4.3411986723155348E-2</v>
      </c>
      <c r="AA89" s="8">
        <f t="shared" si="23"/>
        <v>6.4166666666666607</v>
      </c>
      <c r="AB89" s="1">
        <v>6.5</v>
      </c>
      <c r="AC89" s="1">
        <v>5.0531647370000003E-4</v>
      </c>
      <c r="AD89" s="8">
        <f t="shared" si="18"/>
        <v>7.6775152261835372E-2</v>
      </c>
      <c r="AE89" s="3">
        <f t="shared" si="19"/>
        <v>1.5193478989449255E-2</v>
      </c>
      <c r="AF89" s="11">
        <f t="shared" si="20"/>
        <v>6.4166666666666607</v>
      </c>
      <c r="AG89" s="1">
        <f t="shared" si="21"/>
        <v>4.3411986723155348E-2</v>
      </c>
    </row>
    <row r="90" spans="2:33" ht="15" x14ac:dyDescent="0.25">
      <c r="B90" s="1">
        <v>79</v>
      </c>
      <c r="C90" s="1">
        <v>1.0000408661544804</v>
      </c>
      <c r="D90" s="1">
        <v>1.0785416698663868</v>
      </c>
      <c r="E90" s="1">
        <v>0.92681715467290393</v>
      </c>
      <c r="G90" s="1">
        <v>0.99963960333658164</v>
      </c>
      <c r="H90" s="1">
        <v>1.9472330940340674</v>
      </c>
      <c r="I90" s="1">
        <v>0.49406383083405392</v>
      </c>
      <c r="K90" s="1">
        <v>1.0000278343778246</v>
      </c>
      <c r="L90" s="1">
        <v>1.2097372013270169</v>
      </c>
      <c r="M90" s="1">
        <v>0.8244841135266836</v>
      </c>
      <c r="O90" s="1">
        <v>4.9804905757239236E-4</v>
      </c>
      <c r="P90" s="1">
        <v>0.99672654650754078</v>
      </c>
      <c r="R90" s="1">
        <v>4.3100535847304618E-2</v>
      </c>
      <c r="S90" s="2">
        <f t="shared" si="24"/>
        <v>0.11233450199066319</v>
      </c>
      <c r="T90" s="4">
        <f t="shared" si="25"/>
        <v>1.2619040337490313E-2</v>
      </c>
      <c r="U90" s="1">
        <f t="shared" si="13"/>
        <v>7.8431075152289864E-3</v>
      </c>
      <c r="V90" s="6">
        <f>2*sigma/alpha*corel*(B90/12-1/alpha*(1-EXP(-alpha*Output!B90/12)))</f>
        <v>9.9434456401650495E-2</v>
      </c>
      <c r="W90" s="5">
        <f t="shared" si="26"/>
        <v>-4.7759328222613268E-3</v>
      </c>
      <c r="X90" s="1">
        <f t="shared" si="27"/>
        <v>0.13565344210610669</v>
      </c>
      <c r="Y90" s="3">
        <f t="shared" si="16"/>
        <v>2.0421049645053126E-2</v>
      </c>
      <c r="Z90" s="1">
        <f t="shared" si="17"/>
        <v>4.3781460160620463E-2</v>
      </c>
      <c r="AA90" s="8">
        <f t="shared" si="23"/>
        <v>6.4999999999999938</v>
      </c>
      <c r="AB90" s="1">
        <v>6.5830000000000002</v>
      </c>
      <c r="AC90" s="1">
        <v>5.0604155240000003E-4</v>
      </c>
      <c r="AD90" s="8">
        <f t="shared" si="18"/>
        <v>7.9924948276076685E-2</v>
      </c>
      <c r="AE90" s="3">
        <f t="shared" si="19"/>
        <v>1.5794147317945956E-2</v>
      </c>
      <c r="AF90" s="11">
        <f t="shared" si="20"/>
        <v>6.4999999999999938</v>
      </c>
      <c r="AG90" s="1">
        <f t="shared" si="21"/>
        <v>4.3781460160620463E-2</v>
      </c>
    </row>
    <row r="91" spans="2:33" ht="15" x14ac:dyDescent="0.25">
      <c r="B91" s="1">
        <v>80</v>
      </c>
      <c r="C91" s="1">
        <v>1.0000438315815583</v>
      </c>
      <c r="D91" s="1">
        <v>1.0783718847622819</v>
      </c>
      <c r="E91" s="1">
        <v>0.92695970109401882</v>
      </c>
      <c r="G91" s="1">
        <v>0.99978160902090618</v>
      </c>
      <c r="H91" s="1">
        <v>1.9228599939826916</v>
      </c>
      <c r="I91" s="1">
        <v>0.50008237733578476</v>
      </c>
      <c r="K91" s="1">
        <v>1.0000315753370803</v>
      </c>
      <c r="L91" s="1">
        <v>1.2042795925433096</v>
      </c>
      <c r="M91" s="1">
        <v>0.82815389492839919</v>
      </c>
      <c r="O91" s="1">
        <v>4.9797577374964953E-4</v>
      </c>
      <c r="P91" s="1">
        <v>0.99668566607902764</v>
      </c>
      <c r="R91" s="1">
        <v>4.3688975769783658E-2</v>
      </c>
      <c r="S91" s="2">
        <f t="shared" si="24"/>
        <v>0.11386747772468078</v>
      </c>
      <c r="T91" s="4">
        <f t="shared" si="25"/>
        <v>1.2965802483380674E-2</v>
      </c>
      <c r="U91" s="1">
        <f t="shared" si="13"/>
        <v>8.1253650639809827E-3</v>
      </c>
      <c r="V91" s="6">
        <f>2*sigma/alpha*corel*(B91/12-1/alpha*(1-EXP(-alpha*Output!B91/12)))</f>
        <v>0.10185939072286054</v>
      </c>
      <c r="W91" s="5">
        <f t="shared" si="26"/>
        <v>-4.8404374193996916E-3</v>
      </c>
      <c r="X91" s="1">
        <f t="shared" si="27"/>
        <v>0.13945366666242415</v>
      </c>
      <c r="Y91" s="3">
        <f t="shared" si="16"/>
        <v>2.0368167425881281E-2</v>
      </c>
      <c r="Z91" s="1">
        <f t="shared" si="17"/>
        <v>4.4100684490233272E-2</v>
      </c>
      <c r="AA91" s="8">
        <f t="shared" si="23"/>
        <v>6.5833333333333268</v>
      </c>
      <c r="AB91" s="1">
        <v>6.6669999999999998</v>
      </c>
      <c r="AC91" s="1">
        <v>5.0643425329999995E-4</v>
      </c>
      <c r="AD91" s="8">
        <f t="shared" si="18"/>
        <v>8.4584795503504173E-2</v>
      </c>
      <c r="AE91" s="3">
        <f t="shared" si="19"/>
        <v>1.6702028931166724E-2</v>
      </c>
      <c r="AF91" s="11">
        <f t="shared" si="20"/>
        <v>6.5833333333333268</v>
      </c>
      <c r="AG91" s="1">
        <f t="shared" si="21"/>
        <v>4.4100684490233272E-2</v>
      </c>
    </row>
    <row r="92" spans="2:33" ht="15" x14ac:dyDescent="0.25">
      <c r="B92" s="1">
        <v>81</v>
      </c>
      <c r="C92" s="1">
        <v>1.0000438687013766</v>
      </c>
      <c r="D92" s="1">
        <v>1.0789997991096025</v>
      </c>
      <c r="E92" s="1">
        <v>0.9264169123763667</v>
      </c>
      <c r="G92" s="1">
        <v>0.99968269572305868</v>
      </c>
      <c r="H92" s="1">
        <v>1.9429220813865788</v>
      </c>
      <c r="I92" s="1">
        <v>0.49467738700665032</v>
      </c>
      <c r="K92" s="1">
        <v>1.0000280664450627</v>
      </c>
      <c r="L92" s="1">
        <v>1.2008384003672621</v>
      </c>
      <c r="M92" s="1">
        <v>0.83048350340880139</v>
      </c>
      <c r="O92" s="1">
        <v>4.9747414527387401E-4</v>
      </c>
      <c r="P92" s="1">
        <v>0.99664768112979663</v>
      </c>
      <c r="R92" s="1">
        <v>4.4293291670982844E-2</v>
      </c>
      <c r="S92" s="2">
        <f t="shared" si="24"/>
        <v>0.11543680270519194</v>
      </c>
      <c r="T92" s="4">
        <f t="shared" si="25"/>
        <v>1.3325655418797409E-2</v>
      </c>
      <c r="U92" s="1">
        <f t="shared" si="13"/>
        <v>8.4138476354866931E-3</v>
      </c>
      <c r="V92" s="6">
        <f>2*sigma/alpha*corel*(B92/12-1/alpha*(1-EXP(-alpha*Output!B92/12)))</f>
        <v>0.10431091980266605</v>
      </c>
      <c r="W92" s="5">
        <f t="shared" si="26"/>
        <v>-4.9118077833107156E-3</v>
      </c>
      <c r="X92" s="1">
        <f t="shared" si="27"/>
        <v>0.14349957813946757</v>
      </c>
      <c r="Y92" s="3">
        <f t="shared" si="16"/>
        <v>2.0333515694581174E-2</v>
      </c>
      <c r="Z92" s="1">
        <f t="shared" si="17"/>
        <v>4.4431646077488188E-2</v>
      </c>
      <c r="AA92" s="8">
        <f t="shared" si="23"/>
        <v>6.6666666666666599</v>
      </c>
      <c r="AB92" s="1">
        <v>6.75</v>
      </c>
      <c r="AC92" s="1">
        <v>5.0639882019999996E-4</v>
      </c>
      <c r="AD92" s="8">
        <f t="shared" si="18"/>
        <v>8.9246749261259445E-2</v>
      </c>
      <c r="AE92" s="3">
        <f t="shared" si="19"/>
        <v>1.7623806711479274E-2</v>
      </c>
      <c r="AF92" s="11">
        <f t="shared" si="20"/>
        <v>6.6666666666666599</v>
      </c>
      <c r="AG92" s="1">
        <f t="shared" si="21"/>
        <v>4.4431646077488188E-2</v>
      </c>
    </row>
    <row r="93" spans="2:33" ht="15" x14ac:dyDescent="0.25">
      <c r="B93" s="1">
        <v>82</v>
      </c>
      <c r="C93" s="1">
        <v>1.0000442395927267</v>
      </c>
      <c r="D93" s="1">
        <v>1.0766532191475917</v>
      </c>
      <c r="E93" s="1">
        <v>0.92843271383555426</v>
      </c>
      <c r="G93" s="1">
        <v>0.99961433439812442</v>
      </c>
      <c r="H93" s="1">
        <v>1.903293897829387</v>
      </c>
      <c r="I93" s="1">
        <v>0.50473082885659604</v>
      </c>
      <c r="K93" s="1">
        <v>1.0000304121341617</v>
      </c>
      <c r="L93" s="1">
        <v>1.19904583794077</v>
      </c>
      <c r="M93" s="1">
        <v>0.8317531875553047</v>
      </c>
      <c r="O93" s="1">
        <v>4.9634283225298483E-4</v>
      </c>
      <c r="P93" s="1">
        <v>0.99661406921555651</v>
      </c>
      <c r="R93" s="1">
        <v>4.4956523582333596E-2</v>
      </c>
      <c r="S93" s="2">
        <f t="shared" si="24"/>
        <v>0.1171488735736505</v>
      </c>
      <c r="T93" s="4">
        <f t="shared" si="25"/>
        <v>1.3723858579575149E-2</v>
      </c>
      <c r="U93" s="1">
        <f t="shared" si="13"/>
        <v>8.708602074716687E-3</v>
      </c>
      <c r="V93" s="6">
        <f>2*sigma/alpha*corel*(B93/12-1/alpha*(1-EXP(-alpha*Output!B93/12)))</f>
        <v>0.10678895513945685</v>
      </c>
      <c r="W93" s="5">
        <f t="shared" si="26"/>
        <v>-5.0152565048584615E-3</v>
      </c>
      <c r="X93" s="1">
        <f t="shared" si="27"/>
        <v>0.14848755873924155</v>
      </c>
      <c r="Y93" s="3">
        <f t="shared" si="16"/>
        <v>2.0381844831836995E-2</v>
      </c>
      <c r="Z93" s="1">
        <f t="shared" si="17"/>
        <v>4.4814836251296397E-2</v>
      </c>
      <c r="AA93" s="8">
        <f t="shared" si="23"/>
        <v>6.7499999999999929</v>
      </c>
      <c r="AB93" s="1">
        <v>6.8330000000000002</v>
      </c>
      <c r="AC93" s="1">
        <v>5.0583953429999997E-4</v>
      </c>
      <c r="AD93" s="8">
        <f t="shared" si="18"/>
        <v>9.4967020470151459E-2</v>
      </c>
      <c r="AE93" s="3">
        <f t="shared" si="19"/>
        <v>1.8774139629392637E-2</v>
      </c>
      <c r="AF93" s="11">
        <f t="shared" si="20"/>
        <v>6.7499999999999929</v>
      </c>
      <c r="AG93" s="1">
        <f t="shared" si="21"/>
        <v>4.4814836251296397E-2</v>
      </c>
    </row>
    <row r="94" spans="2:33" ht="15" x14ac:dyDescent="0.25">
      <c r="B94" s="1">
        <v>83</v>
      </c>
      <c r="C94" s="1">
        <v>1.0000443384210445</v>
      </c>
      <c r="D94" s="1">
        <v>1.0755645441294042</v>
      </c>
      <c r="E94" s="1">
        <v>0.92936914581552388</v>
      </c>
      <c r="G94" s="1">
        <v>0.99951714989183926</v>
      </c>
      <c r="H94" s="1">
        <v>1.8868356859695297</v>
      </c>
      <c r="I94" s="1">
        <v>0.50888525556559683</v>
      </c>
      <c r="K94" s="1">
        <v>1.0000232224265373</v>
      </c>
      <c r="L94" s="1">
        <v>1.205785890895241</v>
      </c>
      <c r="M94" s="1">
        <v>0.82704543342770098</v>
      </c>
      <c r="O94" s="1">
        <v>4.9439183135192508E-4</v>
      </c>
      <c r="P94" s="1">
        <v>0.99658629648010533</v>
      </c>
      <c r="R94" s="1">
        <v>4.5517353687691275E-2</v>
      </c>
      <c r="S94" s="2">
        <f t="shared" si="24"/>
        <v>0.11859587707928074</v>
      </c>
      <c r="T94" s="4">
        <f t="shared" si="25"/>
        <v>1.4064982060203866E-2</v>
      </c>
      <c r="U94" s="1">
        <f t="shared" si="13"/>
        <v>9.0096746218470969E-3</v>
      </c>
      <c r="V94" s="6">
        <f>2*sigma/alpha*corel*(B94/12-1/alpha*(1-EXP(-alpha*Output!B94/12)))</f>
        <v>0.10929340852613623</v>
      </c>
      <c r="W94" s="5">
        <f t="shared" si="26"/>
        <v>-5.0553074383567695E-3</v>
      </c>
      <c r="X94" s="1">
        <f t="shared" si="27"/>
        <v>0.15180855494179821</v>
      </c>
      <c r="Y94" s="3">
        <f t="shared" si="16"/>
        <v>2.026501914226421E-2</v>
      </c>
      <c r="Z94" s="1">
        <f t="shared" si="17"/>
        <v>4.5094249990416176E-2</v>
      </c>
      <c r="AA94" s="8">
        <f t="shared" si="23"/>
        <v>6.8333333333333259</v>
      </c>
      <c r="AB94" s="1">
        <v>6.9169999999999998</v>
      </c>
      <c r="AC94" s="1">
        <v>5.0466067649999999E-4</v>
      </c>
      <c r="AD94" s="8">
        <f t="shared" si="18"/>
        <v>0.10268845148074913</v>
      </c>
      <c r="AE94" s="3">
        <f t="shared" si="19"/>
        <v>2.0348019226092633E-2</v>
      </c>
      <c r="AF94" s="11">
        <f t="shared" si="20"/>
        <v>6.8333333333333259</v>
      </c>
      <c r="AG94" s="1">
        <f t="shared" si="21"/>
        <v>4.5094249990416176E-2</v>
      </c>
    </row>
    <row r="95" spans="2:33" ht="15" x14ac:dyDescent="0.25">
      <c r="B95" s="1">
        <v>84</v>
      </c>
      <c r="C95" s="1">
        <v>1.0000451601029949</v>
      </c>
      <c r="D95" s="1">
        <v>1.0764660042484167</v>
      </c>
      <c r="E95" s="1">
        <v>0.92858757641027856</v>
      </c>
      <c r="G95" s="1">
        <v>0.99948259660745631</v>
      </c>
      <c r="H95" s="1">
        <v>1.899991110998974</v>
      </c>
      <c r="I95" s="1">
        <v>0.50511545782142975</v>
      </c>
      <c r="K95" s="1">
        <v>1.0000261353803213</v>
      </c>
      <c r="L95" s="1">
        <v>1.2023317870729693</v>
      </c>
      <c r="M95" s="1">
        <v>0.82940998844650871</v>
      </c>
      <c r="O95" s="1">
        <v>4.917119061483182E-4</v>
      </c>
      <c r="P95" s="1">
        <v>0.9965639334911337</v>
      </c>
      <c r="R95" s="1">
        <v>4.6171189382575535E-2</v>
      </c>
      <c r="S95" s="2">
        <f t="shared" si="24"/>
        <v>0.1202700538268742</v>
      </c>
      <c r="T95" s="4">
        <f t="shared" si="25"/>
        <v>1.4464885847519217E-2</v>
      </c>
      <c r="U95" s="1">
        <f t="shared" si="13"/>
        <v>9.3171109172556221E-3</v>
      </c>
      <c r="V95" s="6">
        <f>2*sigma/alpha*corel*(B95/12-1/alpha*(1-EXP(-alpha*Output!B95/12)))</f>
        <v>0.11182419204914207</v>
      </c>
      <c r="W95" s="5">
        <f t="shared" si="26"/>
        <v>-5.1477749302635944E-3</v>
      </c>
      <c r="X95" s="1">
        <f t="shared" si="27"/>
        <v>0.15664234797482404</v>
      </c>
      <c r="Y95" s="3">
        <f t="shared" si="16"/>
        <v>2.0282606400736748E-2</v>
      </c>
      <c r="Z95" s="1">
        <f t="shared" si="17"/>
        <v>4.5457807513465898E-2</v>
      </c>
      <c r="AA95" s="8">
        <f t="shared" si="23"/>
        <v>6.916666666666659</v>
      </c>
      <c r="AB95" s="1">
        <v>7</v>
      </c>
      <c r="AC95" s="1">
        <v>5.0276652800000004E-4</v>
      </c>
      <c r="AD95" s="8">
        <f t="shared" si="18"/>
        <v>0.11054621851681835</v>
      </c>
      <c r="AE95" s="3">
        <f t="shared" si="19"/>
        <v>2.1987585163350084E-2</v>
      </c>
      <c r="AF95" s="11">
        <f t="shared" si="20"/>
        <v>6.916666666666659</v>
      </c>
      <c r="AG95" s="1">
        <f t="shared" si="21"/>
        <v>4.5457807513465898E-2</v>
      </c>
    </row>
    <row r="96" spans="2:33" ht="15" x14ac:dyDescent="0.25">
      <c r="B96" s="1">
        <v>85</v>
      </c>
      <c r="C96" s="1">
        <v>1.0000459314769594</v>
      </c>
      <c r="D96" s="1">
        <v>1.0804050367144549</v>
      </c>
      <c r="E96" s="1">
        <v>0.9251987949278494</v>
      </c>
      <c r="G96" s="1">
        <v>0.99944205493098048</v>
      </c>
      <c r="H96" s="1">
        <v>1.9638282583135749</v>
      </c>
      <c r="I96" s="1">
        <v>0.48845776618786096</v>
      </c>
      <c r="K96" s="1">
        <v>1.0000221768201845</v>
      </c>
      <c r="L96" s="1">
        <v>1.1996453914617868</v>
      </c>
      <c r="M96" s="1">
        <v>0.83119228969512959</v>
      </c>
      <c r="O96" s="1">
        <v>4.8828922829984218E-4</v>
      </c>
      <c r="P96" s="1">
        <v>0.99654725909889419</v>
      </c>
      <c r="R96" s="1">
        <v>4.6806635455278134E-2</v>
      </c>
      <c r="S96" s="2">
        <f t="shared" si="24"/>
        <v>0.12189072268080553</v>
      </c>
      <c r="T96" s="4">
        <f t="shared" si="25"/>
        <v>1.4857348275649039E-2</v>
      </c>
      <c r="U96" s="1">
        <f t="shared" si="13"/>
        <v>9.6309560064766764E-3</v>
      </c>
      <c r="V96" s="6">
        <f>2*sigma/alpha*corel*(B96/12-1/alpha*(1-EXP(-alpha*Output!B96/12)))</f>
        <v>0.11438121808746915</v>
      </c>
      <c r="W96" s="5">
        <f t="shared" si="26"/>
        <v>-5.2263922691723631E-3</v>
      </c>
      <c r="X96" s="1">
        <f t="shared" si="27"/>
        <v>0.16116417734439012</v>
      </c>
      <c r="Y96" s="3">
        <f t="shared" si="16"/>
        <v>2.0263861135907321E-2</v>
      </c>
      <c r="Z96" s="1">
        <f t="shared" si="17"/>
        <v>4.5798558840386402E-2</v>
      </c>
      <c r="AA96" s="8">
        <f t="shared" si="23"/>
        <v>6.999999999999992</v>
      </c>
      <c r="AB96" s="1">
        <v>7.0830000000000002</v>
      </c>
      <c r="AC96" s="1">
        <v>5.0006136979999997E-4</v>
      </c>
      <c r="AD96" s="8">
        <f t="shared" si="18"/>
        <v>0.11772141500157791</v>
      </c>
      <c r="AE96" s="3">
        <f t="shared" si="19"/>
        <v>2.3541393539089153E-2</v>
      </c>
      <c r="AF96" s="11">
        <f t="shared" si="20"/>
        <v>6.999999999999992</v>
      </c>
      <c r="AG96" s="1">
        <f t="shared" si="21"/>
        <v>4.5798558840386402E-2</v>
      </c>
    </row>
    <row r="97" spans="2:33" ht="15" x14ac:dyDescent="0.25">
      <c r="B97" s="1">
        <v>86</v>
      </c>
      <c r="C97" s="1">
        <v>1.0000458879081009</v>
      </c>
      <c r="D97" s="1">
        <v>1.0836516689427196</v>
      </c>
      <c r="E97" s="1">
        <v>0.92242366215193117</v>
      </c>
      <c r="G97" s="1">
        <v>0.99933156339141005</v>
      </c>
      <c r="H97" s="1">
        <v>2.0187855580488243</v>
      </c>
      <c r="I97" s="1">
        <v>0.47492895345627828</v>
      </c>
      <c r="K97" s="1">
        <v>1.0000187198714545</v>
      </c>
      <c r="L97" s="1">
        <v>1.2026498165079229</v>
      </c>
      <c r="M97" s="1">
        <v>0.82914161831559918</v>
      </c>
      <c r="O97" s="1">
        <v>4.8483989236844849E-4</v>
      </c>
      <c r="P97" s="1">
        <v>0.99653134383989461</v>
      </c>
      <c r="R97" s="1">
        <v>4.7444260806937838E-2</v>
      </c>
      <c r="S97" s="2">
        <f t="shared" si="24"/>
        <v>0.12351599563806387</v>
      </c>
      <c r="T97" s="4">
        <f t="shared" si="25"/>
        <v>1.5256201178462213E-2</v>
      </c>
      <c r="U97" s="1">
        <f t="shared" si="13"/>
        <v>9.9512543451281132E-3</v>
      </c>
      <c r="V97" s="6">
        <f>2*sigma/alpha*corel*(B97/12-1/alpha*(1-EXP(-alpha*Output!B97/12)))</f>
        <v>0.11696439931169667</v>
      </c>
      <c r="W97" s="5">
        <f t="shared" si="26"/>
        <v>-5.3049468333340993E-3</v>
      </c>
      <c r="X97" s="1">
        <f t="shared" si="27"/>
        <v>0.16575581326192351</v>
      </c>
      <c r="Y97" s="3">
        <f t="shared" si="16"/>
        <v>2.0244195332467112E-2</v>
      </c>
      <c r="Z97" s="1">
        <f t="shared" si="17"/>
        <v>4.6138620021190964E-2</v>
      </c>
      <c r="AA97" s="8">
        <f t="shared" si="23"/>
        <v>7.083333333333325</v>
      </c>
      <c r="AB97" s="1">
        <v>7.1669999999999998</v>
      </c>
      <c r="AC97" s="1">
        <v>4.9661774360000002E-4</v>
      </c>
      <c r="AD97" s="8">
        <f t="shared" si="18"/>
        <v>0.11777851231551534</v>
      </c>
      <c r="AE97" s="3">
        <f t="shared" si="19"/>
        <v>2.3716130531650888E-2</v>
      </c>
      <c r="AF97" s="11">
        <f t="shared" si="20"/>
        <v>7.083333333333325</v>
      </c>
      <c r="AG97" s="1">
        <f t="shared" si="21"/>
        <v>4.6138620021190964E-2</v>
      </c>
    </row>
    <row r="98" spans="2:33" ht="15" x14ac:dyDescent="0.25">
      <c r="B98" s="1">
        <v>87</v>
      </c>
      <c r="C98" s="1">
        <v>1.0000466036399238</v>
      </c>
      <c r="D98" s="1">
        <v>1.0860058507409545</v>
      </c>
      <c r="E98" s="1">
        <v>0.92042088647413756</v>
      </c>
      <c r="G98" s="1">
        <v>0.99928364390826863</v>
      </c>
      <c r="H98" s="1">
        <v>2.0566714211657251</v>
      </c>
      <c r="I98" s="1">
        <v>0.46595314888816841</v>
      </c>
      <c r="K98" s="1">
        <v>1.0000166156207846</v>
      </c>
      <c r="L98" s="1">
        <v>1.2042500088282855</v>
      </c>
      <c r="M98" s="1">
        <v>0.8279692520335773</v>
      </c>
      <c r="O98" s="1">
        <v>4.8234296978528178E-4</v>
      </c>
      <c r="P98" s="1">
        <v>0.99650912080529053</v>
      </c>
      <c r="R98" s="1">
        <v>4.8070787970948839E-2</v>
      </c>
      <c r="S98" s="2">
        <f t="shared" si="24"/>
        <v>0.12512159358531177</v>
      </c>
      <c r="T98" s="4">
        <f t="shared" si="25"/>
        <v>1.5655413181327932E-2</v>
      </c>
      <c r="U98" s="1">
        <f t="shared" si="13"/>
        <v>1.0278049803796208E-2</v>
      </c>
      <c r="V98" s="6">
        <f>2*sigma/alpha*corel*(B98/12-1/alpha*(1-EXP(-alpha*Output!B98/12)))</f>
        <v>0.11957364868301645</v>
      </c>
      <c r="W98" s="5">
        <f t="shared" si="26"/>
        <v>-5.3773633775317242E-3</v>
      </c>
      <c r="X98" s="1">
        <f t="shared" si="27"/>
        <v>0.17024139540778943</v>
      </c>
      <c r="Y98" s="3">
        <f t="shared" si="16"/>
        <v>2.0208934135454298E-2</v>
      </c>
      <c r="Z98" s="1">
        <f t="shared" si="17"/>
        <v>4.646899326815223E-2</v>
      </c>
      <c r="AA98" s="8">
        <f t="shared" si="23"/>
        <v>7.1666666666666581</v>
      </c>
      <c r="AB98" s="1">
        <v>7.25</v>
      </c>
      <c r="AC98" s="1">
        <v>4.9318123440000004E-4</v>
      </c>
      <c r="AD98" s="8">
        <f t="shared" si="18"/>
        <v>0.1083826461471826</v>
      </c>
      <c r="AE98" s="3">
        <f t="shared" si="19"/>
        <v>2.1976230762113236E-2</v>
      </c>
      <c r="AF98" s="11">
        <f t="shared" si="20"/>
        <v>7.1666666666666581</v>
      </c>
      <c r="AG98" s="1">
        <f t="shared" si="21"/>
        <v>4.646899326815223E-2</v>
      </c>
    </row>
    <row r="99" spans="2:33" ht="15" x14ac:dyDescent="0.25">
      <c r="B99" s="1">
        <v>88</v>
      </c>
      <c r="C99" s="1">
        <v>1.0000462803894805</v>
      </c>
      <c r="D99" s="1">
        <v>1.0827474767510255</v>
      </c>
      <c r="E99" s="1">
        <v>0.92318757597053203</v>
      </c>
      <c r="G99" s="1">
        <v>0.9991447743280687</v>
      </c>
      <c r="H99" s="1">
        <v>2.0005554626242747</v>
      </c>
      <c r="I99" s="1">
        <v>0.47878982583290747</v>
      </c>
      <c r="K99" s="1">
        <v>1.0000083939748747</v>
      </c>
      <c r="L99" s="1">
        <v>1.2032268036563047</v>
      </c>
      <c r="M99" s="1">
        <v>0.82870099085221882</v>
      </c>
      <c r="O99" s="1">
        <v>4.8183250046897319E-4</v>
      </c>
      <c r="P99" s="1">
        <v>0.99647279691035173</v>
      </c>
      <c r="R99" s="1">
        <v>4.8639841073287629E-2</v>
      </c>
      <c r="S99" s="2">
        <f t="shared" si="24"/>
        <v>0.12660088730701907</v>
      </c>
      <c r="T99" s="4">
        <f t="shared" si="25"/>
        <v>1.6027784666924543E-2</v>
      </c>
      <c r="U99" s="1">
        <f t="shared" si="13"/>
        <v>1.0611385672885554E-2</v>
      </c>
      <c r="V99" s="6">
        <f>2*sigma/alpha*corel*(B99/12-1/alpha*(1-EXP(-alpha*Output!B99/12)))</f>
        <v>0.12220887945226722</v>
      </c>
      <c r="W99" s="5">
        <f t="shared" si="26"/>
        <v>-5.4163989940389894E-3</v>
      </c>
      <c r="X99" s="1">
        <f t="shared" si="27"/>
        <v>0.17381604737545581</v>
      </c>
      <c r="Y99" s="3">
        <f t="shared" si="16"/>
        <v>2.0093429877297567E-2</v>
      </c>
      <c r="Z99" s="1">
        <f t="shared" si="17"/>
        <v>4.6750475933782377E-2</v>
      </c>
      <c r="AA99" s="8">
        <f t="shared" si="23"/>
        <v>7.2499999999999911</v>
      </c>
      <c r="AB99" s="1">
        <v>7.3330000000000002</v>
      </c>
      <c r="AC99" s="1">
        <v>4.9066568800000001E-4</v>
      </c>
      <c r="AD99" s="8">
        <f t="shared" si="18"/>
        <v>8.8331875310268149E-2</v>
      </c>
      <c r="AE99" s="3">
        <f t="shared" si="19"/>
        <v>1.8002456146937292E-2</v>
      </c>
      <c r="AF99" s="11">
        <f t="shared" si="20"/>
        <v>7.2499999999999911</v>
      </c>
      <c r="AG99" s="1">
        <f t="shared" si="21"/>
        <v>4.6750475933782377E-2</v>
      </c>
    </row>
    <row r="100" spans="2:33" ht="15" x14ac:dyDescent="0.25">
      <c r="B100" s="1">
        <v>89</v>
      </c>
      <c r="C100" s="1">
        <v>1.0000484301261825</v>
      </c>
      <c r="D100" s="1">
        <v>1.0812734625371634</v>
      </c>
      <c r="E100" s="1">
        <v>0.92444291483424834</v>
      </c>
      <c r="G100" s="1">
        <v>0.99920967198009936</v>
      </c>
      <c r="H100" s="1">
        <v>1.974991833429427</v>
      </c>
      <c r="I100" s="1">
        <v>0.48475083514088352</v>
      </c>
      <c r="K100" s="1">
        <v>1.0000109773648007</v>
      </c>
      <c r="L100" s="1">
        <v>1.1962069303329079</v>
      </c>
      <c r="M100" s="1">
        <v>0.8334982902282615</v>
      </c>
      <c r="O100" s="1">
        <v>4.8397187902205906E-4</v>
      </c>
      <c r="P100" s="1">
        <v>0.99641697630101222</v>
      </c>
      <c r="R100" s="1">
        <v>4.9243347186265926E-2</v>
      </c>
      <c r="S100" s="2">
        <f t="shared" si="24"/>
        <v>0.12819227811692901</v>
      </c>
      <c r="T100" s="4">
        <f t="shared" si="25"/>
        <v>1.6433260168808077E-2</v>
      </c>
      <c r="U100" s="1">
        <f t="shared" si="13"/>
        <v>1.0951304667437434E-2</v>
      </c>
      <c r="V100" s="6">
        <f>2*sigma/alpha*corel*(B100/12-1/alpha*(1-EXP(-alpha*Output!B100/12)))</f>
        <v>0.12487000515897007</v>
      </c>
      <c r="W100" s="5">
        <f t="shared" si="26"/>
        <v>-5.4819555013706431E-3</v>
      </c>
      <c r="X100" s="1">
        <f t="shared" si="27"/>
        <v>0.17822386472906362</v>
      </c>
      <c r="Y100" s="3">
        <f t="shared" si="16"/>
        <v>2.0042405313678482E-2</v>
      </c>
      <c r="Z100" s="1">
        <f t="shared" si="17"/>
        <v>4.7071440090556416E-2</v>
      </c>
      <c r="AA100" s="8">
        <f t="shared" si="23"/>
        <v>7.3333333333333242</v>
      </c>
      <c r="AB100" s="1">
        <v>7.4169999999999998</v>
      </c>
      <c r="AC100" s="1">
        <v>4.8998494999999995E-4</v>
      </c>
      <c r="AD100" s="8">
        <f t="shared" si="18"/>
        <v>6.0130709779408896E-2</v>
      </c>
      <c r="AE100" s="3">
        <f t="shared" si="19"/>
        <v>1.2271950348558441E-2</v>
      </c>
      <c r="AF100" s="11">
        <f t="shared" si="20"/>
        <v>7.3333333333333242</v>
      </c>
      <c r="AG100" s="1">
        <f t="shared" si="21"/>
        <v>4.7071440090556416E-2</v>
      </c>
    </row>
    <row r="101" spans="2:33" ht="15" x14ac:dyDescent="0.25">
      <c r="B101" s="1">
        <v>90</v>
      </c>
      <c r="C101" s="1">
        <v>1.0000498395183794</v>
      </c>
      <c r="D101" s="1">
        <v>1.0822299465081837</v>
      </c>
      <c r="E101" s="1">
        <v>0.92362273888110014</v>
      </c>
      <c r="G101" s="1">
        <v>0.99921459841168414</v>
      </c>
      <c r="H101" s="1">
        <v>2.0015307582909032</v>
      </c>
      <c r="I101" s="1">
        <v>0.47809035082164159</v>
      </c>
      <c r="K101" s="1">
        <v>1.0000097786129596</v>
      </c>
      <c r="L101" s="1">
        <v>1.1985413636463698</v>
      </c>
      <c r="M101" s="1">
        <v>0.83187760096589325</v>
      </c>
      <c r="O101" s="1">
        <v>4.8976288803913044E-4</v>
      </c>
      <c r="P101" s="1">
        <v>0.99633351636577683</v>
      </c>
      <c r="R101" s="1">
        <v>4.9783621970776126E-2</v>
      </c>
      <c r="S101" s="2">
        <f t="shared" si="24"/>
        <v>0.12966046209763638</v>
      </c>
      <c r="T101" s="4">
        <f t="shared" si="25"/>
        <v>1.6811835431372598E-2</v>
      </c>
      <c r="U101" s="1">
        <f t="shared" si="13"/>
        <v>1.1297848931910437E-2</v>
      </c>
      <c r="V101" s="6">
        <f>2*sigma/alpha*corel*(B101/12-1/alpha*(1-EXP(-alpha*Output!B101/12)))</f>
        <v>0.1275569396303684</v>
      </c>
      <c r="W101" s="5">
        <f t="shared" si="26"/>
        <v>-5.5139864994621611E-3</v>
      </c>
      <c r="X101" s="1">
        <f t="shared" si="27"/>
        <v>0.18169036783173029</v>
      </c>
      <c r="Y101" s="3">
        <f t="shared" si="16"/>
        <v>1.991297276985312E-2</v>
      </c>
      <c r="Z101" s="1">
        <f t="shared" si="17"/>
        <v>4.7345306604946034E-2</v>
      </c>
      <c r="AA101" s="8">
        <f t="shared" si="23"/>
        <v>7.4166666666666572</v>
      </c>
      <c r="AB101" s="1">
        <v>7.5</v>
      </c>
      <c r="AC101" s="1">
        <v>4.9205286609999997E-4</v>
      </c>
      <c r="AD101" s="8">
        <f t="shared" si="18"/>
        <v>2.289978060869536E-2</v>
      </c>
      <c r="AE101" s="3">
        <f t="shared" si="19"/>
        <v>4.6539268819219583E-3</v>
      </c>
      <c r="AF101" s="11">
        <f t="shared" si="20"/>
        <v>7.4166666666666572</v>
      </c>
      <c r="AG101" s="1">
        <f t="shared" si="21"/>
        <v>4.7345306604946034E-2</v>
      </c>
    </row>
    <row r="102" spans="2:33" ht="15" x14ac:dyDescent="0.25">
      <c r="B102" s="1">
        <v>91</v>
      </c>
      <c r="C102" s="1">
        <v>1.000050597402069</v>
      </c>
      <c r="D102" s="1">
        <v>1.0851601777414726</v>
      </c>
      <c r="E102" s="1">
        <v>0.92112558674754708</v>
      </c>
      <c r="G102" s="1">
        <v>0.99916429766958026</v>
      </c>
      <c r="H102" s="1">
        <v>2.0507090049280823</v>
      </c>
      <c r="I102" s="1">
        <v>0.46639791608130149</v>
      </c>
      <c r="K102" s="1">
        <v>1.0000129444556554</v>
      </c>
      <c r="L102" s="1">
        <v>1.2144865110020431</v>
      </c>
      <c r="M102" s="1">
        <v>0.82087106122751485</v>
      </c>
      <c r="O102" s="1">
        <v>5.0018316558235834E-4</v>
      </c>
      <c r="P102" s="1">
        <v>0.99621412887666516</v>
      </c>
      <c r="R102" s="1">
        <v>5.039777814857755E-2</v>
      </c>
      <c r="S102" s="2">
        <f t="shared" si="24"/>
        <v>0.13136140530152968</v>
      </c>
      <c r="T102" s="4">
        <f t="shared" si="25"/>
        <v>1.7255818802792748E-2</v>
      </c>
      <c r="U102" s="1">
        <f t="shared" si="13"/>
        <v>1.1651060044920225E-2</v>
      </c>
      <c r="V102" s="6">
        <f>2*sigma/alpha*corel*(B102/12-1/alpha*(1-EXP(-alpha*Output!B102/12)))</f>
        <v>0.13026959698046869</v>
      </c>
      <c r="W102" s="5">
        <f t="shared" si="26"/>
        <v>-5.604758757872523E-3</v>
      </c>
      <c r="X102" s="1">
        <f t="shared" si="27"/>
        <v>0.18698118355292026</v>
      </c>
      <c r="Y102" s="3">
        <f t="shared" si="16"/>
        <v>1.9921556854387425E-2</v>
      </c>
      <c r="Z102" s="1">
        <f t="shared" si="17"/>
        <v>4.7702123531130805E-2</v>
      </c>
      <c r="AA102" s="8">
        <f t="shared" si="23"/>
        <v>7.4999999999999902</v>
      </c>
      <c r="AB102" s="1">
        <v>7.5830000000000002</v>
      </c>
      <c r="AC102" s="1">
        <v>4.9778328220000004E-4</v>
      </c>
      <c r="AD102" s="8">
        <f t="shared" si="18"/>
        <v>-2.3998833823582998E-2</v>
      </c>
      <c r="AE102" s="3">
        <f t="shared" si="19"/>
        <v>-4.821140982782285E-3</v>
      </c>
      <c r="AF102" s="11">
        <f t="shared" si="20"/>
        <v>7.4999999999999902</v>
      </c>
      <c r="AG102" s="1">
        <f t="shared" si="21"/>
        <v>4.7702123531130805E-2</v>
      </c>
    </row>
    <row r="103" spans="2:33" ht="15" x14ac:dyDescent="0.25">
      <c r="B103" s="1">
        <v>92</v>
      </c>
      <c r="C103" s="1">
        <v>1.0000526594487971</v>
      </c>
      <c r="D103" s="1">
        <v>1.0882494738980404</v>
      </c>
      <c r="E103" s="1">
        <v>0.91850763109293065</v>
      </c>
      <c r="G103" s="1">
        <v>0.99921691316813033</v>
      </c>
      <c r="H103" s="1">
        <v>2.1042037696170457</v>
      </c>
      <c r="I103" s="1">
        <v>0.4543193706674426</v>
      </c>
      <c r="K103" s="1">
        <v>1.0000154929087439</v>
      </c>
      <c r="L103" s="1">
        <v>1.2059980024461696</v>
      </c>
      <c r="M103" s="1">
        <v>0.82668230463015491</v>
      </c>
      <c r="O103" s="1">
        <v>5.1609607636021976E-4</v>
      </c>
      <c r="P103" s="1">
        <v>0.99605108098269013</v>
      </c>
      <c r="R103" s="1">
        <v>5.0996747577774205E-2</v>
      </c>
      <c r="S103" s="2">
        <f t="shared" si="24"/>
        <v>0.1330809612956334</v>
      </c>
      <c r="T103" s="4">
        <f t="shared" si="25"/>
        <v>1.7710542259369876E-2</v>
      </c>
      <c r="U103" s="1">
        <f t="shared" si="13"/>
        <v>1.2010979023958424E-2</v>
      </c>
      <c r="V103" s="6">
        <f>2*sigma/alpha*corel*(B103/12-1/alpha*(1-EXP(-alpha*Output!B103/12)))</f>
        <v>0.13300789160908832</v>
      </c>
      <c r="W103" s="5">
        <f t="shared" si="26"/>
        <v>-5.699563235411452E-3</v>
      </c>
      <c r="X103" s="1">
        <f t="shared" si="27"/>
        <v>0.19247770511624618</v>
      </c>
      <c r="Y103" s="3">
        <f t="shared" si="16"/>
        <v>1.9937929542180849E-2</v>
      </c>
      <c r="Z103" s="1">
        <f t="shared" si="17"/>
        <v>4.8063195165147177E-2</v>
      </c>
      <c r="AA103" s="8">
        <f t="shared" si="23"/>
        <v>7.5833333333333233</v>
      </c>
      <c r="AB103" s="1">
        <v>7.6669999999999998</v>
      </c>
      <c r="AC103" s="1">
        <v>5.0809120860000002E-4</v>
      </c>
      <c r="AD103" s="8">
        <f t="shared" si="18"/>
        <v>-8.0048677602197318E-2</v>
      </c>
      <c r="AE103" s="3">
        <f t="shared" si="19"/>
        <v>-1.5754785016407646E-2</v>
      </c>
      <c r="AF103" s="11">
        <f t="shared" si="20"/>
        <v>7.5833333333333233</v>
      </c>
      <c r="AG103" s="1">
        <f t="shared" si="21"/>
        <v>4.8063195165147177E-2</v>
      </c>
    </row>
    <row r="104" spans="2:33" ht="15" x14ac:dyDescent="0.25">
      <c r="B104" s="1">
        <v>93</v>
      </c>
      <c r="C104" s="1">
        <v>1.0000514223740622</v>
      </c>
      <c r="D104" s="1">
        <v>1.0878006332621275</v>
      </c>
      <c r="E104" s="1">
        <v>0.91888355126674015</v>
      </c>
      <c r="G104" s="1">
        <v>0.9990082608420231</v>
      </c>
      <c r="H104" s="1">
        <v>2.0961707840995443</v>
      </c>
      <c r="I104" s="1">
        <v>0.45583829647920532</v>
      </c>
      <c r="K104" s="1">
        <v>1.0000082633857508</v>
      </c>
      <c r="L104" s="1">
        <v>1.204045386409069</v>
      </c>
      <c r="M104" s="1">
        <v>0.82795937264794262</v>
      </c>
      <c r="O104" s="1">
        <v>5.3848076080802577E-4</v>
      </c>
      <c r="P104" s="1">
        <v>0.99583546991020122</v>
      </c>
      <c r="R104" s="1">
        <v>5.1500707205935005E-2</v>
      </c>
      <c r="S104" s="2">
        <f t="shared" si="24"/>
        <v>0.13462962722120037</v>
      </c>
      <c r="T104" s="4">
        <f t="shared" si="25"/>
        <v>1.8125136525719374E-2</v>
      </c>
      <c r="U104" s="1">
        <f t="shared" si="13"/>
        <v>1.237764633006444E-2</v>
      </c>
      <c r="V104" s="6">
        <f>2*sigma/alpha*corel*(B104/12-1/alpha*(1-EXP(-alpha*Output!B104/12)))</f>
        <v>0.13577173820090382</v>
      </c>
      <c r="W104" s="5">
        <f t="shared" si="26"/>
        <v>-5.7474901956549342E-3</v>
      </c>
      <c r="X104" s="1">
        <f t="shared" si="27"/>
        <v>0.19660616095939773</v>
      </c>
      <c r="Y104" s="3">
        <f t="shared" si="16"/>
        <v>1.9847173855561423E-2</v>
      </c>
      <c r="Z104" s="1">
        <f t="shared" si="17"/>
        <v>4.8360389717631617E-2</v>
      </c>
      <c r="AA104" s="8">
        <f t="shared" si="23"/>
        <v>7.6666666666666563</v>
      </c>
      <c r="AB104" s="1">
        <v>7.75</v>
      </c>
      <c r="AC104" s="1">
        <v>5.2389631480000002E-4</v>
      </c>
      <c r="AD104" s="8">
        <f t="shared" si="18"/>
        <v>-0.14584446008025753</v>
      </c>
      <c r="AE104" s="3">
        <f t="shared" si="19"/>
        <v>-2.7838420687485529E-2</v>
      </c>
      <c r="AF104" s="11">
        <f t="shared" si="20"/>
        <v>7.6666666666666563</v>
      </c>
      <c r="AG104" s="1">
        <f t="shared" si="21"/>
        <v>4.8360389717631617E-2</v>
      </c>
    </row>
    <row r="105" spans="2:33" ht="15" x14ac:dyDescent="0.25">
      <c r="B105" s="1">
        <v>94</v>
      </c>
      <c r="C105" s="1">
        <v>1.0000527269411332</v>
      </c>
      <c r="D105" s="1">
        <v>1.0856121989668677</v>
      </c>
      <c r="E105" s="1">
        <v>0.92073283139374917</v>
      </c>
      <c r="G105" s="1">
        <v>0.99900683369955401</v>
      </c>
      <c r="H105" s="1">
        <v>2.0577772742256815</v>
      </c>
      <c r="I105" s="1">
        <v>0.46411707399687835</v>
      </c>
      <c r="K105" s="1">
        <v>1.0000142929508751</v>
      </c>
      <c r="L105" s="1">
        <v>1.1977560089592101</v>
      </c>
      <c r="M105" s="1">
        <v>0.83225414763140093</v>
      </c>
      <c r="O105" s="1">
        <v>5.681766546595451E-4</v>
      </c>
      <c r="P105" s="1">
        <v>0.99555917263569038</v>
      </c>
      <c r="R105" s="1">
        <v>5.2056188263192957E-2</v>
      </c>
      <c r="S105" s="2">
        <f t="shared" si="24"/>
        <v>0.1363869216313055</v>
      </c>
      <c r="T105" s="4">
        <f t="shared" si="25"/>
        <v>1.8601392392063869E-2</v>
      </c>
      <c r="U105" s="1">
        <f t="shared" si="13"/>
        <v>1.275110187246753E-2</v>
      </c>
      <c r="V105" s="6">
        <f>2*sigma/alpha*corel*(B105/12-1/alpha*(1-EXP(-alpha*Output!B105/12)))</f>
        <v>0.13856105172450195</v>
      </c>
      <c r="W105" s="5">
        <f t="shared" si="26"/>
        <v>-5.8502905195963392E-3</v>
      </c>
      <c r="X105" s="1">
        <f t="shared" si="27"/>
        <v>0.20250826800235205</v>
      </c>
      <c r="Y105" s="3">
        <f t="shared" si="16"/>
        <v>1.987966818197923E-2</v>
      </c>
      <c r="Z105" s="1">
        <f t="shared" si="17"/>
        <v>4.8730337955782223E-2</v>
      </c>
      <c r="AA105" s="8">
        <f t="shared" si="23"/>
        <v>7.7499999999999893</v>
      </c>
      <c r="AB105" s="1">
        <v>7.8330000000000002</v>
      </c>
      <c r="AC105" s="1">
        <v>5.4611943489999999E-4</v>
      </c>
      <c r="AD105" s="8">
        <f t="shared" si="18"/>
        <v>-0.2205721975954511</v>
      </c>
      <c r="AE105" s="3">
        <f t="shared" si="19"/>
        <v>-4.0389003485261449E-2</v>
      </c>
      <c r="AF105" s="11">
        <f t="shared" si="20"/>
        <v>7.7499999999999893</v>
      </c>
      <c r="AG105" s="1">
        <f t="shared" si="21"/>
        <v>4.8730337955782223E-2</v>
      </c>
    </row>
    <row r="106" spans="2:33" ht="15" x14ac:dyDescent="0.25">
      <c r="B106" s="1">
        <v>95</v>
      </c>
      <c r="C106" s="1">
        <v>1.0000556192229701</v>
      </c>
      <c r="D106" s="1">
        <v>1.0933353623609658</v>
      </c>
      <c r="E106" s="1">
        <v>0.91422589492522799</v>
      </c>
      <c r="G106" s="1">
        <v>0.99912443432628717</v>
      </c>
      <c r="H106" s="1">
        <v>2.1938223212266195</v>
      </c>
      <c r="I106" s="1">
        <v>0.43512387792862606</v>
      </c>
      <c r="K106" s="1">
        <v>1.0000219578396405</v>
      </c>
      <c r="L106" s="1">
        <v>1.1990504437748299</v>
      </c>
      <c r="M106" s="1">
        <v>0.83134853025627198</v>
      </c>
      <c r="O106" s="1">
        <v>6.0617112004196147E-4</v>
      </c>
      <c r="P106" s="1">
        <v>0.99521264140615207</v>
      </c>
      <c r="R106" s="1">
        <v>5.2544085803896169E-2</v>
      </c>
      <c r="S106" s="2">
        <f t="shared" si="24"/>
        <v>0.13806507660303358</v>
      </c>
      <c r="T106" s="4">
        <f t="shared" si="25"/>
        <v>1.906196537740153E-2</v>
      </c>
      <c r="U106" s="1">
        <f t="shared" si="13"/>
        <v>1.3131385013195995E-2</v>
      </c>
      <c r="V106" s="6">
        <f>2*sigma/alpha*corel*(B106/12-1/alpha*(1-EXP(-alpha*Output!B106/12)))</f>
        <v>0.14137574743143611</v>
      </c>
      <c r="W106" s="5">
        <f t="shared" si="26"/>
        <v>-5.9305803642055351E-3</v>
      </c>
      <c r="X106" s="1">
        <f t="shared" si="27"/>
        <v>0.20778881349497247</v>
      </c>
      <c r="Y106" s="3">
        <f t="shared" si="16"/>
        <v>1.9860810649720503E-2</v>
      </c>
      <c r="Z106" s="1">
        <f t="shared" si="17"/>
        <v>4.9069615910118033E-2</v>
      </c>
      <c r="AA106" s="8">
        <f t="shared" si="23"/>
        <v>7.8333333333333224</v>
      </c>
      <c r="AB106" s="1">
        <v>7.9169999999999998</v>
      </c>
      <c r="AC106" s="1">
        <v>5.7568140309999997E-4</v>
      </c>
      <c r="AD106" s="8">
        <f t="shared" si="18"/>
        <v>-0.30489716941961498</v>
      </c>
      <c r="AE106" s="3">
        <f t="shared" si="19"/>
        <v>-5.2962831138502517E-2</v>
      </c>
      <c r="AF106" s="11">
        <f t="shared" si="20"/>
        <v>7.8333333333333224</v>
      </c>
      <c r="AG106" s="1">
        <f t="shared" si="21"/>
        <v>4.9069615910118033E-2</v>
      </c>
    </row>
    <row r="107" spans="2:33" ht="15" x14ac:dyDescent="0.25">
      <c r="B107" s="1">
        <v>96</v>
      </c>
      <c r="C107" s="1">
        <v>1.000058144377505</v>
      </c>
      <c r="D107" s="1">
        <v>1.0931717942671595</v>
      </c>
      <c r="E107" s="1">
        <v>0.91435969474191481</v>
      </c>
      <c r="G107" s="1">
        <v>0.99921340659596958</v>
      </c>
      <c r="H107" s="1">
        <v>2.1892140365849007</v>
      </c>
      <c r="I107" s="1">
        <v>0.43582748354893708</v>
      </c>
      <c r="K107" s="1">
        <v>1.0000256244025751</v>
      </c>
      <c r="L107" s="1">
        <v>1.2123352795192539</v>
      </c>
      <c r="M107" s="1">
        <v>0.82219291679227724</v>
      </c>
      <c r="O107" s="1">
        <v>6.5332430041982448E-4</v>
      </c>
      <c r="P107" s="1">
        <v>0.99478704047616562</v>
      </c>
      <c r="R107" s="1">
        <v>5.298583726777456E-2</v>
      </c>
      <c r="S107" s="2">
        <f t="shared" si="24"/>
        <v>0.13972924389988456</v>
      </c>
      <c r="T107" s="4">
        <f t="shared" si="25"/>
        <v>1.9524261600833426E-2</v>
      </c>
      <c r="U107" s="1">
        <f t="shared" si="13"/>
        <v>1.3518534571652641E-2</v>
      </c>
      <c r="V107" s="6">
        <f>2*sigma/alpha*corel*(B107/12-1/alpha*(1-EXP(-alpha*Output!B107/12)))</f>
        <v>0.14421574085528421</v>
      </c>
      <c r="W107" s="5">
        <f t="shared" si="26"/>
        <v>-6.0057270291807852E-3</v>
      </c>
      <c r="X107" s="1">
        <f t="shared" si="27"/>
        <v>0.21298144484422363</v>
      </c>
      <c r="Y107" s="3">
        <f t="shared" si="16"/>
        <v>1.983021167619416E-2</v>
      </c>
      <c r="Z107" s="1">
        <f t="shared" si="17"/>
        <v>4.9401747945838695E-2</v>
      </c>
      <c r="AA107" s="8">
        <f t="shared" si="23"/>
        <v>7.9166666666666554</v>
      </c>
      <c r="AB107" s="1">
        <v>8</v>
      </c>
      <c r="AC107" s="1">
        <v>6.1350305360000003E-4</v>
      </c>
      <c r="AD107" s="8">
        <f t="shared" si="18"/>
        <v>-0.39821246819824452</v>
      </c>
      <c r="AE107" s="3">
        <f t="shared" si="19"/>
        <v>-6.4907984705464314E-2</v>
      </c>
      <c r="AF107" s="11">
        <f t="shared" si="20"/>
        <v>7.9166666666666554</v>
      </c>
      <c r="AG107" s="1">
        <f t="shared" si="21"/>
        <v>4.9401747945838695E-2</v>
      </c>
    </row>
    <row r="108" spans="2:33" ht="15" x14ac:dyDescent="0.25">
      <c r="B108" s="1">
        <v>97</v>
      </c>
      <c r="C108" s="1">
        <v>1.000059563194944</v>
      </c>
      <c r="D108" s="1">
        <v>1.091336790180875</v>
      </c>
      <c r="E108" s="1">
        <v>0.91589414597095142</v>
      </c>
      <c r="G108" s="1">
        <v>0.99921336010912343</v>
      </c>
      <c r="H108" s="1">
        <v>2.1530879323487544</v>
      </c>
      <c r="I108" s="1">
        <v>0.44292434992175406</v>
      </c>
      <c r="K108" s="1">
        <v>1.0000228665221729</v>
      </c>
      <c r="L108" s="1">
        <v>1.2195906194714869</v>
      </c>
      <c r="M108" s="1">
        <v>0.81727197760242476</v>
      </c>
      <c r="O108" s="1">
        <v>7.101903566598157E-4</v>
      </c>
      <c r="P108" s="1">
        <v>0.99427574097985594</v>
      </c>
      <c r="R108" s="1">
        <v>5.3429649229292921E-2</v>
      </c>
      <c r="S108" s="2">
        <f t="shared" si="24"/>
        <v>0.1415091588349755</v>
      </c>
      <c r="T108" s="4">
        <f t="shared" si="25"/>
        <v>2.0024842034182325E-2</v>
      </c>
      <c r="U108" s="1">
        <f t="shared" si="13"/>
        <v>1.3912588829152917E-2</v>
      </c>
      <c r="V108" s="6">
        <f>2*sigma/alpha*corel*(B108/12-1/alpha*(1-EXP(-alpha*Output!B108/12)))</f>
        <v>0.14708094781070991</v>
      </c>
      <c r="W108" s="5">
        <f t="shared" si="26"/>
        <v>-6.1122532050294082E-3</v>
      </c>
      <c r="X108" s="1">
        <f t="shared" si="27"/>
        <v>0.21926232550484762</v>
      </c>
      <c r="Y108" s="3">
        <f t="shared" si="16"/>
        <v>1.9866408508940177E-2</v>
      </c>
      <c r="Z108" s="1">
        <f t="shared" si="17"/>
        <v>4.9772482813959108E-2</v>
      </c>
      <c r="AA108" s="8">
        <f t="shared" si="23"/>
        <v>7.9999999999999885</v>
      </c>
      <c r="AB108" s="1">
        <v>8.0830000000000002</v>
      </c>
      <c r="AC108" s="1">
        <v>6.6050522040000004E-4</v>
      </c>
      <c r="AD108" s="8">
        <f t="shared" si="18"/>
        <v>-0.49685136259815654</v>
      </c>
      <c r="AE108" s="3">
        <f t="shared" si="19"/>
        <v>-7.522292742777488E-2</v>
      </c>
      <c r="AF108" s="11">
        <f t="shared" si="20"/>
        <v>7.9999999999999885</v>
      </c>
      <c r="AG108" s="1">
        <f t="shared" si="21"/>
        <v>4.9772482813959108E-2</v>
      </c>
    </row>
    <row r="109" spans="2:33" ht="15" x14ac:dyDescent="0.25">
      <c r="B109" s="1">
        <v>98</v>
      </c>
      <c r="C109" s="1">
        <v>1.0000598936554925</v>
      </c>
      <c r="D109" s="1">
        <v>1.0929885780711002</v>
      </c>
      <c r="E109" s="1">
        <v>0.91450703799488064</v>
      </c>
      <c r="G109" s="1">
        <v>0.9991247829828972</v>
      </c>
      <c r="H109" s="1">
        <v>2.1818966471342365</v>
      </c>
      <c r="I109" s="1">
        <v>0.43686338708350936</v>
      </c>
      <c r="K109" s="1">
        <v>1.000017182846904</v>
      </c>
      <c r="L109" s="1">
        <v>1.2237887316438127</v>
      </c>
      <c r="M109" s="1">
        <v>0.81447477379739341</v>
      </c>
      <c r="O109" s="1">
        <v>7.7602540462880514E-4</v>
      </c>
      <c r="P109" s="1">
        <v>0.99368249905044093</v>
      </c>
      <c r="R109" s="1">
        <v>5.3751841971611883E-2</v>
      </c>
      <c r="S109" s="2">
        <f t="shared" si="24"/>
        <v>0.14308749291563327</v>
      </c>
      <c r="T109" s="4">
        <f t="shared" si="25"/>
        <v>2.0474030628881403E-2</v>
      </c>
      <c r="U109" s="1">
        <f t="shared" si="13"/>
        <v>1.4313585533432871E-2</v>
      </c>
      <c r="V109" s="6">
        <f>2*sigma/alpha*corel*(B109/12-1/alpha*(1-EXP(-alpha*Output!B109/12)))</f>
        <v>0.14997128439252694</v>
      </c>
      <c r="W109" s="5">
        <f t="shared" si="26"/>
        <v>-6.1604450954485315E-3</v>
      </c>
      <c r="X109" s="1">
        <f t="shared" si="27"/>
        <v>0.2237325925936629</v>
      </c>
      <c r="Y109" s="3">
        <f t="shared" si="16"/>
        <v>1.9777500811833514E-2</v>
      </c>
      <c r="Z109" s="1">
        <f t="shared" si="17"/>
        <v>5.0070192316772053E-2</v>
      </c>
      <c r="AA109" s="8">
        <f t="shared" si="23"/>
        <v>8.0833333333333215</v>
      </c>
      <c r="AB109" s="1">
        <v>8.1669999999999998</v>
      </c>
      <c r="AC109" s="1">
        <v>7.1726938839999997E-4</v>
      </c>
      <c r="AD109" s="8">
        <f t="shared" si="18"/>
        <v>-0.58756016228805175</v>
      </c>
      <c r="AE109" s="3">
        <f t="shared" si="19"/>
        <v>-8.1916246781242361E-2</v>
      </c>
      <c r="AF109" s="11">
        <f t="shared" si="20"/>
        <v>8.0833333333333215</v>
      </c>
      <c r="AG109" s="1">
        <f t="shared" si="21"/>
        <v>5.0070192316772053E-2</v>
      </c>
    </row>
    <row r="110" spans="2:33" ht="15" x14ac:dyDescent="0.25">
      <c r="B110" s="1">
        <v>99</v>
      </c>
      <c r="C110" s="1">
        <v>1.0000631869726471</v>
      </c>
      <c r="D110" s="1">
        <v>1.0934172798830881</v>
      </c>
      <c r="E110" s="1">
        <v>0.91414554743132082</v>
      </c>
      <c r="G110" s="1">
        <v>0.99927660270480845</v>
      </c>
      <c r="H110" s="1">
        <v>2.1908517029360075</v>
      </c>
      <c r="I110" s="1">
        <v>0.43486590352916332</v>
      </c>
      <c r="K110" s="1">
        <v>1.0000170655146721</v>
      </c>
      <c r="L110" s="1">
        <v>1.2208697874583649</v>
      </c>
      <c r="M110" s="1">
        <v>0.8164180428210277</v>
      </c>
      <c r="O110" s="1">
        <v>8.4966278658944001E-4</v>
      </c>
      <c r="P110" s="1">
        <v>0.99301479277915172</v>
      </c>
      <c r="R110" s="1">
        <v>5.4066957881944773E-2</v>
      </c>
      <c r="S110" s="2">
        <f t="shared" si="24"/>
        <v>0.14474287135365799</v>
      </c>
      <c r="T110" s="4">
        <f t="shared" si="25"/>
        <v>2.0950498807701588E-2</v>
      </c>
      <c r="U110" s="1">
        <f t="shared" si="13"/>
        <v>1.4721561903129121E-2</v>
      </c>
      <c r="V110" s="6">
        <f>2*sigma/alpha*corel*(B110/12-1/alpha*(1-EXP(-alpha*Output!B110/12)))</f>
        <v>0.15288666697476927</v>
      </c>
      <c r="W110" s="5">
        <f t="shared" si="26"/>
        <v>-6.2289369045724664E-3</v>
      </c>
      <c r="X110" s="1">
        <f t="shared" si="27"/>
        <v>0.2289292507895454</v>
      </c>
      <c r="Y110" s="3">
        <f t="shared" si="16"/>
        <v>1.973205150600689E-2</v>
      </c>
      <c r="Z110" s="1">
        <f t="shared" si="17"/>
        <v>5.0392999523083813E-2</v>
      </c>
      <c r="AA110" s="8">
        <f t="shared" si="23"/>
        <v>8.1666666666666554</v>
      </c>
      <c r="AB110" s="1">
        <v>8.25</v>
      </c>
      <c r="AC110" s="1">
        <v>7.8301964399999995E-4</v>
      </c>
      <c r="AD110" s="8">
        <f t="shared" si="18"/>
        <v>-0.66643142589440052</v>
      </c>
      <c r="AE110" s="3">
        <f t="shared" si="19"/>
        <v>-8.5110435095853171E-2</v>
      </c>
      <c r="AF110" s="11">
        <f t="shared" si="20"/>
        <v>8.1666666666666554</v>
      </c>
      <c r="AG110" s="1">
        <f t="shared" si="21"/>
        <v>5.0392999523083813E-2</v>
      </c>
    </row>
    <row r="111" spans="2:33" ht="15" x14ac:dyDescent="0.25">
      <c r="B111" s="1">
        <v>100</v>
      </c>
      <c r="C111" s="1">
        <v>1.000066032250996</v>
      </c>
      <c r="D111" s="1">
        <v>1.0951820576042623</v>
      </c>
      <c r="E111" s="1">
        <v>0.91266958091187689</v>
      </c>
      <c r="G111" s="1">
        <v>0.99938651714667881</v>
      </c>
      <c r="H111" s="1">
        <v>2.2220737050454544</v>
      </c>
      <c r="I111" s="1">
        <v>0.42854695026844569</v>
      </c>
      <c r="K111" s="1">
        <v>1.0000188680723452</v>
      </c>
      <c r="L111" s="1">
        <v>1.2144255256171752</v>
      </c>
      <c r="M111" s="1">
        <v>0.82072302233268846</v>
      </c>
      <c r="O111" s="1">
        <v>9.3005492331445705E-4</v>
      </c>
      <c r="P111" s="1">
        <v>0.99227949965858864</v>
      </c>
      <c r="R111" s="1">
        <v>5.4375446802477335E-2</v>
      </c>
      <c r="S111" s="2">
        <f t="shared" si="24"/>
        <v>0.1464670772287332</v>
      </c>
      <c r="T111" s="4">
        <f t="shared" si="25"/>
        <v>2.1452604711927694E-2</v>
      </c>
      <c r="U111" s="1">
        <f t="shared" si="13"/>
        <v>1.513655463221264E-2</v>
      </c>
      <c r="V111" s="6">
        <f>2*sigma/alpha*corel*(B111/12-1/alpha*(1-EXP(-alpha*Output!B111/12)))</f>
        <v>0.15582701220975825</v>
      </c>
      <c r="W111" s="5">
        <f t="shared" si="26"/>
        <v>-6.3160500797150541E-3</v>
      </c>
      <c r="X111" s="1">
        <f t="shared" si="27"/>
        <v>0.23481706039138864</v>
      </c>
      <c r="Y111" s="3">
        <f t="shared" si="16"/>
        <v>1.9725134939801488E-2</v>
      </c>
      <c r="Z111" s="1">
        <f t="shared" si="17"/>
        <v>5.0737683879256083E-2</v>
      </c>
      <c r="AA111" s="8">
        <f t="shared" si="23"/>
        <v>8.2499999999999893</v>
      </c>
      <c r="AB111" s="1">
        <v>8.3330000000000002</v>
      </c>
      <c r="AC111" s="1">
        <v>8.5664072450000002E-4</v>
      </c>
      <c r="AD111" s="8">
        <f t="shared" si="18"/>
        <v>-0.73414198814457032</v>
      </c>
      <c r="AE111" s="3">
        <f t="shared" si="19"/>
        <v>-8.5700103572950131E-2</v>
      </c>
      <c r="AF111" s="11">
        <f t="shared" si="20"/>
        <v>8.2499999999999893</v>
      </c>
      <c r="AG111" s="1">
        <f t="shared" si="21"/>
        <v>5.0737683879256083E-2</v>
      </c>
    </row>
    <row r="112" spans="2:33" ht="15" x14ac:dyDescent="0.25">
      <c r="B112" s="1">
        <v>101</v>
      </c>
      <c r="C112" s="1">
        <v>1.0000659172127453</v>
      </c>
      <c r="D112" s="1">
        <v>1.0975570541593407</v>
      </c>
      <c r="E112" s="1">
        <v>0.9106917746584291</v>
      </c>
      <c r="G112" s="1">
        <v>0.99925724776682268</v>
      </c>
      <c r="H112" s="1">
        <v>2.2649877676556396</v>
      </c>
      <c r="I112" s="1">
        <v>0.42022274255300551</v>
      </c>
      <c r="K112" s="1">
        <v>1.0000125706243286</v>
      </c>
      <c r="L112" s="1">
        <v>1.2222274482324456</v>
      </c>
      <c r="M112" s="1">
        <v>0.81539950945458228</v>
      </c>
      <c r="O112" s="1">
        <v>1.0160989246759929E-3</v>
      </c>
      <c r="P112" s="1">
        <v>0.99148429979411634</v>
      </c>
      <c r="R112" s="1">
        <v>5.4655942406522703E-2</v>
      </c>
      <c r="S112" s="2">
        <f t="shared" si="24"/>
        <v>0.14819574771554073</v>
      </c>
      <c r="T112" s="4">
        <f t="shared" si="25"/>
        <v>2.1961979640968195E-2</v>
      </c>
      <c r="U112" s="1">
        <f t="shared" si="13"/>
        <v>1.5558599894400782E-2</v>
      </c>
      <c r="V112" s="6">
        <f>2*sigma/alpha*corel*(B112/12-1/alpha*(1-EXP(-alpha*Output!B112/12)))</f>
        <v>0.15879223702717837</v>
      </c>
      <c r="W112" s="5">
        <f t="shared" si="26"/>
        <v>-6.4033797465674128E-3</v>
      </c>
      <c r="X112" s="1">
        <f t="shared" si="27"/>
        <v>0.24079542600786519</v>
      </c>
      <c r="Y112" s="3">
        <f t="shared" si="16"/>
        <v>1.9717833757785068E-2</v>
      </c>
      <c r="Z112" s="1">
        <f t="shared" si="17"/>
        <v>5.1081739552981141E-2</v>
      </c>
      <c r="AA112" s="8">
        <f t="shared" si="23"/>
        <v>8.3333333333333233</v>
      </c>
      <c r="AB112" s="1">
        <v>8.4169999999999998</v>
      </c>
      <c r="AC112" s="1">
        <v>9.3701736680000005E-4</v>
      </c>
      <c r="AD112" s="8">
        <f t="shared" si="18"/>
        <v>-0.79081557875992847</v>
      </c>
      <c r="AE112" s="3">
        <f t="shared" si="19"/>
        <v>-8.4397110104867737E-2</v>
      </c>
      <c r="AF112" s="11">
        <f t="shared" si="20"/>
        <v>8.3333333333333233</v>
      </c>
      <c r="AG112" s="1">
        <f t="shared" si="21"/>
        <v>5.1081739552981141E-2</v>
      </c>
    </row>
    <row r="113" spans="2:33" ht="15" x14ac:dyDescent="0.25">
      <c r="B113" s="1">
        <v>102</v>
      </c>
      <c r="C113" s="1">
        <v>1.0000686015125109</v>
      </c>
      <c r="D113" s="1">
        <v>1.0975011312494072</v>
      </c>
      <c r="E113" s="1">
        <v>0.91073531068363633</v>
      </c>
      <c r="G113" s="1">
        <v>0.99936509737714208</v>
      </c>
      <c r="H113" s="1">
        <v>2.2630419914734605</v>
      </c>
      <c r="I113" s="1">
        <v>0.42037933666054939</v>
      </c>
      <c r="K113" s="1">
        <v>1.0000164395500932</v>
      </c>
      <c r="L113" s="1">
        <v>1.2221877587137373</v>
      </c>
      <c r="M113" s="1">
        <v>0.81545893459730689</v>
      </c>
      <c r="O113" s="1">
        <v>1.1066448000584535E-3</v>
      </c>
      <c r="P113" s="1">
        <v>0.99063762174843972</v>
      </c>
      <c r="R113" s="1">
        <v>5.4878782196001862E-2</v>
      </c>
      <c r="S113" s="2">
        <f t="shared" si="24"/>
        <v>0.14984246831248282</v>
      </c>
      <c r="T113" s="4">
        <f t="shared" si="25"/>
        <v>2.2452765309977418E-2</v>
      </c>
      <c r="U113" s="1">
        <f t="shared" si="13"/>
        <v>1.5987733347538224E-2</v>
      </c>
      <c r="V113" s="6">
        <f>2*sigma/alpha*corel*(B113/12-1/alpha*(1-EXP(-alpha*Output!B113/12)))</f>
        <v>0.16178225863315521</v>
      </c>
      <c r="W113" s="5">
        <f t="shared" si="26"/>
        <v>-6.4650319624391939E-3</v>
      </c>
      <c r="X113" s="1">
        <f t="shared" si="27"/>
        <v>0.2459845859313777</v>
      </c>
      <c r="Y113" s="3">
        <f t="shared" si="16"/>
        <v>1.9658004291057816E-2</v>
      </c>
      <c r="Z113" s="1">
        <f t="shared" si="17"/>
        <v>5.1395542619704034E-2</v>
      </c>
      <c r="AA113" s="8">
        <f t="shared" si="23"/>
        <v>8.4166666666666572</v>
      </c>
      <c r="AB113" s="1">
        <v>8.5</v>
      </c>
      <c r="AC113" s="1">
        <v>1.023034308E-3</v>
      </c>
      <c r="AD113" s="8">
        <f t="shared" si="18"/>
        <v>-0.83610492058453467</v>
      </c>
      <c r="AE113" s="3">
        <f t="shared" si="19"/>
        <v>-8.1727945392085E-2</v>
      </c>
      <c r="AF113" s="11">
        <f t="shared" si="20"/>
        <v>8.4166666666666572</v>
      </c>
      <c r="AG113" s="1">
        <f t="shared" si="21"/>
        <v>5.1395542619704034E-2</v>
      </c>
    </row>
    <row r="114" spans="2:33" ht="15" x14ac:dyDescent="0.25">
      <c r="B114" s="1">
        <v>103</v>
      </c>
      <c r="C114" s="1">
        <v>1.0000688940683395</v>
      </c>
      <c r="D114" s="1">
        <v>1.0962640168772539</v>
      </c>
      <c r="E114" s="1">
        <v>0.91176020620827247</v>
      </c>
      <c r="G114" s="1">
        <v>0.99927010409419403</v>
      </c>
      <c r="H114" s="1">
        <v>2.2398490528834931</v>
      </c>
      <c r="I114" s="1">
        <v>0.42452551286464357</v>
      </c>
      <c r="K114" s="1">
        <v>1.0000193618815372</v>
      </c>
      <c r="L114" s="1">
        <v>1.2223410597498738</v>
      </c>
      <c r="M114" s="1">
        <v>0.81527906382592086</v>
      </c>
      <c r="O114" s="1">
        <v>1.2006747802937863E-3</v>
      </c>
      <c r="P114" s="1">
        <v>0.98974713084926735</v>
      </c>
      <c r="R114" s="1">
        <v>5.5188248684662898E-2</v>
      </c>
      <c r="S114" s="2">
        <f t="shared" si="24"/>
        <v>0.15176215791660852</v>
      </c>
      <c r="T114" s="4">
        <f t="shared" si="25"/>
        <v>2.3031752575505621E-2</v>
      </c>
      <c r="U114" s="1">
        <f t="shared" si="13"/>
        <v>1.6423990137935718E-2</v>
      </c>
      <c r="V114" s="6">
        <f>2*sigma/alpha*corel*(B114/12-1/alpha*(1-EXP(-alpha*Output!B114/12)))</f>
        <v>0.16479699450933427</v>
      </c>
      <c r="W114" s="5">
        <f t="shared" si="26"/>
        <v>-6.6077624375699036E-3</v>
      </c>
      <c r="X114" s="1">
        <f t="shared" si="27"/>
        <v>0.25402455975587623</v>
      </c>
      <c r="Y114" s="3">
        <f t="shared" si="16"/>
        <v>1.9759893043132075E-2</v>
      </c>
      <c r="Z114" s="1">
        <f t="shared" si="17"/>
        <v>5.1800685127424306E-2</v>
      </c>
      <c r="AA114" s="8">
        <f t="shared" si="23"/>
        <v>8.4999999999999911</v>
      </c>
      <c r="AB114" s="1">
        <v>8.5830000000000002</v>
      </c>
      <c r="AC114" s="1">
        <v>1.113576286E-3</v>
      </c>
      <c r="AD114" s="8">
        <f t="shared" si="18"/>
        <v>-0.87098494293786322</v>
      </c>
      <c r="AE114" s="3">
        <f t="shared" si="19"/>
        <v>-7.8215112326652333E-2</v>
      </c>
      <c r="AF114" s="11">
        <f t="shared" si="20"/>
        <v>8.4999999999999911</v>
      </c>
      <c r="AG114" s="1">
        <f t="shared" si="21"/>
        <v>5.1800685127424306E-2</v>
      </c>
    </row>
    <row r="115" spans="2:33" ht="15" x14ac:dyDescent="0.25">
      <c r="B115" s="1">
        <v>104</v>
      </c>
      <c r="C115" s="1">
        <v>1.0000697570071453</v>
      </c>
      <c r="D115" s="1">
        <v>1.0957391500604929</v>
      </c>
      <c r="E115" s="1">
        <v>0.91219410917608956</v>
      </c>
      <c r="G115" s="1">
        <v>0.99921125777760766</v>
      </c>
      <c r="H115" s="1">
        <v>2.2289075390086164</v>
      </c>
      <c r="I115" s="1">
        <v>0.42640185125137792</v>
      </c>
      <c r="K115" s="1">
        <v>1.0000232513882925</v>
      </c>
      <c r="L115" s="1">
        <v>1.2205665096581737</v>
      </c>
      <c r="M115" s="1">
        <v>0.8164659694648575</v>
      </c>
      <c r="O115" s="1">
        <v>1.2969366460558014E-3</v>
      </c>
      <c r="P115" s="1">
        <v>0.98882281650639015</v>
      </c>
      <c r="R115" s="1">
        <v>5.5385165143132721E-2</v>
      </c>
      <c r="S115" s="2">
        <f t="shared" si="24"/>
        <v>0.15343750589320099</v>
      </c>
      <c r="T115" s="4">
        <f t="shared" si="25"/>
        <v>2.3543068214726088E-2</v>
      </c>
      <c r="U115" s="1">
        <f t="shared" si="13"/>
        <v>1.6867404904684413E-2</v>
      </c>
      <c r="V115" s="6">
        <f>2*sigma/alpha*corel*(B115/12-1/alpha*(1-EXP(-alpha*Output!B115/12)))</f>
        <v>0.16783636241196254</v>
      </c>
      <c r="W115" s="5">
        <f t="shared" si="26"/>
        <v>-6.6756633100416747E-3</v>
      </c>
      <c r="X115" s="1">
        <f t="shared" si="27"/>
        <v>0.259592039295791</v>
      </c>
      <c r="Y115" s="3">
        <f t="shared" si="16"/>
        <v>1.9711465010658142E-2</v>
      </c>
      <c r="Z115" s="1">
        <f t="shared" si="17"/>
        <v>5.2120129229789265E-2</v>
      </c>
      <c r="AA115" s="8">
        <f t="shared" si="23"/>
        <v>8.583333333333325</v>
      </c>
      <c r="AB115" s="1">
        <v>8.6669999999999998</v>
      </c>
      <c r="AC115" s="1">
        <v>1.207524311E-3</v>
      </c>
      <c r="AD115" s="8">
        <f t="shared" si="18"/>
        <v>-0.89412335055801329</v>
      </c>
      <c r="AE115" s="3">
        <f t="shared" si="19"/>
        <v>-7.4045991655236607E-2</v>
      </c>
      <c r="AF115" s="11">
        <f t="shared" si="20"/>
        <v>8.583333333333325</v>
      </c>
      <c r="AG115" s="1">
        <f t="shared" si="21"/>
        <v>5.2120129229789265E-2</v>
      </c>
    </row>
    <row r="116" spans="2:33" ht="15" x14ac:dyDescent="0.25">
      <c r="B116" s="1">
        <v>105</v>
      </c>
      <c r="C116" s="1">
        <v>1.0000727913142993</v>
      </c>
      <c r="D116" s="1">
        <v>1.0947266594344551</v>
      </c>
      <c r="E116" s="1">
        <v>0.91303495776401578</v>
      </c>
      <c r="G116" s="1">
        <v>0.99932858786084822</v>
      </c>
      <c r="H116" s="1">
        <v>2.2096348777040995</v>
      </c>
      <c r="I116" s="1">
        <v>0.42991165629850397</v>
      </c>
      <c r="K116" s="1">
        <v>1.0000223857993074</v>
      </c>
      <c r="L116" s="1">
        <v>1.2196451643514403</v>
      </c>
      <c r="M116" s="1">
        <v>0.81707445304873094</v>
      </c>
      <c r="O116" s="1">
        <v>1.3944375991701611E-3</v>
      </c>
      <c r="P116" s="1">
        <v>0.9878728054028173</v>
      </c>
      <c r="R116" s="1">
        <v>5.5606873556340315E-2</v>
      </c>
      <c r="S116" s="2">
        <f t="shared" si="24"/>
        <v>0.15520571442405057</v>
      </c>
      <c r="T116" s="4">
        <f t="shared" si="25"/>
        <v>2.408881378987994E-2</v>
      </c>
      <c r="U116" s="1">
        <f t="shared" si="13"/>
        <v>1.7318011783940879E-2</v>
      </c>
      <c r="V116" s="6">
        <f>2*sigma/alpha*corel*(B116/12-1/alpha*(1-EXP(-alpha*Output!B116/12)))</f>
        <v>0.17090028037097948</v>
      </c>
      <c r="W116" s="5">
        <f t="shared" si="26"/>
        <v>-6.7708020059390611E-3</v>
      </c>
      <c r="X116" s="1">
        <f t="shared" si="27"/>
        <v>0.26618497603874652</v>
      </c>
      <c r="Y116" s="3">
        <f t="shared" si="16"/>
        <v>1.971605104976976E-2</v>
      </c>
      <c r="Z116" s="1">
        <f t="shared" si="17"/>
        <v>5.2469107961466172E-2</v>
      </c>
      <c r="AA116" s="8">
        <f t="shared" si="23"/>
        <v>8.666666666666659</v>
      </c>
      <c r="AB116" s="1">
        <v>8.75</v>
      </c>
      <c r="AC116" s="1">
        <v>1.3037444950000001E-3</v>
      </c>
      <c r="AD116" s="8">
        <f t="shared" si="18"/>
        <v>-0.90693104170160976</v>
      </c>
      <c r="AE116" s="3">
        <f t="shared" si="19"/>
        <v>-6.9563556753626771E-2</v>
      </c>
      <c r="AF116" s="11">
        <f t="shared" si="20"/>
        <v>8.666666666666659</v>
      </c>
      <c r="AG116" s="1">
        <f t="shared" si="21"/>
        <v>5.2469107961466172E-2</v>
      </c>
    </row>
    <row r="117" spans="2:33" ht="15" x14ac:dyDescent="0.25">
      <c r="B117" s="1">
        <v>106</v>
      </c>
      <c r="C117" s="1">
        <v>1.00007430312262</v>
      </c>
      <c r="D117" s="1">
        <v>1.0955788641968811</v>
      </c>
      <c r="E117" s="1">
        <v>0.91232194474604489</v>
      </c>
      <c r="G117" s="1">
        <v>0.99932566932393807</v>
      </c>
      <c r="H117" s="1">
        <v>2.2062568983924371</v>
      </c>
      <c r="I117" s="1">
        <v>0.43036036994816035</v>
      </c>
      <c r="K117" s="1">
        <v>1.0000256546184727</v>
      </c>
      <c r="L117" s="1">
        <v>1.2203377084133518</v>
      </c>
      <c r="M117" s="1">
        <v>0.81652530467122841</v>
      </c>
      <c r="O117" s="1">
        <v>1.4918942900157064E-3</v>
      </c>
      <c r="P117" s="1">
        <v>0.98690805534986992</v>
      </c>
      <c r="R117" s="1">
        <v>5.5826589196359737E-2</v>
      </c>
      <c r="S117" s="2">
        <f t="shared" si="24"/>
        <v>0.15698495245263694</v>
      </c>
      <c r="T117" s="4">
        <f t="shared" si="25"/>
        <v>2.4644275296556679E-2</v>
      </c>
      <c r="U117" s="1">
        <f t="shared" si="13"/>
        <v>1.777584441316904E-2</v>
      </c>
      <c r="V117" s="6">
        <f>2*sigma/alpha*corel*(B117/12-1/alpha*(1-EXP(-alpha*Output!B117/12)))</f>
        <v>0.17398866668910062</v>
      </c>
      <c r="W117" s="5">
        <f t="shared" si="26"/>
        <v>-6.8684308833876391E-3</v>
      </c>
      <c r="X117" s="1">
        <f t="shared" si="27"/>
        <v>0.27295661401594756</v>
      </c>
      <c r="Y117" s="3">
        <f t="shared" si="16"/>
        <v>1.9724367883155368E-2</v>
      </c>
      <c r="Z117" s="1">
        <f t="shared" si="17"/>
        <v>5.2819673968141412E-2</v>
      </c>
      <c r="AA117" s="8">
        <f t="shared" si="23"/>
        <v>8.7499999999999929</v>
      </c>
      <c r="AB117" s="1">
        <v>8.8330000000000002</v>
      </c>
      <c r="AC117" s="1">
        <v>1.401099223E-3</v>
      </c>
      <c r="AD117" s="8">
        <f t="shared" si="18"/>
        <v>-0.90795067015706421</v>
      </c>
      <c r="AE117" s="3">
        <f t="shared" si="19"/>
        <v>-6.4802738824805153E-2</v>
      </c>
      <c r="AF117" s="11">
        <f t="shared" si="20"/>
        <v>8.7499999999999929</v>
      </c>
      <c r="AG117" s="1">
        <f t="shared" si="21"/>
        <v>5.2819673968141412E-2</v>
      </c>
    </row>
    <row r="118" spans="2:33" ht="15" x14ac:dyDescent="0.25">
      <c r="B118" s="1">
        <v>107</v>
      </c>
      <c r="C118" s="1">
        <v>1.0000766587809857</v>
      </c>
      <c r="D118" s="1">
        <v>1.0947618873468234</v>
      </c>
      <c r="E118" s="1">
        <v>0.91299998836310725</v>
      </c>
      <c r="G118" s="1">
        <v>0.99939309206993932</v>
      </c>
      <c r="H118" s="1">
        <v>2.205098658612902</v>
      </c>
      <c r="I118" s="1">
        <v>0.4303769049235367</v>
      </c>
      <c r="K118" s="1">
        <v>1.0000206425599536</v>
      </c>
      <c r="L118" s="1">
        <v>1.2212534116999167</v>
      </c>
      <c r="M118" s="1">
        <v>0.81588767950527641</v>
      </c>
      <c r="O118" s="1">
        <v>1.5881864547314566E-3</v>
      </c>
      <c r="P118" s="1">
        <v>0.98593847074581376</v>
      </c>
      <c r="R118" s="1">
        <v>5.6016346054351393E-2</v>
      </c>
      <c r="S118" s="2">
        <f t="shared" si="24"/>
        <v>0.15869160627161083</v>
      </c>
      <c r="T118" s="4">
        <f t="shared" si="25"/>
        <v>2.5183025901063954E-2</v>
      </c>
      <c r="U118" s="1">
        <f t="shared" si="13"/>
        <v>1.8240935935365243E-2</v>
      </c>
      <c r="V118" s="6">
        <f>2*sigma/alpha*corel*(B118/12-1/alpha*(1-EXP(-alpha*Output!B118/12)))</f>
        <v>0.17710143994091343</v>
      </c>
      <c r="W118" s="5">
        <f t="shared" si="26"/>
        <v>-6.9420899656987105E-3</v>
      </c>
      <c r="X118" s="1">
        <f t="shared" si="27"/>
        <v>0.27896612880573229</v>
      </c>
      <c r="Y118" s="3">
        <f t="shared" si="16"/>
        <v>1.9686224431381731E-2</v>
      </c>
      <c r="Z118" s="1">
        <f t="shared" si="17"/>
        <v>5.3143810430145204E-2</v>
      </c>
      <c r="AA118" s="8">
        <f t="shared" si="23"/>
        <v>8.8333333333333268</v>
      </c>
      <c r="AB118" s="1">
        <v>8.9169999999999998</v>
      </c>
      <c r="AC118" s="1">
        <v>1.4984508810000001E-3</v>
      </c>
      <c r="AD118" s="8">
        <f t="shared" si="18"/>
        <v>-0.89735573731456519</v>
      </c>
      <c r="AE118" s="3">
        <f t="shared" si="19"/>
        <v>-5.9885562395993228E-2</v>
      </c>
      <c r="AF118" s="11">
        <f t="shared" si="20"/>
        <v>8.8333333333333268</v>
      </c>
      <c r="AG118" s="1">
        <f t="shared" si="21"/>
        <v>5.3143810430145204E-2</v>
      </c>
    </row>
    <row r="119" spans="2:33" ht="15" x14ac:dyDescent="0.25">
      <c r="B119" s="1">
        <v>108</v>
      </c>
      <c r="C119" s="1">
        <v>1.000079571161808</v>
      </c>
      <c r="D119" s="1">
        <v>1.0940573009182777</v>
      </c>
      <c r="E119" s="1">
        <v>0.91358520146874311</v>
      </c>
      <c r="G119" s="1">
        <v>0.99950520453845471</v>
      </c>
      <c r="H119" s="1">
        <v>2.1972844344042359</v>
      </c>
      <c r="I119" s="1">
        <v>0.43169731536481065</v>
      </c>
      <c r="K119" s="1">
        <v>1.0000123764283426</v>
      </c>
      <c r="L119" s="1">
        <v>1.2149792524958616</v>
      </c>
      <c r="M119" s="1">
        <v>0.82010782628685919</v>
      </c>
      <c r="O119" s="1">
        <v>1.6821571163003171E-3</v>
      </c>
      <c r="P119" s="1">
        <v>0.98497461073411641</v>
      </c>
      <c r="R119" s="1">
        <v>5.6244323506829515E-2</v>
      </c>
      <c r="S119" s="2">
        <f t="shared" si="24"/>
        <v>0.16048576755068422</v>
      </c>
      <c r="T119" s="4">
        <f t="shared" si="25"/>
        <v>2.5755681586332249E-2</v>
      </c>
      <c r="U119" s="1">
        <f t="shared" si="13"/>
        <v>1.8713319003244244E-2</v>
      </c>
      <c r="V119" s="6">
        <f>2*sigma/alpha*corel*(B119/12-1/alpha*(1-EXP(-alpha*Output!B119/12)))</f>
        <v>0.18023851897197196</v>
      </c>
      <c r="W119" s="5">
        <f t="shared" si="26"/>
        <v>-7.0423625830880049E-3</v>
      </c>
      <c r="X119" s="1">
        <f t="shared" si="27"/>
        <v>0.28601097671237807</v>
      </c>
      <c r="Y119" s="3">
        <f t="shared" si="16"/>
        <v>1.9697856769921952E-2</v>
      </c>
      <c r="Z119" s="1">
        <f t="shared" si="17"/>
        <v>5.3495255850228074E-2</v>
      </c>
      <c r="AA119" s="8">
        <f t="shared" si="23"/>
        <v>8.9166666666666607</v>
      </c>
      <c r="AB119" s="1">
        <v>9</v>
      </c>
      <c r="AC119" s="1">
        <v>1.5946618530000001E-3</v>
      </c>
      <c r="AD119" s="8">
        <f t="shared" si="18"/>
        <v>-0.87495263300317028</v>
      </c>
      <c r="AE119" s="3">
        <f t="shared" si="19"/>
        <v>-5.4867596622891701E-2</v>
      </c>
      <c r="AF119" s="11">
        <f t="shared" si="20"/>
        <v>8.9166666666666607</v>
      </c>
      <c r="AG119" s="1">
        <f t="shared" si="21"/>
        <v>5.3495255850228074E-2</v>
      </c>
    </row>
    <row r="120" spans="2:33" ht="15" x14ac:dyDescent="0.25">
      <c r="B120" s="1">
        <v>109</v>
      </c>
      <c r="C120" s="1">
        <v>1.0000808845023106</v>
      </c>
      <c r="D120" s="1">
        <v>1.0946185187324342</v>
      </c>
      <c r="E120" s="1">
        <v>0.91311404840518706</v>
      </c>
      <c r="G120" s="1">
        <v>0.99947735102545465</v>
      </c>
      <c r="H120" s="1">
        <v>2.1882416110589036</v>
      </c>
      <c r="I120" s="1">
        <v>0.43327039215797014</v>
      </c>
      <c r="K120" s="1">
        <v>1.0000131513106085</v>
      </c>
      <c r="L120" s="1">
        <v>1.2146067814187818</v>
      </c>
      <c r="M120" s="1">
        <v>0.82032438984537581</v>
      </c>
      <c r="O120" s="1">
        <v>1.7729522637292062E-3</v>
      </c>
      <c r="P120" s="1">
        <v>0.98402466479491069</v>
      </c>
      <c r="R120" s="1">
        <v>5.6482074161552646E-2</v>
      </c>
      <c r="S120" s="2">
        <f t="shared" si="24"/>
        <v>0.16228515737962534</v>
      </c>
      <c r="T120" s="4">
        <f t="shared" si="25"/>
        <v>2.6336472305729768E-2</v>
      </c>
      <c r="U120" s="1">
        <f t="shared" si="13"/>
        <v>1.9193025783390105E-2</v>
      </c>
      <c r="V120" s="6">
        <f>2*sigma/alpha*corel*(B120/12-1/alpha*(1-EXP(-alpha*Output!B120/12)))</f>
        <v>0.18339982289789392</v>
      </c>
      <c r="W120" s="5">
        <f t="shared" si="26"/>
        <v>-7.1434465223396623E-3</v>
      </c>
      <c r="X120" s="1">
        <f t="shared" si="27"/>
        <v>0.29318071868398654</v>
      </c>
      <c r="Y120" s="3">
        <f t="shared" si="16"/>
        <v>1.9709825358451987E-2</v>
      </c>
      <c r="Z120" s="1">
        <f t="shared" si="17"/>
        <v>5.3846338257583178E-2</v>
      </c>
      <c r="AA120" s="8">
        <f t="shared" si="23"/>
        <v>8.9999999999999947</v>
      </c>
      <c r="AB120" s="1">
        <v>9.0830000000000002</v>
      </c>
      <c r="AC120" s="1">
        <v>1.6885945259999999E-3</v>
      </c>
      <c r="AD120" s="8">
        <f t="shared" si="18"/>
        <v>-0.8435773772920625</v>
      </c>
      <c r="AE120" s="3">
        <f t="shared" si="19"/>
        <v>-4.9957367757809644E-2</v>
      </c>
      <c r="AF120" s="11">
        <f t="shared" si="20"/>
        <v>8.9999999999999947</v>
      </c>
      <c r="AG120" s="1">
        <f t="shared" si="21"/>
        <v>5.3846338257583178E-2</v>
      </c>
    </row>
    <row r="121" spans="2:33" ht="15" x14ac:dyDescent="0.25">
      <c r="B121" s="1">
        <v>110</v>
      </c>
      <c r="C121" s="1">
        <v>1.0000812030885378</v>
      </c>
      <c r="D121" s="1">
        <v>1.094417805352933</v>
      </c>
      <c r="E121" s="1">
        <v>0.91327877617887776</v>
      </c>
      <c r="G121" s="1">
        <v>0.99937037797626127</v>
      </c>
      <c r="H121" s="1">
        <v>2.1837431951848405</v>
      </c>
      <c r="I121" s="1">
        <v>0.43395169702930303</v>
      </c>
      <c r="K121" s="1">
        <v>1.0000040210155887</v>
      </c>
      <c r="L121" s="1">
        <v>1.2130036468972556</v>
      </c>
      <c r="M121" s="1">
        <v>0.821396618757815</v>
      </c>
      <c r="O121" s="1">
        <v>1.8604273343239344E-3</v>
      </c>
      <c r="P121" s="1">
        <v>0.98309067767846836</v>
      </c>
      <c r="R121" s="1">
        <v>5.6663764151430727E-2</v>
      </c>
      <c r="S121" s="2">
        <f t="shared" si="24"/>
        <v>0.16391962695052609</v>
      </c>
      <c r="T121" s="4">
        <f t="shared" si="25"/>
        <v>2.6869644099599639E-2</v>
      </c>
      <c r="U121" s="1">
        <f t="shared" ref="U121:U184" si="28">sigma*sigma/alpha/alpha*(B121/12+2/alpha*EXP(-alpha*B121/12)-1/2/alpha*EXP(-2*alpha*B121/12)-3/2/alpha)</f>
        <v>1.9680087960390669E-2</v>
      </c>
      <c r="V121" s="6">
        <f>2*sigma/alpha*corel*(B121/12-1/alpha*(1-EXP(-alpha*Output!B121/12)))</f>
        <v>0.18658527110346301</v>
      </c>
      <c r="W121" s="5">
        <f t="shared" si="26"/>
        <v>-7.1895561392089705E-3</v>
      </c>
      <c r="X121" s="1">
        <f t="shared" si="27"/>
        <v>0.29843112183041504</v>
      </c>
      <c r="Y121" s="3">
        <f t="shared" si="16"/>
        <v>1.96201759517972E-2</v>
      </c>
      <c r="Z121" s="1">
        <f t="shared" si="17"/>
        <v>5.4140870899667896E-2</v>
      </c>
      <c r="AA121" s="8">
        <f t="shared" si="23"/>
        <v>9.0833333333333286</v>
      </c>
      <c r="AB121" s="1">
        <v>9.1669999999999998</v>
      </c>
      <c r="AC121" s="1">
        <v>1.779327669E-3</v>
      </c>
      <c r="AD121" s="8">
        <f t="shared" si="18"/>
        <v>-0.81099665323934456</v>
      </c>
      <c r="AE121" s="3">
        <f t="shared" si="19"/>
        <v>-4.5578825495088987E-2</v>
      </c>
      <c r="AF121" s="11">
        <f t="shared" si="20"/>
        <v>9.0833333333333286</v>
      </c>
      <c r="AG121" s="1">
        <f t="shared" si="21"/>
        <v>5.4140870899667896E-2</v>
      </c>
    </row>
    <row r="122" spans="2:33" ht="15" x14ac:dyDescent="0.25">
      <c r="B122" s="1">
        <v>111</v>
      </c>
      <c r="C122" s="1">
        <v>1.0000841117550257</v>
      </c>
      <c r="D122" s="1">
        <v>1.0904337809321216</v>
      </c>
      <c r="E122" s="1">
        <v>0.91661281608338774</v>
      </c>
      <c r="G122" s="1">
        <v>0.99948400551335703</v>
      </c>
      <c r="H122" s="1">
        <v>2.1144161542972606</v>
      </c>
      <c r="I122" s="1">
        <v>0.44796199713785267</v>
      </c>
      <c r="K122" s="1">
        <v>1.000008081614554</v>
      </c>
      <c r="L122" s="1">
        <v>1.219180095367119</v>
      </c>
      <c r="M122" s="1">
        <v>0.81720469340310553</v>
      </c>
      <c r="O122" s="1">
        <v>1.9447174098650413E-3</v>
      </c>
      <c r="P122" s="1">
        <v>0.98217219365917485</v>
      </c>
      <c r="R122" s="1">
        <v>5.6917212823238167E-2</v>
      </c>
      <c r="S122" s="2">
        <f t="shared" si="24"/>
        <v>0.1657158590593123</v>
      </c>
      <c r="T122" s="4">
        <f t="shared" si="25"/>
        <v>2.7461745943765856E-2</v>
      </c>
      <c r="U122" s="1">
        <f t="shared" si="28"/>
        <v>2.0174536740925397E-2</v>
      </c>
      <c r="V122" s="6">
        <f>2*sigma/alpha*corel*(B122/12-1/alpha*(1-EXP(-alpha*Output!B122/12)))</f>
        <v>0.18979478324173338</v>
      </c>
      <c r="W122" s="5">
        <f t="shared" si="26"/>
        <v>-7.2872092028404591E-3</v>
      </c>
      <c r="X122" s="1">
        <f t="shared" si="27"/>
        <v>0.30564880025087354</v>
      </c>
      <c r="Y122" s="3">
        <f t="shared" si="16"/>
        <v>1.9624883876625598E-2</v>
      </c>
      <c r="Z122" s="1">
        <f t="shared" si="17"/>
        <v>5.4487038819576526E-2</v>
      </c>
      <c r="AA122" s="8">
        <f t="shared" si="23"/>
        <v>9.1666666666666625</v>
      </c>
      <c r="AB122" s="1">
        <v>9.25</v>
      </c>
      <c r="AC122" s="1">
        <v>1.8668055890000001E-3</v>
      </c>
      <c r="AD122" s="8">
        <f t="shared" si="18"/>
        <v>-0.77911820865041259</v>
      </c>
      <c r="AE122" s="3">
        <f t="shared" si="19"/>
        <v>-4.173536940543264E-2</v>
      </c>
      <c r="AF122" s="11">
        <f t="shared" si="20"/>
        <v>9.1666666666666625</v>
      </c>
      <c r="AG122" s="1">
        <f t="shared" si="21"/>
        <v>5.4487038819576526E-2</v>
      </c>
    </row>
    <row r="123" spans="2:33" ht="15" x14ac:dyDescent="0.25">
      <c r="B123" s="1">
        <v>112</v>
      </c>
      <c r="C123" s="1">
        <v>1.000085497341263</v>
      </c>
      <c r="D123" s="1">
        <v>1.0924671889524693</v>
      </c>
      <c r="E123" s="1">
        <v>0.91490401936027077</v>
      </c>
      <c r="G123" s="1">
        <v>0.99946528169891968</v>
      </c>
      <c r="H123" s="1">
        <v>2.1485710155578071</v>
      </c>
      <c r="I123" s="1">
        <v>0.44062651319024898</v>
      </c>
      <c r="K123" s="1">
        <v>1.0000072140401033</v>
      </c>
      <c r="L123" s="1">
        <v>1.2279536381245486</v>
      </c>
      <c r="M123" s="1">
        <v>0.81131546994640868</v>
      </c>
      <c r="O123" s="1">
        <v>2.0261533782345211E-3</v>
      </c>
      <c r="P123" s="1">
        <v>0.98126692182374242</v>
      </c>
      <c r="R123" s="1">
        <v>5.714686345189534E-2</v>
      </c>
      <c r="S123" s="2">
        <f t="shared" si="24"/>
        <v>0.16743328750649944</v>
      </c>
      <c r="T123" s="4">
        <f t="shared" si="25"/>
        <v>2.80339057652341E-2</v>
      </c>
      <c r="U123" s="1">
        <f t="shared" si="28"/>
        <v>2.0676402857835008E-2</v>
      </c>
      <c r="V123" s="6">
        <f>2*sigma/alpha*corel*(B123/12-1/alpha*(1-EXP(-alpha*Output!B123/12)))</f>
        <v>0.1930282792331357</v>
      </c>
      <c r="W123" s="5">
        <f t="shared" si="26"/>
        <v>-7.3575029073990918E-3</v>
      </c>
      <c r="X123" s="1">
        <f t="shared" si="27"/>
        <v>0.31194002512660485</v>
      </c>
      <c r="Y123" s="3">
        <f t="shared" si="16"/>
        <v>1.9579694668594157E-2</v>
      </c>
      <c r="Z123" s="1">
        <f t="shared" si="17"/>
        <v>5.4805408132416973E-2</v>
      </c>
      <c r="AA123" s="8">
        <f t="shared" si="23"/>
        <v>9.2499999999999964</v>
      </c>
      <c r="AB123" s="1">
        <v>9.3330000000000002</v>
      </c>
      <c r="AC123" s="1">
        <v>1.951188975E-3</v>
      </c>
      <c r="AD123" s="8">
        <f t="shared" si="18"/>
        <v>-0.74964403234521138</v>
      </c>
      <c r="AE123" s="3">
        <f t="shared" si="19"/>
        <v>-3.8419857940475061E-2</v>
      </c>
      <c r="AF123" s="11">
        <f t="shared" si="20"/>
        <v>9.2499999999999964</v>
      </c>
      <c r="AG123" s="1">
        <f t="shared" si="21"/>
        <v>5.4805408132416973E-2</v>
      </c>
    </row>
    <row r="124" spans="2:33" ht="15" x14ac:dyDescent="0.25">
      <c r="B124" s="1">
        <v>113</v>
      </c>
      <c r="C124" s="1">
        <v>1.0000870941762461</v>
      </c>
      <c r="D124" s="1">
        <v>1.091954501718414</v>
      </c>
      <c r="E124" s="1">
        <v>0.91533088737981638</v>
      </c>
      <c r="G124" s="1">
        <v>0.99946648399341464</v>
      </c>
      <c r="H124" s="1">
        <v>2.1384494683030502</v>
      </c>
      <c r="I124" s="1">
        <v>0.44249672154803293</v>
      </c>
      <c r="K124" s="1">
        <v>1.0000086539872615</v>
      </c>
      <c r="L124" s="1">
        <v>1.2264891234170694</v>
      </c>
      <c r="M124" s="1">
        <v>0.81225731786155941</v>
      </c>
      <c r="O124" s="1">
        <v>2.1047765556998759E-3</v>
      </c>
      <c r="P124" s="1">
        <v>0.98037514530772862</v>
      </c>
      <c r="R124" s="1">
        <v>5.7384912621263481E-2</v>
      </c>
      <c r="S124" s="2">
        <f t="shared" si="24"/>
        <v>0.16915392197456736</v>
      </c>
      <c r="T124" s="4">
        <f t="shared" si="25"/>
        <v>2.8613049319378022E-2</v>
      </c>
      <c r="U124" s="1">
        <f t="shared" si="28"/>
        <v>2.1185716574154245E-2</v>
      </c>
      <c r="V124" s="6">
        <f>2*sigma/alpha*corel*(B124/12-1/alpha*(1-EXP(-alpha*Output!B124/12)))</f>
        <v>0.19628567926458873</v>
      </c>
      <c r="W124" s="5">
        <f t="shared" si="26"/>
        <v>-7.4273327452237768E-3</v>
      </c>
      <c r="X124" s="1">
        <f t="shared" si="27"/>
        <v>0.31829093462112323</v>
      </c>
      <c r="Y124" s="3">
        <f t="shared" si="16"/>
        <v>1.9533828777772752E-2</v>
      </c>
      <c r="Z124" s="1">
        <f t="shared" si="17"/>
        <v>5.5123079649294318E-2</v>
      </c>
      <c r="AA124" s="8">
        <f t="shared" si="23"/>
        <v>9.3333333333333304</v>
      </c>
      <c r="AB124" s="1">
        <v>9.4169999999999998</v>
      </c>
      <c r="AC124" s="1">
        <v>2.0326385199999999E-3</v>
      </c>
      <c r="AD124" s="8">
        <f t="shared" si="18"/>
        <v>-0.72138035699876013</v>
      </c>
      <c r="AE124" s="3">
        <f t="shared" si="19"/>
        <v>-3.5489849764273884E-2</v>
      </c>
      <c r="AF124" s="11">
        <f t="shared" si="20"/>
        <v>9.3333333333333304</v>
      </c>
      <c r="AG124" s="1">
        <f t="shared" si="21"/>
        <v>5.5123079649294318E-2</v>
      </c>
    </row>
    <row r="125" spans="2:33" ht="15" x14ac:dyDescent="0.25">
      <c r="B125" s="1">
        <v>114</v>
      </c>
      <c r="C125" s="1">
        <v>1.0000900151180312</v>
      </c>
      <c r="D125" s="1">
        <v>1.0918659776329582</v>
      </c>
      <c r="E125" s="1">
        <v>0.91540242378607595</v>
      </c>
      <c r="G125" s="1">
        <v>0.99957466185188659</v>
      </c>
      <c r="H125" s="1">
        <v>2.1359767036290229</v>
      </c>
      <c r="I125" s="1">
        <v>0.44279352602488342</v>
      </c>
      <c r="K125" s="1">
        <v>1.0000155485525763</v>
      </c>
      <c r="L125" s="1">
        <v>1.2268306462356795</v>
      </c>
      <c r="M125" s="1">
        <v>0.81201724041278867</v>
      </c>
      <c r="O125" s="1">
        <v>2.1808823662008863E-3</v>
      </c>
      <c r="P125" s="1">
        <v>0.97949476862067131</v>
      </c>
      <c r="R125" s="1">
        <v>5.7633289191918617E-2</v>
      </c>
      <c r="S125" s="2">
        <f t="shared" si="24"/>
        <v>0.17088554678849199</v>
      </c>
      <c r="T125" s="4">
        <f t="shared" si="25"/>
        <v>2.9201870101201885E-2</v>
      </c>
      <c r="U125" s="1">
        <f t="shared" si="28"/>
        <v>2.1702507687120232E-2</v>
      </c>
      <c r="V125" s="6">
        <f>2*sigma/alpha*corel*(B125/12-1/alpha*(1-EXP(-alpha*Output!B125/12)))</f>
        <v>0.19956690378861197</v>
      </c>
      <c r="W125" s="5">
        <f t="shared" si="26"/>
        <v>-7.4993624140816534E-3</v>
      </c>
      <c r="X125" s="1">
        <f t="shared" si="27"/>
        <v>0.32480272082287598</v>
      </c>
      <c r="Y125" s="3">
        <f t="shared" si="16"/>
        <v>1.9491987221658055E-2</v>
      </c>
      <c r="Z125" s="1">
        <f t="shared" si="17"/>
        <v>5.5442592501473174E-2</v>
      </c>
      <c r="AA125" s="8">
        <f t="shared" si="23"/>
        <v>9.4166666666666643</v>
      </c>
      <c r="AB125" s="1">
        <v>9.5</v>
      </c>
      <c r="AC125" s="1">
        <v>2.1113149129999998E-3</v>
      </c>
      <c r="AD125" s="8">
        <f t="shared" si="18"/>
        <v>-0.6956745320088652</v>
      </c>
      <c r="AE125" s="3">
        <f t="shared" si="19"/>
        <v>-3.2949823246422795E-2</v>
      </c>
      <c r="AF125" s="11">
        <f t="shared" si="20"/>
        <v>9.4166666666666643</v>
      </c>
      <c r="AG125" s="1">
        <f t="shared" si="21"/>
        <v>5.5442592501473174E-2</v>
      </c>
    </row>
    <row r="126" spans="2:33" ht="15" x14ac:dyDescent="0.25">
      <c r="B126" s="1">
        <v>115</v>
      </c>
      <c r="C126" s="1">
        <v>1.0000926372320089</v>
      </c>
      <c r="D126" s="1">
        <v>1.0932245985769939</v>
      </c>
      <c r="E126" s="1">
        <v>0.91426213812726065</v>
      </c>
      <c r="G126" s="1">
        <v>0.99965589780586184</v>
      </c>
      <c r="H126" s="1">
        <v>2.1579105792962898</v>
      </c>
      <c r="I126" s="1">
        <v>0.43807963784940168</v>
      </c>
      <c r="K126" s="1">
        <v>1.0000156521486325</v>
      </c>
      <c r="L126" s="1">
        <v>1.2332709884206756</v>
      </c>
      <c r="M126" s="1">
        <v>0.80771823795573372</v>
      </c>
      <c r="O126" s="1">
        <v>2.2544216746834345E-3</v>
      </c>
      <c r="P126" s="1">
        <v>0.97862683920183458</v>
      </c>
      <c r="R126" s="1">
        <v>5.7923956144756115E-2</v>
      </c>
      <c r="S126" s="2">
        <f t="shared" si="24"/>
        <v>0.1727090205627273</v>
      </c>
      <c r="T126" s="4">
        <f t="shared" si="25"/>
        <v>2.9828405783736561E-2</v>
      </c>
      <c r="U126" s="1">
        <f t="shared" si="28"/>
        <v>2.2226805532145733E-2</v>
      </c>
      <c r="V126" s="6">
        <f>2*sigma/alpha*corel*(B126/12-1/alpha*(1-EXP(-alpha*Output!B126/12)))</f>
        <v>0.20287187352244129</v>
      </c>
      <c r="W126" s="5">
        <f t="shared" si="26"/>
        <v>-7.6016002515908281E-3</v>
      </c>
      <c r="X126" s="1">
        <f t="shared" si="27"/>
        <v>0.33255167337748714</v>
      </c>
      <c r="Y126" s="3">
        <f t="shared" si="16"/>
        <v>1.9502664050670384E-2</v>
      </c>
      <c r="Z126" s="1">
        <f t="shared" si="17"/>
        <v>5.5790046595898361E-2</v>
      </c>
      <c r="AA126" s="8">
        <f t="shared" si="23"/>
        <v>9.4999999999999982</v>
      </c>
      <c r="AB126" s="1">
        <v>9.5830000000000002</v>
      </c>
      <c r="AC126" s="1">
        <v>2.1873788459999999E-3</v>
      </c>
      <c r="AD126" s="8">
        <f t="shared" si="18"/>
        <v>-0.67042828683434608</v>
      </c>
      <c r="AE126" s="3">
        <f t="shared" si="19"/>
        <v>-3.0649847787471294E-2</v>
      </c>
      <c r="AF126" s="11">
        <f t="shared" si="20"/>
        <v>9.4999999999999982</v>
      </c>
      <c r="AG126" s="1">
        <f t="shared" si="21"/>
        <v>5.5790046595898361E-2</v>
      </c>
    </row>
    <row r="127" spans="2:33" ht="15" x14ac:dyDescent="0.25">
      <c r="B127" s="1">
        <v>116</v>
      </c>
      <c r="C127" s="1">
        <v>1.0000965695851864</v>
      </c>
      <c r="D127" s="1">
        <v>1.0899197551098783</v>
      </c>
      <c r="E127" s="1">
        <v>0.91703170640681064</v>
      </c>
      <c r="G127" s="1">
        <v>0.99984216689336369</v>
      </c>
      <c r="H127" s="1">
        <v>2.0977123641366342</v>
      </c>
      <c r="I127" s="1">
        <v>0.45043209064561879</v>
      </c>
      <c r="K127" s="1">
        <v>1.0000106800634645</v>
      </c>
      <c r="L127" s="1">
        <v>1.2322429654265898</v>
      </c>
      <c r="M127" s="1">
        <v>0.80844820425172959</v>
      </c>
      <c r="O127" s="1">
        <v>2.3258498973032587E-3</v>
      </c>
      <c r="P127" s="1">
        <v>0.97776764822663897</v>
      </c>
      <c r="R127" s="1">
        <v>5.8185134344020326E-2</v>
      </c>
      <c r="S127" s="2">
        <f t="shared" si="24"/>
        <v>0.17444523748176782</v>
      </c>
      <c r="T127" s="4">
        <f t="shared" si="25"/>
        <v>3.0431140880070373E-2</v>
      </c>
      <c r="U127" s="1">
        <f t="shared" si="28"/>
        <v>2.2758638986766666E-2</v>
      </c>
      <c r="V127" s="6">
        <f>2*sigma/alpha*corel*(B127/12-1/alpha*(1-EXP(-alpha*Output!B127/12)))</f>
        <v>0.20620050944714907</v>
      </c>
      <c r="W127" s="5">
        <f t="shared" si="26"/>
        <v>-7.672501893303707E-3</v>
      </c>
      <c r="X127" s="1">
        <f t="shared" si="27"/>
        <v>0.33918872330400718</v>
      </c>
      <c r="Y127" s="3">
        <f t="shared" si="16"/>
        <v>1.9458548303357203E-2</v>
      </c>
      <c r="Z127" s="1">
        <f t="shared" si="17"/>
        <v>5.6107477724087765E-2</v>
      </c>
      <c r="AA127" s="8">
        <f t="shared" si="23"/>
        <v>9.5833333333333321</v>
      </c>
      <c r="AB127" s="1">
        <v>9.6669999999999998</v>
      </c>
      <c r="AC127" s="1">
        <v>2.2609919879999999E-3</v>
      </c>
      <c r="AD127" s="8">
        <f t="shared" si="18"/>
        <v>-0.64857909303258754</v>
      </c>
      <c r="AE127" s="3">
        <f t="shared" si="19"/>
        <v>-2.8685598908570194E-2</v>
      </c>
      <c r="AF127" s="11">
        <f t="shared" si="20"/>
        <v>9.5833333333333321</v>
      </c>
      <c r="AG127" s="1">
        <f t="shared" si="21"/>
        <v>5.6107477724087765E-2</v>
      </c>
    </row>
    <row r="128" spans="2:33" ht="15" x14ac:dyDescent="0.25">
      <c r="B128" s="1">
        <v>117</v>
      </c>
      <c r="C128" s="1">
        <v>1.0000960636726002</v>
      </c>
      <c r="D128" s="1">
        <v>1.092630326535551</v>
      </c>
      <c r="E128" s="1">
        <v>0.91475413084121104</v>
      </c>
      <c r="G128" s="1">
        <v>0.99966728439218655</v>
      </c>
      <c r="H128" s="1">
        <v>2.1460972697209</v>
      </c>
      <c r="I128" s="1">
        <v>0.44006276496564739</v>
      </c>
      <c r="K128" s="1">
        <v>1.0000094695395336</v>
      </c>
      <c r="L128" s="1">
        <v>1.2373662782057704</v>
      </c>
      <c r="M128" s="1">
        <v>0.80505631362700025</v>
      </c>
      <c r="O128" s="1">
        <v>2.3951407615044585E-3</v>
      </c>
      <c r="P128" s="1">
        <v>0.97691793985723707</v>
      </c>
      <c r="R128" s="1">
        <v>5.8462008152749115E-2</v>
      </c>
      <c r="S128" s="2">
        <f t="shared" si="24"/>
        <v>0.1762092169614759</v>
      </c>
      <c r="T128" s="4">
        <f t="shared" si="25"/>
        <v>3.1049688142176485E-2</v>
      </c>
      <c r="U128" s="1">
        <f t="shared" si="28"/>
        <v>2.329803647455897E-2</v>
      </c>
      <c r="V128" s="6">
        <f>2*sigma/alpha*corel*(B128/12-1/alpha*(1-EXP(-alpha*Output!B128/12)))</f>
        <v>0.20955273280676479</v>
      </c>
      <c r="W128" s="5">
        <f t="shared" si="26"/>
        <v>-7.7516516676175151E-3</v>
      </c>
      <c r="X128" s="1">
        <f t="shared" si="27"/>
        <v>0.34622676286386644</v>
      </c>
      <c r="Y128" s="3">
        <f t="shared" si="16"/>
        <v>1.9428596750393955E-2</v>
      </c>
      <c r="Z128" s="1">
        <f t="shared" si="17"/>
        <v>5.6432113190962363E-2</v>
      </c>
      <c r="AA128" s="8">
        <f t="shared" si="23"/>
        <v>9.6666666666666661</v>
      </c>
      <c r="AB128" s="1">
        <v>9.75</v>
      </c>
      <c r="AC128" s="1">
        <v>2.332319927E-3</v>
      </c>
      <c r="AD128" s="8">
        <f t="shared" si="18"/>
        <v>-0.62820834504458478</v>
      </c>
      <c r="AE128" s="3">
        <f t="shared" si="19"/>
        <v>-2.6934913078268476E-2</v>
      </c>
      <c r="AF128" s="11">
        <f t="shared" si="20"/>
        <v>9.6666666666666661</v>
      </c>
      <c r="AG128" s="1">
        <f t="shared" si="21"/>
        <v>5.6432113190962363E-2</v>
      </c>
    </row>
    <row r="129" spans="2:33" ht="15" x14ac:dyDescent="0.25">
      <c r="B129" s="1">
        <v>118</v>
      </c>
      <c r="C129" s="1">
        <v>1.0000971544671204</v>
      </c>
      <c r="D129" s="1">
        <v>1.0917155821488871</v>
      </c>
      <c r="E129" s="1">
        <v>0.91551798781065974</v>
      </c>
      <c r="G129" s="1">
        <v>0.99962404180280173</v>
      </c>
      <c r="H129" s="1">
        <v>2.1293943409981209</v>
      </c>
      <c r="I129" s="1">
        <v>0.44329895284135257</v>
      </c>
      <c r="K129" s="1">
        <v>1.0000160050372922</v>
      </c>
      <c r="L129" s="1">
        <v>1.2419172213550753</v>
      </c>
      <c r="M129" s="1">
        <v>0.80208524124149971</v>
      </c>
      <c r="O129" s="1">
        <v>2.4624294082918907E-3</v>
      </c>
      <c r="P129" s="1">
        <v>0.97607691513675432</v>
      </c>
      <c r="R129" s="1">
        <v>5.8774209376328261E-2</v>
      </c>
      <c r="S129" s="2">
        <f t="shared" si="24"/>
        <v>0.17805265018393163</v>
      </c>
      <c r="T129" s="4">
        <f t="shared" si="25"/>
        <v>3.1702746237521527E-2</v>
      </c>
      <c r="U129" s="1">
        <f t="shared" si="28"/>
        <v>2.3845025969027933E-2</v>
      </c>
      <c r="V129" s="6">
        <f>2*sigma/alpha*corel*(B129/12-1/alpha*(1-EXP(-alpha*Output!B129/12)))</f>
        <v>0.21292846510740149</v>
      </c>
      <c r="W129" s="5">
        <f t="shared" si="26"/>
        <v>-7.857720268493594E-3</v>
      </c>
      <c r="X129" s="1">
        <f t="shared" si="27"/>
        <v>0.35440886181374187</v>
      </c>
      <c r="Y129" s="3">
        <f t="shared" si="16"/>
        <v>1.9443763751844357E-2</v>
      </c>
      <c r="Z129" s="1">
        <f t="shared" si="17"/>
        <v>5.6780349522976184E-2</v>
      </c>
      <c r="AA129" s="8">
        <f t="shared" si="23"/>
        <v>9.75</v>
      </c>
      <c r="AB129" s="1">
        <v>9.8330000000000002</v>
      </c>
      <c r="AC129" s="1">
        <v>2.4015292279999999E-3</v>
      </c>
      <c r="AD129" s="8">
        <f t="shared" si="18"/>
        <v>-0.60900180291890804</v>
      </c>
      <c r="AE129" s="3">
        <f t="shared" si="19"/>
        <v>-2.5358916969171613E-2</v>
      </c>
      <c r="AF129" s="11">
        <f t="shared" si="20"/>
        <v>9.75</v>
      </c>
      <c r="AG129" s="1">
        <f t="shared" si="21"/>
        <v>5.6780349522976184E-2</v>
      </c>
    </row>
    <row r="130" spans="2:33" ht="15" x14ac:dyDescent="0.25">
      <c r="B130" s="1">
        <v>119</v>
      </c>
      <c r="C130" s="1">
        <v>1.0000999462460647</v>
      </c>
      <c r="D130" s="1">
        <v>1.093674137193982</v>
      </c>
      <c r="E130" s="1">
        <v>0.91387588388998375</v>
      </c>
      <c r="G130" s="1">
        <v>0.99971669946612696</v>
      </c>
      <c r="H130" s="1">
        <v>2.1618123213913574</v>
      </c>
      <c r="I130" s="1">
        <v>0.43643905000742655</v>
      </c>
      <c r="K130" s="1">
        <v>1.0000182131104218</v>
      </c>
      <c r="L130" s="1">
        <v>1.2321173439938506</v>
      </c>
      <c r="M130" s="1">
        <v>0.80838244491693334</v>
      </c>
      <c r="O130" s="1">
        <v>2.5278923905751758E-3</v>
      </c>
      <c r="P130" s="1">
        <v>0.97524333359299487</v>
      </c>
      <c r="R130" s="1">
        <v>5.9099175092455124E-2</v>
      </c>
      <c r="S130" s="2">
        <f t="shared" si="24"/>
        <v>0.17991937351295545</v>
      </c>
      <c r="T130" s="4">
        <f t="shared" si="25"/>
        <v>3.2370980965294373E-2</v>
      </c>
      <c r="U130" s="1">
        <f t="shared" si="28"/>
        <v>2.4399634997467778E-2</v>
      </c>
      <c r="V130" s="6">
        <f>2*sigma/alpha*corel*(B130/12-1/alpha*(1-EXP(-alpha*Output!B130/12)))</f>
        <v>0.2163276281163824</v>
      </c>
      <c r="W130" s="5">
        <f t="shared" si="26"/>
        <v>-7.9713459678265944E-3</v>
      </c>
      <c r="X130" s="1">
        <f t="shared" si="27"/>
        <v>0.36299436607691477</v>
      </c>
      <c r="Y130" s="3">
        <f t="shared" si="16"/>
        <v>1.9470378636608381E-2</v>
      </c>
      <c r="Z130" s="1">
        <f t="shared" si="17"/>
        <v>5.7134058157479857E-2</v>
      </c>
      <c r="AA130" s="8">
        <f t="shared" si="23"/>
        <v>9.8333333333333339</v>
      </c>
      <c r="AB130" s="1">
        <v>9.9169999999999998</v>
      </c>
      <c r="AC130" s="1">
        <v>2.4687864590000001E-3</v>
      </c>
      <c r="AD130" s="8">
        <f t="shared" si="18"/>
        <v>-0.59105931575175774</v>
      </c>
      <c r="AE130" s="3">
        <f t="shared" si="19"/>
        <v>-2.394128959987777E-2</v>
      </c>
      <c r="AF130" s="11">
        <f t="shared" si="20"/>
        <v>9.8333333333333339</v>
      </c>
      <c r="AG130" s="1">
        <f t="shared" si="21"/>
        <v>5.7134058157479857E-2</v>
      </c>
    </row>
    <row r="131" spans="2:33" ht="15" x14ac:dyDescent="0.25">
      <c r="B131" s="1">
        <v>120</v>
      </c>
      <c r="C131" s="1">
        <v>1.0001025125289704</v>
      </c>
      <c r="D131" s="1">
        <v>1.094003726435788</v>
      </c>
      <c r="E131" s="1">
        <v>0.91359798535752224</v>
      </c>
      <c r="G131" s="1">
        <v>0.9997957011398878</v>
      </c>
      <c r="H131" s="1">
        <v>2.1667225319847598</v>
      </c>
      <c r="I131" s="1">
        <v>0.43523828530549918</v>
      </c>
      <c r="K131" s="1">
        <v>1.0000212201543837</v>
      </c>
      <c r="L131" s="1">
        <v>1.2381079538854958</v>
      </c>
      <c r="M131" s="1">
        <v>0.80448510449707367</v>
      </c>
      <c r="O131" s="1">
        <v>2.5916952017028946E-3</v>
      </c>
      <c r="P131" s="1">
        <v>0.97441600953275098</v>
      </c>
      <c r="R131" s="1">
        <v>5.9411263338916734E-2</v>
      </c>
      <c r="S131" s="2">
        <f t="shared" si="24"/>
        <v>0.18174498460141997</v>
      </c>
      <c r="T131" s="4">
        <f t="shared" si="25"/>
        <v>3.3031239427770379E-2</v>
      </c>
      <c r="U131" s="1">
        <f t="shared" si="28"/>
        <v>2.4961890644793705E-2</v>
      </c>
      <c r="V131" s="6">
        <f>2*sigma/alpha*corel*(B131/12-1/alpha*(1-EXP(-alpha*Output!B131/12)))</f>
        <v>0.21975014386137293</v>
      </c>
      <c r="W131" s="5">
        <f t="shared" si="26"/>
        <v>-8.0693487829766736E-3</v>
      </c>
      <c r="X131" s="1">
        <f t="shared" si="27"/>
        <v>0.37106407704616107</v>
      </c>
      <c r="Y131" s="3">
        <f t="shared" si="16"/>
        <v>1.9470007357784029E-2</v>
      </c>
      <c r="Z131" s="1">
        <f t="shared" si="17"/>
        <v>5.747281046527164E-2</v>
      </c>
      <c r="AA131" s="8">
        <f t="shared" si="23"/>
        <v>9.9166666666666679</v>
      </c>
      <c r="AB131" s="1">
        <v>10</v>
      </c>
      <c r="AC131" s="1">
        <v>2.5342581859999999E-3</v>
      </c>
      <c r="AD131" s="8">
        <f t="shared" si="18"/>
        <v>-0.57437015702894745</v>
      </c>
      <c r="AE131" s="3">
        <f t="shared" si="19"/>
        <v>-2.2664232089766544E-2</v>
      </c>
      <c r="AF131" s="11">
        <f t="shared" si="20"/>
        <v>9.9166666666666679</v>
      </c>
      <c r="AG131" s="1">
        <f t="shared" si="21"/>
        <v>5.747281046527164E-2</v>
      </c>
    </row>
    <row r="132" spans="2:33" ht="15" x14ac:dyDescent="0.25">
      <c r="B132" s="1">
        <v>121</v>
      </c>
      <c r="C132" s="1">
        <v>1.0001022809103379</v>
      </c>
      <c r="D132" s="1">
        <v>1.0956948780026454</v>
      </c>
      <c r="E132" s="1">
        <v>0.91218533504030896</v>
      </c>
      <c r="G132" s="1">
        <v>0.99964685210274151</v>
      </c>
      <c r="H132" s="1">
        <v>2.1975388987843956</v>
      </c>
      <c r="I132" s="1">
        <v>0.42892625672937656</v>
      </c>
      <c r="K132" s="1">
        <v>1.0000161002472034</v>
      </c>
      <c r="L132" s="1">
        <v>1.2350717408097234</v>
      </c>
      <c r="M132" s="1">
        <v>0.80640748203020962</v>
      </c>
      <c r="O132" s="1">
        <v>2.6541409740121398E-3</v>
      </c>
      <c r="P132" s="1">
        <v>0.97359235644653064</v>
      </c>
      <c r="R132" s="1">
        <v>5.9722757437095632E-2</v>
      </c>
      <c r="S132" s="2">
        <f t="shared" si="24"/>
        <v>0.18356432828295227</v>
      </c>
      <c r="T132" s="4">
        <f t="shared" si="25"/>
        <v>3.3695862617971473E-2</v>
      </c>
      <c r="U132" s="1">
        <f t="shared" si="28"/>
        <v>2.5531819557341073E-2</v>
      </c>
      <c r="V132" s="6">
        <f>2*sigma/alpha*corel*(B132/12-1/alpha*(1-EXP(-alpha*Output!B132/12)))</f>
        <v>0.2231959346295127</v>
      </c>
      <c r="W132" s="5">
        <f t="shared" si="26"/>
        <v>-8.1640430606303993E-3</v>
      </c>
      <c r="X132" s="1">
        <f t="shared" si="27"/>
        <v>0.37909949534723453</v>
      </c>
      <c r="Y132" s="3">
        <f t="shared" si="16"/>
        <v>1.9463535208849594E-2</v>
      </c>
      <c r="Z132" s="1">
        <f t="shared" si="17"/>
        <v>5.7807771462422906E-2</v>
      </c>
      <c r="AA132" s="8">
        <f t="shared" si="23"/>
        <v>10.000000000000002</v>
      </c>
      <c r="AB132" s="1">
        <v>10.08</v>
      </c>
      <c r="AC132" s="1">
        <v>2.5981109739999998E-3</v>
      </c>
      <c r="AD132" s="8">
        <f t="shared" si="18"/>
        <v>-0.56030000012139913</v>
      </c>
      <c r="AE132" s="3">
        <f t="shared" si="19"/>
        <v>-2.1565668507945696E-2</v>
      </c>
      <c r="AF132" s="11">
        <f t="shared" si="20"/>
        <v>10.000000000000002</v>
      </c>
      <c r="AG132" s="1">
        <f t="shared" si="21"/>
        <v>5.7807771462422906E-2</v>
      </c>
    </row>
    <row r="133" spans="2:33" ht="15" x14ac:dyDescent="0.25">
      <c r="B133" s="1">
        <v>122</v>
      </c>
      <c r="C133" s="1">
        <v>1.0001035810087364</v>
      </c>
      <c r="D133" s="1">
        <v>1.0997204966697234</v>
      </c>
      <c r="E133" s="1">
        <v>0.90884367230976948</v>
      </c>
      <c r="G133" s="1">
        <v>0.9996160221105731</v>
      </c>
      <c r="H133" s="1">
        <v>2.2725356504185892</v>
      </c>
      <c r="I133" s="1">
        <v>0.41456947772623337</v>
      </c>
      <c r="K133" s="1">
        <v>1.0000238721406132</v>
      </c>
      <c r="L133" s="1">
        <v>1.2419687437477167</v>
      </c>
      <c r="M133" s="1">
        <v>0.80196175569975825</v>
      </c>
      <c r="O133" s="1">
        <v>2.7152906132920456E-3</v>
      </c>
      <c r="P133" s="1">
        <v>0.97277209388294783</v>
      </c>
      <c r="R133" s="1">
        <v>6.0086394092444657E-2</v>
      </c>
      <c r="S133" s="2">
        <f t="shared" si="24"/>
        <v>0.18551391763085523</v>
      </c>
      <c r="T133" s="4">
        <f t="shared" si="25"/>
        <v>3.4415413634747739E-2</v>
      </c>
      <c r="U133" s="1">
        <f t="shared" si="28"/>
        <v>2.6109447946645492E-2</v>
      </c>
      <c r="V133" s="6">
        <f>2*sigma/alpha*corel*(B133/12-1/alpha*(1-EXP(-alpha*Output!B133/12)))</f>
        <v>0.22666492296655338</v>
      </c>
      <c r="W133" s="5">
        <f t="shared" si="26"/>
        <v>-8.3059656881022473E-3</v>
      </c>
      <c r="X133" s="1">
        <f t="shared" si="27"/>
        <v>0.38915292528625833</v>
      </c>
      <c r="Y133" s="3">
        <f t="shared" si="16"/>
        <v>1.9532277327584967E-2</v>
      </c>
      <c r="Z133" s="1">
        <f t="shared" si="17"/>
        <v>5.8181806886673251E-2</v>
      </c>
      <c r="AA133" s="8">
        <f t="shared" si="23"/>
        <v>10.083333333333336</v>
      </c>
      <c r="AB133" s="1">
        <v>10.17</v>
      </c>
      <c r="AC133" s="1">
        <v>2.6605188710000002E-3</v>
      </c>
      <c r="AD133" s="8">
        <f t="shared" si="18"/>
        <v>-0.54771742292045433</v>
      </c>
      <c r="AE133" s="3">
        <f t="shared" si="19"/>
        <v>-2.0586864798842253E-2</v>
      </c>
      <c r="AF133" s="11">
        <f t="shared" si="20"/>
        <v>10.083333333333336</v>
      </c>
      <c r="AG133" s="1">
        <f t="shared" si="21"/>
        <v>5.8181806886673251E-2</v>
      </c>
    </row>
    <row r="134" spans="2:33" ht="15" x14ac:dyDescent="0.25">
      <c r="B134" s="1">
        <v>123</v>
      </c>
      <c r="C134" s="1">
        <v>1.0001055670004317</v>
      </c>
      <c r="D134" s="1">
        <v>1.0958924532201184</v>
      </c>
      <c r="E134" s="1">
        <v>0.91201581209978944</v>
      </c>
      <c r="G134" s="1">
        <v>0.99964212267564689</v>
      </c>
      <c r="H134" s="1">
        <v>2.2009545245382873</v>
      </c>
      <c r="I134" s="1">
        <v>0.42784434647818148</v>
      </c>
      <c r="K134" s="1">
        <v>1.0000172194248622</v>
      </c>
      <c r="L134" s="1">
        <v>1.2415892664594728</v>
      </c>
      <c r="M134" s="1">
        <v>0.80217513122470685</v>
      </c>
      <c r="O134" s="1">
        <v>2.7753495833046735E-3</v>
      </c>
      <c r="P134" s="1">
        <v>0.97195348244976976</v>
      </c>
      <c r="R134" s="1">
        <v>6.040114452549207E-2</v>
      </c>
      <c r="S134" s="2">
        <f t="shared" si="24"/>
        <v>0.18733535495367082</v>
      </c>
      <c r="T134" s="4">
        <f t="shared" si="25"/>
        <v>3.5094535215617839E-2</v>
      </c>
      <c r="U134" s="1">
        <f t="shared" si="28"/>
        <v>2.6694801593186046E-2</v>
      </c>
      <c r="V134" s="6">
        <f>2*sigma/alpha*corel*(B134/12-1/alpha*(1-EXP(-alpha*Output!B134/12)))</f>
        <v>0.23015703167599821</v>
      </c>
      <c r="W134" s="5">
        <f t="shared" si="26"/>
        <v>-8.3997336224317931E-3</v>
      </c>
      <c r="X134" s="1">
        <f t="shared" si="27"/>
        <v>0.39736133774960997</v>
      </c>
      <c r="Y134" s="3">
        <f t="shared" si="16"/>
        <v>1.9522390393202624E-2</v>
      </c>
      <c r="Z134" s="1">
        <f t="shared" si="17"/>
        <v>5.8513734235704169E-2</v>
      </c>
      <c r="AA134" s="8">
        <f t="shared" si="23"/>
        <v>10.16666666666667</v>
      </c>
      <c r="AB134" s="1">
        <v>10.25</v>
      </c>
      <c r="AC134" s="1">
        <v>2.7216858369999999E-3</v>
      </c>
      <c r="AD134" s="8">
        <f t="shared" si="18"/>
        <v>-0.53663746304673676</v>
      </c>
      <c r="AE134" s="3">
        <f t="shared" si="19"/>
        <v>-1.9717097974770288E-2</v>
      </c>
      <c r="AF134" s="11">
        <f t="shared" si="20"/>
        <v>10.16666666666667</v>
      </c>
      <c r="AG134" s="1">
        <f t="shared" si="21"/>
        <v>5.8513734235704169E-2</v>
      </c>
    </row>
    <row r="135" spans="2:33" ht="15" x14ac:dyDescent="0.25">
      <c r="B135" s="1">
        <v>124</v>
      </c>
      <c r="C135" s="1">
        <v>1.0001054394774611</v>
      </c>
      <c r="D135" s="1">
        <v>1.0972958101852861</v>
      </c>
      <c r="E135" s="1">
        <v>0.91084690562705994</v>
      </c>
      <c r="G135" s="1">
        <v>0.99949948385235221</v>
      </c>
      <c r="H135" s="1">
        <v>2.2259319468687471</v>
      </c>
      <c r="I135" s="1">
        <v>0.42283782900747774</v>
      </c>
      <c r="K135" s="1">
        <v>1.0000272393617664</v>
      </c>
      <c r="L135" s="1">
        <v>1.2441955482142641</v>
      </c>
      <c r="M135" s="1">
        <v>0.8004167474720687</v>
      </c>
      <c r="O135" s="1">
        <v>2.8345730691907646E-3</v>
      </c>
      <c r="P135" s="1">
        <v>0.97113422313831055</v>
      </c>
      <c r="R135" s="1">
        <v>6.0750717905629852E-2</v>
      </c>
      <c r="S135" s="2">
        <f t="shared" si="24"/>
        <v>0.18924761611131496</v>
      </c>
      <c r="T135" s="4">
        <f t="shared" si="25"/>
        <v>3.5814660203815636E-2</v>
      </c>
      <c r="U135" s="1">
        <f t="shared" si="28"/>
        <v>2.7287905850104988E-2</v>
      </c>
      <c r="V135" s="6">
        <f>2*sigma/alpha*corel*(B135/12-1/alpha*(1-EXP(-alpha*Output!B135/12)))</f>
        <v>0.23367218381824229</v>
      </c>
      <c r="W135" s="5">
        <f t="shared" si="26"/>
        <v>-8.5267543537106485E-3</v>
      </c>
      <c r="X135" s="1">
        <f t="shared" si="27"/>
        <v>0.40704186944375992</v>
      </c>
      <c r="Y135" s="3">
        <f t="shared" si="16"/>
        <v>1.956416837732183E-2</v>
      </c>
      <c r="Z135" s="1">
        <f t="shared" si="17"/>
        <v>5.8872190875096292E-2</v>
      </c>
      <c r="AA135" s="8">
        <f t="shared" si="23"/>
        <v>10.250000000000004</v>
      </c>
      <c r="AB135" s="1">
        <v>10.33</v>
      </c>
      <c r="AC135" s="1">
        <v>2.7818233150000002E-3</v>
      </c>
      <c r="AD135" s="8">
        <f t="shared" si="18"/>
        <v>-0.52749754190764464</v>
      </c>
      <c r="AE135" s="3">
        <f t="shared" si="19"/>
        <v>-1.8962294947464865E-2</v>
      </c>
      <c r="AF135" s="11">
        <f t="shared" si="20"/>
        <v>10.250000000000004</v>
      </c>
      <c r="AG135" s="1">
        <f t="shared" si="21"/>
        <v>5.8872190875096292E-2</v>
      </c>
    </row>
    <row r="136" spans="2:33" ht="15" x14ac:dyDescent="0.25">
      <c r="B136" s="1">
        <v>125</v>
      </c>
      <c r="C136" s="1">
        <v>1.0001065567897245</v>
      </c>
      <c r="D136" s="1">
        <v>1.0959808319707565</v>
      </c>
      <c r="E136" s="1">
        <v>0.91193725951031568</v>
      </c>
      <c r="G136" s="1">
        <v>0.99945230032568866</v>
      </c>
      <c r="H136" s="1">
        <v>2.1988545195602214</v>
      </c>
      <c r="I136" s="1">
        <v>0.42783674564046359</v>
      </c>
      <c r="K136" s="1">
        <v>1.0000199452726863</v>
      </c>
      <c r="L136" s="1">
        <v>1.2396345619749431</v>
      </c>
      <c r="M136" s="1">
        <v>0.80333501710003863</v>
      </c>
      <c r="O136" s="1">
        <v>2.8931753670459895E-3</v>
      </c>
      <c r="P136" s="1">
        <v>0.97031235543655692</v>
      </c>
      <c r="R136" s="1">
        <v>6.1021370052257592E-2</v>
      </c>
      <c r="S136" s="2">
        <f t="shared" si="24"/>
        <v>0.19095901316874225</v>
      </c>
      <c r="T136" s="4">
        <f t="shared" si="25"/>
        <v>3.6465344710379877E-2</v>
      </c>
      <c r="U136" s="1">
        <f t="shared" si="28"/>
        <v>2.7888785646898118E-2</v>
      </c>
      <c r="V136" s="6">
        <f>2*sigma/alpha*corel*(B136/12-1/alpha*(1-EXP(-alpha*Output!B136/12)))</f>
        <v>0.2372103027097201</v>
      </c>
      <c r="W136" s="5">
        <f t="shared" si="26"/>
        <v>-8.576559063481759E-3</v>
      </c>
      <c r="X136" s="1">
        <f t="shared" si="27"/>
        <v>0.41362535535671036</v>
      </c>
      <c r="Y136" s="3">
        <f t="shared" si="16"/>
        <v>1.9484487238696079E-2</v>
      </c>
      <c r="Z136" s="1">
        <f t="shared" si="17"/>
        <v>5.916648622485933E-2</v>
      </c>
      <c r="AA136" s="8">
        <f t="shared" si="23"/>
        <v>10.333333333333337</v>
      </c>
      <c r="AB136" s="1">
        <v>10.42</v>
      </c>
      <c r="AC136" s="1">
        <v>2.8411427460000001E-3</v>
      </c>
      <c r="AD136" s="8">
        <f t="shared" si="18"/>
        <v>-0.52032621045989402</v>
      </c>
      <c r="AE136" s="3">
        <f t="shared" si="19"/>
        <v>-1.8313976346047839E-2</v>
      </c>
      <c r="AF136" s="11">
        <f t="shared" si="20"/>
        <v>10.333333333333337</v>
      </c>
      <c r="AG136" s="1">
        <f t="shared" si="21"/>
        <v>5.916648622485933E-2</v>
      </c>
    </row>
    <row r="137" spans="2:33" ht="15" x14ac:dyDescent="0.25">
      <c r="B137" s="1">
        <v>126</v>
      </c>
      <c r="C137" s="1">
        <v>1.0001097522542144</v>
      </c>
      <c r="D137" s="1">
        <v>1.0938963440605627</v>
      </c>
      <c r="E137" s="1">
        <v>0.91367252526128961</v>
      </c>
      <c r="G137" s="1">
        <v>0.99957416958842205</v>
      </c>
      <c r="H137" s="1">
        <v>2.1616344724477701</v>
      </c>
      <c r="I137" s="1">
        <v>0.4349919246486309</v>
      </c>
      <c r="K137" s="1">
        <v>1.0000237419508959</v>
      </c>
      <c r="L137" s="1">
        <v>1.2534141209130638</v>
      </c>
      <c r="M137" s="1">
        <v>0.79447726377877725</v>
      </c>
      <c r="O137" s="1">
        <v>2.9513305158705479E-3</v>
      </c>
      <c r="P137" s="1">
        <v>0.96948626604664334</v>
      </c>
      <c r="R137" s="1">
        <v>6.1323631346286586E-2</v>
      </c>
      <c r="S137" s="2">
        <f t="shared" si="24"/>
        <v>0.19275733953979884</v>
      </c>
      <c r="T137" s="4">
        <f t="shared" si="25"/>
        <v>3.7155391946461301E-2</v>
      </c>
      <c r="U137" s="1">
        <f t="shared" si="28"/>
        <v>2.8497465493083851E-2</v>
      </c>
      <c r="V137" s="6">
        <f>2*sigma/alpha*corel*(B137/12-1/alpha*(1-EXP(-alpha*Output!B137/12)))</f>
        <v>0.24077131192205226</v>
      </c>
      <c r="W137" s="5">
        <f t="shared" si="26"/>
        <v>-8.65792645337745E-3</v>
      </c>
      <c r="X137" s="1">
        <f t="shared" si="27"/>
        <v>0.42160373568651904</v>
      </c>
      <c r="Y137" s="3">
        <f t="shared" si="16"/>
        <v>1.9454232760573807E-2</v>
      </c>
      <c r="Z137" s="1">
        <f t="shared" si="17"/>
        <v>5.9486206441542712E-2</v>
      </c>
      <c r="AA137" s="8">
        <f t="shared" si="23"/>
        <v>10.416666666666671</v>
      </c>
      <c r="AB137" s="1">
        <v>10.5</v>
      </c>
      <c r="AC137" s="1">
        <v>2.8998555710000001E-3</v>
      </c>
      <c r="AD137" s="8">
        <f t="shared" si="18"/>
        <v>-0.51474944870547823</v>
      </c>
      <c r="AE137" s="3">
        <f t="shared" si="19"/>
        <v>-1.7750865038011862E-2</v>
      </c>
      <c r="AF137" s="11">
        <f t="shared" si="20"/>
        <v>10.416666666666671</v>
      </c>
      <c r="AG137" s="1">
        <f t="shared" si="21"/>
        <v>5.9486206441542712E-2</v>
      </c>
    </row>
    <row r="138" spans="2:33" ht="15" x14ac:dyDescent="0.25">
      <c r="B138" s="1">
        <v>127</v>
      </c>
      <c r="C138" s="1">
        <v>1.0001120650767708</v>
      </c>
      <c r="D138" s="1">
        <v>1.0954580261751603</v>
      </c>
      <c r="E138" s="1">
        <v>0.91236752631042273</v>
      </c>
      <c r="G138" s="1">
        <v>0.9996192331925684</v>
      </c>
      <c r="H138" s="1">
        <v>2.1855891979730364</v>
      </c>
      <c r="I138" s="1">
        <v>0.43001519505141894</v>
      </c>
      <c r="K138" s="1">
        <v>1.0000279392559472</v>
      </c>
      <c r="L138" s="1">
        <v>1.2509919842284998</v>
      </c>
      <c r="M138" s="1">
        <v>0.79600971126293518</v>
      </c>
      <c r="O138" s="1">
        <v>3.0092840135879993E-3</v>
      </c>
      <c r="P138" s="1">
        <v>0.96865355847667189</v>
      </c>
      <c r="R138" s="1">
        <v>6.1661097189406711E-2</v>
      </c>
      <c r="S138" s="2">
        <f t="shared" si="24"/>
        <v>0.19465513794146422</v>
      </c>
      <c r="T138" s="4">
        <f t="shared" si="25"/>
        <v>3.7890622727010465E-2</v>
      </c>
      <c r="U138" s="1">
        <f t="shared" si="28"/>
        <v>2.9113969481832758E-2</v>
      </c>
      <c r="V138" s="6">
        <f>2*sigma/alpha*corel*(B138/12-1/alpha*(1-EXP(-alpha*Output!B138/12)))</f>
        <v>0.24435513528119701</v>
      </c>
      <c r="W138" s="5">
        <f t="shared" si="26"/>
        <v>-8.7766532451777068E-3</v>
      </c>
      <c r="X138" s="1">
        <f t="shared" si="27"/>
        <v>0.43125441951748172</v>
      </c>
      <c r="Y138" s="3">
        <f t="shared" si="16"/>
        <v>1.9480842826841052E-2</v>
      </c>
      <c r="Z138" s="1">
        <f t="shared" si="17"/>
        <v>5.9834908879870502E-2</v>
      </c>
      <c r="AA138" s="8">
        <f t="shared" si="23"/>
        <v>10.500000000000005</v>
      </c>
      <c r="AB138" s="1">
        <v>10.58</v>
      </c>
      <c r="AC138" s="1">
        <v>2.9581732320000001E-3</v>
      </c>
      <c r="AD138" s="8">
        <f t="shared" si="18"/>
        <v>-0.51110781587999221</v>
      </c>
      <c r="AE138" s="3">
        <f t="shared" si="19"/>
        <v>-1.727781897121812E-2</v>
      </c>
      <c r="AF138" s="11">
        <f t="shared" si="20"/>
        <v>10.500000000000005</v>
      </c>
      <c r="AG138" s="1">
        <f t="shared" si="21"/>
        <v>5.9834908879870502E-2</v>
      </c>
    </row>
    <row r="139" spans="2:33" ht="15" x14ac:dyDescent="0.25">
      <c r="B139" s="1">
        <v>128</v>
      </c>
      <c r="C139" s="1">
        <v>1.0001118005173226</v>
      </c>
      <c r="D139" s="1">
        <v>1.0943759305382936</v>
      </c>
      <c r="E139" s="1">
        <v>0.91326719735642392</v>
      </c>
      <c r="G139" s="1">
        <v>0.99945425539996136</v>
      </c>
      <c r="H139" s="1">
        <v>2.1710118458033572</v>
      </c>
      <c r="I139" s="1">
        <v>0.43269217527981524</v>
      </c>
      <c r="K139" s="1">
        <v>1.000029352382346</v>
      </c>
      <c r="L139" s="1">
        <v>1.2530495577473852</v>
      </c>
      <c r="M139" s="1">
        <v>0.79464556505230788</v>
      </c>
      <c r="O139" s="1">
        <v>3.0672423223634939E-3</v>
      </c>
      <c r="P139" s="1">
        <v>0.9678121684043357</v>
      </c>
      <c r="R139" s="1">
        <v>6.1957372923881461E-2</v>
      </c>
      <c r="S139" s="2">
        <f t="shared" si="24"/>
        <v>0.19645692025517708</v>
      </c>
      <c r="T139" s="4">
        <f t="shared" si="25"/>
        <v>3.8595321516149007E-2</v>
      </c>
      <c r="U139" s="1">
        <f t="shared" si="28"/>
        <v>2.9738321293583336E-2</v>
      </c>
      <c r="V139" s="6">
        <f>2*sigma/alpha*corel*(B139/12-1/alpha*(1-EXP(-alpha*Output!B139/12)))</f>
        <v>0.2479616968666023</v>
      </c>
      <c r="W139" s="5">
        <f t="shared" si="26"/>
        <v>-8.857000222565671E-3</v>
      </c>
      <c r="X139" s="1">
        <f t="shared" si="27"/>
        <v>0.43938367927576677</v>
      </c>
      <c r="Y139" s="3">
        <f t="shared" si="16"/>
        <v>1.9448368555355425E-2</v>
      </c>
      <c r="Z139" s="1">
        <f t="shared" si="17"/>
        <v>6.0152401382978629E-2</v>
      </c>
      <c r="AA139" s="8">
        <f t="shared" si="23"/>
        <v>10.583333333333339</v>
      </c>
      <c r="AB139" s="1">
        <v>10.67</v>
      </c>
      <c r="AC139" s="1">
        <v>3.0163078469999998E-3</v>
      </c>
      <c r="AD139" s="8">
        <f t="shared" si="18"/>
        <v>-0.50934475363494103</v>
      </c>
      <c r="AE139" s="3">
        <f t="shared" si="19"/>
        <v>-1.6886365035370377E-2</v>
      </c>
      <c r="AF139" s="11">
        <f t="shared" si="20"/>
        <v>10.583333333333339</v>
      </c>
      <c r="AG139" s="1">
        <f t="shared" si="21"/>
        <v>6.0152401382978629E-2</v>
      </c>
    </row>
    <row r="140" spans="2:33" ht="15" x14ac:dyDescent="0.25">
      <c r="B140" s="1">
        <v>129</v>
      </c>
      <c r="C140" s="1">
        <v>1.0001144726998126</v>
      </c>
      <c r="D140" s="1">
        <v>1.0960594066218086</v>
      </c>
      <c r="E140" s="1">
        <v>0.9118620375228299</v>
      </c>
      <c r="G140" s="1">
        <v>0.99953273847676738</v>
      </c>
      <c r="H140" s="1">
        <v>2.2286109212316139</v>
      </c>
      <c r="I140" s="1">
        <v>0.42130429714713574</v>
      </c>
      <c r="K140" s="1">
        <v>1.0000314260064</v>
      </c>
      <c r="L140" s="1">
        <v>1.2554387955372561</v>
      </c>
      <c r="M140" s="1">
        <v>0.7931180343408426</v>
      </c>
      <c r="O140" s="1">
        <v>3.1253614837615418E-3</v>
      </c>
      <c r="P140" s="1">
        <v>0.96696049651523075</v>
      </c>
      <c r="R140" s="1">
        <v>6.2247485128768175E-2</v>
      </c>
      <c r="S140" s="2">
        <f t="shared" si="24"/>
        <v>0.19825537178598374</v>
      </c>
      <c r="T140" s="4">
        <f t="shared" si="25"/>
        <v>3.9305192441998635E-2</v>
      </c>
      <c r="U140" s="1">
        <f t="shared" si="28"/>
        <v>3.0370544199622707E-2</v>
      </c>
      <c r="V140" s="6">
        <f>2*sigma/alpha*corel*(B140/12-1/alpha*(1-EXP(-alpha*Output!B140/12)))</f>
        <v>0.25159092101036418</v>
      </c>
      <c r="W140" s="5">
        <f t="shared" si="26"/>
        <v>-8.9346482423759283E-3</v>
      </c>
      <c r="X140" s="1">
        <f t="shared" si="27"/>
        <v>0.44748786595700829</v>
      </c>
      <c r="Y140" s="3">
        <f t="shared" si="16"/>
        <v>1.9411833373562278E-2</v>
      </c>
      <c r="Z140" s="1">
        <f t="shared" si="17"/>
        <v>6.046732151624306E-2</v>
      </c>
      <c r="AA140" s="8">
        <f t="shared" si="23"/>
        <v>10.666666666666673</v>
      </c>
      <c r="AB140" s="1">
        <v>10.75</v>
      </c>
      <c r="AC140" s="1">
        <v>3.0744742460000001E-3</v>
      </c>
      <c r="AD140" s="8">
        <f t="shared" si="18"/>
        <v>-0.50887237761541682</v>
      </c>
      <c r="AE140" s="3">
        <f t="shared" si="19"/>
        <v>-1.6551525135638324E-2</v>
      </c>
      <c r="AF140" s="11">
        <f t="shared" si="20"/>
        <v>10.666666666666673</v>
      </c>
      <c r="AG140" s="1">
        <f t="shared" si="21"/>
        <v>6.046732151624306E-2</v>
      </c>
    </row>
    <row r="141" spans="2:33" ht="15" x14ac:dyDescent="0.25">
      <c r="B141" s="1">
        <v>130</v>
      </c>
      <c r="C141" s="1">
        <v>1.0001147386021592</v>
      </c>
      <c r="D141" s="1">
        <v>1.0974378371799491</v>
      </c>
      <c r="E141" s="1">
        <v>0.91071427410104322</v>
      </c>
      <c r="G141" s="1">
        <v>0.99941030733540814</v>
      </c>
      <c r="H141" s="1">
        <v>2.2205479031851216</v>
      </c>
      <c r="I141" s="1">
        <v>0.42262863254806721</v>
      </c>
      <c r="K141" s="1">
        <v>1.0000318400695032</v>
      </c>
      <c r="L141" s="1">
        <v>1.2561021249789903</v>
      </c>
      <c r="M141" s="1">
        <v>0.7926795865981725</v>
      </c>
      <c r="O141" s="1">
        <v>3.1839521849204881E-3</v>
      </c>
      <c r="P141" s="1">
        <v>0.9660952807309241</v>
      </c>
      <c r="R141" s="1">
        <v>6.2530248842633029E-2</v>
      </c>
      <c r="S141" s="2">
        <f t="shared" si="24"/>
        <v>0.20005137769833992</v>
      </c>
      <c r="T141" s="4">
        <f t="shared" si="25"/>
        <v>4.002055371900385E-2</v>
      </c>
      <c r="U141" s="1">
        <f t="shared" si="28"/>
        <v>3.1010661065643763E-2</v>
      </c>
      <c r="V141" s="6">
        <f>2*sigma/alpha*corel*(B141/12-1/alpha*(1-EXP(-alpha*Output!B141/12)))</f>
        <v>0.25524273229638461</v>
      </c>
      <c r="W141" s="5">
        <f t="shared" si="26"/>
        <v>-9.0098926533600868E-3</v>
      </c>
      <c r="X141" s="1">
        <f t="shared" si="27"/>
        <v>0.45557753403572759</v>
      </c>
      <c r="Y141" s="3">
        <f t="shared" ref="Y141:Y204" si="29">(-V141+SQRT(X141))/2/B141*12</f>
        <v>1.9371789545275908E-2</v>
      </c>
      <c r="Z141" s="1">
        <f t="shared" ref="Z141:Z204" si="30">S141/SQRT(B141/12)</f>
        <v>6.0779971690329684E-2</v>
      </c>
      <c r="AA141" s="8">
        <f t="shared" si="23"/>
        <v>10.750000000000007</v>
      </c>
      <c r="AB141" s="1">
        <v>10.83</v>
      </c>
      <c r="AC141" s="1">
        <v>3.1328879340000002E-3</v>
      </c>
      <c r="AD141" s="8">
        <f t="shared" ref="AD141:AD204" si="31">(AC141-O141)*10000</f>
        <v>-0.51064250920487919</v>
      </c>
      <c r="AE141" s="3">
        <f t="shared" ref="AE141:AE204" si="32">AD141/AC141/10000</f>
        <v>-1.6299418299105976E-2</v>
      </c>
      <c r="AF141" s="11">
        <f t="shared" ref="AF141:AF204" si="33">AA141</f>
        <v>10.750000000000007</v>
      </c>
      <c r="AG141" s="1">
        <f t="shared" ref="AG141:AG204" si="34">Z141</f>
        <v>6.0779971690329684E-2</v>
      </c>
    </row>
    <row r="142" spans="2:33" ht="15" x14ac:dyDescent="0.25">
      <c r="B142" s="1">
        <v>131</v>
      </c>
      <c r="C142" s="1">
        <v>1.0001160342313562</v>
      </c>
      <c r="D142" s="1">
        <v>1.0937088738328384</v>
      </c>
      <c r="E142" s="1">
        <v>0.913816905111422</v>
      </c>
      <c r="G142" s="1">
        <v>0.99937314630502116</v>
      </c>
      <c r="H142" s="1">
        <v>2.1518240820638748</v>
      </c>
      <c r="I142" s="1">
        <v>0.43591441536017578</v>
      </c>
      <c r="K142" s="1">
        <v>1.000026960620606</v>
      </c>
      <c r="L142" s="1">
        <v>1.2525858911242858</v>
      </c>
      <c r="M142" s="1">
        <v>0.79486731340828209</v>
      </c>
      <c r="O142" s="1">
        <v>3.2432332407136078E-3</v>
      </c>
      <c r="P142" s="1">
        <v>0.96521413933779954</v>
      </c>
      <c r="R142" s="1">
        <v>6.2780128333132013E-2</v>
      </c>
      <c r="S142" s="2">
        <f t="shared" si="24"/>
        <v>0.20178130617874573</v>
      </c>
      <c r="T142" s="4">
        <f t="shared" si="25"/>
        <v>4.0715695523200729E-2</v>
      </c>
      <c r="U142" s="1">
        <f t="shared" si="28"/>
        <v>3.1658694355273465E-2</v>
      </c>
      <c r="V142" s="6">
        <f>2*sigma/alpha*corel*(B142/12-1/alpha*(1-EXP(-alpha*Output!B142/12)))</f>
        <v>0.25891705555953393</v>
      </c>
      <c r="W142" s="5">
        <f t="shared" si="26"/>
        <v>-9.0570011679272644E-3</v>
      </c>
      <c r="X142" s="1">
        <f t="shared" si="27"/>
        <v>0.46252709265910935</v>
      </c>
      <c r="Y142" s="3">
        <f t="shared" si="29"/>
        <v>1.929052161090088E-2</v>
      </c>
      <c r="Z142" s="1">
        <f t="shared" si="30"/>
        <v>6.1071122739471628E-2</v>
      </c>
      <c r="AA142" s="8">
        <f t="shared" ref="AA142:AA205" si="35">AA141+1/12</f>
        <v>10.833333333333341</v>
      </c>
      <c r="AB142" s="1">
        <v>10.92</v>
      </c>
      <c r="AC142" s="1">
        <v>3.1917644190000002E-3</v>
      </c>
      <c r="AD142" s="8">
        <f t="shared" si="31"/>
        <v>-0.51468821713607571</v>
      </c>
      <c r="AE142" s="3">
        <f t="shared" si="32"/>
        <v>-1.6125507699510315E-2</v>
      </c>
      <c r="AF142" s="11">
        <f t="shared" si="33"/>
        <v>10.833333333333341</v>
      </c>
      <c r="AG142" s="1">
        <f t="shared" si="34"/>
        <v>6.1071122739471628E-2</v>
      </c>
    </row>
    <row r="143" spans="2:33" ht="15" x14ac:dyDescent="0.25">
      <c r="B143" s="1">
        <v>132</v>
      </c>
      <c r="C143" s="1">
        <v>1.0001169749869645</v>
      </c>
      <c r="D143" s="1">
        <v>1.0946780754705081</v>
      </c>
      <c r="E143" s="1">
        <v>0.91300543001202894</v>
      </c>
      <c r="G143" s="1">
        <v>0.99930824207512847</v>
      </c>
      <c r="H143" s="1">
        <v>2.1691419661302236</v>
      </c>
      <c r="I143" s="1">
        <v>0.43222408185255728</v>
      </c>
      <c r="K143" s="1">
        <v>1.0000244158374472</v>
      </c>
      <c r="L143" s="1">
        <v>1.2559772850825379</v>
      </c>
      <c r="M143" s="1">
        <v>0.79267294749124373</v>
      </c>
      <c r="O143" s="1">
        <v>3.3033564444471769E-3</v>
      </c>
      <c r="P143" s="1">
        <v>0.96431534076270931</v>
      </c>
      <c r="R143" s="1">
        <v>6.3055784766168438E-2</v>
      </c>
      <c r="S143" s="2">
        <f t="shared" si="24"/>
        <v>0.20359993425640083</v>
      </c>
      <c r="T143" s="4">
        <f t="shared" si="25"/>
        <v>4.1452933229210738E-2</v>
      </c>
      <c r="U143" s="1">
        <f t="shared" si="28"/>
        <v>3.2314666133581582E-2</v>
      </c>
      <c r="V143" s="6">
        <f>2*sigma/alpha*corel*(B143/12-1/alpha*(1-EXP(-alpha*Output!B143/12)))</f>
        <v>0.2626138158848168</v>
      </c>
      <c r="W143" s="5">
        <f t="shared" si="26"/>
        <v>-9.1382670956291559E-3</v>
      </c>
      <c r="X143" s="1">
        <f t="shared" si="27"/>
        <v>0.47104976850126729</v>
      </c>
      <c r="Y143" s="3">
        <f t="shared" si="29"/>
        <v>1.9259856340257241E-2</v>
      </c>
      <c r="Z143" s="1">
        <f t="shared" si="30"/>
        <v>6.1387689933591692E-2</v>
      </c>
      <c r="AA143" s="8">
        <f t="shared" si="35"/>
        <v>10.916666666666675</v>
      </c>
      <c r="AB143" s="1">
        <v>11</v>
      </c>
      <c r="AC143" s="1">
        <v>3.251319206E-3</v>
      </c>
      <c r="AD143" s="8">
        <f t="shared" si="31"/>
        <v>-0.52037238447176937</v>
      </c>
      <c r="AE143" s="3">
        <f t="shared" si="32"/>
        <v>-1.6004961417244782E-2</v>
      </c>
      <c r="AF143" s="11">
        <f t="shared" si="33"/>
        <v>10.916666666666675</v>
      </c>
      <c r="AG143" s="1">
        <f t="shared" si="34"/>
        <v>6.1387689933591692E-2</v>
      </c>
    </row>
    <row r="144" spans="2:33" ht="15" x14ac:dyDescent="0.25">
      <c r="B144" s="1">
        <v>133</v>
      </c>
      <c r="C144" s="1">
        <v>1.0001221344464224</v>
      </c>
      <c r="D144" s="1">
        <v>1.0930865842548694</v>
      </c>
      <c r="E144" s="1">
        <v>0.91433233658004054</v>
      </c>
      <c r="G144" s="1">
        <v>0.9995812708487849</v>
      </c>
      <c r="H144" s="1">
        <v>2.171233575611927</v>
      </c>
      <c r="I144" s="1">
        <v>0.43159792161344895</v>
      </c>
      <c r="K144" s="1">
        <v>1.0000311689375831</v>
      </c>
      <c r="L144" s="1">
        <v>1.2562711400820263</v>
      </c>
      <c r="M144" s="1">
        <v>0.79246965004411807</v>
      </c>
      <c r="O144" s="1">
        <v>3.3644930012908794E-3</v>
      </c>
      <c r="P144" s="1">
        <v>0.96339690494281982</v>
      </c>
      <c r="R144" s="1">
        <v>6.3353622928397524E-2</v>
      </c>
      <c r="S144" s="2">
        <f t="shared" si="24"/>
        <v>0.20550052297286708</v>
      </c>
      <c r="T144" s="4">
        <f t="shared" si="25"/>
        <v>4.2230464942121869E-2</v>
      </c>
      <c r="U144" s="1">
        <f t="shared" si="28"/>
        <v>3.2978598070552145E-2</v>
      </c>
      <c r="V144" s="6">
        <f>2*sigma/alpha*corel*(B144/12-1/alpha*(1-EXP(-alpha*Output!B144/12)))</f>
        <v>0.26633293860653739</v>
      </c>
      <c r="W144" s="5">
        <f t="shared" si="26"/>
        <v>-9.2518668715697236E-3</v>
      </c>
      <c r="X144" s="1">
        <f t="shared" si="27"/>
        <v>0.48109933215971801</v>
      </c>
      <c r="Y144" s="3">
        <f t="shared" si="29"/>
        <v>1.9275803247825258E-2</v>
      </c>
      <c r="Z144" s="1">
        <f t="shared" si="30"/>
        <v>6.17273643822163E-2</v>
      </c>
      <c r="AA144" s="8">
        <f t="shared" si="35"/>
        <v>11.000000000000009</v>
      </c>
      <c r="AB144" s="1">
        <v>11.08</v>
      </c>
      <c r="AC144" s="1">
        <v>3.311767801E-3</v>
      </c>
      <c r="AD144" s="8">
        <f t="shared" si="31"/>
        <v>-0.52725200290879359</v>
      </c>
      <c r="AE144" s="3">
        <f t="shared" si="32"/>
        <v>-1.5920560697207937E-2</v>
      </c>
      <c r="AF144" s="11">
        <f t="shared" si="33"/>
        <v>11.000000000000009</v>
      </c>
      <c r="AG144" s="1">
        <f t="shared" si="34"/>
        <v>6.17273643822163E-2</v>
      </c>
    </row>
    <row r="145" spans="2:33" ht="15" x14ac:dyDescent="0.25">
      <c r="B145" s="1">
        <v>134</v>
      </c>
      <c r="C145" s="1">
        <v>1.0001243223141294</v>
      </c>
      <c r="D145" s="1">
        <v>1.0942326030116167</v>
      </c>
      <c r="E145" s="1">
        <v>0.91337235426591501</v>
      </c>
      <c r="G145" s="1">
        <v>0.99961836784916935</v>
      </c>
      <c r="H145" s="1">
        <v>2.1813139454980575</v>
      </c>
      <c r="I145" s="1">
        <v>0.42939470030018245</v>
      </c>
      <c r="K145" s="1">
        <v>1.0000335160056359</v>
      </c>
      <c r="L145" s="1">
        <v>1.2677966473673909</v>
      </c>
      <c r="M145" s="1">
        <v>0.78525271521300133</v>
      </c>
      <c r="O145" s="1">
        <v>3.426387126458414E-3</v>
      </c>
      <c r="P145" s="1">
        <v>0.96246139481075987</v>
      </c>
      <c r="R145" s="1">
        <v>6.3602094502390322E-2</v>
      </c>
      <c r="S145" s="2">
        <f t="shared" si="24"/>
        <v>0.20729318764503835</v>
      </c>
      <c r="T145" s="4">
        <f t="shared" si="25"/>
        <v>4.2970465644041077E-2</v>
      </c>
      <c r="U145" s="1">
        <f t="shared" si="28"/>
        <v>3.3650511444540676E-2</v>
      </c>
      <c r="V145" s="6">
        <f>2*sigma/alpha*corel*(B145/12-1/alpha*(1-EXP(-alpha*Output!B145/12)))</f>
        <v>0.27007434930747176</v>
      </c>
      <c r="W145" s="5">
        <f t="shared" si="26"/>
        <v>-9.3199541995004007E-3</v>
      </c>
      <c r="X145" s="1">
        <f t="shared" si="27"/>
        <v>0.48923144173153887</v>
      </c>
      <c r="Y145" s="3">
        <f t="shared" si="29"/>
        <v>1.9225811868749332E-2</v>
      </c>
      <c r="Z145" s="1">
        <f t="shared" si="30"/>
        <v>6.2033066996231151E-2</v>
      </c>
      <c r="AA145" s="8">
        <f t="shared" si="35"/>
        <v>11.083333333333343</v>
      </c>
      <c r="AB145" s="1">
        <v>11.17</v>
      </c>
      <c r="AC145" s="1">
        <v>3.3732362710000002E-3</v>
      </c>
      <c r="AD145" s="8">
        <f t="shared" si="31"/>
        <v>-0.53150855458413815</v>
      </c>
      <c r="AE145" s="3">
        <f t="shared" si="32"/>
        <v>-1.5756635820430444E-2</v>
      </c>
      <c r="AF145" s="11">
        <f t="shared" si="33"/>
        <v>11.083333333333343</v>
      </c>
      <c r="AG145" s="1">
        <f t="shared" si="34"/>
        <v>6.2033066996231151E-2</v>
      </c>
    </row>
    <row r="146" spans="2:33" ht="15" x14ac:dyDescent="0.25">
      <c r="B146" s="1">
        <v>135</v>
      </c>
      <c r="C146" s="1">
        <v>1.0001237517472308</v>
      </c>
      <c r="D146" s="1">
        <v>1.0955049424657195</v>
      </c>
      <c r="E146" s="1">
        <v>0.9123091849417998</v>
      </c>
      <c r="G146" s="1">
        <v>0.9994299520238803</v>
      </c>
      <c r="H146" s="1">
        <v>2.1934584719920434</v>
      </c>
      <c r="I146" s="1">
        <v>0.42680983186956151</v>
      </c>
      <c r="K146" s="1">
        <v>1.0000357001935243</v>
      </c>
      <c r="L146" s="1">
        <v>1.2816425178693842</v>
      </c>
      <c r="M146" s="1">
        <v>0.77675362999761077</v>
      </c>
      <c r="O146" s="1">
        <v>3.4886795625161194E-3</v>
      </c>
      <c r="P146" s="1">
        <v>0.96151256580541922</v>
      </c>
      <c r="R146" s="1">
        <v>6.3915715277812993E-2</v>
      </c>
      <c r="S146" s="2">
        <f t="shared" si="24"/>
        <v>0.20927247276135741</v>
      </c>
      <c r="T146" s="4">
        <f t="shared" si="25"/>
        <v>4.379496785565308E-2</v>
      </c>
      <c r="U146" s="1">
        <f t="shared" si="28"/>
        <v>3.4330427145698561E-2</v>
      </c>
      <c r="V146" s="6">
        <f>2*sigma/alpha*corel*(B146/12-1/alpha*(1-EXP(-alpha*Output!B146/12)))</f>
        <v>0.27383797381804165</v>
      </c>
      <c r="W146" s="5">
        <f t="shared" si="26"/>
        <v>-9.4645407099545192E-3</v>
      </c>
      <c r="X146" s="1">
        <f t="shared" si="27"/>
        <v>0.50089156785272382</v>
      </c>
      <c r="Y146" s="3">
        <f t="shared" si="29"/>
        <v>1.9284398233606264E-2</v>
      </c>
      <c r="Z146" s="1">
        <f t="shared" si="30"/>
        <v>6.2392996655182435E-2</v>
      </c>
      <c r="AA146" s="8">
        <f t="shared" si="35"/>
        <v>11.166666666666677</v>
      </c>
      <c r="AB146" s="1">
        <v>11.25</v>
      </c>
      <c r="AC146" s="1">
        <v>3.4354929159999999E-3</v>
      </c>
      <c r="AD146" s="8">
        <f t="shared" si="31"/>
        <v>-0.53186646516119496</v>
      </c>
      <c r="AE146" s="3">
        <f t="shared" si="32"/>
        <v>-1.5481518319660973E-2</v>
      </c>
      <c r="AF146" s="11">
        <f t="shared" si="33"/>
        <v>11.166666666666677</v>
      </c>
      <c r="AG146" s="1">
        <f t="shared" si="34"/>
        <v>6.2392996655182435E-2</v>
      </c>
    </row>
    <row r="147" spans="2:33" ht="15" x14ac:dyDescent="0.25">
      <c r="B147" s="1">
        <v>136</v>
      </c>
      <c r="C147" s="1">
        <v>1.0001267633475177</v>
      </c>
      <c r="D147" s="1">
        <v>1.0970581250189122</v>
      </c>
      <c r="E147" s="1">
        <v>0.91101521801427676</v>
      </c>
      <c r="G147" s="1">
        <v>0.99953343040086051</v>
      </c>
      <c r="H147" s="1">
        <v>2.2295034470891673</v>
      </c>
      <c r="I147" s="1">
        <v>0.41970550917788019</v>
      </c>
      <c r="K147" s="1">
        <v>1.0000386571276567</v>
      </c>
      <c r="L147" s="1">
        <v>1.2835800335952505</v>
      </c>
      <c r="M147" s="1">
        <v>0.77552209213101786</v>
      </c>
      <c r="O147" s="1">
        <v>3.5510759482107242E-3</v>
      </c>
      <c r="P147" s="1">
        <v>0.96055356796444391</v>
      </c>
      <c r="R147" s="1">
        <v>6.416285195917211E-2</v>
      </c>
      <c r="S147" s="2">
        <f t="shared" si="24"/>
        <v>0.21109039784248923</v>
      </c>
      <c r="T147" s="4">
        <f t="shared" si="25"/>
        <v>4.4559156061300384E-2</v>
      </c>
      <c r="U147" s="1">
        <f t="shared" si="28"/>
        <v>3.501836567937211E-2</v>
      </c>
      <c r="V147" s="6">
        <f>2*sigma/alpha*corel*(B147/12-1/alpha*(1-EXP(-alpha*Output!B147/12)))</f>
        <v>0.27762373821548669</v>
      </c>
      <c r="W147" s="5">
        <f t="shared" si="26"/>
        <v>-9.5407903819282741E-3</v>
      </c>
      <c r="X147" s="1">
        <f t="shared" si="27"/>
        <v>0.50959077066815617</v>
      </c>
      <c r="Y147" s="3">
        <f t="shared" si="29"/>
        <v>1.9245552763143027E-2</v>
      </c>
      <c r="Z147" s="1">
        <f t="shared" si="30"/>
        <v>6.2703191630912813E-2</v>
      </c>
      <c r="AA147" s="8">
        <f t="shared" si="35"/>
        <v>11.250000000000011</v>
      </c>
      <c r="AB147" s="1">
        <v>11.33</v>
      </c>
      <c r="AC147" s="1">
        <v>3.498216598E-3</v>
      </c>
      <c r="AD147" s="8">
        <f t="shared" si="31"/>
        <v>-0.52859350210724287</v>
      </c>
      <c r="AE147" s="3">
        <f t="shared" si="32"/>
        <v>-1.5110370878963022E-2</v>
      </c>
      <c r="AF147" s="11">
        <f t="shared" si="33"/>
        <v>11.250000000000011</v>
      </c>
      <c r="AG147" s="1">
        <f t="shared" si="34"/>
        <v>6.2703191630912813E-2</v>
      </c>
    </row>
    <row r="148" spans="2:33" ht="15" x14ac:dyDescent="0.25">
      <c r="B148" s="1">
        <v>137</v>
      </c>
      <c r="C148" s="1">
        <v>1.0001273840994436</v>
      </c>
      <c r="D148" s="1">
        <v>1.0977559750498389</v>
      </c>
      <c r="E148" s="1">
        <v>0.91043374816810818</v>
      </c>
      <c r="G148" s="1">
        <v>0.99944630565193093</v>
      </c>
      <c r="H148" s="1">
        <v>2.2415915565461924</v>
      </c>
      <c r="I148" s="1">
        <v>0.41723942039476791</v>
      </c>
      <c r="K148" s="1">
        <v>1.0000359974291417</v>
      </c>
      <c r="L148" s="1">
        <v>1.2808870800040106</v>
      </c>
      <c r="M148" s="1">
        <v>0.77716823643550914</v>
      </c>
      <c r="O148" s="1">
        <v>3.6132624581869293E-3</v>
      </c>
      <c r="P148" s="1">
        <v>0.95958784669718522</v>
      </c>
      <c r="R148" s="1">
        <v>6.4435307816188378E-2</v>
      </c>
      <c r="S148" s="2">
        <f t="shared" si="24"/>
        <v>0.21298289186989938</v>
      </c>
      <c r="T148" s="4">
        <f t="shared" si="25"/>
        <v>4.5361712229265251E-2</v>
      </c>
      <c r="U148" s="1">
        <f t="shared" si="28"/>
        <v>3.5714347169480742E-2</v>
      </c>
      <c r="V148" s="6">
        <f>2*sigma/alpha*corel*(B148/12-1/alpha*(1-EXP(-alpha*Output!B148/12)))</f>
        <v>0.28143156882304687</v>
      </c>
      <c r="W148" s="5">
        <f t="shared" si="26"/>
        <v>-9.6473650597845087E-3</v>
      </c>
      <c r="X148" s="1">
        <f t="shared" si="27"/>
        <v>0.5197667323270273</v>
      </c>
      <c r="Y148" s="3">
        <f t="shared" si="29"/>
        <v>1.9248916471387684E-2</v>
      </c>
      <c r="Z148" s="1">
        <f t="shared" si="30"/>
        <v>6.3034027813692772E-2</v>
      </c>
      <c r="AA148" s="8">
        <f t="shared" si="35"/>
        <v>11.333333333333345</v>
      </c>
      <c r="AB148" s="1">
        <v>11.42</v>
      </c>
      <c r="AC148" s="1">
        <v>3.5610861769999999E-3</v>
      </c>
      <c r="AD148" s="8">
        <f t="shared" si="31"/>
        <v>-0.52176281186929341</v>
      </c>
      <c r="AE148" s="3">
        <f t="shared" si="32"/>
        <v>-1.4651788413299425E-2</v>
      </c>
      <c r="AF148" s="11">
        <f t="shared" si="33"/>
        <v>11.333333333333345</v>
      </c>
      <c r="AG148" s="1">
        <f t="shared" si="34"/>
        <v>6.3034027813692772E-2</v>
      </c>
    </row>
    <row r="149" spans="2:33" ht="15" x14ac:dyDescent="0.25">
      <c r="B149" s="1">
        <v>138</v>
      </c>
      <c r="C149" s="1">
        <v>1.0001265899592067</v>
      </c>
      <c r="D149" s="1">
        <v>1.099231753368296</v>
      </c>
      <c r="E149" s="1">
        <v>0.90920912481628913</v>
      </c>
      <c r="G149" s="1">
        <v>0.99924817670936394</v>
      </c>
      <c r="H149" s="1">
        <v>2.2832072584551204</v>
      </c>
      <c r="I149" s="1">
        <v>0.40943549227768028</v>
      </c>
      <c r="K149" s="1">
        <v>1.0000306119434457</v>
      </c>
      <c r="L149" s="1">
        <v>1.2750582176203911</v>
      </c>
      <c r="M149" s="1">
        <v>0.78067038605830885</v>
      </c>
      <c r="O149" s="1">
        <v>3.6749543305731333E-3</v>
      </c>
      <c r="P149" s="1">
        <v>0.95861861375309276</v>
      </c>
      <c r="R149" s="1">
        <v>6.4688101075509402E-2</v>
      </c>
      <c r="S149" s="2">
        <f t="shared" si="24"/>
        <v>0.21482822061198831</v>
      </c>
      <c r="T149" s="4">
        <f t="shared" si="25"/>
        <v>4.6151164371313121E-2</v>
      </c>
      <c r="U149" s="1">
        <f t="shared" si="28"/>
        <v>3.6418391361866753E-2</v>
      </c>
      <c r="V149" s="6">
        <f>2*sigma/alpha*corel*(B149/12-1/alpha*(1-EXP(-alpha*Output!B149/12)))</f>
        <v>0.28526139220914359</v>
      </c>
      <c r="W149" s="5">
        <f t="shared" si="26"/>
        <v>-9.7327730094463674E-3</v>
      </c>
      <c r="X149" s="1">
        <f t="shared" si="27"/>
        <v>0.5290816203196318</v>
      </c>
      <c r="Y149" s="3">
        <f t="shared" si="29"/>
        <v>1.9222546847394436E-2</v>
      </c>
      <c r="Z149" s="1">
        <f t="shared" si="30"/>
        <v>6.3349386168614699E-2</v>
      </c>
      <c r="AA149" s="8">
        <f t="shared" si="35"/>
        <v>11.416666666666679</v>
      </c>
      <c r="AB149" s="1">
        <v>11.5</v>
      </c>
      <c r="AC149" s="1">
        <v>3.6237805150000002E-3</v>
      </c>
      <c r="AD149" s="8">
        <f t="shared" si="31"/>
        <v>-0.51173815573133175</v>
      </c>
      <c r="AE149" s="3">
        <f t="shared" si="32"/>
        <v>-1.4121665305420181E-2</v>
      </c>
      <c r="AF149" s="11">
        <f t="shared" si="33"/>
        <v>11.416666666666679</v>
      </c>
      <c r="AG149" s="1">
        <f t="shared" si="34"/>
        <v>6.3349386168614699E-2</v>
      </c>
    </row>
    <row r="150" spans="2:33" ht="15" x14ac:dyDescent="0.25">
      <c r="B150" s="1">
        <v>139</v>
      </c>
      <c r="C150" s="1">
        <v>1.0001269954744865</v>
      </c>
      <c r="D150" s="1">
        <v>1.1025728851049053</v>
      </c>
      <c r="E150" s="1">
        <v>0.9064516470137024</v>
      </c>
      <c r="G150" s="1">
        <v>0.99913239293063894</v>
      </c>
      <c r="H150" s="1">
        <v>2.3459175397807268</v>
      </c>
      <c r="I150" s="1">
        <v>0.3982970592543234</v>
      </c>
      <c r="K150" s="1">
        <v>1.0000320400188278</v>
      </c>
      <c r="L150" s="1">
        <v>1.2844833326576222</v>
      </c>
      <c r="M150" s="1">
        <v>0.77490854883505011</v>
      </c>
      <c r="O150" s="1">
        <v>3.7357829877179682E-3</v>
      </c>
      <c r="P150" s="1">
        <v>0.95765008870303803</v>
      </c>
      <c r="R150" s="1">
        <v>6.4918030907736346E-2</v>
      </c>
      <c r="S150" s="2">
        <f t="shared" si="24"/>
        <v>0.21661268486986007</v>
      </c>
      <c r="T150" s="4">
        <f t="shared" si="25"/>
        <v>4.6921055246529307E-2</v>
      </c>
      <c r="U150" s="1">
        <f t="shared" si="28"/>
        <v>3.7130517627618875E-2</v>
      </c>
      <c r="V150" s="6">
        <f>2*sigma/alpha*corel*(B150/12-1/alpha*(1-EXP(-alpha*Output!B150/12)))</f>
        <v>0.28911313518656034</v>
      </c>
      <c r="W150" s="5">
        <f t="shared" si="26"/>
        <v>-9.7905376189104318E-3</v>
      </c>
      <c r="X150" s="1">
        <f t="shared" si="27"/>
        <v>0.53721464794691898</v>
      </c>
      <c r="Y150" s="3">
        <f t="shared" si="29"/>
        <v>1.915839476648537E-2</v>
      </c>
      <c r="Z150" s="1">
        <f t="shared" si="30"/>
        <v>6.3645412893893499E-2</v>
      </c>
      <c r="AA150" s="8">
        <f t="shared" si="35"/>
        <v>11.500000000000012</v>
      </c>
      <c r="AB150" s="1">
        <v>11.58</v>
      </c>
      <c r="AC150" s="1">
        <v>3.6859784720000002E-3</v>
      </c>
      <c r="AD150" s="8">
        <f t="shared" si="31"/>
        <v>-0.49804515717967979</v>
      </c>
      <c r="AE150" s="3">
        <f t="shared" si="32"/>
        <v>-1.3511884590835445E-2</v>
      </c>
      <c r="AF150" s="11">
        <f t="shared" si="33"/>
        <v>11.500000000000012</v>
      </c>
      <c r="AG150" s="1">
        <f t="shared" si="34"/>
        <v>6.3645412893893499E-2</v>
      </c>
    </row>
    <row r="151" spans="2:33" ht="15" x14ac:dyDescent="0.25">
      <c r="B151" s="1">
        <v>140</v>
      </c>
      <c r="C151" s="1">
        <v>1.0001284559442973</v>
      </c>
      <c r="D151" s="1">
        <v>1.1022777015308796</v>
      </c>
      <c r="E151" s="1">
        <v>0.90669210383676113</v>
      </c>
      <c r="G151" s="1">
        <v>0.99910226124897927</v>
      </c>
      <c r="H151" s="1">
        <v>2.3384925985349381</v>
      </c>
      <c r="I151" s="1">
        <v>0.39936763986372842</v>
      </c>
      <c r="K151" s="1">
        <v>1.0000324420586424</v>
      </c>
      <c r="L151" s="1">
        <v>1.2902101262576078</v>
      </c>
      <c r="M151" s="1">
        <v>0.77145134749074562</v>
      </c>
      <c r="O151" s="1">
        <v>3.7953945459571516E-3</v>
      </c>
      <c r="P151" s="1">
        <v>0.95668642764388456</v>
      </c>
      <c r="R151" s="1">
        <v>6.5133386085595671E-2</v>
      </c>
      <c r="S151" s="2">
        <f t="shared" ref="S151:S214" si="36">optim_vol_implied(P151,R151)</f>
        <v>0.21835286807813586</v>
      </c>
      <c r="T151" s="4">
        <f t="shared" ref="T151:T214" si="37">S151*S151</f>
        <v>4.7677974997947806E-2</v>
      </c>
      <c r="U151" s="1">
        <f t="shared" si="28"/>
        <v>3.7850744966374528E-2</v>
      </c>
      <c r="V151" s="6">
        <f>2*sigma/alpha*corel*(B151/12-1/alpha*(1-EXP(-alpha*Output!B151/12)))</f>
        <v>0.29298672481163357</v>
      </c>
      <c r="W151" s="5">
        <f t="shared" ref="W151:W214" si="38">U151-T151</f>
        <v>-9.827230031573278E-3</v>
      </c>
      <c r="X151" s="1">
        <f t="shared" ref="X151:X214" si="39">V151*V151-4*W151*B151/12</f>
        <v>0.54444528905593415</v>
      </c>
      <c r="Y151" s="3">
        <f t="shared" si="29"/>
        <v>1.9066227209812849E-2</v>
      </c>
      <c r="Z151" s="1">
        <f t="shared" si="30"/>
        <v>6.3927173965792269E-2</v>
      </c>
      <c r="AA151" s="8">
        <f t="shared" si="35"/>
        <v>11.583333333333346</v>
      </c>
      <c r="AB151" s="1">
        <v>11.67</v>
      </c>
      <c r="AC151" s="1">
        <v>3.7473577770000001E-3</v>
      </c>
      <c r="AD151" s="8">
        <f t="shared" si="31"/>
        <v>-0.48036768957151427</v>
      </c>
      <c r="AE151" s="3">
        <f t="shared" si="32"/>
        <v>-1.2818837115576388E-2</v>
      </c>
      <c r="AF151" s="11">
        <f t="shared" si="33"/>
        <v>11.583333333333346</v>
      </c>
      <c r="AG151" s="1">
        <f t="shared" si="34"/>
        <v>6.3927173965792269E-2</v>
      </c>
    </row>
    <row r="152" spans="2:33" ht="15" x14ac:dyDescent="0.25">
      <c r="B152" s="1">
        <v>141</v>
      </c>
      <c r="C152" s="1">
        <v>1.0001292100248911</v>
      </c>
      <c r="D152" s="1">
        <v>1.1051849241826381</v>
      </c>
      <c r="E152" s="1">
        <v>0.90430475453674553</v>
      </c>
      <c r="G152" s="1">
        <v>0.99902011315623207</v>
      </c>
      <c r="H152" s="1">
        <v>2.3905399906475902</v>
      </c>
      <c r="I152" s="1">
        <v>0.39048278987055607</v>
      </c>
      <c r="K152" s="1">
        <v>1.0000353926273076</v>
      </c>
      <c r="L152" s="1">
        <v>1.2932040901334099</v>
      </c>
      <c r="M152" s="1">
        <v>0.76963326973047663</v>
      </c>
      <c r="O152" s="1">
        <v>3.8534993629528967E-3</v>
      </c>
      <c r="P152" s="1">
        <v>0.95573116129316171</v>
      </c>
      <c r="R152" s="1">
        <v>6.5416754485343134E-2</v>
      </c>
      <c r="S152" s="2">
        <f t="shared" si="36"/>
        <v>0.22026198918223844</v>
      </c>
      <c r="T152" s="4">
        <f t="shared" si="37"/>
        <v>4.8515343878516526E-2</v>
      </c>
      <c r="U152" s="1">
        <f t="shared" si="28"/>
        <v>3.8579092009595417E-2</v>
      </c>
      <c r="V152" s="6">
        <f>2*sigma/alpha*corel*(B152/12-1/alpha*(1-EXP(-alpha*Output!B152/12)))</f>
        <v>0.29688208838343999</v>
      </c>
      <c r="W152" s="5">
        <f t="shared" si="38"/>
        <v>-9.9362518689211088E-3</v>
      </c>
      <c r="X152" s="1">
        <f t="shared" si="39"/>
        <v>0.55514281224220474</v>
      </c>
      <c r="Y152" s="3">
        <f t="shared" si="29"/>
        <v>1.9072211746385723E-2</v>
      </c>
      <c r="Z152" s="1">
        <f t="shared" si="30"/>
        <v>6.4257026358753105E-2</v>
      </c>
      <c r="AA152" s="8">
        <f t="shared" si="35"/>
        <v>11.66666666666668</v>
      </c>
      <c r="AB152" s="1">
        <v>11.75</v>
      </c>
      <c r="AC152" s="1">
        <v>3.807591638E-3</v>
      </c>
      <c r="AD152" s="8">
        <f t="shared" si="31"/>
        <v>-0.45907724952896739</v>
      </c>
      <c r="AE152" s="3">
        <f t="shared" si="32"/>
        <v>-1.2056892996280065E-2</v>
      </c>
      <c r="AF152" s="11">
        <f t="shared" si="33"/>
        <v>11.66666666666668</v>
      </c>
      <c r="AG152" s="1">
        <f t="shared" si="34"/>
        <v>6.4257026358753105E-2</v>
      </c>
    </row>
    <row r="153" spans="2:33" ht="15" x14ac:dyDescent="0.25">
      <c r="B153" s="1">
        <v>142</v>
      </c>
      <c r="C153" s="1">
        <v>1.0001289317095299</v>
      </c>
      <c r="D153" s="1">
        <v>1.1064999447041621</v>
      </c>
      <c r="E153" s="1">
        <v>0.90322777985835978</v>
      </c>
      <c r="G153" s="1">
        <v>0.9988520008704751</v>
      </c>
      <c r="H153" s="1">
        <v>2.4153037352871527</v>
      </c>
      <c r="I153" s="1">
        <v>0.38629154957494227</v>
      </c>
      <c r="K153" s="1">
        <v>1.0000327599178958</v>
      </c>
      <c r="L153" s="1">
        <v>1.2981416747027965</v>
      </c>
      <c r="M153" s="1">
        <v>0.7667067648621918</v>
      </c>
      <c r="O153" s="1">
        <v>3.9098914534032771E-3</v>
      </c>
      <c r="P153" s="1">
        <v>0.95478695336984798</v>
      </c>
      <c r="R153" s="1">
        <v>6.5638815629397287E-2</v>
      </c>
      <c r="S153" s="2">
        <f t="shared" si="36"/>
        <v>0.22199637513069026</v>
      </c>
      <c r="T153" s="4">
        <f t="shared" si="37"/>
        <v>4.9282390571166151E-2</v>
      </c>
      <c r="U153" s="1">
        <f t="shared" si="28"/>
        <v>3.9315577023818271E-2</v>
      </c>
      <c r="V153" s="6">
        <f>2*sigma/alpha*corel*(B153/12-1/alpha*(1-EXP(-alpha*Output!B153/12)))</f>
        <v>0.30079915344298902</v>
      </c>
      <c r="W153" s="5">
        <f t="shared" si="38"/>
        <v>-9.9668135473478803E-3</v>
      </c>
      <c r="X153" s="1">
        <f t="shared" si="39"/>
        <v>0.56224263861981849</v>
      </c>
      <c r="Y153" s="3">
        <f t="shared" si="29"/>
        <v>1.8973067014390822E-2</v>
      </c>
      <c r="Z153" s="1">
        <f t="shared" si="30"/>
        <v>6.4534557117501543E-2</v>
      </c>
      <c r="AA153" s="8">
        <f t="shared" si="35"/>
        <v>11.750000000000014</v>
      </c>
      <c r="AB153" s="1">
        <v>11.83</v>
      </c>
      <c r="AC153" s="1">
        <v>3.8663521269999999E-3</v>
      </c>
      <c r="AD153" s="8">
        <f t="shared" si="31"/>
        <v>-0.43539326403277229</v>
      </c>
      <c r="AE153" s="3">
        <f t="shared" si="32"/>
        <v>-1.1261086671135795E-2</v>
      </c>
      <c r="AF153" s="11">
        <f t="shared" si="33"/>
        <v>11.750000000000014</v>
      </c>
      <c r="AG153" s="1">
        <f t="shared" si="34"/>
        <v>6.4534557117501543E-2</v>
      </c>
    </row>
    <row r="154" spans="2:33" ht="15" x14ac:dyDescent="0.25">
      <c r="B154" s="1">
        <v>143</v>
      </c>
      <c r="C154" s="1">
        <v>1.000130268486529</v>
      </c>
      <c r="D154" s="1">
        <v>1.1068690608645249</v>
      </c>
      <c r="E154" s="1">
        <v>0.90292433229202429</v>
      </c>
      <c r="G154" s="1">
        <v>0.99881019057320386</v>
      </c>
      <c r="H154" s="1">
        <v>2.4214469304750694</v>
      </c>
      <c r="I154" s="1">
        <v>0.38512442712007861</v>
      </c>
      <c r="K154" s="1">
        <v>1.0000285486180238</v>
      </c>
      <c r="L154" s="1">
        <v>1.2940066309608764</v>
      </c>
      <c r="M154" s="1">
        <v>0.76914408134110668</v>
      </c>
      <c r="O154" s="1">
        <v>3.964197459077402E-3</v>
      </c>
      <c r="P154" s="1">
        <v>0.95385842527973874</v>
      </c>
      <c r="R154" s="1">
        <v>6.5940385863219195E-2</v>
      </c>
      <c r="S154" s="2">
        <f t="shared" si="36"/>
        <v>0.2239217741518042</v>
      </c>
      <c r="T154" s="4">
        <f t="shared" si="37"/>
        <v>5.0140960939291608E-2</v>
      </c>
      <c r="U154" s="1">
        <f t="shared" si="28"/>
        <v>4.0060217913882479E-2</v>
      </c>
      <c r="V154" s="6">
        <f>2*sigma/alpha*corel*(B154/12-1/alpha*(1-EXP(-alpha*Output!B154/12)))</f>
        <v>0.30473784777241786</v>
      </c>
      <c r="W154" s="5">
        <f t="shared" si="38"/>
        <v>-1.0080743025409129E-2</v>
      </c>
      <c r="X154" s="1">
        <f t="shared" si="39"/>
        <v>0.57338057340946713</v>
      </c>
      <c r="Y154" s="3">
        <f t="shared" si="29"/>
        <v>1.898522204689344E-2</v>
      </c>
      <c r="Z154" s="1">
        <f t="shared" si="30"/>
        <v>6.486627078701751E-2</v>
      </c>
      <c r="AA154" s="8">
        <f t="shared" si="35"/>
        <v>11.833333333333348</v>
      </c>
      <c r="AB154" s="1">
        <v>11.92</v>
      </c>
      <c r="AC154" s="1">
        <v>3.9233113189999997E-3</v>
      </c>
      <c r="AD154" s="8">
        <f t="shared" si="31"/>
        <v>-0.40886140077402328</v>
      </c>
      <c r="AE154" s="3">
        <f t="shared" si="32"/>
        <v>-1.0421334620935375E-2</v>
      </c>
      <c r="AF154" s="11">
        <f t="shared" si="33"/>
        <v>11.833333333333348</v>
      </c>
      <c r="AG154" s="1">
        <f t="shared" si="34"/>
        <v>6.486627078701751E-2</v>
      </c>
    </row>
    <row r="155" spans="2:33" ht="15" x14ac:dyDescent="0.25">
      <c r="B155" s="1">
        <v>144</v>
      </c>
      <c r="C155" s="1">
        <v>1.0001313216611458</v>
      </c>
      <c r="D155" s="1">
        <v>1.1039530912019107</v>
      </c>
      <c r="E155" s="1">
        <v>0.90530707164009316</v>
      </c>
      <c r="G155" s="1">
        <v>0.99874712761351547</v>
      </c>
      <c r="H155" s="1">
        <v>2.3648600830857487</v>
      </c>
      <c r="I155" s="1">
        <v>0.39414828389826567</v>
      </c>
      <c r="K155" s="1">
        <v>1.0000350958407571</v>
      </c>
      <c r="L155" s="1">
        <v>1.2963751017497682</v>
      </c>
      <c r="M155" s="1">
        <v>0.76770575097546823</v>
      </c>
      <c r="O155" s="1">
        <v>4.0160591539010479E-3</v>
      </c>
      <c r="P155" s="1">
        <v>0.95295012650857358</v>
      </c>
      <c r="R155" s="1">
        <v>6.6287351235020969E-2</v>
      </c>
      <c r="S155" s="2">
        <f t="shared" si="36"/>
        <v>0.22594322977255754</v>
      </c>
      <c r="T155" s="4">
        <f t="shared" si="37"/>
        <v>5.1050343080054732E-2</v>
      </c>
      <c r="U155" s="1">
        <f t="shared" si="28"/>
        <v>4.0813032226134194E-2</v>
      </c>
      <c r="V155" s="6">
        <f>2*sigma/alpha*corel*(B155/12-1/alpha*(1-EXP(-alpha*Output!B155/12)))</f>
        <v>0.30869809939419013</v>
      </c>
      <c r="W155" s="5">
        <f t="shared" si="38"/>
        <v>-1.0237310853920538E-2</v>
      </c>
      <c r="X155" s="1">
        <f t="shared" si="39"/>
        <v>0.58668543755777114</v>
      </c>
      <c r="Y155" s="3">
        <f t="shared" si="29"/>
        <v>1.9052326674399194E-2</v>
      </c>
      <c r="Z155" s="1">
        <f t="shared" si="30"/>
        <v>6.5224192265379788E-2</v>
      </c>
      <c r="AA155" s="8">
        <f t="shared" si="35"/>
        <v>11.916666666666682</v>
      </c>
      <c r="AB155" s="1">
        <v>12</v>
      </c>
      <c r="AC155" s="1">
        <v>3.9781412879999999E-3</v>
      </c>
      <c r="AD155" s="8">
        <f t="shared" si="31"/>
        <v>-0.3791786590104807</v>
      </c>
      <c r="AE155" s="3">
        <f t="shared" si="32"/>
        <v>-9.5315533451329933E-3</v>
      </c>
      <c r="AF155" s="11">
        <f t="shared" si="33"/>
        <v>11.916666666666682</v>
      </c>
      <c r="AG155" s="1">
        <f t="shared" si="34"/>
        <v>6.5224192265379788E-2</v>
      </c>
    </row>
    <row r="156" spans="2:33" ht="15" x14ac:dyDescent="0.25">
      <c r="B156" s="1">
        <v>145</v>
      </c>
      <c r="C156" s="1">
        <v>1.0001338383794909</v>
      </c>
      <c r="D156" s="1">
        <v>1.1062787586946856</v>
      </c>
      <c r="E156" s="1">
        <v>0.90340167590430864</v>
      </c>
      <c r="G156" s="1">
        <v>0.99880552986103355</v>
      </c>
      <c r="H156" s="1">
        <v>2.3741201807447276</v>
      </c>
      <c r="I156" s="1">
        <v>0.39242030510332099</v>
      </c>
      <c r="K156" s="1">
        <v>1.0000356900409018</v>
      </c>
      <c r="L156" s="1">
        <v>1.2947737566572326</v>
      </c>
      <c r="M156" s="1">
        <v>0.76859183818246979</v>
      </c>
      <c r="O156" s="1">
        <v>4.0652951066077019E-3</v>
      </c>
      <c r="P156" s="1">
        <v>0.95206466995637329</v>
      </c>
      <c r="R156" s="1">
        <v>6.6614496089285699E-2</v>
      </c>
      <c r="S156" s="2">
        <f t="shared" si="36"/>
        <v>0.22788540342214264</v>
      </c>
      <c r="T156" s="4">
        <f t="shared" si="37"/>
        <v>5.1931757092872698E-2</v>
      </c>
      <c r="U156" s="1">
        <f t="shared" si="28"/>
        <v>4.1574037151602905E-2</v>
      </c>
      <c r="V156" s="6">
        <f>2*sigma/alpha*corel*(B156/12-1/alpha*(1-EXP(-alpha*Output!B156/12)))</f>
        <v>0.3126798365702943</v>
      </c>
      <c r="W156" s="5">
        <f t="shared" si="38"/>
        <v>-1.0357719941269793E-2</v>
      </c>
      <c r="X156" s="1">
        <f t="shared" si="39"/>
        <v>0.5983918106923326</v>
      </c>
      <c r="Y156" s="3">
        <f t="shared" si="29"/>
        <v>1.9070816044403329E-2</v>
      </c>
      <c r="Z156" s="1">
        <f t="shared" si="30"/>
        <v>6.5557612731065501E-2</v>
      </c>
      <c r="AA156" s="8">
        <f t="shared" si="35"/>
        <v>12.000000000000016</v>
      </c>
      <c r="AB156" s="1">
        <v>12.08</v>
      </c>
      <c r="AC156" s="1">
        <v>4.0305141100000002E-3</v>
      </c>
      <c r="AD156" s="8">
        <f t="shared" si="31"/>
        <v>-0.34780996607701625</v>
      </c>
      <c r="AE156" s="3">
        <f t="shared" si="32"/>
        <v>-8.6294193888088438E-3</v>
      </c>
      <c r="AF156" s="11">
        <f t="shared" si="33"/>
        <v>12.000000000000016</v>
      </c>
      <c r="AG156" s="1">
        <f t="shared" si="34"/>
        <v>6.5557612731065501E-2</v>
      </c>
    </row>
    <row r="157" spans="2:33" ht="15" x14ac:dyDescent="0.25">
      <c r="B157" s="1">
        <v>146</v>
      </c>
      <c r="C157" s="1">
        <v>1.0001337678595912</v>
      </c>
      <c r="D157" s="1">
        <v>1.1054796229488737</v>
      </c>
      <c r="E157" s="1">
        <v>0.90405252253791879</v>
      </c>
      <c r="G157" s="1">
        <v>0.99865697370029705</v>
      </c>
      <c r="H157" s="1">
        <v>2.351290480298784</v>
      </c>
      <c r="I157" s="1">
        <v>0.39603810629321662</v>
      </c>
      <c r="K157" s="1">
        <v>1.0000379473310805</v>
      </c>
      <c r="L157" s="1">
        <v>1.278496278910795</v>
      </c>
      <c r="M157" s="1">
        <v>0.77836991642156217</v>
      </c>
      <c r="O157" s="1">
        <v>4.1120840898340102E-3</v>
      </c>
      <c r="P157" s="1">
        <v>0.95120054901306217</v>
      </c>
      <c r="R157" s="1">
        <v>6.69562792444994E-2</v>
      </c>
      <c r="S157" s="2">
        <f t="shared" si="36"/>
        <v>0.22984128456789032</v>
      </c>
      <c r="T157" s="4">
        <f t="shared" si="37"/>
        <v>5.282701609181794E-2</v>
      </c>
      <c r="U157" s="1">
        <f t="shared" si="28"/>
        <v>4.2343249529158467E-2</v>
      </c>
      <c r="V157" s="6">
        <f>2*sigma/alpha*corel*(B157/12-1/alpha*(1-EXP(-alpha*Output!B157/12)))</f>
        <v>0.31668298780144677</v>
      </c>
      <c r="W157" s="5">
        <f t="shared" si="38"/>
        <v>-1.0483766562659473E-2</v>
      </c>
      <c r="X157" s="1">
        <f t="shared" si="39"/>
        <v>0.61049808747894563</v>
      </c>
      <c r="Y157" s="3">
        <f t="shared" si="29"/>
        <v>1.9095648598258977E-2</v>
      </c>
      <c r="Z157" s="1">
        <f t="shared" si="30"/>
        <v>6.5893448294156109E-2</v>
      </c>
      <c r="AA157" s="8">
        <f t="shared" si="35"/>
        <v>12.08333333333335</v>
      </c>
      <c r="AB157" s="1">
        <v>12.17</v>
      </c>
      <c r="AC157" s="1">
        <v>4.0802033210000001E-3</v>
      </c>
      <c r="AD157" s="8">
        <f t="shared" si="31"/>
        <v>-0.31880768834010098</v>
      </c>
      <c r="AE157" s="3">
        <f t="shared" si="32"/>
        <v>-7.813524554015747E-3</v>
      </c>
      <c r="AF157" s="11">
        <f t="shared" si="33"/>
        <v>12.08333333333335</v>
      </c>
      <c r="AG157" s="1">
        <f t="shared" si="34"/>
        <v>6.5893448294156109E-2</v>
      </c>
    </row>
    <row r="158" spans="2:33" ht="15" x14ac:dyDescent="0.25">
      <c r="B158" s="1">
        <v>147</v>
      </c>
      <c r="C158" s="1">
        <v>1.0001360825806398</v>
      </c>
      <c r="D158" s="1">
        <v>1.1066289886066443</v>
      </c>
      <c r="E158" s="1">
        <v>0.90311136029272565</v>
      </c>
      <c r="G158" s="1">
        <v>0.99868852152814636</v>
      </c>
      <c r="H158" s="1">
        <v>2.3751873269542827</v>
      </c>
      <c r="I158" s="1">
        <v>0.39186321138315139</v>
      </c>
      <c r="K158" s="1">
        <v>1.0000360828241235</v>
      </c>
      <c r="L158" s="1">
        <v>1.283184749029129</v>
      </c>
      <c r="M158" s="1">
        <v>0.77548157329870793</v>
      </c>
      <c r="O158" s="1">
        <v>4.1566469708647687E-3</v>
      </c>
      <c r="P158" s="1">
        <v>0.95035571712531097</v>
      </c>
      <c r="R158" s="1">
        <v>6.7346862915016403E-2</v>
      </c>
      <c r="S158" s="2">
        <f t="shared" si="36"/>
        <v>0.2319040978072599</v>
      </c>
      <c r="T158" s="4">
        <f t="shared" si="37"/>
        <v>5.377951057979917E-2</v>
      </c>
      <c r="U158" s="1">
        <f t="shared" si="28"/>
        <v>4.3120685848644591E-2</v>
      </c>
      <c r="V158" s="6">
        <f>2*sigma/alpha*corel*(B158/12-1/alpha*(1-EXP(-alpha*Output!B158/12)))</f>
        <v>0.32070748182630027</v>
      </c>
      <c r="W158" s="5">
        <f t="shared" si="38"/>
        <v>-1.0658824731154579E-2</v>
      </c>
      <c r="X158" s="1">
        <f t="shared" si="39"/>
        <v>0.62513570072594116</v>
      </c>
      <c r="Y158" s="3">
        <f t="shared" si="29"/>
        <v>1.9181540948266712E-2</v>
      </c>
      <c r="Z158" s="1">
        <f t="shared" si="30"/>
        <v>6.6258313659217111E-2</v>
      </c>
      <c r="AA158" s="8">
        <f t="shared" si="35"/>
        <v>12.166666666666684</v>
      </c>
      <c r="AB158" s="1">
        <v>12.25</v>
      </c>
      <c r="AC158" s="1">
        <v>4.1273883090000001E-3</v>
      </c>
      <c r="AD158" s="8">
        <f t="shared" si="31"/>
        <v>-0.29258661864768609</v>
      </c>
      <c r="AE158" s="3">
        <f t="shared" si="32"/>
        <v>-7.088904574587389E-3</v>
      </c>
      <c r="AF158" s="11">
        <f t="shared" si="33"/>
        <v>12.166666666666684</v>
      </c>
      <c r="AG158" s="1">
        <f t="shared" si="34"/>
        <v>6.6258313659217111E-2</v>
      </c>
    </row>
    <row r="159" spans="2:33" ht="15" x14ac:dyDescent="0.25">
      <c r="B159" s="1">
        <v>148</v>
      </c>
      <c r="C159" s="1">
        <v>1.000137207004782</v>
      </c>
      <c r="D159" s="1">
        <v>1.1066619980088042</v>
      </c>
      <c r="E159" s="1">
        <v>0.90308223715969216</v>
      </c>
      <c r="G159" s="1">
        <v>0.99862723941830611</v>
      </c>
      <c r="H159" s="1">
        <v>2.3751631765030159</v>
      </c>
      <c r="I159" s="1">
        <v>0.39167695407163244</v>
      </c>
      <c r="K159" s="1">
        <v>1.0000363826247136</v>
      </c>
      <c r="L159" s="1">
        <v>1.2812591213927624</v>
      </c>
      <c r="M159" s="1">
        <v>0.77665868391968695</v>
      </c>
      <c r="O159" s="1">
        <v>4.1992714600419326E-3</v>
      </c>
      <c r="P159" s="1">
        <v>0.94952728337809988</v>
      </c>
      <c r="R159" s="1">
        <v>6.7686533805346907E-2</v>
      </c>
      <c r="S159" s="2">
        <f t="shared" si="36"/>
        <v>0.23381308052732919</v>
      </c>
      <c r="T159" s="4">
        <f t="shared" si="37"/>
        <v>5.4668556625679321E-2</v>
      </c>
      <c r="U159" s="1">
        <f t="shared" si="28"/>
        <v>4.3906362253982145E-2</v>
      </c>
      <c r="V159" s="6">
        <f>2*sigma/alpha*corel*(B159/12-1/alpha*(1-EXP(-alpha*Output!B159/12)))</f>
        <v>0.32475324762064761</v>
      </c>
      <c r="W159" s="5">
        <f t="shared" si="38"/>
        <v>-1.0762194371697176E-2</v>
      </c>
      <c r="X159" s="1">
        <f t="shared" si="39"/>
        <v>0.63639959417721825</v>
      </c>
      <c r="Y159" s="3">
        <f t="shared" si="29"/>
        <v>1.9175405068818423E-2</v>
      </c>
      <c r="Z159" s="1">
        <f t="shared" si="30"/>
        <v>6.6577666468211227E-2</v>
      </c>
      <c r="AA159" s="8">
        <f t="shared" si="35"/>
        <v>12.250000000000018</v>
      </c>
      <c r="AB159" s="1">
        <v>12.33</v>
      </c>
      <c r="AC159" s="1">
        <v>4.1723499249999999E-3</v>
      </c>
      <c r="AD159" s="8">
        <f t="shared" si="31"/>
        <v>-0.26921535041932698</v>
      </c>
      <c r="AE159" s="3">
        <f t="shared" si="32"/>
        <v>-6.4523674969406359E-3</v>
      </c>
      <c r="AF159" s="11">
        <f t="shared" si="33"/>
        <v>12.250000000000018</v>
      </c>
      <c r="AG159" s="1">
        <f t="shared" si="34"/>
        <v>6.6577666468211227E-2</v>
      </c>
    </row>
    <row r="160" spans="2:33" ht="15" x14ac:dyDescent="0.25">
      <c r="B160" s="1">
        <v>149</v>
      </c>
      <c r="C160" s="1">
        <v>1.0001391937516995</v>
      </c>
      <c r="D160" s="1">
        <v>1.1078134442592544</v>
      </c>
      <c r="E160" s="1">
        <v>0.90214141342479781</v>
      </c>
      <c r="G160" s="1">
        <v>0.99863318020553615</v>
      </c>
      <c r="H160" s="1">
        <v>2.4059340775347238</v>
      </c>
      <c r="I160" s="1">
        <v>0.38647985900129594</v>
      </c>
      <c r="K160" s="1">
        <v>1.0000316073835775</v>
      </c>
      <c r="L160" s="1">
        <v>1.2750960363684878</v>
      </c>
      <c r="M160" s="1">
        <v>0.78036203132608051</v>
      </c>
      <c r="O160" s="1">
        <v>4.240270032519285E-3</v>
      </c>
      <c r="P160" s="1">
        <v>0.94871198501500176</v>
      </c>
      <c r="R160" s="1">
        <v>6.8028456824448996E-2</v>
      </c>
      <c r="S160" s="2">
        <f t="shared" si="36"/>
        <v>0.23571307864124702</v>
      </c>
      <c r="T160" s="4">
        <f t="shared" si="37"/>
        <v>5.5560655442534704E-2</v>
      </c>
      <c r="U160" s="1">
        <f t="shared" si="28"/>
        <v>4.4700294546259123E-2</v>
      </c>
      <c r="V160" s="6">
        <f>2*sigma/alpha*corel*(B160/12-1/alpha*(1-EXP(-alpha*Output!B160/12)))</f>
        <v>0.32882021439663611</v>
      </c>
      <c r="W160" s="5">
        <f t="shared" si="38"/>
        <v>-1.0860360896275581E-2</v>
      </c>
      <c r="X160" s="1">
        <f t="shared" si="39"/>
        <v>0.64752065791087032</v>
      </c>
      <c r="Y160" s="3">
        <f t="shared" si="29"/>
        <v>1.9162408134514683E-2</v>
      </c>
      <c r="Z160" s="1">
        <f t="shared" si="30"/>
        <v>6.6893076321854511E-2</v>
      </c>
      <c r="AA160" s="8">
        <f t="shared" si="35"/>
        <v>12.333333333333352</v>
      </c>
      <c r="AB160" s="1">
        <v>12.42</v>
      </c>
      <c r="AC160" s="1">
        <v>4.21536902E-3</v>
      </c>
      <c r="AD160" s="8">
        <f t="shared" si="31"/>
        <v>-0.24901012519285004</v>
      </c>
      <c r="AE160" s="3">
        <f t="shared" si="32"/>
        <v>-5.9071963572207026E-3</v>
      </c>
      <c r="AF160" s="11">
        <f t="shared" si="33"/>
        <v>12.333333333333352</v>
      </c>
      <c r="AG160" s="1">
        <f t="shared" si="34"/>
        <v>6.6893076321854511E-2</v>
      </c>
    </row>
    <row r="161" spans="2:33" ht="15" x14ac:dyDescent="0.25">
      <c r="B161" s="1">
        <v>150</v>
      </c>
      <c r="C161" s="1">
        <v>1.0001416237912675</v>
      </c>
      <c r="D161" s="1">
        <v>1.1057996892334263</v>
      </c>
      <c r="E161" s="1">
        <v>0.90378212392276103</v>
      </c>
      <c r="G161" s="1">
        <v>0.99868435186560123</v>
      </c>
      <c r="H161" s="1">
        <v>2.3673701035623926</v>
      </c>
      <c r="I161" s="1">
        <v>0.39258487133759257</v>
      </c>
      <c r="K161" s="1">
        <v>1.0000318227487994</v>
      </c>
      <c r="L161" s="1">
        <v>1.293054530987916</v>
      </c>
      <c r="M161" s="1">
        <v>0.76950175846322144</v>
      </c>
      <c r="O161" s="1">
        <v>4.2798668757118002E-3</v>
      </c>
      <c r="P161" s="1">
        <v>0.94790751837141152</v>
      </c>
      <c r="R161" s="1">
        <v>6.8416901027114535E-2</v>
      </c>
      <c r="S161" s="2">
        <f t="shared" si="36"/>
        <v>0.23772465440755214</v>
      </c>
      <c r="T161" s="4">
        <f t="shared" si="37"/>
        <v>5.6513011313190101E-2</v>
      </c>
      <c r="U161" s="1">
        <f t="shared" si="28"/>
        <v>4.5502498186790419E-2</v>
      </c>
      <c r="V161" s="6">
        <f>2*sigma/alpha*corel*(B161/12-1/alpha*(1-EXP(-alpha*Output!B161/12)))</f>
        <v>0.33290831160197953</v>
      </c>
      <c r="W161" s="5">
        <f t="shared" si="38"/>
        <v>-1.1010513126399682E-2</v>
      </c>
      <c r="X161" s="1">
        <f t="shared" si="39"/>
        <v>0.66135360025366474</v>
      </c>
      <c r="Y161" s="3">
        <f t="shared" si="29"/>
        <v>1.9213127420859937E-2</v>
      </c>
      <c r="Z161" s="1">
        <f t="shared" si="30"/>
        <v>6.7238686074723442E-2</v>
      </c>
      <c r="AA161" s="8">
        <f t="shared" si="35"/>
        <v>12.416666666666686</v>
      </c>
      <c r="AB161" s="1">
        <v>12.5</v>
      </c>
      <c r="AC161" s="1">
        <v>4.2567264439999997E-3</v>
      </c>
      <c r="AD161" s="8">
        <f t="shared" si="31"/>
        <v>-0.23140431711800474</v>
      </c>
      <c r="AE161" s="3">
        <f t="shared" si="32"/>
        <v>-5.4362036217802294E-3</v>
      </c>
      <c r="AF161" s="11">
        <f t="shared" si="33"/>
        <v>12.416666666666686</v>
      </c>
      <c r="AG161" s="1">
        <f t="shared" si="34"/>
        <v>6.7238686074723442E-2</v>
      </c>
    </row>
    <row r="162" spans="2:33" ht="15" x14ac:dyDescent="0.25">
      <c r="B162" s="1">
        <v>151</v>
      </c>
      <c r="C162" s="1">
        <v>1.0001443986009666</v>
      </c>
      <c r="D162" s="1">
        <v>1.1084270621461925</v>
      </c>
      <c r="E162" s="1">
        <v>0.90163768352396245</v>
      </c>
      <c r="G162" s="1">
        <v>0.99876000216645755</v>
      </c>
      <c r="H162" s="1">
        <v>2.4299262992978146</v>
      </c>
      <c r="I162" s="1">
        <v>0.3822924800248142</v>
      </c>
      <c r="K162" s="1">
        <v>1.0000367706356574</v>
      </c>
      <c r="L162" s="1">
        <v>1.3000694492097202</v>
      </c>
      <c r="M162" s="1">
        <v>0.76533711554391115</v>
      </c>
      <c r="O162" s="1">
        <v>4.3183370245702679E-3</v>
      </c>
      <c r="P162" s="1">
        <v>0.94711091115135759</v>
      </c>
      <c r="R162" s="1">
        <v>6.8849348065462793E-2</v>
      </c>
      <c r="S162" s="2">
        <f t="shared" si="36"/>
        <v>0.23984507272624828</v>
      </c>
      <c r="T162" s="4">
        <f t="shared" si="37"/>
        <v>5.7525658911059326E-2</v>
      </c>
      <c r="U162" s="1">
        <f t="shared" si="28"/>
        <v>4.63129883001554E-2</v>
      </c>
      <c r="V162" s="6">
        <f>2*sigma/alpha*corel*(B162/12-1/alpha*(1-EXP(-alpha*Output!B162/12)))</f>
        <v>0.33701746891917406</v>
      </c>
      <c r="W162" s="5">
        <f t="shared" si="38"/>
        <v>-1.1212670610903926E-2</v>
      </c>
      <c r="X162" s="1">
        <f t="shared" si="39"/>
        <v>0.67795186177218403</v>
      </c>
      <c r="Y162" s="3">
        <f t="shared" si="29"/>
        <v>1.9325596826424013E-2</v>
      </c>
      <c r="Z162" s="1">
        <f t="shared" si="30"/>
        <v>6.7613427236021262E-2</v>
      </c>
      <c r="AA162" s="8">
        <f t="shared" si="35"/>
        <v>12.50000000000002</v>
      </c>
      <c r="AB162" s="1">
        <v>12.58</v>
      </c>
      <c r="AC162" s="1">
        <v>4.296703049E-3</v>
      </c>
      <c r="AD162" s="8">
        <f t="shared" si="31"/>
        <v>-0.21633975570267866</v>
      </c>
      <c r="AE162" s="3">
        <f t="shared" si="32"/>
        <v>-5.0350176224775141E-3</v>
      </c>
      <c r="AF162" s="11">
        <f t="shared" si="33"/>
        <v>12.50000000000002</v>
      </c>
      <c r="AG162" s="1">
        <f t="shared" si="34"/>
        <v>6.7613427236021262E-2</v>
      </c>
    </row>
    <row r="163" spans="2:33" ht="15" x14ac:dyDescent="0.25">
      <c r="B163" s="1">
        <v>152</v>
      </c>
      <c r="C163" s="1">
        <v>1.0001471560629667</v>
      </c>
      <c r="D163" s="1">
        <v>1.1086909852044402</v>
      </c>
      <c r="E163" s="1">
        <v>0.90142091039480565</v>
      </c>
      <c r="G163" s="1">
        <v>0.99882520560116717</v>
      </c>
      <c r="H163" s="1">
        <v>2.4373230859267352</v>
      </c>
      <c r="I163" s="1">
        <v>0.38094730220175577</v>
      </c>
      <c r="K163" s="1">
        <v>1.0000341842326947</v>
      </c>
      <c r="L163" s="1">
        <v>1.3131937917732581</v>
      </c>
      <c r="M163" s="1">
        <v>0.75764222345982624</v>
      </c>
      <c r="O163" s="1">
        <v>4.3560252317203238E-3</v>
      </c>
      <c r="P163" s="1">
        <v>0.9463182787806812</v>
      </c>
      <c r="R163" s="1">
        <v>6.9202193798923353E-2</v>
      </c>
      <c r="S163" s="2">
        <f t="shared" si="36"/>
        <v>0.24175009434041156</v>
      </c>
      <c r="T163" s="4">
        <f t="shared" si="37"/>
        <v>5.8443108113597889E-2</v>
      </c>
      <c r="U163" s="1">
        <f t="shared" si="28"/>
        <v>4.7131779677217267E-2</v>
      </c>
      <c r="V163" s="6">
        <f>2*sigma/alpha*corel*(B163/12-1/alpha*(1-EXP(-alpha*Output!B163/12)))</f>
        <v>0.34114761626471757</v>
      </c>
      <c r="W163" s="5">
        <f t="shared" si="38"/>
        <v>-1.1311328436380622E-2</v>
      </c>
      <c r="X163" s="1">
        <f t="shared" si="39"/>
        <v>0.68948900352638387</v>
      </c>
      <c r="Y163" s="3">
        <f t="shared" si="29"/>
        <v>1.9310807736584924E-2</v>
      </c>
      <c r="Z163" s="1">
        <f t="shared" si="30"/>
        <v>6.7925912492329626E-2</v>
      </c>
      <c r="AA163" s="8">
        <f t="shared" si="35"/>
        <v>12.583333333333353</v>
      </c>
      <c r="AB163" s="1">
        <v>12.67</v>
      </c>
      <c r="AC163" s="1">
        <v>4.3355804669999998E-3</v>
      </c>
      <c r="AD163" s="8">
        <f t="shared" si="31"/>
        <v>-0.2044476472032406</v>
      </c>
      <c r="AE163" s="3">
        <f t="shared" si="32"/>
        <v>-4.7155772741246781E-3</v>
      </c>
      <c r="AF163" s="11">
        <f t="shared" si="33"/>
        <v>12.583333333333353</v>
      </c>
      <c r="AG163" s="1">
        <f t="shared" si="34"/>
        <v>6.7925912492329626E-2</v>
      </c>
    </row>
    <row r="164" spans="2:33" ht="15" x14ac:dyDescent="0.25">
      <c r="B164" s="1">
        <v>153</v>
      </c>
      <c r="C164" s="1">
        <v>1.0001486094489505</v>
      </c>
      <c r="D164" s="1">
        <v>1.1119630941431644</v>
      </c>
      <c r="E164" s="1">
        <v>0.89876622890758384</v>
      </c>
      <c r="G164" s="1">
        <v>0.99879225968634455</v>
      </c>
      <c r="H164" s="1">
        <v>2.5024921435897931</v>
      </c>
      <c r="I164" s="1">
        <v>0.3708467169055728</v>
      </c>
      <c r="K164" s="1">
        <v>1.0000343223689958</v>
      </c>
      <c r="L164" s="1">
        <v>1.3145836206585668</v>
      </c>
      <c r="M164" s="1">
        <v>0.7568328240239568</v>
      </c>
      <c r="O164" s="1">
        <v>4.393189858304075E-3</v>
      </c>
      <c r="P164" s="1">
        <v>0.94552668256637118</v>
      </c>
      <c r="R164" s="1">
        <v>6.9584570320300812E-2</v>
      </c>
      <c r="S164" s="2">
        <f t="shared" si="36"/>
        <v>0.24373374357233285</v>
      </c>
      <c r="T164" s="4">
        <f t="shared" si="37"/>
        <v>5.9406137755783704E-2</v>
      </c>
      <c r="U164" s="1">
        <f t="shared" si="28"/>
        <v>4.7958886778113552E-2</v>
      </c>
      <c r="V164" s="6">
        <f>2*sigma/alpha*corel*(B164/12-1/alpha*(1-EXP(-alpha*Output!B164/12)))</f>
        <v>0.34529868378833095</v>
      </c>
      <c r="W164" s="5">
        <f t="shared" si="38"/>
        <v>-1.1447250977670152E-2</v>
      </c>
      <c r="X164" s="1">
        <f t="shared" si="39"/>
        <v>0.70304098088713152</v>
      </c>
      <c r="Y164" s="3">
        <f t="shared" si="29"/>
        <v>1.9340263017958895E-2</v>
      </c>
      <c r="Z164" s="1">
        <f t="shared" si="30"/>
        <v>6.8259101385985524E-2</v>
      </c>
      <c r="AA164" s="8">
        <f t="shared" si="35"/>
        <v>12.666666666666687</v>
      </c>
      <c r="AB164" s="1">
        <v>12.75</v>
      </c>
      <c r="AC164" s="1">
        <v>4.3736434599999999E-3</v>
      </c>
      <c r="AD164" s="8">
        <f t="shared" si="31"/>
        <v>-0.19546398304075113</v>
      </c>
      <c r="AE164" s="3">
        <f t="shared" si="32"/>
        <v>-4.4691339115409089E-3</v>
      </c>
      <c r="AF164" s="11">
        <f t="shared" si="33"/>
        <v>12.666666666666687</v>
      </c>
      <c r="AG164" s="1">
        <f t="shared" si="34"/>
        <v>6.8259101385985524E-2</v>
      </c>
    </row>
    <row r="165" spans="2:33" ht="15" x14ac:dyDescent="0.25">
      <c r="B165" s="1">
        <v>154</v>
      </c>
      <c r="C165" s="1">
        <v>1.0001518539947325</v>
      </c>
      <c r="D165" s="1">
        <v>1.1109301701553504</v>
      </c>
      <c r="E165" s="1">
        <v>0.89959977243758482</v>
      </c>
      <c r="G165" s="1">
        <v>0.99890846463434368</v>
      </c>
      <c r="H165" s="1">
        <v>2.4814122134495626</v>
      </c>
      <c r="I165" s="1">
        <v>0.37381559214106647</v>
      </c>
      <c r="K165" s="1">
        <v>1.0000381434779646</v>
      </c>
      <c r="L165" s="1">
        <v>1.310211931403753</v>
      </c>
      <c r="M165" s="1">
        <v>0.75933186976832512</v>
      </c>
      <c r="O165" s="1">
        <v>4.4301360567224318E-3</v>
      </c>
      <c r="P165" s="1">
        <v>0.94473254498349135</v>
      </c>
      <c r="R165" s="1">
        <v>6.9922197458520338E-2</v>
      </c>
      <c r="S165" s="2">
        <f t="shared" si="36"/>
        <v>0.24560236144640368</v>
      </c>
      <c r="T165" s="4">
        <f t="shared" si="37"/>
        <v>6.0320519948049919E-2</v>
      </c>
      <c r="U165" s="1">
        <f t="shared" si="28"/>
        <v>4.8794323735229739E-2</v>
      </c>
      <c r="V165" s="6">
        <f>2*sigma/alpha*corel*(B165/12-1/alpha*(1-EXP(-alpha*Output!B165/12)))</f>
        <v>0.34947060187218182</v>
      </c>
      <c r="W165" s="5">
        <f t="shared" si="38"/>
        <v>-1.1526196212820181E-2</v>
      </c>
      <c r="X165" s="1">
        <f t="shared" si="39"/>
        <v>0.71380777383100769</v>
      </c>
      <c r="Y165" s="3">
        <f t="shared" si="29"/>
        <v>1.9301331902165986E-2</v>
      </c>
      <c r="Z165" s="1">
        <f t="shared" si="30"/>
        <v>6.8558735808737031E-2</v>
      </c>
      <c r="AA165" s="8">
        <f t="shared" si="35"/>
        <v>12.750000000000021</v>
      </c>
      <c r="AB165" s="1">
        <v>12.83</v>
      </c>
      <c r="AC165" s="1">
        <v>4.4111775690000004E-3</v>
      </c>
      <c r="AD165" s="8">
        <f t="shared" si="31"/>
        <v>-0.18958487722431361</v>
      </c>
      <c r="AE165" s="3">
        <f t="shared" si="32"/>
        <v>-4.2978291909317057E-3</v>
      </c>
      <c r="AF165" s="11">
        <f t="shared" si="33"/>
        <v>12.750000000000021</v>
      </c>
      <c r="AG165" s="1">
        <f t="shared" si="34"/>
        <v>6.8558735808737031E-2</v>
      </c>
    </row>
    <row r="166" spans="2:33" ht="15" x14ac:dyDescent="0.25">
      <c r="B166" s="1">
        <v>155</v>
      </c>
      <c r="C166" s="1">
        <v>1.0001536556292938</v>
      </c>
      <c r="D166" s="1">
        <v>1.1097849324110525</v>
      </c>
      <c r="E166" s="1">
        <v>0.90052600363030699</v>
      </c>
      <c r="G166" s="1">
        <v>0.99890049353779031</v>
      </c>
      <c r="H166" s="1">
        <v>2.4592866001174443</v>
      </c>
      <c r="I166" s="1">
        <v>0.37699566764242598</v>
      </c>
      <c r="K166" s="1">
        <v>1.0000299510927904</v>
      </c>
      <c r="L166" s="1">
        <v>1.3178108832004982</v>
      </c>
      <c r="M166" s="1">
        <v>0.75491803720117712</v>
      </c>
      <c r="O166" s="1">
        <v>4.4671601143367722E-3</v>
      </c>
      <c r="P166" s="1">
        <v>0.94393231261710631</v>
      </c>
      <c r="R166" s="1">
        <v>7.0254468889600311E-2</v>
      </c>
      <c r="S166" s="2">
        <f t="shared" si="36"/>
        <v>0.24746521156149853</v>
      </c>
      <c r="T166" s="4">
        <f t="shared" si="37"/>
        <v>6.123903093317723E-2</v>
      </c>
      <c r="U166" s="1">
        <f t="shared" si="28"/>
        <v>4.9638104356144463E-2</v>
      </c>
      <c r="V166" s="6">
        <f>2*sigma/alpha*corel*(B166/12-1/alpha*(1-EXP(-alpha*Output!B166/12)))</f>
        <v>0.35366330113010935</v>
      </c>
      <c r="W166" s="5">
        <f t="shared" si="38"/>
        <v>-1.1600926577032766E-2</v>
      </c>
      <c r="X166" s="1">
        <f t="shared" si="39"/>
        <v>0.72445893704627262</v>
      </c>
      <c r="Y166" s="3">
        <f t="shared" si="29"/>
        <v>1.9257609087442493E-2</v>
      </c>
      <c r="Z166" s="1">
        <f t="shared" si="30"/>
        <v>6.8855546369151449E-2</v>
      </c>
      <c r="AA166" s="8">
        <f t="shared" si="35"/>
        <v>12.833333333333355</v>
      </c>
      <c r="AB166" s="1">
        <v>12.92</v>
      </c>
      <c r="AC166" s="1">
        <v>4.4484683380000001E-3</v>
      </c>
      <c r="AD166" s="8">
        <f t="shared" si="31"/>
        <v>-0.18691776336772145</v>
      </c>
      <c r="AE166" s="3">
        <f t="shared" si="32"/>
        <v>-4.2018454255596293E-3</v>
      </c>
      <c r="AF166" s="11">
        <f t="shared" si="33"/>
        <v>12.833333333333355</v>
      </c>
      <c r="AG166" s="1">
        <f t="shared" si="34"/>
        <v>6.8855546369151449E-2</v>
      </c>
    </row>
    <row r="167" spans="2:33" ht="15" x14ac:dyDescent="0.25">
      <c r="B167" s="1">
        <v>156</v>
      </c>
      <c r="C167" s="1">
        <v>1.000152474675815</v>
      </c>
      <c r="D167" s="1">
        <v>1.1105664535049564</v>
      </c>
      <c r="E167" s="1">
        <v>0.89989019578546781</v>
      </c>
      <c r="G167" s="1">
        <v>0.99864725241334851</v>
      </c>
      <c r="H167" s="1">
        <v>2.4732116300978997</v>
      </c>
      <c r="I167" s="1">
        <v>0.37469112569611179</v>
      </c>
      <c r="K167" s="1">
        <v>1.000018908453512</v>
      </c>
      <c r="L167" s="1">
        <v>1.3148948380717824</v>
      </c>
      <c r="M167" s="1">
        <v>0.75658107434818078</v>
      </c>
      <c r="O167" s="1">
        <v>4.5045785651667237E-3</v>
      </c>
      <c r="P167" s="1">
        <v>0.94312210283088749</v>
      </c>
      <c r="R167" s="1">
        <v>7.0590372332030582E-2</v>
      </c>
      <c r="S167" s="2">
        <f t="shared" si="36"/>
        <v>0.24935104718830003</v>
      </c>
      <c r="T167" s="4">
        <f t="shared" si="37"/>
        <v>6.2175944733901832E-2</v>
      </c>
      <c r="U167" s="1">
        <f t="shared" si="28"/>
        <v>5.0490242126560059E-2</v>
      </c>
      <c r="V167" s="6">
        <f>2*sigma/alpha*corel*(B167/12-1/alpha*(1-EXP(-alpha*Output!B167/12)))</f>
        <v>0.35787671240685737</v>
      </c>
      <c r="W167" s="5">
        <f t="shared" si="38"/>
        <v>-1.1685702607341773E-2</v>
      </c>
      <c r="X167" s="1">
        <f t="shared" si="39"/>
        <v>0.73573227686491272</v>
      </c>
      <c r="Y167" s="3">
        <f t="shared" si="29"/>
        <v>1.9225833222615344E-2</v>
      </c>
      <c r="Z167" s="1">
        <f t="shared" si="30"/>
        <v>6.9157537402158201E-2</v>
      </c>
      <c r="AA167" s="8">
        <f t="shared" si="35"/>
        <v>12.916666666666689</v>
      </c>
      <c r="AB167" s="1">
        <v>13</v>
      </c>
      <c r="AC167" s="1">
        <v>4.4858013099999998E-3</v>
      </c>
      <c r="AD167" s="8">
        <f t="shared" si="31"/>
        <v>-0.18777255166723891</v>
      </c>
      <c r="AE167" s="3">
        <f t="shared" si="32"/>
        <v>-4.1859310899180005E-3</v>
      </c>
      <c r="AF167" s="11">
        <f t="shared" si="33"/>
        <v>12.916666666666689</v>
      </c>
      <c r="AG167" s="1">
        <f t="shared" si="34"/>
        <v>6.9157537402158201E-2</v>
      </c>
    </row>
    <row r="168" spans="2:33" ht="15" x14ac:dyDescent="0.25">
      <c r="B168" s="1">
        <v>157</v>
      </c>
      <c r="C168" s="1">
        <v>1.0001577972473683</v>
      </c>
      <c r="D168" s="1">
        <v>1.1140007627604431</v>
      </c>
      <c r="E168" s="1">
        <v>0.89711388049576113</v>
      </c>
      <c r="G168" s="1">
        <v>0.99892463775556228</v>
      </c>
      <c r="H168" s="1">
        <v>2.5423252277576003</v>
      </c>
      <c r="I168" s="1">
        <v>0.36432818784937976</v>
      </c>
      <c r="K168" s="1">
        <v>1.0000177058035462</v>
      </c>
      <c r="L168" s="1">
        <v>1.3114026932098966</v>
      </c>
      <c r="M168" s="1">
        <v>0.75856473307112693</v>
      </c>
      <c r="O168" s="1">
        <v>4.5425494554393424E-3</v>
      </c>
      <c r="P168" s="1">
        <v>0.94229990111576101</v>
      </c>
      <c r="R168" s="1">
        <v>7.0937439761803403E-2</v>
      </c>
      <c r="S168" s="2">
        <f t="shared" si="36"/>
        <v>0.25128254272821837</v>
      </c>
      <c r="T168" s="4">
        <f t="shared" si="37"/>
        <v>6.3142916279958897E-2</v>
      </c>
      <c r="U168" s="1">
        <f t="shared" si="28"/>
        <v>5.1350750213206009E-2</v>
      </c>
      <c r="V168" s="6">
        <f>2*sigma/alpha*corel*(B168/12-1/alpha*(1-EXP(-alpha*Output!B168/12)))</f>
        <v>0.36211076677730181</v>
      </c>
      <c r="W168" s="5">
        <f t="shared" si="38"/>
        <v>-1.1792166066752888E-2</v>
      </c>
      <c r="X168" s="1">
        <f t="shared" si="39"/>
        <v>0.74824756490944655</v>
      </c>
      <c r="Y168" s="3">
        <f t="shared" si="29"/>
        <v>1.9219195277373938E-2</v>
      </c>
      <c r="Z168" s="1">
        <f t="shared" si="30"/>
        <v>6.9470930334388933E-2</v>
      </c>
      <c r="AA168" s="8">
        <f t="shared" si="35"/>
        <v>13.000000000000023</v>
      </c>
      <c r="AB168" s="1">
        <v>13.08</v>
      </c>
      <c r="AC168" s="1">
        <v>4.5234620270000001E-3</v>
      </c>
      <c r="AD168" s="8">
        <f t="shared" si="31"/>
        <v>-0.19087428439342261</v>
      </c>
      <c r="AE168" s="3">
        <f t="shared" si="32"/>
        <v>-4.2196504193937516E-3</v>
      </c>
      <c r="AF168" s="11">
        <f t="shared" si="33"/>
        <v>13.000000000000023</v>
      </c>
      <c r="AG168" s="1">
        <f t="shared" si="34"/>
        <v>6.9470930334388933E-2</v>
      </c>
    </row>
    <row r="169" spans="2:33" ht="15" x14ac:dyDescent="0.25">
      <c r="B169" s="1">
        <v>158</v>
      </c>
      <c r="C169" s="1">
        <v>1.000160738096596</v>
      </c>
      <c r="D169" s="1">
        <v>1.1187505166815745</v>
      </c>
      <c r="E169" s="1">
        <v>0.8933030438863212</v>
      </c>
      <c r="G169" s="1">
        <v>0.9990147278361774</v>
      </c>
      <c r="H169" s="1">
        <v>2.6392368647648561</v>
      </c>
      <c r="I169" s="1">
        <v>0.35077991152114318</v>
      </c>
      <c r="K169" s="1">
        <v>1.0000140982791319</v>
      </c>
      <c r="L169" s="1">
        <v>1.3077882656779902</v>
      </c>
      <c r="M169" s="1">
        <v>0.76061419950332398</v>
      </c>
      <c r="O169" s="1">
        <v>4.5811341560576058E-3</v>
      </c>
      <c r="P169" s="1">
        <v>0.9414648492799621</v>
      </c>
      <c r="R169" s="1">
        <v>7.12951920271091E-2</v>
      </c>
      <c r="S169" s="2">
        <f t="shared" si="36"/>
        <v>0.25325958115386882</v>
      </c>
      <c r="T169" s="4">
        <f t="shared" si="37"/>
        <v>6.4140415446233071E-2</v>
      </c>
      <c r="U169" s="1">
        <f t="shared" si="28"/>
        <v>5.2219641466717093E-2</v>
      </c>
      <c r="V169" s="6">
        <f>2*sigma/alpha*corel*(B169/12-1/alpha*(1-EXP(-alpha*Output!B169/12)))</f>
        <v>0.36636539554568603</v>
      </c>
      <c r="W169" s="5">
        <f t="shared" si="38"/>
        <v>-1.1920773979515978E-2</v>
      </c>
      <c r="X169" s="1">
        <f t="shared" si="39"/>
        <v>0.76205103264118856</v>
      </c>
      <c r="Y169" s="3">
        <f t="shared" si="29"/>
        <v>1.9237592979778666E-2</v>
      </c>
      <c r="Z169" s="1">
        <f t="shared" si="30"/>
        <v>6.9795586951767602E-2</v>
      </c>
      <c r="AA169" s="8">
        <f t="shared" si="35"/>
        <v>13.083333333333357</v>
      </c>
      <c r="AB169" s="1">
        <v>13.17</v>
      </c>
      <c r="AC169" s="1">
        <v>4.5616866070000003E-3</v>
      </c>
      <c r="AD169" s="8">
        <f t="shared" si="31"/>
        <v>-0.19447549057605498</v>
      </c>
      <c r="AE169" s="3">
        <f t="shared" si="32"/>
        <v>-4.2632365467112189E-3</v>
      </c>
      <c r="AF169" s="11">
        <f t="shared" si="33"/>
        <v>13.083333333333357</v>
      </c>
      <c r="AG169" s="1">
        <f t="shared" si="34"/>
        <v>6.9795586951767602E-2</v>
      </c>
    </row>
    <row r="170" spans="2:33" ht="15" x14ac:dyDescent="0.25">
      <c r="B170" s="1">
        <v>159</v>
      </c>
      <c r="C170" s="1">
        <v>1.0001631449847554</v>
      </c>
      <c r="D170" s="1">
        <v>1.1206905501302851</v>
      </c>
      <c r="E170" s="1">
        <v>0.89175459437435067</v>
      </c>
      <c r="G170" s="1">
        <v>0.99904791881527855</v>
      </c>
      <c r="H170" s="1">
        <v>2.6796200574755411</v>
      </c>
      <c r="I170" s="1">
        <v>0.34532583779173492</v>
      </c>
      <c r="K170" s="1">
        <v>1.0000182381575413</v>
      </c>
      <c r="L170" s="1">
        <v>1.3214504906290496</v>
      </c>
      <c r="M170" s="1">
        <v>0.75272240220991438</v>
      </c>
      <c r="O170" s="1">
        <v>4.6203049120557673E-3</v>
      </c>
      <c r="P170" s="1">
        <v>0.94061718434186858</v>
      </c>
      <c r="R170" s="1">
        <v>7.1659541974375518E-2</v>
      </c>
      <c r="S170" s="2">
        <f t="shared" si="36"/>
        <v>0.25527103254425809</v>
      </c>
      <c r="T170" s="4">
        <f t="shared" si="37"/>
        <v>6.5163300056211668E-2</v>
      </c>
      <c r="U170" s="1">
        <f t="shared" si="28"/>
        <v>5.3096928424502643E-2</v>
      </c>
      <c r="V170" s="6">
        <f>2*sigma/alpha*corel*(B170/12-1/alpha*(1-EXP(-alpha*Output!B170/12)))</f>
        <v>0.37064053024485988</v>
      </c>
      <c r="W170" s="5">
        <f t="shared" si="38"/>
        <v>-1.2066371631709025E-2</v>
      </c>
      <c r="X170" s="1">
        <f t="shared" si="39"/>
        <v>0.77689209914076918</v>
      </c>
      <c r="Y170" s="3">
        <f t="shared" si="29"/>
        <v>1.9274501804703036E-2</v>
      </c>
      <c r="Z170" s="1">
        <f t="shared" si="30"/>
        <v>7.0128345980086881E-2</v>
      </c>
      <c r="AA170" s="8">
        <f t="shared" si="35"/>
        <v>13.166666666666691</v>
      </c>
      <c r="AB170" s="1">
        <v>13.25</v>
      </c>
      <c r="AC170" s="1">
        <v>4.6005134680000004E-3</v>
      </c>
      <c r="AD170" s="8">
        <f t="shared" si="31"/>
        <v>-0.19791444055766888</v>
      </c>
      <c r="AE170" s="3">
        <f t="shared" si="32"/>
        <v>-4.3020076331546754E-3</v>
      </c>
      <c r="AF170" s="11">
        <f t="shared" si="33"/>
        <v>13.166666666666691</v>
      </c>
      <c r="AG170" s="1">
        <f t="shared" si="34"/>
        <v>7.0128345980086881E-2</v>
      </c>
    </row>
    <row r="171" spans="2:33" ht="15" x14ac:dyDescent="0.25">
      <c r="B171" s="1">
        <v>160</v>
      </c>
      <c r="C171" s="1">
        <v>1.0001648870412778</v>
      </c>
      <c r="D171" s="1">
        <v>1.1208337356428897</v>
      </c>
      <c r="E171" s="1">
        <v>0.89163863540144372</v>
      </c>
      <c r="G171" s="1">
        <v>0.99903761857009521</v>
      </c>
      <c r="H171" s="1">
        <v>2.6817053281508816</v>
      </c>
      <c r="I171" s="1">
        <v>0.34488988619207345</v>
      </c>
      <c r="K171" s="1">
        <v>1.0000239267682509</v>
      </c>
      <c r="L171" s="1">
        <v>1.3193184864076002</v>
      </c>
      <c r="M171" s="1">
        <v>0.75392637979176924</v>
      </c>
      <c r="O171" s="1">
        <v>4.6600107170941315E-3</v>
      </c>
      <c r="P171" s="1">
        <v>0.93975744314073073</v>
      </c>
      <c r="R171" s="1">
        <v>7.2013619357990458E-2</v>
      </c>
      <c r="S171" s="2">
        <f t="shared" si="36"/>
        <v>0.25727104603393491</v>
      </c>
      <c r="T171" s="4">
        <f t="shared" si="37"/>
        <v>6.6188391127395052E-2</v>
      </c>
      <c r="U171" s="1">
        <f t="shared" si="28"/>
        <v>5.3982623313579392E-2</v>
      </c>
      <c r="V171" s="6">
        <f>2*sigma/alpha*corel*(B171/12-1/alpha*(1-EXP(-alpha*Output!B171/12)))</f>
        <v>0.37493610263551624</v>
      </c>
      <c r="W171" s="5">
        <f t="shared" si="38"/>
        <v>-1.220576781381566E-2</v>
      </c>
      <c r="X171" s="1">
        <f t="shared" si="39"/>
        <v>0.79155136446301222</v>
      </c>
      <c r="Y171" s="3">
        <f t="shared" si="29"/>
        <v>1.9303335816108429E-2</v>
      </c>
      <c r="Z171" s="1">
        <f t="shared" si="30"/>
        <v>7.0456577652868072E-2</v>
      </c>
      <c r="AA171" s="8">
        <f t="shared" si="35"/>
        <v>13.250000000000025</v>
      </c>
      <c r="AB171" s="1">
        <v>13.33</v>
      </c>
      <c r="AC171" s="1">
        <v>4.6399316000000001E-3</v>
      </c>
      <c r="AD171" s="8">
        <f t="shared" si="31"/>
        <v>-0.20079117094131371</v>
      </c>
      <c r="AE171" s="3">
        <f t="shared" si="32"/>
        <v>-4.3274597181845028E-3</v>
      </c>
      <c r="AF171" s="11">
        <f t="shared" si="33"/>
        <v>13.250000000000025</v>
      </c>
      <c r="AG171" s="1">
        <f t="shared" si="34"/>
        <v>7.0456577652868072E-2</v>
      </c>
    </row>
    <row r="172" spans="2:33" ht="15" x14ac:dyDescent="0.25">
      <c r="B172" s="1">
        <v>161</v>
      </c>
      <c r="C172" s="1">
        <v>1.0001676640918995</v>
      </c>
      <c r="D172" s="1">
        <v>1.1195372742892187</v>
      </c>
      <c r="E172" s="1">
        <v>0.89266915117298273</v>
      </c>
      <c r="G172" s="1">
        <v>0.9991028369755095</v>
      </c>
      <c r="H172" s="1">
        <v>2.6532482338893519</v>
      </c>
      <c r="I172" s="1">
        <v>0.3484198251443385</v>
      </c>
      <c r="K172" s="1">
        <v>1.0000219769752898</v>
      </c>
      <c r="L172" s="1">
        <v>1.3210402764452001</v>
      </c>
      <c r="M172" s="1">
        <v>0.75292961668828273</v>
      </c>
      <c r="O172" s="1">
        <v>4.7002984474519222E-3</v>
      </c>
      <c r="P172" s="1">
        <v>0.93888494412154366</v>
      </c>
      <c r="R172" s="1">
        <v>7.23310029103401E-2</v>
      </c>
      <c r="S172" s="2">
        <f t="shared" si="36"/>
        <v>0.25918941379390059</v>
      </c>
      <c r="T172" s="4">
        <f t="shared" si="37"/>
        <v>6.7179152222825833E-2</v>
      </c>
      <c r="U172" s="1">
        <f t="shared" si="28"/>
        <v>5.4876738053391438E-2</v>
      </c>
      <c r="V172" s="6">
        <f>2*sigma/alpha*corel*(B172/12-1/alpha*(1-EXP(-alpha*Output!B172/12)))</f>
        <v>0.37925204470543217</v>
      </c>
      <c r="W172" s="5">
        <f t="shared" si="38"/>
        <v>-1.2302414169434395E-2</v>
      </c>
      <c r="X172" s="1">
        <f t="shared" si="39"/>
        <v>0.80406167383956362</v>
      </c>
      <c r="Y172" s="3">
        <f t="shared" si="29"/>
        <v>1.9283583217936426E-2</v>
      </c>
      <c r="Z172" s="1">
        <f t="shared" si="30"/>
        <v>7.0761160113322702E-2</v>
      </c>
      <c r="AA172" s="8">
        <f t="shared" si="35"/>
        <v>13.333333333333359</v>
      </c>
      <c r="AB172" s="1">
        <v>13.42</v>
      </c>
      <c r="AC172" s="1">
        <v>4.6799299950000001E-3</v>
      </c>
      <c r="AD172" s="8">
        <f t="shared" si="31"/>
        <v>-0.20368452451922059</v>
      </c>
      <c r="AE172" s="3">
        <f t="shared" si="32"/>
        <v>-4.3522985330300993E-3</v>
      </c>
      <c r="AF172" s="11">
        <f t="shared" si="33"/>
        <v>13.333333333333359</v>
      </c>
      <c r="AG172" s="1">
        <f t="shared" si="34"/>
        <v>7.0761160113322702E-2</v>
      </c>
    </row>
    <row r="173" spans="2:33" ht="15" x14ac:dyDescent="0.25">
      <c r="B173" s="1">
        <v>162</v>
      </c>
      <c r="C173" s="1">
        <v>1.0001695965123605</v>
      </c>
      <c r="D173" s="1">
        <v>1.1195309495142598</v>
      </c>
      <c r="E173" s="1">
        <v>0.89267217169293822</v>
      </c>
      <c r="G173" s="1">
        <v>0.99910786100420845</v>
      </c>
      <c r="H173" s="1">
        <v>2.6536654059194587</v>
      </c>
      <c r="I173" s="1">
        <v>0.3481960309544142</v>
      </c>
      <c r="K173" s="1">
        <v>1.0000094406875242</v>
      </c>
      <c r="L173" s="1">
        <v>1.3283494823200581</v>
      </c>
      <c r="M173" s="1">
        <v>0.74877090940588509</v>
      </c>
      <c r="O173" s="1">
        <v>4.7411241926746776E-3</v>
      </c>
      <c r="P173" s="1">
        <v>0.9380001438655774</v>
      </c>
      <c r="R173" s="1">
        <v>7.2668753670659114E-2</v>
      </c>
      <c r="S173" s="2">
        <f t="shared" si="36"/>
        <v>0.26117879984235914</v>
      </c>
      <c r="T173" s="4">
        <f t="shared" si="37"/>
        <v>6.8214365487095099E-2</v>
      </c>
      <c r="U173" s="1">
        <f t="shared" si="28"/>
        <v>5.5779284258609341E-2</v>
      </c>
      <c r="V173" s="6">
        <f>2*sigma/alpha*corel*(B173/12-1/alpha*(1-EXP(-alpha*Output!B173/12)))</f>
        <v>0.38358828866871764</v>
      </c>
      <c r="W173" s="5">
        <f t="shared" si="38"/>
        <v>-1.2435081228485759E-2</v>
      </c>
      <c r="X173" s="1">
        <f t="shared" si="39"/>
        <v>0.8186343615420264</v>
      </c>
      <c r="Y173" s="3">
        <f t="shared" si="29"/>
        <v>1.9303550490305878E-2</v>
      </c>
      <c r="Z173" s="1">
        <f t="shared" si="30"/>
        <v>7.1083865694031051E-2</v>
      </c>
      <c r="AA173" s="8">
        <f t="shared" si="35"/>
        <v>13.416666666666693</v>
      </c>
      <c r="AB173" s="1">
        <v>13.5</v>
      </c>
      <c r="AC173" s="1">
        <v>4.7204976459999997E-3</v>
      </c>
      <c r="AD173" s="8">
        <f t="shared" si="31"/>
        <v>-0.20626546674677898</v>
      </c>
      <c r="AE173" s="3">
        <f t="shared" si="32"/>
        <v>-4.369570376156459E-3</v>
      </c>
      <c r="AF173" s="11">
        <f t="shared" si="33"/>
        <v>13.416666666666693</v>
      </c>
      <c r="AG173" s="1">
        <f t="shared" si="34"/>
        <v>7.1083865694031051E-2</v>
      </c>
    </row>
    <row r="174" spans="2:33" ht="15" x14ac:dyDescent="0.25">
      <c r="B174" s="1">
        <v>163</v>
      </c>
      <c r="C174" s="1">
        <v>1.0001718228770886</v>
      </c>
      <c r="D174" s="1">
        <v>1.1250653547530571</v>
      </c>
      <c r="E174" s="1">
        <v>0.8882789482591289</v>
      </c>
      <c r="G174" s="1">
        <v>0.9991249057843028</v>
      </c>
      <c r="H174" s="1">
        <v>2.7738493577028884</v>
      </c>
      <c r="I174" s="1">
        <v>0.33294795593589188</v>
      </c>
      <c r="K174" s="1">
        <v>1.0000053008271323</v>
      </c>
      <c r="L174" s="1">
        <v>1.3365023020970759</v>
      </c>
      <c r="M174" s="1">
        <v>0.74417630411422941</v>
      </c>
      <c r="O174" s="1">
        <v>4.782472015625483E-3</v>
      </c>
      <c r="P174" s="1">
        <v>0.93710315550849599</v>
      </c>
      <c r="R174" s="1">
        <v>7.2976121985203327E-2</v>
      </c>
      <c r="S174" s="2">
        <f t="shared" si="36"/>
        <v>0.26310261947501012</v>
      </c>
      <c r="T174" s="4">
        <f t="shared" si="37"/>
        <v>6.922298837461198E-2</v>
      </c>
      <c r="U174" s="1">
        <f t="shared" si="28"/>
        <v>5.669027324190079E-2</v>
      </c>
      <c r="V174" s="6">
        <f>2*sigma/alpha*corel*(B174/12-1/alpha*(1-EXP(-alpha*Output!B174/12)))</f>
        <v>0.38794476696505686</v>
      </c>
      <c r="W174" s="5">
        <f t="shared" si="38"/>
        <v>-1.2532715132711189E-2</v>
      </c>
      <c r="X174" s="1">
        <f t="shared" si="39"/>
        <v>0.83144533109288021</v>
      </c>
      <c r="Y174" s="3">
        <f t="shared" si="29"/>
        <v>1.9284348751447584E-2</v>
      </c>
      <c r="Z174" s="1">
        <f t="shared" si="30"/>
        <v>7.138747035218658E-2</v>
      </c>
      <c r="AA174" s="8">
        <f t="shared" si="35"/>
        <v>13.500000000000027</v>
      </c>
      <c r="AB174" s="1">
        <v>13.58</v>
      </c>
      <c r="AC174" s="1">
        <v>4.761623544E-3</v>
      </c>
      <c r="AD174" s="8">
        <f t="shared" si="31"/>
        <v>-0.20848471625482984</v>
      </c>
      <c r="AE174" s="3">
        <f t="shared" si="32"/>
        <v>-4.3784376133122931E-3</v>
      </c>
      <c r="AF174" s="11">
        <f t="shared" si="33"/>
        <v>13.500000000000027</v>
      </c>
      <c r="AG174" s="1">
        <f t="shared" si="34"/>
        <v>7.138747035218658E-2</v>
      </c>
    </row>
    <row r="175" spans="2:33" ht="15" x14ac:dyDescent="0.25">
      <c r="B175" s="1">
        <v>164</v>
      </c>
      <c r="C175" s="1">
        <v>1.0001773571623536</v>
      </c>
      <c r="D175" s="1">
        <v>1.1265706709859562</v>
      </c>
      <c r="E175" s="1">
        <v>0.88709004365777144</v>
      </c>
      <c r="G175" s="1">
        <v>0.99940533697712852</v>
      </c>
      <c r="H175" s="1">
        <v>2.8051979681679371</v>
      </c>
      <c r="I175" s="1">
        <v>0.32906747807052467</v>
      </c>
      <c r="K175" s="1">
        <v>1.0000060475422443</v>
      </c>
      <c r="L175" s="1">
        <v>1.3433396755148541</v>
      </c>
      <c r="M175" s="1">
        <v>0.74036859630916574</v>
      </c>
      <c r="O175" s="1">
        <v>4.8243843019754257E-3</v>
      </c>
      <c r="P175" s="1">
        <v>0.9361933511210706</v>
      </c>
      <c r="R175" s="1">
        <v>7.32923321771244E-2</v>
      </c>
      <c r="S175" s="2">
        <f t="shared" si="36"/>
        <v>0.26506715092011224</v>
      </c>
      <c r="T175" s="4">
        <f t="shared" si="37"/>
        <v>7.0260594496905554E-2</v>
      </c>
      <c r="U175" s="1">
        <f t="shared" si="28"/>
        <v>5.7609716016691959E-2</v>
      </c>
      <c r="V175" s="6">
        <f>2*sigma/alpha*corel*(B175/12-1/alpha*(1-EXP(-alpha*Output!B175/12)))</f>
        <v>0.39232141225896133</v>
      </c>
      <c r="W175" s="5">
        <f t="shared" si="38"/>
        <v>-1.2650878480213595E-2</v>
      </c>
      <c r="X175" s="1">
        <f t="shared" si="39"/>
        <v>0.84549744743520905</v>
      </c>
      <c r="Y175" s="3">
        <f t="shared" si="29"/>
        <v>1.9287363629561318E-2</v>
      </c>
      <c r="Z175" s="1">
        <f t="shared" si="30"/>
        <v>7.1700900339742427E-2</v>
      </c>
      <c r="AA175" s="8">
        <f t="shared" si="35"/>
        <v>13.583333333333361</v>
      </c>
      <c r="AB175" s="1">
        <v>13.67</v>
      </c>
      <c r="AC175" s="1">
        <v>4.8032966840000002E-3</v>
      </c>
      <c r="AD175" s="8">
        <f t="shared" si="31"/>
        <v>-0.21087617975425535</v>
      </c>
      <c r="AE175" s="3">
        <f t="shared" si="32"/>
        <v>-4.3902384888423298E-3</v>
      </c>
      <c r="AF175" s="11">
        <f t="shared" si="33"/>
        <v>13.583333333333361</v>
      </c>
      <c r="AG175" s="1">
        <f t="shared" si="34"/>
        <v>7.1700900339742427E-2</v>
      </c>
    </row>
    <row r="176" spans="2:33" ht="15" x14ac:dyDescent="0.25">
      <c r="B176" s="1">
        <v>165</v>
      </c>
      <c r="C176" s="1">
        <v>1.0001775399891877</v>
      </c>
      <c r="D176" s="1">
        <v>1.1272611780922208</v>
      </c>
      <c r="E176" s="1">
        <v>0.88654467175909146</v>
      </c>
      <c r="G176" s="1">
        <v>0.99925870718232213</v>
      </c>
      <c r="H176" s="1">
        <v>2.8166659493360076</v>
      </c>
      <c r="I176" s="1">
        <v>0.32756869989482018</v>
      </c>
      <c r="K176" s="1">
        <v>1.0000060113445735</v>
      </c>
      <c r="L176" s="1">
        <v>1.3385385306027884</v>
      </c>
      <c r="M176" s="1">
        <v>0.74298784457627498</v>
      </c>
      <c r="O176" s="1">
        <v>4.8668291186981048E-3</v>
      </c>
      <c r="P176" s="1">
        <v>0.93527104838580966</v>
      </c>
      <c r="R176" s="1">
        <v>7.3594460098761721E-2</v>
      </c>
      <c r="S176" s="2">
        <f t="shared" si="36"/>
        <v>0.26701025822284397</v>
      </c>
      <c r="T176" s="4">
        <f t="shared" si="37"/>
        <v>7.1294477996229816E-2</v>
      </c>
      <c r="U176" s="1">
        <f t="shared" si="28"/>
        <v>5.8537623299896424E-2</v>
      </c>
      <c r="V176" s="6">
        <f>2*sigma/alpha*corel*(B176/12-1/alpha*(1-EXP(-alpha*Output!B176/12)))</f>
        <v>0.39671815743902084</v>
      </c>
      <c r="W176" s="5">
        <f t="shared" si="38"/>
        <v>-1.2756854696333392E-2</v>
      </c>
      <c r="X176" s="1">
        <f t="shared" si="39"/>
        <v>0.85901230474014834</v>
      </c>
      <c r="Y176" s="3">
        <f t="shared" si="29"/>
        <v>1.9276763982823936E-2</v>
      </c>
      <c r="Z176" s="1">
        <f t="shared" si="30"/>
        <v>7.2007311748046463E-2</v>
      </c>
      <c r="AA176" s="8">
        <f t="shared" si="35"/>
        <v>13.666666666666694</v>
      </c>
      <c r="AB176" s="1">
        <v>13.75</v>
      </c>
      <c r="AC176" s="1">
        <v>4.8455060810000004E-3</v>
      </c>
      <c r="AD176" s="8">
        <f t="shared" si="31"/>
        <v>-0.21323037698104363</v>
      </c>
      <c r="AE176" s="3">
        <f t="shared" si="32"/>
        <v>-4.4005801131310899E-3</v>
      </c>
      <c r="AF176" s="11">
        <f t="shared" si="33"/>
        <v>13.666666666666694</v>
      </c>
      <c r="AG176" s="1">
        <f t="shared" si="34"/>
        <v>7.2007311748046463E-2</v>
      </c>
    </row>
    <row r="177" spans="2:33" ht="15" x14ac:dyDescent="0.25">
      <c r="B177" s="1">
        <v>166</v>
      </c>
      <c r="C177" s="1">
        <v>1.0001778459907695</v>
      </c>
      <c r="D177" s="1">
        <v>1.1269352268719635</v>
      </c>
      <c r="E177" s="1">
        <v>0.88679911848306703</v>
      </c>
      <c r="G177" s="1">
        <v>0.99913564951654732</v>
      </c>
      <c r="H177" s="1">
        <v>2.8106740952224092</v>
      </c>
      <c r="I177" s="1">
        <v>0.32810777359067239</v>
      </c>
      <c r="K177" s="1">
        <v>1.0000170849764796</v>
      </c>
      <c r="L177" s="1">
        <v>1.3420251950833713</v>
      </c>
      <c r="M177" s="1">
        <v>0.74105290548205727</v>
      </c>
      <c r="O177" s="1">
        <v>4.9098492743672156E-3</v>
      </c>
      <c r="P177" s="1">
        <v>0.93433560830389084</v>
      </c>
      <c r="R177" s="1">
        <v>7.3929246396690448E-2</v>
      </c>
      <c r="S177" s="2">
        <f t="shared" si="36"/>
        <v>0.2690589078066552</v>
      </c>
      <c r="T177" s="4">
        <f t="shared" si="37"/>
        <v>7.2392695870110185E-2</v>
      </c>
      <c r="U177" s="1">
        <f t="shared" si="28"/>
        <v>5.9474005514629447E-2</v>
      </c>
      <c r="V177" s="6">
        <f>2*sigma/alpha*corel*(B177/12-1/alpha*(1-EXP(-alpha*Output!B177/12)))</f>
        <v>0.40113493561715652</v>
      </c>
      <c r="W177" s="5">
        <f t="shared" si="38"/>
        <v>-1.2918690355480739E-2</v>
      </c>
      <c r="X177" s="1">
        <f t="shared" si="39"/>
        <v>0.87574343624251449</v>
      </c>
      <c r="Y177" s="3">
        <f t="shared" si="29"/>
        <v>1.9325664220147091E-2</v>
      </c>
      <c r="Z177" s="1">
        <f t="shared" si="30"/>
        <v>7.2340907724256609E-2</v>
      </c>
      <c r="AA177" s="8">
        <f t="shared" si="35"/>
        <v>13.750000000000028</v>
      </c>
      <c r="AB177" s="1">
        <v>13.83</v>
      </c>
      <c r="AC177" s="1">
        <v>4.8882407510000003E-3</v>
      </c>
      <c r="AD177" s="8">
        <f t="shared" si="31"/>
        <v>-0.21608523367215235</v>
      </c>
      <c r="AE177" s="3">
        <f t="shared" si="32"/>
        <v>-4.4205112775582344E-3</v>
      </c>
      <c r="AF177" s="11">
        <f t="shared" si="33"/>
        <v>13.750000000000028</v>
      </c>
      <c r="AG177" s="1">
        <f t="shared" si="34"/>
        <v>7.2340907724256609E-2</v>
      </c>
    </row>
    <row r="178" spans="2:33" ht="15" x14ac:dyDescent="0.25">
      <c r="B178" s="1">
        <v>167</v>
      </c>
      <c r="C178" s="1">
        <v>1.0001802195415264</v>
      </c>
      <c r="D178" s="1">
        <v>1.1279594097698671</v>
      </c>
      <c r="E178" s="1">
        <v>0.88599194399989589</v>
      </c>
      <c r="G178" s="1">
        <v>0.99916536257680288</v>
      </c>
      <c r="H178" s="1">
        <v>2.8334960559173163</v>
      </c>
      <c r="I178" s="1">
        <v>0.32530720100938543</v>
      </c>
      <c r="K178" s="1">
        <v>1.0000130189871221</v>
      </c>
      <c r="L178" s="1">
        <v>1.3380831800608164</v>
      </c>
      <c r="M178" s="1">
        <v>0.74320441521843594</v>
      </c>
      <c r="O178" s="1">
        <v>4.9533602627854067E-3</v>
      </c>
      <c r="P178" s="1">
        <v>0.93338803557750516</v>
      </c>
      <c r="R178" s="1">
        <v>7.4261167497539068E-2</v>
      </c>
      <c r="S178" s="2">
        <f t="shared" si="36"/>
        <v>0.27111612882638736</v>
      </c>
      <c r="T178" s="4">
        <f t="shared" si="37"/>
        <v>7.3503955309806274E-2</v>
      </c>
      <c r="U178" s="1">
        <f t="shared" si="28"/>
        <v>6.0418872792903144E-2</v>
      </c>
      <c r="V178" s="6">
        <f>2*sigma/alpha*corel*(B178/12-1/alpha*(1-EXP(-alpha*Output!B178/12)))</f>
        <v>0.40557168012787836</v>
      </c>
      <c r="W178" s="5">
        <f t="shared" si="38"/>
        <v>-1.3085082516903129E-2</v>
      </c>
      <c r="X178" s="1">
        <f t="shared" si="39"/>
        <v>0.89289131449602432</v>
      </c>
      <c r="Y178" s="3">
        <f t="shared" si="29"/>
        <v>1.9378116795947007E-2</v>
      </c>
      <c r="Z178" s="1">
        <f t="shared" si="30"/>
        <v>7.2675452111609168E-2</v>
      </c>
      <c r="AA178" s="8">
        <f t="shared" si="35"/>
        <v>13.833333333333362</v>
      </c>
      <c r="AB178" s="1">
        <v>13.92</v>
      </c>
      <c r="AC178" s="1">
        <v>4.9314897119999996E-3</v>
      </c>
      <c r="AD178" s="8">
        <f t="shared" si="31"/>
        <v>-0.21870550785407089</v>
      </c>
      <c r="AE178" s="3">
        <f t="shared" si="32"/>
        <v>-4.4348770985344578E-3</v>
      </c>
      <c r="AF178" s="11">
        <f t="shared" si="33"/>
        <v>13.833333333333362</v>
      </c>
      <c r="AG178" s="1">
        <f t="shared" si="34"/>
        <v>7.2675452111609168E-2</v>
      </c>
    </row>
    <row r="179" spans="2:33" ht="15" x14ac:dyDescent="0.25">
      <c r="B179" s="1">
        <v>168</v>
      </c>
      <c r="C179" s="1">
        <v>1.0001847414687521</v>
      </c>
      <c r="D179" s="1">
        <v>1.1276287503920912</v>
      </c>
      <c r="E179" s="1">
        <v>0.88624979067101239</v>
      </c>
      <c r="G179" s="1">
        <v>0.999362858843166</v>
      </c>
      <c r="H179" s="1">
        <v>2.8243064193766556</v>
      </c>
      <c r="I179" s="1">
        <v>0.32620736553073915</v>
      </c>
      <c r="K179" s="1">
        <v>1.0000011830172895</v>
      </c>
      <c r="L179" s="1">
        <v>1.3464725261385697</v>
      </c>
      <c r="M179" s="1">
        <v>0.7385332051893907</v>
      </c>
      <c r="O179" s="1">
        <v>4.997399380548404E-3</v>
      </c>
      <c r="P179" s="1">
        <v>0.93242776774500669</v>
      </c>
      <c r="R179" s="1">
        <v>7.4519936658982752E-2</v>
      </c>
      <c r="S179" s="2">
        <f t="shared" si="36"/>
        <v>0.27299231865124496</v>
      </c>
      <c r="T179" s="4">
        <f t="shared" si="37"/>
        <v>7.4524806042582867E-2</v>
      </c>
      <c r="U179" s="1">
        <f t="shared" si="28"/>
        <v>6.1372234978296802E-2</v>
      </c>
      <c r="V179" s="6">
        <f>2*sigma/alpha*corel*(B179/12-1/alpha*(1-EXP(-alpha*Output!B179/12)))</f>
        <v>0.41002832452754645</v>
      </c>
      <c r="W179" s="5">
        <f t="shared" si="38"/>
        <v>-1.3152571064286064E-2</v>
      </c>
      <c r="X179" s="1">
        <f t="shared" si="39"/>
        <v>0.90466720651488652</v>
      </c>
      <c r="Y179" s="3">
        <f t="shared" si="29"/>
        <v>1.9325415233535981E-2</v>
      </c>
      <c r="Z179" s="1">
        <f t="shared" si="30"/>
        <v>7.2960266115284028E-2</v>
      </c>
      <c r="AA179" s="8">
        <f t="shared" si="35"/>
        <v>13.916666666666696</v>
      </c>
      <c r="AB179" s="1">
        <v>14</v>
      </c>
      <c r="AC179" s="1">
        <v>4.975241981E-3</v>
      </c>
      <c r="AD179" s="8">
        <f t="shared" si="31"/>
        <v>-0.22157399548403989</v>
      </c>
      <c r="AE179" s="3">
        <f t="shared" si="32"/>
        <v>-4.4535320358328493E-3</v>
      </c>
      <c r="AF179" s="11">
        <f t="shared" si="33"/>
        <v>13.916666666666696</v>
      </c>
      <c r="AG179" s="1">
        <f t="shared" si="34"/>
        <v>7.2960266115284028E-2</v>
      </c>
    </row>
    <row r="180" spans="2:33" ht="15" x14ac:dyDescent="0.25">
      <c r="B180" s="1">
        <v>169</v>
      </c>
      <c r="C180" s="1">
        <v>1.0001888038367297</v>
      </c>
      <c r="D180" s="1">
        <v>1.1237773906640156</v>
      </c>
      <c r="E180" s="1">
        <v>0.88928515123893059</v>
      </c>
      <c r="G180" s="1">
        <v>0.99953070189411408</v>
      </c>
      <c r="H180" s="1">
        <v>2.7401881792054046</v>
      </c>
      <c r="I180" s="1">
        <v>0.336058188525242</v>
      </c>
      <c r="K180" s="1">
        <v>0.99999495917713954</v>
      </c>
      <c r="L180" s="1">
        <v>1.350767784240269</v>
      </c>
      <c r="M180" s="1">
        <v>0.73614372606456258</v>
      </c>
      <c r="O180" s="1">
        <v>5.0419625571445541E-3</v>
      </c>
      <c r="P180" s="1">
        <v>0.93145477639467067</v>
      </c>
      <c r="R180" s="1">
        <v>7.4792824911925959E-2</v>
      </c>
      <c r="S180" s="2">
        <f t="shared" si="36"/>
        <v>0.27492343862749302</v>
      </c>
      <c r="T180" s="4">
        <f t="shared" si="37"/>
        <v>7.5582897106764926E-2</v>
      </c>
      <c r="U180" s="1">
        <f t="shared" si="28"/>
        <v>6.2334101628609861E-2</v>
      </c>
      <c r="V180" s="6">
        <f>2*sigma/alpha*corel*(B180/12-1/alpha*(1-EXP(-alpha*Output!B180/12)))</f>
        <v>0.41450480259362932</v>
      </c>
      <c r="W180" s="5">
        <f t="shared" si="38"/>
        <v>-1.3248795478155065E-2</v>
      </c>
      <c r="X180" s="1">
        <f t="shared" si="39"/>
        <v>0.91816304330925236</v>
      </c>
      <c r="Y180" s="3">
        <f t="shared" si="29"/>
        <v>1.9303080842237839E-2</v>
      </c>
      <c r="Z180" s="1">
        <f t="shared" si="30"/>
        <v>7.3258671368363379E-2</v>
      </c>
      <c r="AA180" s="8">
        <f t="shared" si="35"/>
        <v>14.00000000000003</v>
      </c>
      <c r="AB180" s="1">
        <v>14.08</v>
      </c>
      <c r="AC180" s="1">
        <v>5.0194865769999999E-3</v>
      </c>
      <c r="AD180" s="8">
        <f t="shared" si="31"/>
        <v>-0.22475980144554158</v>
      </c>
      <c r="AE180" s="3">
        <f t="shared" si="32"/>
        <v>-4.4777448449692626E-3</v>
      </c>
      <c r="AF180" s="11">
        <f t="shared" si="33"/>
        <v>14.00000000000003</v>
      </c>
      <c r="AG180" s="1">
        <f t="shared" si="34"/>
        <v>7.3258671368363379E-2</v>
      </c>
    </row>
    <row r="181" spans="2:33" ht="15" x14ac:dyDescent="0.25">
      <c r="B181" s="1">
        <v>170</v>
      </c>
      <c r="C181" s="1">
        <v>1.0001905301594889</v>
      </c>
      <c r="D181" s="1">
        <v>1.1242234522927421</v>
      </c>
      <c r="E181" s="1">
        <v>0.88893036048309049</v>
      </c>
      <c r="G181" s="1">
        <v>0.99950008535486101</v>
      </c>
      <c r="H181" s="1">
        <v>2.7494699303204335</v>
      </c>
      <c r="I181" s="1">
        <v>0.3347612637364033</v>
      </c>
      <c r="K181" s="1">
        <v>0.99999186173126797</v>
      </c>
      <c r="L181" s="1">
        <v>1.3563391723844063</v>
      </c>
      <c r="M181" s="1">
        <v>0.7331069285865035</v>
      </c>
      <c r="O181" s="1">
        <v>5.0867886744070979E-3</v>
      </c>
      <c r="P181" s="1">
        <v>0.93047242350184234</v>
      </c>
      <c r="R181" s="1">
        <v>7.5102603135689422E-2</v>
      </c>
      <c r="S181" s="2">
        <f t="shared" si="36"/>
        <v>0.27696734036942716</v>
      </c>
      <c r="T181" s="4">
        <f t="shared" si="37"/>
        <v>7.6710907631314121E-2</v>
      </c>
      <c r="U181" s="1">
        <f t="shared" si="28"/>
        <v>6.3304482018494479E-2</v>
      </c>
      <c r="V181" s="6">
        <f>2*sigma/alpha*corel*(B181/12-1/alpha*(1-EXP(-alpha*Output!B181/12)))</f>
        <v>0.41900104832397034</v>
      </c>
      <c r="W181" s="5">
        <f t="shared" si="38"/>
        <v>-1.3406425612819642E-2</v>
      </c>
      <c r="X181" s="1">
        <f t="shared" si="39"/>
        <v>0.93525932988969918</v>
      </c>
      <c r="Y181" s="3">
        <f t="shared" si="29"/>
        <v>1.9344247728121423E-2</v>
      </c>
      <c r="Z181" s="1">
        <f t="shared" si="30"/>
        <v>7.3585919831884464E-2</v>
      </c>
      <c r="AA181" s="8">
        <f t="shared" si="35"/>
        <v>14.083333333333364</v>
      </c>
      <c r="AB181" s="1">
        <v>14.17</v>
      </c>
      <c r="AC181" s="1">
        <v>5.0641743779999996E-3</v>
      </c>
      <c r="AD181" s="8">
        <f t="shared" si="31"/>
        <v>-0.22614296407098311</v>
      </c>
      <c r="AE181" s="3">
        <f t="shared" si="32"/>
        <v>-4.4655445723473294E-3</v>
      </c>
      <c r="AF181" s="11">
        <f t="shared" si="33"/>
        <v>14.083333333333364</v>
      </c>
      <c r="AG181" s="1">
        <f t="shared" si="34"/>
        <v>7.3585919831884464E-2</v>
      </c>
    </row>
    <row r="182" spans="2:33" ht="15" x14ac:dyDescent="0.25">
      <c r="B182" s="1">
        <v>171</v>
      </c>
      <c r="C182" s="1">
        <v>1.0001912120976018</v>
      </c>
      <c r="D182" s="1">
        <v>1.1250834960325788</v>
      </c>
      <c r="E182" s="1">
        <v>0.88824890172667692</v>
      </c>
      <c r="G182" s="1">
        <v>0.99939718989633242</v>
      </c>
      <c r="H182" s="1">
        <v>2.7670008643676356</v>
      </c>
      <c r="I182" s="1">
        <v>0.3324789762409876</v>
      </c>
      <c r="K182" s="1">
        <v>0.99999275633825357</v>
      </c>
      <c r="L182" s="1">
        <v>1.3488060561325201</v>
      </c>
      <c r="M182" s="1">
        <v>0.73717072613590884</v>
      </c>
      <c r="O182" s="1">
        <v>5.1316131509822459E-3</v>
      </c>
      <c r="P182" s="1">
        <v>0.92948418415215017</v>
      </c>
      <c r="R182" s="1">
        <v>7.5413336775778189E-2</v>
      </c>
      <c r="S182" s="2">
        <f t="shared" si="36"/>
        <v>0.27902251260157995</v>
      </c>
      <c r="T182" s="4">
        <f t="shared" si="37"/>
        <v>7.7853562538498844E-2</v>
      </c>
      <c r="U182" s="1">
        <f t="shared" si="28"/>
        <v>6.4283385142065885E-2</v>
      </c>
      <c r="V182" s="6">
        <f>2*sigma/alpha*corel*(B182/12-1/alpha*(1-EXP(-alpha*Output!B182/12)))</f>
        <v>0.42351699593605341</v>
      </c>
      <c r="W182" s="5">
        <f t="shared" si="38"/>
        <v>-1.3570177396432959E-2</v>
      </c>
      <c r="X182" s="1">
        <f t="shared" si="39"/>
        <v>0.95286675744337757</v>
      </c>
      <c r="Y182" s="3">
        <f t="shared" si="29"/>
        <v>1.9390594607283745E-2</v>
      </c>
      <c r="Z182" s="1">
        <f t="shared" si="30"/>
        <v>7.3914869258076318E-2</v>
      </c>
      <c r="AA182" s="8">
        <f t="shared" si="35"/>
        <v>14.166666666666698</v>
      </c>
      <c r="AB182" s="1">
        <v>14.25</v>
      </c>
      <c r="AC182" s="1">
        <v>5.109103714E-3</v>
      </c>
      <c r="AD182" s="8">
        <f t="shared" si="31"/>
        <v>-0.22509436982245945</v>
      </c>
      <c r="AE182" s="3">
        <f t="shared" si="32"/>
        <v>-4.4057506447883286E-3</v>
      </c>
      <c r="AF182" s="11">
        <f t="shared" si="33"/>
        <v>14.166666666666698</v>
      </c>
      <c r="AG182" s="1">
        <f t="shared" si="34"/>
        <v>7.3914869258076318E-2</v>
      </c>
    </row>
    <row r="183" spans="2:33" ht="15" x14ac:dyDescent="0.25">
      <c r="B183" s="1">
        <v>172</v>
      </c>
      <c r="C183" s="1">
        <v>1.0001899954141922</v>
      </c>
      <c r="D183" s="1">
        <v>1.127656166857427</v>
      </c>
      <c r="E183" s="1">
        <v>0.88622049746738307</v>
      </c>
      <c r="G183" s="1">
        <v>0.99914598647645148</v>
      </c>
      <c r="H183" s="1">
        <v>2.8237122130180592</v>
      </c>
      <c r="I183" s="1">
        <v>0.32564346650448162</v>
      </c>
      <c r="K183" s="1">
        <v>0.99999903152707992</v>
      </c>
      <c r="L183" s="1">
        <v>1.3575874206747636</v>
      </c>
      <c r="M183" s="1">
        <v>0.73238039231521723</v>
      </c>
      <c r="O183" s="1">
        <v>5.1762340271987433E-3</v>
      </c>
      <c r="P183" s="1">
        <v>0.92849276744603082</v>
      </c>
      <c r="R183" s="1">
        <v>7.5661268659179992E-2</v>
      </c>
      <c r="S183" s="2">
        <f t="shared" si="36"/>
        <v>0.2809122336203056</v>
      </c>
      <c r="T183" s="4">
        <f t="shared" si="37"/>
        <v>7.8911682997549151E-2</v>
      </c>
      <c r="U183" s="1">
        <f t="shared" si="28"/>
        <v>6.5270819715498973E-2</v>
      </c>
      <c r="V183" s="6">
        <f>2*sigma/alpha*corel*(B183/12-1/alpha*(1-EXP(-alpha*Output!B183/12)))</f>
        <v>0.42805257986627332</v>
      </c>
      <c r="W183" s="5">
        <f t="shared" si="38"/>
        <v>-1.3640863282050178E-2</v>
      </c>
      <c r="X183" s="1">
        <f t="shared" si="39"/>
        <v>0.96530517263438242</v>
      </c>
      <c r="Y183" s="3">
        <f t="shared" si="29"/>
        <v>1.9341169948461825E-2</v>
      </c>
      <c r="Z183" s="1">
        <f t="shared" si="30"/>
        <v>7.4198829206686037E-2</v>
      </c>
      <c r="AA183" s="8">
        <f t="shared" si="35"/>
        <v>14.250000000000032</v>
      </c>
      <c r="AB183" s="1">
        <v>14.33</v>
      </c>
      <c r="AC183" s="1">
        <v>5.154034775E-3</v>
      </c>
      <c r="AD183" s="8">
        <f t="shared" si="31"/>
        <v>-0.22199252198743316</v>
      </c>
      <c r="AE183" s="3">
        <f t="shared" si="32"/>
        <v>-4.3071599567822702E-3</v>
      </c>
      <c r="AF183" s="11">
        <f t="shared" si="33"/>
        <v>14.250000000000032</v>
      </c>
      <c r="AG183" s="1">
        <f t="shared" si="34"/>
        <v>7.4198829206686037E-2</v>
      </c>
    </row>
    <row r="184" spans="2:33" ht="15" x14ac:dyDescent="0.25">
      <c r="B184" s="1">
        <v>173</v>
      </c>
      <c r="C184" s="1">
        <v>1.0001903249688133</v>
      </c>
      <c r="D184" s="1">
        <v>1.1282172157207284</v>
      </c>
      <c r="E184" s="1">
        <v>0.88577787458005808</v>
      </c>
      <c r="G184" s="1">
        <v>0.999016128198986</v>
      </c>
      <c r="H184" s="1">
        <v>2.83503543156078</v>
      </c>
      <c r="I184" s="1">
        <v>0.32418553743736428</v>
      </c>
      <c r="K184" s="1">
        <v>0.99999877254093239</v>
      </c>
      <c r="L184" s="1">
        <v>1.3440591159926547</v>
      </c>
      <c r="M184" s="1">
        <v>0.73971951365777422</v>
      </c>
      <c r="O184" s="1">
        <v>5.2203579458535709E-3</v>
      </c>
      <c r="P184" s="1">
        <v>0.92750215561869553</v>
      </c>
      <c r="R184" s="1">
        <v>7.5966218120312859E-2</v>
      </c>
      <c r="S184" s="2">
        <f t="shared" si="36"/>
        <v>0.28295738086161526</v>
      </c>
      <c r="T184" s="4">
        <f t="shared" si="37"/>
        <v>8.0064879384065188E-2</v>
      </c>
      <c r="U184" s="1">
        <f t="shared" si="28"/>
        <v>6.6266794179596911E-2</v>
      </c>
      <c r="V184" s="6">
        <f>2*sigma/alpha*corel*(B184/12-1/alpha*(1-EXP(-alpha*Output!B184/12)))</f>
        <v>0.43260773476920567</v>
      </c>
      <c r="W184" s="5">
        <f t="shared" si="38"/>
        <v>-1.3798085204468277E-2</v>
      </c>
      <c r="X184" s="1">
        <f t="shared" si="39"/>
        <v>0.98283903230648073</v>
      </c>
      <c r="Y184" s="3">
        <f t="shared" si="29"/>
        <v>1.9379467620888671E-2</v>
      </c>
      <c r="Z184" s="1">
        <f t="shared" si="30"/>
        <v>7.4522702930542487E-2</v>
      </c>
      <c r="AA184" s="8">
        <f t="shared" si="35"/>
        <v>14.333333333333366</v>
      </c>
      <c r="AB184" s="1">
        <v>14.42</v>
      </c>
      <c r="AC184" s="1">
        <v>5.1987277530000002E-3</v>
      </c>
      <c r="AD184" s="8">
        <f t="shared" si="31"/>
        <v>-0.21630192853570701</v>
      </c>
      <c r="AE184" s="3">
        <f t="shared" si="32"/>
        <v>-4.1606704334707064E-3</v>
      </c>
      <c r="AF184" s="11">
        <f t="shared" si="33"/>
        <v>14.333333333333366</v>
      </c>
      <c r="AG184" s="1">
        <f t="shared" si="34"/>
        <v>7.4522702930542487E-2</v>
      </c>
    </row>
    <row r="185" spans="2:33" ht="15" x14ac:dyDescent="0.25">
      <c r="B185" s="1">
        <v>174</v>
      </c>
      <c r="C185" s="1">
        <v>1.0001945139300614</v>
      </c>
      <c r="D185" s="1">
        <v>1.1268421598512282</v>
      </c>
      <c r="E185" s="1">
        <v>0.88685685525446323</v>
      </c>
      <c r="G185" s="1">
        <v>0.99918746655405632</v>
      </c>
      <c r="H185" s="1">
        <v>2.8025792917737378</v>
      </c>
      <c r="I185" s="1">
        <v>0.32778083094221694</v>
      </c>
      <c r="K185" s="1">
        <v>0.99999351225879396</v>
      </c>
      <c r="L185" s="1">
        <v>1.3573349720524626</v>
      </c>
      <c r="M185" s="1">
        <v>0.73248896397649754</v>
      </c>
      <c r="O185" s="1">
        <v>5.2638106181989806E-3</v>
      </c>
      <c r="P185" s="1">
        <v>0.92651480493309968</v>
      </c>
      <c r="R185" s="1">
        <v>7.6213803981332193E-2</v>
      </c>
      <c r="S185" s="2">
        <f t="shared" si="36"/>
        <v>0.28484361692877591</v>
      </c>
      <c r="T185" s="4">
        <f t="shared" si="37"/>
        <v>8.1135886105067237E-2</v>
      </c>
      <c r="U185" s="1">
        <f t="shared" ref="U185:U248" si="40">sigma*sigma/alpha/alpha*(B185/12+2/alpha*EXP(-alpha*B185/12)-1/2/alpha*EXP(-2*alpha*B185/12)-3/2/alpha)</f>
        <v>6.7271316702345985E-2</v>
      </c>
      <c r="V185" s="6">
        <f>2*sigma/alpha*corel*(B185/12-1/alpha*(1-EXP(-alpha*Output!B185/12)))</f>
        <v>0.43718239551688143</v>
      </c>
      <c r="W185" s="5">
        <f t="shared" si="38"/>
        <v>-1.3864569402721252E-2</v>
      </c>
      <c r="X185" s="1">
        <f t="shared" si="39"/>
        <v>0.99527347230771168</v>
      </c>
      <c r="Y185" s="3">
        <f t="shared" si="29"/>
        <v>1.9325915224482001E-2</v>
      </c>
      <c r="Z185" s="1">
        <f t="shared" si="30"/>
        <v>7.4803598523557682E-2</v>
      </c>
      <c r="AA185" s="8">
        <f t="shared" si="35"/>
        <v>14.4166666666667</v>
      </c>
      <c r="AB185" s="1">
        <v>14.5</v>
      </c>
      <c r="AC185" s="1">
        <v>5.2429428390000001E-3</v>
      </c>
      <c r="AD185" s="8">
        <f t="shared" si="31"/>
        <v>-0.20867779198980446</v>
      </c>
      <c r="AE185" s="3">
        <f t="shared" si="32"/>
        <v>-3.9801653078790026E-3</v>
      </c>
      <c r="AF185" s="11">
        <f t="shared" si="33"/>
        <v>14.4166666666667</v>
      </c>
      <c r="AG185" s="1">
        <f t="shared" si="34"/>
        <v>7.4803598523557682E-2</v>
      </c>
    </row>
    <row r="186" spans="2:33" ht="15" x14ac:dyDescent="0.25">
      <c r="B186" s="1">
        <v>175</v>
      </c>
      <c r="C186" s="1">
        <v>1.0001998634544846</v>
      </c>
      <c r="D186" s="1">
        <v>1.1267722207921917</v>
      </c>
      <c r="E186" s="1">
        <v>0.8869099993730778</v>
      </c>
      <c r="G186" s="1">
        <v>0.99946223802735346</v>
      </c>
      <c r="H186" s="1">
        <v>2.8004260907150784</v>
      </c>
      <c r="I186" s="1">
        <v>0.32787377902381559</v>
      </c>
      <c r="K186" s="1">
        <v>0.99999831205633138</v>
      </c>
      <c r="L186" s="1">
        <v>1.3622148911765593</v>
      </c>
      <c r="M186" s="1">
        <v>0.72984416327910717</v>
      </c>
      <c r="O186" s="1">
        <v>5.3062956164114869E-3</v>
      </c>
      <c r="P186" s="1">
        <v>0.92553486352830849</v>
      </c>
      <c r="R186" s="1">
        <v>7.6527396255327423E-2</v>
      </c>
      <c r="S186" s="2">
        <f t="shared" si="36"/>
        <v>0.28690212014114902</v>
      </c>
      <c r="T186" s="4">
        <f t="shared" si="37"/>
        <v>8.2312826541486306E-2</v>
      </c>
      <c r="U186" s="1">
        <f t="shared" si="40"/>
        <v>6.8284395181450908E-2</v>
      </c>
      <c r="V186" s="6">
        <f>2*sigma/alpha*corel*(B186/12-1/alpha*(1-EXP(-alpha*Output!B186/12)))</f>
        <v>0.441776497198064</v>
      </c>
      <c r="W186" s="5">
        <f t="shared" si="38"/>
        <v>-1.4028431360035398E-2</v>
      </c>
      <c r="X186" s="1">
        <f t="shared" si="39"/>
        <v>1.0134916361453226</v>
      </c>
      <c r="Y186" s="3">
        <f t="shared" si="29"/>
        <v>1.9369601830269194E-2</v>
      </c>
      <c r="Z186" s="1">
        <f t="shared" si="30"/>
        <v>7.512861043372171E-2</v>
      </c>
      <c r="AA186" s="8">
        <f t="shared" si="35"/>
        <v>14.500000000000034</v>
      </c>
      <c r="AB186" s="1">
        <v>14.58</v>
      </c>
      <c r="AC186" s="1">
        <v>5.2864402239999999E-3</v>
      </c>
      <c r="AD186" s="8">
        <f t="shared" si="31"/>
        <v>-0.19855392411487033</v>
      </c>
      <c r="AE186" s="3">
        <f t="shared" si="32"/>
        <v>-3.7559097559346647E-3</v>
      </c>
      <c r="AF186" s="11">
        <f t="shared" si="33"/>
        <v>14.500000000000034</v>
      </c>
      <c r="AG186" s="1">
        <f t="shared" si="34"/>
        <v>7.512861043372171E-2</v>
      </c>
    </row>
    <row r="187" spans="2:33" ht="15" x14ac:dyDescent="0.25">
      <c r="B187" s="1">
        <v>176</v>
      </c>
      <c r="C187" s="1">
        <v>1.0002028673058783</v>
      </c>
      <c r="D187" s="1">
        <v>1.1257084484167772</v>
      </c>
      <c r="E187" s="1">
        <v>0.88774621396526621</v>
      </c>
      <c r="G187" s="1">
        <v>0.9995335548027624</v>
      </c>
      <c r="H187" s="1">
        <v>2.77495374368868</v>
      </c>
      <c r="I187" s="1">
        <v>0.33072300218945344</v>
      </c>
      <c r="K187" s="1">
        <v>0.99999580687411449</v>
      </c>
      <c r="L187" s="1">
        <v>1.3581288625659556</v>
      </c>
      <c r="M187" s="1">
        <v>0.73201140088106453</v>
      </c>
      <c r="O187" s="1">
        <v>5.34761353907984E-3</v>
      </c>
      <c r="P187" s="1">
        <v>0.92456523771668297</v>
      </c>
      <c r="R187" s="1">
        <v>7.676758671572495E-2</v>
      </c>
      <c r="S187" s="2">
        <f t="shared" si="36"/>
        <v>0.28874893482347364</v>
      </c>
      <c r="T187" s="4">
        <f t="shared" si="37"/>
        <v>8.3375947361690628E-2</v>
      </c>
      <c r="U187" s="1">
        <f t="shared" si="40"/>
        <v>6.9306037246847918E-2</v>
      </c>
      <c r="V187" s="6">
        <f>2*sigma/alpha*corel*(B187/12-1/alpha*(1-EXP(-alpha*Output!B187/12)))</f>
        <v>0.44638997511752643</v>
      </c>
      <c r="W187" s="5">
        <f t="shared" si="38"/>
        <v>-1.406991011484271E-2</v>
      </c>
      <c r="X187" s="1">
        <f t="shared" si="39"/>
        <v>1.0246987366228648</v>
      </c>
      <c r="Y187" s="3">
        <f t="shared" si="29"/>
        <v>1.9291502288770562E-2</v>
      </c>
      <c r="Z187" s="1">
        <f t="shared" si="30"/>
        <v>7.5397106600662289E-2</v>
      </c>
      <c r="AA187" s="8">
        <f t="shared" si="35"/>
        <v>14.583333333333368</v>
      </c>
      <c r="AB187" s="1">
        <v>14.67</v>
      </c>
      <c r="AC187" s="1">
        <v>5.328979381E-3</v>
      </c>
      <c r="AD187" s="8">
        <f t="shared" si="31"/>
        <v>-0.1863415807984003</v>
      </c>
      <c r="AE187" s="3">
        <f t="shared" si="32"/>
        <v>-3.4967592755713144E-3</v>
      </c>
      <c r="AF187" s="11">
        <f t="shared" si="33"/>
        <v>14.583333333333368</v>
      </c>
      <c r="AG187" s="1">
        <f t="shared" si="34"/>
        <v>7.5397106600662289E-2</v>
      </c>
    </row>
    <row r="188" spans="2:33" ht="15" x14ac:dyDescent="0.25">
      <c r="B188" s="1">
        <v>177</v>
      </c>
      <c r="C188" s="1">
        <v>1.0002051956874898</v>
      </c>
      <c r="D188" s="1">
        <v>1.1291691170260083</v>
      </c>
      <c r="E188" s="1">
        <v>0.88502357159824263</v>
      </c>
      <c r="G188" s="1">
        <v>0.99955575195694002</v>
      </c>
      <c r="H188" s="1">
        <v>2.8522336518074107</v>
      </c>
      <c r="I188" s="1">
        <v>0.32160619517277012</v>
      </c>
      <c r="K188" s="1">
        <v>1.0000115222801307</v>
      </c>
      <c r="L188" s="1">
        <v>1.356450033192655</v>
      </c>
      <c r="M188" s="1">
        <v>0.73288077027926013</v>
      </c>
      <c r="O188" s="1">
        <v>5.3875756282779569E-3</v>
      </c>
      <c r="P188" s="1">
        <v>0.923608738206802</v>
      </c>
      <c r="R188" s="1">
        <v>7.707653432837859E-2</v>
      </c>
      <c r="S188" s="2">
        <f t="shared" si="36"/>
        <v>0.29076891049110787</v>
      </c>
      <c r="T188" s="4">
        <f t="shared" si="37"/>
        <v>8.4546559308185901E-2</v>
      </c>
      <c r="U188" s="1">
        <f t="shared" si="40"/>
        <v>7.0336250263201006E-2</v>
      </c>
      <c r="V188" s="6">
        <f>2*sigma/alpha*corel*(B188/12-1/alpha*(1-EXP(-alpha*Output!B188/12)))</f>
        <v>0.45102276479533465</v>
      </c>
      <c r="W188" s="5">
        <f t="shared" si="38"/>
        <v>-1.4210309044984895E-2</v>
      </c>
      <c r="X188" s="1">
        <f t="shared" si="39"/>
        <v>1.0418297680177364</v>
      </c>
      <c r="Y188" s="3">
        <f t="shared" si="29"/>
        <v>1.9311113940817425E-2</v>
      </c>
      <c r="Z188" s="1">
        <f t="shared" si="30"/>
        <v>7.5709775607835969E-2</v>
      </c>
      <c r="AA188" s="8">
        <f t="shared" si="35"/>
        <v>14.666666666666702</v>
      </c>
      <c r="AB188" s="1">
        <v>14.75</v>
      </c>
      <c r="AC188" s="1">
        <v>5.3703169079999998E-3</v>
      </c>
      <c r="AD188" s="8">
        <f t="shared" si="31"/>
        <v>-0.17258720277957101</v>
      </c>
      <c r="AE188" s="3">
        <f t="shared" si="32"/>
        <v>-3.2137247342419037E-3</v>
      </c>
      <c r="AF188" s="11">
        <f t="shared" si="33"/>
        <v>14.666666666666702</v>
      </c>
      <c r="AG188" s="1">
        <f t="shared" si="34"/>
        <v>7.5709775607835969E-2</v>
      </c>
    </row>
    <row r="189" spans="2:33" ht="15" x14ac:dyDescent="0.25">
      <c r="B189" s="1">
        <v>178</v>
      </c>
      <c r="C189" s="1">
        <v>1.0002086357954745</v>
      </c>
      <c r="D189" s="1">
        <v>1.128142783699698</v>
      </c>
      <c r="E189" s="1">
        <v>0.88582684684644297</v>
      </c>
      <c r="G189" s="1">
        <v>0.99966899872230464</v>
      </c>
      <c r="H189" s="1">
        <v>2.8276458956223718</v>
      </c>
      <c r="I189" s="1">
        <v>0.3242454172747164</v>
      </c>
      <c r="K189" s="1">
        <v>1.0000218033499026</v>
      </c>
      <c r="L189" s="1">
        <v>1.366851019219012</v>
      </c>
      <c r="M189" s="1">
        <v>0.7272742663368833</v>
      </c>
      <c r="O189" s="1">
        <v>5.4257772624788578E-3</v>
      </c>
      <c r="P189" s="1">
        <v>0.92267117684389588</v>
      </c>
      <c r="R189" s="1">
        <v>7.7368373353849218E-2</v>
      </c>
      <c r="S189" s="2">
        <f t="shared" si="36"/>
        <v>0.29272032209406218</v>
      </c>
      <c r="T189" s="4">
        <f t="shared" si="37"/>
        <v>8.5685186966851512E-2</v>
      </c>
      <c r="U189" s="1">
        <f t="shared" si="40"/>
        <v>7.1375041332377709E-2</v>
      </c>
      <c r="V189" s="6">
        <f>2*sigma/alpha*corel*(B189/12-1/alpha*(1-EXP(-alpha*Output!B189/12)))</f>
        <v>0.45567480196612897</v>
      </c>
      <c r="W189" s="5">
        <f t="shared" si="38"/>
        <v>-1.4310145634473803E-2</v>
      </c>
      <c r="X189" s="1">
        <f t="shared" si="39"/>
        <v>1.0567081661256499</v>
      </c>
      <c r="Y189" s="3">
        <f t="shared" si="29"/>
        <v>1.9290617298607482E-2</v>
      </c>
      <c r="Z189" s="1">
        <f t="shared" si="30"/>
        <v>7.6003483199386504E-2</v>
      </c>
      <c r="AA189" s="8">
        <f t="shared" si="35"/>
        <v>14.750000000000036</v>
      </c>
      <c r="AB189" s="1">
        <v>14.83</v>
      </c>
      <c r="AC189" s="1">
        <v>5.4102086860000004E-3</v>
      </c>
      <c r="AD189" s="8">
        <f t="shared" si="31"/>
        <v>-0.15568576478857366</v>
      </c>
      <c r="AE189" s="3">
        <f t="shared" si="32"/>
        <v>-2.8776295670708929E-3</v>
      </c>
      <c r="AF189" s="11">
        <f t="shared" si="33"/>
        <v>14.750000000000036</v>
      </c>
      <c r="AG189" s="1">
        <f t="shared" si="34"/>
        <v>7.6003483199386504E-2</v>
      </c>
    </row>
    <row r="190" spans="2:33" ht="15" x14ac:dyDescent="0.25">
      <c r="B190" s="1">
        <v>179</v>
      </c>
      <c r="C190" s="1">
        <v>1.0002109734257993</v>
      </c>
      <c r="D190" s="1">
        <v>1.1291826097783053</v>
      </c>
      <c r="E190" s="1">
        <v>0.88500924796324176</v>
      </c>
      <c r="G190" s="1">
        <v>0.99970307915170875</v>
      </c>
      <c r="H190" s="1">
        <v>2.8512515534166476</v>
      </c>
      <c r="I190" s="1">
        <v>0.32140505580902151</v>
      </c>
      <c r="K190" s="1">
        <v>1.0000273917845584</v>
      </c>
      <c r="L190" s="1">
        <v>1.374970662718449</v>
      </c>
      <c r="M190" s="1">
        <v>0.72294849669640948</v>
      </c>
      <c r="O190" s="1">
        <v>5.462067527995355E-3</v>
      </c>
      <c r="P190" s="1">
        <v>0.92175497860821498</v>
      </c>
      <c r="R190" s="1">
        <v>7.7728434719698675E-2</v>
      </c>
      <c r="S190" s="2">
        <f t="shared" si="36"/>
        <v>0.29483400811742833</v>
      </c>
      <c r="T190" s="4">
        <f t="shared" si="37"/>
        <v>8.6927092342587789E-2</v>
      </c>
      <c r="U190" s="1">
        <f t="shared" si="40"/>
        <v>7.2422417295908037E-2</v>
      </c>
      <c r="V190" s="6">
        <f>2*sigma/alpha*corel*(B190/12-1/alpha*(1-EXP(-alpha*Output!B190/12)))</f>
        <v>0.46034602257841084</v>
      </c>
      <c r="W190" s="5">
        <f t="shared" si="38"/>
        <v>-1.4504675046679752E-2</v>
      </c>
      <c r="X190" s="1">
        <f t="shared" si="39"/>
        <v>1.0773640716223214</v>
      </c>
      <c r="Y190" s="3">
        <f t="shared" si="29"/>
        <v>1.9361412588677414E-2</v>
      </c>
      <c r="Z190" s="1">
        <f t="shared" si="30"/>
        <v>7.6338159333670164E-2</v>
      </c>
      <c r="AA190" s="8">
        <f t="shared" si="35"/>
        <v>14.833333333333369</v>
      </c>
      <c r="AB190" s="1">
        <v>14.92</v>
      </c>
      <c r="AC190" s="1">
        <v>5.4484105960000001E-3</v>
      </c>
      <c r="AD190" s="8">
        <f t="shared" si="31"/>
        <v>-0.13656931995354935</v>
      </c>
      <c r="AE190" s="3">
        <f t="shared" si="32"/>
        <v>-2.506590088012327E-3</v>
      </c>
      <c r="AF190" s="11">
        <f t="shared" si="33"/>
        <v>14.833333333333369</v>
      </c>
      <c r="AG190" s="1">
        <f t="shared" si="34"/>
        <v>7.6338159333670164E-2</v>
      </c>
    </row>
    <row r="191" spans="2:33" ht="15" x14ac:dyDescent="0.25">
      <c r="B191" s="1">
        <v>180</v>
      </c>
      <c r="C191" s="1">
        <v>1.0002117819900744</v>
      </c>
      <c r="D191" s="1">
        <v>1.1284525498425328</v>
      </c>
      <c r="E191" s="1">
        <v>0.88557994596956446</v>
      </c>
      <c r="G191" s="1">
        <v>0.99960465963731782</v>
      </c>
      <c r="H191" s="1">
        <v>2.8343848028920591</v>
      </c>
      <c r="I191" s="1">
        <v>0.32316089765187633</v>
      </c>
      <c r="K191" s="1">
        <v>1.0000262610716959</v>
      </c>
      <c r="L191" s="1">
        <v>1.3709179460488869</v>
      </c>
      <c r="M191" s="1">
        <v>0.72507617232031618</v>
      </c>
      <c r="O191" s="1">
        <v>5.4962004193338252E-3</v>
      </c>
      <c r="P191" s="1">
        <v>0.92086391981240812</v>
      </c>
      <c r="R191" s="1">
        <v>7.8064820697376358E-2</v>
      </c>
      <c r="S191" s="2">
        <f t="shared" si="36"/>
        <v>0.29685361560241164</v>
      </c>
      <c r="T191" s="4">
        <f t="shared" si="37"/>
        <v>8.8122069096224373E-2</v>
      </c>
      <c r="U191" s="1">
        <f t="shared" si="40"/>
        <v>7.347838473742474E-2</v>
      </c>
      <c r="V191" s="6">
        <f>2*sigma/alpha*corel*(B191/12-1/alpha*(1-EXP(-alpha*Output!B191/12)))</f>
        <v>0.46503636279383254</v>
      </c>
      <c r="W191" s="5">
        <f t="shared" si="38"/>
        <v>-1.4643684358799633E-2</v>
      </c>
      <c r="X191" s="1">
        <f t="shared" si="39"/>
        <v>1.0948798802484951</v>
      </c>
      <c r="Y191" s="3">
        <f t="shared" si="29"/>
        <v>1.9377623900582043E-2</v>
      </c>
      <c r="Z191" s="1">
        <f t="shared" si="30"/>
        <v>7.6647273965973234E-2</v>
      </c>
      <c r="AA191" s="8">
        <f t="shared" si="35"/>
        <v>14.916666666666703</v>
      </c>
      <c r="AB191" s="1">
        <v>15</v>
      </c>
      <c r="AC191" s="1">
        <v>5.4846785180000003E-3</v>
      </c>
      <c r="AD191" s="8">
        <f t="shared" si="31"/>
        <v>-0.11521901333824865</v>
      </c>
      <c r="AE191" s="3">
        <f t="shared" si="32"/>
        <v>-2.1007432424729154E-3</v>
      </c>
      <c r="AF191" s="11">
        <f t="shared" si="33"/>
        <v>14.916666666666703</v>
      </c>
      <c r="AG191" s="1">
        <f t="shared" si="34"/>
        <v>7.6647273965973234E-2</v>
      </c>
    </row>
    <row r="192" spans="2:33" ht="15" x14ac:dyDescent="0.25">
      <c r="B192" s="1">
        <v>181</v>
      </c>
      <c r="C192" s="1">
        <v>1.0002138296225105</v>
      </c>
      <c r="D192" s="1">
        <v>1.1276186332204881</v>
      </c>
      <c r="E192" s="1">
        <v>0.88623300642273017</v>
      </c>
      <c r="G192" s="1">
        <v>0.99960102401395867</v>
      </c>
      <c r="H192" s="1">
        <v>2.8149295268911336</v>
      </c>
      <c r="I192" s="1">
        <v>0.325236646665302</v>
      </c>
      <c r="K192" s="1">
        <v>1.0000314061863711</v>
      </c>
      <c r="L192" s="1">
        <v>1.3630916570847653</v>
      </c>
      <c r="M192" s="1">
        <v>0.72921233342446701</v>
      </c>
      <c r="O192" s="1">
        <v>5.5280256263197406E-3</v>
      </c>
      <c r="P192" s="1">
        <v>0.92000051128283877</v>
      </c>
      <c r="R192" s="1">
        <v>7.8414961586515453E-2</v>
      </c>
      <c r="S192" s="2">
        <f t="shared" si="36"/>
        <v>0.29887864868219804</v>
      </c>
      <c r="T192" s="4">
        <f t="shared" si="37"/>
        <v>8.9328446638096762E-2</v>
      </c>
      <c r="U192" s="1">
        <f t="shared" si="40"/>
        <v>7.4542949985080043E-2</v>
      </c>
      <c r="V192" s="6">
        <f>2*sigma/alpha*corel*(B192/12-1/alpha*(1-EXP(-alpha*Output!B192/12)))</f>
        <v>0.4697457589864853</v>
      </c>
      <c r="W192" s="5">
        <f t="shared" si="38"/>
        <v>-1.4785496653016719E-2</v>
      </c>
      <c r="X192" s="1">
        <f t="shared" si="39"/>
        <v>1.1127193761511311</v>
      </c>
      <c r="Y192" s="3">
        <f t="shared" si="29"/>
        <v>1.9395891236782002E-2</v>
      </c>
      <c r="Z192" s="1">
        <f t="shared" si="30"/>
        <v>7.695666282984838E-2</v>
      </c>
      <c r="AA192" s="8">
        <f t="shared" si="35"/>
        <v>15.000000000000037</v>
      </c>
      <c r="AB192" s="1">
        <v>15.08</v>
      </c>
      <c r="AC192" s="1">
        <v>5.5187683330000003E-3</v>
      </c>
      <c r="AD192" s="8">
        <f t="shared" si="31"/>
        <v>-9.2572933197403867E-2</v>
      </c>
      <c r="AE192" s="3">
        <f t="shared" si="32"/>
        <v>-1.6774201707988937E-3</v>
      </c>
      <c r="AF192" s="11">
        <f t="shared" si="33"/>
        <v>15.000000000000037</v>
      </c>
      <c r="AG192" s="1">
        <f t="shared" si="34"/>
        <v>7.695666282984838E-2</v>
      </c>
    </row>
    <row r="193" spans="2:33" ht="15" x14ac:dyDescent="0.25">
      <c r="B193" s="1">
        <v>182</v>
      </c>
      <c r="C193" s="1">
        <v>1.0002160829497977</v>
      </c>
      <c r="D193" s="1">
        <v>1.1304713689660895</v>
      </c>
      <c r="E193" s="1">
        <v>0.88399475598330146</v>
      </c>
      <c r="G193" s="1">
        <v>0.9996452172001844</v>
      </c>
      <c r="H193" s="1">
        <v>2.8777837839246385</v>
      </c>
      <c r="I193" s="1">
        <v>0.31797884802531085</v>
      </c>
      <c r="K193" s="1">
        <v>1.0000303618520849</v>
      </c>
      <c r="L193" s="1">
        <v>1.3727050241484036</v>
      </c>
      <c r="M193" s="1">
        <v>0.72407991524279602</v>
      </c>
      <c r="O193" s="1">
        <v>5.5575941520122994E-3</v>
      </c>
      <c r="P193" s="1">
        <v>0.91916449610347462</v>
      </c>
      <c r="R193" s="1">
        <v>7.8751456090784475E-2</v>
      </c>
      <c r="S193" s="2">
        <f t="shared" si="36"/>
        <v>0.30083411471803434</v>
      </c>
      <c r="T193" s="4">
        <f t="shared" si="37"/>
        <v>9.0501164578183441E-2</v>
      </c>
      <c r="U193" s="1">
        <f t="shared" si="40"/>
        <v>7.5616119113952163E-2</v>
      </c>
      <c r="V193" s="6">
        <f>2*sigma/alpha*corel*(B193/12-1/alpha*(1-EXP(-alpha*Output!B193/12)))</f>
        <v>0.47447414774219365</v>
      </c>
      <c r="W193" s="5">
        <f t="shared" si="38"/>
        <v>-1.4885045464231278E-2</v>
      </c>
      <c r="X193" s="1">
        <f t="shared" si="39"/>
        <v>1.1281518083723785</v>
      </c>
      <c r="Y193" s="3">
        <f t="shared" si="29"/>
        <v>1.9373761370355298E-2</v>
      </c>
      <c r="Z193" s="1">
        <f t="shared" si="30"/>
        <v>7.7247069539288671E-2</v>
      </c>
      <c r="AA193" s="8">
        <f t="shared" si="35"/>
        <v>15.083333333333371</v>
      </c>
      <c r="AB193" s="1">
        <v>15.17</v>
      </c>
      <c r="AC193" s="1">
        <v>5.5505191039999999E-3</v>
      </c>
      <c r="AD193" s="8">
        <f t="shared" si="31"/>
        <v>-7.0750480122994813E-2</v>
      </c>
      <c r="AE193" s="3">
        <f t="shared" si="32"/>
        <v>-1.2746642034257346E-3</v>
      </c>
      <c r="AF193" s="11">
        <f t="shared" si="33"/>
        <v>15.083333333333371</v>
      </c>
      <c r="AG193" s="1">
        <f t="shared" si="34"/>
        <v>7.7247069539288671E-2</v>
      </c>
    </row>
    <row r="194" spans="2:33" ht="15" x14ac:dyDescent="0.25">
      <c r="B194" s="1">
        <v>183</v>
      </c>
      <c r="C194" s="1">
        <v>1.0002174469477332</v>
      </c>
      <c r="D194" s="1">
        <v>1.1328534732448041</v>
      </c>
      <c r="E194" s="1">
        <v>0.88213410130579128</v>
      </c>
      <c r="G194" s="1">
        <v>0.99959254486865523</v>
      </c>
      <c r="H194" s="1">
        <v>2.9357433264293991</v>
      </c>
      <c r="I194" s="1">
        <v>0.31154996663929135</v>
      </c>
      <c r="K194" s="1">
        <v>1.00002838432776</v>
      </c>
      <c r="L194" s="1">
        <v>1.3704690707675951</v>
      </c>
      <c r="M194" s="1">
        <v>0.72523729599710329</v>
      </c>
      <c r="O194" s="1">
        <v>5.5852445463621964E-3</v>
      </c>
      <c r="P194" s="1">
        <v>0.9183515777960547</v>
      </c>
      <c r="R194" s="1">
        <v>7.9085554032954392E-2</v>
      </c>
      <c r="S194" s="2">
        <f t="shared" si="36"/>
        <v>0.30275611518202739</v>
      </c>
      <c r="T194" s="4">
        <f t="shared" si="37"/>
        <v>9.1661265280113036E-2</v>
      </c>
      <c r="U194" s="1">
        <f t="shared" si="40"/>
        <v>7.6697897948425631E-2</v>
      </c>
      <c r="V194" s="6">
        <f>2*sigma/alpha*corel*(B194/12-1/alpha*(1-EXP(-alpha*Output!B194/12)))</f>
        <v>0.479221465857812</v>
      </c>
      <c r="W194" s="5">
        <f t="shared" si="38"/>
        <v>-1.4963367331687405E-2</v>
      </c>
      <c r="X194" s="1">
        <f t="shared" si="39"/>
        <v>1.1424186205718416</v>
      </c>
      <c r="Y194" s="3">
        <f t="shared" si="29"/>
        <v>1.9331750232623741E-2</v>
      </c>
      <c r="Z194" s="1">
        <f t="shared" si="30"/>
        <v>7.7527896737022539E-2</v>
      </c>
      <c r="AA194" s="8">
        <f t="shared" si="35"/>
        <v>15.166666666666705</v>
      </c>
      <c r="AB194" s="1">
        <v>15.25</v>
      </c>
      <c r="AC194" s="1">
        <v>5.5801026249999996E-3</v>
      </c>
      <c r="AD194" s="8">
        <f t="shared" si="31"/>
        <v>-5.1419213621967802E-2</v>
      </c>
      <c r="AE194" s="3">
        <f t="shared" si="32"/>
        <v>-9.214743361815465E-4</v>
      </c>
      <c r="AF194" s="11">
        <f t="shared" si="33"/>
        <v>15.166666666666705</v>
      </c>
      <c r="AG194" s="1">
        <f t="shared" si="34"/>
        <v>7.7527896737022539E-2</v>
      </c>
    </row>
    <row r="195" spans="2:33" ht="15" x14ac:dyDescent="0.25">
      <c r="B195" s="1">
        <v>184</v>
      </c>
      <c r="C195" s="1">
        <v>1.000216885115754</v>
      </c>
      <c r="D195" s="1">
        <v>1.1271059181020637</v>
      </c>
      <c r="E195" s="1">
        <v>0.88663060855240183</v>
      </c>
      <c r="G195" s="1">
        <v>0.99938244099189666</v>
      </c>
      <c r="H195" s="1">
        <v>2.8040981973033774</v>
      </c>
      <c r="I195" s="1">
        <v>0.32601830008488591</v>
      </c>
      <c r="K195" s="1">
        <v>1.0000312558645545</v>
      </c>
      <c r="L195" s="1">
        <v>1.3495539470984061</v>
      </c>
      <c r="M195" s="1">
        <v>0.73646580957449281</v>
      </c>
      <c r="O195" s="1">
        <v>5.6112866478280395E-3</v>
      </c>
      <c r="P195" s="1">
        <v>0.91755777721008724</v>
      </c>
      <c r="R195" s="1">
        <v>7.9481881451183595E-2</v>
      </c>
      <c r="S195" s="2">
        <f t="shared" si="36"/>
        <v>0.30482754076514829</v>
      </c>
      <c r="T195" s="4">
        <f t="shared" si="37"/>
        <v>9.2919829608928139E-2</v>
      </c>
      <c r="U195" s="1">
        <f t="shared" si="40"/>
        <v>7.7788292064559172E-2</v>
      </c>
      <c r="V195" s="6">
        <f>2*sigma/alpha*corel*(B195/12-1/alpha*(1-EXP(-alpha*Output!B195/12)))</f>
        <v>0.48398765034051938</v>
      </c>
      <c r="W195" s="5">
        <f t="shared" si="38"/>
        <v>-1.5131537544368967E-2</v>
      </c>
      <c r="X195" s="1">
        <f t="shared" si="39"/>
        <v>1.1623116817367669</v>
      </c>
      <c r="Y195" s="3">
        <f t="shared" si="29"/>
        <v>1.937341135634945E-2</v>
      </c>
      <c r="Z195" s="1">
        <f t="shared" si="30"/>
        <v>7.7845930449438341E-2</v>
      </c>
      <c r="AA195" s="8">
        <f t="shared" si="35"/>
        <v>15.250000000000039</v>
      </c>
      <c r="AB195" s="1">
        <v>15.33</v>
      </c>
      <c r="AC195" s="1">
        <v>5.6077738719999999E-3</v>
      </c>
      <c r="AD195" s="8">
        <f t="shared" si="31"/>
        <v>-3.5127758280396187E-2</v>
      </c>
      <c r="AE195" s="3">
        <f t="shared" si="32"/>
        <v>-6.2641181834723221E-4</v>
      </c>
      <c r="AF195" s="11">
        <f t="shared" si="33"/>
        <v>15.250000000000039</v>
      </c>
      <c r="AG195" s="1">
        <f t="shared" si="34"/>
        <v>7.7845930449438341E-2</v>
      </c>
    </row>
    <row r="196" spans="2:33" ht="15" x14ac:dyDescent="0.25">
      <c r="B196" s="1">
        <v>185</v>
      </c>
      <c r="C196" s="1">
        <v>1.0002173263073593</v>
      </c>
      <c r="D196" s="1">
        <v>1.1239073022585346</v>
      </c>
      <c r="E196" s="1">
        <v>0.88915210053484994</v>
      </c>
      <c r="G196" s="1">
        <v>0.99925963615882463</v>
      </c>
      <c r="H196" s="1">
        <v>2.7304911298149017</v>
      </c>
      <c r="I196" s="1">
        <v>0.3346446134984668</v>
      </c>
      <c r="K196" s="1">
        <v>1.0000304442142391</v>
      </c>
      <c r="L196" s="1">
        <v>1.353396195234466</v>
      </c>
      <c r="M196" s="1">
        <v>0.7343457918287416</v>
      </c>
      <c r="O196" s="1">
        <v>5.6359425535274848E-3</v>
      </c>
      <c r="P196" s="1">
        <v>0.9167802755548855</v>
      </c>
      <c r="R196" s="1">
        <v>7.9861693005190887E-2</v>
      </c>
      <c r="S196" s="2">
        <f t="shared" si="36"/>
        <v>0.30683513882534574</v>
      </c>
      <c r="T196" s="4">
        <f t="shared" si="37"/>
        <v>9.414780241796919E-2</v>
      </c>
      <c r="U196" s="1">
        <f t="shared" si="40"/>
        <v>7.8887306792431833E-2</v>
      </c>
      <c r="V196" s="6">
        <f>2*sigma/alpha*corel*(B196/12-1/alpha*(1-EXP(-alpha*Output!B196/12)))</f>
        <v>0.48877263840712271</v>
      </c>
      <c r="W196" s="5">
        <f t="shared" si="38"/>
        <v>-1.5260495625537357E-2</v>
      </c>
      <c r="X196" s="1">
        <f t="shared" si="39"/>
        <v>1.179962588963597</v>
      </c>
      <c r="Y196" s="3">
        <f t="shared" si="29"/>
        <v>1.9377995375712657E-2</v>
      </c>
      <c r="Z196" s="1">
        <f t="shared" si="30"/>
        <v>7.8146557705157868E-2</v>
      </c>
      <c r="AA196" s="8">
        <f t="shared" si="35"/>
        <v>15.333333333333373</v>
      </c>
      <c r="AB196" s="1">
        <v>15.42</v>
      </c>
      <c r="AC196" s="1">
        <v>5.6337878219999997E-3</v>
      </c>
      <c r="AD196" s="8">
        <f t="shared" si="31"/>
        <v>-2.1547315274851597E-2</v>
      </c>
      <c r="AE196" s="3">
        <f t="shared" si="32"/>
        <v>-3.8246586409784744E-4</v>
      </c>
      <c r="AF196" s="11">
        <f t="shared" si="33"/>
        <v>15.333333333333373</v>
      </c>
      <c r="AG196" s="1">
        <f t="shared" si="34"/>
        <v>7.8146557705157868E-2</v>
      </c>
    </row>
    <row r="197" spans="2:33" ht="15" x14ac:dyDescent="0.25">
      <c r="B197" s="1">
        <v>186</v>
      </c>
      <c r="C197" s="1">
        <v>1.0002196769240204</v>
      </c>
      <c r="D197" s="1">
        <v>1.1265173710413496</v>
      </c>
      <c r="E197" s="1">
        <v>0.88709016335690627</v>
      </c>
      <c r="G197" s="1">
        <v>0.99928696103289316</v>
      </c>
      <c r="H197" s="1">
        <v>2.7878390691031436</v>
      </c>
      <c r="I197" s="1">
        <v>0.32760183669973542</v>
      </c>
      <c r="K197" s="1">
        <v>1.0000299294973429</v>
      </c>
      <c r="L197" s="1">
        <v>1.3524000619724623</v>
      </c>
      <c r="M197" s="1">
        <v>0.73485541431634926</v>
      </c>
      <c r="O197" s="1">
        <v>5.6594075072222833E-3</v>
      </c>
      <c r="P197" s="1">
        <v>0.91601657786860446</v>
      </c>
      <c r="R197" s="1">
        <v>8.0265689272754195E-2</v>
      </c>
      <c r="S197" s="2">
        <f t="shared" si="36"/>
        <v>0.30889415208460291</v>
      </c>
      <c r="T197" s="4">
        <f t="shared" si="37"/>
        <v>9.5415597192065799E-2</v>
      </c>
      <c r="U197" s="1">
        <f t="shared" si="40"/>
        <v>7.9994947218474444E-2</v>
      </c>
      <c r="V197" s="6">
        <f>2*sigma/alpha*corel*(B197/12-1/alpha*(1-EXP(-alpha*Output!B197/12)))</f>
        <v>0.49357636748335776</v>
      </c>
      <c r="W197" s="5">
        <f t="shared" si="38"/>
        <v>-1.5420649973591355E-2</v>
      </c>
      <c r="X197" s="1">
        <f t="shared" si="39"/>
        <v>1.1996979289007306</v>
      </c>
      <c r="Y197" s="3">
        <f t="shared" si="29"/>
        <v>1.9410672996342276E-2</v>
      </c>
      <c r="Z197" s="1">
        <f t="shared" si="30"/>
        <v>7.8459193088721457E-2</v>
      </c>
      <c r="AA197" s="8">
        <f t="shared" si="35"/>
        <v>15.416666666666707</v>
      </c>
      <c r="AB197" s="1">
        <v>15.5</v>
      </c>
      <c r="AC197" s="1">
        <v>5.6583994519999996E-3</v>
      </c>
      <c r="AD197" s="8">
        <f t="shared" si="31"/>
        <v>-1.008055222283602E-2</v>
      </c>
      <c r="AE197" s="3">
        <f t="shared" si="32"/>
        <v>-1.7815200761892093E-4</v>
      </c>
      <c r="AF197" s="11">
        <f t="shared" si="33"/>
        <v>15.416666666666707</v>
      </c>
      <c r="AG197" s="1">
        <f t="shared" si="34"/>
        <v>7.8459193088721457E-2</v>
      </c>
    </row>
    <row r="198" spans="2:33" ht="15" x14ac:dyDescent="0.25">
      <c r="B198" s="1">
        <v>187</v>
      </c>
      <c r="C198" s="1">
        <v>1.0002209350512377</v>
      </c>
      <c r="D198" s="1">
        <v>1.1227656062381444</v>
      </c>
      <c r="E198" s="1">
        <v>0.89005258095031181</v>
      </c>
      <c r="G198" s="1">
        <v>0.99922691658941476</v>
      </c>
      <c r="H198" s="1">
        <v>2.6851649822892556</v>
      </c>
      <c r="I198" s="1">
        <v>0.33996364647125044</v>
      </c>
      <c r="K198" s="1">
        <v>1.0000342305326164</v>
      </c>
      <c r="L198" s="1">
        <v>1.35602708066402</v>
      </c>
      <c r="M198" s="1">
        <v>0.73287474402090891</v>
      </c>
      <c r="O198" s="1">
        <v>5.6819611230613564E-3</v>
      </c>
      <c r="P198" s="1">
        <v>0.91526293514949641</v>
      </c>
      <c r="R198" s="1">
        <v>8.064750566187634E-2</v>
      </c>
      <c r="S198" s="2">
        <f t="shared" si="36"/>
        <v>0.31088129988137037</v>
      </c>
      <c r="T198" s="4">
        <f t="shared" si="37"/>
        <v>9.6647182615930527E-2</v>
      </c>
      <c r="U198" s="1">
        <f t="shared" si="40"/>
        <v>8.1111218187779333E-2</v>
      </c>
      <c r="V198" s="6">
        <f>2*sigma/alpha*corel*(B198/12-1/alpha*(1-EXP(-alpha*Output!B198/12)))</f>
        <v>0.49839877520319309</v>
      </c>
      <c r="W198" s="5">
        <f t="shared" si="38"/>
        <v>-1.5535964428151194E-2</v>
      </c>
      <c r="X198" s="1">
        <f t="shared" si="39"/>
        <v>1.2168097884788007</v>
      </c>
      <c r="Y198" s="3">
        <f t="shared" si="29"/>
        <v>1.9401890063027942E-2</v>
      </c>
      <c r="Z198" s="1">
        <f t="shared" si="30"/>
        <v>7.8752512612192307E-2</v>
      </c>
      <c r="AA198" s="8">
        <f t="shared" si="35"/>
        <v>15.500000000000041</v>
      </c>
      <c r="AB198" s="1">
        <v>15.58</v>
      </c>
      <c r="AC198" s="1">
        <v>5.6818637369999998E-3</v>
      </c>
      <c r="AD198" s="8">
        <f t="shared" si="31"/>
        <v>-9.7386061356612152E-4</v>
      </c>
      <c r="AE198" s="3">
        <f t="shared" si="32"/>
        <v>-1.7139809376708423E-5</v>
      </c>
      <c r="AF198" s="11">
        <f t="shared" si="33"/>
        <v>15.500000000000041</v>
      </c>
      <c r="AG198" s="1">
        <f t="shared" si="34"/>
        <v>7.8752512612192307E-2</v>
      </c>
    </row>
    <row r="199" spans="2:33" ht="15" x14ac:dyDescent="0.25">
      <c r="B199" s="1">
        <v>188</v>
      </c>
      <c r="C199" s="1">
        <v>1.0002257935593499</v>
      </c>
      <c r="D199" s="1">
        <v>1.1260166278082433</v>
      </c>
      <c r="E199" s="1">
        <v>0.88748101487092745</v>
      </c>
      <c r="G199" s="1">
        <v>0.99946827267800287</v>
      </c>
      <c r="H199" s="1">
        <v>2.7554989006944077</v>
      </c>
      <c r="I199" s="1">
        <v>0.33112551285758623</v>
      </c>
      <c r="K199" s="1">
        <v>1.0000245951970632</v>
      </c>
      <c r="L199" s="1">
        <v>1.3661917497641913</v>
      </c>
      <c r="M199" s="1">
        <v>0.72739067580650185</v>
      </c>
      <c r="O199" s="1">
        <v>5.7038663905516953E-3</v>
      </c>
      <c r="P199" s="1">
        <v>0.91451576401182233</v>
      </c>
      <c r="R199" s="1">
        <v>8.1067120641598711E-2</v>
      </c>
      <c r="S199" s="2">
        <f t="shared" si="36"/>
        <v>0.31296662607404802</v>
      </c>
      <c r="T199" s="4">
        <f t="shared" si="37"/>
        <v>9.7948109036172987E-2</v>
      </c>
      <c r="U199" s="1">
        <f t="shared" si="40"/>
        <v>8.2236124306396263E-2</v>
      </c>
      <c r="V199" s="6">
        <f>2*sigma/alpha*corel*(B199/12-1/alpha*(1-EXP(-alpha*Output!B199/12)))</f>
        <v>0.50323979940813812</v>
      </c>
      <c r="W199" s="5">
        <f t="shared" si="38"/>
        <v>-1.5711984729776723E-2</v>
      </c>
      <c r="X199" s="1">
        <f t="shared" si="39"/>
        <v>1.2378680054410176</v>
      </c>
      <c r="Y199" s="3">
        <f t="shared" si="29"/>
        <v>1.944751172891946E-2</v>
      </c>
      <c r="Z199" s="1">
        <f t="shared" si="30"/>
        <v>7.9069633613389936E-2</v>
      </c>
      <c r="AA199" s="8">
        <f t="shared" si="35"/>
        <v>15.583333333333375</v>
      </c>
      <c r="AB199" s="1">
        <v>15.67</v>
      </c>
      <c r="AC199" s="1">
        <v>5.7044362200000002E-3</v>
      </c>
      <c r="AD199" s="8">
        <f t="shared" si="31"/>
        <v>5.6982944830492183E-3</v>
      </c>
      <c r="AE199" s="3">
        <f t="shared" si="32"/>
        <v>9.9892334023663043E-5</v>
      </c>
      <c r="AF199" s="11">
        <f t="shared" si="33"/>
        <v>15.583333333333375</v>
      </c>
      <c r="AG199" s="1">
        <f t="shared" si="34"/>
        <v>7.9069633613389936E-2</v>
      </c>
    </row>
    <row r="200" spans="2:33" ht="15" x14ac:dyDescent="0.25">
      <c r="B200" s="1">
        <v>189</v>
      </c>
      <c r="C200" s="1">
        <v>1.0002302743882967</v>
      </c>
      <c r="D200" s="1">
        <v>1.1285726807213639</v>
      </c>
      <c r="E200" s="1">
        <v>0.88546919238734145</v>
      </c>
      <c r="G200" s="1">
        <v>0.99967443896676544</v>
      </c>
      <c r="H200" s="1">
        <v>2.8267803655985047</v>
      </c>
      <c r="I200" s="1">
        <v>0.32261923625553462</v>
      </c>
      <c r="K200" s="1">
        <v>1.0000295646034383</v>
      </c>
      <c r="L200" s="1">
        <v>1.3747127748297197</v>
      </c>
      <c r="M200" s="1">
        <v>0.72287814147638352</v>
      </c>
      <c r="O200" s="1">
        <v>5.7253549603991146E-3</v>
      </c>
      <c r="P200" s="1">
        <v>0.91377186382450959</v>
      </c>
      <c r="R200" s="1">
        <v>8.1451135706099353E-2</v>
      </c>
      <c r="S200" s="2">
        <f t="shared" si="36"/>
        <v>0.31495131057582948</v>
      </c>
      <c r="T200" s="4">
        <f t="shared" si="37"/>
        <v>9.9194328033432602E-2</v>
      </c>
      <c r="U200" s="1">
        <f t="shared" si="40"/>
        <v>8.3369669943607949E-2</v>
      </c>
      <c r="V200" s="6">
        <f>2*sigma/alpha*corel*(B200/12-1/alpha*(1-EXP(-alpha*Output!B200/12)))</f>
        <v>0.5080993781465537</v>
      </c>
      <c r="W200" s="5">
        <f t="shared" si="38"/>
        <v>-1.5824658089824653E-2</v>
      </c>
      <c r="X200" s="1">
        <f t="shared" si="39"/>
        <v>1.2551184377318676</v>
      </c>
      <c r="Y200" s="3">
        <f t="shared" si="29"/>
        <v>1.943559704995149E-2</v>
      </c>
      <c r="Z200" s="1">
        <f t="shared" si="30"/>
        <v>7.9360270750239228E-2</v>
      </c>
      <c r="AA200" s="8">
        <f t="shared" si="35"/>
        <v>15.666666666666709</v>
      </c>
      <c r="AB200" s="1">
        <v>15.75</v>
      </c>
      <c r="AC200" s="1">
        <v>5.7263746969999996E-3</v>
      </c>
      <c r="AD200" s="8">
        <f t="shared" si="31"/>
        <v>1.0197366008849948E-2</v>
      </c>
      <c r="AE200" s="3">
        <f t="shared" si="32"/>
        <v>1.780771700844561E-4</v>
      </c>
      <c r="AF200" s="11">
        <f t="shared" si="33"/>
        <v>15.666666666666709</v>
      </c>
      <c r="AG200" s="1">
        <f t="shared" si="34"/>
        <v>7.9360270750239228E-2</v>
      </c>
    </row>
    <row r="201" spans="2:33" ht="15" x14ac:dyDescent="0.25">
      <c r="B201" s="1">
        <v>190</v>
      </c>
      <c r="C201" s="1">
        <v>1.0002315650888944</v>
      </c>
      <c r="D201" s="1">
        <v>1.1326097576262695</v>
      </c>
      <c r="E201" s="1">
        <v>0.88231122898400571</v>
      </c>
      <c r="G201" s="1">
        <v>0.99961125654372995</v>
      </c>
      <c r="H201" s="1">
        <v>2.9183799504551113</v>
      </c>
      <c r="I201" s="1">
        <v>0.31234167649717859</v>
      </c>
      <c r="K201" s="1">
        <v>1.0000353686962626</v>
      </c>
      <c r="L201" s="1">
        <v>1.3722845084377051</v>
      </c>
      <c r="M201" s="1">
        <v>0.72410700804414196</v>
      </c>
      <c r="O201" s="1">
        <v>5.7467050006425238E-3</v>
      </c>
      <c r="P201" s="1">
        <v>0.91302730143055244</v>
      </c>
      <c r="R201" s="1">
        <v>8.1879382390919464E-2</v>
      </c>
      <c r="S201" s="2">
        <f t="shared" si="36"/>
        <v>0.31706099447978298</v>
      </c>
      <c r="T201" s="4">
        <f t="shared" si="37"/>
        <v>0.10052767422050897</v>
      </c>
      <c r="U201" s="1">
        <f t="shared" si="40"/>
        <v>8.4511859234190467E-2</v>
      </c>
      <c r="V201" s="6">
        <f>2*sigma/alpha*corel*(B201/12-1/alpha*(1-EXP(-alpha*Output!B201/12)))</f>
        <v>0.51297744967296</v>
      </c>
      <c r="W201" s="5">
        <f t="shared" si="38"/>
        <v>-1.6015814986318502E-2</v>
      </c>
      <c r="X201" s="1">
        <f t="shared" si="39"/>
        <v>1.2774808130064794</v>
      </c>
      <c r="Y201" s="3">
        <f t="shared" si="29"/>
        <v>1.9493037410990181E-2</v>
      </c>
      <c r="Z201" s="1">
        <f t="shared" si="30"/>
        <v>7.9681342022825272E-2</v>
      </c>
      <c r="AA201" s="8">
        <f t="shared" si="35"/>
        <v>15.750000000000043</v>
      </c>
      <c r="AB201" s="1">
        <v>15.83</v>
      </c>
      <c r="AC201" s="1">
        <v>5.7479375309999999E-3</v>
      </c>
      <c r="AD201" s="8">
        <f t="shared" si="31"/>
        <v>1.2325303574761345E-2</v>
      </c>
      <c r="AE201" s="3">
        <f t="shared" si="32"/>
        <v>2.1443001960769475E-4</v>
      </c>
      <c r="AF201" s="11">
        <f t="shared" si="33"/>
        <v>15.750000000000043</v>
      </c>
      <c r="AG201" s="1">
        <f t="shared" si="34"/>
        <v>7.9681342022825272E-2</v>
      </c>
    </row>
    <row r="202" spans="2:33" ht="15" x14ac:dyDescent="0.25">
      <c r="B202" s="1">
        <v>191</v>
      </c>
      <c r="C202" s="1">
        <v>1.000232020574134</v>
      </c>
      <c r="D202" s="1">
        <v>1.133222267184786</v>
      </c>
      <c r="E202" s="1">
        <v>0.88183254980119008</v>
      </c>
      <c r="G202" s="1">
        <v>0.99948691028950598</v>
      </c>
      <c r="H202" s="1">
        <v>2.9319842116024706</v>
      </c>
      <c r="I202" s="1">
        <v>0.31074174094410595</v>
      </c>
      <c r="K202" s="1">
        <v>1.0000395755904909</v>
      </c>
      <c r="L202" s="1">
        <v>1.3763811785905238</v>
      </c>
      <c r="M202" s="1">
        <v>0.72192673816648822</v>
      </c>
      <c r="O202" s="1">
        <v>5.768234140757748E-3</v>
      </c>
      <c r="P202" s="1">
        <v>0.91227749890612331</v>
      </c>
      <c r="R202" s="1">
        <v>8.2236118897035818E-2</v>
      </c>
      <c r="S202" s="2">
        <f t="shared" si="36"/>
        <v>0.31898102505236736</v>
      </c>
      <c r="T202" s="4">
        <f t="shared" si="37"/>
        <v>0.10174889434345902</v>
      </c>
      <c r="U202" s="1">
        <f t="shared" si="40"/>
        <v>8.5662696080654133E-2</v>
      </c>
      <c r="V202" s="6">
        <f>2*sigma/alpha*corel*(B202/12-1/alpha*(1-EXP(-alpha*Output!B202/12)))</f>
        <v>0.51787395244735479</v>
      </c>
      <c r="W202" s="5">
        <f t="shared" si="38"/>
        <v>-1.6086198262804885E-2</v>
      </c>
      <c r="X202" s="1">
        <f t="shared" si="39"/>
        <v>1.292348053355356</v>
      </c>
      <c r="Y202" s="3">
        <f t="shared" si="29"/>
        <v>1.9443170249868347E-2</v>
      </c>
      <c r="Z202" s="1">
        <f t="shared" si="30"/>
        <v>7.995374094897402E-2</v>
      </c>
      <c r="AA202" s="8">
        <f t="shared" si="35"/>
        <v>15.833333333333377</v>
      </c>
      <c r="AB202" s="1">
        <v>15.92</v>
      </c>
      <c r="AC202" s="1">
        <v>5.7693830850000004E-3</v>
      </c>
      <c r="AD202" s="8">
        <f t="shared" si="31"/>
        <v>1.1489442422523907E-2</v>
      </c>
      <c r="AE202" s="3">
        <f t="shared" si="32"/>
        <v>1.9914507761489557E-4</v>
      </c>
      <c r="AF202" s="11">
        <f t="shared" si="33"/>
        <v>15.833333333333377</v>
      </c>
      <c r="AG202" s="1">
        <f t="shared" si="34"/>
        <v>7.995374094897402E-2</v>
      </c>
    </row>
    <row r="203" spans="2:33" ht="15" x14ac:dyDescent="0.25">
      <c r="B203" s="1">
        <v>192</v>
      </c>
      <c r="C203" s="1">
        <v>1.0002341972509525</v>
      </c>
      <c r="D203" s="1">
        <v>1.132686960309979</v>
      </c>
      <c r="E203" s="1">
        <v>0.88224751979212979</v>
      </c>
      <c r="G203" s="1">
        <v>0.9995011609857567</v>
      </c>
      <c r="H203" s="1">
        <v>2.9202750621466183</v>
      </c>
      <c r="I203" s="1">
        <v>0.31183648041784828</v>
      </c>
      <c r="K203" s="1">
        <v>1.0000367754860631</v>
      </c>
      <c r="L203" s="1">
        <v>1.3767556291077743</v>
      </c>
      <c r="M203" s="1">
        <v>0.72171580869921159</v>
      </c>
      <c r="O203" s="1">
        <v>5.7901585950559586E-3</v>
      </c>
      <c r="P203" s="1">
        <v>0.91151927600652805</v>
      </c>
      <c r="R203" s="1">
        <v>8.2625497979697746E-2</v>
      </c>
      <c r="S203" s="2">
        <f t="shared" si="36"/>
        <v>0.32100368988388805</v>
      </c>
      <c r="T203" s="4">
        <f t="shared" si="37"/>
        <v>0.10304336891907137</v>
      </c>
      <c r="U203" s="1">
        <f t="shared" si="40"/>
        <v>8.6822184155468829E-2</v>
      </c>
      <c r="V203" s="6">
        <f>2*sigma/alpha*corel*(B203/12-1/alpha*(1-EXP(-alpha*Output!B203/12)))</f>
        <v>0.52278882513452674</v>
      </c>
      <c r="W203" s="5">
        <f t="shared" si="38"/>
        <v>-1.6221184763602542E-2</v>
      </c>
      <c r="X203" s="1">
        <f t="shared" si="39"/>
        <v>1.3114639805561015</v>
      </c>
      <c r="Y203" s="3">
        <f t="shared" si="29"/>
        <v>1.9450089168359434E-2</v>
      </c>
      <c r="Z203" s="1">
        <f t="shared" si="30"/>
        <v>8.0250922470972014E-2</v>
      </c>
      <c r="AA203" s="8">
        <f t="shared" si="35"/>
        <v>15.91666666666671</v>
      </c>
      <c r="AB203" s="1">
        <v>16</v>
      </c>
      <c r="AC203" s="1">
        <v>5.7909697199999997E-3</v>
      </c>
      <c r="AD203" s="8">
        <f t="shared" si="31"/>
        <v>8.111249440410917E-3</v>
      </c>
      <c r="AE203" s="3">
        <f t="shared" si="32"/>
        <v>1.4006720519358748E-4</v>
      </c>
      <c r="AF203" s="11">
        <f t="shared" si="33"/>
        <v>15.91666666666671</v>
      </c>
      <c r="AG203" s="1">
        <f t="shared" si="34"/>
        <v>8.0250922470972014E-2</v>
      </c>
    </row>
    <row r="204" spans="2:33" ht="15" x14ac:dyDescent="0.25">
      <c r="B204" s="1">
        <v>193</v>
      </c>
      <c r="C204" s="1">
        <v>1.0002359303850652</v>
      </c>
      <c r="D204" s="1">
        <v>1.1291929078856597</v>
      </c>
      <c r="E204" s="1">
        <v>0.88497566789520976</v>
      </c>
      <c r="G204" s="1">
        <v>0.9994662026151796</v>
      </c>
      <c r="H204" s="1">
        <v>2.8384935209139175</v>
      </c>
      <c r="I204" s="1">
        <v>0.32066549970512787</v>
      </c>
      <c r="K204" s="1">
        <v>1.0000358050744345</v>
      </c>
      <c r="L204" s="1">
        <v>1.379171386127942</v>
      </c>
      <c r="M204" s="1">
        <v>0.72041485201314048</v>
      </c>
      <c r="O204" s="1">
        <v>5.8126565143347079E-3</v>
      </c>
      <c r="P204" s="1">
        <v>0.9107499552104521</v>
      </c>
      <c r="R204" s="1">
        <v>8.2943085612406833E-2</v>
      </c>
      <c r="S204" s="2">
        <f t="shared" si="36"/>
        <v>0.32284279038519248</v>
      </c>
      <c r="T204" s="4">
        <f t="shared" si="37"/>
        <v>0.10422746730369734</v>
      </c>
      <c r="U204" s="1">
        <f t="shared" si="40"/>
        <v>8.7990326903271576E-2</v>
      </c>
      <c r="V204" s="6">
        <f>2*sigma/alpha*corel*(B204/12-1/alpha*(1-EXP(-alpha*Output!B204/12)))</f>
        <v>0.52772200660337454</v>
      </c>
      <c r="W204" s="5">
        <f t="shared" si="38"/>
        <v>-1.6237140400425759E-2</v>
      </c>
      <c r="X204" s="1">
        <f t="shared" si="39"/>
        <v>1.323079882014216</v>
      </c>
      <c r="Y204" s="3">
        <f t="shared" si="29"/>
        <v>1.935326699627718E-2</v>
      </c>
      <c r="Z204" s="1">
        <f t="shared" si="30"/>
        <v>8.0501330972306218E-2</v>
      </c>
      <c r="AA204" s="8">
        <f t="shared" si="35"/>
        <v>16.000000000000043</v>
      </c>
      <c r="AB204" s="1">
        <v>16.079999999999998</v>
      </c>
      <c r="AC204" s="1">
        <v>5.8129557980000001E-3</v>
      </c>
      <c r="AD204" s="8">
        <f t="shared" si="31"/>
        <v>2.992836652922562E-3</v>
      </c>
      <c r="AE204" s="3">
        <f t="shared" si="32"/>
        <v>5.1485625504881261E-5</v>
      </c>
      <c r="AF204" s="11">
        <f t="shared" si="33"/>
        <v>16.000000000000043</v>
      </c>
      <c r="AG204" s="1">
        <f t="shared" si="34"/>
        <v>8.0501330972306218E-2</v>
      </c>
    </row>
    <row r="205" spans="2:33" ht="15" x14ac:dyDescent="0.25">
      <c r="B205" s="1">
        <v>194</v>
      </c>
      <c r="C205" s="1">
        <v>1.0002366793516897</v>
      </c>
      <c r="D205" s="1">
        <v>1.1285436238519062</v>
      </c>
      <c r="E205" s="1">
        <v>0.88548304178639448</v>
      </c>
      <c r="G205" s="1">
        <v>0.9993560651582396</v>
      </c>
      <c r="H205" s="1">
        <v>2.8406353420612716</v>
      </c>
      <c r="I205" s="1">
        <v>0.32026842829507818</v>
      </c>
      <c r="K205" s="1">
        <v>1.0000376169690697</v>
      </c>
      <c r="L205" s="1">
        <v>1.376117786428356</v>
      </c>
      <c r="M205" s="1">
        <v>0.72200502098757724</v>
      </c>
      <c r="O205" s="1">
        <v>5.8357149486610062E-3</v>
      </c>
      <c r="P205" s="1">
        <v>0.90996962573937712</v>
      </c>
      <c r="R205" s="1">
        <v>8.3360061869740432E-2</v>
      </c>
      <c r="S205" s="2">
        <f t="shared" si="36"/>
        <v>0.3249731771110892</v>
      </c>
      <c r="T205" s="4">
        <f t="shared" si="37"/>
        <v>0.10560756584167534</v>
      </c>
      <c r="U205" s="1">
        <f t="shared" si="40"/>
        <v>8.9167127543057223E-2</v>
      </c>
      <c r="V205" s="6">
        <f>2*sigma/alpha*corel*(B205/12-1/alpha*(1-EXP(-alpha*Output!B205/12)))</f>
        <v>0.53267343592622973</v>
      </c>
      <c r="W205" s="5">
        <f t="shared" si="38"/>
        <v>-1.6440438298618118E-2</v>
      </c>
      <c r="X205" s="1">
        <f t="shared" si="39"/>
        <v>1.3468893326520934</v>
      </c>
      <c r="Y205" s="3">
        <f t="shared" ref="Y205:Y268" si="41">(-V205+SQRT(X205))/2/B205*12</f>
        <v>1.9419036428144944E-2</v>
      </c>
      <c r="Z205" s="1">
        <f t="shared" ref="Z205:Z268" si="42">S205/SQRT(B205/12)</f>
        <v>8.0823429481143155E-2</v>
      </c>
      <c r="AA205" s="8">
        <f t="shared" si="35"/>
        <v>16.083333333333375</v>
      </c>
      <c r="AB205" s="1">
        <v>16.170000000000002</v>
      </c>
      <c r="AC205" s="1">
        <v>5.8355458269999999E-3</v>
      </c>
      <c r="AD205" s="8">
        <f t="shared" ref="AD205:AD268" si="43">(AC205-O205)*10000</f>
        <v>-1.6912166100630649E-3</v>
      </c>
      <c r="AE205" s="3">
        <f t="shared" ref="AE205:AE268" si="44">AD205/AC205/10000</f>
        <v>-2.8981292585144581E-5</v>
      </c>
      <c r="AF205" s="11">
        <f t="shared" ref="AF205:AF268" si="45">AA205</f>
        <v>16.083333333333375</v>
      </c>
      <c r="AG205" s="1">
        <f t="shared" ref="AG205:AG268" si="46">Z205</f>
        <v>8.0823429481143155E-2</v>
      </c>
    </row>
    <row r="206" spans="2:33" ht="15" x14ac:dyDescent="0.25">
      <c r="B206" s="1">
        <v>195</v>
      </c>
      <c r="C206" s="1">
        <v>1.0002406322441704</v>
      </c>
      <c r="D206" s="1">
        <v>1.1306993770842617</v>
      </c>
      <c r="E206" s="1">
        <v>0.88379303974679901</v>
      </c>
      <c r="G206" s="1">
        <v>0.99951280243168406</v>
      </c>
      <c r="H206" s="1">
        <v>2.8664159765338515</v>
      </c>
      <c r="I206" s="1">
        <v>0.31723410823657811</v>
      </c>
      <c r="K206" s="1">
        <v>1.0000487740440565</v>
      </c>
      <c r="L206" s="1">
        <v>1.3856559738846803</v>
      </c>
      <c r="M206" s="1">
        <v>0.71701684842556357</v>
      </c>
      <c r="O206" s="1">
        <v>5.8592624135698507E-3</v>
      </c>
      <c r="P206" s="1">
        <v>0.90917924573140274</v>
      </c>
      <c r="R206" s="1">
        <v>8.3756265205331679E-2</v>
      </c>
      <c r="S206" s="2">
        <f t="shared" si="36"/>
        <v>0.32706039647801011</v>
      </c>
      <c r="T206" s="4">
        <f t="shared" si="37"/>
        <v>0.10696850294435317</v>
      </c>
      <c r="U206" s="1">
        <f t="shared" si="40"/>
        <v>9.0352589070352707E-2</v>
      </c>
      <c r="V206" s="6">
        <f>2*sigma/alpha*corel*(B206/12-1/alpha*(1-EXP(-alpha*Output!B206/12)))</f>
        <v>0.53764305237817522</v>
      </c>
      <c r="W206" s="5">
        <f t="shared" si="38"/>
        <v>-1.6615913874000465E-2</v>
      </c>
      <c r="X206" s="1">
        <f t="shared" si="39"/>
        <v>1.3690944535805516</v>
      </c>
      <c r="Y206" s="3">
        <f t="shared" si="41"/>
        <v>1.9459693676667084E-2</v>
      </c>
      <c r="Z206" s="1">
        <f t="shared" si="42"/>
        <v>8.113369894358255E-2</v>
      </c>
      <c r="AA206" s="8">
        <f t="shared" ref="AA206:AA269" si="47">AA205+1/12</f>
        <v>16.166666666666707</v>
      </c>
      <c r="AB206" s="1">
        <v>16.25</v>
      </c>
      <c r="AC206" s="1">
        <v>5.8587288899999996E-3</v>
      </c>
      <c r="AD206" s="8">
        <f t="shared" si="43"/>
        <v>-5.3352356985114646E-3</v>
      </c>
      <c r="AE206" s="3">
        <f t="shared" si="44"/>
        <v>-9.1064730911477034E-5</v>
      </c>
      <c r="AF206" s="11">
        <f t="shared" si="45"/>
        <v>16.166666666666707</v>
      </c>
      <c r="AG206" s="1">
        <f t="shared" si="46"/>
        <v>8.113369894358255E-2</v>
      </c>
    </row>
    <row r="207" spans="2:33" ht="15" x14ac:dyDescent="0.25">
      <c r="B207" s="1">
        <v>196</v>
      </c>
      <c r="C207" s="1">
        <v>1.0002444498611258</v>
      </c>
      <c r="D207" s="1">
        <v>1.1336742483673776</v>
      </c>
      <c r="E207" s="1">
        <v>0.88147212130827857</v>
      </c>
      <c r="G207" s="1">
        <v>0.999653048440312</v>
      </c>
      <c r="H207" s="1">
        <v>2.9340355849081119</v>
      </c>
      <c r="I207" s="1">
        <v>0.30977274001430538</v>
      </c>
      <c r="K207" s="1">
        <v>1.0000438463367411</v>
      </c>
      <c r="L207" s="1">
        <v>1.4014651285102206</v>
      </c>
      <c r="M207" s="1">
        <v>0.70887899350851669</v>
      </c>
      <c r="O207" s="1">
        <v>5.8833138646919442E-3</v>
      </c>
      <c r="P207" s="1">
        <v>0.90837850959416699</v>
      </c>
      <c r="R207" s="1">
        <v>8.4078795377791157E-2</v>
      </c>
      <c r="S207" s="2">
        <f t="shared" si="36"/>
        <v>0.32895756646131413</v>
      </c>
      <c r="T207" s="4">
        <f t="shared" si="37"/>
        <v>0.10821308053214991</v>
      </c>
      <c r="U207" s="1">
        <f t="shared" si="40"/>
        <v>9.1546714259375328E-2</v>
      </c>
      <c r="V207" s="6">
        <f>2*sigma/alpha*corel*(B207/12-1/alpha*(1-EXP(-alpha*Output!B207/12)))</f>
        <v>0.5426307954363756</v>
      </c>
      <c r="W207" s="5">
        <f t="shared" si="38"/>
        <v>-1.6666366272774583E-2</v>
      </c>
      <c r="X207" s="1">
        <f t="shared" si="39"/>
        <v>1.38331744331052</v>
      </c>
      <c r="Y207" s="3">
        <f t="shared" si="41"/>
        <v>1.9393296951426595E-2</v>
      </c>
      <c r="Z207" s="1">
        <f t="shared" si="42"/>
        <v>8.1395888377887388E-2</v>
      </c>
      <c r="AA207" s="8">
        <f t="shared" si="47"/>
        <v>16.250000000000039</v>
      </c>
      <c r="AB207" s="1">
        <v>16.329999999999998</v>
      </c>
      <c r="AC207" s="1">
        <v>5.8824402149999996E-3</v>
      </c>
      <c r="AD207" s="8">
        <f t="shared" si="43"/>
        <v>-8.7364969194453357E-3</v>
      </c>
      <c r="AE207" s="3">
        <f t="shared" si="44"/>
        <v>-1.4851824413221574E-4</v>
      </c>
      <c r="AF207" s="11">
        <f t="shared" si="45"/>
        <v>16.250000000000039</v>
      </c>
      <c r="AG207" s="1">
        <f t="shared" si="46"/>
        <v>8.1395888377887388E-2</v>
      </c>
    </row>
    <row r="208" spans="2:33" ht="15" x14ac:dyDescent="0.25">
      <c r="B208" s="1">
        <v>197</v>
      </c>
      <c r="C208" s="1">
        <v>1.0002445401028179</v>
      </c>
      <c r="D208" s="1">
        <v>1.1324665376326908</v>
      </c>
      <c r="E208" s="1">
        <v>0.88241040439689578</v>
      </c>
      <c r="G208" s="1">
        <v>0.99949160283269589</v>
      </c>
      <c r="H208" s="1">
        <v>2.908042592755832</v>
      </c>
      <c r="I208" s="1">
        <v>0.31239012695597523</v>
      </c>
      <c r="K208" s="1">
        <v>1.0000426001188352</v>
      </c>
      <c r="L208" s="1">
        <v>1.3914856127175097</v>
      </c>
      <c r="M208" s="1">
        <v>0.71393213550911083</v>
      </c>
      <c r="O208" s="1">
        <v>5.9077462812387261E-3</v>
      </c>
      <c r="P208" s="1">
        <v>0.90756916447448888</v>
      </c>
      <c r="R208" s="1">
        <v>8.4399826793723071E-2</v>
      </c>
      <c r="S208" s="2">
        <f t="shared" si="36"/>
        <v>0.33086297531843656</v>
      </c>
      <c r="T208" s="4">
        <f t="shared" si="37"/>
        <v>0.10947030843656835</v>
      </c>
      <c r="U208" s="1">
        <f t="shared" si="40"/>
        <v>9.2749505665170151E-2</v>
      </c>
      <c r="V208" s="6">
        <f>2*sigma/alpha*corel*(B208/12-1/alpha*(1-EXP(-alpha*Output!B208/12)))</f>
        <v>0.54763660477940146</v>
      </c>
      <c r="W208" s="5">
        <f t="shared" si="38"/>
        <v>-1.6720802771398202E-2</v>
      </c>
      <c r="X208" s="1">
        <f t="shared" si="39"/>
        <v>1.3979052328827923</v>
      </c>
      <c r="Y208" s="3">
        <f t="shared" si="41"/>
        <v>1.9330776237520747E-2</v>
      </c>
      <c r="Z208" s="1">
        <f t="shared" si="42"/>
        <v>8.1659305276668384E-2</v>
      </c>
      <c r="AA208" s="8">
        <f t="shared" si="47"/>
        <v>16.333333333333371</v>
      </c>
      <c r="AB208" s="1">
        <v>16.420000000000002</v>
      </c>
      <c r="AC208" s="1">
        <v>5.9066150300000004E-3</v>
      </c>
      <c r="AD208" s="8">
        <f t="shared" si="43"/>
        <v>-1.1312512387257057E-2</v>
      </c>
      <c r="AE208" s="3">
        <f t="shared" si="44"/>
        <v>-1.9152276438874424E-4</v>
      </c>
      <c r="AF208" s="11">
        <f t="shared" si="45"/>
        <v>16.333333333333371</v>
      </c>
      <c r="AG208" s="1">
        <f t="shared" si="46"/>
        <v>8.1659305276668384E-2</v>
      </c>
    </row>
    <row r="209" spans="2:33" ht="15" x14ac:dyDescent="0.25">
      <c r="B209" s="1">
        <v>198</v>
      </c>
      <c r="C209" s="1">
        <v>1.0002443006624846</v>
      </c>
      <c r="D209" s="1">
        <v>1.1320791307722327</v>
      </c>
      <c r="E209" s="1">
        <v>0.88271062047027415</v>
      </c>
      <c r="G209" s="1">
        <v>0.99931198337545646</v>
      </c>
      <c r="H209" s="1">
        <v>2.8963491184143733</v>
      </c>
      <c r="I209" s="1">
        <v>0.31349935234628717</v>
      </c>
      <c r="K209" s="1">
        <v>1.000048209933631</v>
      </c>
      <c r="L209" s="1">
        <v>1.3939020752549756</v>
      </c>
      <c r="M209" s="1">
        <v>0.71268578462427101</v>
      </c>
      <c r="O209" s="1">
        <v>5.9325774807290604E-3</v>
      </c>
      <c r="P209" s="1">
        <v>0.90675088171242779</v>
      </c>
      <c r="R209" s="1">
        <v>8.4767033910322864E-2</v>
      </c>
      <c r="S209" s="2">
        <f t="shared" si="36"/>
        <v>0.33290993161814642</v>
      </c>
      <c r="T209" s="4">
        <f t="shared" si="37"/>
        <v>0.11082902256999892</v>
      </c>
      <c r="U209" s="1">
        <f t="shared" si="40"/>
        <v>9.3960965625738968E-2</v>
      </c>
      <c r="V209" s="6">
        <f>2*sigma/alpha*corel*(B209/12-1/alpha*(1-EXP(-alpha*Output!B209/12)))</f>
        <v>0.55266042028655993</v>
      </c>
      <c r="W209" s="5">
        <f t="shared" si="38"/>
        <v>-1.6868056944259954E-2</v>
      </c>
      <c r="X209" s="1">
        <f t="shared" si="39"/>
        <v>1.4187252984724741</v>
      </c>
      <c r="Y209" s="3">
        <f t="shared" si="41"/>
        <v>1.9346731379693574E-2</v>
      </c>
      <c r="Z209" s="1">
        <f t="shared" si="42"/>
        <v>8.1956759689410685E-2</v>
      </c>
      <c r="AA209" s="8">
        <f t="shared" si="47"/>
        <v>16.416666666666703</v>
      </c>
      <c r="AB209" s="1">
        <v>16.5</v>
      </c>
      <c r="AC209" s="1">
        <v>5.9311885639999999E-3</v>
      </c>
      <c r="AD209" s="8">
        <f t="shared" si="43"/>
        <v>-1.3889167290604548E-2</v>
      </c>
      <c r="AE209" s="3">
        <f t="shared" si="44"/>
        <v>-2.3417173709341116E-4</v>
      </c>
      <c r="AF209" s="11">
        <f t="shared" si="45"/>
        <v>16.416666666666703</v>
      </c>
      <c r="AG209" s="1">
        <f t="shared" si="46"/>
        <v>8.1956759689410685E-2</v>
      </c>
    </row>
    <row r="210" spans="2:33" ht="15" x14ac:dyDescent="0.25">
      <c r="B210" s="1">
        <v>199</v>
      </c>
      <c r="C210" s="1">
        <v>1.0002464356667169</v>
      </c>
      <c r="D210" s="1">
        <v>1.1333657868184126</v>
      </c>
      <c r="E210" s="1">
        <v>0.88170677628078642</v>
      </c>
      <c r="G210" s="1">
        <v>0.99931945785217013</v>
      </c>
      <c r="H210" s="1">
        <v>2.9761707671595463</v>
      </c>
      <c r="I210" s="1">
        <v>0.30494338109049135</v>
      </c>
      <c r="K210" s="1">
        <v>1.0000451506330776</v>
      </c>
      <c r="L210" s="1">
        <v>1.3959019878598291</v>
      </c>
      <c r="M210" s="1">
        <v>0.71163958373205238</v>
      </c>
      <c r="O210" s="1">
        <v>5.9576999925517009E-3</v>
      </c>
      <c r="P210" s="1">
        <v>0.90592521103181345</v>
      </c>
      <c r="R210" s="1">
        <v>8.5106241673371816E-2</v>
      </c>
      <c r="S210" s="2">
        <f t="shared" si="36"/>
        <v>0.3348899684874197</v>
      </c>
      <c r="T210" s="4">
        <f t="shared" si="37"/>
        <v>0.11215129099350496</v>
      </c>
      <c r="U210" s="1">
        <f t="shared" si="40"/>
        <v>9.5181096264145282E-2</v>
      </c>
      <c r="V210" s="6">
        <f>2*sigma/alpha*corel*(B210/12-1/alpha*(1-EXP(-alpha*Output!B210/12)))</f>
        <v>0.55770218203722766</v>
      </c>
      <c r="W210" s="5">
        <f t="shared" si="38"/>
        <v>-1.6970194729359678E-2</v>
      </c>
      <c r="X210" s="1">
        <f t="shared" si="39"/>
        <v>1.436721307563277</v>
      </c>
      <c r="Y210" s="3">
        <f t="shared" si="41"/>
        <v>1.9324550279614931E-2</v>
      </c>
      <c r="Z210" s="1">
        <f t="shared" si="42"/>
        <v>8.2236803921397206E-2</v>
      </c>
      <c r="AA210" s="8">
        <f t="shared" si="47"/>
        <v>16.500000000000036</v>
      </c>
      <c r="AB210" s="1">
        <v>16.579999999999998</v>
      </c>
      <c r="AC210" s="1">
        <v>5.9560960450000004E-3</v>
      </c>
      <c r="AD210" s="8">
        <f t="shared" si="43"/>
        <v>-1.6039475517004922E-2</v>
      </c>
      <c r="AE210" s="3">
        <f t="shared" si="44"/>
        <v>-2.6929511203013047E-4</v>
      </c>
      <c r="AF210" s="11">
        <f t="shared" si="45"/>
        <v>16.500000000000036</v>
      </c>
      <c r="AG210" s="1">
        <f t="shared" si="46"/>
        <v>8.2236803921397206E-2</v>
      </c>
    </row>
    <row r="211" spans="2:33" ht="15" x14ac:dyDescent="0.25">
      <c r="B211" s="1">
        <v>200</v>
      </c>
      <c r="C211" s="1">
        <v>1.0002490042166636</v>
      </c>
      <c r="D211" s="1">
        <v>1.1347652522171996</v>
      </c>
      <c r="E211" s="1">
        <v>0.8806176607882068</v>
      </c>
      <c r="G211" s="1">
        <v>0.99935702038752583</v>
      </c>
      <c r="H211" s="1">
        <v>3.0000545789979558</v>
      </c>
      <c r="I211" s="1">
        <v>0.3023691008098599</v>
      </c>
      <c r="K211" s="1">
        <v>1.0000553760884359</v>
      </c>
      <c r="L211" s="1">
        <v>1.4051254532703013</v>
      </c>
      <c r="M211" s="1">
        <v>0.70693630800761154</v>
      </c>
      <c r="O211" s="1">
        <v>5.9831309656700063E-3</v>
      </c>
      <c r="P211" s="1">
        <v>0.90509184935883813</v>
      </c>
      <c r="R211" s="1">
        <v>8.5427320132046305E-2</v>
      </c>
      <c r="S211" s="2">
        <f t="shared" si="36"/>
        <v>0.33683084793508744</v>
      </c>
      <c r="T211" s="4">
        <f t="shared" si="37"/>
        <v>0.11345502012067001</v>
      </c>
      <c r="U211" s="1">
        <f t="shared" si="40"/>
        <v>9.6409899490605078E-2</v>
      </c>
      <c r="V211" s="6">
        <f>2*sigma/alpha*corel*(B211/12-1/alpha*(1-EXP(-alpha*Output!B211/12)))</f>
        <v>0.56276183031018356</v>
      </c>
      <c r="W211" s="5">
        <f t="shared" si="38"/>
        <v>-1.7045120630064928E-2</v>
      </c>
      <c r="X211" s="1">
        <f t="shared" si="39"/>
        <v>1.4530422529917297</v>
      </c>
      <c r="Y211" s="3">
        <f t="shared" si="41"/>
        <v>1.9279805773953915E-2</v>
      </c>
      <c r="Z211" s="1">
        <f t="shared" si="42"/>
        <v>8.2506370706995708E-2</v>
      </c>
      <c r="AA211" s="8">
        <f t="shared" si="47"/>
        <v>16.583333333333368</v>
      </c>
      <c r="AB211" s="1">
        <v>16.670000000000002</v>
      </c>
      <c r="AC211" s="1">
        <v>5.9812725470000001E-3</v>
      </c>
      <c r="AD211" s="8">
        <f t="shared" si="43"/>
        <v>-1.8584186700061969E-2</v>
      </c>
      <c r="AE211" s="3">
        <f t="shared" si="44"/>
        <v>-3.1070623440129232E-4</v>
      </c>
      <c r="AF211" s="11">
        <f t="shared" si="45"/>
        <v>16.583333333333368</v>
      </c>
      <c r="AG211" s="1">
        <f t="shared" si="46"/>
        <v>8.2506370706995708E-2</v>
      </c>
    </row>
    <row r="212" spans="2:33" ht="15" x14ac:dyDescent="0.25">
      <c r="B212" s="1">
        <v>201</v>
      </c>
      <c r="C212" s="1">
        <v>1.0002530400033112</v>
      </c>
      <c r="D212" s="1">
        <v>1.1352055348144447</v>
      </c>
      <c r="E212" s="1">
        <v>0.88027438614546794</v>
      </c>
      <c r="G212" s="1">
        <v>0.99951220545791508</v>
      </c>
      <c r="H212" s="1">
        <v>3.0180434067746926</v>
      </c>
      <c r="I212" s="1">
        <v>0.30042121248352999</v>
      </c>
      <c r="K212" s="1">
        <v>1.0000524550144398</v>
      </c>
      <c r="L212" s="1">
        <v>1.3929451219059408</v>
      </c>
      <c r="M212" s="1">
        <v>0.7131210669385889</v>
      </c>
      <c r="O212" s="1">
        <v>6.0087316453921961E-3</v>
      </c>
      <c r="P212" s="1">
        <v>0.90425285118577525</v>
      </c>
      <c r="R212" s="1">
        <v>8.5753847447624501E-2</v>
      </c>
      <c r="S212" s="2">
        <f t="shared" si="36"/>
        <v>0.33879578164940738</v>
      </c>
      <c r="T212" s="4">
        <f t="shared" si="37"/>
        <v>0.11478258166343293</v>
      </c>
      <c r="U212" s="1">
        <f t="shared" si="40"/>
        <v>9.7647377004565161E-2</v>
      </c>
      <c r="V212" s="6">
        <f>2*sigma/alpha*corel*(B212/12-1/alpha*(1-EXP(-alpha*Output!B212/12)))</f>
        <v>0.56783930558294515</v>
      </c>
      <c r="W212" s="5">
        <f t="shared" si="38"/>
        <v>-1.7135204658867767E-2</v>
      </c>
      <c r="X212" s="1">
        <f t="shared" si="39"/>
        <v>1.4705001891090617</v>
      </c>
      <c r="Y212" s="3">
        <f t="shared" si="41"/>
        <v>1.9247836318902783E-2</v>
      </c>
      <c r="Z212" s="1">
        <f t="shared" si="42"/>
        <v>8.2780984788736411E-2</v>
      </c>
      <c r="AA212" s="8">
        <f t="shared" si="47"/>
        <v>16.6666666666667</v>
      </c>
      <c r="AB212" s="1">
        <v>16.75</v>
      </c>
      <c r="AC212" s="1">
        <v>6.0066525270000004E-3</v>
      </c>
      <c r="AD212" s="8">
        <f t="shared" si="43"/>
        <v>-2.0791183921956696E-2</v>
      </c>
      <c r="AE212" s="3">
        <f t="shared" si="44"/>
        <v>-3.4613595223795593E-4</v>
      </c>
      <c r="AF212" s="11">
        <f t="shared" si="45"/>
        <v>16.6666666666667</v>
      </c>
      <c r="AG212" s="1">
        <f t="shared" si="46"/>
        <v>8.2780984788736411E-2</v>
      </c>
    </row>
    <row r="213" spans="2:33" ht="15" x14ac:dyDescent="0.25">
      <c r="B213" s="1">
        <v>202</v>
      </c>
      <c r="C213" s="1">
        <v>1.000256512584645</v>
      </c>
      <c r="D213" s="1">
        <v>1.1375891174467385</v>
      </c>
      <c r="E213" s="1">
        <v>0.87842822928324615</v>
      </c>
      <c r="G213" s="1">
        <v>0.99962980840282212</v>
      </c>
      <c r="H213" s="1">
        <v>3.0178608674897034</v>
      </c>
      <c r="I213" s="1">
        <v>0.30029381027636959</v>
      </c>
      <c r="K213" s="1">
        <v>1.0000492910224894</v>
      </c>
      <c r="L213" s="1">
        <v>1.3803905500354892</v>
      </c>
      <c r="M213" s="1">
        <v>0.71955529324723055</v>
      </c>
      <c r="O213" s="1">
        <v>6.0344386533782912E-3</v>
      </c>
      <c r="P213" s="1">
        <v>0.90340915910387942</v>
      </c>
      <c r="R213" s="1">
        <v>8.6030629477860734E-2</v>
      </c>
      <c r="S213" s="2">
        <f t="shared" si="36"/>
        <v>0.34062925861344873</v>
      </c>
      <c r="T213" s="4">
        <f t="shared" si="37"/>
        <v>0.11602829182354774</v>
      </c>
      <c r="U213" s="1">
        <f t="shared" si="40"/>
        <v>9.88935302967624E-2</v>
      </c>
      <c r="V213" s="6">
        <f>2*sigma/alpha*corel*(B213/12-1/alpha*(1-EXP(-alpha*Output!B213/12)))</f>
        <v>0.57293454853110948</v>
      </c>
      <c r="W213" s="5">
        <f t="shared" si="38"/>
        <v>-1.7134761526785336E-2</v>
      </c>
      <c r="X213" s="1">
        <f t="shared" si="39"/>
        <v>1.481994606370759</v>
      </c>
      <c r="Y213" s="3">
        <f t="shared" si="41"/>
        <v>1.9141706723104994E-2</v>
      </c>
      <c r="Z213" s="1">
        <f t="shared" si="42"/>
        <v>8.3022706600663562E-2</v>
      </c>
      <c r="AA213" s="8">
        <f t="shared" si="47"/>
        <v>16.750000000000032</v>
      </c>
      <c r="AB213" s="1">
        <v>16.829999999999998</v>
      </c>
      <c r="AC213" s="1">
        <v>6.0321702899999996E-3</v>
      </c>
      <c r="AD213" s="8">
        <f t="shared" si="43"/>
        <v>-2.268363378291581E-2</v>
      </c>
      <c r="AE213" s="3">
        <f t="shared" si="44"/>
        <v>-3.7604432057430876E-4</v>
      </c>
      <c r="AF213" s="11">
        <f t="shared" si="45"/>
        <v>16.750000000000032</v>
      </c>
      <c r="AG213" s="1">
        <f t="shared" si="46"/>
        <v>8.3022706600663562E-2</v>
      </c>
    </row>
    <row r="214" spans="2:33" ht="15" x14ac:dyDescent="0.25">
      <c r="B214" s="1">
        <v>203</v>
      </c>
      <c r="C214" s="1">
        <v>1.0002579111956129</v>
      </c>
      <c r="D214" s="1">
        <v>1.13639715838128</v>
      </c>
      <c r="E214" s="1">
        <v>0.87934788539384756</v>
      </c>
      <c r="G214" s="1">
        <v>0.99957225906324698</v>
      </c>
      <c r="H214" s="1">
        <v>2.9866561507692495</v>
      </c>
      <c r="I214" s="1">
        <v>0.3032842740490953</v>
      </c>
      <c r="K214" s="1">
        <v>1.000056544388495</v>
      </c>
      <c r="L214" s="1">
        <v>1.3710664770542385</v>
      </c>
      <c r="M214" s="1">
        <v>0.72442518779236964</v>
      </c>
      <c r="O214" s="1">
        <v>6.0601772258161452E-3</v>
      </c>
      <c r="P214" s="1">
        <v>0.90256190523434032</v>
      </c>
      <c r="R214" s="1">
        <v>8.6375835292578168E-2</v>
      </c>
      <c r="S214" s="2">
        <f t="shared" si="36"/>
        <v>0.34266036643591269</v>
      </c>
      <c r="T214" s="4">
        <f t="shared" si="37"/>
        <v>0.11741612672599396</v>
      </c>
      <c r="U214" s="1">
        <f t="shared" si="40"/>
        <v>0.10014836065126431</v>
      </c>
      <c r="V214" s="6">
        <f>2*sigma/alpha*corel*(B214/12-1/alpha*(1-EXP(-alpha*Output!B214/12)))</f>
        <v>0.57804750002769123</v>
      </c>
      <c r="W214" s="5">
        <f t="shared" si="38"/>
        <v>-1.7267766074729643E-2</v>
      </c>
      <c r="X214" s="1">
        <f t="shared" si="39"/>
        <v>1.5025910833449694</v>
      </c>
      <c r="Y214" s="3">
        <f t="shared" si="41"/>
        <v>1.9145459713115695E-2</v>
      </c>
      <c r="Z214" s="1">
        <f t="shared" si="42"/>
        <v>8.3311792573633622E-2</v>
      </c>
      <c r="AA214" s="8">
        <f t="shared" si="47"/>
        <v>16.833333333333364</v>
      </c>
      <c r="AB214" s="1">
        <v>16.920000000000002</v>
      </c>
      <c r="AC214" s="1">
        <v>6.05776014E-3</v>
      </c>
      <c r="AD214" s="8">
        <f t="shared" si="43"/>
        <v>-2.4170858161452063E-2</v>
      </c>
      <c r="AE214" s="3">
        <f t="shared" si="44"/>
        <v>-3.9900652391053673E-4</v>
      </c>
      <c r="AF214" s="11">
        <f t="shared" si="45"/>
        <v>16.833333333333364</v>
      </c>
      <c r="AG214" s="1">
        <f t="shared" si="46"/>
        <v>8.3311792573633622E-2</v>
      </c>
    </row>
    <row r="215" spans="2:33" ht="15" x14ac:dyDescent="0.25">
      <c r="B215" s="1">
        <v>204</v>
      </c>
      <c r="C215" s="1">
        <v>1.0002562034699589</v>
      </c>
      <c r="D215" s="1">
        <v>1.1390725390414906</v>
      </c>
      <c r="E215" s="1">
        <v>0.87728081674090375</v>
      </c>
      <c r="G215" s="1">
        <v>0.99927362193945224</v>
      </c>
      <c r="H215" s="1">
        <v>3.0512175134770914</v>
      </c>
      <c r="I215" s="1">
        <v>0.29672318231327133</v>
      </c>
      <c r="K215" s="1">
        <v>1.0000526427873551</v>
      </c>
      <c r="L215" s="1">
        <v>1.3777270680129694</v>
      </c>
      <c r="M215" s="1">
        <v>0.72093294932130692</v>
      </c>
      <c r="O215" s="1">
        <v>6.0859207431212467E-3</v>
      </c>
      <c r="P215" s="1">
        <v>0.90171150201718564</v>
      </c>
      <c r="R215" s="1">
        <v>8.6684775820150245E-2</v>
      </c>
      <c r="S215" s="2">
        <f t="shared" ref="S215:S278" si="48">optim_vol_implied(P215,R215)</f>
        <v>0.34459574056104503</v>
      </c>
      <c r="T215" s="4">
        <f t="shared" ref="T215:T278" si="49">S215*S215</f>
        <v>0.11874622441281506</v>
      </c>
      <c r="U215" s="1">
        <f t="shared" si="40"/>
        <v>0.10141186914750167</v>
      </c>
      <c r="V215" s="6">
        <f>2*sigma/alpha*corel*(B215/12-1/alpha*(1-EXP(-alpha*Output!B215/12)))</f>
        <v>0.58317810114246726</v>
      </c>
      <c r="W215" s="5">
        <f t="shared" ref="W215:W278" si="50">U215-T215</f>
        <v>-1.7334355265313392E-2</v>
      </c>
      <c r="X215" s="1">
        <f t="shared" ref="X215:X278" si="51">V215*V215-4*W215*B215/12</f>
        <v>1.5188328556934445</v>
      </c>
      <c r="Y215" s="3">
        <f t="shared" si="41"/>
        <v>1.9095037324466019E-2</v>
      </c>
      <c r="Z215" s="1">
        <f t="shared" si="42"/>
        <v>8.3576743321831098E-2</v>
      </c>
      <c r="AA215" s="8">
        <f t="shared" si="47"/>
        <v>16.916666666666696</v>
      </c>
      <c r="AB215" s="1">
        <v>17</v>
      </c>
      <c r="AC215" s="1">
        <v>6.0833563789999996E-3</v>
      </c>
      <c r="AD215" s="8">
        <f t="shared" si="43"/>
        <v>-2.5643641212470814E-2</v>
      </c>
      <c r="AE215" s="3">
        <f t="shared" si="44"/>
        <v>-4.2153771067882415E-4</v>
      </c>
      <c r="AF215" s="11">
        <f t="shared" si="45"/>
        <v>16.916666666666696</v>
      </c>
      <c r="AG215" s="1">
        <f t="shared" si="46"/>
        <v>8.3576743321831098E-2</v>
      </c>
    </row>
    <row r="216" spans="2:33" ht="15" x14ac:dyDescent="0.25">
      <c r="B216" s="1">
        <v>205</v>
      </c>
      <c r="C216" s="1">
        <v>1.000255427133621</v>
      </c>
      <c r="D216" s="1">
        <v>1.1372138858420053</v>
      </c>
      <c r="E216" s="1">
        <v>0.87871292628608955</v>
      </c>
      <c r="G216" s="1">
        <v>0.99903672448904113</v>
      </c>
      <c r="H216" s="1">
        <v>3.0038163922021366</v>
      </c>
      <c r="I216" s="1">
        <v>0.30125953264446692</v>
      </c>
      <c r="K216" s="1">
        <v>1.0000614933531535</v>
      </c>
      <c r="L216" s="1">
        <v>1.3823574862909911</v>
      </c>
      <c r="M216" s="1">
        <v>0.7184599169784962</v>
      </c>
      <c r="O216" s="1">
        <v>6.1115262118793274E-3</v>
      </c>
      <c r="P216" s="1">
        <v>0.90086015936387365</v>
      </c>
      <c r="R216" s="1">
        <v>8.6991674534649899E-2</v>
      </c>
      <c r="S216" s="2">
        <f t="shared" si="48"/>
        <v>0.34652833941542494</v>
      </c>
      <c r="T216" s="4">
        <f t="shared" si="49"/>
        <v>0.12008189001801195</v>
      </c>
      <c r="U216" s="1">
        <f t="shared" si="40"/>
        <v>0.10268405666227798</v>
      </c>
      <c r="V216" s="6">
        <f>2*sigma/alpha*corel*(B216/12-1/alpha*(1-EXP(-alpha*Output!B216/12)))</f>
        <v>0.58832629314132201</v>
      </c>
      <c r="W216" s="5">
        <f t="shared" si="50"/>
        <v>-1.7397833355733971E-2</v>
      </c>
      <c r="X216" s="1">
        <f t="shared" si="51"/>
        <v>1.5349797731765635</v>
      </c>
      <c r="Y216" s="3">
        <f t="shared" si="41"/>
        <v>1.9042440388874982E-2</v>
      </c>
      <c r="Z216" s="1">
        <f t="shared" si="42"/>
        <v>8.3840227849955207E-2</v>
      </c>
      <c r="AA216" s="8">
        <f t="shared" si="47"/>
        <v>17.000000000000028</v>
      </c>
      <c r="AB216" s="1">
        <v>17.079999999999998</v>
      </c>
      <c r="AC216" s="1">
        <v>6.1088933140000003E-3</v>
      </c>
      <c r="AD216" s="8">
        <f t="shared" si="43"/>
        <v>-2.6328978793271202E-2</v>
      </c>
      <c r="AE216" s="3">
        <f t="shared" si="44"/>
        <v>-4.3099424789318235E-4</v>
      </c>
      <c r="AF216" s="11">
        <f t="shared" si="45"/>
        <v>17.000000000000028</v>
      </c>
      <c r="AG216" s="1">
        <f t="shared" si="46"/>
        <v>8.3840227849955207E-2</v>
      </c>
    </row>
    <row r="217" spans="2:33" ht="15" x14ac:dyDescent="0.25">
      <c r="B217" s="1">
        <v>206</v>
      </c>
      <c r="C217" s="1">
        <v>1.0002566707013845</v>
      </c>
      <c r="D217" s="1">
        <v>1.1394977730091651</v>
      </c>
      <c r="E217" s="1">
        <v>0.87695002518744969</v>
      </c>
      <c r="G217" s="1">
        <v>0.9989711569667834</v>
      </c>
      <c r="H217" s="1">
        <v>3.0584471961577546</v>
      </c>
      <c r="I217" s="1">
        <v>0.29573500554058257</v>
      </c>
      <c r="K217" s="1">
        <v>1.0000600371940078</v>
      </c>
      <c r="L217" s="1">
        <v>1.3768062369110932</v>
      </c>
      <c r="M217" s="1">
        <v>0.72135983249844549</v>
      </c>
      <c r="O217" s="1">
        <v>6.1369824915025514E-3</v>
      </c>
      <c r="P217" s="1">
        <v>0.90000808463464088</v>
      </c>
      <c r="R217" s="1">
        <v>8.7357162043050565E-2</v>
      </c>
      <c r="S217" s="2">
        <f t="shared" si="48"/>
        <v>0.34862815244899503</v>
      </c>
      <c r="T217" s="4">
        <f t="shared" si="49"/>
        <v>0.12154158867999972</v>
      </c>
      <c r="U217" s="1">
        <f t="shared" si="40"/>
        <v>0.10396492387176526</v>
      </c>
      <c r="V217" s="6">
        <f>2*sigma/alpha*corel*(B217/12-1/alpha*(1-EXP(-alpha*Output!B217/12)))</f>
        <v>0.59349201748559333</v>
      </c>
      <c r="W217" s="5">
        <f t="shared" si="50"/>
        <v>-1.7576664808234457E-2</v>
      </c>
      <c r="X217" s="1">
        <f t="shared" si="51"/>
        <v>1.5591637583178859</v>
      </c>
      <c r="Y217" s="3">
        <f t="shared" si="41"/>
        <v>1.9082702118276437E-2</v>
      </c>
      <c r="Z217" s="1">
        <f t="shared" si="42"/>
        <v>8.4143285795516706E-2</v>
      </c>
      <c r="AA217" s="8">
        <f t="shared" si="47"/>
        <v>17.083333333333361</v>
      </c>
      <c r="AB217" s="1">
        <v>17.170000000000002</v>
      </c>
      <c r="AC217" s="1">
        <v>6.1343167059999997E-3</v>
      </c>
      <c r="AD217" s="8">
        <f t="shared" si="43"/>
        <v>-2.6657855025516777E-2</v>
      </c>
      <c r="AE217" s="3">
        <f t="shared" si="44"/>
        <v>-4.3456926505673605E-4</v>
      </c>
      <c r="AF217" s="11">
        <f t="shared" si="45"/>
        <v>17.083333333333361</v>
      </c>
      <c r="AG217" s="1">
        <f t="shared" si="46"/>
        <v>8.4143285795516706E-2</v>
      </c>
    </row>
    <row r="218" spans="2:33" ht="15" x14ac:dyDescent="0.25">
      <c r="B218" s="1">
        <v>207</v>
      </c>
      <c r="C218" s="1">
        <v>1.0002581585871235</v>
      </c>
      <c r="D218" s="1">
        <v>1.1419454838759073</v>
      </c>
      <c r="E218" s="1">
        <v>0.87506862550388242</v>
      </c>
      <c r="G218" s="1">
        <v>0.9989235677597913</v>
      </c>
      <c r="H218" s="1">
        <v>3.1170742727381859</v>
      </c>
      <c r="I218" s="1">
        <v>0.29003213241066816</v>
      </c>
      <c r="K218" s="1">
        <v>1.0000517441004444</v>
      </c>
      <c r="L218" s="1">
        <v>1.3961626936207681</v>
      </c>
      <c r="M218" s="1">
        <v>0.71131370961207829</v>
      </c>
      <c r="O218" s="1">
        <v>6.1623661724936381E-3</v>
      </c>
      <c r="P218" s="1">
        <v>0.89915412701393449</v>
      </c>
      <c r="R218" s="1">
        <v>8.7669489241087639E-2</v>
      </c>
      <c r="S218" s="2">
        <f t="shared" si="48"/>
        <v>0.35058302286057363</v>
      </c>
      <c r="T218" s="4">
        <f t="shared" si="49"/>
        <v>0.12290845591805749</v>
      </c>
      <c r="U218" s="1">
        <f t="shared" si="40"/>
        <v>0.10525447125348908</v>
      </c>
      <c r="V218" s="6">
        <f>2*sigma/alpha*corel*(B218/12-1/alpha*(1-EXP(-alpha*Output!B218/12)))</f>
        <v>0.59867521583142369</v>
      </c>
      <c r="W218" s="5">
        <f t="shared" si="50"/>
        <v>-1.7653984664568412E-2</v>
      </c>
      <c r="X218" s="1">
        <f t="shared" si="51"/>
        <v>1.5765369559060223</v>
      </c>
      <c r="Y218" s="3">
        <f t="shared" si="41"/>
        <v>1.9041362682488946E-2</v>
      </c>
      <c r="Z218" s="1">
        <f t="shared" si="42"/>
        <v>8.4410472568915762E-2</v>
      </c>
      <c r="AA218" s="8">
        <f t="shared" si="47"/>
        <v>17.166666666666693</v>
      </c>
      <c r="AB218" s="1">
        <v>17.25</v>
      </c>
      <c r="AC218" s="1">
        <v>6.1596181610000002E-3</v>
      </c>
      <c r="AD218" s="8">
        <f t="shared" si="43"/>
        <v>-2.7480114936379724E-2</v>
      </c>
      <c r="AE218" s="3">
        <f t="shared" si="44"/>
        <v>-4.4613341635966585E-4</v>
      </c>
      <c r="AF218" s="11">
        <f t="shared" si="45"/>
        <v>17.166666666666693</v>
      </c>
      <c r="AG218" s="1">
        <f t="shared" si="46"/>
        <v>8.4410472568915762E-2</v>
      </c>
    </row>
    <row r="219" spans="2:33" ht="15" x14ac:dyDescent="0.25">
      <c r="B219" s="1">
        <v>208</v>
      </c>
      <c r="C219" s="1">
        <v>1.0002593070905335</v>
      </c>
      <c r="D219" s="1">
        <v>1.1385655891918847</v>
      </c>
      <c r="E219" s="1">
        <v>0.8776646187571906</v>
      </c>
      <c r="G219" s="1">
        <v>0.99883389764725961</v>
      </c>
      <c r="H219" s="1">
        <v>3.0353124948991805</v>
      </c>
      <c r="I219" s="1">
        <v>0.29770039248015046</v>
      </c>
      <c r="K219" s="1">
        <v>1.0000536568652039</v>
      </c>
      <c r="L219" s="1">
        <v>1.3844880502134447</v>
      </c>
      <c r="M219" s="1">
        <v>0.71731146476393348</v>
      </c>
      <c r="O219" s="1">
        <v>6.1876526547816439E-3</v>
      </c>
      <c r="P219" s="1">
        <v>0.89829869273259377</v>
      </c>
      <c r="R219" s="1">
        <v>8.7999455656819561E-2</v>
      </c>
      <c r="S219" s="2">
        <f t="shared" si="48"/>
        <v>0.35259121407877581</v>
      </c>
      <c r="T219" s="4">
        <f t="shared" si="49"/>
        <v>0.12432056424554511</v>
      </c>
      <c r="U219" s="1">
        <f t="shared" si="40"/>
        <v>0.10655269908829057</v>
      </c>
      <c r="V219" s="6">
        <f>2*sigma/alpha*corel*(B219/12-1/alpha*(1-EXP(-alpha*Output!B219/12)))</f>
        <v>0.60387583002911072</v>
      </c>
      <c r="W219" s="5">
        <f t="shared" si="50"/>
        <v>-1.7767865157254537E-2</v>
      </c>
      <c r="X219" s="1">
        <f t="shared" si="51"/>
        <v>1.5965713356629954</v>
      </c>
      <c r="Y219" s="3">
        <f t="shared" si="41"/>
        <v>1.9029207940589869E-2</v>
      </c>
      <c r="Z219" s="1">
        <f t="shared" si="42"/>
        <v>8.4689670237492923E-2</v>
      </c>
      <c r="AA219" s="8">
        <f t="shared" si="47"/>
        <v>17.250000000000025</v>
      </c>
      <c r="AB219" s="1">
        <v>17.329999999999998</v>
      </c>
      <c r="AC219" s="1">
        <v>6.1848007460000003E-3</v>
      </c>
      <c r="AD219" s="8">
        <f t="shared" si="43"/>
        <v>-2.8519087816435834E-2</v>
      </c>
      <c r="AE219" s="3">
        <f t="shared" si="44"/>
        <v>-4.6111570910154967E-4</v>
      </c>
      <c r="AF219" s="11">
        <f t="shared" si="45"/>
        <v>17.250000000000025</v>
      </c>
      <c r="AG219" s="1">
        <f t="shared" si="46"/>
        <v>8.4689670237492923E-2</v>
      </c>
    </row>
    <row r="220" spans="2:33" ht="15" x14ac:dyDescent="0.25">
      <c r="B220" s="1">
        <v>209</v>
      </c>
      <c r="C220" s="1">
        <v>1.0002635750409357</v>
      </c>
      <c r="D220" s="1">
        <v>1.1398754293365161</v>
      </c>
      <c r="E220" s="1">
        <v>0.87665439720020377</v>
      </c>
      <c r="G220" s="1">
        <v>0.99900120449195617</v>
      </c>
      <c r="H220" s="1">
        <v>3.0746516230525898</v>
      </c>
      <c r="I220" s="1">
        <v>0.29374904142978903</v>
      </c>
      <c r="K220" s="1">
        <v>1.0000508404293524</v>
      </c>
      <c r="L220" s="1">
        <v>1.3640457627582114</v>
      </c>
      <c r="M220" s="1">
        <v>0.7280101340527696</v>
      </c>
      <c r="O220" s="1">
        <v>6.2128710838303576E-3</v>
      </c>
      <c r="P220" s="1">
        <v>0.8974413538000886</v>
      </c>
      <c r="R220" s="1">
        <v>8.8373370263946635E-2</v>
      </c>
      <c r="S220" s="2">
        <f t="shared" si="48"/>
        <v>0.35472751066978137</v>
      </c>
      <c r="T220" s="4">
        <f t="shared" si="49"/>
        <v>0.12583160682597985</v>
      </c>
      <c r="U220" s="1">
        <f t="shared" si="40"/>
        <v>0.10785960746228129</v>
      </c>
      <c r="V220" s="6">
        <f>2*sigma/alpha*corel*(B220/12-1/alpha*(1-EXP(-alpha*Output!B220/12)))</f>
        <v>0.60909380212246367</v>
      </c>
      <c r="W220" s="5">
        <f t="shared" si="50"/>
        <v>-1.797199936369856E-2</v>
      </c>
      <c r="X220" s="1">
        <f t="shared" si="51"/>
        <v>1.623044548788332</v>
      </c>
      <c r="Y220" s="3">
        <f t="shared" si="41"/>
        <v>1.9087861846738954E-2</v>
      </c>
      <c r="Z220" s="1">
        <f t="shared" si="42"/>
        <v>8.4998713244179805E-2</v>
      </c>
      <c r="AA220" s="8">
        <f t="shared" si="47"/>
        <v>17.333333333333357</v>
      </c>
      <c r="AB220" s="1">
        <v>17.420000000000002</v>
      </c>
      <c r="AC220" s="1">
        <v>6.2098675239999996E-3</v>
      </c>
      <c r="AD220" s="8">
        <f t="shared" si="43"/>
        <v>-3.0035598303579727E-2</v>
      </c>
      <c r="AE220" s="3">
        <f t="shared" si="44"/>
        <v>-4.8367534713901136E-4</v>
      </c>
      <c r="AF220" s="11">
        <f t="shared" si="45"/>
        <v>17.333333333333357</v>
      </c>
      <c r="AG220" s="1">
        <f t="shared" si="46"/>
        <v>8.4998713244179805E-2</v>
      </c>
    </row>
    <row r="221" spans="2:33" ht="15" x14ac:dyDescent="0.25">
      <c r="B221" s="1">
        <v>210</v>
      </c>
      <c r="C221" s="1">
        <v>1.0002660022389385</v>
      </c>
      <c r="D221" s="1">
        <v>1.1413495183873743</v>
      </c>
      <c r="E221" s="1">
        <v>0.87552048642326907</v>
      </c>
      <c r="G221" s="1">
        <v>0.99901894860284879</v>
      </c>
      <c r="H221" s="1">
        <v>3.1508794121766082</v>
      </c>
      <c r="I221" s="1">
        <v>0.28650364484749918</v>
      </c>
      <c r="K221" s="1">
        <v>1.0000544010259431</v>
      </c>
      <c r="L221" s="1">
        <v>1.3518825119316542</v>
      </c>
      <c r="M221" s="1">
        <v>0.73456310623037202</v>
      </c>
      <c r="O221" s="1">
        <v>6.2379824100018853E-3</v>
      </c>
      <c r="P221" s="1">
        <v>0.89658274517593117</v>
      </c>
      <c r="R221" s="1">
        <v>8.8732738687060914E-2</v>
      </c>
      <c r="S221" s="2">
        <f t="shared" si="48"/>
        <v>0.35682660320715953</v>
      </c>
      <c r="T221" s="4">
        <f t="shared" si="49"/>
        <v>0.12732522475635968</v>
      </c>
      <c r="U221" s="1">
        <f t="shared" si="40"/>
        <v>0.10917519626877503</v>
      </c>
      <c r="V221" s="6">
        <f>2*sigma/alpha*corel*(B221/12-1/alpha*(1-EXP(-alpha*Output!B221/12)))</f>
        <v>0.61432907434815442</v>
      </c>
      <c r="W221" s="5">
        <f t="shared" si="50"/>
        <v>-1.8150028487584652E-2</v>
      </c>
      <c r="X221" s="1">
        <f t="shared" si="51"/>
        <v>1.6479022057203858</v>
      </c>
      <c r="Y221" s="3">
        <f t="shared" si="41"/>
        <v>1.9125067385543489E-2</v>
      </c>
      <c r="Z221" s="1">
        <f t="shared" si="42"/>
        <v>8.5297872944961758E-2</v>
      </c>
      <c r="AA221" s="8">
        <f t="shared" si="47"/>
        <v>17.416666666666689</v>
      </c>
      <c r="AB221" s="1">
        <v>17.5</v>
      </c>
      <c r="AC221" s="1">
        <v>6.2348215609999997E-3</v>
      </c>
      <c r="AD221" s="8">
        <f t="shared" si="43"/>
        <v>-3.1608490018856031E-2</v>
      </c>
      <c r="AE221" s="3">
        <f t="shared" si="44"/>
        <v>-5.0696703521674422E-4</v>
      </c>
      <c r="AF221" s="11">
        <f t="shared" si="45"/>
        <v>17.416666666666689</v>
      </c>
      <c r="AG221" s="1">
        <f t="shared" si="46"/>
        <v>8.5297872944961758E-2</v>
      </c>
    </row>
    <row r="222" spans="2:33" ht="15" x14ac:dyDescent="0.25">
      <c r="B222" s="1">
        <v>211</v>
      </c>
      <c r="C222" s="1">
        <v>1.0002668235688792</v>
      </c>
      <c r="D222" s="1">
        <v>1.1448462117694025</v>
      </c>
      <c r="E222" s="1">
        <v>0.87284471733213298</v>
      </c>
      <c r="G222" s="1">
        <v>0.99891144067979309</v>
      </c>
      <c r="H222" s="1">
        <v>3.2390368186434157</v>
      </c>
      <c r="I222" s="1">
        <v>0.27857081538206485</v>
      </c>
      <c r="K222" s="1">
        <v>1.0000533279874959</v>
      </c>
      <c r="L222" s="1">
        <v>1.3516612974761599</v>
      </c>
      <c r="M222" s="1">
        <v>0.73463671960449584</v>
      </c>
      <c r="O222" s="1">
        <v>6.2629200539630753E-3</v>
      </c>
      <c r="P222" s="1">
        <v>0.89572394466699845</v>
      </c>
      <c r="R222" s="1">
        <v>8.9031589615940376E-2</v>
      </c>
      <c r="S222" s="2">
        <f t="shared" si="48"/>
        <v>0.35875732897877899</v>
      </c>
      <c r="T222" s="4">
        <f t="shared" si="49"/>
        <v>0.12870682109598786</v>
      </c>
      <c r="U222" s="1">
        <f t="shared" si="40"/>
        <v>0.11049946521020981</v>
      </c>
      <c r="V222" s="6">
        <f>2*sigma/alpha*corel*(B222/12-1/alpha*(1-EXP(-alpha*Output!B222/12)))</f>
        <v>0.61958158913508177</v>
      </c>
      <c r="W222" s="5">
        <f t="shared" si="50"/>
        <v>-1.8207355885778043E-2</v>
      </c>
      <c r="X222" s="1">
        <f t="shared" si="51"/>
        <v>1.6644653762282089</v>
      </c>
      <c r="Y222" s="3">
        <f t="shared" si="41"/>
        <v>1.9068057491524799E-2</v>
      </c>
      <c r="Z222" s="1">
        <f t="shared" si="42"/>
        <v>8.555594198681056E-2</v>
      </c>
      <c r="AA222" s="8">
        <f t="shared" si="47"/>
        <v>17.500000000000021</v>
      </c>
      <c r="AB222" s="1">
        <v>17.579999999999998</v>
      </c>
      <c r="AC222" s="1">
        <v>6.2596659230000004E-3</v>
      </c>
      <c r="AD222" s="8">
        <f t="shared" si="43"/>
        <v>-3.2541309630748638E-2</v>
      </c>
      <c r="AE222" s="3">
        <f t="shared" si="44"/>
        <v>-5.1985697050031907E-4</v>
      </c>
      <c r="AF222" s="11">
        <f t="shared" si="45"/>
        <v>17.500000000000021</v>
      </c>
      <c r="AG222" s="1">
        <f t="shared" si="46"/>
        <v>8.555594198681056E-2</v>
      </c>
    </row>
    <row r="223" spans="2:33" ht="15" x14ac:dyDescent="0.25">
      <c r="B223" s="1">
        <v>212</v>
      </c>
      <c r="C223" s="1">
        <v>1.0002684036458527</v>
      </c>
      <c r="D223" s="1">
        <v>1.1472436249670115</v>
      </c>
      <c r="E223" s="1">
        <v>0.87101905244024103</v>
      </c>
      <c r="G223" s="1">
        <v>0.99885962900896752</v>
      </c>
      <c r="H223" s="1">
        <v>3.2976212353503338</v>
      </c>
      <c r="I223" s="1">
        <v>0.27348927522990529</v>
      </c>
      <c r="K223" s="1">
        <v>1.0000398331060183</v>
      </c>
      <c r="L223" s="1">
        <v>1.3617781740092283</v>
      </c>
      <c r="M223" s="1">
        <v>0.72914804095193497</v>
      </c>
      <c r="O223" s="1">
        <v>6.287723379228824E-3</v>
      </c>
      <c r="P223" s="1">
        <v>0.8948643709461529</v>
      </c>
      <c r="R223" s="1">
        <v>8.9370210860478361E-2</v>
      </c>
      <c r="S223" s="2">
        <f t="shared" si="48"/>
        <v>0.36080316123367429</v>
      </c>
      <c r="T223" s="4">
        <f t="shared" si="49"/>
        <v>0.13017892115621277</v>
      </c>
      <c r="U223" s="1">
        <f t="shared" si="40"/>
        <v>0.11183241380005704</v>
      </c>
      <c r="V223" s="6">
        <f>2*sigma/alpha*corel*(B223/12-1/alpha*(1-EXP(-alpha*Output!B223/12)))</f>
        <v>0.62485128910372612</v>
      </c>
      <c r="W223" s="5">
        <f t="shared" si="50"/>
        <v>-1.8346507356155728E-2</v>
      </c>
      <c r="X223" s="1">
        <f t="shared" si="51"/>
        <v>1.6869256533295931</v>
      </c>
      <c r="Y223" s="3">
        <f t="shared" si="41"/>
        <v>1.9074501838388366E-2</v>
      </c>
      <c r="Z223" s="1">
        <f t="shared" si="42"/>
        <v>8.5840655744545385E-2</v>
      </c>
      <c r="AA223" s="8">
        <f t="shared" si="47"/>
        <v>17.583333333333353</v>
      </c>
      <c r="AB223" s="1">
        <v>17.670000000000002</v>
      </c>
      <c r="AC223" s="1">
        <v>6.2844036850000003E-3</v>
      </c>
      <c r="AD223" s="8">
        <f t="shared" si="43"/>
        <v>-3.3196942288236247E-2</v>
      </c>
      <c r="AE223" s="3">
        <f t="shared" si="44"/>
        <v>-5.282433139594889E-4</v>
      </c>
      <c r="AF223" s="11">
        <f t="shared" si="45"/>
        <v>17.583333333333353</v>
      </c>
      <c r="AG223" s="1">
        <f t="shared" si="46"/>
        <v>8.5840655744545385E-2</v>
      </c>
    </row>
    <row r="224" spans="2:33" ht="15" x14ac:dyDescent="0.25">
      <c r="B224" s="1">
        <v>213</v>
      </c>
      <c r="C224" s="1">
        <v>1.0002688363531742</v>
      </c>
      <c r="D224" s="1">
        <v>1.1457891292528772</v>
      </c>
      <c r="E224" s="1">
        <v>0.87212308161422525</v>
      </c>
      <c r="G224" s="1">
        <v>0.9987122163588541</v>
      </c>
      <c r="H224" s="1">
        <v>3.2577296927254031</v>
      </c>
      <c r="I224" s="1">
        <v>0.27670410459671807</v>
      </c>
      <c r="K224" s="1">
        <v>1.0000240707599291</v>
      </c>
      <c r="L224" s="1">
        <v>1.3710409269765336</v>
      </c>
      <c r="M224" s="1">
        <v>0.72421815934990608</v>
      </c>
      <c r="O224" s="1">
        <v>6.3124535387315056E-3</v>
      </c>
      <c r="P224" s="1">
        <v>0.8940030874308792</v>
      </c>
      <c r="R224" s="1">
        <v>8.9659856025600726E-2</v>
      </c>
      <c r="S224" s="2">
        <f t="shared" si="48"/>
        <v>0.36271476581177753</v>
      </c>
      <c r="T224" s="4">
        <f t="shared" si="49"/>
        <v>0.13156200133789261</v>
      </c>
      <c r="U224" s="1">
        <f t="shared" si="40"/>
        <v>0.11317404136470621</v>
      </c>
      <c r="V224" s="6">
        <f>2*sigma/alpha*corel*(B224/12-1/alpha*(1-EXP(-alpha*Output!B224/12)))</f>
        <v>0.63013811706551603</v>
      </c>
      <c r="W224" s="5">
        <f t="shared" si="50"/>
        <v>-1.8387959973186402E-2</v>
      </c>
      <c r="X224" s="1">
        <f t="shared" si="51"/>
        <v>1.7026192046751085</v>
      </c>
      <c r="Y224" s="3">
        <f t="shared" si="41"/>
        <v>1.9005813986920205E-2</v>
      </c>
      <c r="Z224" s="1">
        <f t="shared" si="42"/>
        <v>8.6092646244299298E-2</v>
      </c>
      <c r="AA224" s="8">
        <f t="shared" si="47"/>
        <v>17.666666666666686</v>
      </c>
      <c r="AB224" s="1">
        <v>17.75</v>
      </c>
      <c r="AC224" s="1">
        <v>6.3090379599999996E-3</v>
      </c>
      <c r="AD224" s="8">
        <f t="shared" si="43"/>
        <v>-3.4155787315059624E-2</v>
      </c>
      <c r="AE224" s="3">
        <f t="shared" si="44"/>
        <v>-5.4137869405147191E-4</v>
      </c>
      <c r="AF224" s="11">
        <f t="shared" si="45"/>
        <v>17.666666666666686</v>
      </c>
      <c r="AG224" s="1">
        <f t="shared" si="46"/>
        <v>8.6092646244299298E-2</v>
      </c>
    </row>
    <row r="225" spans="2:33" ht="15" x14ac:dyDescent="0.25">
      <c r="B225" s="1">
        <v>214</v>
      </c>
      <c r="C225" s="1">
        <v>1.0002717231951619</v>
      </c>
      <c r="D225" s="1">
        <v>1.1475870398732797</v>
      </c>
      <c r="E225" s="1">
        <v>0.87075507757088433</v>
      </c>
      <c r="G225" s="1">
        <v>0.9987558034852404</v>
      </c>
      <c r="H225" s="1">
        <v>3.3010708778711866</v>
      </c>
      <c r="I225" s="1">
        <v>0.27293886413563356</v>
      </c>
      <c r="K225" s="1">
        <v>1.0000200473732412</v>
      </c>
      <c r="L225" s="1">
        <v>1.3657944303026359</v>
      </c>
      <c r="M225" s="1">
        <v>0.72696421480825324</v>
      </c>
      <c r="O225" s="1">
        <v>6.3370771325030146E-3</v>
      </c>
      <c r="P225" s="1">
        <v>0.89314064896876122</v>
      </c>
      <c r="R225" s="1">
        <v>8.9965219584498837E-2</v>
      </c>
      <c r="S225" s="2">
        <f t="shared" si="48"/>
        <v>0.36467410469755701</v>
      </c>
      <c r="T225" s="4">
        <f t="shared" si="49"/>
        <v>0.13298720263696479</v>
      </c>
      <c r="U225" s="1">
        <f t="shared" si="40"/>
        <v>0.11452434704534697</v>
      </c>
      <c r="V225" s="6">
        <f>2*sigma/alpha*corel*(B225/12-1/alpha*(1-EXP(-alpha*Output!B225/12)))</f>
        <v>0.63544201602219097</v>
      </c>
      <c r="W225" s="5">
        <f t="shared" si="50"/>
        <v>-1.8462855591617811E-2</v>
      </c>
      <c r="X225" s="1">
        <f t="shared" si="51"/>
        <v>1.7208035879284169</v>
      </c>
      <c r="Y225" s="3">
        <f t="shared" si="41"/>
        <v>1.8963140694070263E-2</v>
      </c>
      <c r="Z225" s="1">
        <f t="shared" si="42"/>
        <v>8.6355233287227495E-2</v>
      </c>
      <c r="AA225" s="8">
        <f t="shared" si="47"/>
        <v>17.750000000000018</v>
      </c>
      <c r="AB225" s="1">
        <v>17.829999999999998</v>
      </c>
      <c r="AC225" s="1">
        <v>6.3335718699999996E-3</v>
      </c>
      <c r="AD225" s="8">
        <f t="shared" si="43"/>
        <v>-3.5052625030149859E-2</v>
      </c>
      <c r="AE225" s="3">
        <f t="shared" si="44"/>
        <v>-5.5344165582429646E-4</v>
      </c>
      <c r="AF225" s="11">
        <f t="shared" si="45"/>
        <v>17.750000000000018</v>
      </c>
      <c r="AG225" s="1">
        <f t="shared" si="46"/>
        <v>8.6355233287227495E-2</v>
      </c>
    </row>
    <row r="226" spans="2:33" ht="15" x14ac:dyDescent="0.25">
      <c r="B226" s="1">
        <v>215</v>
      </c>
      <c r="C226" s="1">
        <v>1.0002740925582816</v>
      </c>
      <c r="D226" s="1">
        <v>1.1449374265638304</v>
      </c>
      <c r="E226" s="1">
        <v>0.87276851849024628</v>
      </c>
      <c r="G226" s="1">
        <v>0.99876380220787142</v>
      </c>
      <c r="H226" s="1">
        <v>3.2309067992829608</v>
      </c>
      <c r="I226" s="1">
        <v>0.27873107197184654</v>
      </c>
      <c r="K226" s="1">
        <v>1.0000107689095161</v>
      </c>
      <c r="L226" s="1">
        <v>1.3701667059108458</v>
      </c>
      <c r="M226" s="1">
        <v>0.72464228526626173</v>
      </c>
      <c r="O226" s="1">
        <v>6.3616407782153273E-3</v>
      </c>
      <c r="P226" s="1">
        <v>0.89227633901586145</v>
      </c>
      <c r="R226" s="1">
        <v>9.0274778444689452E-2</v>
      </c>
      <c r="S226" s="2">
        <f t="shared" si="48"/>
        <v>0.36664959828472365</v>
      </c>
      <c r="T226" s="4">
        <f t="shared" si="49"/>
        <v>0.13443192792234923</v>
      </c>
      <c r="U226" s="1">
        <f t="shared" si="40"/>
        <v>0.11588332979982763</v>
      </c>
      <c r="V226" s="6">
        <f>2*sigma/alpha*corel*(B226/12-1/alpha*(1-EXP(-alpha*Output!B226/12)))</f>
        <v>0.64076292916516819</v>
      </c>
      <c r="W226" s="5">
        <f t="shared" si="50"/>
        <v>-1.8548598122521603E-2</v>
      </c>
      <c r="X226" s="1">
        <f t="shared" si="51"/>
        <v>1.7398933301730413</v>
      </c>
      <c r="Y226" s="3">
        <f t="shared" si="41"/>
        <v>1.8928946035782112E-2</v>
      </c>
      <c r="Z226" s="1">
        <f t="shared" si="42"/>
        <v>8.6620883004101201E-2</v>
      </c>
      <c r="AA226" s="8">
        <f t="shared" si="47"/>
        <v>17.83333333333335</v>
      </c>
      <c r="AB226" s="1">
        <v>17.920000000000002</v>
      </c>
      <c r="AC226" s="1">
        <v>6.3580085399999996E-3</v>
      </c>
      <c r="AD226" s="8">
        <f t="shared" si="43"/>
        <v>-3.6322382153276128E-2</v>
      </c>
      <c r="AE226" s="3">
        <f t="shared" si="44"/>
        <v>-5.7128552006122546E-4</v>
      </c>
      <c r="AF226" s="11">
        <f t="shared" si="45"/>
        <v>17.83333333333335</v>
      </c>
      <c r="AG226" s="1">
        <f t="shared" si="46"/>
        <v>8.6620883004101201E-2</v>
      </c>
    </row>
    <row r="227" spans="2:33" ht="15" x14ac:dyDescent="0.25">
      <c r="B227" s="1">
        <v>216</v>
      </c>
      <c r="C227" s="1">
        <v>1.0002760362570022</v>
      </c>
      <c r="D227" s="1">
        <v>1.1430122585933904</v>
      </c>
      <c r="E227" s="1">
        <v>0.87423685767386927</v>
      </c>
      <c r="G227" s="1">
        <v>0.99873602269053185</v>
      </c>
      <c r="H227" s="1">
        <v>3.1832745444782797</v>
      </c>
      <c r="I227" s="1">
        <v>0.28276477705256059</v>
      </c>
      <c r="K227" s="1">
        <v>1.000016930034292</v>
      </c>
      <c r="L227" s="1">
        <v>1.3679521946768185</v>
      </c>
      <c r="M227" s="1">
        <v>0.7257931750837624</v>
      </c>
      <c r="O227" s="1">
        <v>6.3860427048427508E-3</v>
      </c>
      <c r="P227" s="1">
        <v>0.89141181093437727</v>
      </c>
      <c r="R227" s="1">
        <v>9.063577996847888E-2</v>
      </c>
      <c r="S227" s="2">
        <f t="shared" si="48"/>
        <v>0.36877313507980758</v>
      </c>
      <c r="T227" s="4">
        <f t="shared" si="49"/>
        <v>0.13599362515659</v>
      </c>
      <c r="U227" s="1">
        <f t="shared" si="40"/>
        <v>0.11725098840450388</v>
      </c>
      <c r="V227" s="6">
        <f>2*sigma/alpha*corel*(B227/12-1/alpha*(1-EXP(-alpha*Output!B227/12)))</f>
        <v>0.64610079987491131</v>
      </c>
      <c r="W227" s="5">
        <f t="shared" si="50"/>
        <v>-1.8742636752086123E-2</v>
      </c>
      <c r="X227" s="1">
        <f t="shared" si="51"/>
        <v>1.7669160897492011</v>
      </c>
      <c r="Y227" s="3">
        <f t="shared" si="41"/>
        <v>1.8976476665685211E-2</v>
      </c>
      <c r="Z227" s="1">
        <f t="shared" si="42"/>
        <v>8.6920661511451558E-2</v>
      </c>
      <c r="AA227" s="8">
        <f t="shared" si="47"/>
        <v>17.916666666666682</v>
      </c>
      <c r="AB227" s="1">
        <v>18</v>
      </c>
      <c r="AC227" s="1">
        <v>6.3823510920000001E-3</v>
      </c>
      <c r="AD227" s="8">
        <f t="shared" si="43"/>
        <v>-3.6916128427506162E-2</v>
      </c>
      <c r="AE227" s="3">
        <f t="shared" si="44"/>
        <v>-5.7840955308426892E-4</v>
      </c>
      <c r="AF227" s="11">
        <f t="shared" si="45"/>
        <v>17.916666666666682</v>
      </c>
      <c r="AG227" s="1">
        <f t="shared" si="46"/>
        <v>8.6920661511451558E-2</v>
      </c>
    </row>
    <row r="228" spans="2:33" ht="15" x14ac:dyDescent="0.25">
      <c r="B228" s="1">
        <v>217</v>
      </c>
      <c r="C228" s="1">
        <v>1.0002784908133759</v>
      </c>
      <c r="D228" s="1">
        <v>1.1452625926758175</v>
      </c>
      <c r="E228" s="1">
        <v>0.87251741154766582</v>
      </c>
      <c r="G228" s="1">
        <v>0.99876385392580791</v>
      </c>
      <c r="H228" s="1">
        <v>3.226105557845345</v>
      </c>
      <c r="I228" s="1">
        <v>0.27887554300946754</v>
      </c>
      <c r="K228" s="1">
        <v>1.0000029948293263</v>
      </c>
      <c r="L228" s="1">
        <v>1.3609700742293354</v>
      </c>
      <c r="M228" s="1">
        <v>0.72947570634979098</v>
      </c>
      <c r="O228" s="1">
        <v>6.4104763393118833E-3</v>
      </c>
      <c r="P228" s="1">
        <v>0.89054398803134005</v>
      </c>
      <c r="R228" s="1">
        <v>9.0942488040596778E-2</v>
      </c>
      <c r="S228" s="2">
        <f t="shared" si="48"/>
        <v>0.37074903158631956</v>
      </c>
      <c r="T228" s="4">
        <f t="shared" si="49"/>
        <v>0.13745484442219377</v>
      </c>
      <c r="U228" s="1">
        <f t="shared" si="40"/>
        <v>0.11862732145607113</v>
      </c>
      <c r="V228" s="6">
        <f>2*sigma/alpha*corel*(B228/12-1/alpha*(1-EXP(-alpha*Output!B228/12)))</f>
        <v>0.65145557172030255</v>
      </c>
      <c r="W228" s="5">
        <f t="shared" si="50"/>
        <v>-1.882752296612264E-2</v>
      </c>
      <c r="X228" s="1">
        <f t="shared" si="51"/>
        <v>1.7862518564749639</v>
      </c>
      <c r="Y228" s="3">
        <f t="shared" si="41"/>
        <v>1.89415234083052E-2</v>
      </c>
      <c r="Z228" s="1">
        <f t="shared" si="42"/>
        <v>8.718480115995586E-2</v>
      </c>
      <c r="AA228" s="8">
        <f t="shared" si="47"/>
        <v>18.000000000000014</v>
      </c>
      <c r="AB228" s="1">
        <v>18.079999999999998</v>
      </c>
      <c r="AC228" s="1">
        <v>6.40660265E-3</v>
      </c>
      <c r="AD228" s="8">
        <f t="shared" si="43"/>
        <v>-3.8736893118833382E-2</v>
      </c>
      <c r="AE228" s="3">
        <f t="shared" si="44"/>
        <v>-6.0464016944820789E-4</v>
      </c>
      <c r="AF228" s="11">
        <f t="shared" si="45"/>
        <v>18.000000000000014</v>
      </c>
      <c r="AG228" s="1">
        <f t="shared" si="46"/>
        <v>8.718480115995586E-2</v>
      </c>
    </row>
    <row r="229" spans="2:33" ht="15" x14ac:dyDescent="0.25">
      <c r="B229" s="1">
        <v>218</v>
      </c>
      <c r="C229" s="1">
        <v>1.0002801895332891</v>
      </c>
      <c r="D229" s="1">
        <v>1.141530059796646</v>
      </c>
      <c r="E229" s="1">
        <v>0.87536868223345166</v>
      </c>
      <c r="G229" s="1">
        <v>0.99872635664050591</v>
      </c>
      <c r="H229" s="1">
        <v>3.1442010189087486</v>
      </c>
      <c r="I229" s="1">
        <v>0.28600149204821462</v>
      </c>
      <c r="K229" s="1">
        <v>0.99999667694967043</v>
      </c>
      <c r="L229" s="1">
        <v>1.3606805348114894</v>
      </c>
      <c r="M229" s="1">
        <v>0.72959809669861353</v>
      </c>
      <c r="O229" s="1">
        <v>6.4348508550066824E-3</v>
      </c>
      <c r="P229" s="1">
        <v>0.88967434248853472</v>
      </c>
      <c r="R229" s="1">
        <v>9.1235202081209707E-2</v>
      </c>
      <c r="S229" s="2">
        <f t="shared" si="48"/>
        <v>0.37268945196931735</v>
      </c>
      <c r="T229" s="4">
        <f t="shared" si="49"/>
        <v>0.13889742760919011</v>
      </c>
      <c r="U229" s="1">
        <f t="shared" si="40"/>
        <v>0.12001232737338396</v>
      </c>
      <c r="V229" s="6">
        <f>2*sigma/alpha*corel*(B229/12-1/alpha*(1-EXP(-alpha*Output!B229/12)))</f>
        <v>0.65682718845801369</v>
      </c>
      <c r="W229" s="5">
        <f t="shared" si="50"/>
        <v>-1.888510023580614E-2</v>
      </c>
      <c r="X229" s="1">
        <f t="shared" si="51"/>
        <v>1.8037392392995721</v>
      </c>
      <c r="Y229" s="3">
        <f t="shared" si="41"/>
        <v>1.8886414879456574E-2</v>
      </c>
      <c r="Z229" s="1">
        <f t="shared" si="42"/>
        <v>8.7439864822281749E-2</v>
      </c>
      <c r="AA229" s="8">
        <f t="shared" si="47"/>
        <v>18.083333333333346</v>
      </c>
      <c r="AB229" s="1">
        <v>18.170000000000002</v>
      </c>
      <c r="AC229" s="1">
        <v>6.4307747450000003E-3</v>
      </c>
      <c r="AD229" s="8">
        <f t="shared" si="43"/>
        <v>-4.0761100066821418E-2</v>
      </c>
      <c r="AE229" s="3">
        <f t="shared" si="44"/>
        <v>-6.3384431399208369E-4</v>
      </c>
      <c r="AF229" s="11">
        <f t="shared" si="45"/>
        <v>18.083333333333346</v>
      </c>
      <c r="AG229" s="1">
        <f t="shared" si="46"/>
        <v>8.7439864822281749E-2</v>
      </c>
    </row>
    <row r="230" spans="2:33" ht="15" x14ac:dyDescent="0.25">
      <c r="B230" s="1">
        <v>219</v>
      </c>
      <c r="C230" s="1">
        <v>1.0002804200139122</v>
      </c>
      <c r="D230" s="1">
        <v>1.1405362213772701</v>
      </c>
      <c r="E230" s="1">
        <v>0.87612980687005215</v>
      </c>
      <c r="G230" s="1">
        <v>0.99858062503341316</v>
      </c>
      <c r="H230" s="1">
        <v>3.1180508045080386</v>
      </c>
      <c r="I230" s="1">
        <v>0.28826042399078983</v>
      </c>
      <c r="K230" s="1">
        <v>0.99998555294515701</v>
      </c>
      <c r="L230" s="1">
        <v>1.356365160667919</v>
      </c>
      <c r="M230" s="1">
        <v>0.73190614799606368</v>
      </c>
      <c r="O230" s="1">
        <v>6.4592496271403243E-3</v>
      </c>
      <c r="P230" s="1">
        <v>0.88880154203503525</v>
      </c>
      <c r="R230" s="1">
        <v>9.1521575785491957E-2</v>
      </c>
      <c r="S230" s="2">
        <f t="shared" si="48"/>
        <v>0.37461776039749528</v>
      </c>
      <c r="T230" s="4">
        <f t="shared" si="49"/>
        <v>0.14033846640523517</v>
      </c>
      <c r="U230" s="1">
        <f t="shared" si="40"/>
        <v>0.12140600439925864</v>
      </c>
      <c r="V230" s="6">
        <f>2*sigma/alpha*corel*(B230/12-1/alpha*(1-EXP(-alpha*Output!B230/12)))</f>
        <v>0.66221559403188279</v>
      </c>
      <c r="W230" s="5">
        <f t="shared" si="50"/>
        <v>-1.8932462005976536E-2</v>
      </c>
      <c r="X230" s="1">
        <f t="shared" si="51"/>
        <v>1.8205992194152867</v>
      </c>
      <c r="Y230" s="3">
        <f t="shared" si="41"/>
        <v>1.8824115876861617E-2</v>
      </c>
      <c r="Z230" s="1">
        <f t="shared" si="42"/>
        <v>8.7691384873936046E-2</v>
      </c>
      <c r="AA230" s="8">
        <f t="shared" si="47"/>
        <v>18.166666666666679</v>
      </c>
      <c r="AB230" s="1">
        <v>18.25</v>
      </c>
      <c r="AC230" s="1">
        <v>6.4549125499999997E-3</v>
      </c>
      <c r="AD230" s="8">
        <f t="shared" si="43"/>
        <v>-4.3370771403246008E-2</v>
      </c>
      <c r="AE230" s="3">
        <f t="shared" si="44"/>
        <v>-6.7190331499140162E-4</v>
      </c>
      <c r="AF230" s="11">
        <f t="shared" si="45"/>
        <v>18.166666666666679</v>
      </c>
      <c r="AG230" s="1">
        <f t="shared" si="46"/>
        <v>8.7691384873936046E-2</v>
      </c>
    </row>
    <row r="231" spans="2:33" ht="15" x14ac:dyDescent="0.25">
      <c r="B231" s="1">
        <v>220</v>
      </c>
      <c r="C231" s="1">
        <v>1.0002785022873111</v>
      </c>
      <c r="D231" s="1">
        <v>1.1390016756606245</v>
      </c>
      <c r="E231" s="1">
        <v>0.87730854116275414</v>
      </c>
      <c r="G231" s="1">
        <v>0.99826186930168792</v>
      </c>
      <c r="H231" s="1">
        <v>3.0541021353752318</v>
      </c>
      <c r="I231" s="1">
        <v>0.2941536634980787</v>
      </c>
      <c r="K231" s="1">
        <v>0.99999679129872221</v>
      </c>
      <c r="L231" s="1">
        <v>1.3613138911575076</v>
      </c>
      <c r="M231" s="1">
        <v>0.72919931727502962</v>
      </c>
      <c r="O231" s="1">
        <v>6.4836614475950322E-3</v>
      </c>
      <c r="P231" s="1">
        <v>0.8879257746945538</v>
      </c>
      <c r="R231" s="1">
        <v>9.1850704311535941E-2</v>
      </c>
      <c r="S231" s="2">
        <f t="shared" si="48"/>
        <v>0.37667341072750171</v>
      </c>
      <c r="T231" s="4">
        <f t="shared" si="49"/>
        <v>0.1418828583490892</v>
      </c>
      <c r="U231" s="1">
        <f t="shared" si="40"/>
        <v>0.1228083506022668</v>
      </c>
      <c r="V231" s="6">
        <f>2*sigma/alpha*corel*(B231/12-1/alpha*(1-EXP(-alpha*Output!B231/12)))</f>
        <v>0.66762073257228938</v>
      </c>
      <c r="W231" s="5">
        <f t="shared" si="50"/>
        <v>-1.90745077468224E-2</v>
      </c>
      <c r="X231" s="1">
        <f t="shared" si="51"/>
        <v>1.8445146773273362</v>
      </c>
      <c r="Y231" s="3">
        <f t="shared" si="41"/>
        <v>1.8832046636013584E-2</v>
      </c>
      <c r="Z231" s="1">
        <f t="shared" si="42"/>
        <v>8.7971955763523929E-2</v>
      </c>
      <c r="AA231" s="8">
        <f t="shared" si="47"/>
        <v>18.250000000000011</v>
      </c>
      <c r="AB231" s="1">
        <v>18.329999999999998</v>
      </c>
      <c r="AC231" s="1">
        <v>6.4790696439999997E-3</v>
      </c>
      <c r="AD231" s="8">
        <f t="shared" si="43"/>
        <v>-4.5918035950325009E-2</v>
      </c>
      <c r="AE231" s="3">
        <f t="shared" si="44"/>
        <v>-7.0871341833542135E-4</v>
      </c>
      <c r="AF231" s="11">
        <f t="shared" si="45"/>
        <v>18.250000000000011</v>
      </c>
      <c r="AG231" s="1">
        <f t="shared" si="46"/>
        <v>8.7971955763523929E-2</v>
      </c>
    </row>
    <row r="232" spans="2:33" ht="15" x14ac:dyDescent="0.25">
      <c r="B232" s="1">
        <v>221</v>
      </c>
      <c r="C232" s="1">
        <v>1.0002813619144</v>
      </c>
      <c r="D232" s="1">
        <v>1.1416713016296027</v>
      </c>
      <c r="E232" s="1">
        <v>0.87525544297071134</v>
      </c>
      <c r="G232" s="1">
        <v>0.99832553942166269</v>
      </c>
      <c r="H232" s="1">
        <v>3.1414208885800576</v>
      </c>
      <c r="I232" s="1">
        <v>0.28583888271149394</v>
      </c>
      <c r="K232" s="1">
        <v>0.99999390352962247</v>
      </c>
      <c r="L232" s="1">
        <v>1.3611670692733151</v>
      </c>
      <c r="M232" s="1">
        <v>0.72926620167865008</v>
      </c>
      <c r="O232" s="1">
        <v>6.5081044054279853E-3</v>
      </c>
      <c r="P232" s="1">
        <v>0.88704675252374254</v>
      </c>
      <c r="R232" s="1">
        <v>9.2170423325551948E-2</v>
      </c>
      <c r="S232" s="2">
        <f t="shared" si="48"/>
        <v>0.37870854783952634</v>
      </c>
      <c r="T232" s="4">
        <f t="shared" si="49"/>
        <v>0.14342016420672282</v>
      </c>
      <c r="U232" s="1">
        <f t="shared" si="40"/>
        <v>0.12421936387850874</v>
      </c>
      <c r="V232" s="6">
        <f>2*sigma/alpha*corel*(B232/12-1/alpha*(1-EXP(-alpha*Output!B232/12)))</f>
        <v>0.67304254839553779</v>
      </c>
      <c r="W232" s="5">
        <f t="shared" si="50"/>
        <v>-1.9200800328214085E-2</v>
      </c>
      <c r="X232" s="1">
        <f t="shared" si="51"/>
        <v>1.8674452294625308</v>
      </c>
      <c r="Y232" s="3">
        <f t="shared" si="41"/>
        <v>1.8828120782917436E-2</v>
      </c>
      <c r="Z232" s="1">
        <f t="shared" si="42"/>
        <v>8.8246927586286744E-2</v>
      </c>
      <c r="AA232" s="8">
        <f t="shared" si="47"/>
        <v>18.333333333333343</v>
      </c>
      <c r="AB232" s="1">
        <v>18.420000000000002</v>
      </c>
      <c r="AC232" s="1">
        <v>6.5032996079999999E-3</v>
      </c>
      <c r="AD232" s="8">
        <f t="shared" si="43"/>
        <v>-4.8047974279853689E-2</v>
      </c>
      <c r="AE232" s="3">
        <f t="shared" si="44"/>
        <v>-7.3882455331979061E-4</v>
      </c>
      <c r="AF232" s="11">
        <f t="shared" si="45"/>
        <v>18.333333333333343</v>
      </c>
      <c r="AG232" s="1">
        <f t="shared" si="46"/>
        <v>8.8246927586286744E-2</v>
      </c>
    </row>
    <row r="233" spans="2:33" ht="15" x14ac:dyDescent="0.25">
      <c r="B233" s="1">
        <v>222</v>
      </c>
      <c r="C233" s="1">
        <v>1.0002858585581174</v>
      </c>
      <c r="D233" s="1">
        <v>1.1453175848437804</v>
      </c>
      <c r="E233" s="1">
        <v>0.87246730498927327</v>
      </c>
      <c r="G233" s="1">
        <v>0.9985171754994473</v>
      </c>
      <c r="H233" s="1">
        <v>3.2321589834745734</v>
      </c>
      <c r="I233" s="1">
        <v>0.27767983150305969</v>
      </c>
      <c r="K233" s="1">
        <v>0.99997993201977853</v>
      </c>
      <c r="L233" s="1">
        <v>1.3511507394857989</v>
      </c>
      <c r="M233" s="1">
        <v>0.73466482727893656</v>
      </c>
      <c r="O233" s="1">
        <v>6.5327133400058272E-3</v>
      </c>
      <c r="P233" s="1">
        <v>0.88616226944391308</v>
      </c>
      <c r="R233" s="1">
        <v>9.2460811032439985E-2</v>
      </c>
      <c r="S233" s="2">
        <f t="shared" si="48"/>
        <v>0.38066913658477375</v>
      </c>
      <c r="T233" s="4">
        <f t="shared" si="49"/>
        <v>0.14490899154819714</v>
      </c>
      <c r="U233" s="1">
        <f t="shared" si="40"/>
        <v>0.12563904195337861</v>
      </c>
      <c r="V233" s="6">
        <f>2*sigma/alpha*corel*(B233/12-1/alpha*(1-EXP(-alpha*Output!B233/12)))</f>
        <v>0.67848098600323237</v>
      </c>
      <c r="W233" s="5">
        <f t="shared" si="50"/>
        <v>-1.9269949594818536E-2</v>
      </c>
      <c r="X233" s="1">
        <f t="shared" si="51"/>
        <v>1.8863127183844903</v>
      </c>
      <c r="Y233" s="3">
        <f t="shared" si="41"/>
        <v>1.8782432875893543E-2</v>
      </c>
      <c r="Z233" s="1">
        <f t="shared" si="42"/>
        <v>8.8503776541256754E-2</v>
      </c>
      <c r="AA233" s="8">
        <f t="shared" si="47"/>
        <v>18.416666666666675</v>
      </c>
      <c r="AB233" s="1">
        <v>18.5</v>
      </c>
      <c r="AC233" s="1">
        <v>6.5276560219999996E-3</v>
      </c>
      <c r="AD233" s="8">
        <f t="shared" si="43"/>
        <v>-5.0573180058275519E-2</v>
      </c>
      <c r="AE233" s="3">
        <f t="shared" si="44"/>
        <v>-7.7475252813306893E-4</v>
      </c>
      <c r="AF233" s="11">
        <f t="shared" si="45"/>
        <v>18.416666666666675</v>
      </c>
      <c r="AG233" s="1">
        <f t="shared" si="46"/>
        <v>8.8503776541256754E-2</v>
      </c>
    </row>
    <row r="234" spans="2:33" ht="15" x14ac:dyDescent="0.25">
      <c r="B234" s="1">
        <v>223</v>
      </c>
      <c r="C234" s="1">
        <v>1.0002892946746709</v>
      </c>
      <c r="D234" s="1">
        <v>1.1438241403435989</v>
      </c>
      <c r="E234" s="1">
        <v>0.87360481452950955</v>
      </c>
      <c r="G234" s="1">
        <v>0.99862921759360801</v>
      </c>
      <c r="H234" s="1">
        <v>3.1910436552294708</v>
      </c>
      <c r="I234" s="1">
        <v>0.28112141478457126</v>
      </c>
      <c r="K234" s="1">
        <v>0.99998015660615491</v>
      </c>
      <c r="L234" s="1">
        <v>1.3477766069895201</v>
      </c>
      <c r="M234" s="1">
        <v>0.73645641862347355</v>
      </c>
      <c r="O234" s="1">
        <v>6.5574490021252339E-3</v>
      </c>
      <c r="P234" s="1">
        <v>0.88527295249944704</v>
      </c>
      <c r="R234" s="1">
        <v>9.2783116667135901E-2</v>
      </c>
      <c r="S234" s="2">
        <f t="shared" si="48"/>
        <v>0.38272898819517431</v>
      </c>
      <c r="T234" s="4">
        <f t="shared" si="49"/>
        <v>0.14648147840490189</v>
      </c>
      <c r="U234" s="1">
        <f t="shared" si="40"/>
        <v>0.1270673823833115</v>
      </c>
      <c r="V234" s="6">
        <f>2*sigma/alpha*corel*(B234/12-1/alpha*(1-EXP(-alpha*Output!B234/12)))</f>
        <v>0.68393599008166639</v>
      </c>
      <c r="W234" s="5">
        <f t="shared" si="50"/>
        <v>-1.9414096021590388E-2</v>
      </c>
      <c r="X234" s="1">
        <f t="shared" si="51"/>
        <v>1.9108829094672082</v>
      </c>
      <c r="Y234" s="3">
        <f t="shared" si="41"/>
        <v>1.8791324517199323E-2</v>
      </c>
      <c r="Z234" s="1">
        <f t="shared" si="42"/>
        <v>8.878294540048641E-2</v>
      </c>
      <c r="AA234" s="8">
        <f t="shared" si="47"/>
        <v>18.500000000000007</v>
      </c>
      <c r="AB234" s="1">
        <v>18.579999999999998</v>
      </c>
      <c r="AC234" s="1">
        <v>6.5521924670000004E-3</v>
      </c>
      <c r="AD234" s="8">
        <f t="shared" si="43"/>
        <v>-5.2565351252335454E-2</v>
      </c>
      <c r="AE234" s="3">
        <f t="shared" si="44"/>
        <v>-8.0225590925602234E-4</v>
      </c>
      <c r="AF234" s="11">
        <f t="shared" si="45"/>
        <v>18.500000000000007</v>
      </c>
      <c r="AG234" s="1">
        <f t="shared" si="46"/>
        <v>8.878294540048641E-2</v>
      </c>
    </row>
    <row r="235" spans="2:33" ht="15" x14ac:dyDescent="0.25">
      <c r="B235" s="1">
        <v>224</v>
      </c>
      <c r="C235" s="1">
        <v>1.0002920006454208</v>
      </c>
      <c r="D235" s="1">
        <v>1.1433617760265116</v>
      </c>
      <c r="E235" s="1">
        <v>0.87395645849745096</v>
      </c>
      <c r="G235" s="1">
        <v>0.99866868178159163</v>
      </c>
      <c r="H235" s="1">
        <v>3.1858298228401334</v>
      </c>
      <c r="I235" s="1">
        <v>0.28144512461596521</v>
      </c>
      <c r="K235" s="1">
        <v>0.99997542390137517</v>
      </c>
      <c r="L235" s="1">
        <v>1.3508579295645244</v>
      </c>
      <c r="M235" s="1">
        <v>0.73476483423016958</v>
      </c>
      <c r="O235" s="1">
        <v>6.5824689029291544E-3</v>
      </c>
      <c r="P235" s="1">
        <v>0.88437618974682386</v>
      </c>
      <c r="R235" s="1">
        <v>9.31132573049019E-2</v>
      </c>
      <c r="S235" s="2">
        <f t="shared" si="48"/>
        <v>0.3848229491761116</v>
      </c>
      <c r="T235" s="4">
        <f t="shared" si="49"/>
        <v>0.14808870221260018</v>
      </c>
      <c r="U235" s="1">
        <f t="shared" si="40"/>
        <v>0.1285043825575185</v>
      </c>
      <c r="V235" s="6">
        <f>2*sigma/alpha*corel*(B235/12-1/alpha*(1-EXP(-alpha*Output!B235/12)))</f>
        <v>0.68940750550120478</v>
      </c>
      <c r="W235" s="5">
        <f t="shared" si="50"/>
        <v>-1.9584319655081672E-2</v>
      </c>
      <c r="X235" s="1">
        <f t="shared" si="51"/>
        <v>1.9375785762208253</v>
      </c>
      <c r="Y235" s="3">
        <f t="shared" si="41"/>
        <v>1.8818619919603922E-2</v>
      </c>
      <c r="Z235" s="1">
        <f t="shared" si="42"/>
        <v>8.9069205300248783E-2</v>
      </c>
      <c r="AA235" s="8">
        <f t="shared" si="47"/>
        <v>18.583333333333339</v>
      </c>
      <c r="AB235" s="1">
        <v>18.670000000000002</v>
      </c>
      <c r="AC235" s="1">
        <v>6.5769627009999998E-3</v>
      </c>
      <c r="AD235" s="8">
        <f t="shared" si="43"/>
        <v>-5.5062019291545611E-2</v>
      </c>
      <c r="AE235" s="3">
        <f t="shared" si="44"/>
        <v>-8.3719524946026613E-4</v>
      </c>
      <c r="AF235" s="11">
        <f t="shared" si="45"/>
        <v>18.583333333333339</v>
      </c>
      <c r="AG235" s="1">
        <f t="shared" si="46"/>
        <v>8.9069205300248783E-2</v>
      </c>
    </row>
    <row r="236" spans="2:33" ht="15" x14ac:dyDescent="0.25">
      <c r="B236" s="1">
        <v>225</v>
      </c>
      <c r="C236" s="1">
        <v>1.0002931932193526</v>
      </c>
      <c r="D236" s="1">
        <v>1.1459751091199761</v>
      </c>
      <c r="E236" s="1">
        <v>0.87196182229767161</v>
      </c>
      <c r="G236" s="1">
        <v>0.99859548771802542</v>
      </c>
      <c r="H236" s="1">
        <v>3.2519371023205963</v>
      </c>
      <c r="I236" s="1">
        <v>0.27559021817671991</v>
      </c>
      <c r="K236" s="1">
        <v>0.99997768517603725</v>
      </c>
      <c r="L236" s="1">
        <v>1.343117680720622</v>
      </c>
      <c r="M236" s="1">
        <v>0.73897357853220258</v>
      </c>
      <c r="O236" s="1">
        <v>6.6078443198106327E-3</v>
      </c>
      <c r="P236" s="1">
        <v>0.88347076213441333</v>
      </c>
      <c r="R236" s="1">
        <v>9.3426078496259696E-2</v>
      </c>
      <c r="S236" s="2">
        <f t="shared" si="48"/>
        <v>0.38688075280034762</v>
      </c>
      <c r="T236" s="4">
        <f t="shared" si="49"/>
        <v>0.14967671688736367</v>
      </c>
      <c r="U236" s="1">
        <f t="shared" si="40"/>
        <v>0.1299500396997102</v>
      </c>
      <c r="V236" s="6">
        <f>2*sigma/alpha*corel*(B236/12-1/alpha*(1-EXP(-alpha*Output!B236/12)))</f>
        <v>0.69489547731567081</v>
      </c>
      <c r="W236" s="5">
        <f t="shared" si="50"/>
        <v>-1.9726677187653474E-2</v>
      </c>
      <c r="X236" s="1">
        <f t="shared" si="51"/>
        <v>1.9623805134677845</v>
      </c>
      <c r="Y236" s="3">
        <f t="shared" si="41"/>
        <v>1.8825451948673674E-2</v>
      </c>
      <c r="Z236" s="1">
        <f t="shared" si="42"/>
        <v>8.9346282709426295E-2</v>
      </c>
      <c r="AA236" s="8">
        <f t="shared" si="47"/>
        <v>18.666666666666671</v>
      </c>
      <c r="AB236" s="1">
        <v>18.75</v>
      </c>
      <c r="AC236" s="1">
        <v>6.6020211879999997E-3</v>
      </c>
      <c r="AD236" s="8">
        <f t="shared" si="43"/>
        <v>-5.8231318106330074E-2</v>
      </c>
      <c r="AE236" s="3">
        <f t="shared" si="44"/>
        <v>-8.8202258744901933E-4</v>
      </c>
      <c r="AF236" s="11">
        <f t="shared" si="45"/>
        <v>18.666666666666671</v>
      </c>
      <c r="AG236" s="1">
        <f t="shared" si="46"/>
        <v>8.9346282709426295E-2</v>
      </c>
    </row>
    <row r="237" spans="2:33" ht="15" x14ac:dyDescent="0.25">
      <c r="B237" s="1">
        <v>226</v>
      </c>
      <c r="C237" s="1">
        <v>1.0002955715367143</v>
      </c>
      <c r="D237" s="1">
        <v>1.1451951958346853</v>
      </c>
      <c r="E237" s="1">
        <v>0.8725540300792417</v>
      </c>
      <c r="G237" s="1">
        <v>0.99860947855619508</v>
      </c>
      <c r="H237" s="1">
        <v>3.2314856281644997</v>
      </c>
      <c r="I237" s="1">
        <v>0.27720007503150357</v>
      </c>
      <c r="K237" s="1">
        <v>0.99998132478147495</v>
      </c>
      <c r="L237" s="1">
        <v>1.3372632803093534</v>
      </c>
      <c r="M237" s="1">
        <v>0.74218157413602626</v>
      </c>
      <c r="O237" s="1">
        <v>6.6335443095843407E-3</v>
      </c>
      <c r="P237" s="1">
        <v>0.88255713402645253</v>
      </c>
      <c r="R237" s="1">
        <v>9.3683654900455132E-2</v>
      </c>
      <c r="S237" s="2">
        <f t="shared" si="48"/>
        <v>0.38879311350825341</v>
      </c>
      <c r="T237" s="4">
        <f t="shared" si="49"/>
        <v>0.15116008511144161</v>
      </c>
      <c r="U237" s="1">
        <f t="shared" si="40"/>
        <v>0.13140435086980284</v>
      </c>
      <c r="V237" s="6">
        <f>2*sigma/alpha*corel*(B237/12-1/alpha*(1-EXP(-alpha*Output!B237/12)))</f>
        <v>0.70039985076173816</v>
      </c>
      <c r="W237" s="5">
        <f t="shared" si="50"/>
        <v>-1.9755734241638762E-2</v>
      </c>
      <c r="X237" s="1">
        <f t="shared" si="51"/>
        <v>1.978825263817185</v>
      </c>
      <c r="Y237" s="3">
        <f t="shared" si="41"/>
        <v>1.8751523652906998E-2</v>
      </c>
      <c r="Z237" s="1">
        <f t="shared" si="42"/>
        <v>8.9589057420295923E-2</v>
      </c>
      <c r="AA237" s="8">
        <f t="shared" si="47"/>
        <v>18.750000000000004</v>
      </c>
      <c r="AB237" s="1">
        <v>18.829999999999998</v>
      </c>
      <c r="AC237" s="1">
        <v>6.6274225689999999E-3</v>
      </c>
      <c r="AD237" s="8">
        <f t="shared" si="43"/>
        <v>-6.1217405843408054E-2</v>
      </c>
      <c r="AE237" s="3">
        <f t="shared" si="44"/>
        <v>-9.2369854503852834E-4</v>
      </c>
      <c r="AF237" s="11">
        <f t="shared" si="45"/>
        <v>18.750000000000004</v>
      </c>
      <c r="AG237" s="1">
        <f t="shared" si="46"/>
        <v>8.9589057420295923E-2</v>
      </c>
    </row>
    <row r="238" spans="2:33" ht="15" x14ac:dyDescent="0.25">
      <c r="B238" s="1">
        <v>227</v>
      </c>
      <c r="C238" s="1">
        <v>1.0002975662487961</v>
      </c>
      <c r="D238" s="1">
        <v>1.143732554149822</v>
      </c>
      <c r="E238" s="1">
        <v>0.87366825553302829</v>
      </c>
      <c r="G238" s="1">
        <v>0.99860938467990368</v>
      </c>
      <c r="H238" s="1">
        <v>3.1796228122841521</v>
      </c>
      <c r="I238" s="1">
        <v>0.28158506013489842</v>
      </c>
      <c r="K238" s="1">
        <v>0.99998487624936816</v>
      </c>
      <c r="L238" s="1">
        <v>1.3444620337162547</v>
      </c>
      <c r="M238" s="1">
        <v>0.73816928870549126</v>
      </c>
      <c r="O238" s="1">
        <v>6.6596531193771555E-3</v>
      </c>
      <c r="P238" s="1">
        <v>0.88163385621349988</v>
      </c>
      <c r="R238" s="1">
        <v>9.3946221611281869E-2</v>
      </c>
      <c r="S238" s="2">
        <f t="shared" si="48"/>
        <v>0.39073409011035243</v>
      </c>
      <c r="T238" s="4">
        <f t="shared" si="49"/>
        <v>0.15267312917436501</v>
      </c>
      <c r="U238" s="1">
        <f t="shared" si="40"/>
        <v>0.13286731296561571</v>
      </c>
      <c r="V238" s="6">
        <f>2*sigma/alpha*corel*(B238/12-1/alpha*(1-EXP(-alpha*Output!B238/12)))</f>
        <v>0.70592057125832097</v>
      </c>
      <c r="W238" s="5">
        <f t="shared" si="50"/>
        <v>-1.9805816208749299E-2</v>
      </c>
      <c r="X238" s="1">
        <f t="shared" si="51"/>
        <v>1.9969639460543711</v>
      </c>
      <c r="Y238" s="3">
        <f t="shared" si="41"/>
        <v>1.8693017875071161E-2</v>
      </c>
      <c r="Z238" s="1">
        <f t="shared" si="42"/>
        <v>8.9837777197906601E-2</v>
      </c>
      <c r="AA238" s="8">
        <f t="shared" si="47"/>
        <v>18.833333333333336</v>
      </c>
      <c r="AB238" s="1">
        <v>18.920000000000002</v>
      </c>
      <c r="AC238" s="1">
        <v>6.6532214870000002E-3</v>
      </c>
      <c r="AD238" s="8">
        <f t="shared" si="43"/>
        <v>-6.4316323771552997E-2</v>
      </c>
      <c r="AE238" s="3">
        <f t="shared" si="44"/>
        <v>-9.6669446368534808E-4</v>
      </c>
      <c r="AF238" s="11">
        <f t="shared" si="45"/>
        <v>18.833333333333336</v>
      </c>
      <c r="AG238" s="1">
        <f t="shared" si="46"/>
        <v>8.9837777197906601E-2</v>
      </c>
    </row>
    <row r="239" spans="2:33" ht="15" x14ac:dyDescent="0.25">
      <c r="B239" s="1">
        <v>228</v>
      </c>
      <c r="C239" s="1">
        <v>1.000302819960909</v>
      </c>
      <c r="D239" s="1">
        <v>1.1470943947567276</v>
      </c>
      <c r="E239" s="1">
        <v>0.8711061399249489</v>
      </c>
      <c r="G239" s="1">
        <v>0.99885645217854457</v>
      </c>
      <c r="H239" s="1">
        <v>3.2787097741890889</v>
      </c>
      <c r="I239" s="1">
        <v>0.27294295106394106</v>
      </c>
      <c r="K239" s="1">
        <v>0.99998599382273667</v>
      </c>
      <c r="L239" s="1">
        <v>1.3396817903929987</v>
      </c>
      <c r="M239" s="1">
        <v>0.74079719762143692</v>
      </c>
      <c r="O239" s="1">
        <v>6.6862486014234255E-3</v>
      </c>
      <c r="P239" s="1">
        <v>0.88069956823136319</v>
      </c>
      <c r="R239" s="1">
        <v>9.4293583652903509E-2</v>
      </c>
      <c r="S239" s="2">
        <f t="shared" si="48"/>
        <v>0.39293450982613753</v>
      </c>
      <c r="T239" s="4">
        <f t="shared" si="49"/>
        <v>0.15439752901230697</v>
      </c>
      <c r="U239" s="1">
        <f t="shared" si="40"/>
        <v>0.13433892272454884</v>
      </c>
      <c r="V239" s="6">
        <f>2*sigma/alpha*corel*(B239/12-1/alpha*(1-EXP(-alpha*Output!B239/12)))</f>
        <v>0.71145758440596607</v>
      </c>
      <c r="W239" s="5">
        <f t="shared" si="50"/>
        <v>-2.0058606287758129E-2</v>
      </c>
      <c r="X239" s="1">
        <f t="shared" si="51"/>
        <v>2.0306259722783899</v>
      </c>
      <c r="Y239" s="3">
        <f t="shared" si="41"/>
        <v>1.8777440966955404E-2</v>
      </c>
      <c r="Z239" s="1">
        <f t="shared" si="42"/>
        <v>9.0145358934832803E-2</v>
      </c>
      <c r="AA239" s="8">
        <f t="shared" si="47"/>
        <v>18.916666666666668</v>
      </c>
      <c r="AB239" s="1">
        <v>19</v>
      </c>
      <c r="AC239" s="1">
        <v>6.6794725839999999E-3</v>
      </c>
      <c r="AD239" s="8">
        <f t="shared" si="43"/>
        <v>-6.7760174234255538E-2</v>
      </c>
      <c r="AE239" s="3">
        <f t="shared" si="44"/>
        <v>-1.0144539614784583E-3</v>
      </c>
      <c r="AF239" s="11">
        <f t="shared" si="45"/>
        <v>18.916666666666668</v>
      </c>
      <c r="AG239" s="1">
        <f t="shared" si="46"/>
        <v>9.0145358934832803E-2</v>
      </c>
    </row>
    <row r="240" spans="2:33" ht="15" x14ac:dyDescent="0.25">
      <c r="B240" s="1">
        <v>229</v>
      </c>
      <c r="C240" s="1">
        <v>1.0003052731320523</v>
      </c>
      <c r="D240" s="1">
        <v>1.1479152792560663</v>
      </c>
      <c r="E240" s="1">
        <v>0.87048159048745499</v>
      </c>
      <c r="G240" s="1">
        <v>0.99888713076465141</v>
      </c>
      <c r="H240" s="1">
        <v>3.2855672136706895</v>
      </c>
      <c r="I240" s="1">
        <v>0.2722413886471915</v>
      </c>
      <c r="K240" s="1">
        <v>0.99999075160044038</v>
      </c>
      <c r="L240" s="1">
        <v>1.3464818235391893</v>
      </c>
      <c r="M240" s="1">
        <v>0.73701833297676811</v>
      </c>
      <c r="O240" s="1">
        <v>6.7133540769864384E-3</v>
      </c>
      <c r="P240" s="1">
        <v>0.87975380857322161</v>
      </c>
      <c r="R240" s="1">
        <v>9.4570099906730848E-2</v>
      </c>
      <c r="S240" s="2">
        <f t="shared" si="48"/>
        <v>0.39494875974544374</v>
      </c>
      <c r="T240" s="4">
        <f t="shared" si="49"/>
        <v>0.15598452282446423</v>
      </c>
      <c r="U240" s="1">
        <f t="shared" si="40"/>
        <v>0.13581917672525323</v>
      </c>
      <c r="V240" s="6">
        <f>2*sigma/alpha*corel*(B240/12-1/alpha*(1-EXP(-alpha*Output!B240/12)))</f>
        <v>0.71701083598625148</v>
      </c>
      <c r="W240" s="5">
        <f t="shared" si="50"/>
        <v>-2.0165346099211001E-2</v>
      </c>
      <c r="X240" s="1">
        <f t="shared" si="51"/>
        <v>2.0533926244948097</v>
      </c>
      <c r="Y240" s="3">
        <f t="shared" si="41"/>
        <v>1.8758660343317978E-2</v>
      </c>
      <c r="Z240" s="1">
        <f t="shared" si="42"/>
        <v>9.0409410229524936E-2</v>
      </c>
      <c r="AA240" s="8">
        <f t="shared" si="47"/>
        <v>19</v>
      </c>
      <c r="AB240" s="1">
        <v>19.079999999999998</v>
      </c>
      <c r="AC240" s="1">
        <v>6.7062305009999998E-3</v>
      </c>
      <c r="AD240" s="8">
        <f t="shared" si="43"/>
        <v>-7.1235759864386045E-2</v>
      </c>
      <c r="AE240" s="3">
        <f t="shared" si="44"/>
        <v>-1.0622324993714981E-3</v>
      </c>
      <c r="AF240" s="11">
        <f t="shared" si="45"/>
        <v>19</v>
      </c>
      <c r="AG240" s="1">
        <f t="shared" si="46"/>
        <v>9.0409410229524936E-2</v>
      </c>
    </row>
    <row r="241" spans="2:33" ht="15" x14ac:dyDescent="0.25">
      <c r="B241" s="1">
        <v>230</v>
      </c>
      <c r="C241" s="1">
        <v>1.000307520044756</v>
      </c>
      <c r="D241" s="1">
        <v>1.1452527122881435</v>
      </c>
      <c r="E241" s="1">
        <v>0.87250373483920951</v>
      </c>
      <c r="G241" s="1">
        <v>0.9988959554137633</v>
      </c>
      <c r="H241" s="1">
        <v>3.21347201164305</v>
      </c>
      <c r="I241" s="1">
        <v>0.27821442197576007</v>
      </c>
      <c r="K241" s="1">
        <v>0.99999252418842643</v>
      </c>
      <c r="L241" s="1">
        <v>1.3466184451950471</v>
      </c>
      <c r="M241" s="1">
        <v>0.73692736822823868</v>
      </c>
      <c r="O241" s="1">
        <v>6.7407905090025493E-3</v>
      </c>
      <c r="P241" s="1">
        <v>0.87879951992557592</v>
      </c>
      <c r="R241" s="1">
        <v>9.4847597787200283E-2</v>
      </c>
      <c r="S241" s="2">
        <f t="shared" si="48"/>
        <v>0.39697897364028134</v>
      </c>
      <c r="T241" s="4">
        <f t="shared" si="49"/>
        <v>0.15759230551249118</v>
      </c>
      <c r="U241" s="1">
        <f t="shared" si="40"/>
        <v>0.13730807138928913</v>
      </c>
      <c r="V241" s="6">
        <f>2*sigma/alpha*corel*(B241/12-1/alpha*(1-EXP(-alpha*Output!B241/12)))</f>
        <v>0.7225802719611818</v>
      </c>
      <c r="W241" s="5">
        <f t="shared" si="50"/>
        <v>-2.0284234123202044E-2</v>
      </c>
      <c r="X241" s="1">
        <f t="shared" si="51"/>
        <v>2.0772468655396521</v>
      </c>
      <c r="Y241" s="3">
        <f t="shared" si="41"/>
        <v>1.8748315944322521E-2</v>
      </c>
      <c r="Z241" s="1">
        <f t="shared" si="42"/>
        <v>9.0676387467355429E-2</v>
      </c>
      <c r="AA241" s="8">
        <f t="shared" si="47"/>
        <v>19.083333333333332</v>
      </c>
      <c r="AB241" s="1">
        <v>19.170000000000002</v>
      </c>
      <c r="AC241" s="1">
        <v>6.7335042729999997E-3</v>
      </c>
      <c r="AD241" s="8">
        <f t="shared" si="43"/>
        <v>-7.2862360025495454E-2</v>
      </c>
      <c r="AE241" s="3">
        <f t="shared" si="44"/>
        <v>-1.082086786781422E-3</v>
      </c>
      <c r="AF241" s="11">
        <f t="shared" si="45"/>
        <v>19.083333333333332</v>
      </c>
      <c r="AG241" s="1">
        <f t="shared" si="46"/>
        <v>9.0676387467355429E-2</v>
      </c>
    </row>
    <row r="242" spans="2:33" ht="15" x14ac:dyDescent="0.25">
      <c r="B242" s="1">
        <v>231</v>
      </c>
      <c r="C242" s="1">
        <v>1.0003145692414548</v>
      </c>
      <c r="D242" s="1">
        <v>1.1463094225256187</v>
      </c>
      <c r="E242" s="1">
        <v>0.87169781784646572</v>
      </c>
      <c r="G242" s="1">
        <v>0.99928021291721925</v>
      </c>
      <c r="H242" s="1">
        <v>3.2540440130129693</v>
      </c>
      <c r="I242" s="1">
        <v>0.27461255910969246</v>
      </c>
      <c r="K242" s="1">
        <v>0.999987579929003</v>
      </c>
      <c r="L242" s="1">
        <v>1.3570983228940929</v>
      </c>
      <c r="M242" s="1">
        <v>0.73121013459432549</v>
      </c>
      <c r="O242" s="1">
        <v>6.7683067854398546E-3</v>
      </c>
      <c r="P242" s="1">
        <v>0.87784090301680695</v>
      </c>
      <c r="R242" s="1">
        <v>9.5134078597528635E-2</v>
      </c>
      <c r="S242" s="2">
        <f t="shared" si="48"/>
        <v>0.39904280626279776</v>
      </c>
      <c r="T242" s="4">
        <f t="shared" si="49"/>
        <v>0.15923516123008874</v>
      </c>
      <c r="U242" s="1">
        <f t="shared" si="40"/>
        <v>0.13880560298276157</v>
      </c>
      <c r="V242" s="6">
        <f>2*sigma/alpha*corel*(B242/12-1/alpha*(1-EXP(-alpha*Output!B242/12)))</f>
        <v>0.72816583847258798</v>
      </c>
      <c r="W242" s="5">
        <f t="shared" si="50"/>
        <v>-2.0429558247327173E-2</v>
      </c>
      <c r="X242" s="1">
        <f t="shared" si="51"/>
        <v>2.1033014733626794</v>
      </c>
      <c r="Y242" s="3">
        <f t="shared" si="41"/>
        <v>1.8756117021283322E-2</v>
      </c>
      <c r="Z242" s="1">
        <f t="shared" si="42"/>
        <v>9.0950296467560102E-2</v>
      </c>
      <c r="AA242" s="8">
        <f t="shared" si="47"/>
        <v>19.166666666666664</v>
      </c>
      <c r="AB242" s="1">
        <v>19.25</v>
      </c>
      <c r="AC242" s="1">
        <v>6.7611205080000004E-3</v>
      </c>
      <c r="AD242" s="8">
        <f t="shared" si="43"/>
        <v>-7.1862774398542481E-2</v>
      </c>
      <c r="AE242" s="3">
        <f t="shared" si="44"/>
        <v>-1.0628826141097748E-3</v>
      </c>
      <c r="AF242" s="11">
        <f t="shared" si="45"/>
        <v>19.166666666666664</v>
      </c>
      <c r="AG242" s="1">
        <f t="shared" si="46"/>
        <v>9.0950296467560102E-2</v>
      </c>
    </row>
    <row r="243" spans="2:33" ht="15" x14ac:dyDescent="0.25">
      <c r="B243" s="1">
        <v>232</v>
      </c>
      <c r="C243" s="1">
        <v>1.0003192337378173</v>
      </c>
      <c r="D243" s="1">
        <v>1.1464503735125533</v>
      </c>
      <c r="E243" s="1">
        <v>0.87158903793935039</v>
      </c>
      <c r="G243" s="1">
        <v>0.99947426039715614</v>
      </c>
      <c r="H243" s="1">
        <v>3.2567219208798845</v>
      </c>
      <c r="I243" s="1">
        <v>0.27425389361673891</v>
      </c>
      <c r="K243" s="1">
        <v>0.99999273784505449</v>
      </c>
      <c r="L243" s="1">
        <v>1.3491703053424629</v>
      </c>
      <c r="M243" s="1">
        <v>0.73549871627962504</v>
      </c>
      <c r="O243" s="1">
        <v>6.7957242415192902E-3</v>
      </c>
      <c r="P243" s="1">
        <v>0.87688098567677675</v>
      </c>
      <c r="R243" s="1">
        <v>9.5472094765403595E-2</v>
      </c>
      <c r="S243" s="2">
        <f t="shared" si="48"/>
        <v>0.40125907518623571</v>
      </c>
      <c r="T243" s="4">
        <f t="shared" si="49"/>
        <v>0.16100884541931318</v>
      </c>
      <c r="U243" s="1">
        <f t="shared" si="40"/>
        <v>0.14031176761795594</v>
      </c>
      <c r="V243" s="6">
        <f>2*sigma/alpha*corel*(B243/12-1/alpha*(1-EXP(-alpha*Output!B243/12)))</f>
        <v>0.73376748184152918</v>
      </c>
      <c r="W243" s="5">
        <f t="shared" si="50"/>
        <v>-2.0697077801357239E-2</v>
      </c>
      <c r="X243" s="1">
        <f t="shared" si="51"/>
        <v>2.138988734046352</v>
      </c>
      <c r="Y243" s="3">
        <f t="shared" si="41"/>
        <v>1.8847259936911342E-2</v>
      </c>
      <c r="Z243" s="1">
        <f t="shared" si="42"/>
        <v>9.1258115960089634E-2</v>
      </c>
      <c r="AA243" s="8">
        <f t="shared" si="47"/>
        <v>19.249999999999996</v>
      </c>
      <c r="AB243" s="1">
        <v>19.329999999999998</v>
      </c>
      <c r="AC243" s="1">
        <v>6.7888602070000003E-3</v>
      </c>
      <c r="AD243" s="8">
        <f t="shared" si="43"/>
        <v>-6.8640345192898591E-2</v>
      </c>
      <c r="AE243" s="3">
        <f t="shared" si="44"/>
        <v>-1.01107318607214E-3</v>
      </c>
      <c r="AF243" s="11">
        <f t="shared" si="45"/>
        <v>19.249999999999996</v>
      </c>
      <c r="AG243" s="1">
        <f t="shared" si="46"/>
        <v>9.1258115960089634E-2</v>
      </c>
    </row>
    <row r="244" spans="2:33" ht="15" x14ac:dyDescent="0.25">
      <c r="B244" s="1">
        <v>233</v>
      </c>
      <c r="C244" s="1">
        <v>1.000320605606152</v>
      </c>
      <c r="D244" s="1">
        <v>1.1470868260977987</v>
      </c>
      <c r="E244" s="1">
        <v>0.87110383804689884</v>
      </c>
      <c r="G244" s="1">
        <v>0.99941941550246216</v>
      </c>
      <c r="H244" s="1">
        <v>3.2727598474590454</v>
      </c>
      <c r="I244" s="1">
        <v>0.27277779000823515</v>
      </c>
      <c r="K244" s="1">
        <v>0.99999353207963682</v>
      </c>
      <c r="L244" s="1">
        <v>1.3377221597292543</v>
      </c>
      <c r="M244" s="1">
        <v>0.741741191902626</v>
      </c>
      <c r="O244" s="1">
        <v>6.8228189732600624E-3</v>
      </c>
      <c r="P244" s="1">
        <v>0.87592360414332326</v>
      </c>
      <c r="R244" s="1">
        <v>9.5749330041201536E-2</v>
      </c>
      <c r="S244" s="2">
        <f t="shared" si="48"/>
        <v>0.4032992981915654</v>
      </c>
      <c r="T244" s="4">
        <f t="shared" si="49"/>
        <v>0.1626503239218092</v>
      </c>
      <c r="U244" s="1">
        <f t="shared" si="40"/>
        <v>0.14182656125495141</v>
      </c>
      <c r="V244" s="6">
        <f>2*sigma/alpha*corel*(B244/12-1/alpha*(1-EXP(-alpha*Output!B244/12)))</f>
        <v>0.73938514856769832</v>
      </c>
      <c r="W244" s="5">
        <f t="shared" si="50"/>
        <v>-2.0823762666857787E-2</v>
      </c>
      <c r="X244" s="1">
        <f t="shared" si="51"/>
        <v>2.1640026317150989</v>
      </c>
      <c r="Y244" s="3">
        <f t="shared" si="41"/>
        <v>1.8841282140939761E-2</v>
      </c>
      <c r="Z244" s="1">
        <f t="shared" si="42"/>
        <v>9.1525082447398251E-2</v>
      </c>
      <c r="AA244" s="8">
        <f t="shared" si="47"/>
        <v>19.333333333333329</v>
      </c>
      <c r="AB244" s="1">
        <v>19.420000000000002</v>
      </c>
      <c r="AC244" s="1">
        <v>6.8165043720000004E-3</v>
      </c>
      <c r="AD244" s="8">
        <f t="shared" si="43"/>
        <v>-6.3146012600620235E-2</v>
      </c>
      <c r="AE244" s="3">
        <f t="shared" si="44"/>
        <v>-9.2636942858870112E-4</v>
      </c>
      <c r="AF244" s="11">
        <f t="shared" si="45"/>
        <v>19.333333333333329</v>
      </c>
      <c r="AG244" s="1">
        <f t="shared" si="46"/>
        <v>9.1525082447398251E-2</v>
      </c>
    </row>
    <row r="245" spans="2:33" ht="15" x14ac:dyDescent="0.25">
      <c r="B245" s="1">
        <v>234</v>
      </c>
      <c r="C245" s="1">
        <v>1.0003212884846819</v>
      </c>
      <c r="D245" s="1">
        <v>1.1460893340635101</v>
      </c>
      <c r="E245" s="1">
        <v>0.87186039343461386</v>
      </c>
      <c r="G245" s="1">
        <v>0.99929847486050183</v>
      </c>
      <c r="H245" s="1">
        <v>3.2251784557201129</v>
      </c>
      <c r="I245" s="1">
        <v>0.27666808492998995</v>
      </c>
      <c r="K245" s="1">
        <v>0.99999298339178855</v>
      </c>
      <c r="L245" s="1">
        <v>1.3381824221497993</v>
      </c>
      <c r="M245" s="1">
        <v>0.74147960956687553</v>
      </c>
      <c r="O245" s="1">
        <v>6.8493204077050302E-3</v>
      </c>
      <c r="P245" s="1">
        <v>0.87497343949311868</v>
      </c>
      <c r="R245" s="1">
        <v>9.6076739199414812E-2</v>
      </c>
      <c r="S245" s="2">
        <f t="shared" si="48"/>
        <v>0.40547725905488197</v>
      </c>
      <c r="T245" s="4">
        <f t="shared" si="49"/>
        <v>0.16441180761065985</v>
      </c>
      <c r="U245" s="1">
        <f t="shared" si="40"/>
        <v>0.14334997970322627</v>
      </c>
      <c r="V245" s="6">
        <f>2*sigma/alpha*corel*(B245/12-1/alpha*(1-EXP(-alpha*Output!B245/12)))</f>
        <v>0.74501878532882349</v>
      </c>
      <c r="W245" s="5">
        <f t="shared" si="50"/>
        <v>-2.1061827907433578E-2</v>
      </c>
      <c r="X245" s="1">
        <f t="shared" si="51"/>
        <v>2.1978755672726544</v>
      </c>
      <c r="Y245" s="3">
        <f t="shared" si="41"/>
        <v>1.8910374179324139E-2</v>
      </c>
      <c r="Z245" s="1">
        <f t="shared" si="42"/>
        <v>9.1822517659148326E-2</v>
      </c>
      <c r="AA245" s="8">
        <f t="shared" si="47"/>
        <v>19.416666666666661</v>
      </c>
      <c r="AB245" s="1">
        <v>19.5</v>
      </c>
      <c r="AC245" s="1">
        <v>6.843834004E-3</v>
      </c>
      <c r="AD245" s="8">
        <f t="shared" si="43"/>
        <v>-5.4864037050302017E-2</v>
      </c>
      <c r="AE245" s="3">
        <f t="shared" si="44"/>
        <v>-8.016564548210223E-4</v>
      </c>
      <c r="AF245" s="11">
        <f t="shared" si="45"/>
        <v>19.416666666666661</v>
      </c>
      <c r="AG245" s="1">
        <f t="shared" si="46"/>
        <v>9.1822517659148326E-2</v>
      </c>
    </row>
    <row r="246" spans="2:33" ht="15" x14ac:dyDescent="0.25">
      <c r="B246" s="1">
        <v>235</v>
      </c>
      <c r="C246" s="1">
        <v>1.0003165555999491</v>
      </c>
      <c r="D246" s="1">
        <v>1.1492458451799223</v>
      </c>
      <c r="E246" s="1">
        <v>0.86946414945881534</v>
      </c>
      <c r="G246" s="1">
        <v>0.99875879968178416</v>
      </c>
      <c r="H246" s="1">
        <v>3.2963614732882704</v>
      </c>
      <c r="I246" s="1">
        <v>0.27056253385508822</v>
      </c>
      <c r="K246" s="1">
        <v>0.99999308033891277</v>
      </c>
      <c r="L246" s="1">
        <v>1.3292800668853366</v>
      </c>
      <c r="M246" s="1">
        <v>0.74640872656373791</v>
      </c>
      <c r="O246" s="1">
        <v>6.8750416767323994E-3</v>
      </c>
      <c r="P246" s="1">
        <v>0.8740337986622787</v>
      </c>
      <c r="R246" s="1">
        <v>9.6338362209422601E-2</v>
      </c>
      <c r="S246" s="2">
        <f t="shared" si="48"/>
        <v>0.40745386748869339</v>
      </c>
      <c r="T246" s="4">
        <f t="shared" si="49"/>
        <v>0.16601865413149372</v>
      </c>
      <c r="U246" s="1">
        <f t="shared" si="40"/>
        <v>0.14488201862324601</v>
      </c>
      <c r="V246" s="6">
        <f>2*sigma/alpha*corel*(B246/12-1/alpha*(1-EXP(-alpha*Output!B246/12)))</f>
        <v>0.75066833898007923</v>
      </c>
      <c r="W246" s="5">
        <f t="shared" si="50"/>
        <v>-2.1136635508247709E-2</v>
      </c>
      <c r="X246" s="1">
        <f t="shared" si="51"/>
        <v>2.2192060699598484</v>
      </c>
      <c r="Y246" s="3">
        <f t="shared" si="41"/>
        <v>1.8868893301115321E-2</v>
      </c>
      <c r="Z246" s="1">
        <f t="shared" si="42"/>
        <v>9.20736026018113E-2</v>
      </c>
      <c r="AA246" s="8">
        <f t="shared" si="47"/>
        <v>19.499999999999993</v>
      </c>
      <c r="AB246" s="1">
        <v>19.579999999999998</v>
      </c>
      <c r="AC246" s="1">
        <v>6.870630103E-3</v>
      </c>
      <c r="AD246" s="8">
        <f t="shared" si="43"/>
        <v>-4.4115737323994347E-2</v>
      </c>
      <c r="AE246" s="3">
        <f t="shared" si="44"/>
        <v>-6.4209157912214771E-4</v>
      </c>
      <c r="AF246" s="11">
        <f t="shared" si="45"/>
        <v>19.499999999999993</v>
      </c>
      <c r="AG246" s="1">
        <f t="shared" si="46"/>
        <v>9.20736026018113E-2</v>
      </c>
    </row>
    <row r="247" spans="2:33" ht="15" x14ac:dyDescent="0.25">
      <c r="B247" s="1">
        <v>236</v>
      </c>
      <c r="C247" s="1">
        <v>1.0003214740001505</v>
      </c>
      <c r="D247" s="1">
        <v>1.1546650992720577</v>
      </c>
      <c r="E247" s="1">
        <v>0.8653818561349097</v>
      </c>
      <c r="G247" s="1">
        <v>0.99898747929703624</v>
      </c>
      <c r="H247" s="1">
        <v>3.4669485745976165</v>
      </c>
      <c r="I247" s="1">
        <v>0.25712527194342749</v>
      </c>
      <c r="K247" s="1">
        <v>0.9999870398841173</v>
      </c>
      <c r="L247" s="1">
        <v>1.3339719591658283</v>
      </c>
      <c r="M247" s="1">
        <v>0.74377574756933729</v>
      </c>
      <c r="O247" s="1">
        <v>6.8997571419109494E-3</v>
      </c>
      <c r="P247" s="1">
        <v>0.87310869470003327</v>
      </c>
      <c r="R247" s="1">
        <v>9.6652139600647571E-2</v>
      </c>
      <c r="S247" s="2">
        <f t="shared" si="48"/>
        <v>0.40956458735586609</v>
      </c>
      <c r="T247" s="4">
        <f t="shared" si="49"/>
        <v>0.16774315121598088</v>
      </c>
      <c r="U247" s="1">
        <f t="shared" si="40"/>
        <v>0.14642267352804694</v>
      </c>
      <c r="V247" s="6">
        <f>2*sigma/alpha*corel*(B247/12-1/alpha*(1-EXP(-alpha*Output!B247/12)))</f>
        <v>0.756333756553494</v>
      </c>
      <c r="W247" s="5">
        <f t="shared" si="50"/>
        <v>-2.1320477687933936E-2</v>
      </c>
      <c r="X247" s="1">
        <f t="shared" si="51"/>
        <v>2.2492516627531232</v>
      </c>
      <c r="Y247" s="3">
        <f t="shared" si="41"/>
        <v>1.890042653270432E-2</v>
      </c>
      <c r="Z247" s="1">
        <f t="shared" si="42"/>
        <v>9.2354278588996308E-2</v>
      </c>
      <c r="AA247" s="8">
        <f t="shared" si="47"/>
        <v>19.583333333333325</v>
      </c>
      <c r="AB247" s="1">
        <v>19.670000000000002</v>
      </c>
      <c r="AC247" s="1">
        <v>6.8966730920000004E-3</v>
      </c>
      <c r="AD247" s="8">
        <f t="shared" si="43"/>
        <v>-3.0840499109490577E-2</v>
      </c>
      <c r="AE247" s="3">
        <f t="shared" si="44"/>
        <v>-4.4717936747306356E-4</v>
      </c>
      <c r="AF247" s="11">
        <f t="shared" si="45"/>
        <v>19.583333333333325</v>
      </c>
      <c r="AG247" s="1">
        <f t="shared" si="46"/>
        <v>9.2354278588996308E-2</v>
      </c>
    </row>
    <row r="248" spans="2:33" ht="15" x14ac:dyDescent="0.25">
      <c r="B248" s="1">
        <v>237</v>
      </c>
      <c r="C248" s="1">
        <v>1.0003217104495812</v>
      </c>
      <c r="D248" s="1">
        <v>1.1492278618162468</v>
      </c>
      <c r="E248" s="1">
        <v>0.86947456469112905</v>
      </c>
      <c r="G248" s="1">
        <v>0.99882380403474313</v>
      </c>
      <c r="H248" s="1">
        <v>3.321882431836169</v>
      </c>
      <c r="I248" s="1">
        <v>0.26822397023860661</v>
      </c>
      <c r="K248" s="1">
        <v>0.99997738896377963</v>
      </c>
      <c r="L248" s="1">
        <v>1.3354916624398949</v>
      </c>
      <c r="M248" s="1">
        <v>0.74293993854475571</v>
      </c>
      <c r="O248" s="1">
        <v>6.9231754092083791E-3</v>
      </c>
      <c r="P248" s="1">
        <v>0.87220332242685628</v>
      </c>
      <c r="R248" s="1">
        <v>9.6972000892596652E-2</v>
      </c>
      <c r="S248" s="2">
        <f t="shared" si="48"/>
        <v>0.41166960269607933</v>
      </c>
      <c r="T248" s="4">
        <f t="shared" si="49"/>
        <v>0.1694718617839478</v>
      </c>
      <c r="U248" s="1">
        <f t="shared" si="40"/>
        <v>0.14797193978479628</v>
      </c>
      <c r="V248" s="6">
        <f>2*sigma/alpha*corel*(B248/12-1/alpha*(1-EXP(-alpha*Output!B248/12)))</f>
        <v>0.76201498525736211</v>
      </c>
      <c r="W248" s="5">
        <f t="shared" si="50"/>
        <v>-2.1499921999151517E-2</v>
      </c>
      <c r="X248" s="1">
        <f t="shared" si="51"/>
        <v>2.2791606756897478</v>
      </c>
      <c r="Y248" s="3">
        <f t="shared" si="41"/>
        <v>1.8928454383855282E-2</v>
      </c>
      <c r="Z248" s="1">
        <f t="shared" si="42"/>
        <v>9.2632897834476424E-2</v>
      </c>
      <c r="AA248" s="8">
        <f t="shared" si="47"/>
        <v>19.666666666666657</v>
      </c>
      <c r="AB248" s="1">
        <v>19.75</v>
      </c>
      <c r="AC248" s="1">
        <v>6.9217410720000001E-3</v>
      </c>
      <c r="AD248" s="8">
        <f t="shared" si="43"/>
        <v>-1.4343372083790856E-2</v>
      </c>
      <c r="AE248" s="3">
        <f t="shared" si="44"/>
        <v>-2.0722202599882019E-4</v>
      </c>
      <c r="AF248" s="11">
        <f t="shared" si="45"/>
        <v>19.666666666666657</v>
      </c>
      <c r="AG248" s="1">
        <f t="shared" si="46"/>
        <v>9.2632897834476424E-2</v>
      </c>
    </row>
    <row r="249" spans="2:33" ht="15" x14ac:dyDescent="0.25">
      <c r="B249" s="1">
        <v>238</v>
      </c>
      <c r="C249" s="1">
        <v>1.0003248670611777</v>
      </c>
      <c r="D249" s="1">
        <v>1.1485673290074447</v>
      </c>
      <c r="E249" s="1">
        <v>0.86997299995835342</v>
      </c>
      <c r="G249" s="1">
        <v>0.99891237320589121</v>
      </c>
      <c r="H249" s="1">
        <v>3.2744026098485715</v>
      </c>
      <c r="I249" s="1">
        <v>0.27198155406395336</v>
      </c>
      <c r="K249" s="1">
        <v>0.99998606736398121</v>
      </c>
      <c r="L249" s="1">
        <v>1.346934687431623</v>
      </c>
      <c r="M249" s="1">
        <v>0.73657623200069766</v>
      </c>
      <c r="O249" s="1">
        <v>6.9451431458069481E-3</v>
      </c>
      <c r="P249" s="1">
        <v>0.87132055480750292</v>
      </c>
      <c r="R249" s="1">
        <v>9.7341718974331415E-2</v>
      </c>
      <c r="S249" s="2">
        <f t="shared" si="48"/>
        <v>0.41389206747115281</v>
      </c>
      <c r="T249" s="4">
        <f t="shared" si="49"/>
        <v>0.17130664351554531</v>
      </c>
      <c r="U249" s="1">
        <f t="shared" ref="U249:U312" si="52">sigma*sigma/alpha/alpha*(B249/12+2/alpha*EXP(-alpha*B249/12)-1/2/alpha*EXP(-2*alpha*B249/12)-3/2/alpha)</f>
        <v>0.14952981261635312</v>
      </c>
      <c r="V249" s="6">
        <f>2*sigma/alpha*corel*(B249/12-1/alpha*(1-EXP(-alpha*Output!B249/12)))</f>
        <v>0.76771197247565715</v>
      </c>
      <c r="W249" s="5">
        <f t="shared" si="50"/>
        <v>-2.177683089919219E-2</v>
      </c>
      <c r="X249" s="1">
        <f t="shared" si="51"/>
        <v>2.3170102573517113</v>
      </c>
      <c r="Y249" s="3">
        <f t="shared" si="41"/>
        <v>1.9020022719308714E-2</v>
      </c>
      <c r="Z249" s="1">
        <f t="shared" si="42"/>
        <v>9.2937127979544967E-2</v>
      </c>
      <c r="AA249" s="8">
        <f t="shared" si="47"/>
        <v>19.749999999999989</v>
      </c>
      <c r="AB249" s="1">
        <v>19.829999999999998</v>
      </c>
      <c r="AC249" s="1">
        <v>6.9456115660000003E-3</v>
      </c>
      <c r="AD249" s="8">
        <f t="shared" si="43"/>
        <v>4.6842019305222415E-3</v>
      </c>
      <c r="AE249" s="3">
        <f t="shared" si="44"/>
        <v>6.7441173264745183E-5</v>
      </c>
      <c r="AF249" s="11">
        <f t="shared" si="45"/>
        <v>19.749999999999989</v>
      </c>
      <c r="AG249" s="1">
        <f t="shared" si="46"/>
        <v>9.2937127979544967E-2</v>
      </c>
    </row>
    <row r="250" spans="2:33" ht="15" x14ac:dyDescent="0.25">
      <c r="B250" s="1">
        <v>239</v>
      </c>
      <c r="C250" s="1">
        <v>1.0003277903352361</v>
      </c>
      <c r="D250" s="1">
        <v>1.1452767631467364</v>
      </c>
      <c r="E250" s="1">
        <v>0.87247097757205982</v>
      </c>
      <c r="G250" s="1">
        <v>0.9989635960246378</v>
      </c>
      <c r="H250" s="1">
        <v>3.2155453438146182</v>
      </c>
      <c r="I250" s="1">
        <v>0.27682580946734042</v>
      </c>
      <c r="K250" s="1">
        <v>0.99999713724912298</v>
      </c>
      <c r="L250" s="1">
        <v>1.3513992944457547</v>
      </c>
      <c r="M250" s="1">
        <v>0.73409810582577417</v>
      </c>
      <c r="O250" s="1">
        <v>6.9654499093797064E-3</v>
      </c>
      <c r="P250" s="1">
        <v>0.87046428911889417</v>
      </c>
      <c r="R250" s="1">
        <v>9.76898175462627E-2</v>
      </c>
      <c r="S250" s="2">
        <f t="shared" si="48"/>
        <v>0.41601974654507878</v>
      </c>
      <c r="T250" s="4">
        <f t="shared" si="49"/>
        <v>0.17307242951543159</v>
      </c>
      <c r="U250" s="1">
        <f t="shared" si="52"/>
        <v>0.15109628710280365</v>
      </c>
      <c r="V250" s="6">
        <f>2*sigma/alpha*corel*(B250/12-1/alpha*(1-EXP(-alpha*Output!B250/12)))</f>
        <v>0.77342466576744906</v>
      </c>
      <c r="W250" s="5">
        <f t="shared" si="50"/>
        <v>-2.1976142412627936E-2</v>
      </c>
      <c r="X250" s="1">
        <f t="shared" si="51"/>
        <v>2.3489517258235155</v>
      </c>
      <c r="Y250" s="3">
        <f t="shared" si="41"/>
        <v>1.9059523642684973E-2</v>
      </c>
      <c r="Z250" s="1">
        <f t="shared" si="42"/>
        <v>9.3219252823701165E-2</v>
      </c>
      <c r="AA250" s="8">
        <f t="shared" si="47"/>
        <v>19.833333333333321</v>
      </c>
      <c r="AB250" s="1">
        <v>19.920000000000002</v>
      </c>
      <c r="AC250" s="1">
        <v>6.9680620960000002E-3</v>
      </c>
      <c r="AD250" s="8">
        <f t="shared" si="43"/>
        <v>2.6121866202937979E-2</v>
      </c>
      <c r="AE250" s="3">
        <f t="shared" si="44"/>
        <v>3.7487992849451174E-4</v>
      </c>
      <c r="AF250" s="11">
        <f t="shared" si="45"/>
        <v>19.833333333333321</v>
      </c>
      <c r="AG250" s="1">
        <f t="shared" si="46"/>
        <v>9.3219252823701165E-2</v>
      </c>
    </row>
    <row r="251" spans="2:33" ht="15" x14ac:dyDescent="0.25">
      <c r="B251" s="1">
        <v>240</v>
      </c>
      <c r="C251" s="1">
        <v>1.0003331529000774</v>
      </c>
      <c r="D251" s="1">
        <v>1.1455510282677543</v>
      </c>
      <c r="E251" s="1">
        <v>0.8722604988091589</v>
      </c>
      <c r="G251" s="1">
        <v>0.99924053060535301</v>
      </c>
      <c r="H251" s="1">
        <v>3.2155676208957797</v>
      </c>
      <c r="I251" s="1">
        <v>0.27668987130812173</v>
      </c>
      <c r="K251" s="1">
        <v>0.99999475875172505</v>
      </c>
      <c r="L251" s="1">
        <v>1.3646441744259417</v>
      </c>
      <c r="M251" s="1">
        <v>0.7269498818186314</v>
      </c>
      <c r="O251" s="1">
        <v>6.9838517337974639E-3</v>
      </c>
      <c r="P251" s="1">
        <v>0.86963905330780011</v>
      </c>
      <c r="R251" s="1">
        <v>9.8068688373413523E-2</v>
      </c>
      <c r="S251" s="2">
        <f t="shared" si="48"/>
        <v>0.41819861686412996</v>
      </c>
      <c r="T251" s="4">
        <f t="shared" si="49"/>
        <v>0.17489008314707136</v>
      </c>
      <c r="U251" s="1">
        <f t="shared" si="52"/>
        <v>0.15267135818299327</v>
      </c>
      <c r="V251" s="6">
        <f>2*sigma/alpha*corel*(B251/12-1/alpha*(1-EXP(-alpha*Output!B251/12)))</f>
        <v>0.77915301286631733</v>
      </c>
      <c r="W251" s="5">
        <f t="shared" si="50"/>
        <v>-2.221872496407809E-2</v>
      </c>
      <c r="X251" s="1">
        <f t="shared" si="51"/>
        <v>2.384577414584907</v>
      </c>
      <c r="Y251" s="3">
        <f t="shared" si="41"/>
        <v>1.9126367128523773E-2</v>
      </c>
      <c r="Z251" s="1">
        <f t="shared" si="42"/>
        <v>9.3512053540458454E-2</v>
      </c>
      <c r="AA251" s="8">
        <f t="shared" si="47"/>
        <v>19.916666666666654</v>
      </c>
      <c r="AB251" s="1">
        <v>20</v>
      </c>
      <c r="AC251" s="1">
        <v>6.9888701859999996E-3</v>
      </c>
      <c r="AD251" s="8">
        <f t="shared" si="43"/>
        <v>5.0184522025356962E-2</v>
      </c>
      <c r="AE251" s="3">
        <f t="shared" si="44"/>
        <v>7.1806344501699072E-4</v>
      </c>
      <c r="AF251" s="11">
        <f t="shared" si="45"/>
        <v>19.916666666666654</v>
      </c>
      <c r="AG251" s="1">
        <f t="shared" si="46"/>
        <v>9.3512053540458454E-2</v>
      </c>
    </row>
    <row r="252" spans="2:33" ht="15" x14ac:dyDescent="0.25">
      <c r="B252" s="1">
        <v>241</v>
      </c>
      <c r="C252" s="1">
        <v>1.0003373219044509</v>
      </c>
      <c r="D252" s="1">
        <v>1.1531536696638924</v>
      </c>
      <c r="E252" s="1">
        <v>0.86650817996388385</v>
      </c>
      <c r="G252" s="1">
        <v>0.99941237149887852</v>
      </c>
      <c r="H252" s="1">
        <v>3.3896625896577102</v>
      </c>
      <c r="I252" s="1">
        <v>0.2623518512590044</v>
      </c>
      <c r="K252" s="1">
        <v>0.99998764897960879</v>
      </c>
      <c r="L252" s="1">
        <v>1.3671879002650873</v>
      </c>
      <c r="M252" s="1">
        <v>0.72558780701238434</v>
      </c>
      <c r="O252" s="1">
        <v>7.0003022966927762E-3</v>
      </c>
      <c r="P252" s="1">
        <v>0.86884598275558411</v>
      </c>
      <c r="R252" s="1">
        <v>9.8406783653961341E-2</v>
      </c>
      <c r="S252" s="2">
        <f t="shared" si="48"/>
        <v>0.42021925171287555</v>
      </c>
      <c r="T252" s="4">
        <f t="shared" si="49"/>
        <v>0.17658421951012906</v>
      </c>
      <c r="U252" s="1">
        <f t="shared" si="52"/>
        <v>0.15425502065604357</v>
      </c>
      <c r="V252" s="6">
        <f>2*sigma/alpha*corel*(B252/12-1/alpha*(1-EXP(-alpha*Output!B252/12)))</f>
        <v>0.78489696167977474</v>
      </c>
      <c r="W252" s="5">
        <f t="shared" si="50"/>
        <v>-2.2329198854085491E-2</v>
      </c>
      <c r="X252" s="1">
        <f t="shared" si="51"/>
        <v>2.4098422150656762</v>
      </c>
      <c r="Y252" s="3">
        <f t="shared" si="41"/>
        <v>1.9107129162047584E-2</v>
      </c>
      <c r="Z252" s="1">
        <f t="shared" si="42"/>
        <v>9.3768732770138405E-2</v>
      </c>
      <c r="AA252" s="8">
        <f t="shared" si="47"/>
        <v>19.999999999999986</v>
      </c>
      <c r="AB252" s="1">
        <v>20.079999999999998</v>
      </c>
      <c r="AC252" s="1">
        <v>7.0078133569999998E-3</v>
      </c>
      <c r="AD252" s="8">
        <f t="shared" si="43"/>
        <v>7.5110603072236007E-2</v>
      </c>
      <c r="AE252" s="3">
        <f t="shared" si="44"/>
        <v>1.0718122650513965E-3</v>
      </c>
      <c r="AF252" s="11">
        <f t="shared" si="45"/>
        <v>19.999999999999986</v>
      </c>
      <c r="AG252" s="1">
        <f t="shared" si="46"/>
        <v>9.3768732770138405E-2</v>
      </c>
    </row>
    <row r="253" spans="2:33" ht="15" x14ac:dyDescent="0.25">
      <c r="B253" s="1">
        <v>242</v>
      </c>
      <c r="C253" s="1">
        <v>1.0003389169613055</v>
      </c>
      <c r="D253" s="1">
        <v>1.1522606392071275</v>
      </c>
      <c r="E253" s="1">
        <v>0.86717816395198766</v>
      </c>
      <c r="G253" s="1">
        <v>0.99938321499113369</v>
      </c>
      <c r="H253" s="1">
        <v>3.3638725653485295</v>
      </c>
      <c r="I253" s="1">
        <v>0.26423525811481163</v>
      </c>
      <c r="K253" s="1">
        <v>0.99999370767127815</v>
      </c>
      <c r="L253" s="1">
        <v>1.3796145408840657</v>
      </c>
      <c r="M253" s="1">
        <v>0.71899806272092637</v>
      </c>
      <c r="O253" s="1">
        <v>7.0149441462600427E-3</v>
      </c>
      <c r="P253" s="1">
        <v>0.86808291882605193</v>
      </c>
      <c r="R253" s="1">
        <v>9.8806453512680248E-2</v>
      </c>
      <c r="S253" s="2">
        <f t="shared" si="48"/>
        <v>0.42238184747564256</v>
      </c>
      <c r="T253" s="4">
        <f t="shared" si="49"/>
        <v>0.17840642507693696</v>
      </c>
      <c r="U253" s="1">
        <f t="shared" si="52"/>
        <v>0.15584726918285874</v>
      </c>
      <c r="V253" s="6">
        <f>2*sigma/alpha*corel*(B253/12-1/alpha*(1-EXP(-alpha*Output!B253/12)))</f>
        <v>0.7906564602886863</v>
      </c>
      <c r="W253" s="5">
        <f t="shared" si="50"/>
        <v>-2.2559155894078226E-2</v>
      </c>
      <c r="X253" s="1">
        <f t="shared" si="51"/>
        <v>2.4449095469852118</v>
      </c>
      <c r="Y253" s="3">
        <f t="shared" si="41"/>
        <v>1.9164401476122164E-2</v>
      </c>
      <c r="Z253" s="1">
        <f t="shared" si="42"/>
        <v>9.4056363902672288E-2</v>
      </c>
      <c r="AA253" s="8">
        <f t="shared" si="47"/>
        <v>20.083333333333318</v>
      </c>
      <c r="AB253" s="1">
        <v>20.170000000000002</v>
      </c>
      <c r="AC253" s="1">
        <v>7.0247428319999998E-3</v>
      </c>
      <c r="AD253" s="8">
        <f t="shared" si="43"/>
        <v>9.798685739957104E-2</v>
      </c>
      <c r="AE253" s="3">
        <f t="shared" si="44"/>
        <v>1.3948817735107521E-3</v>
      </c>
      <c r="AF253" s="11">
        <f t="shared" si="45"/>
        <v>20.083333333333318</v>
      </c>
      <c r="AG253" s="1">
        <f t="shared" si="46"/>
        <v>9.4056363902672288E-2</v>
      </c>
    </row>
    <row r="254" spans="2:33" ht="15" x14ac:dyDescent="0.25">
      <c r="B254" s="1">
        <v>243</v>
      </c>
      <c r="C254" s="1">
        <v>1.0003415484387257</v>
      </c>
      <c r="D254" s="1">
        <v>1.1528276099122274</v>
      </c>
      <c r="E254" s="1">
        <v>0.86675009913061041</v>
      </c>
      <c r="G254" s="1">
        <v>0.99942941536211416</v>
      </c>
      <c r="H254" s="1">
        <v>3.3768232956517275</v>
      </c>
      <c r="I254" s="1">
        <v>0.2630944391312291</v>
      </c>
      <c r="K254" s="1">
        <v>0.99999534785677013</v>
      </c>
      <c r="L254" s="1">
        <v>1.3787952585916305</v>
      </c>
      <c r="M254" s="1">
        <v>0.71942830140154634</v>
      </c>
      <c r="O254" s="1">
        <v>7.0278827345708113E-3</v>
      </c>
      <c r="P254" s="1">
        <v>0.86734832376071502</v>
      </c>
      <c r="R254" s="1">
        <v>9.9220859883648288E-2</v>
      </c>
      <c r="S254" s="2">
        <f t="shared" si="48"/>
        <v>0.42455230252565201</v>
      </c>
      <c r="T254" s="4">
        <f t="shared" si="49"/>
        <v>0.18024465757983274</v>
      </c>
      <c r="U254" s="1">
        <f t="shared" si="52"/>
        <v>0.15744809828761719</v>
      </c>
      <c r="V254" s="6">
        <f>2*sigma/alpha*corel*(B254/12-1/alpha*(1-EXP(-alpha*Output!B254/12)))</f>
        <v>0.79643145694669104</v>
      </c>
      <c r="W254" s="5">
        <f t="shared" si="50"/>
        <v>-2.2796559292215551E-2</v>
      </c>
      <c r="X254" s="1">
        <f t="shared" si="51"/>
        <v>2.4808243682836886</v>
      </c>
      <c r="Y254" s="3">
        <f t="shared" si="41"/>
        <v>1.9225477365439596E-2</v>
      </c>
      <c r="Z254" s="1">
        <f t="shared" si="42"/>
        <v>9.4344956116811554E-2</v>
      </c>
      <c r="AA254" s="8">
        <f t="shared" si="47"/>
        <v>20.16666666666665</v>
      </c>
      <c r="AB254" s="1">
        <v>20.25</v>
      </c>
      <c r="AC254" s="1">
        <v>7.0398046420000002E-3</v>
      </c>
      <c r="AD254" s="8">
        <f t="shared" si="43"/>
        <v>0.11921907429188888</v>
      </c>
      <c r="AE254" s="3">
        <f t="shared" si="44"/>
        <v>1.6934997539650319E-3</v>
      </c>
      <c r="AF254" s="11">
        <f t="shared" si="45"/>
        <v>20.16666666666665</v>
      </c>
      <c r="AG254" s="1">
        <f t="shared" si="46"/>
        <v>9.4344956116811554E-2</v>
      </c>
    </row>
    <row r="255" spans="2:33" ht="15" x14ac:dyDescent="0.25">
      <c r="B255" s="1">
        <v>244</v>
      </c>
      <c r="C255" s="1">
        <v>1.0003442977872463</v>
      </c>
      <c r="D255" s="1">
        <v>1.1525546083699043</v>
      </c>
      <c r="E255" s="1">
        <v>0.86695382536593635</v>
      </c>
      <c r="G255" s="1">
        <v>0.99948575614086876</v>
      </c>
      <c r="H255" s="1">
        <v>3.3894414001697077</v>
      </c>
      <c r="I255" s="1">
        <v>0.2619881086787747</v>
      </c>
      <c r="K255" s="1">
        <v>0.99999042802390403</v>
      </c>
      <c r="L255" s="1">
        <v>1.3868847789845855</v>
      </c>
      <c r="M255" s="1">
        <v>0.71520924388018237</v>
      </c>
      <c r="O255" s="1">
        <v>7.0394029401594799E-3</v>
      </c>
      <c r="P255" s="1">
        <v>0.8666374753902869</v>
      </c>
      <c r="R255" s="1">
        <v>9.957461434909283E-2</v>
      </c>
      <c r="S255" s="2">
        <f t="shared" si="48"/>
        <v>0.42651708463410676</v>
      </c>
      <c r="T255" s="4">
        <f t="shared" si="49"/>
        <v>0.18191682348477778</v>
      </c>
      <c r="U255" s="1">
        <f t="shared" si="52"/>
        <v>0.15905750235925309</v>
      </c>
      <c r="V255" s="6">
        <f>2*sigma/alpha*corel*(B255/12-1/alpha*(1-EXP(-alpha*Output!B255/12)))</f>
        <v>0.8022219000796309</v>
      </c>
      <c r="W255" s="5">
        <f t="shared" si="50"/>
        <v>-2.285932112552469E-2</v>
      </c>
      <c r="X255" s="1">
        <f t="shared" si="51"/>
        <v>2.5027847618433814</v>
      </c>
      <c r="Y255" s="3">
        <f t="shared" si="41"/>
        <v>1.9175343539169928E-2</v>
      </c>
      <c r="Z255" s="1">
        <f t="shared" si="42"/>
        <v>9.4587150416119051E-2</v>
      </c>
      <c r="AA255" s="8">
        <f t="shared" si="47"/>
        <v>20.249999999999982</v>
      </c>
      <c r="AB255" s="1">
        <v>20.329999999999998</v>
      </c>
      <c r="AC255" s="1">
        <v>7.0532185159999997E-3</v>
      </c>
      <c r="AD255" s="8">
        <f t="shared" si="43"/>
        <v>0.1381557584051972</v>
      </c>
      <c r="AE255" s="3">
        <f t="shared" si="44"/>
        <v>1.9587619197079364E-3</v>
      </c>
      <c r="AF255" s="11">
        <f t="shared" si="45"/>
        <v>20.249999999999982</v>
      </c>
      <c r="AG255" s="1">
        <f t="shared" si="46"/>
        <v>9.4587150416119051E-2</v>
      </c>
    </row>
    <row r="256" spans="2:33" ht="15" x14ac:dyDescent="0.25">
      <c r="B256" s="1">
        <v>245</v>
      </c>
      <c r="C256" s="1">
        <v>1.0003456307955412</v>
      </c>
      <c r="D256" s="1">
        <v>1.1549463795899693</v>
      </c>
      <c r="E256" s="1">
        <v>0.86515688292159476</v>
      </c>
      <c r="G256" s="1">
        <v>0.99942879349141656</v>
      </c>
      <c r="H256" s="1">
        <v>3.4517807931951454</v>
      </c>
      <c r="I256" s="1">
        <v>0.25713204891674085</v>
      </c>
      <c r="K256" s="1">
        <v>0.99999970984537656</v>
      </c>
      <c r="L256" s="1">
        <v>1.4037941809910055</v>
      </c>
      <c r="M256" s="1">
        <v>0.70655461382226536</v>
      </c>
      <c r="O256" s="1">
        <v>7.0497485054124218E-3</v>
      </c>
      <c r="P256" s="1">
        <v>0.86594631408149281</v>
      </c>
      <c r="R256" s="1">
        <v>0.10000964936913485</v>
      </c>
      <c r="S256" s="2">
        <f t="shared" si="48"/>
        <v>0.42869493129399405</v>
      </c>
      <c r="T256" s="4">
        <f t="shared" si="49"/>
        <v>0.18377934411716229</v>
      </c>
      <c r="U256" s="1">
        <f t="shared" si="52"/>
        <v>0.16067547565292895</v>
      </c>
      <c r="V256" s="6">
        <f>2*sigma/alpha*corel*(B256/12-1/alpha*(1-EXP(-alpha*Output!B256/12)))</f>
        <v>0.80802773828497498</v>
      </c>
      <c r="W256" s="5">
        <f t="shared" si="50"/>
        <v>-2.3103868464233346E-2</v>
      </c>
      <c r="X256" s="1">
        <f t="shared" si="51"/>
        <v>2.5397247504169886</v>
      </c>
      <c r="Y256" s="3">
        <f t="shared" si="41"/>
        <v>1.9239762880457513E-2</v>
      </c>
      <c r="Z256" s="1">
        <f t="shared" si="42"/>
        <v>9.4875904543152673E-2</v>
      </c>
      <c r="AA256" s="8">
        <f t="shared" si="47"/>
        <v>20.333333333333314</v>
      </c>
      <c r="AB256" s="1">
        <v>20.420000000000002</v>
      </c>
      <c r="AC256" s="1">
        <v>7.065204185E-3</v>
      </c>
      <c r="AD256" s="8">
        <f t="shared" si="43"/>
        <v>0.15455679587578208</v>
      </c>
      <c r="AE256" s="3">
        <f t="shared" si="44"/>
        <v>2.1875771998765251E-3</v>
      </c>
      <c r="AF256" s="11">
        <f t="shared" si="45"/>
        <v>20.333333333333314</v>
      </c>
      <c r="AG256" s="1">
        <f t="shared" si="46"/>
        <v>9.4875904543152673E-2</v>
      </c>
    </row>
    <row r="257" spans="2:33" ht="15" x14ac:dyDescent="0.25">
      <c r="B257" s="1">
        <v>246</v>
      </c>
      <c r="C257" s="1">
        <v>1.0003467447341357</v>
      </c>
      <c r="D257" s="1">
        <v>1.1549796989505239</v>
      </c>
      <c r="E257" s="1">
        <v>0.86513035274228522</v>
      </c>
      <c r="G257" s="1">
        <v>0.99933802697800933</v>
      </c>
      <c r="H257" s="1">
        <v>3.4641092042020896</v>
      </c>
      <c r="I257" s="1">
        <v>0.25609291051560662</v>
      </c>
      <c r="K257" s="1">
        <v>0.99999710180058399</v>
      </c>
      <c r="L257" s="1">
        <v>1.3991697088034891</v>
      </c>
      <c r="M257" s="1">
        <v>0.70887254883379669</v>
      </c>
      <c r="O257" s="1">
        <v>7.0590995103228674E-3</v>
      </c>
      <c r="P257" s="1">
        <v>0.8652718534669771</v>
      </c>
      <c r="R257" s="1">
        <v>0.10043339945023941</v>
      </c>
      <c r="S257" s="2">
        <f t="shared" si="48"/>
        <v>0.43082005539972845</v>
      </c>
      <c r="T257" s="4">
        <f t="shared" si="49"/>
        <v>0.1856059201346251</v>
      </c>
      <c r="U257" s="1">
        <f t="shared" si="52"/>
        <v>0.16230201229148866</v>
      </c>
      <c r="V257" s="6">
        <f>2*sigma/alpha*corel*(B257/12-1/alpha*(1-EXP(-alpha*Output!B257/12)))</f>
        <v>0.81384892033124778</v>
      </c>
      <c r="W257" s="5">
        <f t="shared" si="50"/>
        <v>-2.3303907843136434E-2</v>
      </c>
      <c r="X257" s="1">
        <f t="shared" si="51"/>
        <v>2.5732705082615253</v>
      </c>
      <c r="Y257" s="3">
        <f t="shared" si="41"/>
        <v>1.9275433001091302E-2</v>
      </c>
      <c r="Z257" s="1">
        <f t="shared" si="42"/>
        <v>9.5152232362883879E-2</v>
      </c>
      <c r="AA257" s="8">
        <f t="shared" si="47"/>
        <v>20.416666666666647</v>
      </c>
      <c r="AB257" s="1">
        <v>20.5</v>
      </c>
      <c r="AC257" s="1">
        <v>7.0759813779999996E-3</v>
      </c>
      <c r="AD257" s="8">
        <f t="shared" si="43"/>
        <v>0.1688186767713224</v>
      </c>
      <c r="AE257" s="3">
        <f t="shared" si="44"/>
        <v>2.3857987712658222E-3</v>
      </c>
      <c r="AF257" s="11">
        <f t="shared" si="45"/>
        <v>20.416666666666647</v>
      </c>
      <c r="AG257" s="1">
        <f t="shared" si="46"/>
        <v>9.5152232362883879E-2</v>
      </c>
    </row>
    <row r="258" spans="2:33" ht="15" x14ac:dyDescent="0.25">
      <c r="B258" s="1">
        <v>247</v>
      </c>
      <c r="C258" s="1">
        <v>1.0003457963193987</v>
      </c>
      <c r="D258" s="1">
        <v>1.1572761547056667</v>
      </c>
      <c r="E258" s="1">
        <v>0.86341205288781542</v>
      </c>
      <c r="G258" s="1">
        <v>0.9991059155634664</v>
      </c>
      <c r="H258" s="1">
        <v>3.5246173509483589</v>
      </c>
      <c r="I258" s="1">
        <v>0.25157464644567784</v>
      </c>
      <c r="K258" s="1">
        <v>1.0000057575531462</v>
      </c>
      <c r="L258" s="1">
        <v>1.4026120990051856</v>
      </c>
      <c r="M258" s="1">
        <v>0.70709384457260926</v>
      </c>
      <c r="O258" s="1">
        <v>7.0677229310131401E-3</v>
      </c>
      <c r="P258" s="1">
        <v>0.86460951908391004</v>
      </c>
      <c r="R258" s="1">
        <v>0.1008691371692549</v>
      </c>
      <c r="S258" s="2">
        <f t="shared" si="48"/>
        <v>0.43296629801212583</v>
      </c>
      <c r="T258" s="4">
        <f t="shared" si="49"/>
        <v>0.18745981521432495</v>
      </c>
      <c r="U258" s="1">
        <f t="shared" si="52"/>
        <v>0.16393710626690838</v>
      </c>
      <c r="V258" s="6">
        <f>2*sigma/alpha*corel*(B258/12-1/alpha*(1-EXP(-alpha*Output!B258/12)))</f>
        <v>0.81968539515746164</v>
      </c>
      <c r="W258" s="5">
        <f t="shared" si="50"/>
        <v>-2.3522708947416565E-2</v>
      </c>
      <c r="X258" s="1">
        <f t="shared" si="51"/>
        <v>2.6085871837050747</v>
      </c>
      <c r="Y258" s="3">
        <f t="shared" si="41"/>
        <v>1.9322106853315542E-2</v>
      </c>
      <c r="Z258" s="1">
        <f t="shared" si="42"/>
        <v>9.5432486311585379E-2</v>
      </c>
      <c r="AA258" s="8">
        <f t="shared" si="47"/>
        <v>20.499999999999979</v>
      </c>
      <c r="AB258" s="1">
        <v>20.58</v>
      </c>
      <c r="AC258" s="1">
        <v>7.0857698270000002E-3</v>
      </c>
      <c r="AD258" s="8">
        <f t="shared" si="43"/>
        <v>0.18046895986860087</v>
      </c>
      <c r="AE258" s="3">
        <f t="shared" si="44"/>
        <v>2.5469210018780487E-3</v>
      </c>
      <c r="AF258" s="11">
        <f t="shared" si="45"/>
        <v>20.499999999999979</v>
      </c>
      <c r="AG258" s="1">
        <f t="shared" si="46"/>
        <v>9.5432486311585379E-2</v>
      </c>
    </row>
    <row r="259" spans="2:33" ht="15" x14ac:dyDescent="0.25">
      <c r="B259" s="1">
        <v>248</v>
      </c>
      <c r="C259" s="1">
        <v>1.0003466558565506</v>
      </c>
      <c r="D259" s="1">
        <v>1.1566271814901634</v>
      </c>
      <c r="E259" s="1">
        <v>0.86389493867569245</v>
      </c>
      <c r="G259" s="1">
        <v>0.9990026292891685</v>
      </c>
      <c r="H259" s="1">
        <v>3.4955386939798077</v>
      </c>
      <c r="I259" s="1">
        <v>0.25354464978531627</v>
      </c>
      <c r="K259" s="1">
        <v>1.0000169871135147</v>
      </c>
      <c r="L259" s="1">
        <v>1.4103274839365445</v>
      </c>
      <c r="M259" s="1">
        <v>0.70321882177637796</v>
      </c>
      <c r="O259" s="1">
        <v>7.0758011771693153E-3</v>
      </c>
      <c r="P259" s="1">
        <v>0.86395618408537989</v>
      </c>
      <c r="R259" s="1">
        <v>0.1013341490851519</v>
      </c>
      <c r="S259" s="2">
        <f t="shared" si="48"/>
        <v>0.43518830630524308</v>
      </c>
      <c r="T259" s="4">
        <f t="shared" si="49"/>
        <v>0.18938886194482607</v>
      </c>
      <c r="U259" s="1">
        <f t="shared" si="52"/>
        <v>0.16558075144173001</v>
      </c>
      <c r="V259" s="6">
        <f>2*sigma/alpha*corel*(B259/12-1/alpha*(1-EXP(-alpha*Output!B259/12)))</f>
        <v>0.82553711187255008</v>
      </c>
      <c r="W259" s="5">
        <f t="shared" si="50"/>
        <v>-2.3808110503096058E-2</v>
      </c>
      <c r="X259" s="1">
        <f t="shared" si="51"/>
        <v>2.6496486580014791</v>
      </c>
      <c r="Y259" s="3">
        <f t="shared" si="41"/>
        <v>1.9408960411047903E-2</v>
      </c>
      <c r="Z259" s="1">
        <f t="shared" si="42"/>
        <v>9.5728664416039375E-2</v>
      </c>
      <c r="AA259" s="8">
        <f t="shared" si="47"/>
        <v>20.583333333333311</v>
      </c>
      <c r="AB259" s="1">
        <v>20.67</v>
      </c>
      <c r="AC259" s="1">
        <v>7.0947896259999999E-3</v>
      </c>
      <c r="AD259" s="8">
        <f t="shared" si="43"/>
        <v>0.1898844883068459</v>
      </c>
      <c r="AE259" s="3">
        <f t="shared" si="44"/>
        <v>2.6763934988429201E-3</v>
      </c>
      <c r="AF259" s="11">
        <f t="shared" si="45"/>
        <v>20.583333333333311</v>
      </c>
      <c r="AG259" s="1">
        <f t="shared" si="46"/>
        <v>9.5728664416039375E-2</v>
      </c>
    </row>
    <row r="260" spans="2:33" ht="15" x14ac:dyDescent="0.25">
      <c r="B260" s="1">
        <v>249</v>
      </c>
      <c r="C260" s="1">
        <v>1.00034920972573</v>
      </c>
      <c r="D260" s="1">
        <v>1.1618249719209419</v>
      </c>
      <c r="E260" s="1">
        <v>0.86002847324488207</v>
      </c>
      <c r="G260" s="1">
        <v>0.99903533443112158</v>
      </c>
      <c r="H260" s="1">
        <v>3.6359973276237798</v>
      </c>
      <c r="I260" s="1">
        <v>0.24363222474254043</v>
      </c>
      <c r="K260" s="1">
        <v>1.0000200397330388</v>
      </c>
      <c r="L260" s="1">
        <v>1.4129074116348308</v>
      </c>
      <c r="M260" s="1">
        <v>0.70191131741442447</v>
      </c>
      <c r="O260" s="1">
        <v>7.0835302211536746E-3</v>
      </c>
      <c r="P260" s="1">
        <v>0.86330843590814732</v>
      </c>
      <c r="R260" s="1">
        <v>0.10175405906598951</v>
      </c>
      <c r="S260" s="2">
        <f t="shared" si="48"/>
        <v>0.43727326904284203</v>
      </c>
      <c r="T260" s="4">
        <f t="shared" si="49"/>
        <v>0.19120791181941371</v>
      </c>
      <c r="U260" s="1">
        <f t="shared" si="52"/>
        <v>0.16723294155048585</v>
      </c>
      <c r="V260" s="6">
        <f>2*sigma/alpha*corel*(B260/12-1/alpha*(1-EXP(-alpha*Output!B260/12)))</f>
        <v>0.8314040197547985</v>
      </c>
      <c r="W260" s="5">
        <f t="shared" si="50"/>
        <v>-2.3974970268927864E-2</v>
      </c>
      <c r="X260" s="1">
        <f t="shared" si="51"/>
        <v>2.6811551763854502</v>
      </c>
      <c r="Y260" s="3">
        <f t="shared" si="41"/>
        <v>1.9422152162684718E-2</v>
      </c>
      <c r="Z260" s="1">
        <f t="shared" si="42"/>
        <v>9.5993953579520647E-2</v>
      </c>
      <c r="AA260" s="8">
        <f t="shared" si="47"/>
        <v>20.666666666666643</v>
      </c>
      <c r="AB260" s="1">
        <v>20.75</v>
      </c>
      <c r="AC260" s="1">
        <v>7.1032623360000003E-3</v>
      </c>
      <c r="AD260" s="8">
        <f t="shared" si="43"/>
        <v>0.1973211484632576</v>
      </c>
      <c r="AE260" s="3">
        <f t="shared" si="44"/>
        <v>2.7778947071012078E-3</v>
      </c>
      <c r="AF260" s="11">
        <f t="shared" si="45"/>
        <v>20.666666666666643</v>
      </c>
      <c r="AG260" s="1">
        <f t="shared" si="46"/>
        <v>9.5993953579520647E-2</v>
      </c>
    </row>
    <row r="261" spans="2:33" ht="15" x14ac:dyDescent="0.25">
      <c r="B261" s="1">
        <v>250</v>
      </c>
      <c r="C261" s="1">
        <v>1.0003489083130341</v>
      </c>
      <c r="D261" s="1">
        <v>1.1608177210238606</v>
      </c>
      <c r="E261" s="1">
        <v>0.86077316765746492</v>
      </c>
      <c r="G261" s="1">
        <v>0.99884166788795847</v>
      </c>
      <c r="H261" s="1">
        <v>3.6086268477490933</v>
      </c>
      <c r="I261" s="1">
        <v>0.24536128383996075</v>
      </c>
      <c r="K261" s="1">
        <v>1.0000155771578476</v>
      </c>
      <c r="L261" s="1">
        <v>1.4038530223849202</v>
      </c>
      <c r="M261" s="1">
        <v>0.70641996008037433</v>
      </c>
      <c r="O261" s="1">
        <v>7.0909888744891203E-3</v>
      </c>
      <c r="P261" s="1">
        <v>0.86266492161821806</v>
      </c>
      <c r="R261" s="1">
        <v>0.10220277171999931</v>
      </c>
      <c r="S261" s="2">
        <f t="shared" si="48"/>
        <v>0.43943891022747816</v>
      </c>
      <c r="T261" s="4">
        <f t="shared" si="49"/>
        <v>0.19310655582191361</v>
      </c>
      <c r="U261" s="1">
        <f t="shared" si="52"/>
        <v>0.16889367020110768</v>
      </c>
      <c r="V261" s="6">
        <f>2*sigma/alpha*corel*(B261/12-1/alpha*(1-EXP(-alpha*Output!B261/12)))</f>
        <v>0.83728606825128593</v>
      </c>
      <c r="W261" s="5">
        <f t="shared" si="50"/>
        <v>-2.4212885620805924E-2</v>
      </c>
      <c r="X261" s="1">
        <f t="shared" si="51"/>
        <v>2.7187884284881907</v>
      </c>
      <c r="Y261" s="3">
        <f t="shared" si="41"/>
        <v>1.94781319083921E-2</v>
      </c>
      <c r="Z261" s="1">
        <f t="shared" si="42"/>
        <v>9.6276241510830973E-2</v>
      </c>
      <c r="AA261" s="8">
        <f t="shared" si="47"/>
        <v>20.749999999999975</v>
      </c>
      <c r="AB261" s="1">
        <v>20.83</v>
      </c>
      <c r="AC261" s="1">
        <v>7.1114098819999999E-3</v>
      </c>
      <c r="AD261" s="8">
        <f t="shared" si="43"/>
        <v>0.20421007510879574</v>
      </c>
      <c r="AE261" s="3">
        <f t="shared" si="44"/>
        <v>2.8715835326224236E-3</v>
      </c>
      <c r="AF261" s="11">
        <f t="shared" si="45"/>
        <v>20.749999999999975</v>
      </c>
      <c r="AG261" s="1">
        <f t="shared" si="46"/>
        <v>9.6276241510830973E-2</v>
      </c>
    </row>
    <row r="262" spans="2:33" ht="15" x14ac:dyDescent="0.25">
      <c r="B262" s="1">
        <v>251</v>
      </c>
      <c r="C262" s="1">
        <v>1.0003543054034407</v>
      </c>
      <c r="D262" s="1">
        <v>1.1585929501901593</v>
      </c>
      <c r="E262" s="1">
        <v>0.86242449337826999</v>
      </c>
      <c r="G262" s="1">
        <v>0.99910873190883853</v>
      </c>
      <c r="H262" s="1">
        <v>3.518998976829387</v>
      </c>
      <c r="I262" s="1">
        <v>0.25148877114022905</v>
      </c>
      <c r="K262" s="1">
        <v>1.0000178789645098</v>
      </c>
      <c r="L262" s="1">
        <v>1.408191054047637</v>
      </c>
      <c r="M262" s="1">
        <v>0.70420829658080453</v>
      </c>
      <c r="O262" s="1">
        <v>7.0985094862131143E-3</v>
      </c>
      <c r="P262" s="1">
        <v>0.8620196982742292</v>
      </c>
      <c r="R262" s="1">
        <v>0.10264993621153991</v>
      </c>
      <c r="S262" s="2">
        <f t="shared" si="48"/>
        <v>0.44160442239340225</v>
      </c>
      <c r="T262" s="4">
        <f t="shared" si="49"/>
        <v>0.19501446587741042</v>
      </c>
      <c r="U262" s="1">
        <f t="shared" si="52"/>
        <v>0.17056293087633145</v>
      </c>
      <c r="V262" s="6">
        <f>2*sigma/alpha*corel*(B262/12-1/alpha*(1-EXP(-alpha*Output!B262/12)))</f>
        <v>0.84318320697731886</v>
      </c>
      <c r="W262" s="5">
        <f t="shared" si="50"/>
        <v>-2.4451535001078967E-2</v>
      </c>
      <c r="X262" s="1">
        <f t="shared" si="51"/>
        <v>2.7567363489521628</v>
      </c>
      <c r="Y262" s="3">
        <f t="shared" si="41"/>
        <v>1.9533682028466413E-2</v>
      </c>
      <c r="Z262" s="1">
        <f t="shared" si="42"/>
        <v>9.6557758668474603E-2</v>
      </c>
      <c r="AA262" s="8">
        <f t="shared" si="47"/>
        <v>20.833333333333307</v>
      </c>
      <c r="AB262" s="1">
        <v>20.92</v>
      </c>
      <c r="AC262" s="1">
        <v>7.1194541869999996E-3</v>
      </c>
      <c r="AD262" s="8">
        <f t="shared" si="43"/>
        <v>0.2094470078688529</v>
      </c>
      <c r="AE262" s="3">
        <f t="shared" si="44"/>
        <v>2.9418969820930868E-3</v>
      </c>
      <c r="AF262" s="11">
        <f t="shared" si="45"/>
        <v>20.833333333333307</v>
      </c>
      <c r="AG262" s="1">
        <f t="shared" si="46"/>
        <v>9.6557758668474603E-2</v>
      </c>
    </row>
    <row r="263" spans="2:33" ht="15" x14ac:dyDescent="0.25">
      <c r="B263" s="1">
        <v>252</v>
      </c>
      <c r="C263" s="1">
        <v>1.0003525547598699</v>
      </c>
      <c r="D263" s="1">
        <v>1.1604622620223866</v>
      </c>
      <c r="E263" s="1">
        <v>0.86103371325788181</v>
      </c>
      <c r="G263" s="1">
        <v>0.99879628041800839</v>
      </c>
      <c r="H263" s="1">
        <v>3.5699583321247177</v>
      </c>
      <c r="I263" s="1">
        <v>0.24777890156072491</v>
      </c>
      <c r="K263" s="1">
        <v>1.0000059269969037</v>
      </c>
      <c r="L263" s="1">
        <v>1.4089444843071834</v>
      </c>
      <c r="M263" s="1">
        <v>0.70379840365689439</v>
      </c>
      <c r="O263" s="1">
        <v>7.1063900533897568E-3</v>
      </c>
      <c r="P263" s="1">
        <v>0.86136736668670388</v>
      </c>
      <c r="R263" s="1">
        <v>0.10306192224514983</v>
      </c>
      <c r="S263" s="2">
        <f t="shared" si="48"/>
        <v>0.44367849170351492</v>
      </c>
      <c r="T263" s="4">
        <f t="shared" si="49"/>
        <v>0.19685060400030596</v>
      </c>
      <c r="U263" s="1">
        <f t="shared" si="52"/>
        <v>0.17224071693508503</v>
      </c>
      <c r="V263" s="6">
        <f>2*sigma/alpha*corel*(B263/12-1/alpha*(1-EXP(-alpha*Output!B263/12)))</f>
        <v>0.84909538571587406</v>
      </c>
      <c r="W263" s="5">
        <f t="shared" si="50"/>
        <v>-2.4609887065220937E-2</v>
      </c>
      <c r="X263" s="1">
        <f t="shared" si="51"/>
        <v>2.7881934875225474</v>
      </c>
      <c r="Y263" s="3">
        <f t="shared" si="41"/>
        <v>1.9540311195328126E-2</v>
      </c>
      <c r="Z263" s="1">
        <f t="shared" si="42"/>
        <v>9.6818584402628277E-2</v>
      </c>
      <c r="AA263" s="8">
        <f t="shared" si="47"/>
        <v>20.916666666666639</v>
      </c>
      <c r="AB263" s="1">
        <v>21</v>
      </c>
      <c r="AC263" s="1">
        <v>7.1276171789999999E-3</v>
      </c>
      <c r="AD263" s="8">
        <f t="shared" si="43"/>
        <v>0.21227125610243092</v>
      </c>
      <c r="AE263" s="3">
        <f t="shared" si="44"/>
        <v>2.9781517549489441E-3</v>
      </c>
      <c r="AF263" s="11">
        <f t="shared" si="45"/>
        <v>20.916666666666639</v>
      </c>
      <c r="AG263" s="1">
        <f t="shared" si="46"/>
        <v>9.6818584402628277E-2</v>
      </c>
    </row>
    <row r="264" spans="2:33" ht="15" x14ac:dyDescent="0.25">
      <c r="B264" s="1">
        <v>253</v>
      </c>
      <c r="C264" s="1">
        <v>1.0003553257628526</v>
      </c>
      <c r="D264" s="1">
        <v>1.1623937962313169</v>
      </c>
      <c r="E264" s="1">
        <v>0.85960139088344234</v>
      </c>
      <c r="G264" s="1">
        <v>0.99885267058033367</v>
      </c>
      <c r="H264" s="1">
        <v>3.6205038348412044</v>
      </c>
      <c r="I264" s="1">
        <v>0.24420142435903056</v>
      </c>
      <c r="K264" s="1">
        <v>1.0000115493874757</v>
      </c>
      <c r="L264" s="1">
        <v>1.4014575055092746</v>
      </c>
      <c r="M264" s="1">
        <v>0.70756250302607537</v>
      </c>
      <c r="O264" s="1">
        <v>7.1147231723878521E-3</v>
      </c>
      <c r="P264" s="1">
        <v>0.86070618596682913</v>
      </c>
      <c r="R264" s="1">
        <v>0.10350604856996637</v>
      </c>
      <c r="S264" s="2">
        <f t="shared" si="48"/>
        <v>0.4458606056946619</v>
      </c>
      <c r="T264" s="4">
        <f t="shared" si="49"/>
        <v>0.19879167971041078</v>
      </c>
      <c r="U264" s="1">
        <f t="shared" si="52"/>
        <v>0.17392702161386797</v>
      </c>
      <c r="V264" s="6">
        <f>2*sigma/alpha*corel*(B264/12-1/alpha*(1-EXP(-alpha*Output!B264/12)))</f>
        <v>0.85502255441703845</v>
      </c>
      <c r="W264" s="5">
        <f t="shared" si="50"/>
        <v>-2.4864658096542813E-2</v>
      </c>
      <c r="X264" s="1">
        <f t="shared" si="51"/>
        <v>2.8279830680369478</v>
      </c>
      <c r="Y264" s="3">
        <f t="shared" si="41"/>
        <v>1.9604069218785634E-2</v>
      </c>
      <c r="Z264" s="1">
        <f t="shared" si="42"/>
        <v>9.7102288199693423E-2</v>
      </c>
      <c r="AA264" s="8">
        <f t="shared" si="47"/>
        <v>20.999999999999972</v>
      </c>
      <c r="AB264" s="1">
        <v>21.08</v>
      </c>
      <c r="AC264" s="1">
        <v>7.1361207810000001E-3</v>
      </c>
      <c r="AD264" s="8">
        <f t="shared" si="43"/>
        <v>0.21397608612147914</v>
      </c>
      <c r="AE264" s="3">
        <f t="shared" si="44"/>
        <v>2.9984930564963645E-3</v>
      </c>
      <c r="AF264" s="11">
        <f t="shared" si="45"/>
        <v>20.999999999999972</v>
      </c>
      <c r="AG264" s="1">
        <f t="shared" si="46"/>
        <v>9.7102288199693423E-2</v>
      </c>
    </row>
    <row r="265" spans="2:33" ht="15" x14ac:dyDescent="0.25">
      <c r="B265" s="1">
        <v>254</v>
      </c>
      <c r="C265" s="1">
        <v>1.0003635387551817</v>
      </c>
      <c r="D265" s="1">
        <v>1.160791993239418</v>
      </c>
      <c r="E265" s="1">
        <v>0.86078601884163131</v>
      </c>
      <c r="G265" s="1">
        <v>0.99934252785950195</v>
      </c>
      <c r="H265" s="1">
        <v>3.573672459046457</v>
      </c>
      <c r="I265" s="1">
        <v>0.24728182454039233</v>
      </c>
      <c r="K265" s="1">
        <v>1.0000078070104086</v>
      </c>
      <c r="L265" s="1">
        <v>1.3999987672883392</v>
      </c>
      <c r="M265" s="1">
        <v>0.70828032532114471</v>
      </c>
      <c r="O265" s="1">
        <v>7.1235673154715299E-3</v>
      </c>
      <c r="P265" s="1">
        <v>0.86003501551859685</v>
      </c>
      <c r="R265" s="1">
        <v>0.10396883428489606</v>
      </c>
      <c r="S265" s="2">
        <f t="shared" si="48"/>
        <v>0.44811299266817384</v>
      </c>
      <c r="T265" s="4">
        <f t="shared" si="49"/>
        <v>0.20080525419802681</v>
      </c>
      <c r="U265" s="1">
        <f t="shared" si="52"/>
        <v>0.17562183802811893</v>
      </c>
      <c r="V265" s="6">
        <f>2*sigma/alpha*corel*(B265/12-1/alpha*(1-EXP(-alpha*Output!B265/12)))</f>
        <v>0.86096466319745635</v>
      </c>
      <c r="W265" s="5">
        <f t="shared" si="50"/>
        <v>-2.518341616990788E-2</v>
      </c>
      <c r="X265" s="1">
        <f t="shared" si="51"/>
        <v>2.8734560536602434</v>
      </c>
      <c r="Y265" s="3">
        <f t="shared" si="41"/>
        <v>1.9704625665485469E-2</v>
      </c>
      <c r="Z265" s="1">
        <f t="shared" si="42"/>
        <v>9.7400525681622399E-2</v>
      </c>
      <c r="AA265" s="8">
        <f t="shared" si="47"/>
        <v>21.083333333333304</v>
      </c>
      <c r="AB265" s="1">
        <v>21.17</v>
      </c>
      <c r="AC265" s="1">
        <v>7.1451405870000002E-3</v>
      </c>
      <c r="AD265" s="8">
        <f t="shared" si="43"/>
        <v>0.21573271528470273</v>
      </c>
      <c r="AE265" s="3">
        <f t="shared" si="44"/>
        <v>3.0192927998815137E-3</v>
      </c>
      <c r="AF265" s="11">
        <f t="shared" si="45"/>
        <v>21.083333333333304</v>
      </c>
      <c r="AG265" s="1">
        <f t="shared" si="46"/>
        <v>9.7400525681622399E-2</v>
      </c>
    </row>
    <row r="266" spans="2:33" ht="15" x14ac:dyDescent="0.25">
      <c r="B266" s="1">
        <v>255</v>
      </c>
      <c r="C266" s="1">
        <v>1.000368601659638</v>
      </c>
      <c r="D266" s="1">
        <v>1.1601537490283322</v>
      </c>
      <c r="E266" s="1">
        <v>0.86125801395923862</v>
      </c>
      <c r="G266" s="1">
        <v>0.99956255163766106</v>
      </c>
      <c r="H266" s="1">
        <v>3.5581093636754861</v>
      </c>
      <c r="I266" s="1">
        <v>0.2482432160345853</v>
      </c>
      <c r="K266" s="1">
        <v>1.0000036668030889</v>
      </c>
      <c r="L266" s="1">
        <v>1.4011488491779251</v>
      </c>
      <c r="M266" s="1">
        <v>0.70765516821554708</v>
      </c>
      <c r="O266" s="1">
        <v>7.1328456504547808E-3</v>
      </c>
      <c r="P266" s="1">
        <v>0.85935517277602447</v>
      </c>
      <c r="R266" s="1">
        <v>0.10440989090697822</v>
      </c>
      <c r="S266" s="2">
        <f t="shared" si="48"/>
        <v>0.45031552870812708</v>
      </c>
      <c r="T266" s="4">
        <f t="shared" si="49"/>
        <v>0.20278407539568002</v>
      </c>
      <c r="U266" s="1">
        <f t="shared" si="52"/>
        <v>0.17732515917357228</v>
      </c>
      <c r="V266" s="6">
        <f>2*sigma/alpha*corel*(B266/12-1/alpha*(1-EXP(-alpha*Output!B266/12)))</f>
        <v>0.86692166233977064</v>
      </c>
      <c r="W266" s="5">
        <f t="shared" si="50"/>
        <v>-2.5458916222107747E-2</v>
      </c>
      <c r="X266" s="1">
        <f t="shared" si="51"/>
        <v>2.9155610475131097</v>
      </c>
      <c r="Y266" s="3">
        <f t="shared" si="41"/>
        <v>1.9778346882238014E-2</v>
      </c>
      <c r="Z266" s="1">
        <f t="shared" si="42"/>
        <v>9.7687153805504218E-2</v>
      </c>
      <c r="AA266" s="8">
        <f t="shared" si="47"/>
        <v>21.166666666666636</v>
      </c>
      <c r="AB266" s="1">
        <v>21.25</v>
      </c>
      <c r="AC266" s="1">
        <v>7.1546668690000001E-3</v>
      </c>
      <c r="AD266" s="8">
        <f t="shared" si="43"/>
        <v>0.2182121854521924</v>
      </c>
      <c r="AE266" s="3">
        <f t="shared" si="44"/>
        <v>3.049927962371946E-3</v>
      </c>
      <c r="AF266" s="11">
        <f t="shared" si="45"/>
        <v>21.166666666666636</v>
      </c>
      <c r="AG266" s="1">
        <f t="shared" si="46"/>
        <v>9.7687153805504218E-2</v>
      </c>
    </row>
    <row r="267" spans="2:33" ht="15" x14ac:dyDescent="0.25">
      <c r="B267" s="1">
        <v>256</v>
      </c>
      <c r="C267" s="1">
        <v>1.0003732839823225</v>
      </c>
      <c r="D267" s="1">
        <v>1.1588041571067211</v>
      </c>
      <c r="E267" s="1">
        <v>0.86225951472260398</v>
      </c>
      <c r="G267" s="1">
        <v>0.99976860800085654</v>
      </c>
      <c r="H267" s="1">
        <v>3.5197403501900779</v>
      </c>
      <c r="I267" s="1">
        <v>0.25082787428182513</v>
      </c>
      <c r="K267" s="1">
        <v>1.0000059495670446</v>
      </c>
      <c r="L267" s="1">
        <v>1.3961783352538142</v>
      </c>
      <c r="M267" s="1">
        <v>0.71015749550238405</v>
      </c>
      <c r="O267" s="1">
        <v>7.142497220961469E-3</v>
      </c>
      <c r="P267" s="1">
        <v>0.85866770254457547</v>
      </c>
      <c r="R267" s="1">
        <v>0.10483079001391239</v>
      </c>
      <c r="S267" s="2">
        <f t="shared" si="48"/>
        <v>0.4524713610897777</v>
      </c>
      <c r="T267" s="4">
        <f t="shared" si="49"/>
        <v>0.204730332606436</v>
      </c>
      <c r="U267" s="1">
        <f t="shared" si="52"/>
        <v>0.17903697792760287</v>
      </c>
      <c r="V267" s="6">
        <f>2*sigma/alpha*corel*(B267/12-1/alpha*(1-EXP(-alpha*Output!B267/12)))</f>
        <v>0.87289350229207496</v>
      </c>
      <c r="W267" s="5">
        <f t="shared" si="50"/>
        <v>-2.569335467883313E-2</v>
      </c>
      <c r="X267" s="1">
        <f t="shared" si="51"/>
        <v>2.954442665604152</v>
      </c>
      <c r="Y267" s="3">
        <f t="shared" si="41"/>
        <v>1.9827087300880369E-2</v>
      </c>
      <c r="Z267" s="1">
        <f t="shared" si="42"/>
        <v>9.7962923297167326E-2</v>
      </c>
      <c r="AA267" s="8">
        <f t="shared" si="47"/>
        <v>21.249999999999968</v>
      </c>
      <c r="AB267" s="1">
        <v>21.33</v>
      </c>
      <c r="AC267" s="1">
        <v>7.1646435660000004E-3</v>
      </c>
      <c r="AD267" s="8">
        <f t="shared" si="43"/>
        <v>0.22146345038531398</v>
      </c>
      <c r="AE267" s="3">
        <f t="shared" si="44"/>
        <v>3.0910602648298439E-3</v>
      </c>
      <c r="AF267" s="11">
        <f t="shared" si="45"/>
        <v>21.249999999999968</v>
      </c>
      <c r="AG267" s="1">
        <f t="shared" si="46"/>
        <v>9.7962923297167326E-2</v>
      </c>
    </row>
    <row r="268" spans="2:33" ht="15" x14ac:dyDescent="0.25">
      <c r="B268" s="1">
        <v>257</v>
      </c>
      <c r="C268" s="1">
        <v>1.0003751788307178</v>
      </c>
      <c r="D268" s="1">
        <v>1.1597009730469621</v>
      </c>
      <c r="E268" s="1">
        <v>0.86159116025945381</v>
      </c>
      <c r="G268" s="1">
        <v>0.99973190054935435</v>
      </c>
      <c r="H268" s="1">
        <v>3.5655713562248175</v>
      </c>
      <c r="I268" s="1">
        <v>0.24748394941691229</v>
      </c>
      <c r="K268" s="1">
        <v>1.0000193266122952</v>
      </c>
      <c r="L268" s="1">
        <v>1.4013943074147679</v>
      </c>
      <c r="M268" s="1">
        <v>0.70747744149709946</v>
      </c>
      <c r="O268" s="1">
        <v>7.1524587232057847E-3</v>
      </c>
      <c r="P268" s="1">
        <v>0.85797370714060617</v>
      </c>
      <c r="R268" s="1">
        <v>0.10529312208770385</v>
      </c>
      <c r="S268" s="2">
        <f t="shared" si="48"/>
        <v>0.45475996463485546</v>
      </c>
      <c r="T268" s="4">
        <f t="shared" si="49"/>
        <v>0.206806625434695</v>
      </c>
      <c r="U268" s="1">
        <f t="shared" si="52"/>
        <v>0.18075728705056449</v>
      </c>
      <c r="V268" s="6">
        <f>2*sigma/alpha*corel*(B268/12-1/alpha*(1-EXP(-alpha*Output!B268/12)))</f>
        <v>0.87888013366735995</v>
      </c>
      <c r="W268" s="5">
        <f t="shared" si="50"/>
        <v>-2.604933838413051E-2</v>
      </c>
      <c r="X268" s="1">
        <f t="shared" si="51"/>
        <v>3.0039902775956699</v>
      </c>
      <c r="Y268" s="3">
        <f t="shared" si="41"/>
        <v>1.9945265020544688E-2</v>
      </c>
      <c r="Z268" s="1">
        <f t="shared" si="42"/>
        <v>9.8266680452852945E-2</v>
      </c>
      <c r="AA268" s="8">
        <f t="shared" si="47"/>
        <v>21.3333333333333</v>
      </c>
      <c r="AB268" s="1">
        <v>21.42</v>
      </c>
      <c r="AC268" s="1">
        <v>7.1750146170000001E-3</v>
      </c>
      <c r="AD268" s="8">
        <f t="shared" si="43"/>
        <v>0.22555893794215348</v>
      </c>
      <c r="AE268" s="3">
        <f t="shared" si="44"/>
        <v>3.1436721732626049E-3</v>
      </c>
      <c r="AF268" s="11">
        <f t="shared" si="45"/>
        <v>21.3333333333333</v>
      </c>
      <c r="AG268" s="1">
        <f t="shared" si="46"/>
        <v>9.8266680452852945E-2</v>
      </c>
    </row>
    <row r="269" spans="2:33" ht="15" x14ac:dyDescent="0.25">
      <c r="B269" s="1">
        <v>258</v>
      </c>
      <c r="C269" s="1">
        <v>1.0003769974172609</v>
      </c>
      <c r="D269" s="1">
        <v>1.1577842868448456</v>
      </c>
      <c r="E269" s="1">
        <v>0.86301594865539077</v>
      </c>
      <c r="G269" s="1">
        <v>0.99969170912523475</v>
      </c>
      <c r="H269" s="1">
        <v>3.4931642195175705</v>
      </c>
      <c r="I269" s="1">
        <v>0.2524915890636279</v>
      </c>
      <c r="K269" s="1">
        <v>1.000028439183803</v>
      </c>
      <c r="L269" s="1">
        <v>1.4017857991517113</v>
      </c>
      <c r="M269" s="1">
        <v>0.70725991543278344</v>
      </c>
      <c r="O269" s="1">
        <v>7.1626184082460263E-3</v>
      </c>
      <c r="P269" s="1">
        <v>0.85727519654382811</v>
      </c>
      <c r="R269" s="1">
        <v>0.10566211653007133</v>
      </c>
      <c r="S269" s="2">
        <f t="shared" si="48"/>
        <v>0.45678255179255567</v>
      </c>
      <c r="T269" s="4">
        <f t="shared" si="49"/>
        <v>0.20865029962211881</v>
      </c>
      <c r="U269" s="1">
        <f t="shared" si="52"/>
        <v>0.18248607918711102</v>
      </c>
      <c r="V269" s="6">
        <f>2*sigma/alpha*corel*(B269/12-1/alpha*(1-EXP(-alpha*Output!B269/12)))</f>
        <v>0.88488150724296522</v>
      </c>
      <c r="W269" s="5">
        <f t="shared" si="50"/>
        <v>-2.6164220435007796E-2</v>
      </c>
      <c r="X269" s="1">
        <f t="shared" si="51"/>
        <v>3.0331382392712523</v>
      </c>
      <c r="Y269" s="3">
        <f t="shared" ref="Y269:Y332" si="53">(-V269+SQRT(X269))/2/B269*12</f>
        <v>1.9923470086023912E-2</v>
      </c>
      <c r="Z269" s="1">
        <f t="shared" ref="Z269:Z332" si="54">S269/SQRT(B269/12)</f>
        <v>9.8512258621469034E-2</v>
      </c>
      <c r="AA269" s="8">
        <f t="shared" si="47"/>
        <v>21.416666666666632</v>
      </c>
      <c r="AB269" s="1">
        <v>21.5</v>
      </c>
      <c r="AC269" s="1">
        <v>7.1857239629999998E-3</v>
      </c>
      <c r="AD269" s="8">
        <f t="shared" ref="AD269:AD332" si="55">(AC269-O269)*10000</f>
        <v>0.2310555475397349</v>
      </c>
      <c r="AE269" s="3">
        <f t="shared" ref="AE269:AE332" si="56">AD269/AC269/10000</f>
        <v>3.2154804265994998E-3</v>
      </c>
      <c r="AF269" s="11">
        <f t="shared" ref="AF269:AF332" si="57">AA269</f>
        <v>21.416666666666632</v>
      </c>
      <c r="AG269" s="1">
        <f t="shared" ref="AG269:AG332" si="58">Z269</f>
        <v>9.8512258621469034E-2</v>
      </c>
    </row>
    <row r="270" spans="2:33" ht="15" x14ac:dyDescent="0.25">
      <c r="B270" s="1">
        <v>259</v>
      </c>
      <c r="C270" s="1">
        <v>1.0003764256215513</v>
      </c>
      <c r="D270" s="1">
        <v>1.1558268736651802</v>
      </c>
      <c r="E270" s="1">
        <v>0.86447592268022899</v>
      </c>
      <c r="G270" s="1">
        <v>0.99946847835523167</v>
      </c>
      <c r="H270" s="1">
        <v>3.4404642333690791</v>
      </c>
      <c r="I270" s="1">
        <v>0.2562351010878135</v>
      </c>
      <c r="K270" s="1">
        <v>1.0000323381886138</v>
      </c>
      <c r="L270" s="1">
        <v>1.411762681889454</v>
      </c>
      <c r="M270" s="1">
        <v>0.70224380322569568</v>
      </c>
      <c r="O270" s="1">
        <v>7.1730184099020088E-3</v>
      </c>
      <c r="P270" s="1">
        <v>0.85657136130308698</v>
      </c>
      <c r="R270" s="1">
        <v>0.1061067027038276</v>
      </c>
      <c r="S270" s="2">
        <f t="shared" si="48"/>
        <v>0.45903687886779876</v>
      </c>
      <c r="T270" s="4">
        <f t="shared" si="49"/>
        <v>0.21071485616069016</v>
      </c>
      <c r="U270" s="1">
        <f t="shared" si="52"/>
        <v>0.18422334686751229</v>
      </c>
      <c r="V270" s="6">
        <f>2*sigma/alpha*corel*(B270/12-1/alpha*(1-EXP(-alpha*Output!B270/12)))</f>
        <v>0.89089757396003311</v>
      </c>
      <c r="W270" s="5">
        <f t="shared" si="50"/>
        <v>-2.6491509293177867E-2</v>
      </c>
      <c r="X270" s="1">
        <f t="shared" si="51"/>
        <v>3.0807987895988953</v>
      </c>
      <c r="Y270" s="3">
        <f t="shared" si="53"/>
        <v>2.0022923515201876E-2</v>
      </c>
      <c r="Z270" s="1">
        <f t="shared" si="54"/>
        <v>9.8807137791191865E-2</v>
      </c>
      <c r="AA270" s="8">
        <f t="shared" ref="AA270:AA333" si="59">AA269+1/12</f>
        <v>21.499999999999964</v>
      </c>
      <c r="AB270" s="1">
        <v>21.58</v>
      </c>
      <c r="AC270" s="1">
        <v>7.1967155430000002E-3</v>
      </c>
      <c r="AD270" s="8">
        <f t="shared" si="55"/>
        <v>0.23697133097991435</v>
      </c>
      <c r="AE270" s="3">
        <f t="shared" si="56"/>
        <v>3.2927705640722216E-3</v>
      </c>
      <c r="AF270" s="11">
        <f t="shared" si="57"/>
        <v>21.499999999999964</v>
      </c>
      <c r="AG270" s="1">
        <f t="shared" si="58"/>
        <v>9.8807137791191865E-2</v>
      </c>
    </row>
    <row r="271" spans="2:33" ht="15" x14ac:dyDescent="0.25">
      <c r="B271" s="1">
        <v>260</v>
      </c>
      <c r="C271" s="1">
        <v>1.0003763480890282</v>
      </c>
      <c r="D271" s="1">
        <v>1.1551709648138648</v>
      </c>
      <c r="E271" s="1">
        <v>0.86496521512443347</v>
      </c>
      <c r="G271" s="1">
        <v>0.9992782679126907</v>
      </c>
      <c r="H271" s="1">
        <v>3.438135004334872</v>
      </c>
      <c r="I271" s="1">
        <v>0.25628459257014874</v>
      </c>
      <c r="K271" s="1">
        <v>1.0000235413090295</v>
      </c>
      <c r="L271" s="1">
        <v>1.4248338785581707</v>
      </c>
      <c r="M271" s="1">
        <v>0.69579139658905398</v>
      </c>
      <c r="O271" s="1">
        <v>7.1835839152331413E-3</v>
      </c>
      <c r="P271" s="1">
        <v>0.85586355135981174</v>
      </c>
      <c r="R271" s="1">
        <v>0.10648641322973307</v>
      </c>
      <c r="S271" s="2">
        <f t="shared" si="48"/>
        <v>0.46110789651782846</v>
      </c>
      <c r="T271" s="4">
        <f t="shared" si="49"/>
        <v>0.21262049223109641</v>
      </c>
      <c r="U271" s="1">
        <f t="shared" si="52"/>
        <v>0.18596908250895661</v>
      </c>
      <c r="V271" s="6">
        <f>2*sigma/alpha*corel*(B271/12-1/alpha*(1-EXP(-alpha*Output!B271/12)))</f>
        <v>0.8969282849229645</v>
      </c>
      <c r="W271" s="5">
        <f t="shared" si="50"/>
        <v>-2.6651409722139807E-2</v>
      </c>
      <c r="X271" s="1">
        <f t="shared" si="51"/>
        <v>3.1142691908803006</v>
      </c>
      <c r="Y271" s="3">
        <f t="shared" si="53"/>
        <v>2.0026175234970391E-2</v>
      </c>
      <c r="Z271" s="1">
        <f t="shared" si="54"/>
        <v>9.9061866970035772E-2</v>
      </c>
      <c r="AA271" s="8">
        <f t="shared" si="59"/>
        <v>21.583333333333297</v>
      </c>
      <c r="AB271" s="1">
        <v>21.67</v>
      </c>
      <c r="AC271" s="1">
        <v>7.2079332050000002E-3</v>
      </c>
      <c r="AD271" s="8">
        <f t="shared" si="55"/>
        <v>0.24349289766858845</v>
      </c>
      <c r="AE271" s="3">
        <f t="shared" si="56"/>
        <v>3.3781236693436931E-3</v>
      </c>
      <c r="AF271" s="11">
        <f t="shared" si="57"/>
        <v>21.583333333333297</v>
      </c>
      <c r="AG271" s="1">
        <f t="shared" si="58"/>
        <v>9.9061866970035772E-2</v>
      </c>
    </row>
    <row r="272" spans="2:33" ht="15" x14ac:dyDescent="0.25">
      <c r="B272" s="1">
        <v>261</v>
      </c>
      <c r="C272" s="1">
        <v>1.0003781095332895</v>
      </c>
      <c r="D272" s="1">
        <v>1.1562369491545479</v>
      </c>
      <c r="E272" s="1">
        <v>0.86416620920035481</v>
      </c>
      <c r="G272" s="1">
        <v>0.99926217571626075</v>
      </c>
      <c r="H272" s="1">
        <v>3.452655230757931</v>
      </c>
      <c r="I272" s="1">
        <v>0.25508326478452531</v>
      </c>
      <c r="K272" s="1">
        <v>1.0000240046326614</v>
      </c>
      <c r="L272" s="1">
        <v>1.4113591542325439</v>
      </c>
      <c r="M272" s="1">
        <v>0.70240302216703498</v>
      </c>
      <c r="O272" s="1">
        <v>7.1942815827737748E-3</v>
      </c>
      <c r="P272" s="1">
        <v>0.85515236227912084</v>
      </c>
      <c r="R272" s="1">
        <v>0.10689538973827872</v>
      </c>
      <c r="S272" s="2">
        <f t="shared" si="48"/>
        <v>0.46327191638123055</v>
      </c>
      <c r="T272" s="4">
        <f t="shared" si="49"/>
        <v>0.21462086850753787</v>
      </c>
      <c r="U272" s="1">
        <f t="shared" si="52"/>
        <v>0.187723278416843</v>
      </c>
      <c r="V272" s="6">
        <f>2*sigma/alpha*corel*(B272/12-1/alpha*(1-EXP(-alpha*Output!B272/12)))</f>
        <v>0.9029735913988719</v>
      </c>
      <c r="W272" s="5">
        <f t="shared" si="50"/>
        <v>-2.6897590090694867E-2</v>
      </c>
      <c r="X272" s="1">
        <f t="shared" si="51"/>
        <v>3.1554516446542302</v>
      </c>
      <c r="Y272" s="3">
        <f t="shared" si="53"/>
        <v>2.0077827735413063E-2</v>
      </c>
      <c r="Z272" s="1">
        <f t="shared" si="54"/>
        <v>9.9335925718128798E-2</v>
      </c>
      <c r="AA272" s="8">
        <f t="shared" si="59"/>
        <v>21.666666666666629</v>
      </c>
      <c r="AB272" s="1">
        <v>21.75</v>
      </c>
      <c r="AC272" s="1">
        <v>7.2193204360000004E-3</v>
      </c>
      <c r="AD272" s="8">
        <f t="shared" si="55"/>
        <v>0.25038853226225577</v>
      </c>
      <c r="AE272" s="3">
        <f t="shared" si="56"/>
        <v>3.4683116573363828E-3</v>
      </c>
      <c r="AF272" s="11">
        <f t="shared" si="57"/>
        <v>21.666666666666629</v>
      </c>
      <c r="AG272" s="1">
        <f t="shared" si="58"/>
        <v>9.9335925718128798E-2</v>
      </c>
    </row>
    <row r="273" spans="2:33" ht="15" x14ac:dyDescent="0.25">
      <c r="B273" s="1">
        <v>262</v>
      </c>
      <c r="C273" s="1">
        <v>1.0003812316534404</v>
      </c>
      <c r="D273" s="1">
        <v>1.1559464677007085</v>
      </c>
      <c r="E273" s="1">
        <v>0.86438181114113199</v>
      </c>
      <c r="G273" s="1">
        <v>0.99932906355235851</v>
      </c>
      <c r="H273" s="1">
        <v>3.4448499395109886</v>
      </c>
      <c r="I273" s="1">
        <v>0.25553749381356405</v>
      </c>
      <c r="K273" s="1">
        <v>1.0000282592575138</v>
      </c>
      <c r="L273" s="1">
        <v>1.4097749252641345</v>
      </c>
      <c r="M273" s="1">
        <v>0.70317324970664996</v>
      </c>
      <c r="O273" s="1">
        <v>7.2050463489334955E-3</v>
      </c>
      <c r="P273" s="1">
        <v>0.85443898900521542</v>
      </c>
      <c r="R273" s="1">
        <v>0.10727738277665587</v>
      </c>
      <c r="S273" s="2">
        <f t="shared" si="48"/>
        <v>0.46536160918321601</v>
      </c>
      <c r="T273" s="4">
        <f t="shared" si="49"/>
        <v>0.21656142730159228</v>
      </c>
      <c r="U273" s="1">
        <f t="shared" si="52"/>
        <v>0.18948592678606557</v>
      </c>
      <c r="V273" s="6">
        <f>2*sigma/alpha*corel*(B273/12-1/alpha*(1-EXP(-alpha*Output!B273/12)))</f>
        <v>0.90903344481704162</v>
      </c>
      <c r="W273" s="5">
        <f t="shared" si="50"/>
        <v>-2.7075500515526707E-2</v>
      </c>
      <c r="X273" s="1">
        <f t="shared" si="51"/>
        <v>3.1909355154852701</v>
      </c>
      <c r="Y273" s="3">
        <f t="shared" si="53"/>
        <v>2.0090508549409893E-2</v>
      </c>
      <c r="Z273" s="1">
        <f t="shared" si="54"/>
        <v>9.9593393347883336E-2</v>
      </c>
      <c r="AA273" s="8">
        <f t="shared" si="59"/>
        <v>21.749999999999961</v>
      </c>
      <c r="AB273" s="1">
        <v>21.83</v>
      </c>
      <c r="AC273" s="1">
        <v>7.2308206270000003E-3</v>
      </c>
      <c r="AD273" s="8">
        <f t="shared" si="55"/>
        <v>0.2577427806650483</v>
      </c>
      <c r="AE273" s="3">
        <f t="shared" si="56"/>
        <v>3.5645024812623982E-3</v>
      </c>
      <c r="AF273" s="11">
        <f t="shared" si="57"/>
        <v>21.749999999999961</v>
      </c>
      <c r="AG273" s="1">
        <f t="shared" si="58"/>
        <v>9.9593393347883336E-2</v>
      </c>
    </row>
    <row r="274" spans="2:33" ht="15" x14ac:dyDescent="0.25">
      <c r="B274" s="1">
        <v>263</v>
      </c>
      <c r="C274" s="1">
        <v>1.0003834444137918</v>
      </c>
      <c r="D274" s="1">
        <v>1.1589720507984329</v>
      </c>
      <c r="E274" s="1">
        <v>0.86212372493382095</v>
      </c>
      <c r="G274" s="1">
        <v>0.9993390130362193</v>
      </c>
      <c r="H274" s="1">
        <v>3.5309513701195887</v>
      </c>
      <c r="I274" s="1">
        <v>0.24918561345957918</v>
      </c>
      <c r="K274" s="1">
        <v>1.0000321449478695</v>
      </c>
      <c r="L274" s="1">
        <v>1.415929785145263</v>
      </c>
      <c r="M274" s="1">
        <v>0.70007539888367742</v>
      </c>
      <c r="O274" s="1">
        <v>7.2158638695810785E-3</v>
      </c>
      <c r="P274" s="1">
        <v>0.85372369206108778</v>
      </c>
      <c r="R274" s="1">
        <v>0.10765794453691202</v>
      </c>
      <c r="S274" s="2">
        <f t="shared" si="48"/>
        <v>0.46745189846002488</v>
      </c>
      <c r="T274" s="4">
        <f t="shared" si="49"/>
        <v>0.2185112773738814</v>
      </c>
      <c r="U274" s="1">
        <f t="shared" si="52"/>
        <v>0.19125701970228315</v>
      </c>
      <c r="V274" s="6">
        <f>2*sigma/alpha*corel*(B274/12-1/alpha*(1-EXP(-alpha*Output!B274/12)))</f>
        <v>0.91510779676839404</v>
      </c>
      <c r="W274" s="5">
        <f t="shared" si="50"/>
        <v>-2.7254257671598253E-2</v>
      </c>
      <c r="X274" s="1">
        <f t="shared" si="51"/>
        <v>3.2267122022497512</v>
      </c>
      <c r="Y274" s="3">
        <f t="shared" si="53"/>
        <v>2.0103361736300788E-2</v>
      </c>
      <c r="Z274" s="1">
        <f t="shared" si="54"/>
        <v>9.9850369583855889E-2</v>
      </c>
      <c r="AA274" s="8">
        <f t="shared" si="59"/>
        <v>21.833333333333293</v>
      </c>
      <c r="AB274" s="1">
        <v>21.92</v>
      </c>
      <c r="AC274" s="1">
        <v>7.2423771739999997E-3</v>
      </c>
      <c r="AD274" s="8">
        <f t="shared" si="55"/>
        <v>0.26513304418921202</v>
      </c>
      <c r="AE274" s="3">
        <f t="shared" si="56"/>
        <v>3.6608566195783722E-3</v>
      </c>
      <c r="AF274" s="11">
        <f t="shared" si="57"/>
        <v>21.833333333333293</v>
      </c>
      <c r="AG274" s="1">
        <f t="shared" si="58"/>
        <v>9.9850369583855889E-2</v>
      </c>
    </row>
    <row r="275" spans="2:33" ht="15" x14ac:dyDescent="0.25">
      <c r="B275" s="1">
        <v>264</v>
      </c>
      <c r="C275" s="1">
        <v>1.0003861031784622</v>
      </c>
      <c r="D275" s="1">
        <v>1.163566857687397</v>
      </c>
      <c r="E275" s="1">
        <v>0.85871773974443844</v>
      </c>
      <c r="G275" s="1">
        <v>0.99937690103818422</v>
      </c>
      <c r="H275" s="1">
        <v>3.6596053551298229</v>
      </c>
      <c r="I275" s="1">
        <v>0.24030909684696486</v>
      </c>
      <c r="K275" s="1">
        <v>1.0000431901409415</v>
      </c>
      <c r="L275" s="1">
        <v>1.4179924619423654</v>
      </c>
      <c r="M275" s="1">
        <v>0.69903449197152012</v>
      </c>
      <c r="O275" s="1">
        <v>7.2266804638094111E-3</v>
      </c>
      <c r="P275" s="1">
        <v>0.85300747341025152</v>
      </c>
      <c r="R275" s="1">
        <v>0.10805256912735887</v>
      </c>
      <c r="S275" s="2">
        <f t="shared" si="48"/>
        <v>0.46958721187560337</v>
      </c>
      <c r="T275" s="4">
        <f t="shared" si="49"/>
        <v>0.2205121495571028</v>
      </c>
      <c r="U275" s="1">
        <f t="shared" si="52"/>
        <v>0.19303654914318358</v>
      </c>
      <c r="V275" s="6">
        <f>2*sigma/alpha*corel*(B275/12-1/alpha*(1-EXP(-alpha*Output!B275/12)))</f>
        <v>0.92119659900494155</v>
      </c>
      <c r="W275" s="5">
        <f t="shared" si="50"/>
        <v>-2.7475600413919221E-2</v>
      </c>
      <c r="X275" s="1">
        <f t="shared" si="51"/>
        <v>3.2664560104431626</v>
      </c>
      <c r="Y275" s="3">
        <f t="shared" si="53"/>
        <v>2.0139485272652011E-2</v>
      </c>
      <c r="Z275" s="1">
        <f t="shared" si="54"/>
        <v>0.10011632996331245</v>
      </c>
      <c r="AA275" s="8">
        <f t="shared" si="59"/>
        <v>21.916666666666625</v>
      </c>
      <c r="AB275" s="1">
        <v>22</v>
      </c>
      <c r="AC275" s="1">
        <v>7.253933469E-3</v>
      </c>
      <c r="AD275" s="8">
        <f t="shared" si="55"/>
        <v>0.2725300519058893</v>
      </c>
      <c r="AE275" s="3">
        <f t="shared" si="56"/>
        <v>3.7569968496479647E-3</v>
      </c>
      <c r="AF275" s="11">
        <f t="shared" si="57"/>
        <v>21.916666666666625</v>
      </c>
      <c r="AG275" s="1">
        <f t="shared" si="58"/>
        <v>0.10011632996331245</v>
      </c>
    </row>
    <row r="276" spans="2:33" ht="15" x14ac:dyDescent="0.25">
      <c r="B276" s="1">
        <v>265</v>
      </c>
      <c r="C276" s="1">
        <v>1.0003887166640202</v>
      </c>
      <c r="D276" s="1">
        <v>1.156560627342496</v>
      </c>
      <c r="E276" s="1">
        <v>0.863918137543632</v>
      </c>
      <c r="G276" s="1">
        <v>0.99941440418238248</v>
      </c>
      <c r="H276" s="1">
        <v>3.4669965959640603</v>
      </c>
      <c r="I276" s="1">
        <v>0.25353669066895312</v>
      </c>
      <c r="K276" s="1">
        <v>1.00005521507193</v>
      </c>
      <c r="L276" s="1">
        <v>1.4246194144968036</v>
      </c>
      <c r="M276" s="1">
        <v>0.69578036002551891</v>
      </c>
      <c r="O276" s="1">
        <v>7.2373516663788448E-3</v>
      </c>
      <c r="P276" s="1">
        <v>0.85229305561972946</v>
      </c>
      <c r="R276" s="1">
        <v>0.10845828060675786</v>
      </c>
      <c r="S276" s="2">
        <f t="shared" si="48"/>
        <v>0.47175516248244087</v>
      </c>
      <c r="T276" s="4">
        <f t="shared" si="49"/>
        <v>0.22255293332883419</v>
      </c>
      <c r="U276" s="1">
        <f t="shared" si="52"/>
        <v>0.19482450697973341</v>
      </c>
      <c r="V276" s="6">
        <f>2*sigma/alpha*corel*(B276/12-1/alpha*(1-EXP(-alpha*Output!B276/12)))</f>
        <v>0.92729980343925833</v>
      </c>
      <c r="W276" s="5">
        <f t="shared" si="50"/>
        <v>-2.7728426349100777E-2</v>
      </c>
      <c r="X276" s="1">
        <f t="shared" si="51"/>
        <v>3.309229252962389</v>
      </c>
      <c r="Y276" s="3">
        <f t="shared" si="53"/>
        <v>2.0192352535509987E-2</v>
      </c>
      <c r="Z276" s="1">
        <f t="shared" si="54"/>
        <v>0.1003885883905215</v>
      </c>
      <c r="AA276" s="8">
        <f t="shared" si="59"/>
        <v>21.999999999999957</v>
      </c>
      <c r="AB276" s="1">
        <v>22.08</v>
      </c>
      <c r="AC276" s="1">
        <v>7.2654329060000003E-3</v>
      </c>
      <c r="AD276" s="8">
        <f t="shared" si="55"/>
        <v>0.28081239621155496</v>
      </c>
      <c r="AE276" s="3">
        <f t="shared" si="56"/>
        <v>3.8650469950613974E-3</v>
      </c>
      <c r="AF276" s="11">
        <f t="shared" si="57"/>
        <v>21.999999999999957</v>
      </c>
      <c r="AG276" s="1">
        <f t="shared" si="58"/>
        <v>0.1003885883905215</v>
      </c>
    </row>
    <row r="277" spans="2:33" ht="15" x14ac:dyDescent="0.25">
      <c r="B277" s="1">
        <v>266</v>
      </c>
      <c r="C277" s="1">
        <v>1.0003895023838976</v>
      </c>
      <c r="D277" s="1">
        <v>1.1551215880843286</v>
      </c>
      <c r="E277" s="1">
        <v>0.86499284100597673</v>
      </c>
      <c r="G277" s="1">
        <v>0.99929012677295503</v>
      </c>
      <c r="H277" s="1">
        <v>3.4263523524673154</v>
      </c>
      <c r="I277" s="1">
        <v>0.25642004958002246</v>
      </c>
      <c r="K277" s="1">
        <v>1.0000622792533755</v>
      </c>
      <c r="L277" s="1">
        <v>1.4345846560680209</v>
      </c>
      <c r="M277" s="1">
        <v>0.69091809571714502</v>
      </c>
      <c r="O277" s="1">
        <v>7.2479542655542826E-3</v>
      </c>
      <c r="P277" s="1">
        <v>0.85157901661568003</v>
      </c>
      <c r="R277" s="1">
        <v>0.1088401759791752</v>
      </c>
      <c r="S277" s="2">
        <f t="shared" si="48"/>
        <v>0.47385447948399839</v>
      </c>
      <c r="T277" s="4">
        <f t="shared" si="49"/>
        <v>0.22453806772705107</v>
      </c>
      <c r="U277" s="1">
        <f t="shared" si="52"/>
        <v>0.19662088497742181</v>
      </c>
      <c r="V277" s="6">
        <f>2*sigma/alpha*corel*(B277/12-1/alpha*(1-EXP(-alpha*Output!B277/12)))</f>
        <v>0.93341736214394122</v>
      </c>
      <c r="W277" s="5">
        <f t="shared" si="50"/>
        <v>-2.791718274962926E-2</v>
      </c>
      <c r="X277" s="1">
        <f t="shared" si="51"/>
        <v>3.346591509085548</v>
      </c>
      <c r="Y277" s="3">
        <f t="shared" si="53"/>
        <v>2.0209438960154234E-2</v>
      </c>
      <c r="Z277" s="1">
        <f t="shared" si="54"/>
        <v>0.10064560045000552</v>
      </c>
      <c r="AA277" s="8">
        <f t="shared" si="59"/>
        <v>22.08333333333329</v>
      </c>
      <c r="AB277" s="1">
        <v>22.17</v>
      </c>
      <c r="AC277" s="1">
        <v>7.2768288670000004E-3</v>
      </c>
      <c r="AD277" s="8">
        <f t="shared" si="55"/>
        <v>0.28874601445717796</v>
      </c>
      <c r="AE277" s="3">
        <f t="shared" si="56"/>
        <v>3.9680198577518363E-3</v>
      </c>
      <c r="AF277" s="11">
        <f t="shared" si="57"/>
        <v>22.08333333333329</v>
      </c>
      <c r="AG277" s="1">
        <f t="shared" si="58"/>
        <v>0.10064560045000552</v>
      </c>
    </row>
    <row r="278" spans="2:33" ht="15" x14ac:dyDescent="0.25">
      <c r="B278" s="1">
        <v>267</v>
      </c>
      <c r="C278" s="1">
        <v>1.0003930475272078</v>
      </c>
      <c r="D278" s="1">
        <v>1.1543112361035242</v>
      </c>
      <c r="E278" s="1">
        <v>0.8655985266777162</v>
      </c>
      <c r="G278" s="1">
        <v>0.99939939695400171</v>
      </c>
      <c r="H278" s="1">
        <v>3.4029604429149454</v>
      </c>
      <c r="I278" s="1">
        <v>0.25805773006470362</v>
      </c>
      <c r="K278" s="1">
        <v>1.0000612346583679</v>
      </c>
      <c r="L278" s="1">
        <v>1.4415862831292787</v>
      </c>
      <c r="M278" s="1">
        <v>0.68753884743573501</v>
      </c>
      <c r="O278" s="1">
        <v>7.258432373581189E-3</v>
      </c>
      <c r="P278" s="1">
        <v>0.85086642909577104</v>
      </c>
      <c r="R278" s="1">
        <v>0.10922090628568437</v>
      </c>
      <c r="S278" s="2">
        <f t="shared" si="48"/>
        <v>0.4759506211758715</v>
      </c>
      <c r="T278" s="4">
        <f t="shared" si="49"/>
        <v>0.22652899379769795</v>
      </c>
      <c r="U278" s="1">
        <f t="shared" si="52"/>
        <v>0.19842567479748929</v>
      </c>
      <c r="V278" s="6">
        <f>2*sigma/alpha*corel*(B278/12-1/alpha*(1-EXP(-alpha*Output!B278/12)))</f>
        <v>0.93954922735107993</v>
      </c>
      <c r="W278" s="5">
        <f t="shared" si="50"/>
        <v>-2.8103319000208654E-2</v>
      </c>
      <c r="X278" s="1">
        <f t="shared" si="51"/>
        <v>3.3839481416345816</v>
      </c>
      <c r="Y278" s="3">
        <f t="shared" si="53"/>
        <v>2.0224760524212702E-2</v>
      </c>
      <c r="Z278" s="1">
        <f t="shared" si="54"/>
        <v>0.10090132988682679</v>
      </c>
      <c r="AA278" s="8">
        <f t="shared" si="59"/>
        <v>22.166666666666622</v>
      </c>
      <c r="AB278" s="1">
        <v>22.25</v>
      </c>
      <c r="AC278" s="1">
        <v>7.2881146879999999E-3</v>
      </c>
      <c r="AD278" s="8">
        <f t="shared" si="55"/>
        <v>0.29682314418810923</v>
      </c>
      <c r="AE278" s="3">
        <f t="shared" si="56"/>
        <v>4.0727013349122149E-3</v>
      </c>
      <c r="AF278" s="11">
        <f t="shared" si="57"/>
        <v>22.166666666666622</v>
      </c>
      <c r="AG278" s="1">
        <f t="shared" si="58"/>
        <v>0.10090132988682679</v>
      </c>
    </row>
    <row r="279" spans="2:33" ht="15" x14ac:dyDescent="0.25">
      <c r="B279" s="1">
        <v>268</v>
      </c>
      <c r="C279" s="1">
        <v>1.000398852644889</v>
      </c>
      <c r="D279" s="1">
        <v>1.1537044557239882</v>
      </c>
      <c r="E279" s="1">
        <v>0.86605222127359371</v>
      </c>
      <c r="G279" s="1">
        <v>0.99967154831268379</v>
      </c>
      <c r="H279" s="1">
        <v>3.3742472522868954</v>
      </c>
      <c r="I279" s="1">
        <v>0.26012772621147479</v>
      </c>
      <c r="K279" s="1">
        <v>1.0000636329050201</v>
      </c>
      <c r="L279" s="1">
        <v>1.4348998513905222</v>
      </c>
      <c r="M279" s="1">
        <v>0.69071159287352801</v>
      </c>
      <c r="O279" s="1">
        <v>7.2687651099795046E-3</v>
      </c>
      <c r="P279" s="1">
        <v>0.85015571332965278</v>
      </c>
      <c r="R279" s="1">
        <v>0.1095868525794314</v>
      </c>
      <c r="S279" s="2">
        <f t="shared" ref="S279:S342" si="60">optim_vol_implied(P279,R279)</f>
        <v>0.47800264733800868</v>
      </c>
      <c r="T279" s="4">
        <f t="shared" ref="T279:T342" si="61">S279*S279</f>
        <v>0.22848653086214468</v>
      </c>
      <c r="U279" s="1">
        <f t="shared" si="52"/>
        <v>0.20023886799815171</v>
      </c>
      <c r="V279" s="6">
        <f>2*sigma/alpha*corel*(B279/12-1/alpha*(1-EXP(-alpha*Output!B279/12)))</f>
        <v>0.94569535145172434</v>
      </c>
      <c r="W279" s="5">
        <f t="shared" ref="W279:W342" si="62">U279-T279</f>
        <v>-2.8247662863992967E-2</v>
      </c>
      <c r="X279" s="1">
        <f t="shared" ref="X279:X342" si="63">V279*V279-4*W279*B279/12</f>
        <v>3.4177975802741054</v>
      </c>
      <c r="Y279" s="3">
        <f t="shared" si="53"/>
        <v>2.0217163151736599E-2</v>
      </c>
      <c r="Z279" s="1">
        <f t="shared" si="54"/>
        <v>0.10114712150060044</v>
      </c>
      <c r="AA279" s="8">
        <f t="shared" si="59"/>
        <v>22.249999999999954</v>
      </c>
      <c r="AB279" s="1">
        <v>22.33</v>
      </c>
      <c r="AC279" s="1">
        <v>7.2992936919999999E-3</v>
      </c>
      <c r="AD279" s="8">
        <f t="shared" si="55"/>
        <v>0.30528582020495321</v>
      </c>
      <c r="AE279" s="3">
        <f t="shared" si="56"/>
        <v>4.1824022033740797E-3</v>
      </c>
      <c r="AF279" s="11">
        <f t="shared" si="57"/>
        <v>22.249999999999954</v>
      </c>
      <c r="AG279" s="1">
        <f t="shared" si="58"/>
        <v>0.10114712150060044</v>
      </c>
    </row>
    <row r="280" spans="2:33" ht="15" x14ac:dyDescent="0.25">
      <c r="B280" s="1">
        <v>269</v>
      </c>
      <c r="C280" s="1">
        <v>1.0004014828968748</v>
      </c>
      <c r="D280" s="1">
        <v>1.1526345662867776</v>
      </c>
      <c r="E280" s="1">
        <v>0.86685454093034064</v>
      </c>
      <c r="G280" s="1">
        <v>0.99971133458078043</v>
      </c>
      <c r="H280" s="1">
        <v>3.3470772259580515</v>
      </c>
      <c r="I280" s="1">
        <v>0.26211241465561735</v>
      </c>
      <c r="K280" s="1">
        <v>1.0000582340063648</v>
      </c>
      <c r="L280" s="1">
        <v>1.4416441507000946</v>
      </c>
      <c r="M280" s="1">
        <v>0.68745720457149462</v>
      </c>
      <c r="O280" s="1">
        <v>7.2790063484645465E-3</v>
      </c>
      <c r="P280" s="1">
        <v>0.84944587064342314</v>
      </c>
      <c r="R280" s="1">
        <v>0.10993630181117239</v>
      </c>
      <c r="S280" s="2">
        <f t="shared" si="60"/>
        <v>0.4800067369279194</v>
      </c>
      <c r="T280" s="4">
        <f t="shared" si="61"/>
        <v>0.23040646749618882</v>
      </c>
      <c r="U280" s="1">
        <f t="shared" si="52"/>
        <v>0.20206045603581169</v>
      </c>
      <c r="V280" s="6">
        <f>2*sigma/alpha*corel*(B280/12-1/alpha*(1-EXP(-alpha*Output!B280/12)))</f>
        <v>0.95185568699535983</v>
      </c>
      <c r="W280" s="5">
        <f t="shared" si="62"/>
        <v>-2.834601146037713E-2</v>
      </c>
      <c r="X280" s="1">
        <f t="shared" si="63"/>
        <v>3.4477216098125578</v>
      </c>
      <c r="Y280" s="3">
        <f t="shared" si="53"/>
        <v>2.018472383175992E-2</v>
      </c>
      <c r="Z280" s="1">
        <f t="shared" si="54"/>
        <v>0.10138222441502888</v>
      </c>
      <c r="AA280" s="8">
        <f t="shared" si="59"/>
        <v>22.333333333333286</v>
      </c>
      <c r="AB280" s="1">
        <v>22.42</v>
      </c>
      <c r="AC280" s="1">
        <v>7.3103692019999998E-3</v>
      </c>
      <c r="AD280" s="8">
        <f t="shared" si="55"/>
        <v>0.31362853535453311</v>
      </c>
      <c r="AE280" s="3">
        <f t="shared" si="56"/>
        <v>4.2901873583721236E-3</v>
      </c>
      <c r="AF280" s="11">
        <f t="shared" si="57"/>
        <v>22.333333333333286</v>
      </c>
      <c r="AG280" s="1">
        <f t="shared" si="58"/>
        <v>0.10138222441502888</v>
      </c>
    </row>
    <row r="281" spans="2:33" ht="15" x14ac:dyDescent="0.25">
      <c r="B281" s="1">
        <v>270</v>
      </c>
      <c r="C281" s="1">
        <v>1.0004024851506619</v>
      </c>
      <c r="D281" s="1">
        <v>1.1529049280632173</v>
      </c>
      <c r="E281" s="1">
        <v>0.86664969916193491</v>
      </c>
      <c r="G281" s="1">
        <v>0.99961376985411665</v>
      </c>
      <c r="H281" s="1">
        <v>3.3634864908591804</v>
      </c>
      <c r="I281" s="1">
        <v>0.26070743401275243</v>
      </c>
      <c r="K281" s="1">
        <v>1.0000713284636917</v>
      </c>
      <c r="L281" s="1">
        <v>1.4596349345406237</v>
      </c>
      <c r="M281" s="1">
        <v>0.67895764827909744</v>
      </c>
      <c r="O281" s="1">
        <v>7.2891733841693139E-3</v>
      </c>
      <c r="P281" s="1">
        <v>0.84873658897785587</v>
      </c>
      <c r="R281" s="1">
        <v>0.11026720363434227</v>
      </c>
      <c r="S281" s="2">
        <f t="shared" si="60"/>
        <v>0.48195712046653016</v>
      </c>
      <c r="T281" s="4">
        <f t="shared" si="61"/>
        <v>0.23228266596838948</v>
      </c>
      <c r="U281" s="1">
        <f t="shared" si="52"/>
        <v>0.20389043026625764</v>
      </c>
      <c r="V281" s="6">
        <f>2*sigma/alpha*corel*(B281/12-1/alpha*(1-EXP(-alpha*Output!B281/12)))</f>
        <v>0.95803018668937212</v>
      </c>
      <c r="W281" s="5">
        <f t="shared" si="62"/>
        <v>-2.8392235702131841E-2</v>
      </c>
      <c r="X281" s="1">
        <f t="shared" si="63"/>
        <v>3.4731230517999387</v>
      </c>
      <c r="Y281" s="3">
        <f t="shared" si="53"/>
        <v>2.0124477707230127E-2</v>
      </c>
      <c r="Z281" s="1">
        <f t="shared" si="54"/>
        <v>0.10160548234735925</v>
      </c>
      <c r="AA281" s="8">
        <f t="shared" si="59"/>
        <v>22.416666666666618</v>
      </c>
      <c r="AB281" s="1">
        <v>22.5</v>
      </c>
      <c r="AC281" s="1">
        <v>7.3213445409999996E-3</v>
      </c>
      <c r="AD281" s="8">
        <f t="shared" si="55"/>
        <v>0.32171156830685699</v>
      </c>
      <c r="AE281" s="3">
        <f t="shared" si="56"/>
        <v>4.3941596588611773E-3</v>
      </c>
      <c r="AF281" s="11">
        <f t="shared" si="57"/>
        <v>22.416666666666618</v>
      </c>
      <c r="AG281" s="1">
        <f t="shared" si="58"/>
        <v>0.10160548234735925</v>
      </c>
    </row>
    <row r="282" spans="2:33" ht="15" x14ac:dyDescent="0.25">
      <c r="B282" s="1">
        <v>271</v>
      </c>
      <c r="C282" s="1">
        <v>1.0004022727228208</v>
      </c>
      <c r="D282" s="1">
        <v>1.1545459311125852</v>
      </c>
      <c r="E282" s="1">
        <v>0.86541633651456817</v>
      </c>
      <c r="G282" s="1">
        <v>0.99941699489569313</v>
      </c>
      <c r="H282" s="1">
        <v>3.4063161128582418</v>
      </c>
      <c r="I282" s="1">
        <v>0.25730482776542923</v>
      </c>
      <c r="K282" s="1">
        <v>1.0000651950445429</v>
      </c>
      <c r="L282" s="1">
        <v>1.4654264686186511</v>
      </c>
      <c r="M282" s="1">
        <v>0.67625414845491583</v>
      </c>
      <c r="O282" s="1">
        <v>7.2992913288987011E-3</v>
      </c>
      <c r="P282" s="1">
        <v>0.84802740272543264</v>
      </c>
      <c r="R282" s="1">
        <v>0.11067953971134932</v>
      </c>
      <c r="S282" s="2">
        <f t="shared" si="60"/>
        <v>0.48415128018523479</v>
      </c>
      <c r="T282" s="4">
        <f t="shared" si="61"/>
        <v>0.23440246210500171</v>
      </c>
      <c r="U282" s="1">
        <f t="shared" si="52"/>
        <v>0.20572878194586242</v>
      </c>
      <c r="V282" s="6">
        <f>2*sigma/alpha*corel*(B282/12-1/alpha*(1-EXP(-alpha*Output!B282/12)))</f>
        <v>0.96421880339853017</v>
      </c>
      <c r="W282" s="5">
        <f t="shared" si="62"/>
        <v>-2.8673680159139292E-2</v>
      </c>
      <c r="X282" s="1">
        <f t="shared" si="63"/>
        <v>3.5199070085362094</v>
      </c>
      <c r="Y282" s="3">
        <f t="shared" si="53"/>
        <v>2.0190170879530532E-2</v>
      </c>
      <c r="Z282" s="1">
        <f t="shared" si="54"/>
        <v>0.10187956034680186</v>
      </c>
      <c r="AA282" s="8">
        <f t="shared" si="59"/>
        <v>22.49999999999995</v>
      </c>
      <c r="AB282" s="1">
        <v>22.58</v>
      </c>
      <c r="AC282" s="1">
        <v>7.3322230320000004E-3</v>
      </c>
      <c r="AD282" s="8">
        <f t="shared" si="55"/>
        <v>0.32931703101299337</v>
      </c>
      <c r="AE282" s="3">
        <f t="shared" si="56"/>
        <v>4.4913668007063616E-3</v>
      </c>
      <c r="AF282" s="11">
        <f t="shared" si="57"/>
        <v>22.49999999999995</v>
      </c>
      <c r="AG282" s="1">
        <f t="shared" si="58"/>
        <v>0.10187956034680186</v>
      </c>
    </row>
    <row r="283" spans="2:33" ht="15" x14ac:dyDescent="0.25">
      <c r="B283" s="1">
        <v>272</v>
      </c>
      <c r="C283" s="1">
        <v>1.000406843347738</v>
      </c>
      <c r="D283" s="1">
        <v>1.1565523363064212</v>
      </c>
      <c r="E283" s="1">
        <v>0.86391344311431151</v>
      </c>
      <c r="G283" s="1">
        <v>0.99959498408106229</v>
      </c>
      <c r="H283" s="1">
        <v>3.4467192654772139</v>
      </c>
      <c r="I283" s="1">
        <v>0.25416559103049524</v>
      </c>
      <c r="K283" s="1">
        <v>1.0000562696808919</v>
      </c>
      <c r="L283" s="1">
        <v>1.451706697698518</v>
      </c>
      <c r="M283" s="1">
        <v>0.68260960244983904</v>
      </c>
      <c r="O283" s="1">
        <v>7.3092679061331411E-3</v>
      </c>
      <c r="P283" s="1">
        <v>0.84732009528977925</v>
      </c>
      <c r="R283" s="1">
        <v>0.11103011638390839</v>
      </c>
      <c r="S283" s="2">
        <f t="shared" si="60"/>
        <v>0.48616169198696002</v>
      </c>
      <c r="T283" s="4">
        <f t="shared" si="61"/>
        <v>0.23635319075562378</v>
      </c>
      <c r="U283" s="1">
        <f t="shared" si="52"/>
        <v>0.20757550223275922</v>
      </c>
      <c r="V283" s="6">
        <f>2*sigma/alpha*corel*(B283/12-1/alpha*(1-EXP(-alpha*Output!B283/12)))</f>
        <v>0.97042149014445811</v>
      </c>
      <c r="W283" s="5">
        <f t="shared" si="62"/>
        <v>-2.8777688522864553E-2</v>
      </c>
      <c r="X283" s="1">
        <f t="shared" si="63"/>
        <v>3.5508949612739098</v>
      </c>
      <c r="Y283" s="3">
        <f t="shared" si="53"/>
        <v>2.0160890318232625E-2</v>
      </c>
      <c r="Z283" s="1">
        <f t="shared" si="54"/>
        <v>0.10211438023600497</v>
      </c>
      <c r="AA283" s="8">
        <f t="shared" si="59"/>
        <v>22.583333333333282</v>
      </c>
      <c r="AB283" s="1">
        <v>22.67</v>
      </c>
      <c r="AC283" s="1">
        <v>7.3430080079999998E-3</v>
      </c>
      <c r="AD283" s="8">
        <f t="shared" si="55"/>
        <v>0.33740101866858685</v>
      </c>
      <c r="AE283" s="3">
        <f t="shared" si="56"/>
        <v>4.5948611018944551E-3</v>
      </c>
      <c r="AF283" s="11">
        <f t="shared" si="57"/>
        <v>22.583333333333282</v>
      </c>
      <c r="AG283" s="1">
        <f t="shared" si="58"/>
        <v>0.10211438023600497</v>
      </c>
    </row>
    <row r="284" spans="2:33" ht="15" x14ac:dyDescent="0.25">
      <c r="B284" s="1">
        <v>273</v>
      </c>
      <c r="C284" s="1">
        <v>1.0004102653506652</v>
      </c>
      <c r="D284" s="1">
        <v>1.1540606818067431</v>
      </c>
      <c r="E284" s="1">
        <v>0.86577710133292884</v>
      </c>
      <c r="G284" s="1">
        <v>0.99968139813011059</v>
      </c>
      <c r="H284" s="1">
        <v>3.3922388615846883</v>
      </c>
      <c r="I284" s="1">
        <v>0.2581225978232764</v>
      </c>
      <c r="K284" s="1">
        <v>1.0000564582793809</v>
      </c>
      <c r="L284" s="1">
        <v>1.4554906968425154</v>
      </c>
      <c r="M284" s="1">
        <v>0.68081954410581769</v>
      </c>
      <c r="O284" s="1">
        <v>7.3191417711620773E-3</v>
      </c>
      <c r="P284" s="1">
        <v>0.84661394835902881</v>
      </c>
      <c r="R284" s="1">
        <v>0.11139000186900005</v>
      </c>
      <c r="S284" s="2">
        <f t="shared" si="60"/>
        <v>0.48820032732894925</v>
      </c>
      <c r="T284" s="4">
        <f t="shared" si="61"/>
        <v>0.2383395596040932</v>
      </c>
      <c r="U284" s="1">
        <f t="shared" si="52"/>
        <v>0.20943058218801802</v>
      </c>
      <c r="V284" s="6">
        <f>2*sigma/alpha*corel*(B284/12-1/alpha*(1-EXP(-alpha*Output!B284/12)))</f>
        <v>0.97663820010511238</v>
      </c>
      <c r="W284" s="5">
        <f t="shared" si="62"/>
        <v>-2.8908977416075177E-2</v>
      </c>
      <c r="X284" s="1">
        <f t="shared" si="63"/>
        <v>3.5845391187673949</v>
      </c>
      <c r="Y284" s="3">
        <f t="shared" si="53"/>
        <v>2.0146147520221761E-2</v>
      </c>
      <c r="Z284" s="1">
        <f t="shared" si="54"/>
        <v>0.10235460008432293</v>
      </c>
      <c r="AA284" s="8">
        <f t="shared" si="59"/>
        <v>22.666666666666615</v>
      </c>
      <c r="AB284" s="1">
        <v>22.75</v>
      </c>
      <c r="AC284" s="1">
        <v>7.3537028329999999E-3</v>
      </c>
      <c r="AD284" s="8">
        <f t="shared" si="55"/>
        <v>0.34561061837922596</v>
      </c>
      <c r="AE284" s="3">
        <f t="shared" si="56"/>
        <v>4.6998175780001081E-3</v>
      </c>
      <c r="AF284" s="11">
        <f t="shared" si="57"/>
        <v>22.666666666666615</v>
      </c>
      <c r="AG284" s="1">
        <f t="shared" si="58"/>
        <v>0.10235460008432293</v>
      </c>
    </row>
    <row r="285" spans="2:33" ht="15" x14ac:dyDescent="0.25">
      <c r="B285" s="1">
        <v>274</v>
      </c>
      <c r="C285" s="1">
        <v>1.0004137038430347</v>
      </c>
      <c r="D285" s="1">
        <v>1.1524867105334906</v>
      </c>
      <c r="E285" s="1">
        <v>0.86695794678094651</v>
      </c>
      <c r="G285" s="1">
        <v>0.99978167533029449</v>
      </c>
      <c r="H285" s="1">
        <v>3.3465175324402363</v>
      </c>
      <c r="I285" s="1">
        <v>0.26152254591476681</v>
      </c>
      <c r="K285" s="1">
        <v>1.0000548946322376</v>
      </c>
      <c r="L285" s="1">
        <v>1.4670950912733827</v>
      </c>
      <c r="M285" s="1">
        <v>0.67542434729222778</v>
      </c>
      <c r="O285" s="1">
        <v>7.3289857468152482E-3</v>
      </c>
      <c r="P285" s="1">
        <v>0.84590757516983039</v>
      </c>
      <c r="R285" s="1">
        <v>0.11175373711862201</v>
      </c>
      <c r="S285" s="2">
        <f t="shared" si="60"/>
        <v>0.49025290422518397</v>
      </c>
      <c r="T285" s="4">
        <f t="shared" si="61"/>
        <v>0.24034791010122741</v>
      </c>
      <c r="U285" s="1">
        <f t="shared" si="52"/>
        <v>0.21129401277680859</v>
      </c>
      <c r="V285" s="6">
        <f>2*sigma/alpha*corel*(B285/12-1/alpha*(1-EXP(-alpha*Output!B285/12)))</f>
        <v>0.98286888661426453</v>
      </c>
      <c r="W285" s="5">
        <f t="shared" si="62"/>
        <v>-2.905389732441882E-2</v>
      </c>
      <c r="X285" s="1">
        <f t="shared" si="63"/>
        <v>3.6196205372379495</v>
      </c>
      <c r="Y285" s="3">
        <f t="shared" si="53"/>
        <v>2.0138565311308719E-2</v>
      </c>
      <c r="Z285" s="1">
        <f t="shared" si="54"/>
        <v>0.10259720192992292</v>
      </c>
      <c r="AA285" s="8">
        <f t="shared" si="59"/>
        <v>22.749999999999947</v>
      </c>
      <c r="AB285" s="1">
        <v>22.83</v>
      </c>
      <c r="AC285" s="1">
        <v>7.3643108799999997E-3</v>
      </c>
      <c r="AD285" s="8">
        <f t="shared" si="55"/>
        <v>0.35325133184751534</v>
      </c>
      <c r="AE285" s="3">
        <f t="shared" si="56"/>
        <v>4.7968009173387227E-3</v>
      </c>
      <c r="AF285" s="11">
        <f t="shared" si="57"/>
        <v>22.749999999999947</v>
      </c>
      <c r="AG285" s="1">
        <f t="shared" si="58"/>
        <v>0.10259720192992292</v>
      </c>
    </row>
    <row r="286" spans="2:33" ht="15" x14ac:dyDescent="0.25">
      <c r="B286" s="1">
        <v>275</v>
      </c>
      <c r="C286" s="1">
        <v>1.0004178522749327</v>
      </c>
      <c r="D286" s="1">
        <v>1.152020891804832</v>
      </c>
      <c r="E286" s="1">
        <v>0.86730693806325454</v>
      </c>
      <c r="G286" s="1">
        <v>0.99994222944540812</v>
      </c>
      <c r="H286" s="1">
        <v>3.3375144793570724</v>
      </c>
      <c r="I286" s="1">
        <v>0.26210111660871943</v>
      </c>
      <c r="K286" s="1">
        <v>1.0000622585761392</v>
      </c>
      <c r="L286" s="1">
        <v>1.4590382414795597</v>
      </c>
      <c r="M286" s="1">
        <v>0.6791350645855363</v>
      </c>
      <c r="O286" s="1">
        <v>7.3388231697549666E-3</v>
      </c>
      <c r="P286" s="1">
        <v>0.84520053157463526</v>
      </c>
      <c r="R286" s="1">
        <v>0.11213881854656135</v>
      </c>
      <c r="S286" s="2">
        <f t="shared" si="60"/>
        <v>0.49237219482078654</v>
      </c>
      <c r="T286" s="4">
        <f t="shared" si="61"/>
        <v>0.24243037823263858</v>
      </c>
      <c r="U286" s="1">
        <f t="shared" si="52"/>
        <v>0.21316578486955429</v>
      </c>
      <c r="V286" s="6">
        <f>2*sigma/alpha*corel*(B286/12-1/alpha*(1-EXP(-alpha*Output!B286/12)))</f>
        <v>0.98911350316098146</v>
      </c>
      <c r="W286" s="5">
        <f t="shared" si="62"/>
        <v>-2.926459336308429E-2</v>
      </c>
      <c r="X286" s="1">
        <f t="shared" si="63"/>
        <v>3.660933247084782</v>
      </c>
      <c r="Y286" s="3">
        <f t="shared" si="53"/>
        <v>2.0165302610105868E-2</v>
      </c>
      <c r="Z286" s="1">
        <f t="shared" si="54"/>
        <v>0.10285319703859765</v>
      </c>
      <c r="AA286" s="8">
        <f t="shared" si="59"/>
        <v>22.833333333333279</v>
      </c>
      <c r="AB286" s="1">
        <v>22.92</v>
      </c>
      <c r="AC286" s="1">
        <v>7.3748355229999998E-3</v>
      </c>
      <c r="AD286" s="8">
        <f t="shared" si="55"/>
        <v>0.36012353245033246</v>
      </c>
      <c r="AE286" s="3">
        <f t="shared" si="56"/>
        <v>4.8831398520985357E-3</v>
      </c>
      <c r="AF286" s="11">
        <f t="shared" si="57"/>
        <v>22.833333333333279</v>
      </c>
      <c r="AG286" s="1">
        <f t="shared" si="58"/>
        <v>0.10285319703859765</v>
      </c>
    </row>
    <row r="287" spans="2:33" ht="15" x14ac:dyDescent="0.25">
      <c r="B287" s="1">
        <v>276</v>
      </c>
      <c r="C287" s="1">
        <v>1.0004185960058534</v>
      </c>
      <c r="D287" s="1">
        <v>1.1497243510891868</v>
      </c>
      <c r="E287" s="1">
        <v>0.86903779230489409</v>
      </c>
      <c r="G287" s="1">
        <v>0.99982535101482406</v>
      </c>
      <c r="H287" s="1">
        <v>3.2716872587966783</v>
      </c>
      <c r="I287" s="1">
        <v>0.26724527699762279</v>
      </c>
      <c r="K287" s="1">
        <v>1.0000562409381859</v>
      </c>
      <c r="L287" s="1">
        <v>1.4568575072512295</v>
      </c>
      <c r="M287" s="1">
        <v>0.68011719413430727</v>
      </c>
      <c r="O287" s="1">
        <v>7.3486558812192807E-3</v>
      </c>
      <c r="P287" s="1">
        <v>0.84449278586105225</v>
      </c>
      <c r="R287" s="1">
        <v>0.11246429598283973</v>
      </c>
      <c r="S287" s="2">
        <f t="shared" si="60"/>
        <v>0.49431704329988368</v>
      </c>
      <c r="T287" s="4">
        <f t="shared" si="61"/>
        <v>0.24434933929673908</v>
      </c>
      <c r="U287" s="1">
        <f t="shared" si="52"/>
        <v>0.21504588924307466</v>
      </c>
      <c r="V287" s="6">
        <f>2*sigma/alpha*corel*(B287/12-1/alpha*(1-EXP(-alpha*Output!B287/12)))</f>
        <v>0.99537200338910647</v>
      </c>
      <c r="W287" s="5">
        <f t="shared" si="62"/>
        <v>-2.9303450053664415E-2</v>
      </c>
      <c r="X287" s="1">
        <f t="shared" si="63"/>
        <v>3.6866828300679693</v>
      </c>
      <c r="Y287" s="3">
        <f t="shared" si="53"/>
        <v>2.0102209757864278E-2</v>
      </c>
      <c r="Z287" s="1">
        <f t="shared" si="54"/>
        <v>0.10307222864210092</v>
      </c>
      <c r="AA287" s="8">
        <f t="shared" si="59"/>
        <v>22.916666666666611</v>
      </c>
      <c r="AB287" s="1">
        <v>23</v>
      </c>
      <c r="AC287" s="1">
        <v>7.385280133E-3</v>
      </c>
      <c r="AD287" s="8">
        <f t="shared" si="55"/>
        <v>0.36624251780719397</v>
      </c>
      <c r="AE287" s="3">
        <f t="shared" si="56"/>
        <v>4.9590876880985877E-3</v>
      </c>
      <c r="AF287" s="11">
        <f t="shared" si="57"/>
        <v>22.916666666666611</v>
      </c>
      <c r="AG287" s="1">
        <f t="shared" si="58"/>
        <v>0.10307222864210092</v>
      </c>
    </row>
    <row r="288" spans="2:33" ht="15" x14ac:dyDescent="0.25">
      <c r="B288" s="1">
        <v>277</v>
      </c>
      <c r="C288" s="1">
        <v>1.0004206022924709</v>
      </c>
      <c r="D288" s="1">
        <v>1.1500094525473274</v>
      </c>
      <c r="E288" s="1">
        <v>0.86882078133610074</v>
      </c>
      <c r="G288" s="1">
        <v>0.99980870412982037</v>
      </c>
      <c r="H288" s="1">
        <v>3.2840258122694954</v>
      </c>
      <c r="I288" s="1">
        <v>0.26611236408282318</v>
      </c>
      <c r="K288" s="1">
        <v>1.0000631094005026</v>
      </c>
      <c r="L288" s="1">
        <v>1.4579775309108496</v>
      </c>
      <c r="M288" s="1">
        <v>0.67958047332471583</v>
      </c>
      <c r="O288" s="1">
        <v>7.3583891510688674E-3</v>
      </c>
      <c r="P288" s="1">
        <v>0.8437861868719736</v>
      </c>
      <c r="R288" s="1">
        <v>0.11284203899689368</v>
      </c>
      <c r="S288" s="2">
        <f t="shared" si="60"/>
        <v>0.4964183009429618</v>
      </c>
      <c r="T288" s="4">
        <f t="shared" si="61"/>
        <v>0.246431129511097</v>
      </c>
      <c r="U288" s="1">
        <f t="shared" si="52"/>
        <v>0.21693431658172679</v>
      </c>
      <c r="V288" s="6">
        <f>2*sigma/alpha*corel*(B288/12-1/alpha*(1-EXP(-alpha*Output!B288/12)))</f>
        <v>1.0016443410967488</v>
      </c>
      <c r="W288" s="5">
        <f t="shared" si="62"/>
        <v>-2.9496812929370203E-2</v>
      </c>
      <c r="X288" s="1">
        <f t="shared" si="63"/>
        <v>3.7268304465296556</v>
      </c>
      <c r="Y288" s="3">
        <f t="shared" si="53"/>
        <v>2.0119618262912975E-2</v>
      </c>
      <c r="Z288" s="1">
        <f t="shared" si="54"/>
        <v>0.10332336038827221</v>
      </c>
      <c r="AA288" s="8">
        <f t="shared" si="59"/>
        <v>22.999999999999943</v>
      </c>
      <c r="AB288" s="1">
        <v>23.08</v>
      </c>
      <c r="AC288" s="1">
        <v>7.395648084E-3</v>
      </c>
      <c r="AD288" s="8">
        <f t="shared" si="55"/>
        <v>0.37258932931132605</v>
      </c>
      <c r="AE288" s="3">
        <f t="shared" si="56"/>
        <v>5.0379537408952527E-3</v>
      </c>
      <c r="AF288" s="11">
        <f t="shared" si="57"/>
        <v>22.999999999999943</v>
      </c>
      <c r="AG288" s="1">
        <f t="shared" si="58"/>
        <v>0.10332336038827221</v>
      </c>
    </row>
    <row r="289" spans="2:33" ht="15" x14ac:dyDescent="0.25">
      <c r="B289" s="1">
        <v>278</v>
      </c>
      <c r="C289" s="1">
        <v>1.0004237103638602</v>
      </c>
      <c r="D289" s="1">
        <v>1.1455634912004526</v>
      </c>
      <c r="E289" s="1">
        <v>0.8721911248723152</v>
      </c>
      <c r="G289" s="1">
        <v>0.99987901430486215</v>
      </c>
      <c r="H289" s="1">
        <v>3.1580092094448227</v>
      </c>
      <c r="I289" s="1">
        <v>0.27659735247421813</v>
      </c>
      <c r="K289" s="1">
        <v>1.0000599620989401</v>
      </c>
      <c r="L289" s="1">
        <v>1.4601661218158031</v>
      </c>
      <c r="M289" s="1">
        <v>0.67854919025729343</v>
      </c>
      <c r="O289" s="1">
        <v>7.3681119141032793E-3</v>
      </c>
      <c r="P289" s="1">
        <v>0.84307901666288843</v>
      </c>
      <c r="R289" s="1">
        <v>0.11321157303185926</v>
      </c>
      <c r="S289" s="2">
        <f t="shared" si="60"/>
        <v>0.49849811624178286</v>
      </c>
      <c r="T289" s="4">
        <f t="shared" si="61"/>
        <v>0.24850037189660606</v>
      </c>
      <c r="U289" s="1">
        <f t="shared" si="52"/>
        <v>0.21883105747852305</v>
      </c>
      <c r="V289" s="6">
        <f>2*sigma/alpha*corel*(B289/12-1/alpha*(1-EXP(-alpha*Output!B289/12)))</f>
        <v>1.0079304702357661</v>
      </c>
      <c r="W289" s="5">
        <f t="shared" si="62"/>
        <v>-2.9669314418083015E-2</v>
      </c>
      <c r="X289" s="1">
        <f t="shared" si="63"/>
        <v>3.7652803022387187</v>
      </c>
      <c r="Y289" s="3">
        <f t="shared" si="53"/>
        <v>2.0125954295510638E-2</v>
      </c>
      <c r="Z289" s="1">
        <f t="shared" si="54"/>
        <v>0.10356946827191341</v>
      </c>
      <c r="AA289" s="8">
        <f t="shared" si="59"/>
        <v>23.083333333333275</v>
      </c>
      <c r="AB289" s="1">
        <v>23.17</v>
      </c>
      <c r="AC289" s="1">
        <v>7.4059493820000004E-3</v>
      </c>
      <c r="AD289" s="8">
        <f t="shared" si="55"/>
        <v>0.37837467896721133</v>
      </c>
      <c r="AE289" s="3">
        <f t="shared" si="56"/>
        <v>5.1090638006093154E-3</v>
      </c>
      <c r="AF289" s="11">
        <f t="shared" si="57"/>
        <v>23.083333333333275</v>
      </c>
      <c r="AG289" s="1">
        <f t="shared" si="58"/>
        <v>0.10356946827191341</v>
      </c>
    </row>
    <row r="290" spans="2:33" ht="15" x14ac:dyDescent="0.25">
      <c r="B290" s="1">
        <v>279</v>
      </c>
      <c r="C290" s="1">
        <v>1.0004218684882316</v>
      </c>
      <c r="D290" s="1">
        <v>1.1471706423964554</v>
      </c>
      <c r="E290" s="1">
        <v>0.87096764084925993</v>
      </c>
      <c r="G290" s="1">
        <v>0.99954558160728924</v>
      </c>
      <c r="H290" s="1">
        <v>3.1986339222101199</v>
      </c>
      <c r="I290" s="1">
        <v>0.27295224461209705</v>
      </c>
      <c r="K290" s="1">
        <v>1.0000590407450727</v>
      </c>
      <c r="L290" s="1">
        <v>1.4689643538393646</v>
      </c>
      <c r="M290" s="1">
        <v>0.67446101626985366</v>
      </c>
      <c r="O290" s="1">
        <v>7.3779500488948199E-3</v>
      </c>
      <c r="P290" s="1">
        <v>0.84236881452959145</v>
      </c>
      <c r="R290" s="1">
        <v>0.11354174641193875</v>
      </c>
      <c r="S290" s="2">
        <f t="shared" si="60"/>
        <v>0.50046675464009338</v>
      </c>
      <c r="T290" s="4">
        <f t="shared" si="61"/>
        <v>0.25046697249998745</v>
      </c>
      <c r="U290" s="1">
        <f t="shared" si="52"/>
        <v>0.22073610243625552</v>
      </c>
      <c r="V290" s="6">
        <f>2*sigma/alpha*corel*(B290/12-1/alpha*(1-EXP(-alpha*Output!B290/12)))</f>
        <v>1.0142303449112533</v>
      </c>
      <c r="W290" s="5">
        <f t="shared" si="62"/>
        <v>-2.9730870063731929E-2</v>
      </c>
      <c r="X290" s="1">
        <f t="shared" si="63"/>
        <v>3.7936341084658691</v>
      </c>
      <c r="Y290" s="3">
        <f t="shared" si="53"/>
        <v>2.0075161783073867E-2</v>
      </c>
      <c r="Z290" s="1">
        <f t="shared" si="54"/>
        <v>0.10379196987605616</v>
      </c>
      <c r="AA290" s="8">
        <f t="shared" si="59"/>
        <v>23.166666666666607</v>
      </c>
      <c r="AB290" s="1">
        <v>23.25</v>
      </c>
      <c r="AC290" s="1">
        <v>7.4162205570000002E-3</v>
      </c>
      <c r="AD290" s="8">
        <f t="shared" si="55"/>
        <v>0.38270508105180295</v>
      </c>
      <c r="AE290" s="3">
        <f t="shared" si="56"/>
        <v>5.1603789033832928E-3</v>
      </c>
      <c r="AF290" s="11">
        <f t="shared" si="57"/>
        <v>23.166666666666607</v>
      </c>
      <c r="AG290" s="1">
        <f t="shared" si="58"/>
        <v>0.10379196987605616</v>
      </c>
    </row>
    <row r="291" spans="2:33" ht="15" x14ac:dyDescent="0.25">
      <c r="B291" s="1">
        <v>280</v>
      </c>
      <c r="C291" s="1">
        <v>1.0004234272605368</v>
      </c>
      <c r="D291" s="1">
        <v>1.1482516917894978</v>
      </c>
      <c r="E291" s="1">
        <v>0.87014607749790784</v>
      </c>
      <c r="G291" s="1">
        <v>0.9995069608010968</v>
      </c>
      <c r="H291" s="1">
        <v>3.230477550561186</v>
      </c>
      <c r="I291" s="1">
        <v>0.27013090968938813</v>
      </c>
      <c r="K291" s="1">
        <v>1.0000647719092124</v>
      </c>
      <c r="L291" s="1">
        <v>1.4683606635053053</v>
      </c>
      <c r="M291" s="1">
        <v>0.67470825283357005</v>
      </c>
      <c r="O291" s="1">
        <v>7.3879307730636279E-3</v>
      </c>
      <c r="P291" s="1">
        <v>0.84165503034293454</v>
      </c>
      <c r="R291" s="1">
        <v>0.1138732374599748</v>
      </c>
      <c r="S291" s="2">
        <f t="shared" si="60"/>
        <v>0.50244638809996589</v>
      </c>
      <c r="T291" s="4">
        <f t="shared" si="61"/>
        <v>0.25245237291470157</v>
      </c>
      <c r="U291" s="1">
        <f t="shared" si="52"/>
        <v>0.22264944186859736</v>
      </c>
      <c r="V291" s="6">
        <f>2*sigma/alpha*corel*(B291/12-1/alpha*(1-EXP(-alpha*Output!B291/12)))</f>
        <v>1.0205439193810357</v>
      </c>
      <c r="W291" s="5">
        <f t="shared" si="62"/>
        <v>-2.9802931046104209E-2</v>
      </c>
      <c r="X291" s="1">
        <f t="shared" si="63"/>
        <v>3.8231167890219986</v>
      </c>
      <c r="Y291" s="3">
        <f t="shared" si="53"/>
        <v>2.0030041941636448E-2</v>
      </c>
      <c r="Z291" s="1">
        <f t="shared" si="54"/>
        <v>0.10401628435312456</v>
      </c>
      <c r="AA291" s="8">
        <f t="shared" si="59"/>
        <v>23.24999999999994</v>
      </c>
      <c r="AB291" s="1">
        <v>23.33</v>
      </c>
      <c r="AC291" s="1">
        <v>7.4265047739999999E-3</v>
      </c>
      <c r="AD291" s="8">
        <f t="shared" si="55"/>
        <v>0.3857400093637206</v>
      </c>
      <c r="AE291" s="3">
        <f t="shared" si="56"/>
        <v>5.1940989887219405E-3</v>
      </c>
      <c r="AF291" s="11">
        <f t="shared" si="57"/>
        <v>23.24999999999994</v>
      </c>
      <c r="AG291" s="1">
        <f t="shared" si="58"/>
        <v>0.10401628435312456</v>
      </c>
    </row>
    <row r="292" spans="2:33" ht="15" x14ac:dyDescent="0.25">
      <c r="B292" s="1">
        <v>281</v>
      </c>
      <c r="C292" s="1">
        <v>1.0004272384579951</v>
      </c>
      <c r="D292" s="1">
        <v>1.1418973151017329</v>
      </c>
      <c r="E292" s="1">
        <v>0.87498664646064528</v>
      </c>
      <c r="G292" s="1">
        <v>0.99961704963656262</v>
      </c>
      <c r="H292" s="1">
        <v>3.0713718012038207</v>
      </c>
      <c r="I292" s="1">
        <v>0.28398697219266733</v>
      </c>
      <c r="K292" s="1">
        <v>1.000069042536498</v>
      </c>
      <c r="L292" s="1">
        <v>1.4633521355115302</v>
      </c>
      <c r="M292" s="1">
        <v>0.67697770819808212</v>
      </c>
      <c r="O292" s="1">
        <v>7.3980184831549216E-3</v>
      </c>
      <c r="P292" s="1">
        <v>0.84093834535035283</v>
      </c>
      <c r="R292" s="1">
        <v>0.11422948922712903</v>
      </c>
      <c r="S292" s="2">
        <f t="shared" si="60"/>
        <v>0.50450627643952783</v>
      </c>
      <c r="T292" s="4">
        <f t="shared" si="61"/>
        <v>0.2545265829668773</v>
      </c>
      <c r="U292" s="1">
        <f t="shared" si="52"/>
        <v>0.22457106610120725</v>
      </c>
      <c r="V292" s="6">
        <f>2*sigma/alpha*corel*(B292/12-1/alpha*(1-EXP(-alpha*Output!B292/12)))</f>
        <v>1.0268711480551587</v>
      </c>
      <c r="W292" s="5">
        <f t="shared" si="62"/>
        <v>-2.9955516865670051E-2</v>
      </c>
      <c r="X292" s="1">
        <f t="shared" si="63"/>
        <v>3.8602977677925479</v>
      </c>
      <c r="Y292" s="3">
        <f t="shared" si="53"/>
        <v>2.0026182935877022E-2</v>
      </c>
      <c r="Z292" s="1">
        <f t="shared" si="54"/>
        <v>0.1042567149770344</v>
      </c>
      <c r="AA292" s="8">
        <f t="shared" si="59"/>
        <v>23.333333333333272</v>
      </c>
      <c r="AB292" s="1">
        <v>23.42</v>
      </c>
      <c r="AC292" s="1">
        <v>7.4368451949999997E-3</v>
      </c>
      <c r="AD292" s="8">
        <f t="shared" si="55"/>
        <v>0.3882671184507816</v>
      </c>
      <c r="AE292" s="3">
        <f t="shared" si="56"/>
        <v>5.2208578808635745E-3</v>
      </c>
      <c r="AF292" s="11">
        <f t="shared" si="57"/>
        <v>23.333333333333272</v>
      </c>
      <c r="AG292" s="1">
        <f t="shared" si="58"/>
        <v>0.1042567149770344</v>
      </c>
    </row>
    <row r="293" spans="2:33" ht="15" x14ac:dyDescent="0.25">
      <c r="B293" s="1">
        <v>282</v>
      </c>
      <c r="C293" s="1">
        <v>1.0004275387844757</v>
      </c>
      <c r="D293" s="1">
        <v>1.1442921823668886</v>
      </c>
      <c r="E293" s="1">
        <v>0.87315382721227519</v>
      </c>
      <c r="G293" s="1">
        <v>0.99947166952147615</v>
      </c>
      <c r="H293" s="1">
        <v>3.1230928257566819</v>
      </c>
      <c r="I293" s="1">
        <v>0.27914877137054039</v>
      </c>
      <c r="K293" s="1">
        <v>1.0000725719714543</v>
      </c>
      <c r="L293" s="1">
        <v>1.4546610208150299</v>
      </c>
      <c r="M293" s="1">
        <v>0.68100416003672326</v>
      </c>
      <c r="O293" s="1">
        <v>7.4082468544150858E-3</v>
      </c>
      <c r="P293" s="1">
        <v>0.84021808059957737</v>
      </c>
      <c r="R293" s="1">
        <v>0.11460695579552539</v>
      </c>
      <c r="S293" s="2">
        <f t="shared" si="60"/>
        <v>0.50663694027073225</v>
      </c>
      <c r="T293" s="4">
        <f t="shared" si="61"/>
        <v>0.25668098924688953</v>
      </c>
      <c r="U293" s="1">
        <f t="shared" si="52"/>
        <v>0.22650096537281295</v>
      </c>
      <c r="V293" s="6">
        <f>2*sigma/alpha*corel*(B293/12-1/alpha*(1-EXP(-alpha*Output!B293/12)))</f>
        <v>1.0332119854953783</v>
      </c>
      <c r="W293" s="5">
        <f t="shared" si="62"/>
        <v>-3.0180023874076589E-2</v>
      </c>
      <c r="X293" s="1">
        <f t="shared" si="63"/>
        <v>3.9044492511345013</v>
      </c>
      <c r="Y293" s="3">
        <f t="shared" si="53"/>
        <v>2.005863706729763E-2</v>
      </c>
      <c r="Z293" s="1">
        <f t="shared" si="54"/>
        <v>0.10451122086695611</v>
      </c>
      <c r="AA293" s="8">
        <f t="shared" si="59"/>
        <v>23.416666666666604</v>
      </c>
      <c r="AB293" s="1">
        <v>23.5</v>
      </c>
      <c r="AC293" s="1">
        <v>7.4472849850000002E-3</v>
      </c>
      <c r="AD293" s="8">
        <f t="shared" si="55"/>
        <v>0.39038130584914332</v>
      </c>
      <c r="AE293" s="3">
        <f t="shared" si="56"/>
        <v>5.2419278520351043E-3</v>
      </c>
      <c r="AF293" s="11">
        <f t="shared" si="57"/>
        <v>23.416666666666604</v>
      </c>
      <c r="AG293" s="1">
        <f t="shared" si="58"/>
        <v>0.10451122086695611</v>
      </c>
    </row>
    <row r="294" spans="2:33" ht="15" x14ac:dyDescent="0.25">
      <c r="B294" s="1">
        <v>283</v>
      </c>
      <c r="C294" s="1">
        <v>1.0004326638924737</v>
      </c>
      <c r="D294" s="1">
        <v>1.1459940852353285</v>
      </c>
      <c r="E294" s="1">
        <v>0.87185554146865318</v>
      </c>
      <c r="G294" s="1">
        <v>0.99970581332301423</v>
      </c>
      <c r="H294" s="1">
        <v>3.1627993936984637</v>
      </c>
      <c r="I294" s="1">
        <v>0.27551089129961526</v>
      </c>
      <c r="K294" s="1">
        <v>1.0000726989194459</v>
      </c>
      <c r="L294" s="1">
        <v>1.4525201770630558</v>
      </c>
      <c r="M294" s="1">
        <v>0.68198474307022694</v>
      </c>
      <c r="O294" s="1">
        <v>7.4186410566374865E-3</v>
      </c>
      <c r="P294" s="1">
        <v>0.83949371850295407</v>
      </c>
      <c r="R294" s="1">
        <v>0.11496271119459915</v>
      </c>
      <c r="S294" s="2">
        <f t="shared" si="60"/>
        <v>0.50871059283537012</v>
      </c>
      <c r="T294" s="4">
        <f t="shared" si="61"/>
        <v>0.25878646726291371</v>
      </c>
      <c r="U294" s="1">
        <f t="shared" si="52"/>
        <v>0.22843912983629888</v>
      </c>
      <c r="V294" s="6">
        <f>2*sigma/alpha*corel*(B294/12-1/alpha*(1-EXP(-alpha*Output!B294/12)))</f>
        <v>1.0395663864146627</v>
      </c>
      <c r="W294" s="5">
        <f t="shared" si="62"/>
        <v>-3.0347337426614829E-2</v>
      </c>
      <c r="X294" s="1">
        <f t="shared" si="63"/>
        <v>3.9434637690072387</v>
      </c>
      <c r="Y294" s="3">
        <f t="shared" si="53"/>
        <v>2.0061821699853689E-2</v>
      </c>
      <c r="Z294" s="1">
        <f t="shared" si="54"/>
        <v>0.10475341409137204</v>
      </c>
      <c r="AA294" s="8">
        <f t="shared" si="59"/>
        <v>23.499999999999936</v>
      </c>
      <c r="AB294" s="1">
        <v>23.58</v>
      </c>
      <c r="AC294" s="1">
        <v>7.4578673059999996E-3</v>
      </c>
      <c r="AD294" s="8">
        <f t="shared" si="55"/>
        <v>0.39226249362513121</v>
      </c>
      <c r="AE294" s="3">
        <f t="shared" si="56"/>
        <v>5.2597140379468587E-3</v>
      </c>
      <c r="AF294" s="11">
        <f t="shared" si="57"/>
        <v>23.499999999999936</v>
      </c>
      <c r="AG294" s="1">
        <f t="shared" si="58"/>
        <v>0.10475341409137204</v>
      </c>
    </row>
    <row r="295" spans="2:33" ht="15" x14ac:dyDescent="0.25">
      <c r="B295" s="1">
        <v>284</v>
      </c>
      <c r="C295" s="1">
        <v>1.0004365229014254</v>
      </c>
      <c r="D295" s="1">
        <v>1.1455399877113011</v>
      </c>
      <c r="E295" s="1">
        <v>0.87219957295625727</v>
      </c>
      <c r="G295" s="1">
        <v>0.99984296657279281</v>
      </c>
      <c r="H295" s="1">
        <v>3.1505687272015592</v>
      </c>
      <c r="I295" s="1">
        <v>0.27644660943810218</v>
      </c>
      <c r="K295" s="1">
        <v>1.0000744502277956</v>
      </c>
      <c r="L295" s="1">
        <v>1.449060595507349</v>
      </c>
      <c r="M295" s="1">
        <v>0.68359764648765953</v>
      </c>
      <c r="O295" s="1">
        <v>7.4293080609833624E-3</v>
      </c>
      <c r="P295" s="1">
        <v>0.83876311249342594</v>
      </c>
      <c r="R295" s="1">
        <v>0.1152637715173426</v>
      </c>
      <c r="S295" s="2">
        <f t="shared" si="60"/>
        <v>0.51063114011267907</v>
      </c>
      <c r="T295" s="4">
        <f t="shared" si="61"/>
        <v>0.2607441612527745</v>
      </c>
      <c r="U295" s="1">
        <f t="shared" si="52"/>
        <v>0.23038554955977375</v>
      </c>
      <c r="V295" s="6">
        <f>2*sigma/alpha*corel*(B295/12-1/alpha*(1-EXP(-alpha*Output!B295/12)))</f>
        <v>1.0459343056766834</v>
      </c>
      <c r="W295" s="5">
        <f t="shared" si="62"/>
        <v>-3.0358611693000748E-2</v>
      </c>
      <c r="X295" s="1">
        <f t="shared" si="63"/>
        <v>3.9679271453954366</v>
      </c>
      <c r="Y295" s="3">
        <f t="shared" si="53"/>
        <v>1.9986577668417587E-2</v>
      </c>
      <c r="Z295" s="1">
        <f t="shared" si="54"/>
        <v>0.10496360762747044</v>
      </c>
      <c r="AA295" s="8">
        <f t="shared" si="59"/>
        <v>23.583333333333268</v>
      </c>
      <c r="AB295" s="1">
        <v>23.67</v>
      </c>
      <c r="AC295" s="1">
        <v>7.468635425E-3</v>
      </c>
      <c r="AD295" s="8">
        <f t="shared" si="55"/>
        <v>0.39327364016637606</v>
      </c>
      <c r="AE295" s="3">
        <f t="shared" si="56"/>
        <v>5.2656692660343115E-3</v>
      </c>
      <c r="AF295" s="11">
        <f t="shared" si="57"/>
        <v>23.583333333333268</v>
      </c>
      <c r="AG295" s="1">
        <f t="shared" si="58"/>
        <v>0.10496360762747044</v>
      </c>
    </row>
    <row r="296" spans="2:33" ht="15" x14ac:dyDescent="0.25">
      <c r="B296" s="1">
        <v>285</v>
      </c>
      <c r="C296" s="1">
        <v>1.0004423449550981</v>
      </c>
      <c r="D296" s="1">
        <v>1.1454110479752533</v>
      </c>
      <c r="E296" s="1">
        <v>0.87229617988368535</v>
      </c>
      <c r="G296" s="1">
        <v>1.0001030870120713</v>
      </c>
      <c r="H296" s="1">
        <v>3.1568045978482502</v>
      </c>
      <c r="I296" s="1">
        <v>0.27576702498752553</v>
      </c>
      <c r="K296" s="1">
        <v>1.0000681418182555</v>
      </c>
      <c r="L296" s="1">
        <v>1.4378896324150483</v>
      </c>
      <c r="M296" s="1">
        <v>0.68889595228012812</v>
      </c>
      <c r="O296" s="1">
        <v>7.440272558516748E-3</v>
      </c>
      <c r="P296" s="1">
        <v>0.83802573138220771</v>
      </c>
      <c r="R296" s="1">
        <v>0.1156043110492674</v>
      </c>
      <c r="S296" s="2">
        <f t="shared" si="60"/>
        <v>0.51268175101002633</v>
      </c>
      <c r="T296" s="4">
        <f t="shared" si="61"/>
        <v>0.26284257781870662</v>
      </c>
      <c r="U296" s="1">
        <f t="shared" si="52"/>
        <v>0.23234021452763232</v>
      </c>
      <c r="V296" s="6">
        <f>2*sigma/alpha*corel*(B296/12-1/alpha*(1-EXP(-alpha*Output!B296/12)))</f>
        <v>1.0523156982953163</v>
      </c>
      <c r="W296" s="5">
        <f t="shared" si="62"/>
        <v>-3.0502363291074308E-2</v>
      </c>
      <c r="X296" s="1">
        <f t="shared" si="63"/>
        <v>4.0050928415308187</v>
      </c>
      <c r="Y296" s="3">
        <f t="shared" si="53"/>
        <v>1.9978044359558064E-2</v>
      </c>
      <c r="Z296" s="1">
        <f t="shared" si="54"/>
        <v>0.10520007560907962</v>
      </c>
      <c r="AA296" s="8">
        <f t="shared" si="59"/>
        <v>23.6666666666666</v>
      </c>
      <c r="AB296" s="1">
        <v>23.75</v>
      </c>
      <c r="AC296" s="1">
        <v>7.4796330089999998E-3</v>
      </c>
      <c r="AD296" s="8">
        <f t="shared" si="55"/>
        <v>0.3936045048325183</v>
      </c>
      <c r="AE296" s="3">
        <f t="shared" si="56"/>
        <v>5.2623504971287599E-3</v>
      </c>
      <c r="AF296" s="11">
        <f t="shared" si="57"/>
        <v>23.6666666666666</v>
      </c>
      <c r="AG296" s="1">
        <f t="shared" si="58"/>
        <v>0.10520007560907962</v>
      </c>
    </row>
    <row r="297" spans="2:33" ht="15" x14ac:dyDescent="0.25">
      <c r="B297" s="1">
        <v>286</v>
      </c>
      <c r="C297" s="1">
        <v>1.0004427756407237</v>
      </c>
      <c r="D297" s="1">
        <v>1.1483315198517901</v>
      </c>
      <c r="E297" s="1">
        <v>0.87007615557851115</v>
      </c>
      <c r="G297" s="1">
        <v>0.99996405741190442</v>
      </c>
      <c r="H297" s="1">
        <v>3.2159914589640026</v>
      </c>
      <c r="I297" s="1">
        <v>0.27056085221081383</v>
      </c>
      <c r="K297" s="1">
        <v>1.0000754956350351</v>
      </c>
      <c r="L297" s="1">
        <v>1.4436126840235908</v>
      </c>
      <c r="M297" s="1">
        <v>0.68613460620050959</v>
      </c>
      <c r="O297" s="1">
        <v>7.451492847653958E-3</v>
      </c>
      <c r="P297" s="1">
        <v>0.83728236405433576</v>
      </c>
      <c r="R297" s="1">
        <v>0.11595934779878479</v>
      </c>
      <c r="S297" s="2">
        <f t="shared" si="60"/>
        <v>0.51478658378537157</v>
      </c>
      <c r="T297" s="4">
        <f t="shared" si="61"/>
        <v>0.26500522684541339</v>
      </c>
      <c r="U297" s="1">
        <f t="shared" si="52"/>
        <v>0.23430311464161546</v>
      </c>
      <c r="V297" s="6">
        <f>2*sigma/alpha*corel*(B297/12-1/alpha*(1-EXP(-alpha*Output!B297/12)))</f>
        <v>1.0587105194341417</v>
      </c>
      <c r="W297" s="5">
        <f t="shared" si="62"/>
        <v>-3.0702112203797927E-2</v>
      </c>
      <c r="X297" s="1">
        <f t="shared" si="63"/>
        <v>4.0478026607225797</v>
      </c>
      <c r="Y297" s="3">
        <f t="shared" si="53"/>
        <v>1.9997300410772408E-2</v>
      </c>
      <c r="Z297" s="1">
        <f t="shared" si="54"/>
        <v>0.10544714518222048</v>
      </c>
      <c r="AA297" s="8">
        <f t="shared" si="59"/>
        <v>23.749999999999932</v>
      </c>
      <c r="AB297" s="1">
        <v>23.83</v>
      </c>
      <c r="AC297" s="1">
        <v>7.4909038289999999E-3</v>
      </c>
      <c r="AD297" s="8">
        <f t="shared" si="55"/>
        <v>0.39410981346041896</v>
      </c>
      <c r="AE297" s="3">
        <f t="shared" si="56"/>
        <v>5.2611783899117383E-3</v>
      </c>
      <c r="AF297" s="11">
        <f t="shared" si="57"/>
        <v>23.749999999999932</v>
      </c>
      <c r="AG297" s="1">
        <f t="shared" si="58"/>
        <v>0.10544714518222048</v>
      </c>
    </row>
    <row r="298" spans="2:33" ht="15" x14ac:dyDescent="0.25">
      <c r="B298" s="1">
        <v>287</v>
      </c>
      <c r="C298" s="1">
        <v>1.0004445401123483</v>
      </c>
      <c r="D298" s="1">
        <v>1.149911950398993</v>
      </c>
      <c r="E298" s="1">
        <v>0.86887875665575975</v>
      </c>
      <c r="G298" s="1">
        <v>0.99993133394867639</v>
      </c>
      <c r="H298" s="1">
        <v>3.2536009754380424</v>
      </c>
      <c r="I298" s="1">
        <v>0.26730394446924283</v>
      </c>
      <c r="K298" s="1">
        <v>1.0000813591655247</v>
      </c>
      <c r="L298" s="1">
        <v>1.4493375391021175</v>
      </c>
      <c r="M298" s="1">
        <v>0.6833983873268531</v>
      </c>
      <c r="O298" s="1">
        <v>7.4631025966889987E-3</v>
      </c>
      <c r="P298" s="1">
        <v>0.83653029979260407</v>
      </c>
      <c r="R298" s="1">
        <v>0.11626318579042212</v>
      </c>
      <c r="S298" s="2">
        <f t="shared" si="60"/>
        <v>0.51675198439945547</v>
      </c>
      <c r="T298" s="4">
        <f t="shared" si="61"/>
        <v>0.26703261338077505</v>
      </c>
      <c r="U298" s="1">
        <f t="shared" si="52"/>
        <v>0.23627423972185024</v>
      </c>
      <c r="V298" s="6">
        <f>2*sigma/alpha*corel*(B298/12-1/alpha*(1-EXP(-alpha*Output!B298/12)))</f>
        <v>1.0651187244059463</v>
      </c>
      <c r="W298" s="5">
        <f t="shared" si="62"/>
        <v>-3.0758373658924809E-2</v>
      </c>
      <c r="X298" s="1">
        <f t="shared" si="63"/>
        <v>4.0770289771172905</v>
      </c>
      <c r="Y298" s="3">
        <f t="shared" si="53"/>
        <v>1.994522700169106E-2</v>
      </c>
      <c r="Z298" s="1">
        <f t="shared" si="54"/>
        <v>0.10566516309493444</v>
      </c>
      <c r="AA298" s="8">
        <f t="shared" si="59"/>
        <v>23.833333333333265</v>
      </c>
      <c r="AB298" s="1">
        <v>23.92</v>
      </c>
      <c r="AC298" s="1">
        <v>7.5024916549999996E-3</v>
      </c>
      <c r="AD298" s="8">
        <f t="shared" si="55"/>
        <v>0.39389058311000913</v>
      </c>
      <c r="AE298" s="3">
        <f t="shared" si="56"/>
        <v>5.250130239698469E-3</v>
      </c>
      <c r="AF298" s="11">
        <f t="shared" si="57"/>
        <v>23.833333333333265</v>
      </c>
      <c r="AG298" s="1">
        <f t="shared" si="58"/>
        <v>0.10566516309493444</v>
      </c>
    </row>
    <row r="299" spans="2:33" ht="15" x14ac:dyDescent="0.25">
      <c r="B299" s="1">
        <v>288</v>
      </c>
      <c r="C299" s="1">
        <v>1.0004459054050632</v>
      </c>
      <c r="D299" s="1">
        <v>1.1518573318121368</v>
      </c>
      <c r="E299" s="1">
        <v>0.86740972905717917</v>
      </c>
      <c r="G299" s="1">
        <v>0.99985900471026712</v>
      </c>
      <c r="H299" s="1">
        <v>3.302049764662748</v>
      </c>
      <c r="I299" s="1">
        <v>0.26325453215532651</v>
      </c>
      <c r="K299" s="1">
        <v>1.0000739297631527</v>
      </c>
      <c r="L299" s="1">
        <v>1.4646870614783964</v>
      </c>
      <c r="M299" s="1">
        <v>0.67621534897014246</v>
      </c>
      <c r="O299" s="1">
        <v>7.4752149531713153E-3</v>
      </c>
      <c r="P299" s="1">
        <v>0.83576721228620321</v>
      </c>
      <c r="R299" s="1">
        <v>0.11659807501353894</v>
      </c>
      <c r="S299" s="2">
        <f t="shared" si="60"/>
        <v>0.51882848510717783</v>
      </c>
      <c r="T299" s="4">
        <f t="shared" si="61"/>
        <v>0.26918299695860903</v>
      </c>
      <c r="U299" s="1">
        <f t="shared" si="52"/>
        <v>0.2382535795078895</v>
      </c>
      <c r="V299" s="6">
        <f>2*sigma/alpha*corel*(B299/12-1/alpha*(1-EXP(-alpha*Output!B299/12)))</f>
        <v>1.0715402686722253</v>
      </c>
      <c r="W299" s="5">
        <f t="shared" si="62"/>
        <v>-3.0929417450719532E-2</v>
      </c>
      <c r="X299" s="1">
        <f t="shared" si="63"/>
        <v>4.1174226226552193</v>
      </c>
      <c r="Y299" s="3">
        <f t="shared" si="53"/>
        <v>1.9950063618377444E-2</v>
      </c>
      <c r="Z299" s="1">
        <f t="shared" si="54"/>
        <v>0.10590542104448059</v>
      </c>
      <c r="AA299" s="8">
        <f t="shared" si="59"/>
        <v>23.916666666666597</v>
      </c>
      <c r="AB299" s="1">
        <v>24</v>
      </c>
      <c r="AC299" s="1">
        <v>7.5144402590000001E-3</v>
      </c>
      <c r="AD299" s="8">
        <f t="shared" si="55"/>
        <v>0.39225305828684798</v>
      </c>
      <c r="AE299" s="3">
        <f t="shared" si="56"/>
        <v>5.2199903754248204E-3</v>
      </c>
      <c r="AF299" s="11">
        <f t="shared" si="57"/>
        <v>23.916666666666597</v>
      </c>
      <c r="AG299" s="1">
        <f t="shared" si="58"/>
        <v>0.10590542104448059</v>
      </c>
    </row>
    <row r="300" spans="2:33" ht="15" x14ac:dyDescent="0.25">
      <c r="B300" s="1">
        <v>289</v>
      </c>
      <c r="C300" s="1">
        <v>1.0004485973977777</v>
      </c>
      <c r="D300" s="1">
        <v>1.1512529804469509</v>
      </c>
      <c r="E300" s="1">
        <v>0.86786350387452327</v>
      </c>
      <c r="G300" s="1">
        <v>0.99990212993859573</v>
      </c>
      <c r="H300" s="1">
        <v>3.2832573299024483</v>
      </c>
      <c r="I300" s="1">
        <v>0.26463322153927044</v>
      </c>
      <c r="K300" s="1">
        <v>1.0000857225622315</v>
      </c>
      <c r="L300" s="1">
        <v>1.4713147700871343</v>
      </c>
      <c r="M300" s="1">
        <v>0.67315268272952977</v>
      </c>
      <c r="O300" s="1">
        <v>7.4876193496677219E-3</v>
      </c>
      <c r="P300" s="1">
        <v>0.83499726242368555</v>
      </c>
      <c r="R300" s="1">
        <v>0.11695753587820774</v>
      </c>
      <c r="S300" s="2">
        <f t="shared" si="60"/>
        <v>0.52099103610165343</v>
      </c>
      <c r="T300" s="4">
        <f t="shared" si="61"/>
        <v>0.27143165969827432</v>
      </c>
      <c r="U300" s="1">
        <f t="shared" si="52"/>
        <v>0.24024112365973993</v>
      </c>
      <c r="V300" s="6">
        <f>2*sigma/alpha*corel*(B300/12-1/alpha*(1-EXP(-alpha*Output!B300/12)))</f>
        <v>1.0779751078426878</v>
      </c>
      <c r="W300" s="5">
        <f t="shared" si="62"/>
        <v>-3.1190536038534389E-2</v>
      </c>
      <c r="X300" s="1">
        <f t="shared" si="63"/>
        <v>4.1667186381739345</v>
      </c>
      <c r="Y300" s="3">
        <f t="shared" si="53"/>
        <v>1.9998873525349358E-2</v>
      </c>
      <c r="Z300" s="1">
        <f t="shared" si="54"/>
        <v>0.10616269939011941</v>
      </c>
      <c r="AA300" s="8">
        <f t="shared" si="59"/>
        <v>23.999999999999929</v>
      </c>
      <c r="AB300" s="1">
        <v>24.08</v>
      </c>
      <c r="AC300" s="1">
        <v>7.526793409E-3</v>
      </c>
      <c r="AD300" s="8">
        <f t="shared" si="55"/>
        <v>0.39174059332278133</v>
      </c>
      <c r="AE300" s="3">
        <f t="shared" si="56"/>
        <v>5.2046146617278754E-3</v>
      </c>
      <c r="AF300" s="11">
        <f t="shared" si="57"/>
        <v>23.999999999999929</v>
      </c>
      <c r="AG300" s="1">
        <f t="shared" si="58"/>
        <v>0.10616269939011941</v>
      </c>
    </row>
    <row r="301" spans="2:33" ht="15" x14ac:dyDescent="0.25">
      <c r="B301" s="1">
        <v>290</v>
      </c>
      <c r="C301" s="1">
        <v>1.0004497235822836</v>
      </c>
      <c r="D301" s="1">
        <v>1.1493904409882314</v>
      </c>
      <c r="E301" s="1">
        <v>0.86926826439224691</v>
      </c>
      <c r="G301" s="1">
        <v>0.99980142011835793</v>
      </c>
      <c r="H301" s="1">
        <v>3.2379684219153471</v>
      </c>
      <c r="I301" s="1">
        <v>0.26820476797830217</v>
      </c>
      <c r="K301" s="1">
        <v>1.000090051001097</v>
      </c>
      <c r="L301" s="1">
        <v>1.4634349697023796</v>
      </c>
      <c r="M301" s="1">
        <v>0.67674165549498344</v>
      </c>
      <c r="O301" s="1">
        <v>7.5002497674294955E-3</v>
      </c>
      <c r="P301" s="1">
        <v>0.83422174051387321</v>
      </c>
      <c r="R301" s="1">
        <v>0.11730800133228886</v>
      </c>
      <c r="S301" s="2">
        <f t="shared" si="60"/>
        <v>0.52313684125273285</v>
      </c>
      <c r="T301" s="4">
        <f t="shared" si="61"/>
        <v>0.27367215467588701</v>
      </c>
      <c r="U301" s="1">
        <f t="shared" si="52"/>
        <v>0.24223686175888481</v>
      </c>
      <c r="V301" s="6">
        <f>2*sigma/alpha*corel*(B301/12-1/alpha*(1-EXP(-alpha*Output!B301/12)))</f>
        <v>1.0844231976747662</v>
      </c>
      <c r="W301" s="5">
        <f t="shared" si="62"/>
        <v>-3.14352929170022E-2</v>
      </c>
      <c r="X301" s="1">
        <f t="shared" si="63"/>
        <v>4.214718653632044</v>
      </c>
      <c r="Y301" s="3">
        <f t="shared" si="53"/>
        <v>2.0039064800856415E-2</v>
      </c>
      <c r="Z301" s="1">
        <f t="shared" si="54"/>
        <v>0.10641599983588552</v>
      </c>
      <c r="AA301" s="8">
        <f t="shared" si="59"/>
        <v>24.083333333333261</v>
      </c>
      <c r="AB301" s="1">
        <v>24.17</v>
      </c>
      <c r="AC301" s="1">
        <v>7.5395580370000003E-3</v>
      </c>
      <c r="AD301" s="8">
        <f t="shared" si="55"/>
        <v>0.39308269570504861</v>
      </c>
      <c r="AE301" s="3">
        <f t="shared" si="56"/>
        <v>5.2136039510010416E-3</v>
      </c>
      <c r="AF301" s="11">
        <f t="shared" si="57"/>
        <v>24.083333333333261</v>
      </c>
      <c r="AG301" s="1">
        <f t="shared" si="58"/>
        <v>0.10641599983588552</v>
      </c>
    </row>
    <row r="302" spans="2:33" ht="15" x14ac:dyDescent="0.25">
      <c r="B302" s="1">
        <v>291</v>
      </c>
      <c r="C302" s="1">
        <v>1.0004524763791249</v>
      </c>
      <c r="D302" s="1">
        <v>1.1517650135050805</v>
      </c>
      <c r="E302" s="1">
        <v>0.86747453612549486</v>
      </c>
      <c r="G302" s="1">
        <v>0.99984311935400816</v>
      </c>
      <c r="H302" s="1">
        <v>3.3178744376773581</v>
      </c>
      <c r="I302" s="1">
        <v>0.26161881569657852</v>
      </c>
      <c r="K302" s="1">
        <v>1.0000804426685919</v>
      </c>
      <c r="L302" s="1">
        <v>1.4642109218511026</v>
      </c>
      <c r="M302" s="1">
        <v>0.67637086173300243</v>
      </c>
      <c r="O302" s="1">
        <v>7.5129701810063721E-3</v>
      </c>
      <c r="P302" s="1">
        <v>0.83344336551740128</v>
      </c>
      <c r="R302" s="1">
        <v>0.11761777869209078</v>
      </c>
      <c r="S302" s="2">
        <f t="shared" si="60"/>
        <v>0.5251663889834175</v>
      </c>
      <c r="T302" s="4">
        <f t="shared" si="61"/>
        <v>0.27579973611788217</v>
      </c>
      <c r="U302" s="1">
        <f t="shared" si="52"/>
        <v>0.24424078330929078</v>
      </c>
      <c r="V302" s="6">
        <f>2*sigma/alpha*corel*(B302/12-1/alpha*(1-EXP(-alpha*Output!B302/12)))</f>
        <v>1.090884494073121</v>
      </c>
      <c r="W302" s="5">
        <f t="shared" si="62"/>
        <v>-3.155895280859139E-2</v>
      </c>
      <c r="X302" s="1">
        <f t="shared" si="63"/>
        <v>4.2512474018425337</v>
      </c>
      <c r="Y302" s="3">
        <f t="shared" si="53"/>
        <v>2.0020017235571372E-2</v>
      </c>
      <c r="Z302" s="1">
        <f t="shared" si="54"/>
        <v>0.10664513582227669</v>
      </c>
      <c r="AA302" s="8">
        <f t="shared" si="59"/>
        <v>24.166666666666593</v>
      </c>
      <c r="AB302" s="1">
        <v>24.25</v>
      </c>
      <c r="AC302" s="1">
        <v>7.5525937140000004E-3</v>
      </c>
      <c r="AD302" s="8">
        <f t="shared" si="55"/>
        <v>0.39623532993628313</v>
      </c>
      <c r="AE302" s="3">
        <f t="shared" si="56"/>
        <v>5.2463477441106673E-3</v>
      </c>
      <c r="AF302" s="11">
        <f t="shared" si="57"/>
        <v>24.166666666666593</v>
      </c>
      <c r="AG302" s="1">
        <f t="shared" si="58"/>
        <v>0.10664513582227669</v>
      </c>
    </row>
    <row r="303" spans="2:33" ht="15" x14ac:dyDescent="0.25">
      <c r="B303" s="1">
        <v>292</v>
      </c>
      <c r="C303" s="1">
        <v>1.0004546872310134</v>
      </c>
      <c r="D303" s="1">
        <v>1.159332720262418</v>
      </c>
      <c r="E303" s="1">
        <v>0.86181040953720889</v>
      </c>
      <c r="G303" s="1">
        <v>0.99985545332225811</v>
      </c>
      <c r="H303" s="1">
        <v>3.4965419438519794</v>
      </c>
      <c r="I303" s="1">
        <v>0.24813041367930239</v>
      </c>
      <c r="K303" s="1">
        <v>1.0000735758621078</v>
      </c>
      <c r="L303" s="1">
        <v>1.4623756637450489</v>
      </c>
      <c r="M303" s="1">
        <v>0.67719250560800115</v>
      </c>
      <c r="O303" s="1">
        <v>7.5256397325943174E-3</v>
      </c>
      <c r="P303" s="1">
        <v>0.83266498202127481</v>
      </c>
      <c r="R303" s="1">
        <v>0.11793958559568303</v>
      </c>
      <c r="S303" s="2">
        <f t="shared" si="60"/>
        <v>0.5272346270061814</v>
      </c>
      <c r="T303" s="4">
        <f t="shared" si="61"/>
        <v>0.27797635191434722</v>
      </c>
      <c r="U303" s="1">
        <f t="shared" si="52"/>
        <v>0.24625287773841542</v>
      </c>
      <c r="V303" s="6">
        <f>2*sigma/alpha*corel*(B303/12-1/alpha*(1-EXP(-alpha*Output!B303/12)))</f>
        <v>1.0973589530891534</v>
      </c>
      <c r="W303" s="5">
        <f t="shared" si="62"/>
        <v>-3.1723474175931798E-2</v>
      </c>
      <c r="X303" s="1">
        <f t="shared" si="63"/>
        <v>4.2919481583822847</v>
      </c>
      <c r="Y303" s="3">
        <f t="shared" si="53"/>
        <v>2.0020742488712578E-2</v>
      </c>
      <c r="Z303" s="1">
        <f t="shared" si="54"/>
        <v>0.10688164339637636</v>
      </c>
      <c r="AA303" s="8">
        <f t="shared" si="59"/>
        <v>24.249999999999925</v>
      </c>
      <c r="AB303" s="1">
        <v>24.33</v>
      </c>
      <c r="AC303" s="1">
        <v>7.5657231700000001E-3</v>
      </c>
      <c r="AD303" s="8">
        <f t="shared" si="55"/>
        <v>0.40083437405682643</v>
      </c>
      <c r="AE303" s="3">
        <f t="shared" si="56"/>
        <v>5.2980312000607665E-3</v>
      </c>
      <c r="AF303" s="11">
        <f t="shared" si="57"/>
        <v>24.249999999999925</v>
      </c>
      <c r="AG303" s="1">
        <f t="shared" si="58"/>
        <v>0.10688164339637636</v>
      </c>
    </row>
    <row r="304" spans="2:33" ht="15" x14ac:dyDescent="0.25">
      <c r="B304" s="1">
        <v>293</v>
      </c>
      <c r="C304" s="1">
        <v>1.000458698012989</v>
      </c>
      <c r="D304" s="1">
        <v>1.1606643929312284</v>
      </c>
      <c r="E304" s="1">
        <v>0.86082005853618571</v>
      </c>
      <c r="G304" s="1">
        <v>1.0000119007533488</v>
      </c>
      <c r="H304" s="1">
        <v>3.5314296978553052</v>
      </c>
      <c r="I304" s="1">
        <v>0.24556021132506223</v>
      </c>
      <c r="K304" s="1">
        <v>1.0000732972121762</v>
      </c>
      <c r="L304" s="1">
        <v>1.4598872205208984</v>
      </c>
      <c r="M304" s="1">
        <v>0.67833031372149455</v>
      </c>
      <c r="O304" s="1">
        <v>7.5381142182896436E-3</v>
      </c>
      <c r="P304" s="1">
        <v>0.83188953104449515</v>
      </c>
      <c r="R304" s="1">
        <v>0.11828293777995653</v>
      </c>
      <c r="S304" s="2">
        <f t="shared" si="60"/>
        <v>0.52936627973531492</v>
      </c>
      <c r="T304" s="4">
        <f t="shared" si="61"/>
        <v>0.28022865812080766</v>
      </c>
      <c r="U304" s="1">
        <f t="shared" si="52"/>
        <v>0.24827313439819987</v>
      </c>
      <c r="V304" s="6">
        <f>2*sigma/alpha*corel*(B304/12-1/alpha*(1-EXP(-alpha*Output!B304/12)))</f>
        <v>1.1038465309205157</v>
      </c>
      <c r="W304" s="5">
        <f t="shared" si="62"/>
        <v>-3.1955523722607793E-2</v>
      </c>
      <c r="X304" s="1">
        <f t="shared" si="63"/>
        <v>4.3394666473999512</v>
      </c>
      <c r="Y304" s="3">
        <f t="shared" si="53"/>
        <v>2.0053763590976732E-2</v>
      </c>
      <c r="Z304" s="1">
        <f t="shared" si="54"/>
        <v>0.10713048879530576</v>
      </c>
      <c r="AA304" s="8">
        <f t="shared" si="59"/>
        <v>24.333333333333258</v>
      </c>
      <c r="AB304" s="1">
        <v>24.42</v>
      </c>
      <c r="AC304" s="1">
        <v>7.5787691349999999E-3</v>
      </c>
      <c r="AD304" s="8">
        <f t="shared" si="55"/>
        <v>0.4065491671035627</v>
      </c>
      <c r="AE304" s="3">
        <f t="shared" si="56"/>
        <v>5.3643165514311803E-3</v>
      </c>
      <c r="AF304" s="11">
        <f t="shared" si="57"/>
        <v>24.333333333333258</v>
      </c>
      <c r="AG304" s="1">
        <f t="shared" si="58"/>
        <v>0.10713048879530576</v>
      </c>
    </row>
    <row r="305" spans="2:33" ht="15" x14ac:dyDescent="0.25">
      <c r="B305" s="1">
        <v>294</v>
      </c>
      <c r="C305" s="1">
        <v>1.0004614132532887</v>
      </c>
      <c r="D305" s="1">
        <v>1.1559008147965764</v>
      </c>
      <c r="E305" s="1">
        <v>0.86436600879006931</v>
      </c>
      <c r="G305" s="1">
        <v>1.0000498682071171</v>
      </c>
      <c r="H305" s="1">
        <v>3.4022063300778131</v>
      </c>
      <c r="I305" s="1">
        <v>0.25476381176657914</v>
      </c>
      <c r="K305" s="1">
        <v>1.0000762715327647</v>
      </c>
      <c r="L305" s="1">
        <v>1.4539009494683073</v>
      </c>
      <c r="M305" s="1">
        <v>0.68110005007462338</v>
      </c>
      <c r="O305" s="1">
        <v>7.5501422962129042E-3</v>
      </c>
      <c r="P305" s="1">
        <v>0.83112216420825102</v>
      </c>
      <c r="R305" s="1">
        <v>0.11863657786989693</v>
      </c>
      <c r="S305" s="2">
        <f t="shared" si="60"/>
        <v>0.53152015744135306</v>
      </c>
      <c r="T305" s="4">
        <f t="shared" si="61"/>
        <v>0.28251367776648073</v>
      </c>
      <c r="U305" s="1">
        <f t="shared" si="52"/>
        <v>0.2503015425660573</v>
      </c>
      <c r="V305" s="6">
        <f>2*sigma/alpha*corel*(B305/12-1/alpha*(1-EXP(-alpha*Output!B305/12)))</f>
        <v>1.1103471839106236</v>
      </c>
      <c r="W305" s="5">
        <f t="shared" si="62"/>
        <v>-3.2212135200423431E-2</v>
      </c>
      <c r="X305" s="1">
        <f t="shared" si="63"/>
        <v>4.3896601184597479</v>
      </c>
      <c r="Y305" s="3">
        <f t="shared" si="53"/>
        <v>2.0098048779404448E-2</v>
      </c>
      <c r="Z305" s="1">
        <f t="shared" si="54"/>
        <v>0.1073832879040349</v>
      </c>
      <c r="AA305" s="8">
        <f t="shared" si="59"/>
        <v>24.41666666666659</v>
      </c>
      <c r="AB305" s="1">
        <v>24.5</v>
      </c>
      <c r="AC305" s="1">
        <v>7.5915543419999999E-3</v>
      </c>
      <c r="AD305" s="8">
        <f t="shared" si="55"/>
        <v>0.41412045787095686</v>
      </c>
      <c r="AE305" s="3">
        <f t="shared" si="56"/>
        <v>5.4550153923004991E-3</v>
      </c>
      <c r="AF305" s="11">
        <f t="shared" si="57"/>
        <v>24.41666666666659</v>
      </c>
      <c r="AG305" s="1">
        <f t="shared" si="58"/>
        <v>0.1073832879040349</v>
      </c>
    </row>
    <row r="306" spans="2:33" ht="15" x14ac:dyDescent="0.25">
      <c r="B306" s="1">
        <v>295</v>
      </c>
      <c r="C306" s="1">
        <v>1.0004633316539677</v>
      </c>
      <c r="D306" s="1">
        <v>1.1611641484115762</v>
      </c>
      <c r="E306" s="1">
        <v>0.86044643806647614</v>
      </c>
      <c r="G306" s="1">
        <v>1.0000178596702793</v>
      </c>
      <c r="H306" s="1">
        <v>3.5424089173418518</v>
      </c>
      <c r="I306" s="1">
        <v>0.2445623046925284</v>
      </c>
      <c r="K306" s="1">
        <v>1.0000879683110129</v>
      </c>
      <c r="L306" s="1">
        <v>1.4365892626961045</v>
      </c>
      <c r="M306" s="1">
        <v>0.68926847675565406</v>
      </c>
      <c r="O306" s="1">
        <v>7.5615752544960519E-3</v>
      </c>
      <c r="P306" s="1">
        <v>0.83036598881139878</v>
      </c>
      <c r="R306" s="1">
        <v>0.11903126704984893</v>
      </c>
      <c r="S306" s="2">
        <f t="shared" si="60"/>
        <v>0.53378506509456414</v>
      </c>
      <c r="T306" s="4">
        <f t="shared" si="61"/>
        <v>0.2849264957180081</v>
      </c>
      <c r="U306" s="1">
        <f t="shared" si="52"/>
        <v>0.25233809144584995</v>
      </c>
      <c r="V306" s="6">
        <f>2*sigma/alpha*corel*(B306/12-1/alpha*(1-EXP(-alpha*Output!B306/12)))</f>
        <v>1.1168608685481747</v>
      </c>
      <c r="W306" s="5">
        <f t="shared" si="62"/>
        <v>-3.2588404272158145E-2</v>
      </c>
      <c r="X306" s="1">
        <f t="shared" si="63"/>
        <v>4.4519046197897341</v>
      </c>
      <c r="Y306" s="3">
        <f t="shared" si="53"/>
        <v>2.0198498284389878E-2</v>
      </c>
      <c r="Z306" s="1">
        <f t="shared" si="54"/>
        <v>0.10765793205468818</v>
      </c>
      <c r="AA306" s="8">
        <f t="shared" si="59"/>
        <v>24.499999999999922</v>
      </c>
      <c r="AB306" s="1">
        <v>24.58</v>
      </c>
      <c r="AC306" s="1">
        <v>7.6039015200000002E-3</v>
      </c>
      <c r="AD306" s="8">
        <f t="shared" si="55"/>
        <v>0.42326265503948335</v>
      </c>
      <c r="AE306" s="3">
        <f t="shared" si="56"/>
        <v>5.5663879118661094E-3</v>
      </c>
      <c r="AF306" s="11">
        <f t="shared" si="57"/>
        <v>24.499999999999922</v>
      </c>
      <c r="AG306" s="1">
        <f t="shared" si="58"/>
        <v>0.10765793205468818</v>
      </c>
    </row>
    <row r="307" spans="2:33" ht="15" x14ac:dyDescent="0.25">
      <c r="B307" s="1">
        <v>296</v>
      </c>
      <c r="C307" s="1">
        <v>1.000467871620264</v>
      </c>
      <c r="D307" s="1">
        <v>1.157566540881158</v>
      </c>
      <c r="E307" s="1">
        <v>0.86311905215885176</v>
      </c>
      <c r="G307" s="1">
        <v>1.0002122652781553</v>
      </c>
      <c r="H307" s="1">
        <v>3.4455302584104213</v>
      </c>
      <c r="I307" s="1">
        <v>0.25131705877036342</v>
      </c>
      <c r="K307" s="1">
        <v>1.0000818715336754</v>
      </c>
      <c r="L307" s="1">
        <v>1.446908636342946</v>
      </c>
      <c r="M307" s="1">
        <v>0.68434637316531033</v>
      </c>
      <c r="O307" s="1">
        <v>7.5722637835802225E-3</v>
      </c>
      <c r="P307" s="1">
        <v>0.82962415449176452</v>
      </c>
      <c r="R307" s="1">
        <v>0.11939486553982068</v>
      </c>
      <c r="S307" s="2">
        <f t="shared" si="60"/>
        <v>0.53593810999738256</v>
      </c>
      <c r="T307" s="4">
        <f t="shared" si="61"/>
        <v>0.28722965774756654</v>
      </c>
      <c r="U307" s="1">
        <f t="shared" si="52"/>
        <v>0.25438277016886168</v>
      </c>
      <c r="V307" s="6">
        <f>2*sigma/alpha*corel*(B307/12-1/alpha*(1-EXP(-alpha*Output!B307/12)))</f>
        <v>1.1233875414666623</v>
      </c>
      <c r="W307" s="5">
        <f t="shared" si="62"/>
        <v>-3.2846887578704853E-2</v>
      </c>
      <c r="X307" s="1">
        <f t="shared" si="63"/>
        <v>4.5028924760880571</v>
      </c>
      <c r="Y307" s="3">
        <f t="shared" si="53"/>
        <v>2.0242184913357268E-2</v>
      </c>
      <c r="Z307" s="1">
        <f t="shared" si="54"/>
        <v>0.10790943232341094</v>
      </c>
      <c r="AA307" s="8">
        <f t="shared" si="59"/>
        <v>24.583333333333254</v>
      </c>
      <c r="AB307" s="1">
        <v>24.67</v>
      </c>
      <c r="AC307" s="1">
        <v>7.6156330990000002E-3</v>
      </c>
      <c r="AD307" s="8">
        <f t="shared" si="55"/>
        <v>0.43369315419777671</v>
      </c>
      <c r="AE307" s="3">
        <f t="shared" si="56"/>
        <v>5.6947747949507238E-3</v>
      </c>
      <c r="AF307" s="11">
        <f t="shared" si="57"/>
        <v>24.583333333333254</v>
      </c>
      <c r="AG307" s="1">
        <f t="shared" si="58"/>
        <v>0.10790943232341094</v>
      </c>
    </row>
    <row r="308" spans="2:33" ht="15" x14ac:dyDescent="0.25">
      <c r="B308" s="1">
        <v>297</v>
      </c>
      <c r="C308" s="1">
        <v>1.0004702475427809</v>
      </c>
      <c r="D308" s="1">
        <v>1.1542825917413448</v>
      </c>
      <c r="E308" s="1">
        <v>0.86557305916301552</v>
      </c>
      <c r="G308" s="1">
        <v>1.0002354707648129</v>
      </c>
      <c r="H308" s="1">
        <v>3.3553231748783485</v>
      </c>
      <c r="I308" s="1">
        <v>0.2579487972532889</v>
      </c>
      <c r="K308" s="1">
        <v>1.0000922174429006</v>
      </c>
      <c r="L308" s="1">
        <v>1.448354815721169</v>
      </c>
      <c r="M308" s="1">
        <v>0.68362284177757771</v>
      </c>
      <c r="O308" s="1">
        <v>7.5819112834452484E-3</v>
      </c>
      <c r="P308" s="1">
        <v>0.82890286312450434</v>
      </c>
      <c r="R308" s="1">
        <v>0.1197496412444972</v>
      </c>
      <c r="S308" s="2">
        <f t="shared" si="60"/>
        <v>0.53803771900125863</v>
      </c>
      <c r="T308" s="4">
        <f t="shared" si="61"/>
        <v>0.28948458706807734</v>
      </c>
      <c r="U308" s="1">
        <f t="shared" si="52"/>
        <v>0.25643556779475762</v>
      </c>
      <c r="V308" s="6">
        <f>2*sigma/alpha*corel*(B308/12-1/alpha*(1-EXP(-alpha*Output!B308/12)))</f>
        <v>1.1299271594438929</v>
      </c>
      <c r="W308" s="5">
        <f t="shared" si="62"/>
        <v>-3.3049019273319713E-2</v>
      </c>
      <c r="X308" s="1">
        <f t="shared" si="63"/>
        <v>4.5485882937075957</v>
      </c>
      <c r="Y308" s="3">
        <f t="shared" si="53"/>
        <v>2.0258884981736842E-2</v>
      </c>
      <c r="Z308" s="1">
        <f t="shared" si="54"/>
        <v>0.10814965072641497</v>
      </c>
      <c r="AA308" s="8">
        <f t="shared" si="59"/>
        <v>24.666666666666586</v>
      </c>
      <c r="AB308" s="1">
        <v>24.75</v>
      </c>
      <c r="AC308" s="1">
        <v>7.6265702990000002E-3</v>
      </c>
      <c r="AD308" s="8">
        <f t="shared" si="55"/>
        <v>0.44659015554751774</v>
      </c>
      <c r="AE308" s="3">
        <f t="shared" si="56"/>
        <v>5.8557141419921729E-3</v>
      </c>
      <c r="AF308" s="11">
        <f t="shared" si="57"/>
        <v>24.666666666666586</v>
      </c>
      <c r="AG308" s="1">
        <f t="shared" si="58"/>
        <v>0.10814965072641497</v>
      </c>
    </row>
    <row r="309" spans="2:33" ht="15" x14ac:dyDescent="0.25">
      <c r="B309" s="1">
        <v>298</v>
      </c>
      <c r="C309" s="1">
        <v>1.0004757854137745</v>
      </c>
      <c r="D309" s="1">
        <v>1.1554434567105052</v>
      </c>
      <c r="E309" s="1">
        <v>0.86470184704689601</v>
      </c>
      <c r="G309" s="1">
        <v>1.000508667406717</v>
      </c>
      <c r="H309" s="1">
        <v>3.3829503818871194</v>
      </c>
      <c r="I309" s="1">
        <v>0.2557184504911843</v>
      </c>
      <c r="K309" s="1">
        <v>1.0000727399288005</v>
      </c>
      <c r="L309" s="1">
        <v>1.4442495370407438</v>
      </c>
      <c r="M309" s="1">
        <v>0.68556161296678175</v>
      </c>
      <c r="O309" s="1">
        <v>7.5904056283718031E-3</v>
      </c>
      <c r="P309" s="1">
        <v>0.82820458390597251</v>
      </c>
      <c r="R309" s="1">
        <v>0.12014340340933412</v>
      </c>
      <c r="S309" s="2">
        <f t="shared" si="60"/>
        <v>0.54022534303518244</v>
      </c>
      <c r="T309" s="4">
        <f t="shared" si="61"/>
        <v>0.29184342125748053</v>
      </c>
      <c r="U309" s="1">
        <f t="shared" si="52"/>
        <v>0.258496473312543</v>
      </c>
      <c r="V309" s="6">
        <f>2*sigma/alpha*corel*(B309/12-1/alpha*(1-EXP(-alpha*Output!B309/12)))</f>
        <v>1.1364796794015075</v>
      </c>
      <c r="W309" s="5">
        <f t="shared" si="62"/>
        <v>-3.3346947944937533E-2</v>
      </c>
      <c r="X309" s="1">
        <f t="shared" si="63"/>
        <v>4.6040495575563485</v>
      </c>
      <c r="Y309" s="3">
        <f t="shared" si="53"/>
        <v>2.0319971070666156E-2</v>
      </c>
      <c r="Z309" s="1">
        <f t="shared" si="54"/>
        <v>0.10840702964975306</v>
      </c>
      <c r="AA309" s="8">
        <f t="shared" si="59"/>
        <v>24.749999999999918</v>
      </c>
      <c r="AB309" s="1">
        <v>24.83</v>
      </c>
      <c r="AC309" s="1">
        <v>7.6365340369999998E-3</v>
      </c>
      <c r="AD309" s="8">
        <f t="shared" si="55"/>
        <v>0.46128408628196699</v>
      </c>
      <c r="AE309" s="3">
        <f t="shared" si="56"/>
        <v>6.040490149680282E-3</v>
      </c>
      <c r="AF309" s="11">
        <f t="shared" si="57"/>
        <v>24.749999999999918</v>
      </c>
      <c r="AG309" s="1">
        <f t="shared" si="58"/>
        <v>0.10840702964975306</v>
      </c>
    </row>
    <row r="310" spans="2:33" ht="15" x14ac:dyDescent="0.25">
      <c r="B310" s="1">
        <v>299</v>
      </c>
      <c r="C310" s="1">
        <v>1.0004740891197348</v>
      </c>
      <c r="D310" s="1">
        <v>1.1555814377304687</v>
      </c>
      <c r="E310" s="1">
        <v>0.86459701924445798</v>
      </c>
      <c r="G310" s="1">
        <v>1.0002087145598193</v>
      </c>
      <c r="H310" s="1">
        <v>3.38813451679041</v>
      </c>
      <c r="I310" s="1">
        <v>0.25520364758273822</v>
      </c>
      <c r="K310" s="1">
        <v>1.0000774004332635</v>
      </c>
      <c r="L310" s="1">
        <v>1.4408250815912353</v>
      </c>
      <c r="M310" s="1">
        <v>0.68716720984495561</v>
      </c>
      <c r="O310" s="1">
        <v>7.5976758280920809E-3</v>
      </c>
      <c r="P310" s="1">
        <v>0.82753096205522236</v>
      </c>
      <c r="R310" s="1">
        <v>0.12047610942693711</v>
      </c>
      <c r="S310" s="2">
        <f t="shared" si="60"/>
        <v>0.54219480966075961</v>
      </c>
      <c r="T310" s="4">
        <f t="shared" si="61"/>
        <v>0.29397521162306733</v>
      </c>
      <c r="U310" s="1">
        <f t="shared" si="52"/>
        <v>0.26056547564150456</v>
      </c>
      <c r="V310" s="6">
        <f>2*sigma/alpha*corel*(B310/12-1/alpha*(1-EXP(-alpha*Output!B310/12)))</f>
        <v>1.1430450584045044</v>
      </c>
      <c r="W310" s="5">
        <f t="shared" si="62"/>
        <v>-3.3409735981562771E-2</v>
      </c>
      <c r="X310" s="1">
        <f t="shared" si="63"/>
        <v>4.6363890250387128</v>
      </c>
      <c r="Y310" s="3">
        <f t="shared" si="53"/>
        <v>2.0271221233286396E-2</v>
      </c>
      <c r="Z310" s="1">
        <f t="shared" si="54"/>
        <v>0.10862014662313246</v>
      </c>
      <c r="AA310" s="8">
        <f t="shared" si="59"/>
        <v>24.83333333333325</v>
      </c>
      <c r="AB310" s="1">
        <v>24.92</v>
      </c>
      <c r="AC310" s="1">
        <v>7.6453452340000004E-3</v>
      </c>
      <c r="AD310" s="8">
        <f t="shared" si="55"/>
        <v>0.47669405907919438</v>
      </c>
      <c r="AE310" s="3">
        <f t="shared" si="56"/>
        <v>6.2350887303200412E-3</v>
      </c>
      <c r="AF310" s="11">
        <f t="shared" si="57"/>
        <v>24.83333333333325</v>
      </c>
      <c r="AG310" s="1">
        <f t="shared" si="58"/>
        <v>0.10862014662313246</v>
      </c>
    </row>
    <row r="311" spans="2:33" ht="15" x14ac:dyDescent="0.25">
      <c r="B311" s="1">
        <v>300</v>
      </c>
      <c r="C311" s="1">
        <v>1.0004743468596176</v>
      </c>
      <c r="D311" s="1">
        <v>1.1549766132927715</v>
      </c>
      <c r="E311" s="1">
        <v>0.8650482000902957</v>
      </c>
      <c r="G311" s="1">
        <v>1.0000486908656756</v>
      </c>
      <c r="H311" s="1">
        <v>3.3711231428968471</v>
      </c>
      <c r="I311" s="1">
        <v>0.25636736279136646</v>
      </c>
      <c r="K311" s="1">
        <v>1.00006197634284</v>
      </c>
      <c r="L311" s="1">
        <v>1.4314105362958287</v>
      </c>
      <c r="M311" s="1">
        <v>0.69166008018071035</v>
      </c>
      <c r="O311" s="1">
        <v>7.6035111308804457E-3</v>
      </c>
      <c r="P311" s="1">
        <v>0.82688654808533812</v>
      </c>
      <c r="R311" s="1">
        <v>0.12083343753519012</v>
      </c>
      <c r="S311" s="2">
        <f t="shared" si="60"/>
        <v>0.54419957199405866</v>
      </c>
      <c r="T311" s="4">
        <f t="shared" si="61"/>
        <v>0.29615317415851666</v>
      </c>
      <c r="U311" s="1">
        <f t="shared" si="52"/>
        <v>0.26264256363215388</v>
      </c>
      <c r="V311" s="6">
        <f>2*sigma/alpha*corel*(B311/12-1/alpha*(1-EXP(-alpha*Output!B311/12)))</f>
        <v>1.1496232536607573</v>
      </c>
      <c r="W311" s="5">
        <f t="shared" si="62"/>
        <v>-3.3510610526362783E-2</v>
      </c>
      <c r="X311" s="1">
        <f t="shared" si="63"/>
        <v>4.6726946779938245</v>
      </c>
      <c r="Y311" s="3">
        <f t="shared" si="53"/>
        <v>2.0240368181124423E-2</v>
      </c>
      <c r="Z311" s="1">
        <f t="shared" si="54"/>
        <v>0.10883991439881173</v>
      </c>
      <c r="AA311" s="8">
        <f t="shared" si="59"/>
        <v>24.916666666666583</v>
      </c>
      <c r="AB311" s="1">
        <v>25</v>
      </c>
      <c r="AC311" s="1">
        <v>7.6528248069999997E-3</v>
      </c>
      <c r="AD311" s="8">
        <f t="shared" si="55"/>
        <v>0.49313676119554056</v>
      </c>
      <c r="AE311" s="3">
        <f t="shared" si="56"/>
        <v>6.4438527423817532E-3</v>
      </c>
      <c r="AF311" s="11">
        <f t="shared" si="57"/>
        <v>24.916666666666583</v>
      </c>
      <c r="AG311" s="1">
        <f t="shared" si="58"/>
        <v>0.10883991439881173</v>
      </c>
    </row>
    <row r="312" spans="2:33" ht="15" x14ac:dyDescent="0.25">
      <c r="B312" s="1">
        <v>301</v>
      </c>
      <c r="C312" s="1">
        <v>1.0004775156201084</v>
      </c>
      <c r="D312" s="1">
        <v>1.1519918861604246</v>
      </c>
      <c r="E312" s="1">
        <v>0.86728789026269415</v>
      </c>
      <c r="G312" s="1">
        <v>1.0001339923154227</v>
      </c>
      <c r="H312" s="1">
        <v>3.2937406238575924</v>
      </c>
      <c r="I312" s="1">
        <v>0.26226346144302459</v>
      </c>
      <c r="K312" s="1">
        <v>1.0000676546260741</v>
      </c>
      <c r="L312" s="1">
        <v>1.4312608089410404</v>
      </c>
      <c r="M312" s="1">
        <v>0.69171621248551507</v>
      </c>
      <c r="O312" s="1">
        <v>7.6077048286138805E-3</v>
      </c>
      <c r="P312" s="1">
        <v>0.82627585517041746</v>
      </c>
      <c r="R312" s="1">
        <v>0.12125762576409789</v>
      </c>
      <c r="S312" s="2">
        <f t="shared" si="60"/>
        <v>0.54636167544227399</v>
      </c>
      <c r="T312" s="4">
        <f t="shared" si="61"/>
        <v>0.29851108039208873</v>
      </c>
      <c r="U312" s="1">
        <f t="shared" si="52"/>
        <v>0.26472772606715367</v>
      </c>
      <c r="V312" s="6">
        <f>2*sigma/alpha*corel*(B312/12-1/alpha*(1-EXP(-alpha*Output!B312/12)))</f>
        <v>1.1562142225205445</v>
      </c>
      <c r="W312" s="5">
        <f t="shared" si="62"/>
        <v>-3.3783354324935067E-2</v>
      </c>
      <c r="X312" s="1">
        <f t="shared" si="63"/>
        <v>4.7264278789606049</v>
      </c>
      <c r="Y312" s="3">
        <f t="shared" si="53"/>
        <v>2.0288784876329766E-2</v>
      </c>
      <c r="Z312" s="1">
        <f t="shared" si="54"/>
        <v>0.10909066857032189</v>
      </c>
      <c r="AA312" s="8">
        <f t="shared" si="59"/>
        <v>24.999999999999915</v>
      </c>
      <c r="AB312" s="1">
        <v>25.08</v>
      </c>
      <c r="AC312" s="1">
        <v>7.6587936739999996E-3</v>
      </c>
      <c r="AD312" s="8">
        <f t="shared" si="55"/>
        <v>0.51088845386119097</v>
      </c>
      <c r="AE312" s="3">
        <f t="shared" si="56"/>
        <v>6.6706125743477103E-3</v>
      </c>
      <c r="AF312" s="11">
        <f t="shared" si="57"/>
        <v>24.999999999999915</v>
      </c>
      <c r="AG312" s="1">
        <f t="shared" si="58"/>
        <v>0.10909066857032189</v>
      </c>
    </row>
    <row r="313" spans="2:33" ht="15" x14ac:dyDescent="0.25">
      <c r="B313" s="1">
        <v>302</v>
      </c>
      <c r="C313" s="1">
        <v>1.0004795783221523</v>
      </c>
      <c r="D313" s="1">
        <v>1.1510405265854968</v>
      </c>
      <c r="E313" s="1">
        <v>0.8680031327565626</v>
      </c>
      <c r="G313" s="1">
        <v>1.0001037582971881</v>
      </c>
      <c r="H313" s="1">
        <v>3.2869133791054836</v>
      </c>
      <c r="I313" s="1">
        <v>0.26268105962512739</v>
      </c>
      <c r="K313" s="1">
        <v>1.0000698420458849</v>
      </c>
      <c r="L313" s="1">
        <v>1.446088602109791</v>
      </c>
      <c r="M313" s="1">
        <v>0.68459485920186514</v>
      </c>
      <c r="O313" s="1">
        <v>7.6103088885943705E-3</v>
      </c>
      <c r="P313" s="1">
        <v>0.82569806830116155</v>
      </c>
      <c r="R313" s="1">
        <v>0.12166522022463831</v>
      </c>
      <c r="S313" s="2">
        <f t="shared" si="60"/>
        <v>0.5484284038095002</v>
      </c>
      <c r="T313" s="4">
        <f t="shared" si="61"/>
        <v>0.30077371410503623</v>
      </c>
      <c r="U313" s="1">
        <f t="shared" ref="U313:U376" si="64">sigma*sigma/alpha/alpha*(B313/12+2/alpha*EXP(-alpha*B313/12)-1/2/alpha*EXP(-2*alpha*B313/12)-3/2/alpha)</f>
        <v>0.26682095166224684</v>
      </c>
      <c r="V313" s="6">
        <f>2*sigma/alpha*corel*(B313/12-1/alpha*(1-EXP(-alpha*Output!B313/12)))</f>
        <v>1.1628179224760751</v>
      </c>
      <c r="W313" s="5">
        <f t="shared" si="62"/>
        <v>-3.3952762442789386E-2</v>
      </c>
      <c r="X313" s="1">
        <f t="shared" si="63"/>
        <v>4.770056940072374</v>
      </c>
      <c r="Y313" s="3">
        <f t="shared" si="53"/>
        <v>2.0289299598740394E-2</v>
      </c>
      <c r="Z313" s="1">
        <f t="shared" si="54"/>
        <v>0.10932187982351536</v>
      </c>
      <c r="AA313" s="8">
        <f t="shared" si="59"/>
        <v>25.083333333333247</v>
      </c>
      <c r="AB313" s="1">
        <v>25.17</v>
      </c>
      <c r="AC313" s="1">
        <v>7.6631323939999997E-3</v>
      </c>
      <c r="AD313" s="8">
        <f t="shared" si="55"/>
        <v>0.52823505405629256</v>
      </c>
      <c r="AE313" s="3">
        <f t="shared" si="56"/>
        <v>6.8932001549377462E-3</v>
      </c>
      <c r="AF313" s="11">
        <f t="shared" si="57"/>
        <v>25.083333333333247</v>
      </c>
      <c r="AG313" s="1">
        <f t="shared" si="58"/>
        <v>0.10932187982351536</v>
      </c>
    </row>
    <row r="314" spans="2:33" ht="15" x14ac:dyDescent="0.25">
      <c r="B314" s="1">
        <v>303</v>
      </c>
      <c r="C314" s="1">
        <v>1.0004847760053797</v>
      </c>
      <c r="D314" s="1">
        <v>1.1536160704773364</v>
      </c>
      <c r="E314" s="1">
        <v>0.86606365571704735</v>
      </c>
      <c r="G314" s="1">
        <v>1.0003523132909438</v>
      </c>
      <c r="H314" s="1">
        <v>3.3380651999495621</v>
      </c>
      <c r="I314" s="1">
        <v>0.25853064992009178</v>
      </c>
      <c r="K314" s="1">
        <v>1.0000690757229664</v>
      </c>
      <c r="L314" s="1">
        <v>1.4623529417253018</v>
      </c>
      <c r="M314" s="1">
        <v>0.67696780945760848</v>
      </c>
      <c r="O314" s="1">
        <v>7.6116226407373002E-3</v>
      </c>
      <c r="P314" s="1">
        <v>0.82514721043161576</v>
      </c>
      <c r="R314" s="1">
        <v>0.12211093200987876</v>
      </c>
      <c r="S314" s="2">
        <f t="shared" si="60"/>
        <v>0.55057467553617134</v>
      </c>
      <c r="T314" s="4">
        <f t="shared" si="61"/>
        <v>0.30313247334176036</v>
      </c>
      <c r="U314" s="1">
        <f t="shared" si="64"/>
        <v>0.26892222906716556</v>
      </c>
      <c r="V314" s="6">
        <f>2*sigma/alpha*corel*(B314/12-1/alpha*(1-EXP(-alpha*Output!B314/12)))</f>
        <v>1.1694343111610106</v>
      </c>
      <c r="W314" s="5">
        <f t="shared" si="62"/>
        <v>-3.4210244274594792E-2</v>
      </c>
      <c r="X314" s="1">
        <f t="shared" si="63"/>
        <v>4.8228112798547009</v>
      </c>
      <c r="Y314" s="3">
        <f t="shared" si="53"/>
        <v>2.0329815583400419E-2</v>
      </c>
      <c r="Z314" s="1">
        <f t="shared" si="54"/>
        <v>0.10956845562925768</v>
      </c>
      <c r="AA314" s="8">
        <f t="shared" si="59"/>
        <v>25.166666666666579</v>
      </c>
      <c r="AB314" s="1">
        <v>25.25</v>
      </c>
      <c r="AC314" s="1">
        <v>7.6659600830000004E-3</v>
      </c>
      <c r="AD314" s="8">
        <f t="shared" si="55"/>
        <v>0.54337442262700208</v>
      </c>
      <c r="AE314" s="3">
        <f t="shared" si="56"/>
        <v>7.0881457344395375E-3</v>
      </c>
      <c r="AF314" s="11">
        <f t="shared" si="57"/>
        <v>25.166666666666579</v>
      </c>
      <c r="AG314" s="1">
        <f t="shared" si="58"/>
        <v>0.10956845562925768</v>
      </c>
    </row>
    <row r="315" spans="2:33" ht="15" x14ac:dyDescent="0.25">
      <c r="B315" s="1">
        <v>304</v>
      </c>
      <c r="C315" s="1">
        <v>1.0004864855899385</v>
      </c>
      <c r="D315" s="1">
        <v>1.1568540510163661</v>
      </c>
      <c r="E315" s="1">
        <v>0.86363799929531981</v>
      </c>
      <c r="G315" s="1">
        <v>1.000301805072944</v>
      </c>
      <c r="H315" s="1">
        <v>3.423485196216864</v>
      </c>
      <c r="I315" s="1">
        <v>0.2519580477586959</v>
      </c>
      <c r="K315" s="1">
        <v>1.0000815699578649</v>
      </c>
      <c r="L315" s="1">
        <v>1.4425107924059932</v>
      </c>
      <c r="M315" s="1">
        <v>0.68624920425504166</v>
      </c>
      <c r="O315" s="1">
        <v>7.6117345890572867E-3</v>
      </c>
      <c r="P315" s="1">
        <v>0.82462164530834203</v>
      </c>
      <c r="R315" s="1">
        <v>0.12255299298813892</v>
      </c>
      <c r="S315" s="2">
        <f t="shared" si="60"/>
        <v>0.55267556250108507</v>
      </c>
      <c r="T315" s="4">
        <f t="shared" si="61"/>
        <v>0.30545027738589081</v>
      </c>
      <c r="U315" s="1">
        <f t="shared" si="64"/>
        <v>0.27103154686654207</v>
      </c>
      <c r="V315" s="6">
        <f>2*sigma/alpha*corel*(B315/12-1/alpha*(1-EXP(-alpha*Output!B315/12)))</f>
        <v>1.1760633463500019</v>
      </c>
      <c r="W315" s="5">
        <f t="shared" si="62"/>
        <v>-3.4418730519348739E-2</v>
      </c>
      <c r="X315" s="1">
        <f t="shared" si="63"/>
        <v>4.8708896872553034</v>
      </c>
      <c r="Y315" s="3">
        <f t="shared" si="53"/>
        <v>2.0347615882992342E-2</v>
      </c>
      <c r="Z315" s="1">
        <f t="shared" si="54"/>
        <v>0.10980549982377168</v>
      </c>
      <c r="AA315" s="8">
        <f t="shared" si="59"/>
        <v>25.249999999999911</v>
      </c>
      <c r="AB315" s="1">
        <v>25.33</v>
      </c>
      <c r="AC315" s="1">
        <v>7.6674555010000003E-3</v>
      </c>
      <c r="AD315" s="8">
        <f t="shared" si="55"/>
        <v>0.55720911942713602</v>
      </c>
      <c r="AE315" s="3">
        <f t="shared" si="56"/>
        <v>7.2671973036487021E-3</v>
      </c>
      <c r="AF315" s="11">
        <f t="shared" si="57"/>
        <v>25.249999999999911</v>
      </c>
      <c r="AG315" s="1">
        <f t="shared" si="58"/>
        <v>0.10980549982377168</v>
      </c>
    </row>
    <row r="316" spans="2:33" ht="15" x14ac:dyDescent="0.25">
      <c r="B316" s="1">
        <v>305</v>
      </c>
      <c r="C316" s="1">
        <v>1.0004867930547585</v>
      </c>
      <c r="D316" s="1">
        <v>1.1572677169188723</v>
      </c>
      <c r="E316" s="1">
        <v>0.86332770568778228</v>
      </c>
      <c r="G316" s="1">
        <v>1.0001286131373499</v>
      </c>
      <c r="H316" s="1">
        <v>3.4348398461798939</v>
      </c>
      <c r="I316" s="1">
        <v>0.25100364798196761</v>
      </c>
      <c r="K316" s="1">
        <v>1.0000655044392612</v>
      </c>
      <c r="L316" s="1">
        <v>1.4437660608660017</v>
      </c>
      <c r="M316" s="1">
        <v>0.68563372728619076</v>
      </c>
      <c r="O316" s="1">
        <v>7.6108761771641088E-3</v>
      </c>
      <c r="P316" s="1">
        <v>0.82411672476541931</v>
      </c>
      <c r="R316" s="1">
        <v>0.1230099061592293</v>
      </c>
      <c r="S316" s="2">
        <f t="shared" si="60"/>
        <v>0.55479398556493242</v>
      </c>
      <c r="T316" s="4">
        <f t="shared" si="61"/>
        <v>0.30779636641902247</v>
      </c>
      <c r="U316" s="1">
        <f t="shared" si="64"/>
        <v>0.27314889358081196</v>
      </c>
      <c r="V316" s="6">
        <f>2*sigma/alpha*corel*(B316/12-1/alpha*(1-EXP(-alpha*Output!B316/12)))</f>
        <v>1.1827049859582166</v>
      </c>
      <c r="W316" s="5">
        <f t="shared" si="62"/>
        <v>-3.4647472838210513E-2</v>
      </c>
      <c r="X316" s="1">
        <f t="shared" si="63"/>
        <v>4.9212841556951608</v>
      </c>
      <c r="Y316" s="3">
        <f t="shared" si="53"/>
        <v>2.0374264278427832E-2</v>
      </c>
      <c r="Z316" s="1">
        <f t="shared" si="54"/>
        <v>0.11004554045422821</v>
      </c>
      <c r="AA316" s="8">
        <f t="shared" si="59"/>
        <v>25.333333333333243</v>
      </c>
      <c r="AB316" s="1">
        <v>25.42</v>
      </c>
      <c r="AC316" s="1">
        <v>7.6677974030000002E-3</v>
      </c>
      <c r="AD316" s="8">
        <f t="shared" si="55"/>
        <v>0.56921225835891365</v>
      </c>
      <c r="AE316" s="3">
        <f t="shared" si="56"/>
        <v>7.4234128582506788E-3</v>
      </c>
      <c r="AF316" s="11">
        <f t="shared" si="57"/>
        <v>25.333333333333243</v>
      </c>
      <c r="AG316" s="1">
        <f t="shared" si="58"/>
        <v>0.11004554045422821</v>
      </c>
    </row>
    <row r="317" spans="2:33" ht="15" x14ac:dyDescent="0.25">
      <c r="B317" s="1">
        <v>306</v>
      </c>
      <c r="C317" s="1">
        <v>1.0004874978670062</v>
      </c>
      <c r="D317" s="1">
        <v>1.1576895657622612</v>
      </c>
      <c r="E317" s="1">
        <v>0.86301153199111724</v>
      </c>
      <c r="G317" s="1">
        <v>1.0000134364502118</v>
      </c>
      <c r="H317" s="1">
        <v>3.4452175209185154</v>
      </c>
      <c r="I317" s="1">
        <v>0.25012650592010466</v>
      </c>
      <c r="K317" s="1">
        <v>1.0000606467392934</v>
      </c>
      <c r="L317" s="1">
        <v>1.4405708144638498</v>
      </c>
      <c r="M317" s="1">
        <v>0.68713144261079651</v>
      </c>
      <c r="O317" s="1">
        <v>7.6093167586667575E-3</v>
      </c>
      <c r="P317" s="1">
        <v>0.82362695397203922</v>
      </c>
      <c r="R317" s="1">
        <v>0.12348555603215004</v>
      </c>
      <c r="S317" s="2">
        <f t="shared" si="60"/>
        <v>0.55694964367470212</v>
      </c>
      <c r="T317" s="4">
        <f t="shared" si="61"/>
        <v>0.31019290558937768</v>
      </c>
      <c r="U317" s="1">
        <f t="shared" si="64"/>
        <v>0.27527425766709923</v>
      </c>
      <c r="V317" s="6">
        <f>2*sigma/alpha*corel*(B317/12-1/alpha*(1-EXP(-alpha*Output!B317/12)))</f>
        <v>1.1893591880408698</v>
      </c>
      <c r="W317" s="5">
        <f t="shared" si="62"/>
        <v>-3.4918647922278445E-2</v>
      </c>
      <c r="X317" s="1">
        <f t="shared" si="63"/>
        <v>4.9762773662496382</v>
      </c>
      <c r="Y317" s="3">
        <f t="shared" si="53"/>
        <v>2.0419567459526198E-2</v>
      </c>
      <c r="Z317" s="1">
        <f t="shared" si="54"/>
        <v>0.11029246424924811</v>
      </c>
      <c r="AA317" s="8">
        <f t="shared" si="59"/>
        <v>25.416666666666575</v>
      </c>
      <c r="AB317" s="1">
        <v>25.5</v>
      </c>
      <c r="AC317" s="1">
        <v>7.6671645460000002E-3</v>
      </c>
      <c r="AD317" s="8">
        <f t="shared" si="55"/>
        <v>0.57847787333242628</v>
      </c>
      <c r="AE317" s="3">
        <f t="shared" si="56"/>
        <v>7.5448735952096026E-3</v>
      </c>
      <c r="AF317" s="11">
        <f t="shared" si="57"/>
        <v>25.416666666666575</v>
      </c>
      <c r="AG317" s="1">
        <f t="shared" si="58"/>
        <v>0.11029246424924811</v>
      </c>
    </row>
    <row r="318" spans="2:33" ht="15" x14ac:dyDescent="0.25">
      <c r="B318" s="1">
        <v>307</v>
      </c>
      <c r="C318" s="1">
        <v>1.0004887794461348</v>
      </c>
      <c r="D318" s="1">
        <v>1.159131540947266</v>
      </c>
      <c r="E318" s="1">
        <v>0.86193634749658599</v>
      </c>
      <c r="G318" s="1">
        <v>0.99993710566328742</v>
      </c>
      <c r="H318" s="1">
        <v>3.4823404387970056</v>
      </c>
      <c r="I318" s="1">
        <v>0.24734035306738797</v>
      </c>
      <c r="K318" s="1">
        <v>1.0000466614819943</v>
      </c>
      <c r="L318" s="1">
        <v>1.4361799514740223</v>
      </c>
      <c r="M318" s="1">
        <v>0.6892077962326344</v>
      </c>
      <c r="O318" s="1">
        <v>7.6070902017760459E-3</v>
      </c>
      <c r="P318" s="1">
        <v>0.82315173730875058</v>
      </c>
      <c r="R318" s="1">
        <v>0.12390748874314984</v>
      </c>
      <c r="S318" s="2">
        <f t="shared" si="60"/>
        <v>0.5589222263062843</v>
      </c>
      <c r="T318" s="4">
        <f t="shared" si="61"/>
        <v>0.31239405505917328</v>
      </c>
      <c r="U318" s="1">
        <f t="shared" si="64"/>
        <v>0.27740762752010895</v>
      </c>
      <c r="V318" s="6">
        <f>2*sigma/alpha*corel*(B318/12-1/alpha*(1-EXP(-alpha*Output!B318/12)))</f>
        <v>1.1960259107927609</v>
      </c>
      <c r="W318" s="5">
        <f t="shared" si="62"/>
        <v>-3.4986427539064335E-2</v>
      </c>
      <c r="X318" s="1">
        <f t="shared" si="63"/>
        <v>5.0107557307852364</v>
      </c>
      <c r="Y318" s="3">
        <f t="shared" si="53"/>
        <v>2.0373534121342969E-2</v>
      </c>
      <c r="Z318" s="1">
        <f t="shared" si="54"/>
        <v>0.11050268115765144</v>
      </c>
      <c r="AA318" s="8">
        <f t="shared" si="59"/>
        <v>25.499999999999908</v>
      </c>
      <c r="AB318" s="1">
        <v>25.58</v>
      </c>
      <c r="AC318" s="1">
        <v>7.6657356890000002E-3</v>
      </c>
      <c r="AD318" s="8">
        <f t="shared" si="55"/>
        <v>0.58645487223954285</v>
      </c>
      <c r="AE318" s="3">
        <f t="shared" si="56"/>
        <v>7.6503403721717173E-3</v>
      </c>
      <c r="AF318" s="11">
        <f t="shared" si="57"/>
        <v>25.499999999999908</v>
      </c>
      <c r="AG318" s="1">
        <f t="shared" si="58"/>
        <v>0.11050268115765144</v>
      </c>
    </row>
    <row r="319" spans="2:33" ht="15" x14ac:dyDescent="0.25">
      <c r="B319" s="1">
        <v>308</v>
      </c>
      <c r="C319" s="1">
        <v>1.0004934660326463</v>
      </c>
      <c r="D319" s="1">
        <v>1.1585840119875745</v>
      </c>
      <c r="E319" s="1">
        <v>0.86234209614312329</v>
      </c>
      <c r="G319" s="1">
        <v>1.0001446727640695</v>
      </c>
      <c r="H319" s="1">
        <v>3.4674504595561597</v>
      </c>
      <c r="I319" s="1">
        <v>0.24828231008381771</v>
      </c>
      <c r="K319" s="1">
        <v>1.0000437968852023</v>
      </c>
      <c r="L319" s="1">
        <v>1.4430470534079844</v>
      </c>
      <c r="M319" s="1">
        <v>0.68589761281953532</v>
      </c>
      <c r="O319" s="1">
        <v>7.6043756831228482E-3</v>
      </c>
      <c r="P319" s="1">
        <v>0.82268740368772564</v>
      </c>
      <c r="R319" s="1">
        <v>0.12441060335439555</v>
      </c>
      <c r="S319" s="2">
        <f t="shared" si="60"/>
        <v>0.56112866208780421</v>
      </c>
      <c r="T319" s="4">
        <f t="shared" si="61"/>
        <v>0.31486537541644916</v>
      </c>
      <c r="U319" s="1">
        <f t="shared" si="64"/>
        <v>0.27954899147299939</v>
      </c>
      <c r="V319" s="6">
        <f>2*sigma/alpha*corel*(B319/12-1/alpha*(1-EXP(-alpha*Output!B319/12)))</f>
        <v>1.2027051125478088</v>
      </c>
      <c r="W319" s="5">
        <f t="shared" si="62"/>
        <v>-3.531638394344977E-2</v>
      </c>
      <c r="X319" s="1">
        <f t="shared" si="63"/>
        <v>5.072315005942813</v>
      </c>
      <c r="Y319" s="3">
        <f t="shared" si="53"/>
        <v>2.0444317085853911E-2</v>
      </c>
      <c r="Z319" s="1">
        <f t="shared" si="54"/>
        <v>0.11075866629335347</v>
      </c>
      <c r="AA319" s="8">
        <f t="shared" si="59"/>
        <v>25.58333333333324</v>
      </c>
      <c r="AB319" s="1">
        <v>25.67</v>
      </c>
      <c r="AC319" s="1">
        <v>7.6636897100000002E-3</v>
      </c>
      <c r="AD319" s="8">
        <f t="shared" si="55"/>
        <v>0.5931402687715196</v>
      </c>
      <c r="AE319" s="3">
        <f t="shared" si="56"/>
        <v>7.7396174847418177E-3</v>
      </c>
      <c r="AF319" s="11">
        <f t="shared" si="57"/>
        <v>25.58333333333324</v>
      </c>
      <c r="AG319" s="1">
        <f t="shared" si="58"/>
        <v>0.11075866629335347</v>
      </c>
    </row>
    <row r="320" spans="2:33" ht="15" x14ac:dyDescent="0.25">
      <c r="B320" s="1">
        <v>309</v>
      </c>
      <c r="C320" s="1">
        <v>1.0004928022897752</v>
      </c>
      <c r="D320" s="1">
        <v>1.1565463505525577</v>
      </c>
      <c r="E320" s="1">
        <v>0.86385982002440143</v>
      </c>
      <c r="G320" s="1">
        <v>0.99991181823411424</v>
      </c>
      <c r="H320" s="1">
        <v>3.411783146416222</v>
      </c>
      <c r="I320" s="1">
        <v>0.252211255361037</v>
      </c>
      <c r="K320" s="1">
        <v>1.0000554925652101</v>
      </c>
      <c r="L320" s="1">
        <v>1.4458984890744657</v>
      </c>
      <c r="M320" s="1">
        <v>0.68452827286163864</v>
      </c>
      <c r="O320" s="1">
        <v>7.6013745347807901E-3</v>
      </c>
      <c r="P320" s="1">
        <v>0.82222977260473651</v>
      </c>
      <c r="R320" s="1">
        <v>0.12490015188765259</v>
      </c>
      <c r="S320" s="2">
        <f t="shared" si="60"/>
        <v>0.56328580492667024</v>
      </c>
      <c r="T320" s="4">
        <f t="shared" si="61"/>
        <v>0.31729089803188681</v>
      </c>
      <c r="U320" s="1">
        <f t="shared" si="64"/>
        <v>0.28169833779825693</v>
      </c>
      <c r="V320" s="6">
        <f>2*sigma/alpha*corel*(B320/12-1/alpha*(1-EXP(-alpha*Output!B320/12)))</f>
        <v>1.2093967517785855</v>
      </c>
      <c r="W320" s="5">
        <f t="shared" si="62"/>
        <v>-3.5592560233629889E-2</v>
      </c>
      <c r="X320" s="1">
        <f t="shared" si="63"/>
        <v>5.1286742072764717</v>
      </c>
      <c r="Y320" s="3">
        <f t="shared" si="53"/>
        <v>2.0490502601882669E-2</v>
      </c>
      <c r="Z320" s="1">
        <f t="shared" si="54"/>
        <v>0.11100439911371777</v>
      </c>
      <c r="AA320" s="8">
        <f t="shared" si="59"/>
        <v>25.666666666666572</v>
      </c>
      <c r="AB320" s="1">
        <v>25.75</v>
      </c>
      <c r="AC320" s="1">
        <v>7.6612059749999999E-3</v>
      </c>
      <c r="AD320" s="8">
        <f t="shared" si="55"/>
        <v>0.59831440219209819</v>
      </c>
      <c r="AE320" s="3">
        <f t="shared" si="56"/>
        <v>7.8096634412978061E-3</v>
      </c>
      <c r="AF320" s="11">
        <f t="shared" si="57"/>
        <v>25.666666666666572</v>
      </c>
      <c r="AG320" s="1">
        <f t="shared" si="58"/>
        <v>0.11100439911371777</v>
      </c>
    </row>
    <row r="321" spans="2:33" ht="15" x14ac:dyDescent="0.25">
      <c r="B321" s="1">
        <v>310</v>
      </c>
      <c r="C321" s="1">
        <v>1.0004934492558808</v>
      </c>
      <c r="D321" s="1">
        <v>1.1556261602087015</v>
      </c>
      <c r="E321" s="1">
        <v>0.8645460887895019</v>
      </c>
      <c r="G321" s="1">
        <v>0.99979165615713883</v>
      </c>
      <c r="H321" s="1">
        <v>3.3863253692973516</v>
      </c>
      <c r="I321" s="1">
        <v>0.25398439905997994</v>
      </c>
      <c r="K321" s="1">
        <v>1.0000633206598895</v>
      </c>
      <c r="L321" s="1">
        <v>1.4467428436506133</v>
      </c>
      <c r="M321" s="1">
        <v>0.68410460346378488</v>
      </c>
      <c r="O321" s="1">
        <v>7.5983055026479229E-3</v>
      </c>
      <c r="P321" s="1">
        <v>0.82177424824399714</v>
      </c>
      <c r="R321" s="1">
        <v>0.12539641810988986</v>
      </c>
      <c r="S321" s="2">
        <f t="shared" si="60"/>
        <v>0.56546221719160106</v>
      </c>
      <c r="T321" s="4">
        <f t="shared" si="61"/>
        <v>0.31974751907124138</v>
      </c>
      <c r="U321" s="1">
        <f t="shared" si="64"/>
        <v>0.28385565470855489</v>
      </c>
      <c r="V321" s="6">
        <f>2*sigma/alpha*corel*(B321/12-1/alpha*(1-EXP(-alpha*Output!B321/12)))</f>
        <v>1.21610078709586</v>
      </c>
      <c r="W321" s="5">
        <f t="shared" si="62"/>
        <v>-3.5891864362686487E-2</v>
      </c>
      <c r="X321" s="1">
        <f t="shared" si="63"/>
        <v>5.1877271085194412</v>
      </c>
      <c r="Y321" s="3">
        <f t="shared" si="53"/>
        <v>2.0546273495645657E-2</v>
      </c>
      <c r="Z321" s="1">
        <f t="shared" si="54"/>
        <v>0.11125341935817869</v>
      </c>
      <c r="AA321" s="8">
        <f t="shared" si="59"/>
        <v>25.749999999999904</v>
      </c>
      <c r="AB321" s="1">
        <v>25.83</v>
      </c>
      <c r="AC321" s="1">
        <v>7.6584639720000004E-3</v>
      </c>
      <c r="AD321" s="8">
        <f t="shared" si="55"/>
        <v>0.60158469352077426</v>
      </c>
      <c r="AE321" s="3">
        <f t="shared" si="56"/>
        <v>7.8551612401679943E-3</v>
      </c>
      <c r="AF321" s="11">
        <f t="shared" si="57"/>
        <v>25.749999999999904</v>
      </c>
      <c r="AG321" s="1">
        <f t="shared" si="58"/>
        <v>0.11125341935817869</v>
      </c>
    </row>
    <row r="322" spans="2:33" ht="15" x14ac:dyDescent="0.25">
      <c r="B322" s="1">
        <v>311</v>
      </c>
      <c r="C322" s="1">
        <v>1.0004981266021229</v>
      </c>
      <c r="D322" s="1">
        <v>1.1541318222812518</v>
      </c>
      <c r="E322" s="1">
        <v>0.86566387840580061</v>
      </c>
      <c r="G322" s="1">
        <v>0.99997921890247032</v>
      </c>
      <c r="H322" s="1">
        <v>3.3465026194836427</v>
      </c>
      <c r="I322" s="1">
        <v>0.25688242877155643</v>
      </c>
      <c r="K322" s="1">
        <v>1.0000682733196316</v>
      </c>
      <c r="L322" s="1">
        <v>1.4457097327554156</v>
      </c>
      <c r="M322" s="1">
        <v>0.68457050470536163</v>
      </c>
      <c r="O322" s="1">
        <v>7.595372410576836E-3</v>
      </c>
      <c r="P322" s="1">
        <v>0.82131650276177381</v>
      </c>
      <c r="R322" s="1">
        <v>0.12588081477691995</v>
      </c>
      <c r="S322" s="2">
        <f t="shared" si="60"/>
        <v>0.56760736289621239</v>
      </c>
      <c r="T322" s="4">
        <f t="shared" si="61"/>
        <v>0.32217811841399252</v>
      </c>
      <c r="U322" s="1">
        <f t="shared" si="64"/>
        <v>0.28602093035761422</v>
      </c>
      <c r="V322" s="6">
        <f>2*sigma/alpha*corel*(B322/12-1/alpha*(1-EXP(-alpha*Output!B322/12)))</f>
        <v>1.2228171772481349</v>
      </c>
      <c r="W322" s="5">
        <f t="shared" si="62"/>
        <v>-3.6157188056378298E-2</v>
      </c>
      <c r="X322" s="1">
        <f t="shared" si="63"/>
        <v>5.2435770108176474</v>
      </c>
      <c r="Y322" s="3">
        <f t="shared" si="53"/>
        <v>2.0586533057110747E-2</v>
      </c>
      <c r="Z322" s="1">
        <f t="shared" si="54"/>
        <v>0.11149578483183387</v>
      </c>
      <c r="AA322" s="8">
        <f t="shared" si="59"/>
        <v>25.833333333333236</v>
      </c>
      <c r="AB322" s="1">
        <v>25.92</v>
      </c>
      <c r="AC322" s="1">
        <v>7.6556431900000003E-3</v>
      </c>
      <c r="AD322" s="8">
        <f t="shared" si="55"/>
        <v>0.60270779423164322</v>
      </c>
      <c r="AE322" s="3">
        <f t="shared" si="56"/>
        <v>7.872725769389511E-3</v>
      </c>
      <c r="AF322" s="11">
        <f t="shared" si="57"/>
        <v>25.833333333333236</v>
      </c>
      <c r="AG322" s="1">
        <f t="shared" si="58"/>
        <v>0.11149578483183387</v>
      </c>
    </row>
    <row r="323" spans="2:33" ht="15" x14ac:dyDescent="0.25">
      <c r="B323" s="1">
        <v>312</v>
      </c>
      <c r="C323" s="1">
        <v>1.0004989724102398</v>
      </c>
      <c r="D323" s="1">
        <v>1.1546958994544274</v>
      </c>
      <c r="E323" s="1">
        <v>0.8652393937258388</v>
      </c>
      <c r="G323" s="1">
        <v>0.99986929087000476</v>
      </c>
      <c r="H323" s="1">
        <v>3.3596322295222238</v>
      </c>
      <c r="I323" s="1">
        <v>0.25575472912786484</v>
      </c>
      <c r="K323" s="1">
        <v>1.0000707773719899</v>
      </c>
      <c r="L323" s="1">
        <v>1.4468548238314807</v>
      </c>
      <c r="M323" s="1">
        <v>0.68400247221716148</v>
      </c>
      <c r="O323" s="1">
        <v>7.5926816409291938E-3</v>
      </c>
      <c r="P323" s="1">
        <v>0.82085424181691047</v>
      </c>
      <c r="R323" s="1">
        <v>0.12634731749018066</v>
      </c>
      <c r="S323" s="2">
        <f t="shared" si="60"/>
        <v>0.56970611839304919</v>
      </c>
      <c r="T323" s="4">
        <f t="shared" si="61"/>
        <v>0.32456506133447499</v>
      </c>
      <c r="U323" s="1">
        <f t="shared" si="64"/>
        <v>0.28819415284104544</v>
      </c>
      <c r="V323" s="6">
        <f>2*sigma/alpha*corel*(B323/12-1/alpha*(1-EXP(-alpha*Output!B323/12)))</f>
        <v>1.2295458811211879</v>
      </c>
      <c r="W323" s="5">
        <f t="shared" si="62"/>
        <v>-3.6370908493429555E-2</v>
      </c>
      <c r="X323" s="1">
        <f t="shared" si="63"/>
        <v>5.2943575570987518</v>
      </c>
      <c r="Y323" s="3">
        <f t="shared" si="53"/>
        <v>2.0603869594242624E-2</v>
      </c>
      <c r="Z323" s="1">
        <f t="shared" si="54"/>
        <v>0.11172856210382151</v>
      </c>
      <c r="AA323" s="8">
        <f t="shared" si="59"/>
        <v>25.916666666666568</v>
      </c>
      <c r="AB323" s="1">
        <v>26</v>
      </c>
      <c r="AC323" s="1">
        <v>7.6529231149999998E-3</v>
      </c>
      <c r="AD323" s="8">
        <f t="shared" si="55"/>
        <v>0.60241474070805989</v>
      </c>
      <c r="AE323" s="3">
        <f t="shared" si="56"/>
        <v>7.8716946669345964E-3</v>
      </c>
      <c r="AF323" s="11">
        <f t="shared" si="57"/>
        <v>25.916666666666568</v>
      </c>
      <c r="AG323" s="1">
        <f t="shared" si="58"/>
        <v>0.11172856210382151</v>
      </c>
    </row>
    <row r="324" spans="2:33" ht="15" x14ac:dyDescent="0.25">
      <c r="B324" s="1">
        <v>313</v>
      </c>
      <c r="C324" s="1">
        <v>1.0005015015991265</v>
      </c>
      <c r="D324" s="1">
        <v>1.1566456422915214</v>
      </c>
      <c r="E324" s="1">
        <v>0.86377926925259951</v>
      </c>
      <c r="G324" s="1">
        <v>0.99989364160658989</v>
      </c>
      <c r="H324" s="1">
        <v>3.4265199954914416</v>
      </c>
      <c r="I324" s="1">
        <v>0.25064092561303075</v>
      </c>
      <c r="K324" s="1">
        <v>1.0000674304271455</v>
      </c>
      <c r="L324" s="1">
        <v>1.4581193360457483</v>
      </c>
      <c r="M324" s="1">
        <v>0.67869272751372256</v>
      </c>
      <c r="O324" s="1">
        <v>7.5903909349683447E-3</v>
      </c>
      <c r="P324" s="1">
        <v>0.82038404821283617</v>
      </c>
      <c r="R324" s="1">
        <v>0.12677535589416863</v>
      </c>
      <c r="S324" s="2">
        <f t="shared" si="60"/>
        <v>0.57170045390343804</v>
      </c>
      <c r="T324" s="4">
        <f t="shared" si="61"/>
        <v>0.32684140899339709</v>
      </c>
      <c r="U324" s="1">
        <f t="shared" si="64"/>
        <v>0.29037531019719642</v>
      </c>
      <c r="V324" s="6">
        <f>2*sigma/alpha*corel*(B324/12-1/alpha*(1-EXP(-alpha*Output!B324/12)))</f>
        <v>1.2362868577376167</v>
      </c>
      <c r="W324" s="5">
        <f t="shared" si="62"/>
        <v>-3.6466098796200663E-2</v>
      </c>
      <c r="X324" s="1">
        <f t="shared" si="63"/>
        <v>5.3330348356850195</v>
      </c>
      <c r="Y324" s="3">
        <f t="shared" si="53"/>
        <v>2.056964073124596E-2</v>
      </c>
      <c r="Z324" s="1">
        <f t="shared" si="54"/>
        <v>0.11194043526657459</v>
      </c>
      <c r="AA324" s="8">
        <f t="shared" si="59"/>
        <v>25.999999999999901</v>
      </c>
      <c r="AB324" s="1">
        <v>26.08</v>
      </c>
      <c r="AC324" s="1">
        <v>7.6504832360000004E-3</v>
      </c>
      <c r="AD324" s="8">
        <f t="shared" si="55"/>
        <v>0.60092301031655637</v>
      </c>
      <c r="AE324" s="3">
        <f t="shared" si="56"/>
        <v>7.8547065823092333E-3</v>
      </c>
      <c r="AF324" s="11">
        <f t="shared" si="57"/>
        <v>25.999999999999901</v>
      </c>
      <c r="AG324" s="1">
        <f t="shared" si="58"/>
        <v>0.11194043526657459</v>
      </c>
    </row>
    <row r="325" spans="2:33" ht="15" x14ac:dyDescent="0.25">
      <c r="B325" s="1">
        <v>314</v>
      </c>
      <c r="C325" s="1">
        <v>1.0005003728437845</v>
      </c>
      <c r="D325" s="1">
        <v>1.1603467809336785</v>
      </c>
      <c r="E325" s="1">
        <v>0.8610224891474374</v>
      </c>
      <c r="G325" s="1">
        <v>0.99962864160516696</v>
      </c>
      <c r="H325" s="1">
        <v>3.5266654968536786</v>
      </c>
      <c r="I325" s="1">
        <v>0.24340574963260203</v>
      </c>
      <c r="K325" s="1">
        <v>1.0000700933688926</v>
      </c>
      <c r="L325" s="1">
        <v>1.4696051271281514</v>
      </c>
      <c r="M325" s="1">
        <v>0.67336241854049284</v>
      </c>
      <c r="O325" s="1">
        <v>7.5885540263670066E-3</v>
      </c>
      <c r="P325" s="1">
        <v>0.81990470106596425</v>
      </c>
      <c r="R325" s="1">
        <v>0.12720110453379543</v>
      </c>
      <c r="S325" s="2">
        <f t="shared" si="60"/>
        <v>0.57370281930148814</v>
      </c>
      <c r="T325" s="4">
        <f t="shared" si="61"/>
        <v>0.32913492487447593</v>
      </c>
      <c r="U325" s="1">
        <f t="shared" si="64"/>
        <v>0.29256439040798377</v>
      </c>
      <c r="V325" s="6">
        <f>2*sigma/alpha*corel*(B325/12-1/alpha*(1-EXP(-alpha*Output!B325/12)))</f>
        <v>1.2430400662563841</v>
      </c>
      <c r="W325" s="5">
        <f t="shared" si="62"/>
        <v>-3.6570534466492166E-2</v>
      </c>
      <c r="X325" s="1">
        <f t="shared" si="63"/>
        <v>5.3728645471448555</v>
      </c>
      <c r="Y325" s="3">
        <f t="shared" si="53"/>
        <v>2.0539566272462489E-2</v>
      </c>
      <c r="Z325" s="1">
        <f t="shared" si="54"/>
        <v>0.11215348756179171</v>
      </c>
      <c r="AA325" s="8">
        <f t="shared" si="59"/>
        <v>26.083333333333233</v>
      </c>
      <c r="AB325" s="1">
        <v>26.17</v>
      </c>
      <c r="AC325" s="1">
        <v>7.6484651070000001E-3</v>
      </c>
      <c r="AD325" s="8">
        <f t="shared" si="55"/>
        <v>0.59911080632993507</v>
      </c>
      <c r="AE325" s="3">
        <f t="shared" si="56"/>
        <v>7.8330854354244119E-3</v>
      </c>
      <c r="AF325" s="11">
        <f t="shared" si="57"/>
        <v>26.083333333333233</v>
      </c>
      <c r="AG325" s="1">
        <f t="shared" si="58"/>
        <v>0.11215348756179171</v>
      </c>
    </row>
    <row r="326" spans="2:33" ht="15" x14ac:dyDescent="0.25">
      <c r="B326" s="1">
        <v>315</v>
      </c>
      <c r="C326" s="1">
        <v>1.0005020077605955</v>
      </c>
      <c r="D326" s="1">
        <v>1.163116560141763</v>
      </c>
      <c r="E326" s="1">
        <v>0.85897050357093307</v>
      </c>
      <c r="G326" s="1">
        <v>0.9995856080244987</v>
      </c>
      <c r="H326" s="1">
        <v>3.6033179315320676</v>
      </c>
      <c r="I326" s="1">
        <v>0.23811259336707194</v>
      </c>
      <c r="K326" s="1">
        <v>1.0000682714049742</v>
      </c>
      <c r="L326" s="1">
        <v>1.4747781851576223</v>
      </c>
      <c r="M326" s="1">
        <v>0.67099207908995806</v>
      </c>
      <c r="O326" s="1">
        <v>7.5870385399457625E-3</v>
      </c>
      <c r="P326" s="1">
        <v>0.81941897112884121</v>
      </c>
      <c r="R326" s="1">
        <v>0.12762731861205615</v>
      </c>
      <c r="S326" s="2">
        <f t="shared" si="60"/>
        <v>0.57571766306280181</v>
      </c>
      <c r="T326" s="4">
        <f t="shared" si="61"/>
        <v>0.33145082756249378</v>
      </c>
      <c r="U326" s="1">
        <f t="shared" si="64"/>
        <v>0.2947613813997183</v>
      </c>
      <c r="V326" s="6">
        <f>2*sigma/alpha*corel*(B326/12-1/alpha*(1-EXP(-alpha*Output!B326/12)))</f>
        <v>1.2498054659723601</v>
      </c>
      <c r="W326" s="5">
        <f t="shared" si="62"/>
        <v>-3.6689446162775474E-2</v>
      </c>
      <c r="X326" s="1">
        <f t="shared" si="63"/>
        <v>5.4144055498658128</v>
      </c>
      <c r="Y326" s="3">
        <f t="shared" si="53"/>
        <v>2.0515848726460083E-2</v>
      </c>
      <c r="Z326" s="1">
        <f t="shared" si="54"/>
        <v>0.11236858187614947</v>
      </c>
      <c r="AA326" s="8">
        <f t="shared" si="59"/>
        <v>26.166666666666565</v>
      </c>
      <c r="AB326" s="1">
        <v>26.25</v>
      </c>
      <c r="AC326" s="1">
        <v>7.6468585450000003E-3</v>
      </c>
      <c r="AD326" s="8">
        <f t="shared" si="55"/>
        <v>0.59820005054237768</v>
      </c>
      <c r="AE326" s="3">
        <f t="shared" si="56"/>
        <v>7.8228209273404001E-3</v>
      </c>
      <c r="AF326" s="11">
        <f t="shared" si="57"/>
        <v>26.166666666666565</v>
      </c>
      <c r="AG326" s="1">
        <f t="shared" si="58"/>
        <v>0.11236858187614947</v>
      </c>
    </row>
    <row r="327" spans="2:33" ht="15" x14ac:dyDescent="0.25">
      <c r="B327" s="1">
        <v>316</v>
      </c>
      <c r="C327" s="1">
        <v>1.0005037141958739</v>
      </c>
      <c r="D327" s="1">
        <v>1.1650787592353515</v>
      </c>
      <c r="E327" s="1">
        <v>0.85752224960669865</v>
      </c>
      <c r="G327" s="1">
        <v>0.99955869764345806</v>
      </c>
      <c r="H327" s="1">
        <v>3.6567190495642157</v>
      </c>
      <c r="I327" s="1">
        <v>0.23452179029805045</v>
      </c>
      <c r="K327" s="1">
        <v>1.0000633743255503</v>
      </c>
      <c r="L327" s="1">
        <v>1.4664177023541265</v>
      </c>
      <c r="M327" s="1">
        <v>0.67478140189592928</v>
      </c>
      <c r="O327" s="1">
        <v>7.5858270950059569E-3</v>
      </c>
      <c r="P327" s="1">
        <v>0.81892717909031931</v>
      </c>
      <c r="R327" s="1">
        <v>0.12804113298806333</v>
      </c>
      <c r="S327" s="2">
        <f t="shared" si="60"/>
        <v>0.57770512315770794</v>
      </c>
      <c r="T327" s="4">
        <f t="shared" si="61"/>
        <v>0.33374320932266249</v>
      </c>
      <c r="U327" s="1">
        <f t="shared" si="64"/>
        <v>0.29696627104393025</v>
      </c>
      <c r="V327" s="6">
        <f>2*sigma/alpha*corel*(B327/12-1/alpha*(1-EXP(-alpha*Output!B327/12)))</f>
        <v>1.2565830163158758</v>
      </c>
      <c r="W327" s="5">
        <f t="shared" si="62"/>
        <v>-3.6776938278732241E-2</v>
      </c>
      <c r="X327" s="1">
        <f t="shared" si="63"/>
        <v>5.4528383755866336</v>
      </c>
      <c r="Y327" s="3">
        <f t="shared" si="53"/>
        <v>2.0478765641752914E-2</v>
      </c>
      <c r="Z327" s="1">
        <f t="shared" si="54"/>
        <v>0.11257794081918736</v>
      </c>
      <c r="AA327" s="8">
        <f t="shared" si="59"/>
        <v>26.249999999999897</v>
      </c>
      <c r="AB327" s="1">
        <v>26.33</v>
      </c>
      <c r="AC327" s="1">
        <v>7.6456154330000001E-3</v>
      </c>
      <c r="AD327" s="8">
        <f t="shared" si="55"/>
        <v>0.59788337994043195</v>
      </c>
      <c r="AE327" s="3">
        <f t="shared" si="56"/>
        <v>7.8199509925629806E-3</v>
      </c>
      <c r="AF327" s="11">
        <f t="shared" si="57"/>
        <v>26.249999999999897</v>
      </c>
      <c r="AG327" s="1">
        <f t="shared" si="58"/>
        <v>0.11257794081918736</v>
      </c>
    </row>
    <row r="328" spans="2:33" ht="15" x14ac:dyDescent="0.25">
      <c r="B328" s="1">
        <v>317</v>
      </c>
      <c r="C328" s="1">
        <v>1.0005090592819943</v>
      </c>
      <c r="D328" s="1">
        <v>1.1671927049707842</v>
      </c>
      <c r="E328" s="1">
        <v>0.85596756478493385</v>
      </c>
      <c r="G328" s="1">
        <v>0.9998381775575419</v>
      </c>
      <c r="H328" s="1">
        <v>3.7157335665930469</v>
      </c>
      <c r="I328" s="1">
        <v>0.23068538303445496</v>
      </c>
      <c r="K328" s="1">
        <v>1.0000651128205444</v>
      </c>
      <c r="L328" s="1">
        <v>1.4604596252795952</v>
      </c>
      <c r="M328" s="1">
        <v>0.67752877224431252</v>
      </c>
      <c r="O328" s="1">
        <v>7.5848374831414605E-3</v>
      </c>
      <c r="P328" s="1">
        <v>0.81843105136574423</v>
      </c>
      <c r="R328" s="1">
        <v>0.1284942390251772</v>
      </c>
      <c r="S328" s="2">
        <f t="shared" si="60"/>
        <v>0.57982121550260235</v>
      </c>
      <c r="T328" s="4">
        <f t="shared" si="61"/>
        <v>0.33619264194691523</v>
      </c>
      <c r="U328" s="1">
        <f t="shared" si="64"/>
        <v>0.29917904715817745</v>
      </c>
      <c r="V328" s="6">
        <f>2*sigma/alpha*corel*(B328/12-1/alpha*(1-EXP(-alpha*Output!B328/12)))</f>
        <v>1.2633726768522675</v>
      </c>
      <c r="W328" s="5">
        <f t="shared" si="62"/>
        <v>-3.701359478873778E-2</v>
      </c>
      <c r="X328" s="1">
        <f t="shared" si="63"/>
        <v>5.5072137032934894</v>
      </c>
      <c r="Y328" s="3">
        <f t="shared" si="53"/>
        <v>2.0505476324424839E-2</v>
      </c>
      <c r="Z328" s="1">
        <f t="shared" si="54"/>
        <v>0.11281194680457855</v>
      </c>
      <c r="AA328" s="8">
        <f t="shared" si="59"/>
        <v>26.333333333333229</v>
      </c>
      <c r="AB328" s="1">
        <v>26.42</v>
      </c>
      <c r="AC328" s="1">
        <v>7.6446876539999998E-3</v>
      </c>
      <c r="AD328" s="8">
        <f t="shared" si="55"/>
        <v>0.59850170858539298</v>
      </c>
      <c r="AE328" s="3">
        <f t="shared" si="56"/>
        <v>7.8289883861014722E-3</v>
      </c>
      <c r="AF328" s="11">
        <f t="shared" si="57"/>
        <v>26.333333333333229</v>
      </c>
      <c r="AG328" s="1">
        <f t="shared" si="58"/>
        <v>0.11281194680457855</v>
      </c>
    </row>
    <row r="329" spans="2:33" ht="15" x14ac:dyDescent="0.25">
      <c r="B329" s="1">
        <v>318</v>
      </c>
      <c r="C329" s="1">
        <v>1.0005073820469765</v>
      </c>
      <c r="D329" s="1">
        <v>1.163938603876304</v>
      </c>
      <c r="E329" s="1">
        <v>0.85835904934151741</v>
      </c>
      <c r="G329" s="1">
        <v>0.99952492912944779</v>
      </c>
      <c r="H329" s="1">
        <v>3.6214135376043597</v>
      </c>
      <c r="I329" s="1">
        <v>0.23657909741625993</v>
      </c>
      <c r="K329" s="1">
        <v>1.0000727902807318</v>
      </c>
      <c r="L329" s="1">
        <v>1.4623236786518157</v>
      </c>
      <c r="M329" s="1">
        <v>0.67664038110489633</v>
      </c>
      <c r="O329" s="1">
        <v>7.5840199585603778E-3</v>
      </c>
      <c r="P329" s="1">
        <v>0.81793162908211114</v>
      </c>
      <c r="R329" s="1">
        <v>0.12891214968723252</v>
      </c>
      <c r="S329" s="2">
        <f t="shared" si="60"/>
        <v>0.58183603066411949</v>
      </c>
      <c r="T329" s="4">
        <f t="shared" si="61"/>
        <v>0.3385331665789782</v>
      </c>
      <c r="U329" s="1">
        <f t="shared" si="64"/>
        <v>0.30139969750685403</v>
      </c>
      <c r="V329" s="6">
        <f>2*sigma/alpha*corel*(B329/12-1/alpha*(1-EXP(-alpha*Output!B329/12)))</f>
        <v>1.2701744072814294</v>
      </c>
      <c r="W329" s="5">
        <f t="shared" si="62"/>
        <v>-3.713346907212417E-2</v>
      </c>
      <c r="X329" s="1">
        <f t="shared" si="63"/>
        <v>5.5494907465578924</v>
      </c>
      <c r="Y329" s="3">
        <f t="shared" si="53"/>
        <v>2.0482288775346157E-2</v>
      </c>
      <c r="Z329" s="1">
        <f t="shared" si="54"/>
        <v>0.11302582215882538</v>
      </c>
      <c r="AA329" s="8">
        <f t="shared" si="59"/>
        <v>26.416666666666561</v>
      </c>
      <c r="AB329" s="1">
        <v>26.5</v>
      </c>
      <c r="AC329" s="1">
        <v>7.6440270899999999E-3</v>
      </c>
      <c r="AD329" s="8">
        <f t="shared" si="55"/>
        <v>0.60007131439622152</v>
      </c>
      <c r="AE329" s="3">
        <f t="shared" si="56"/>
        <v>7.8501986888722761E-3</v>
      </c>
      <c r="AF329" s="11">
        <f t="shared" si="57"/>
        <v>26.416666666666561</v>
      </c>
      <c r="AG329" s="1">
        <f t="shared" si="58"/>
        <v>0.11302582215882538</v>
      </c>
    </row>
    <row r="330" spans="2:33" ht="15" x14ac:dyDescent="0.25">
      <c r="B330" s="1">
        <v>319</v>
      </c>
      <c r="C330" s="1">
        <v>1.00051145699224</v>
      </c>
      <c r="D330" s="1">
        <v>1.1674418968841984</v>
      </c>
      <c r="E330" s="1">
        <v>0.85578166237470632</v>
      </c>
      <c r="G330" s="1">
        <v>0.99970003583664979</v>
      </c>
      <c r="H330" s="1">
        <v>3.7209108720454123</v>
      </c>
      <c r="I330" s="1">
        <v>0.23014157086312312</v>
      </c>
      <c r="K330" s="1">
        <v>1.0000702088110054</v>
      </c>
      <c r="L330" s="1">
        <v>1.4618205984574022</v>
      </c>
      <c r="M330" s="1">
        <v>0.67684100871259734</v>
      </c>
      <c r="O330" s="1">
        <v>7.5833421127112907E-3</v>
      </c>
      <c r="P330" s="1">
        <v>0.81742958770911611</v>
      </c>
      <c r="R330" s="1">
        <v>0.12941306332136038</v>
      </c>
      <c r="S330" s="2">
        <f t="shared" si="60"/>
        <v>0.58411139221012731</v>
      </c>
      <c r="T330" s="4">
        <f t="shared" si="61"/>
        <v>0.34118611850965319</v>
      </c>
      <c r="U330" s="1">
        <f t="shared" si="64"/>
        <v>0.30362820980199112</v>
      </c>
      <c r="V330" s="6">
        <f>2*sigma/alpha*corel*(B330/12-1/alpha*(1-EXP(-alpha*Output!B330/12)))</f>
        <v>1.2769881674373664</v>
      </c>
      <c r="W330" s="5">
        <f t="shared" si="62"/>
        <v>-3.7557908707662069E-2</v>
      </c>
      <c r="X330" s="1">
        <f t="shared" si="63"/>
        <v>5.6243564056897775</v>
      </c>
      <c r="Y330" s="3">
        <f t="shared" si="53"/>
        <v>2.0587794210915458E-2</v>
      </c>
      <c r="Z330" s="1">
        <f t="shared" si="54"/>
        <v>0.11328983860057218</v>
      </c>
      <c r="AA330" s="8">
        <f t="shared" si="59"/>
        <v>26.499999999999893</v>
      </c>
      <c r="AB330" s="1">
        <v>26.58</v>
      </c>
      <c r="AC330" s="1">
        <v>7.6435856250000002E-3</v>
      </c>
      <c r="AD330" s="8">
        <f t="shared" si="55"/>
        <v>0.60243512288709478</v>
      </c>
      <c r="AE330" s="3">
        <f t="shared" si="56"/>
        <v>7.8815774748005746E-3</v>
      </c>
      <c r="AF330" s="11">
        <f t="shared" si="57"/>
        <v>26.499999999999893</v>
      </c>
      <c r="AG330" s="1">
        <f t="shared" si="58"/>
        <v>0.11328983860057218</v>
      </c>
    </row>
    <row r="331" spans="2:33" ht="15" x14ac:dyDescent="0.25">
      <c r="B331" s="1">
        <v>320</v>
      </c>
      <c r="C331" s="1">
        <v>1.0005147147457643</v>
      </c>
      <c r="D331" s="1">
        <v>1.1667730896451614</v>
      </c>
      <c r="E331" s="1">
        <v>0.85627060447281378</v>
      </c>
      <c r="G331" s="1">
        <v>0.99978997677901371</v>
      </c>
      <c r="H331" s="1">
        <v>3.7018726501409587</v>
      </c>
      <c r="I331" s="1">
        <v>0.23121324885439037</v>
      </c>
      <c r="K331" s="1">
        <v>1.0000702424301289</v>
      </c>
      <c r="L331" s="1">
        <v>1.4640807000105347</v>
      </c>
      <c r="M331" s="1">
        <v>0.67577937591710102</v>
      </c>
      <c r="O331" s="1">
        <v>7.5827183709903118E-3</v>
      </c>
      <c r="P331" s="1">
        <v>0.8169267681340765</v>
      </c>
      <c r="R331" s="1">
        <v>0.12991553982828288</v>
      </c>
      <c r="S331" s="2">
        <f t="shared" si="60"/>
        <v>0.58639480622693863</v>
      </c>
      <c r="T331" s="4">
        <f t="shared" si="61"/>
        <v>0.34385886876992888</v>
      </c>
      <c r="U331" s="1">
        <f t="shared" si="64"/>
        <v>0.30586457170404646</v>
      </c>
      <c r="V331" s="6">
        <f>2*sigma/alpha*corel*(B331/12-1/alpha*(1-EXP(-alpha*Output!B331/12)))</f>
        <v>1.283813917287747</v>
      </c>
      <c r="W331" s="5">
        <f t="shared" si="62"/>
        <v>-3.7994297065882421E-2</v>
      </c>
      <c r="X331" s="1">
        <f t="shared" si="63"/>
        <v>5.7009031945825015</v>
      </c>
      <c r="Y331" s="3">
        <f t="shared" si="53"/>
        <v>2.0697046983240847E-2</v>
      </c>
      <c r="Z331" s="1">
        <f t="shared" si="54"/>
        <v>0.11355486594097293</v>
      </c>
      <c r="AA331" s="8">
        <f t="shared" si="59"/>
        <v>26.583333333333226</v>
      </c>
      <c r="AB331" s="1">
        <v>26.67</v>
      </c>
      <c r="AC331" s="1">
        <v>7.6433151199999999E-3</v>
      </c>
      <c r="AD331" s="8">
        <f t="shared" si="55"/>
        <v>0.60596749009688045</v>
      </c>
      <c r="AE331" s="3">
        <f t="shared" si="56"/>
        <v>7.9280715315696738E-3</v>
      </c>
      <c r="AF331" s="11">
        <f t="shared" si="57"/>
        <v>26.583333333333226</v>
      </c>
      <c r="AG331" s="1">
        <f t="shared" si="58"/>
        <v>0.11355486594097293</v>
      </c>
    </row>
    <row r="332" spans="2:33" ht="15" x14ac:dyDescent="0.25">
      <c r="B332" s="1">
        <v>321</v>
      </c>
      <c r="C332" s="1">
        <v>1.0005182063601925</v>
      </c>
      <c r="D332" s="1">
        <v>1.1677889354266111</v>
      </c>
      <c r="E332" s="1">
        <v>0.85552414229255325</v>
      </c>
      <c r="G332" s="1">
        <v>0.99988870449874634</v>
      </c>
      <c r="H332" s="1">
        <v>3.7324473514830272</v>
      </c>
      <c r="I332" s="1">
        <v>0.22920830550772006</v>
      </c>
      <c r="K332" s="1">
        <v>1.0000727744912763</v>
      </c>
      <c r="L332" s="1">
        <v>1.464501809169884</v>
      </c>
      <c r="M332" s="1">
        <v>0.67555652973585834</v>
      </c>
      <c r="O332" s="1">
        <v>7.5822344692262726E-3</v>
      </c>
      <c r="P332" s="1">
        <v>0.81642128871958886</v>
      </c>
      <c r="R332" s="1">
        <v>0.13035458734812622</v>
      </c>
      <c r="S332" s="2">
        <f t="shared" si="60"/>
        <v>0.5884892752973061</v>
      </c>
      <c r="T332" s="4">
        <f t="shared" si="61"/>
        <v>0.34631962713994852</v>
      </c>
      <c r="U332" s="1">
        <f t="shared" si="64"/>
        <v>0.3081087708226935</v>
      </c>
      <c r="V332" s="6">
        <f>2*sigma/alpha*corel*(B332/12-1/alpha*(1-EXP(-alpha*Output!B332/12)))</f>
        <v>1.2906516169334581</v>
      </c>
      <c r="W332" s="5">
        <f t="shared" si="62"/>
        <v>-3.8210856317255015E-2</v>
      </c>
      <c r="X332" s="1">
        <f t="shared" si="63"/>
        <v>5.7543432222392363</v>
      </c>
      <c r="Y332" s="3">
        <f t="shared" si="53"/>
        <v>2.0713450433897617E-2</v>
      </c>
      <c r="Z332" s="1">
        <f t="shared" si="54"/>
        <v>0.11378281116838893</v>
      </c>
      <c r="AA332" s="8">
        <f t="shared" si="59"/>
        <v>26.666666666666558</v>
      </c>
      <c r="AB332" s="1">
        <v>26.75</v>
      </c>
      <c r="AC332" s="1">
        <v>7.6431673450000001E-3</v>
      </c>
      <c r="AD332" s="8">
        <f t="shared" si="55"/>
        <v>0.60932875773727502</v>
      </c>
      <c r="AE332" s="3">
        <f t="shared" si="56"/>
        <v>7.972202232833292E-3</v>
      </c>
      <c r="AF332" s="11">
        <f t="shared" si="57"/>
        <v>26.666666666666558</v>
      </c>
      <c r="AG332" s="1">
        <f t="shared" si="58"/>
        <v>0.11378281116838893</v>
      </c>
    </row>
    <row r="333" spans="2:33" ht="15" x14ac:dyDescent="0.25">
      <c r="B333" s="1">
        <v>322</v>
      </c>
      <c r="C333" s="1">
        <v>1.000521927677664</v>
      </c>
      <c r="D333" s="1">
        <v>1.1699294345157156</v>
      </c>
      <c r="E333" s="1">
        <v>0.85395727652231135</v>
      </c>
      <c r="G333" s="1">
        <v>1.0000404223596591</v>
      </c>
      <c r="H333" s="1">
        <v>3.7942518462559254</v>
      </c>
      <c r="I333" s="1">
        <v>0.22536565831482724</v>
      </c>
      <c r="K333" s="1">
        <v>1.0000726672127525</v>
      </c>
      <c r="L333" s="1">
        <v>1.4611293483852816</v>
      </c>
      <c r="M333" s="1">
        <v>0.67710127730517367</v>
      </c>
      <c r="O333" s="1">
        <v>7.5817453920705531E-3</v>
      </c>
      <c r="P333" s="1">
        <v>0.81591630118680969</v>
      </c>
      <c r="R333" s="1">
        <v>0.13080880901527073</v>
      </c>
      <c r="S333" s="2">
        <f t="shared" si="60"/>
        <v>0.59063161654049612</v>
      </c>
      <c r="T333" s="4">
        <f t="shared" si="61"/>
        <v>0.34884570645723967</v>
      </c>
      <c r="U333" s="1">
        <f t="shared" si="64"/>
        <v>0.31036079471759859</v>
      </c>
      <c r="V333" s="6">
        <f>2*sigma/alpha*corel*(B333/12-1/alpha*(1-EXP(-alpha*Output!B333/12)))</f>
        <v>1.2975012266081629</v>
      </c>
      <c r="W333" s="5">
        <f t="shared" si="62"/>
        <v>-3.8484911739641081E-2</v>
      </c>
      <c r="X333" s="1">
        <f t="shared" si="63"/>
        <v>5.8142232931044964</v>
      </c>
      <c r="Y333" s="3">
        <f t="shared" ref="Y333:Y396" si="65">(-V333+SQRT(X333))/2/B333*12</f>
        <v>2.0753456487483179E-2</v>
      </c>
      <c r="Z333" s="1">
        <f t="shared" ref="Z333:Z396" si="66">S333/SQRT(B333/12)</f>
        <v>0.1140195645940103</v>
      </c>
      <c r="AA333" s="8">
        <f t="shared" si="59"/>
        <v>26.74999999999989</v>
      </c>
      <c r="AB333" s="1">
        <v>26.83</v>
      </c>
      <c r="AC333" s="1">
        <v>7.6430940500000003E-3</v>
      </c>
      <c r="AD333" s="8">
        <f t="shared" ref="AD333:AD396" si="67">(AC333-O333)*10000</f>
        <v>0.6134865792944717</v>
      </c>
      <c r="AE333" s="3">
        <f t="shared" ref="AE333:AE396" si="68">AD333/AC333/10000</f>
        <v>8.0266784011963285E-3</v>
      </c>
      <c r="AF333" s="11">
        <f t="shared" ref="AF333:AF396" si="69">AA333</f>
        <v>26.74999999999989</v>
      </c>
      <c r="AG333" s="1">
        <f t="shared" ref="AG333:AG396" si="70">Z333</f>
        <v>0.1140195645940103</v>
      </c>
    </row>
    <row r="334" spans="2:33" ht="15" x14ac:dyDescent="0.25">
      <c r="B334" s="1">
        <v>323</v>
      </c>
      <c r="C334" s="1">
        <v>1.0005260833615026</v>
      </c>
      <c r="D334" s="1">
        <v>1.1689559967974328</v>
      </c>
      <c r="E334" s="1">
        <v>0.85466679614641705</v>
      </c>
      <c r="G334" s="1">
        <v>1.000192082818478</v>
      </c>
      <c r="H334" s="1">
        <v>3.7654790362680242</v>
      </c>
      <c r="I334" s="1">
        <v>0.22697786658071911</v>
      </c>
      <c r="K334" s="1">
        <v>1.0000736900482354</v>
      </c>
      <c r="L334" s="1">
        <v>1.4610494371237428</v>
      </c>
      <c r="M334" s="1">
        <v>0.67710721226274118</v>
      </c>
      <c r="O334" s="1">
        <v>7.5811692559018427E-3</v>
      </c>
      <c r="P334" s="1">
        <v>0.81541360326230539</v>
      </c>
      <c r="R334" s="1">
        <v>0.13125171331420105</v>
      </c>
      <c r="S334" s="2">
        <f t="shared" si="60"/>
        <v>0.59273771958735488</v>
      </c>
      <c r="T334" s="4">
        <f t="shared" si="61"/>
        <v>0.35133800422161776</v>
      </c>
      <c r="U334" s="1">
        <f t="shared" si="64"/>
        <v>0.31262063089919545</v>
      </c>
      <c r="V334" s="6">
        <f>2*sigma/alpha*corel*(B334/12-1/alpha*(1-EXP(-alpha*Output!B334/12)))</f>
        <v>1.3043627066778591</v>
      </c>
      <c r="W334" s="5">
        <f t="shared" si="62"/>
        <v>-3.871737332242231E-2</v>
      </c>
      <c r="X334" s="1">
        <f t="shared" si="63"/>
        <v>5.8699325982861259</v>
      </c>
      <c r="Y334" s="3">
        <f t="shared" si="65"/>
        <v>2.0775820520750568E-2</v>
      </c>
      <c r="Z334" s="1">
        <f t="shared" si="66"/>
        <v>0.11424887356294004</v>
      </c>
      <c r="AA334" s="8">
        <f t="shared" ref="AA334:AA397" si="71">AA333+1/12</f>
        <v>26.833333333333222</v>
      </c>
      <c r="AB334" s="1">
        <v>26.92</v>
      </c>
      <c r="AC334" s="1">
        <v>7.6430469809999997E-3</v>
      </c>
      <c r="AD334" s="8">
        <f t="shared" si="67"/>
        <v>0.61877725098156977</v>
      </c>
      <c r="AE334" s="3">
        <f t="shared" si="68"/>
        <v>8.0959498550748181E-3</v>
      </c>
      <c r="AF334" s="11">
        <f t="shared" si="69"/>
        <v>26.833333333333222</v>
      </c>
      <c r="AG334" s="1">
        <f t="shared" si="70"/>
        <v>0.11424887356294004</v>
      </c>
    </row>
    <row r="335" spans="2:33" ht="15" x14ac:dyDescent="0.25">
      <c r="B335" s="1">
        <v>324</v>
      </c>
      <c r="C335" s="1">
        <v>1.000526736430732</v>
      </c>
      <c r="D335" s="1">
        <v>1.170031749927523</v>
      </c>
      <c r="E335" s="1">
        <v>0.85387939077987673</v>
      </c>
      <c r="G335" s="1">
        <v>1.0000448878114589</v>
      </c>
      <c r="H335" s="1">
        <v>3.7928157194448269</v>
      </c>
      <c r="I335" s="1">
        <v>0.22523291313461402</v>
      </c>
      <c r="K335" s="1">
        <v>1.0000688756187717</v>
      </c>
      <c r="L335" s="1">
        <v>1.4618163333184979</v>
      </c>
      <c r="M335" s="1">
        <v>0.67673509746899696</v>
      </c>
      <c r="O335" s="1">
        <v>7.5804657893487294E-3</v>
      </c>
      <c r="P335" s="1">
        <v>0.81491409491225153</v>
      </c>
      <c r="R335" s="1">
        <v>0.1317535842037868</v>
      </c>
      <c r="S335" s="2">
        <f t="shared" si="60"/>
        <v>0.5950226056321235</v>
      </c>
      <c r="T335" s="4">
        <f t="shared" si="61"/>
        <v>0.35405190121324159</v>
      </c>
      <c r="U335" s="1">
        <f t="shared" si="64"/>
        <v>0.31488826682944859</v>
      </c>
      <c r="V335" s="6">
        <f>2*sigma/alpha*corel*(B335/12-1/alpha*(1-EXP(-alpha*Output!B335/12)))</f>
        <v>1.3112360176404345</v>
      </c>
      <c r="W335" s="5">
        <f t="shared" si="62"/>
        <v>-3.9163634383793E-2</v>
      </c>
      <c r="X335" s="1">
        <f t="shared" si="63"/>
        <v>5.9490124074071895</v>
      </c>
      <c r="Y335" s="3">
        <f t="shared" si="65"/>
        <v>2.088562445821935E-2</v>
      </c>
      <c r="Z335" s="1">
        <f t="shared" si="66"/>
        <v>0.11451215384520634</v>
      </c>
      <c r="AA335" s="8">
        <f t="shared" si="71"/>
        <v>26.916666666666554</v>
      </c>
      <c r="AB335" s="1">
        <v>27</v>
      </c>
      <c r="AC335" s="1">
        <v>7.6429778889999999E-3</v>
      </c>
      <c r="AD335" s="8">
        <f t="shared" si="67"/>
        <v>0.62512099651270558</v>
      </c>
      <c r="AE335" s="3">
        <f t="shared" si="68"/>
        <v>8.1790240085922294E-3</v>
      </c>
      <c r="AF335" s="11">
        <f t="shared" si="69"/>
        <v>26.916666666666554</v>
      </c>
      <c r="AG335" s="1">
        <f t="shared" si="70"/>
        <v>0.11451215384520634</v>
      </c>
    </row>
    <row r="336" spans="2:33" ht="15" x14ac:dyDescent="0.25">
      <c r="B336" s="1">
        <v>325</v>
      </c>
      <c r="C336" s="1">
        <v>1.0005258564608066</v>
      </c>
      <c r="D336" s="1">
        <v>1.1721610367381279</v>
      </c>
      <c r="E336" s="1">
        <v>0.85232667218777503</v>
      </c>
      <c r="G336" s="1">
        <v>0.99980261914084056</v>
      </c>
      <c r="H336" s="1">
        <v>3.8548533741621895</v>
      </c>
      <c r="I336" s="1">
        <v>0.22150094604052137</v>
      </c>
      <c r="K336" s="1">
        <v>1.0000745378451352</v>
      </c>
      <c r="L336" s="1">
        <v>1.4646288921238428</v>
      </c>
      <c r="M336" s="1">
        <v>0.67540368973038667</v>
      </c>
      <c r="O336" s="1">
        <v>7.5796678796860488E-3</v>
      </c>
      <c r="P336" s="1">
        <v>0.81441707117922202</v>
      </c>
      <c r="R336" s="1">
        <v>0.1321648129880425</v>
      </c>
      <c r="S336" s="2">
        <f t="shared" si="60"/>
        <v>0.59702666507559399</v>
      </c>
      <c r="T336" s="4">
        <f t="shared" si="61"/>
        <v>0.35644083881128547</v>
      </c>
      <c r="U336" s="1">
        <f t="shared" si="64"/>
        <v>0.31716368992261534</v>
      </c>
      <c r="V336" s="6">
        <f>2*sigma/alpha*corel*(B336/12-1/alpha*(1-EXP(-alpha*Output!B336/12)))</f>
        <v>1.3181211201252361</v>
      </c>
      <c r="W336" s="5">
        <f t="shared" si="62"/>
        <v>-3.9277148888670121E-2</v>
      </c>
      <c r="X336" s="1">
        <f t="shared" si="63"/>
        <v>5.9924677502594701</v>
      </c>
      <c r="Y336" s="3">
        <f t="shared" si="65"/>
        <v>2.0858411552782265E-2</v>
      </c>
      <c r="Z336" s="1">
        <f t="shared" si="66"/>
        <v>0.11472093318115556</v>
      </c>
      <c r="AA336" s="8">
        <f t="shared" si="71"/>
        <v>26.999999999999886</v>
      </c>
      <c r="AB336" s="1">
        <v>27.08</v>
      </c>
      <c r="AC336" s="1">
        <v>7.642838521E-3</v>
      </c>
      <c r="AD336" s="8">
        <f t="shared" si="67"/>
        <v>0.63170641313951137</v>
      </c>
      <c r="AE336" s="3">
        <f t="shared" si="68"/>
        <v>8.2653376936303244E-3</v>
      </c>
      <c r="AF336" s="11">
        <f t="shared" si="69"/>
        <v>26.999999999999886</v>
      </c>
      <c r="AG336" s="1">
        <f t="shared" si="70"/>
        <v>0.11472093318115556</v>
      </c>
    </row>
    <row r="337" spans="2:33" ht="15" x14ac:dyDescent="0.25">
      <c r="B337" s="1">
        <v>326</v>
      </c>
      <c r="C337" s="1">
        <v>1.0005271367580231</v>
      </c>
      <c r="D337" s="1">
        <v>1.1679442226873102</v>
      </c>
      <c r="E337" s="1">
        <v>0.85540234848020957</v>
      </c>
      <c r="G337" s="1">
        <v>0.99972723851545287</v>
      </c>
      <c r="H337" s="1">
        <v>3.7319014608786363</v>
      </c>
      <c r="I337" s="1">
        <v>0.22868787265200921</v>
      </c>
      <c r="K337" s="1">
        <v>1.0000734200965575</v>
      </c>
      <c r="L337" s="1">
        <v>1.4623594170509717</v>
      </c>
      <c r="M337" s="1">
        <v>0.67643301797162103</v>
      </c>
      <c r="O337" s="1">
        <v>7.5787765475446196E-3</v>
      </c>
      <c r="P337" s="1">
        <v>0.81392252453907998</v>
      </c>
      <c r="R337" s="1">
        <v>0.1325881526491105</v>
      </c>
      <c r="S337" s="2">
        <f t="shared" si="60"/>
        <v>0.59906618812944279</v>
      </c>
      <c r="T337" s="4">
        <f t="shared" si="61"/>
        <v>0.35888029775994096</v>
      </c>
      <c r="U337" s="1">
        <f t="shared" si="64"/>
        <v>0.31944688754599815</v>
      </c>
      <c r="V337" s="6">
        <f>2*sigma/alpha*corel*(B337/12-1/alpha*(1-EXP(-alpha*Output!B337/12)))</f>
        <v>1.3250179748926243</v>
      </c>
      <c r="W337" s="5">
        <f t="shared" si="62"/>
        <v>-3.943341021394281E-2</v>
      </c>
      <c r="X337" s="1">
        <f t="shared" si="63"/>
        <v>6.0407698770370031</v>
      </c>
      <c r="Y337" s="3">
        <f t="shared" si="65"/>
        <v>2.0848707880993793E-2</v>
      </c>
      <c r="Z337" s="1">
        <f t="shared" si="66"/>
        <v>0.11493614622456627</v>
      </c>
      <c r="AA337" s="8">
        <f t="shared" si="71"/>
        <v>27.083333333333218</v>
      </c>
      <c r="AB337" s="1">
        <v>27.17</v>
      </c>
      <c r="AC337" s="1">
        <v>7.6425908139999997E-3</v>
      </c>
      <c r="AD337" s="8">
        <f t="shared" si="67"/>
        <v>0.63814266455380042</v>
      </c>
      <c r="AE337" s="3">
        <f t="shared" si="68"/>
        <v>8.3498211546904413E-3</v>
      </c>
      <c r="AF337" s="11">
        <f t="shared" si="69"/>
        <v>27.083333333333218</v>
      </c>
      <c r="AG337" s="1">
        <f t="shared" si="70"/>
        <v>0.11493614622456627</v>
      </c>
    </row>
    <row r="338" spans="2:33" ht="15" x14ac:dyDescent="0.25">
      <c r="B338" s="1">
        <v>327</v>
      </c>
      <c r="C338" s="1">
        <v>1.0005327032766784</v>
      </c>
      <c r="D338" s="1">
        <v>1.1652179664163345</v>
      </c>
      <c r="E338" s="1">
        <v>0.8574021102737408</v>
      </c>
      <c r="G338" s="1">
        <v>0.99999274486650136</v>
      </c>
      <c r="H338" s="1">
        <v>3.649119291044054</v>
      </c>
      <c r="I338" s="1">
        <v>0.23376263572194594</v>
      </c>
      <c r="K338" s="1">
        <v>1.0000649278365303</v>
      </c>
      <c r="L338" s="1">
        <v>1.4586068392100877</v>
      </c>
      <c r="M338" s="1">
        <v>0.67812837195818065</v>
      </c>
      <c r="O338" s="1">
        <v>7.5778408008725668E-3</v>
      </c>
      <c r="P338" s="1">
        <v>0.81342938353628813</v>
      </c>
      <c r="R338" s="1">
        <v>0.13299592091610049</v>
      </c>
      <c r="S338" s="2">
        <f t="shared" si="60"/>
        <v>0.60105743787083821</v>
      </c>
      <c r="T338" s="4">
        <f t="shared" si="61"/>
        <v>0.36127004361985654</v>
      </c>
      <c r="U338" s="1">
        <f t="shared" si="64"/>
        <v>0.32173784702069019</v>
      </c>
      <c r="V338" s="6">
        <f>2*sigma/alpha*corel*(B338/12-1/alpha*(1-EXP(-alpha*Output!B338/12)))</f>
        <v>1.3319265428335418</v>
      </c>
      <c r="W338" s="5">
        <f t="shared" si="62"/>
        <v>-3.9532196599166347E-2</v>
      </c>
      <c r="X338" s="1">
        <f t="shared" si="63"/>
        <v>6.0830377448136428</v>
      </c>
      <c r="Y338" s="3">
        <f t="shared" si="65"/>
        <v>2.0815687440977032E-2</v>
      </c>
      <c r="Z338" s="1">
        <f t="shared" si="66"/>
        <v>0.11514172258407358</v>
      </c>
      <c r="AA338" s="8">
        <f t="shared" si="71"/>
        <v>27.166666666666551</v>
      </c>
      <c r="AB338" s="1">
        <v>27.25</v>
      </c>
      <c r="AC338" s="1">
        <v>7.6422374499999996E-3</v>
      </c>
      <c r="AD338" s="8">
        <f t="shared" si="67"/>
        <v>0.64396649127432781</v>
      </c>
      <c r="AE338" s="3">
        <f t="shared" si="68"/>
        <v>8.4264130169670118E-3</v>
      </c>
      <c r="AF338" s="11">
        <f t="shared" si="69"/>
        <v>27.166666666666551</v>
      </c>
      <c r="AG338" s="1">
        <f t="shared" si="70"/>
        <v>0.11514172258407358</v>
      </c>
    </row>
    <row r="339" spans="2:33" ht="15" x14ac:dyDescent="0.25">
      <c r="B339" s="1">
        <v>328</v>
      </c>
      <c r="C339" s="1">
        <v>1.0005321850364968</v>
      </c>
      <c r="D339" s="1">
        <v>1.160554088170874</v>
      </c>
      <c r="E339" s="1">
        <v>0.86084609357198461</v>
      </c>
      <c r="G339" s="1">
        <v>0.99977775744356479</v>
      </c>
      <c r="H339" s="1">
        <v>3.517073354116647</v>
      </c>
      <c r="I339" s="1">
        <v>0.24242175130319857</v>
      </c>
      <c r="K339" s="1">
        <v>1.0000734138699356</v>
      </c>
      <c r="L339" s="1">
        <v>1.4622234965326248</v>
      </c>
      <c r="M339" s="1">
        <v>0.67644773320848817</v>
      </c>
      <c r="O339" s="1">
        <v>7.576888591944957E-3</v>
      </c>
      <c r="P339" s="1">
        <v>0.8129370338983658</v>
      </c>
      <c r="R339" s="1">
        <v>0.13347483081687289</v>
      </c>
      <c r="S339" s="2">
        <f t="shared" si="60"/>
        <v>0.60326885201077096</v>
      </c>
      <c r="T339" s="4">
        <f t="shared" si="61"/>
        <v>0.36393330780639349</v>
      </c>
      <c r="U339" s="1">
        <f t="shared" si="64"/>
        <v>0.32403655562231615</v>
      </c>
      <c r="V339" s="6">
        <f>2*sigma/alpha*corel*(B339/12-1/alpha*(1-EXP(-alpha*Output!B339/12)))</f>
        <v>1.3388467849690779</v>
      </c>
      <c r="W339" s="5">
        <f t="shared" si="62"/>
        <v>-3.9896752184077344E-2</v>
      </c>
      <c r="X339" s="1">
        <f t="shared" si="63"/>
        <v>6.154555619081159</v>
      </c>
      <c r="Y339" s="3">
        <f t="shared" si="65"/>
        <v>2.0890077438723641E-2</v>
      </c>
      <c r="Z339" s="1">
        <f t="shared" si="66"/>
        <v>0.11538905152755624</v>
      </c>
      <c r="AA339" s="8">
        <f t="shared" si="71"/>
        <v>27.249999999999883</v>
      </c>
      <c r="AB339" s="1">
        <v>27.33</v>
      </c>
      <c r="AC339" s="1">
        <v>7.6417913010000003E-3</v>
      </c>
      <c r="AD339" s="8">
        <f t="shared" si="67"/>
        <v>0.64902709055043339</v>
      </c>
      <c r="AE339" s="3">
        <f t="shared" si="68"/>
        <v>8.4931276579812143E-3</v>
      </c>
      <c r="AF339" s="11">
        <f t="shared" si="69"/>
        <v>27.249999999999883</v>
      </c>
      <c r="AG339" s="1">
        <f t="shared" si="70"/>
        <v>0.11538905152755624</v>
      </c>
    </row>
    <row r="340" spans="2:33" ht="15" x14ac:dyDescent="0.25">
      <c r="B340" s="1">
        <v>329</v>
      </c>
      <c r="C340" s="1">
        <v>1.0005337772044844</v>
      </c>
      <c r="D340" s="1">
        <v>1.158210535095709</v>
      </c>
      <c r="E340" s="1">
        <v>0.86258631751785619</v>
      </c>
      <c r="G340" s="1">
        <v>0.99973690771928669</v>
      </c>
      <c r="H340" s="1">
        <v>3.4508594164084121</v>
      </c>
      <c r="I340" s="1">
        <v>0.24695373478006974</v>
      </c>
      <c r="K340" s="1">
        <v>1.0000751793365934</v>
      </c>
      <c r="L340" s="1">
        <v>1.469969027375156</v>
      </c>
      <c r="M340" s="1">
        <v>0.67283973907168171</v>
      </c>
      <c r="O340" s="1">
        <v>7.5759396243890685E-3</v>
      </c>
      <c r="P340" s="1">
        <v>0.81244503900426468</v>
      </c>
      <c r="R340" s="1">
        <v>0.13385094582470336</v>
      </c>
      <c r="S340" s="2">
        <f t="shared" si="60"/>
        <v>0.60516436353762382</v>
      </c>
      <c r="T340" s="4">
        <f t="shared" si="61"/>
        <v>0.36622390689589734</v>
      </c>
      <c r="U340" s="1">
        <f t="shared" si="64"/>
        <v>0.32634300058176713</v>
      </c>
      <c r="V340" s="6">
        <f>2*sigma/alpha*corel*(B340/12-1/alpha*(1-EXP(-alpha*Output!B340/12)))</f>
        <v>1.3457786624500354</v>
      </c>
      <c r="W340" s="5">
        <f t="shared" si="62"/>
        <v>-3.9880906314130216E-2</v>
      </c>
      <c r="X340" s="1">
        <f t="shared" si="63"/>
        <v>6.1847262674220866</v>
      </c>
      <c r="Y340" s="3">
        <f t="shared" si="65"/>
        <v>2.0810923889230667E-2</v>
      </c>
      <c r="Z340" s="1">
        <f t="shared" si="66"/>
        <v>0.11557556354965336</v>
      </c>
      <c r="AA340" s="8">
        <f t="shared" si="71"/>
        <v>27.333333333333215</v>
      </c>
      <c r="AB340" s="1">
        <v>27.42</v>
      </c>
      <c r="AC340" s="1">
        <v>7.6412652380000003E-3</v>
      </c>
      <c r="AD340" s="8">
        <f t="shared" si="67"/>
        <v>0.65325613610931788</v>
      </c>
      <c r="AE340" s="3">
        <f t="shared" si="68"/>
        <v>8.5490572014262252E-3</v>
      </c>
      <c r="AF340" s="11">
        <f t="shared" si="69"/>
        <v>27.333333333333215</v>
      </c>
      <c r="AG340" s="1">
        <f t="shared" si="70"/>
        <v>0.11557556354965336</v>
      </c>
    </row>
    <row r="341" spans="2:33" ht="15" x14ac:dyDescent="0.25">
      <c r="B341" s="1">
        <v>330</v>
      </c>
      <c r="C341" s="1">
        <v>1.0005381817568424</v>
      </c>
      <c r="D341" s="1">
        <v>1.1600495489398976</v>
      </c>
      <c r="E341" s="1">
        <v>0.8612172340321651</v>
      </c>
      <c r="G341" s="1">
        <v>0.99991329015894914</v>
      </c>
      <c r="H341" s="1">
        <v>3.4988376073977858</v>
      </c>
      <c r="I341" s="1">
        <v>0.24344952680045581</v>
      </c>
      <c r="K341" s="1">
        <v>1.0000665856406781</v>
      </c>
      <c r="L341" s="1">
        <v>1.4654646151552544</v>
      </c>
      <c r="M341" s="1">
        <v>0.67490705318183697</v>
      </c>
      <c r="O341" s="1">
        <v>7.5750189760689412E-3</v>
      </c>
      <c r="P341" s="1">
        <v>0.81195283795626361</v>
      </c>
      <c r="R341" s="1">
        <v>0.1342894590973979</v>
      </c>
      <c r="S341" s="2">
        <f t="shared" si="60"/>
        <v>0.60725465595723049</v>
      </c>
      <c r="T341" s="4">
        <f t="shared" si="61"/>
        <v>0.36875821718173435</v>
      </c>
      <c r="U341" s="1">
        <f t="shared" si="64"/>
        <v>0.32865716908592502</v>
      </c>
      <c r="V341" s="6">
        <f>2*sigma/alpha*corel*(B341/12-1/alpha*(1-EXP(-alpha*Output!B341/12)))</f>
        <v>1.3527221365564985</v>
      </c>
      <c r="W341" s="5">
        <f t="shared" si="62"/>
        <v>-4.0101048095809333E-2</v>
      </c>
      <c r="X341" s="1">
        <f t="shared" si="63"/>
        <v>6.2409724692690052</v>
      </c>
      <c r="Y341" s="3">
        <f t="shared" si="65"/>
        <v>2.0826758270100609E-2</v>
      </c>
      <c r="Z341" s="1">
        <f t="shared" si="66"/>
        <v>0.11579891932008447</v>
      </c>
      <c r="AA341" s="8">
        <f t="shared" si="71"/>
        <v>27.416666666666547</v>
      </c>
      <c r="AB341" s="1">
        <v>27.5</v>
      </c>
      <c r="AC341" s="1">
        <v>7.6406721310000002E-3</v>
      </c>
      <c r="AD341" s="8">
        <f t="shared" si="67"/>
        <v>0.65653154931059021</v>
      </c>
      <c r="AE341" s="3">
        <f t="shared" si="68"/>
        <v>8.5925889510019351E-3</v>
      </c>
      <c r="AF341" s="11">
        <f t="shared" si="69"/>
        <v>27.416666666666547</v>
      </c>
      <c r="AG341" s="1">
        <f t="shared" si="70"/>
        <v>0.11579891932008447</v>
      </c>
    </row>
    <row r="342" spans="2:33" ht="15" x14ac:dyDescent="0.25">
      <c r="B342" s="1">
        <v>331</v>
      </c>
      <c r="C342" s="1">
        <v>1.0005419681825669</v>
      </c>
      <c r="D342" s="1">
        <v>1.1634482699492257</v>
      </c>
      <c r="E342" s="1">
        <v>0.85869977315329427</v>
      </c>
      <c r="G342" s="1">
        <v>1.0000708097971409</v>
      </c>
      <c r="H342" s="1">
        <v>3.5892134683651946</v>
      </c>
      <c r="I342" s="1">
        <v>0.23720469881862252</v>
      </c>
      <c r="K342" s="1">
        <v>1.0000661331508769</v>
      </c>
      <c r="L342" s="1">
        <v>1.4773830781748476</v>
      </c>
      <c r="M342" s="1">
        <v>0.66944083540359423</v>
      </c>
      <c r="O342" s="1">
        <v>7.574029615700948E-3</v>
      </c>
      <c r="P342" s="1">
        <v>0.81146259757813521</v>
      </c>
      <c r="R342" s="1">
        <v>0.13466456968473411</v>
      </c>
      <c r="S342" s="2">
        <f t="shared" si="60"/>
        <v>0.60914792564595621</v>
      </c>
      <c r="T342" s="4">
        <f t="shared" si="61"/>
        <v>0.37106119531877141</v>
      </c>
      <c r="U342" s="1">
        <f t="shared" si="64"/>
        <v>0.33097904827838764</v>
      </c>
      <c r="V342" s="6">
        <f>2*sigma/alpha*corel*(B342/12-1/alpha*(1-EXP(-alpha*Output!B342/12)))</f>
        <v>1.3596771686974032</v>
      </c>
      <c r="W342" s="5">
        <f t="shared" si="62"/>
        <v>-4.0082147040383764E-2</v>
      </c>
      <c r="X342" s="1">
        <f t="shared" si="63"/>
        <v>6.2711188931993291</v>
      </c>
      <c r="Y342" s="3">
        <f t="shared" si="65"/>
        <v>2.0747003889368738E-2</v>
      </c>
      <c r="Z342" s="1">
        <f t="shared" si="66"/>
        <v>0.11598435074960511</v>
      </c>
      <c r="AA342" s="8">
        <f t="shared" si="71"/>
        <v>27.499999999999879</v>
      </c>
      <c r="AB342" s="1">
        <v>27.58</v>
      </c>
      <c r="AC342" s="1">
        <v>7.6400248510000001E-3</v>
      </c>
      <c r="AD342" s="8">
        <f t="shared" si="67"/>
        <v>0.65995235299052057</v>
      </c>
      <c r="AE342" s="3">
        <f t="shared" si="68"/>
        <v>8.638091705999355E-3</v>
      </c>
      <c r="AF342" s="11">
        <f t="shared" si="69"/>
        <v>27.499999999999879</v>
      </c>
      <c r="AG342" s="1">
        <f t="shared" si="70"/>
        <v>0.11598435074960511</v>
      </c>
    </row>
    <row r="343" spans="2:33" ht="15" x14ac:dyDescent="0.25">
      <c r="B343" s="1">
        <v>332</v>
      </c>
      <c r="C343" s="1">
        <v>1.0005460330200797</v>
      </c>
      <c r="D343" s="1">
        <v>1.1635423190872272</v>
      </c>
      <c r="E343" s="1">
        <v>0.85862872979144256</v>
      </c>
      <c r="G343" s="1">
        <v>1.0002516506350421</v>
      </c>
      <c r="H343" s="1">
        <v>3.5898152492914623</v>
      </c>
      <c r="I343" s="1">
        <v>0.23705020456185136</v>
      </c>
      <c r="K343" s="1">
        <v>1.0000713341867988</v>
      </c>
      <c r="L343" s="1">
        <v>1.4766464399743244</v>
      </c>
      <c r="M343" s="1">
        <v>0.66976512142887157</v>
      </c>
      <c r="O343" s="1">
        <v>7.573040676646642E-3</v>
      </c>
      <c r="P343" s="1">
        <v>0.81097277746810259</v>
      </c>
      <c r="R343" s="1">
        <v>0.13506979868152791</v>
      </c>
      <c r="S343" s="2">
        <f t="shared" ref="S343:S406" si="72">optim_vol_implied(P343,R343)</f>
        <v>0.61113540931774279</v>
      </c>
      <c r="T343" s="4">
        <f t="shared" ref="T343:T406" si="73">S343*S343</f>
        <v>0.37348648852196503</v>
      </c>
      <c r="U343" s="1">
        <f t="shared" si="64"/>
        <v>0.33330862526018068</v>
      </c>
      <c r="V343" s="6">
        <f>2*sigma/alpha*corel*(B343/12-1/alpha*(1-EXP(-alpha*Output!B343/12)))</f>
        <v>1.3666437204101078</v>
      </c>
      <c r="W343" s="5">
        <f t="shared" ref="W343:W406" si="74">U343-T343</f>
        <v>-4.0177863261784352E-2</v>
      </c>
      <c r="X343" s="1">
        <f t="shared" ref="X343:X406" si="75">V343*V343-4*W343*B343/12</f>
        <v>6.3140652595071831</v>
      </c>
      <c r="Y343" s="3">
        <f t="shared" si="65"/>
        <v>2.0713313202053805E-2</v>
      </c>
      <c r="Z343" s="1">
        <f t="shared" si="66"/>
        <v>0.11618739877165697</v>
      </c>
      <c r="AA343" s="8">
        <f t="shared" si="71"/>
        <v>27.583333333333211</v>
      </c>
      <c r="AB343" s="1">
        <v>27.67</v>
      </c>
      <c r="AC343" s="1">
        <v>7.6393362799999998E-3</v>
      </c>
      <c r="AD343" s="8">
        <f t="shared" si="67"/>
        <v>0.66295603353357802</v>
      </c>
      <c r="AE343" s="3">
        <f t="shared" si="68"/>
        <v>8.6781889058767554E-3</v>
      </c>
      <c r="AF343" s="11">
        <f t="shared" si="69"/>
        <v>27.583333333333211</v>
      </c>
      <c r="AG343" s="1">
        <f t="shared" si="70"/>
        <v>0.11618739877165697</v>
      </c>
    </row>
    <row r="344" spans="2:33" ht="15" x14ac:dyDescent="0.25">
      <c r="B344" s="1">
        <v>333</v>
      </c>
      <c r="C344" s="1">
        <v>1.0005500671130068</v>
      </c>
      <c r="D344" s="1">
        <v>1.1624011903570151</v>
      </c>
      <c r="E344" s="1">
        <v>0.8594700063127001</v>
      </c>
      <c r="G344" s="1">
        <v>1.000409034182326</v>
      </c>
      <c r="H344" s="1">
        <v>3.5578277011396127</v>
      </c>
      <c r="I344" s="1">
        <v>0.23906575863092747</v>
      </c>
      <c r="K344" s="1">
        <v>1.0000642148139298</v>
      </c>
      <c r="L344" s="1">
        <v>1.4957475403724894</v>
      </c>
      <c r="M344" s="1">
        <v>0.66117318039523687</v>
      </c>
      <c r="O344" s="1">
        <v>7.5720096985239464E-3</v>
      </c>
      <c r="P344" s="1">
        <v>0.81048433211039428</v>
      </c>
      <c r="R344" s="1">
        <v>0.13548364314773895</v>
      </c>
      <c r="S344" s="2">
        <f t="shared" si="72"/>
        <v>0.61314928495699972</v>
      </c>
      <c r="T344" s="4">
        <f t="shared" si="73"/>
        <v>0.37595204564328005</v>
      </c>
      <c r="U344" s="1">
        <f t="shared" si="64"/>
        <v>0.33564588709046728</v>
      </c>
      <c r="V344" s="6">
        <f>2*sigma/alpha*corel*(B344/12-1/alpha*(1-EXP(-alpha*Output!B344/12)))</f>
        <v>1.3736217533599655</v>
      </c>
      <c r="W344" s="5">
        <f t="shared" si="74"/>
        <v>-4.0306158552812776E-2</v>
      </c>
      <c r="X344" s="1">
        <f t="shared" si="75"/>
        <v>6.3608203206659244</v>
      </c>
      <c r="Y344" s="3">
        <f t="shared" si="65"/>
        <v>2.0692701317674748E-2</v>
      </c>
      <c r="Z344" s="1">
        <f t="shared" si="66"/>
        <v>0.11639510928137276</v>
      </c>
      <c r="AA344" s="8">
        <f t="shared" si="71"/>
        <v>27.666666666666544</v>
      </c>
      <c r="AB344" s="1">
        <v>27.75</v>
      </c>
      <c r="AC344" s="1">
        <v>7.6386193359999997E-3</v>
      </c>
      <c r="AD344" s="8">
        <f t="shared" si="67"/>
        <v>0.66609637476053307</v>
      </c>
      <c r="AE344" s="3">
        <f t="shared" si="68"/>
        <v>8.7201147937990813E-3</v>
      </c>
      <c r="AF344" s="11">
        <f t="shared" si="69"/>
        <v>27.666666666666544</v>
      </c>
      <c r="AG344" s="1">
        <f t="shared" si="70"/>
        <v>0.11639510928137276</v>
      </c>
    </row>
    <row r="345" spans="2:33" ht="15" x14ac:dyDescent="0.25">
      <c r="B345" s="1">
        <v>334</v>
      </c>
      <c r="C345" s="1">
        <v>1.0005522518918117</v>
      </c>
      <c r="D345" s="1">
        <v>1.1632736914361883</v>
      </c>
      <c r="E345" s="1">
        <v>0.85882372945291752</v>
      </c>
      <c r="G345" s="1">
        <v>1.0004215106113796</v>
      </c>
      <c r="H345" s="1">
        <v>3.5792349471102058</v>
      </c>
      <c r="I345" s="1">
        <v>0.23752095904793294</v>
      </c>
      <c r="K345" s="1">
        <v>1.000056506711499</v>
      </c>
      <c r="L345" s="1">
        <v>1.4865987385578487</v>
      </c>
      <c r="M345" s="1">
        <v>0.66523216611450919</v>
      </c>
      <c r="O345" s="1">
        <v>7.5710791903614181E-3</v>
      </c>
      <c r="P345" s="1">
        <v>0.80999405504079691</v>
      </c>
      <c r="R345" s="1">
        <v>0.13586371282437867</v>
      </c>
      <c r="S345" s="2">
        <f t="shared" si="72"/>
        <v>0.61506315702158765</v>
      </c>
      <c r="T345" s="4">
        <f t="shared" si="73"/>
        <v>0.37830268712536219</v>
      </c>
      <c r="U345" s="1">
        <f t="shared" si="64"/>
        <v>0.33799082078725196</v>
      </c>
      <c r="V345" s="6">
        <f>2*sigma/alpha*corel*(B345/12-1/alpha*(1-EXP(-alpha*Output!B345/12)))</f>
        <v>1.3806112293399013</v>
      </c>
      <c r="W345" s="5">
        <f t="shared" si="74"/>
        <v>-4.0311866338110236E-2</v>
      </c>
      <c r="X345" s="1">
        <f t="shared" si="75"/>
        <v>6.3941418188890395</v>
      </c>
      <c r="Y345" s="3">
        <f t="shared" si="65"/>
        <v>2.0623703156028139E-2</v>
      </c>
      <c r="Z345" s="1">
        <f t="shared" si="66"/>
        <v>0.1165835035924605</v>
      </c>
      <c r="AA345" s="8">
        <f t="shared" si="71"/>
        <v>27.749999999999876</v>
      </c>
      <c r="AB345" s="1">
        <v>27.83</v>
      </c>
      <c r="AC345" s="1">
        <v>7.6378869499999997E-3</v>
      </c>
      <c r="AD345" s="8">
        <f t="shared" si="67"/>
        <v>0.66807759638581532</v>
      </c>
      <c r="AE345" s="3">
        <f t="shared" si="68"/>
        <v>8.7468903475432461E-3</v>
      </c>
      <c r="AF345" s="11">
        <f t="shared" si="69"/>
        <v>27.749999999999876</v>
      </c>
      <c r="AG345" s="1">
        <f t="shared" si="70"/>
        <v>0.1165835035924605</v>
      </c>
    </row>
    <row r="346" spans="2:33" ht="15" x14ac:dyDescent="0.25">
      <c r="B346" s="1">
        <v>335</v>
      </c>
      <c r="C346" s="1">
        <v>1.0005516060189341</v>
      </c>
      <c r="D346" s="1">
        <v>1.158660764350921</v>
      </c>
      <c r="E346" s="1">
        <v>0.86224127849617183</v>
      </c>
      <c r="G346" s="1">
        <v>1.0001690447756619</v>
      </c>
      <c r="H346" s="1">
        <v>3.4223463477261848</v>
      </c>
      <c r="I346" s="1">
        <v>0.24828932258927633</v>
      </c>
      <c r="K346" s="1">
        <v>1.0000613665982852</v>
      </c>
      <c r="L346" s="1">
        <v>1.4892627868098773</v>
      </c>
      <c r="M346" s="1">
        <v>0.66400906577995877</v>
      </c>
      <c r="O346" s="1">
        <v>7.5701505197984581E-3</v>
      </c>
      <c r="P346" s="1">
        <v>0.8095041585633479</v>
      </c>
      <c r="R346" s="1">
        <v>0.13631276563877573</v>
      </c>
      <c r="S346" s="2">
        <f t="shared" si="72"/>
        <v>0.61719190254918566</v>
      </c>
      <c r="T346" s="4">
        <f t="shared" si="73"/>
        <v>0.38092584457228346</v>
      </c>
      <c r="U346" s="1">
        <f t="shared" si="64"/>
        <v>0.34034341332807561</v>
      </c>
      <c r="V346" s="6">
        <f>2*sigma/alpha*corel*(B346/12-1/alpha*(1-EXP(-alpha*Output!B346/12)))</f>
        <v>1.3876121102699823</v>
      </c>
      <c r="W346" s="5">
        <f t="shared" si="74"/>
        <v>-4.0582431244207851E-2</v>
      </c>
      <c r="X346" s="1">
        <f t="shared" si="75"/>
        <v>6.4571721908377899</v>
      </c>
      <c r="Y346" s="3">
        <f t="shared" si="65"/>
        <v>2.0659424614017104E-2</v>
      </c>
      <c r="Z346" s="1">
        <f t="shared" si="66"/>
        <v>0.11681226339816038</v>
      </c>
      <c r="AA346" s="8">
        <f t="shared" si="71"/>
        <v>27.833333333333208</v>
      </c>
      <c r="AB346" s="1">
        <v>27.92</v>
      </c>
      <c r="AC346" s="1">
        <v>7.6371520500000002E-3</v>
      </c>
      <c r="AD346" s="8">
        <f t="shared" si="67"/>
        <v>0.67001530201542081</v>
      </c>
      <c r="AE346" s="3">
        <f t="shared" si="68"/>
        <v>8.773104131342007E-3</v>
      </c>
      <c r="AF346" s="11">
        <f t="shared" si="69"/>
        <v>27.833333333333208</v>
      </c>
      <c r="AG346" s="1">
        <f t="shared" si="70"/>
        <v>0.11681226339816038</v>
      </c>
    </row>
    <row r="347" spans="2:33" ht="15" x14ac:dyDescent="0.25">
      <c r="B347" s="1">
        <v>336</v>
      </c>
      <c r="C347" s="1">
        <v>1.0005500477000506</v>
      </c>
      <c r="D347" s="1">
        <v>1.1605926764343975</v>
      </c>
      <c r="E347" s="1">
        <v>0.86080435024144752</v>
      </c>
      <c r="G347" s="1">
        <v>0.99987706598106452</v>
      </c>
      <c r="H347" s="1">
        <v>3.4572140208188138</v>
      </c>
      <c r="I347" s="1">
        <v>0.24566630506470705</v>
      </c>
      <c r="K347" s="1">
        <v>1.0000464836864194</v>
      </c>
      <c r="L347" s="1">
        <v>1.4821923787497182</v>
      </c>
      <c r="M347" s="1">
        <v>0.66715914385676156</v>
      </c>
      <c r="O347" s="1">
        <v>7.5692935483094616E-3</v>
      </c>
      <c r="P347" s="1">
        <v>0.80901305944532942</v>
      </c>
      <c r="R347" s="1">
        <v>0.13670325539366507</v>
      </c>
      <c r="S347" s="2">
        <f t="shared" si="72"/>
        <v>0.61914288067627221</v>
      </c>
      <c r="T347" s="4">
        <f t="shared" si="73"/>
        <v>0.38333790669211265</v>
      </c>
      <c r="U347" s="1">
        <f t="shared" si="64"/>
        <v>0.34270365165070737</v>
      </c>
      <c r="V347" s="6">
        <f>2*sigma/alpha*corel*(B347/12-1/alpha*(1-EXP(-alpha*Output!B347/12)))</f>
        <v>1.3946243581969986</v>
      </c>
      <c r="W347" s="5">
        <f t="shared" si="74"/>
        <v>-4.0634255041405276E-2</v>
      </c>
      <c r="X347" s="1">
        <f t="shared" si="75"/>
        <v>6.4960136651137814</v>
      </c>
      <c r="Y347" s="3">
        <f t="shared" si="65"/>
        <v>2.0608990966209138E-2</v>
      </c>
      <c r="Z347" s="1">
        <f t="shared" si="66"/>
        <v>0.11700700630611104</v>
      </c>
      <c r="AA347" s="8">
        <f t="shared" si="71"/>
        <v>27.91666666666654</v>
      </c>
      <c r="AB347" s="1">
        <v>28</v>
      </c>
      <c r="AC347" s="1">
        <v>7.6364275670000002E-3</v>
      </c>
      <c r="AD347" s="8">
        <f t="shared" si="67"/>
        <v>0.67134018690538644</v>
      </c>
      <c r="AE347" s="3">
        <f t="shared" si="68"/>
        <v>8.7912859909326027E-3</v>
      </c>
      <c r="AF347" s="11">
        <f t="shared" si="69"/>
        <v>27.91666666666654</v>
      </c>
      <c r="AG347" s="1">
        <f t="shared" si="70"/>
        <v>0.11700700630611104</v>
      </c>
    </row>
    <row r="348" spans="2:33" ht="15" x14ac:dyDescent="0.25">
      <c r="B348" s="1">
        <v>337</v>
      </c>
      <c r="C348" s="1">
        <v>1.0005525619737177</v>
      </c>
      <c r="D348" s="1">
        <v>1.1636438405958707</v>
      </c>
      <c r="E348" s="1">
        <v>0.85854560683550418</v>
      </c>
      <c r="G348" s="1">
        <v>0.99991118381876187</v>
      </c>
      <c r="H348" s="1">
        <v>3.5370324330519942</v>
      </c>
      <c r="I348" s="1">
        <v>0.24000631825665422</v>
      </c>
      <c r="K348" s="1">
        <v>1.0000359340874165</v>
      </c>
      <c r="L348" s="1">
        <v>1.4898236354836913</v>
      </c>
      <c r="M348" s="1">
        <v>0.66371952018793401</v>
      </c>
      <c r="O348" s="1">
        <v>7.5684215909543329E-3</v>
      </c>
      <c r="P348" s="1">
        <v>0.80852271401002584</v>
      </c>
      <c r="R348" s="1">
        <v>0.13709163491676268</v>
      </c>
      <c r="S348" s="2">
        <f t="shared" si="72"/>
        <v>0.62108794232568321</v>
      </c>
      <c r="T348" s="4">
        <f t="shared" si="73"/>
        <v>0.38575023210235121</v>
      </c>
      <c r="U348" s="1">
        <f t="shared" si="64"/>
        <v>0.34507152265382679</v>
      </c>
      <c r="V348" s="6">
        <f>2*sigma/alpha*corel*(B348/12-1/alpha*(1-EXP(-alpha*Output!B348/12)))</f>
        <v>1.4016479352940401</v>
      </c>
      <c r="W348" s="5">
        <f t="shared" si="74"/>
        <v>-4.0678709448524419E-2</v>
      </c>
      <c r="X348" s="1">
        <f t="shared" si="75"/>
        <v>6.5341919625649556</v>
      </c>
      <c r="Y348" s="3">
        <f t="shared" si="65"/>
        <v>2.0555939854125699E-2</v>
      </c>
      <c r="Z348" s="1">
        <f t="shared" si="66"/>
        <v>0.11720031275249454</v>
      </c>
      <c r="AA348" s="8">
        <f t="shared" si="71"/>
        <v>27.999999999999872</v>
      </c>
      <c r="AB348" s="1">
        <v>28.08</v>
      </c>
      <c r="AC348" s="1">
        <v>7.6357264299999998E-3</v>
      </c>
      <c r="AD348" s="8">
        <f t="shared" si="67"/>
        <v>0.67304839045666953</v>
      </c>
      <c r="AE348" s="3">
        <f t="shared" si="68"/>
        <v>8.8144644340888145E-3</v>
      </c>
      <c r="AF348" s="11">
        <f t="shared" si="69"/>
        <v>27.999999999999872</v>
      </c>
      <c r="AG348" s="1">
        <f t="shared" si="70"/>
        <v>0.11720031275249454</v>
      </c>
    </row>
    <row r="349" spans="2:33" ht="15" x14ac:dyDescent="0.25">
      <c r="B349" s="1">
        <v>338</v>
      </c>
      <c r="C349" s="1">
        <v>1.0005559037783194</v>
      </c>
      <c r="D349" s="1">
        <v>1.163369789475919</v>
      </c>
      <c r="E349" s="1">
        <v>0.85874620082672226</v>
      </c>
      <c r="G349" s="1">
        <v>0.99999815956888738</v>
      </c>
      <c r="H349" s="1">
        <v>3.5306030565280917</v>
      </c>
      <c r="I349" s="1">
        <v>0.24032706456638742</v>
      </c>
      <c r="K349" s="1">
        <v>1.0000406235313988</v>
      </c>
      <c r="L349" s="1">
        <v>1.480645948601107</v>
      </c>
      <c r="M349" s="1">
        <v>0.66781824449457583</v>
      </c>
      <c r="O349" s="1">
        <v>7.567600576200163E-3</v>
      </c>
      <c r="P349" s="1">
        <v>0.80803162377114224</v>
      </c>
      <c r="R349" s="1">
        <v>0.13747908945880669</v>
      </c>
      <c r="S349" s="2">
        <f t="shared" si="72"/>
        <v>0.62303302311119912</v>
      </c>
      <c r="T349" s="4">
        <f t="shared" si="73"/>
        <v>0.38817014788707999</v>
      </c>
      <c r="U349" s="1">
        <f t="shared" si="64"/>
        <v>0.34744701319770632</v>
      </c>
      <c r="V349" s="6">
        <f>2*sigma/alpha*corel*(B349/12-1/alpha*(1-EXP(-alpha*Output!B349/12)))</f>
        <v>1.4086828038600769</v>
      </c>
      <c r="W349" s="5">
        <f t="shared" si="74"/>
        <v>-4.0723134689373663E-2</v>
      </c>
      <c r="X349" s="1">
        <f t="shared" si="75"/>
        <v>6.5725270835605212</v>
      </c>
      <c r="Y349" s="3">
        <f t="shared" si="65"/>
        <v>2.0503157874676544E-2</v>
      </c>
      <c r="Z349" s="1">
        <f t="shared" si="66"/>
        <v>0.11739330765585208</v>
      </c>
      <c r="AA349" s="8">
        <f t="shared" si="71"/>
        <v>28.083333333333204</v>
      </c>
      <c r="AB349" s="1">
        <v>28.17</v>
      </c>
      <c r="AC349" s="1">
        <v>7.6350588309999998E-3</v>
      </c>
      <c r="AD349" s="8">
        <f t="shared" si="67"/>
        <v>0.67458254799836892</v>
      </c>
      <c r="AE349" s="3">
        <f t="shared" si="68"/>
        <v>8.8353287503092574E-3</v>
      </c>
      <c r="AF349" s="11">
        <f t="shared" si="69"/>
        <v>28.083333333333204</v>
      </c>
      <c r="AG349" s="1">
        <f t="shared" si="70"/>
        <v>0.11739330765585208</v>
      </c>
    </row>
    <row r="350" spans="2:33" ht="15" x14ac:dyDescent="0.25">
      <c r="B350" s="1">
        <v>339</v>
      </c>
      <c r="C350" s="1">
        <v>1.0005565966459593</v>
      </c>
      <c r="D350" s="1">
        <v>1.165966288779787</v>
      </c>
      <c r="E350" s="1">
        <v>0.85683220286464645</v>
      </c>
      <c r="G350" s="1">
        <v>0.99989620578353988</v>
      </c>
      <c r="H350" s="1">
        <v>3.5991270153585662</v>
      </c>
      <c r="I350" s="1">
        <v>0.23563742025117387</v>
      </c>
      <c r="K350" s="1">
        <v>1.0000263309746245</v>
      </c>
      <c r="L350" s="1">
        <v>1.4842790055799842</v>
      </c>
      <c r="M350" s="1">
        <v>0.66614934192073272</v>
      </c>
      <c r="O350" s="1">
        <v>7.5669369267605631E-3</v>
      </c>
      <c r="P350" s="1">
        <v>0.80753735234512702</v>
      </c>
      <c r="R350" s="1">
        <v>0.13784851784918403</v>
      </c>
      <c r="S350" s="2">
        <f t="shared" si="72"/>
        <v>0.62492871569503272</v>
      </c>
      <c r="T350" s="4">
        <f t="shared" si="73"/>
        <v>0.39053589970024305</v>
      </c>
      <c r="U350" s="1">
        <f t="shared" si="64"/>
        <v>0.34983011010488019</v>
      </c>
      <c r="V350" s="6">
        <f>2*sigma/alpha*corel*(B350/12-1/alpha*(1-EXP(-alpha*Output!B350/12)))</f>
        <v>1.4157289263195403</v>
      </c>
      <c r="W350" s="5">
        <f t="shared" si="74"/>
        <v>-4.0705789595362862E-2</v>
      </c>
      <c r="X350" s="1">
        <f t="shared" si="75"/>
        <v>6.6040426170938824</v>
      </c>
      <c r="Y350" s="3">
        <f t="shared" si="65"/>
        <v>2.0426624110689694E-2</v>
      </c>
      <c r="Z350" s="1">
        <f t="shared" si="66"/>
        <v>0.11757669682129547</v>
      </c>
      <c r="AA350" s="8">
        <f t="shared" si="71"/>
        <v>28.166666666666536</v>
      </c>
      <c r="AB350" s="1">
        <v>28.25</v>
      </c>
      <c r="AC350" s="1">
        <v>7.6344240090000003E-3</v>
      </c>
      <c r="AD350" s="8">
        <f t="shared" si="67"/>
        <v>0.67487082239437235</v>
      </c>
      <c r="AE350" s="3">
        <f t="shared" si="68"/>
        <v>8.8398394115756056E-3</v>
      </c>
      <c r="AF350" s="11">
        <f t="shared" si="69"/>
        <v>28.166666666666536</v>
      </c>
      <c r="AG350" s="1">
        <f t="shared" si="70"/>
        <v>0.11757669682129547</v>
      </c>
    </row>
    <row r="351" spans="2:33" ht="15" x14ac:dyDescent="0.25">
      <c r="B351" s="1">
        <v>340</v>
      </c>
      <c r="C351" s="1">
        <v>1.0005578362262579</v>
      </c>
      <c r="D351" s="1">
        <v>1.16203695562926</v>
      </c>
      <c r="E351" s="1">
        <v>0.85972785274278807</v>
      </c>
      <c r="G351" s="1">
        <v>0.99980882300848228</v>
      </c>
      <c r="H351" s="1">
        <v>3.4904166678694901</v>
      </c>
      <c r="I351" s="1">
        <v>0.24285889636692726</v>
      </c>
      <c r="K351" s="1">
        <v>1.0000303512500786</v>
      </c>
      <c r="L351" s="1">
        <v>1.4749073919229931</v>
      </c>
      <c r="M351" s="1">
        <v>0.67036727656441064</v>
      </c>
      <c r="O351" s="1">
        <v>7.5662897695731824E-3</v>
      </c>
      <c r="P351" s="1">
        <v>0.8070430954140948</v>
      </c>
      <c r="R351" s="1">
        <v>0.13835531919565361</v>
      </c>
      <c r="S351" s="2">
        <f t="shared" si="72"/>
        <v>0.62725294957477873</v>
      </c>
      <c r="T351" s="4">
        <f t="shared" si="73"/>
        <v>0.3934462627502599</v>
      </c>
      <c r="U351" s="1">
        <f t="shared" si="64"/>
        <v>0.35222080016081447</v>
      </c>
      <c r="V351" s="6">
        <f>2*sigma/alpha*corel*(B351/12-1/alpha*(1-EXP(-alpha*Output!B351/12)))</f>
        <v>1.4227862652219034</v>
      </c>
      <c r="W351" s="5">
        <f t="shared" si="74"/>
        <v>-4.1225462589445427E-2</v>
      </c>
      <c r="X351" s="1">
        <f t="shared" si="75"/>
        <v>6.6965398499745747</v>
      </c>
      <c r="Y351" s="3">
        <f t="shared" si="65"/>
        <v>2.0558489704948005E-2</v>
      </c>
      <c r="Z351" s="1">
        <f t="shared" si="66"/>
        <v>0.11784031010356046</v>
      </c>
      <c r="AA351" s="8">
        <f t="shared" si="71"/>
        <v>28.249999999999869</v>
      </c>
      <c r="AB351" s="1">
        <v>28.33</v>
      </c>
      <c r="AC351" s="1">
        <v>7.6338184660000004E-3</v>
      </c>
      <c r="AD351" s="8">
        <f t="shared" si="67"/>
        <v>0.6752869642681798</v>
      </c>
      <c r="AE351" s="3">
        <f t="shared" si="68"/>
        <v>8.845991914476577E-3</v>
      </c>
      <c r="AF351" s="11">
        <f t="shared" si="69"/>
        <v>28.249999999999869</v>
      </c>
      <c r="AG351" s="1">
        <f t="shared" si="70"/>
        <v>0.11784031010356046</v>
      </c>
    </row>
    <row r="352" spans="2:33" ht="15" x14ac:dyDescent="0.25">
      <c r="B352" s="1">
        <v>341</v>
      </c>
      <c r="C352" s="1">
        <v>1.0005609972935794</v>
      </c>
      <c r="D352" s="1">
        <v>1.1617280197358002</v>
      </c>
      <c r="E352" s="1">
        <v>0.85995481667770746</v>
      </c>
      <c r="G352" s="1">
        <v>0.99989964045634516</v>
      </c>
      <c r="H352" s="1">
        <v>3.4813412542513174</v>
      </c>
      <c r="I352" s="1">
        <v>0.24337420877683433</v>
      </c>
      <c r="K352" s="1">
        <v>1.0000319350657976</v>
      </c>
      <c r="L352" s="1">
        <v>1.4633579244292967</v>
      </c>
      <c r="M352" s="1">
        <v>0.67562822350577234</v>
      </c>
      <c r="O352" s="1">
        <v>7.5656344548991937E-3</v>
      </c>
      <c r="P352" s="1">
        <v>0.80654941495434651</v>
      </c>
      <c r="R352" s="1">
        <v>0.13872384692401304</v>
      </c>
      <c r="S352" s="2">
        <f t="shared" si="72"/>
        <v>0.62914863832458812</v>
      </c>
      <c r="T352" s="4">
        <f t="shared" si="73"/>
        <v>0.39582800910568339</v>
      </c>
      <c r="U352" s="1">
        <f t="shared" si="64"/>
        <v>0.35461907011456528</v>
      </c>
      <c r="V352" s="6">
        <f>2*sigma/alpha*corel*(B352/12-1/alpha*(1-EXP(-alpha*Output!B352/12)))</f>
        <v>1.4298547832412689</v>
      </c>
      <c r="W352" s="5">
        <f t="shared" si="74"/>
        <v>-4.1208938991118105E-2</v>
      </c>
      <c r="X352" s="1">
        <f t="shared" si="75"/>
        <v>6.7285674331483607</v>
      </c>
      <c r="Y352" s="3">
        <f t="shared" si="65"/>
        <v>2.0482582685781042E-2</v>
      </c>
      <c r="Z352" s="1">
        <f t="shared" si="66"/>
        <v>0.11802301218609274</v>
      </c>
      <c r="AA352" s="8">
        <f t="shared" si="71"/>
        <v>28.333333333333201</v>
      </c>
      <c r="AB352" s="1">
        <v>28.42</v>
      </c>
      <c r="AC352" s="1">
        <v>7.6332387049999999E-3</v>
      </c>
      <c r="AD352" s="8">
        <f t="shared" si="67"/>
        <v>0.6760425010080614</v>
      </c>
      <c r="AE352" s="3">
        <f t="shared" si="68"/>
        <v>8.8565617706312955E-3</v>
      </c>
      <c r="AF352" s="11">
        <f t="shared" si="69"/>
        <v>28.333333333333201</v>
      </c>
      <c r="AG352" s="1">
        <f t="shared" si="70"/>
        <v>0.11802301218609274</v>
      </c>
    </row>
    <row r="353" spans="2:33" ht="15" x14ac:dyDescent="0.25">
      <c r="B353" s="1">
        <v>342</v>
      </c>
      <c r="C353" s="1">
        <v>1.0005660660816174</v>
      </c>
      <c r="D353" s="1">
        <v>1.1644136109096517</v>
      </c>
      <c r="E353" s="1">
        <v>0.85796976539423397</v>
      </c>
      <c r="G353" s="1">
        <v>1.000123368836717</v>
      </c>
      <c r="H353" s="1">
        <v>3.5496599292888176</v>
      </c>
      <c r="I353" s="1">
        <v>0.23857463029392123</v>
      </c>
      <c r="K353" s="1">
        <v>1.0000459595871407</v>
      </c>
      <c r="L353" s="1">
        <v>1.459643890591616</v>
      </c>
      <c r="M353" s="1">
        <v>0.67732205058027151</v>
      </c>
      <c r="O353" s="1">
        <v>7.5650803139803184E-3</v>
      </c>
      <c r="P353" s="1">
        <v>0.80605380030231677</v>
      </c>
      <c r="R353" s="1">
        <v>0.13916867962632415</v>
      </c>
      <c r="S353" s="2">
        <f t="shared" si="72"/>
        <v>0.63128636640358926</v>
      </c>
      <c r="T353" s="4">
        <f t="shared" si="73"/>
        <v>0.39852247640704674</v>
      </c>
      <c r="U353" s="1">
        <f t="shared" si="64"/>
        <v>0.35702490667943643</v>
      </c>
      <c r="V353" s="6">
        <f>2*sigma/alpha*corel*(B353/12-1/alpha*(1-EXP(-alpha*Output!B353/12)))</f>
        <v>1.4369344431759496</v>
      </c>
      <c r="W353" s="5">
        <f t="shared" si="74"/>
        <v>-4.1497569727610317E-2</v>
      </c>
      <c r="X353" s="1">
        <f t="shared" si="75"/>
        <v>6.795503542932952</v>
      </c>
      <c r="Y353" s="3">
        <f t="shared" si="65"/>
        <v>2.0524284562246461E-2</v>
      </c>
      <c r="Z353" s="1">
        <f t="shared" si="66"/>
        <v>0.11825077076371285</v>
      </c>
      <c r="AA353" s="8">
        <f t="shared" si="71"/>
        <v>28.416666666666533</v>
      </c>
      <c r="AB353" s="1">
        <v>28.5</v>
      </c>
      <c r="AC353" s="1">
        <v>7.6326812250000001E-3</v>
      </c>
      <c r="AD353" s="8">
        <f t="shared" si="67"/>
        <v>0.67600911019681698</v>
      </c>
      <c r="AE353" s="3">
        <f t="shared" si="68"/>
        <v>8.8567711695154271E-3</v>
      </c>
      <c r="AF353" s="11">
        <f t="shared" si="69"/>
        <v>28.416666666666533</v>
      </c>
      <c r="AG353" s="1">
        <f t="shared" si="70"/>
        <v>0.11825077076371285</v>
      </c>
    </row>
    <row r="354" spans="2:33" ht="15" x14ac:dyDescent="0.25">
      <c r="B354" s="1">
        <v>343</v>
      </c>
      <c r="C354" s="1">
        <v>1.0005662716744199</v>
      </c>
      <c r="D354" s="1">
        <v>1.1661349939972263</v>
      </c>
      <c r="E354" s="1">
        <v>0.85670161752397755</v>
      </c>
      <c r="G354" s="1">
        <v>0.99994868561771966</v>
      </c>
      <c r="H354" s="1">
        <v>3.594226946253499</v>
      </c>
      <c r="I354" s="1">
        <v>0.23550241779535602</v>
      </c>
      <c r="K354" s="1">
        <v>1.0000402910267956</v>
      </c>
      <c r="L354" s="1">
        <v>1.4710732268353846</v>
      </c>
      <c r="M354" s="1">
        <v>0.67206072534321382</v>
      </c>
      <c r="O354" s="1">
        <v>7.5645540810445489E-3</v>
      </c>
      <c r="P354" s="1">
        <v>0.80555792200181664</v>
      </c>
      <c r="R354" s="1">
        <v>0.13959977475234384</v>
      </c>
      <c r="S354" s="2">
        <f t="shared" si="72"/>
        <v>0.63338375273740133</v>
      </c>
      <c r="T354" s="4">
        <f t="shared" si="73"/>
        <v>0.40117497823171355</v>
      </c>
      <c r="U354" s="1">
        <f t="shared" si="64"/>
        <v>0.35943829653362602</v>
      </c>
      <c r="V354" s="6">
        <f>2*sigma/alpha*corel*(B354/12-1/alpha*(1-EXP(-alpha*Output!B354/12)))</f>
        <v>1.4440252079480587</v>
      </c>
      <c r="W354" s="5">
        <f t="shared" si="74"/>
        <v>-4.173668169808753E-2</v>
      </c>
      <c r="X354" s="1">
        <f t="shared" si="75"/>
        <v>6.8571027420041091</v>
      </c>
      <c r="Y354" s="3">
        <f t="shared" si="65"/>
        <v>2.0546620675133905E-2</v>
      </c>
      <c r="Z354" s="1">
        <f t="shared" si="66"/>
        <v>0.11847057105609531</v>
      </c>
      <c r="AA354" s="8">
        <f t="shared" si="71"/>
        <v>28.499999999999865</v>
      </c>
      <c r="AB354" s="1">
        <v>28.58</v>
      </c>
      <c r="AC354" s="1">
        <v>7.6321425300000002E-3</v>
      </c>
      <c r="AD354" s="8">
        <f t="shared" si="67"/>
        <v>0.67588448955451308</v>
      </c>
      <c r="AE354" s="3">
        <f t="shared" si="68"/>
        <v>8.8557634621966776E-3</v>
      </c>
      <c r="AF354" s="11">
        <f t="shared" si="69"/>
        <v>28.499999999999865</v>
      </c>
      <c r="AG354" s="1">
        <f t="shared" si="70"/>
        <v>0.11847057105609531</v>
      </c>
    </row>
    <row r="355" spans="2:33" ht="15" x14ac:dyDescent="0.25">
      <c r="B355" s="1">
        <v>344</v>
      </c>
      <c r="C355" s="1">
        <v>1.0005679158758902</v>
      </c>
      <c r="D355" s="1">
        <v>1.1702756387350346</v>
      </c>
      <c r="E355" s="1">
        <v>0.85366879582012378</v>
      </c>
      <c r="G355" s="1">
        <v>0.99991640374032797</v>
      </c>
      <c r="H355" s="1">
        <v>3.7090346097809546</v>
      </c>
      <c r="I355" s="1">
        <v>0.22810239159115003</v>
      </c>
      <c r="K355" s="1">
        <v>1.0000438822552902</v>
      </c>
      <c r="L355" s="1">
        <v>1.4724539384792694</v>
      </c>
      <c r="M355" s="1">
        <v>0.6714010666668776</v>
      </c>
      <c r="O355" s="1">
        <v>7.5639348793433408E-3</v>
      </c>
      <c r="P355" s="1">
        <v>0.80506456494877132</v>
      </c>
      <c r="R355" s="1">
        <v>0.14001696187283025</v>
      </c>
      <c r="S355" s="2">
        <f t="shared" si="72"/>
        <v>0.63543594379875401</v>
      </c>
      <c r="T355" s="4">
        <f t="shared" si="73"/>
        <v>0.40377883867141329</v>
      </c>
      <c r="U355" s="1">
        <f t="shared" si="64"/>
        <v>0.3618592263208753</v>
      </c>
      <c r="V355" s="6">
        <f>2*sigma/alpha*corel*(B355/12-1/alpha*(1-EXP(-alpha*Output!B355/12)))</f>
        <v>1.4511270406030974</v>
      </c>
      <c r="W355" s="5">
        <f t="shared" si="74"/>
        <v>-4.1919612350537983E-2</v>
      </c>
      <c r="X355" s="1">
        <f t="shared" si="75"/>
        <v>6.9125519041645251</v>
      </c>
      <c r="Y355" s="3">
        <f t="shared" si="65"/>
        <v>2.0547317359138593E-2</v>
      </c>
      <c r="Z355" s="1">
        <f t="shared" si="66"/>
        <v>0.11868154163873579</v>
      </c>
      <c r="AA355" s="8">
        <f t="shared" si="71"/>
        <v>28.583333333333197</v>
      </c>
      <c r="AB355" s="1">
        <v>28.67</v>
      </c>
      <c r="AC355" s="1">
        <v>7.631619119E-3</v>
      </c>
      <c r="AD355" s="8">
        <f t="shared" si="67"/>
        <v>0.67684239656659251</v>
      </c>
      <c r="AE355" s="3">
        <f t="shared" si="68"/>
        <v>8.8689226494741754E-3</v>
      </c>
      <c r="AF355" s="11">
        <f t="shared" si="69"/>
        <v>28.583333333333197</v>
      </c>
      <c r="AG355" s="1">
        <f t="shared" si="70"/>
        <v>0.11868154163873579</v>
      </c>
    </row>
    <row r="356" spans="2:33" ht="15" x14ac:dyDescent="0.25">
      <c r="B356" s="1">
        <v>345</v>
      </c>
      <c r="C356" s="1">
        <v>1.0005703380978326</v>
      </c>
      <c r="D356" s="1">
        <v>1.1713707791126959</v>
      </c>
      <c r="E356" s="1">
        <v>0.85286902273614396</v>
      </c>
      <c r="G356" s="1">
        <v>0.999966364494974</v>
      </c>
      <c r="H356" s="1">
        <v>3.7395549257417686</v>
      </c>
      <c r="I356" s="1">
        <v>0.22613129345158461</v>
      </c>
      <c r="K356" s="1">
        <v>1.0000575230237441</v>
      </c>
      <c r="L356" s="1">
        <v>1.4774296376107574</v>
      </c>
      <c r="M356" s="1">
        <v>0.66911462900867358</v>
      </c>
      <c r="O356" s="1">
        <v>7.5633371314699476E-3</v>
      </c>
      <c r="P356" s="1">
        <v>0.80457109682240779</v>
      </c>
      <c r="R356" s="1">
        <v>0.14043870273831127</v>
      </c>
      <c r="S356" s="2">
        <f t="shared" si="72"/>
        <v>0.63750441104460864</v>
      </c>
      <c r="T356" s="4">
        <f t="shared" si="73"/>
        <v>0.40641187410133334</v>
      </c>
      <c r="U356" s="1">
        <f t="shared" si="64"/>
        <v>0.36428768265110056</v>
      </c>
      <c r="V356" s="6">
        <f>2*sigma/alpha*corel*(B356/12-1/alpha*(1-EXP(-alpha*Output!B356/12)))</f>
        <v>1.4582399043095413</v>
      </c>
      <c r="W356" s="5">
        <f t="shared" si="74"/>
        <v>-4.2124191450232773E-2</v>
      </c>
      <c r="X356" s="1">
        <f t="shared" si="75"/>
        <v>6.9707456352974688</v>
      </c>
      <c r="Y356" s="3">
        <f t="shared" si="65"/>
        <v>2.0556122837510571E-2</v>
      </c>
      <c r="Z356" s="1">
        <f t="shared" si="66"/>
        <v>0.1188951857147014</v>
      </c>
      <c r="AA356" s="8">
        <f t="shared" si="71"/>
        <v>28.666666666666529</v>
      </c>
      <c r="AB356" s="1">
        <v>28.75</v>
      </c>
      <c r="AC356" s="1">
        <v>7.6311074839999996E-3</v>
      </c>
      <c r="AD356" s="8">
        <f t="shared" si="67"/>
        <v>0.67770352530052014</v>
      </c>
      <c r="AE356" s="3">
        <f t="shared" si="68"/>
        <v>8.8808017279464156E-3</v>
      </c>
      <c r="AF356" s="11">
        <f t="shared" si="69"/>
        <v>28.666666666666529</v>
      </c>
      <c r="AG356" s="1">
        <f t="shared" si="70"/>
        <v>0.1188951857147014</v>
      </c>
    </row>
    <row r="357" spans="2:33" ht="15" x14ac:dyDescent="0.25">
      <c r="B357" s="1">
        <v>346</v>
      </c>
      <c r="C357" s="1">
        <v>1.0005731020214346</v>
      </c>
      <c r="D357" s="1">
        <v>1.1701062463831373</v>
      </c>
      <c r="E357" s="1">
        <v>0.85378905345523726</v>
      </c>
      <c r="G357" s="1">
        <v>1.0000275417073514</v>
      </c>
      <c r="H357" s="1">
        <v>3.7006824498886117</v>
      </c>
      <c r="I357" s="1">
        <v>0.2283960672418156</v>
      </c>
      <c r="K357" s="1">
        <v>1.0000531286910139</v>
      </c>
      <c r="L357" s="1">
        <v>1.475314730163958</v>
      </c>
      <c r="M357" s="1">
        <v>0.67004153271057287</v>
      </c>
      <c r="O357" s="1">
        <v>7.5626883684099871E-3</v>
      </c>
      <c r="P357" s="1">
        <v>0.8040791940253198</v>
      </c>
      <c r="R357" s="1">
        <v>0.14086690223533319</v>
      </c>
      <c r="S357" s="2">
        <f t="shared" si="72"/>
        <v>0.63959255577418794</v>
      </c>
      <c r="T357" s="4">
        <f t="shared" si="73"/>
        <v>0.40907863740175771</v>
      </c>
      <c r="U357" s="1">
        <f t="shared" si="64"/>
        <v>0.36672365210103175</v>
      </c>
      <c r="V357" s="6">
        <f>2*sigma/alpha*corel*(B357/12-1/alpha*(1-EXP(-alpha*Output!B357/12)))</f>
        <v>1.4653637623584355</v>
      </c>
      <c r="W357" s="5">
        <f t="shared" si="74"/>
        <v>-4.2354985300725956E-2</v>
      </c>
      <c r="X357" s="1">
        <f t="shared" si="75"/>
        <v>7.0322325940503294</v>
      </c>
      <c r="Y357" s="3">
        <f t="shared" si="65"/>
        <v>2.0574657924788735E-2</v>
      </c>
      <c r="Z357" s="1">
        <f t="shared" si="66"/>
        <v>0.11911212535673008</v>
      </c>
      <c r="AA357" s="8">
        <f t="shared" si="71"/>
        <v>28.749999999999861</v>
      </c>
      <c r="AB357" s="1">
        <v>28.83</v>
      </c>
      <c r="AC357" s="1">
        <v>7.6306041139999996E-3</v>
      </c>
      <c r="AD357" s="8">
        <f t="shared" si="67"/>
        <v>0.67915745590012466</v>
      </c>
      <c r="AE357" s="3">
        <f t="shared" si="68"/>
        <v>8.9004415083474564E-3</v>
      </c>
      <c r="AF357" s="11">
        <f t="shared" si="69"/>
        <v>28.749999999999861</v>
      </c>
      <c r="AG357" s="1">
        <f t="shared" si="70"/>
        <v>0.11911212535673008</v>
      </c>
    </row>
    <row r="358" spans="2:33" ht="15" x14ac:dyDescent="0.25">
      <c r="B358" s="1">
        <v>347</v>
      </c>
      <c r="C358" s="1">
        <v>1.0005746997012761</v>
      </c>
      <c r="D358" s="1">
        <v>1.1733404643383261</v>
      </c>
      <c r="E358" s="1">
        <v>0.85143399068286696</v>
      </c>
      <c r="G358" s="1">
        <v>0.99998731629040016</v>
      </c>
      <c r="H358" s="1">
        <v>3.7899721289707475</v>
      </c>
      <c r="I358" s="1">
        <v>0.22290729647649224</v>
      </c>
      <c r="K358" s="1">
        <v>1.0000597480084557</v>
      </c>
      <c r="L358" s="1">
        <v>1.4733652021508914</v>
      </c>
      <c r="M358" s="1">
        <v>0.6709064825924258</v>
      </c>
      <c r="O358" s="1">
        <v>7.5619765359624643E-3</v>
      </c>
      <c r="P358" s="1">
        <v>0.80358914440949947</v>
      </c>
      <c r="R358" s="1">
        <v>0.14132460251958737</v>
      </c>
      <c r="S358" s="2">
        <f t="shared" si="72"/>
        <v>0.6417718549336302</v>
      </c>
      <c r="T358" s="4">
        <f t="shared" si="73"/>
        <v>0.4118711137849525</v>
      </c>
      <c r="U358" s="1">
        <f t="shared" si="64"/>
        <v>0.36916712121483419</v>
      </c>
      <c r="V358" s="6">
        <f>2*sigma/alpha*corel*(B358/12-1/alpha*(1-EXP(-alpha*Output!B358/12)))</f>
        <v>1.4724985781629831</v>
      </c>
      <c r="W358" s="5">
        <f t="shared" si="74"/>
        <v>-4.270399257011831E-2</v>
      </c>
      <c r="X358" s="1">
        <f t="shared" si="75"/>
        <v>7.1076805366356917</v>
      </c>
      <c r="Y358" s="3">
        <f t="shared" si="65"/>
        <v>2.0637316049446915E-2</v>
      </c>
      <c r="Z358" s="1">
        <f t="shared" si="66"/>
        <v>0.11934563861549422</v>
      </c>
      <c r="AA358" s="8">
        <f t="shared" si="71"/>
        <v>28.833333333333194</v>
      </c>
      <c r="AB358" s="1">
        <v>28.92</v>
      </c>
      <c r="AC358" s="1">
        <v>7.630105501E-3</v>
      </c>
      <c r="AD358" s="8">
        <f t="shared" si="67"/>
        <v>0.6812896503753576</v>
      </c>
      <c r="AE358" s="3">
        <f t="shared" si="68"/>
        <v>8.9289676307367956E-3</v>
      </c>
      <c r="AF358" s="11">
        <f t="shared" si="69"/>
        <v>28.833333333333194</v>
      </c>
      <c r="AG358" s="1">
        <f t="shared" si="70"/>
        <v>0.11934563861549422</v>
      </c>
    </row>
    <row r="359" spans="2:33" ht="15" x14ac:dyDescent="0.25">
      <c r="B359" s="1">
        <v>348</v>
      </c>
      <c r="C359" s="1">
        <v>1.0005800722255356</v>
      </c>
      <c r="D359" s="1">
        <v>1.1752337008816038</v>
      </c>
      <c r="E359" s="1">
        <v>0.85006071493552149</v>
      </c>
      <c r="G359" s="1">
        <v>1.0002414909435922</v>
      </c>
      <c r="H359" s="1">
        <v>3.843683250209073</v>
      </c>
      <c r="I359" s="1">
        <v>0.21968609461403002</v>
      </c>
      <c r="K359" s="1">
        <v>1.0000570323351003</v>
      </c>
      <c r="L359" s="1">
        <v>1.4673179960896938</v>
      </c>
      <c r="M359" s="1">
        <v>0.67365890863408973</v>
      </c>
      <c r="O359" s="1">
        <v>7.5613019179007254E-3</v>
      </c>
      <c r="P359" s="1">
        <v>0.80309862201698445</v>
      </c>
      <c r="R359" s="1">
        <v>0.14175628509627652</v>
      </c>
      <c r="S359" s="2">
        <f t="shared" si="72"/>
        <v>0.64387272563161368</v>
      </c>
      <c r="T359" s="4">
        <f t="shared" si="73"/>
        <v>0.41457208681228325</v>
      </c>
      <c r="U359" s="1">
        <f t="shared" si="64"/>
        <v>0.37161807650473433</v>
      </c>
      <c r="V359" s="6">
        <f>2*sigma/alpha*corel*(B359/12-1/alpha*(1-EXP(-alpha*Output!B359/12)))</f>
        <v>1.4796443152581413</v>
      </c>
      <c r="W359" s="5">
        <f t="shared" si="74"/>
        <v>-4.2954010307548918E-2</v>
      </c>
      <c r="X359" s="1">
        <f t="shared" si="75"/>
        <v>7.1720124953514084</v>
      </c>
      <c r="Y359" s="3">
        <f t="shared" si="65"/>
        <v>2.0662362349241743E-2</v>
      </c>
      <c r="Z359" s="1">
        <f t="shared" si="66"/>
        <v>0.11956416352914263</v>
      </c>
      <c r="AA359" s="8">
        <f t="shared" si="71"/>
        <v>28.916666666666526</v>
      </c>
      <c r="AB359" s="1">
        <v>29</v>
      </c>
      <c r="AC359" s="1">
        <v>7.6296081330000003E-3</v>
      </c>
      <c r="AD359" s="8">
        <f t="shared" si="67"/>
        <v>0.68306215099274947</v>
      </c>
      <c r="AE359" s="3">
        <f t="shared" si="68"/>
        <v>8.9527815725991416E-3</v>
      </c>
      <c r="AF359" s="11">
        <f t="shared" si="69"/>
        <v>28.916666666666526</v>
      </c>
      <c r="AG359" s="1">
        <f t="shared" si="70"/>
        <v>0.11956416352914263</v>
      </c>
    </row>
    <row r="360" spans="2:33" ht="15" x14ac:dyDescent="0.25">
      <c r="B360" s="1">
        <v>349</v>
      </c>
      <c r="C360" s="1">
        <v>1.0005858411926623</v>
      </c>
      <c r="D360" s="1">
        <v>1.1757879614697229</v>
      </c>
      <c r="E360" s="1">
        <v>0.84965833542168856</v>
      </c>
      <c r="G360" s="1">
        <v>1.0005338993592718</v>
      </c>
      <c r="H360" s="1">
        <v>3.8578235902450033</v>
      </c>
      <c r="I360" s="1">
        <v>0.21877498050638683</v>
      </c>
      <c r="K360" s="1">
        <v>1.0000597839562089</v>
      </c>
      <c r="L360" s="1">
        <v>1.4748625146457279</v>
      </c>
      <c r="M360" s="1">
        <v>0.67018389829563807</v>
      </c>
      <c r="O360" s="1">
        <v>7.5605213428719736E-3</v>
      </c>
      <c r="P360" s="1">
        <v>0.80261096259628095</v>
      </c>
      <c r="R360" s="1">
        <v>0.1422350024200616</v>
      </c>
      <c r="S360" s="2">
        <f t="shared" si="72"/>
        <v>0.64611808002973259</v>
      </c>
      <c r="T360" s="4">
        <f t="shared" si="73"/>
        <v>0.41746857334130794</v>
      </c>
      <c r="U360" s="1">
        <f t="shared" si="64"/>
        <v>0.37407650445163254</v>
      </c>
      <c r="V360" s="6">
        <f>2*sigma/alpha*corel*(B360/12-1/alpha*(1-EXP(-alpha*Output!B360/12)))</f>
        <v>1.4868009373002145</v>
      </c>
      <c r="W360" s="5">
        <f t="shared" si="74"/>
        <v>-4.3392068889675395E-2</v>
      </c>
      <c r="X360" s="1">
        <f t="shared" si="75"/>
        <v>7.2585210413223678</v>
      </c>
      <c r="Y360" s="3">
        <f t="shared" si="65"/>
        <v>2.0756962508754237E-2</v>
      </c>
      <c r="Z360" s="1">
        <f t="shared" si="66"/>
        <v>0.11980909934895241</v>
      </c>
      <c r="AA360" s="8">
        <f t="shared" si="71"/>
        <v>28.999999999999858</v>
      </c>
      <c r="AB360" s="1">
        <v>29.08</v>
      </c>
      <c r="AC360" s="1">
        <v>7.6291085010000001E-3</v>
      </c>
      <c r="AD360" s="8">
        <f t="shared" si="67"/>
        <v>0.6858715812802646</v>
      </c>
      <c r="AE360" s="3">
        <f t="shared" si="68"/>
        <v>8.99019303750055E-3</v>
      </c>
      <c r="AF360" s="11">
        <f t="shared" si="69"/>
        <v>28.999999999999858</v>
      </c>
      <c r="AG360" s="1">
        <f t="shared" si="70"/>
        <v>0.11980909934895241</v>
      </c>
    </row>
    <row r="361" spans="2:33" ht="15" x14ac:dyDescent="0.25">
      <c r="B361" s="1">
        <v>350</v>
      </c>
      <c r="C361" s="1">
        <v>1.0005893524867611</v>
      </c>
      <c r="D361" s="1">
        <v>1.1753539427128936</v>
      </c>
      <c r="E361" s="1">
        <v>0.84997041748382529</v>
      </c>
      <c r="G361" s="1">
        <v>1.000652593277829</v>
      </c>
      <c r="H361" s="1">
        <v>3.8978039019512951</v>
      </c>
      <c r="I361" s="1">
        <v>0.21642622836727274</v>
      </c>
      <c r="K361" s="1">
        <v>1.0000559354855048</v>
      </c>
      <c r="L361" s="1">
        <v>1.4864788009585854</v>
      </c>
      <c r="M361" s="1">
        <v>0.66492636836990537</v>
      </c>
      <c r="O361" s="1">
        <v>7.55977976044686E-3</v>
      </c>
      <c r="P361" s="1">
        <v>0.80212279140406417</v>
      </c>
      <c r="R361" s="1">
        <v>0.14261878178807627</v>
      </c>
      <c r="S361" s="2">
        <f t="shared" si="72"/>
        <v>0.64806964840884085</v>
      </c>
      <c r="T361" s="4">
        <f t="shared" si="73"/>
        <v>0.4199942691887586</v>
      </c>
      <c r="U361" s="1">
        <f t="shared" si="64"/>
        <v>0.37654239150571822</v>
      </c>
      <c r="V361" s="6">
        <f>2*sigma/alpha*corel*(B361/12-1/alpha*(1-EXP(-alpha*Output!B361/12)))</f>
        <v>1.493968408066451</v>
      </c>
      <c r="W361" s="5">
        <f t="shared" si="74"/>
        <v>-4.3451877683040374E-2</v>
      </c>
      <c r="X361" s="1">
        <f t="shared" si="75"/>
        <v>7.3013273339886497</v>
      </c>
      <c r="Y361" s="3">
        <f t="shared" si="65"/>
        <v>2.0710773122828124E-2</v>
      </c>
      <c r="Z361" s="1">
        <f t="shared" si="66"/>
        <v>0.11999918130988708</v>
      </c>
      <c r="AA361" s="8">
        <f t="shared" si="71"/>
        <v>29.08333333333319</v>
      </c>
      <c r="AB361" s="1">
        <v>29.17</v>
      </c>
      <c r="AC361" s="1">
        <v>7.628603831E-3</v>
      </c>
      <c r="AD361" s="8">
        <f t="shared" si="67"/>
        <v>0.68824070553140038</v>
      </c>
      <c r="AE361" s="3">
        <f t="shared" si="68"/>
        <v>9.0218435873498752E-3</v>
      </c>
      <c r="AF361" s="11">
        <f t="shared" si="69"/>
        <v>29.08333333333319</v>
      </c>
      <c r="AG361" s="1">
        <f t="shared" si="70"/>
        <v>0.11999918130988708</v>
      </c>
    </row>
    <row r="362" spans="2:33" ht="15" x14ac:dyDescent="0.25">
      <c r="B362" s="1">
        <v>351</v>
      </c>
      <c r="C362" s="1">
        <v>1.0005903331971024</v>
      </c>
      <c r="D362" s="1">
        <v>1.1772712916323986</v>
      </c>
      <c r="E362" s="1">
        <v>0.84858445409137417</v>
      </c>
      <c r="G362" s="1">
        <v>1.0005468522625147</v>
      </c>
      <c r="H362" s="1">
        <v>3.9043004857096411</v>
      </c>
      <c r="I362" s="1">
        <v>0.21596158234362031</v>
      </c>
      <c r="K362" s="1">
        <v>1.000053870999279</v>
      </c>
      <c r="L362" s="1">
        <v>1.4846738324736779</v>
      </c>
      <c r="M362" s="1">
        <v>0.66571795028010261</v>
      </c>
      <c r="O362" s="1">
        <v>7.5590779802528719E-3</v>
      </c>
      <c r="P362" s="1">
        <v>0.80163408293623817</v>
      </c>
      <c r="R362" s="1">
        <v>0.14299194939308207</v>
      </c>
      <c r="S362" s="2">
        <f t="shared" si="72"/>
        <v>0.64999066216911738</v>
      </c>
      <c r="T362" s="4">
        <f t="shared" si="73"/>
        <v>0.42248786090704771</v>
      </c>
      <c r="U362" s="1">
        <f t="shared" si="64"/>
        <v>0.37901572408706796</v>
      </c>
      <c r="V362" s="6">
        <f>2*sigma/alpha*corel*(B362/12-1/alpha*(1-EXP(-alpha*Output!B362/12)))</f>
        <v>1.5011466914546405</v>
      </c>
      <c r="W362" s="5">
        <f t="shared" si="74"/>
        <v>-4.3472136819979745E-2</v>
      </c>
      <c r="X362" s="1">
        <f t="shared" si="75"/>
        <v>7.3396813972028436</v>
      </c>
      <c r="Y362" s="3">
        <f t="shared" si="65"/>
        <v>2.0650221290887893E-2</v>
      </c>
      <c r="Z362" s="1">
        <f t="shared" si="66"/>
        <v>0.12018331594992533</v>
      </c>
      <c r="AA362" s="8">
        <f t="shared" si="71"/>
        <v>29.166666666666522</v>
      </c>
      <c r="AB362" s="1">
        <v>29.25</v>
      </c>
      <c r="AC362" s="1">
        <v>7.6280942930000003E-3</v>
      </c>
      <c r="AD362" s="8">
        <f t="shared" si="67"/>
        <v>0.69016312747128405</v>
      </c>
      <c r="AE362" s="3">
        <f t="shared" si="68"/>
        <v>9.0476480882599915E-3</v>
      </c>
      <c r="AF362" s="11">
        <f t="shared" si="69"/>
        <v>29.166666666666522</v>
      </c>
      <c r="AG362" s="1">
        <f t="shared" si="70"/>
        <v>0.12018331594992533</v>
      </c>
    </row>
    <row r="363" spans="2:33" ht="15" x14ac:dyDescent="0.25">
      <c r="B363" s="1">
        <v>352</v>
      </c>
      <c r="C363" s="1">
        <v>1.0005936220542511</v>
      </c>
      <c r="D363" s="1">
        <v>1.1795682247455024</v>
      </c>
      <c r="E363" s="1">
        <v>0.8469303656135253</v>
      </c>
      <c r="G363" s="1">
        <v>1.0006515800817988</v>
      </c>
      <c r="H363" s="1">
        <v>3.9695575492022579</v>
      </c>
      <c r="I363" s="1">
        <v>0.21230855360061146</v>
      </c>
      <c r="K363" s="1">
        <v>1.0000504072375813</v>
      </c>
      <c r="L363" s="1">
        <v>1.4929761392404048</v>
      </c>
      <c r="M363" s="1">
        <v>0.661979938049858</v>
      </c>
      <c r="O363" s="1">
        <v>7.5584062836673068E-3</v>
      </c>
      <c r="P363" s="1">
        <v>0.80114505895519761</v>
      </c>
      <c r="R363" s="1">
        <v>0.14343209483126276</v>
      </c>
      <c r="S363" s="2">
        <f t="shared" si="72"/>
        <v>0.65212351315011463</v>
      </c>
      <c r="T363" s="4">
        <f t="shared" si="73"/>
        <v>0.42526507640324773</v>
      </c>
      <c r="U363" s="1">
        <f t="shared" si="64"/>
        <v>0.38149648858625262</v>
      </c>
      <c r="V363" s="6">
        <f>2*sigma/alpha*corel*(B363/12-1/alpha*(1-EXP(-alpha*Output!B363/12)))</f>
        <v>1.5083357514827136</v>
      </c>
      <c r="W363" s="5">
        <f t="shared" si="74"/>
        <v>-4.3768587816995108E-2</v>
      </c>
      <c r="X363" s="1">
        <f t="shared" si="75"/>
        <v>7.4105910430616815</v>
      </c>
      <c r="Y363" s="3">
        <f t="shared" si="65"/>
        <v>2.069155102266133E-2</v>
      </c>
      <c r="Z363" s="1">
        <f t="shared" si="66"/>
        <v>0.12040628330449217</v>
      </c>
      <c r="AA363" s="8">
        <f t="shared" si="71"/>
        <v>29.249999999999854</v>
      </c>
      <c r="AB363" s="1">
        <v>29.33</v>
      </c>
      <c r="AC363" s="1">
        <v>7.6275807940000004E-3</v>
      </c>
      <c r="AD363" s="8">
        <f t="shared" si="67"/>
        <v>0.69174510332693606</v>
      </c>
      <c r="AE363" s="3">
        <f t="shared" si="68"/>
        <v>9.0689973926080976E-3</v>
      </c>
      <c r="AF363" s="11">
        <f t="shared" si="69"/>
        <v>29.249999999999854</v>
      </c>
      <c r="AG363" s="1">
        <f t="shared" si="70"/>
        <v>0.12040628330449217</v>
      </c>
    </row>
    <row r="364" spans="2:33" ht="15" x14ac:dyDescent="0.25">
      <c r="B364" s="1">
        <v>353</v>
      </c>
      <c r="C364" s="1">
        <v>1.0005957643181882</v>
      </c>
      <c r="D364" s="1">
        <v>1.1812215084682944</v>
      </c>
      <c r="E364" s="1">
        <v>0.84574329948134785</v>
      </c>
      <c r="G364" s="1">
        <v>1.0006743267392233</v>
      </c>
      <c r="H364" s="1">
        <v>4.0698015406824908</v>
      </c>
      <c r="I364" s="1">
        <v>0.20697896974250604</v>
      </c>
      <c r="K364" s="1">
        <v>1.0000453865481935</v>
      </c>
      <c r="L364" s="1">
        <v>1.4950219861144405</v>
      </c>
      <c r="M364" s="1">
        <v>0.66105845657765505</v>
      </c>
      <c r="O364" s="1">
        <v>7.5577944136494242E-3</v>
      </c>
      <c r="P364" s="1">
        <v>0.80065501385584137</v>
      </c>
      <c r="R364" s="1">
        <v>0.14384184432675715</v>
      </c>
      <c r="S364" s="2">
        <f t="shared" si="72"/>
        <v>0.65416480237500485</v>
      </c>
      <c r="T364" s="4">
        <f t="shared" si="73"/>
        <v>0.42793158866632913</v>
      </c>
      <c r="U364" s="1">
        <f t="shared" si="64"/>
        <v>0.38398467136492798</v>
      </c>
      <c r="V364" s="6">
        <f>2*sigma/alpha*corel*(B364/12-1/alpha*(1-EXP(-alpha*Output!B364/12)))</f>
        <v>1.5155355522883407</v>
      </c>
      <c r="W364" s="5">
        <f t="shared" si="74"/>
        <v>-4.3946917301401156E-2</v>
      </c>
      <c r="X364" s="1">
        <f t="shared" si="75"/>
        <v>7.4679352793814617</v>
      </c>
      <c r="Y364" s="3">
        <f t="shared" si="65"/>
        <v>2.0689236959762655E-2</v>
      </c>
      <c r="Z364" s="1">
        <f t="shared" si="66"/>
        <v>0.12061197897835996</v>
      </c>
      <c r="AA364" s="8">
        <f t="shared" si="71"/>
        <v>29.333333333333186</v>
      </c>
      <c r="AB364" s="1">
        <v>29.42</v>
      </c>
      <c r="AC364" s="1">
        <v>7.6270642409999997E-3</v>
      </c>
      <c r="AD364" s="8">
        <f t="shared" si="67"/>
        <v>0.69269827350575475</v>
      </c>
      <c r="AE364" s="3">
        <f t="shared" si="68"/>
        <v>9.0821088116983494E-3</v>
      </c>
      <c r="AF364" s="11">
        <f t="shared" si="69"/>
        <v>29.333333333333186</v>
      </c>
      <c r="AG364" s="1">
        <f t="shared" si="70"/>
        <v>0.12061197897835996</v>
      </c>
    </row>
    <row r="365" spans="2:33" ht="15" x14ac:dyDescent="0.25">
      <c r="B365" s="1">
        <v>354</v>
      </c>
      <c r="C365" s="1">
        <v>1.0005974544784124</v>
      </c>
      <c r="D365" s="1">
        <v>1.1793206121367321</v>
      </c>
      <c r="E365" s="1">
        <v>0.84710484149538956</v>
      </c>
      <c r="G365" s="1">
        <v>1.0006509351193131</v>
      </c>
      <c r="H365" s="1">
        <v>4.0095812029110593</v>
      </c>
      <c r="I365" s="1">
        <v>0.20998597916712314</v>
      </c>
      <c r="K365" s="1">
        <v>1.0000425163705098</v>
      </c>
      <c r="L365" s="1">
        <v>1.5008464923663838</v>
      </c>
      <c r="M365" s="1">
        <v>0.65847445576102692</v>
      </c>
      <c r="O365" s="1">
        <v>7.5571936724734348E-3</v>
      </c>
      <c r="P365" s="1">
        <v>0.80016508741231029</v>
      </c>
      <c r="R365" s="1">
        <v>0.14421911627626893</v>
      </c>
      <c r="S365" s="2">
        <f t="shared" si="72"/>
        <v>0.65610608221348676</v>
      </c>
      <c r="T365" s="4">
        <f t="shared" si="73"/>
        <v>0.43047519111753063</v>
      </c>
      <c r="U365" s="1">
        <f t="shared" si="64"/>
        <v>0.386480258756424</v>
      </c>
      <c r="V365" s="6">
        <f>2*sigma/alpha*corel*(B365/12-1/alpha*(1-EXP(-alpha*Output!B365/12)))</f>
        <v>1.5227460581285355</v>
      </c>
      <c r="W365" s="5">
        <f t="shared" si="74"/>
        <v>-4.3994932361106631E-2</v>
      </c>
      <c r="X365" s="1">
        <f t="shared" si="75"/>
        <v>7.5101575761565762</v>
      </c>
      <c r="Y365" s="3">
        <f t="shared" si="65"/>
        <v>2.0639332425554126E-2</v>
      </c>
      <c r="Z365" s="1">
        <f t="shared" si="66"/>
        <v>0.1207989211868893</v>
      </c>
      <c r="AA365" s="8">
        <f t="shared" si="71"/>
        <v>29.416666666666519</v>
      </c>
      <c r="AB365" s="1">
        <v>29.5</v>
      </c>
      <c r="AC365" s="1">
        <v>7.6265455390000002E-3</v>
      </c>
      <c r="AD365" s="8">
        <f t="shared" si="67"/>
        <v>0.69351866526565398</v>
      </c>
      <c r="AE365" s="3">
        <f t="shared" si="68"/>
        <v>9.0934835663039754E-3</v>
      </c>
      <c r="AF365" s="11">
        <f t="shared" si="69"/>
        <v>29.416666666666519</v>
      </c>
      <c r="AG365" s="1">
        <f t="shared" si="70"/>
        <v>0.1207989211868893</v>
      </c>
    </row>
    <row r="366" spans="2:33" ht="15" x14ac:dyDescent="0.25">
      <c r="B366" s="1">
        <v>355</v>
      </c>
      <c r="C366" s="1">
        <v>1.0006042991157444</v>
      </c>
      <c r="D366" s="1">
        <v>1.1836954872915011</v>
      </c>
      <c r="E366" s="1">
        <v>0.84397231507292392</v>
      </c>
      <c r="G366" s="1">
        <v>1.0010434857062167</v>
      </c>
      <c r="H366" s="1">
        <v>4.1463074445461467</v>
      </c>
      <c r="I366" s="1">
        <v>0.20296337115776986</v>
      </c>
      <c r="K366" s="1">
        <v>1.00004427767085</v>
      </c>
      <c r="L366" s="1">
        <v>1.5120022377464473</v>
      </c>
      <c r="M366" s="1">
        <v>0.65358816261681896</v>
      </c>
      <c r="O366" s="1">
        <v>7.5565963739652213E-3</v>
      </c>
      <c r="P366" s="1">
        <v>0.79967545938113316</v>
      </c>
      <c r="R366" s="1">
        <v>0.14458709016664997</v>
      </c>
      <c r="S366" s="2">
        <f t="shared" si="72"/>
        <v>0.65801955579130755</v>
      </c>
      <c r="T366" s="4">
        <f t="shared" si="73"/>
        <v>0.43298973580378969</v>
      </c>
      <c r="U366" s="1">
        <f t="shared" si="64"/>
        <v>0.38898323706632976</v>
      </c>
      <c r="V366" s="6">
        <f>2*sigma/alpha*corel*(B366/12-1/alpha*(1-EXP(-alpha*Output!B366/12)))</f>
        <v>1.5299672333792542</v>
      </c>
      <c r="W366" s="5">
        <f t="shared" si="74"/>
        <v>-4.4006498737459931E-2</v>
      </c>
      <c r="X366" s="1">
        <f t="shared" si="75"/>
        <v>7.5482354191469279</v>
      </c>
      <c r="Y366" s="3">
        <f t="shared" si="65"/>
        <v>2.0576416602270001E-2</v>
      </c>
      <c r="Z366" s="1">
        <f t="shared" si="66"/>
        <v>0.12098046437158656</v>
      </c>
      <c r="AA366" s="8">
        <f t="shared" si="71"/>
        <v>29.499999999999851</v>
      </c>
      <c r="AB366" s="1">
        <v>29.58</v>
      </c>
      <c r="AC366" s="1">
        <v>7.6260255949999996E-3</v>
      </c>
      <c r="AD366" s="8">
        <f t="shared" si="67"/>
        <v>0.69429221034778343</v>
      </c>
      <c r="AE366" s="3">
        <f t="shared" si="68"/>
        <v>9.1042470510851129E-3</v>
      </c>
      <c r="AF366" s="11">
        <f t="shared" si="69"/>
        <v>29.499999999999851</v>
      </c>
      <c r="AG366" s="1">
        <f t="shared" si="70"/>
        <v>0.12098046437158656</v>
      </c>
    </row>
    <row r="367" spans="2:33" ht="15" x14ac:dyDescent="0.25">
      <c r="B367" s="1">
        <v>356</v>
      </c>
      <c r="C367" s="1">
        <v>1.0006050143282852</v>
      </c>
      <c r="D367" s="1">
        <v>1.1841001615126909</v>
      </c>
      <c r="E367" s="1">
        <v>0.84368220684980355</v>
      </c>
      <c r="G367" s="1">
        <v>1.0009225702061408</v>
      </c>
      <c r="H367" s="1">
        <v>4.1597561638648077</v>
      </c>
      <c r="I367" s="1">
        <v>0.20220931278468807</v>
      </c>
      <c r="K367" s="1">
        <v>1.0000444021185</v>
      </c>
      <c r="L367" s="1">
        <v>1.5180066238693499</v>
      </c>
      <c r="M367" s="1">
        <v>0.65098886036382086</v>
      </c>
      <c r="O367" s="1">
        <v>7.5560336233782867E-3</v>
      </c>
      <c r="P367" s="1">
        <v>0.79918539141358347</v>
      </c>
      <c r="R367" s="1">
        <v>0.14499274542547452</v>
      </c>
      <c r="S367" s="2">
        <f t="shared" si="72"/>
        <v>0.66005367837514206</v>
      </c>
      <c r="T367" s="4">
        <f t="shared" si="73"/>
        <v>0.4356708583365555</v>
      </c>
      <c r="U367" s="1">
        <f t="shared" si="64"/>
        <v>0.39149359257307426</v>
      </c>
      <c r="V367" s="6">
        <f>2*sigma/alpha*corel*(B367/12-1/alpha*(1-EXP(-alpha*Output!B367/12)))</f>
        <v>1.5371990425350055</v>
      </c>
      <c r="W367" s="5">
        <f t="shared" si="74"/>
        <v>-4.4177265763481244E-2</v>
      </c>
      <c r="X367" s="1">
        <f t="shared" si="75"/>
        <v>7.6053497669703116</v>
      </c>
      <c r="Y367" s="3">
        <f t="shared" si="65"/>
        <v>2.0571586844052622E-2</v>
      </c>
      <c r="Z367" s="1">
        <f t="shared" si="66"/>
        <v>0.12118388733932581</v>
      </c>
      <c r="AA367" s="8">
        <f t="shared" si="71"/>
        <v>29.583333333333183</v>
      </c>
      <c r="AB367" s="1">
        <v>29.67</v>
      </c>
      <c r="AC367" s="1">
        <v>7.6255053179999999E-3</v>
      </c>
      <c r="AD367" s="8">
        <f t="shared" si="67"/>
        <v>0.6947169462171322</v>
      </c>
      <c r="AE367" s="3">
        <f t="shared" si="68"/>
        <v>9.1104381578130094E-3</v>
      </c>
      <c r="AF367" s="11">
        <f t="shared" si="69"/>
        <v>29.583333333333183</v>
      </c>
      <c r="AG367" s="1">
        <f t="shared" si="70"/>
        <v>0.12118388733932581</v>
      </c>
    </row>
    <row r="368" spans="2:33" ht="15" x14ac:dyDescent="0.25">
      <c r="B368" s="1">
        <v>357</v>
      </c>
      <c r="C368" s="1">
        <v>1.0006104338060837</v>
      </c>
      <c r="D368" s="1">
        <v>1.1849289953604683</v>
      </c>
      <c r="E368" s="1">
        <v>0.84309039187888257</v>
      </c>
      <c r="G368" s="1">
        <v>1.0011736581598238</v>
      </c>
      <c r="H368" s="1">
        <v>4.1858535121072906</v>
      </c>
      <c r="I368" s="1">
        <v>0.20085139828486745</v>
      </c>
      <c r="K368" s="1">
        <v>1.0000427401329903</v>
      </c>
      <c r="L368" s="1">
        <v>1.5081570103295079</v>
      </c>
      <c r="M368" s="1">
        <v>0.65522077971822912</v>
      </c>
      <c r="O368" s="1">
        <v>7.5554511179236009E-3</v>
      </c>
      <c r="P368" s="1">
        <v>0.79869616808665478</v>
      </c>
      <c r="R368" s="1">
        <v>0.14536643735155522</v>
      </c>
      <c r="S368" s="2">
        <f t="shared" si="72"/>
        <v>0.66198808959705158</v>
      </c>
      <c r="T368" s="4">
        <f t="shared" si="73"/>
        <v>0.43822823076835399</v>
      </c>
      <c r="U368" s="1">
        <f t="shared" si="64"/>
        <v>0.39401131152849445</v>
      </c>
      <c r="V368" s="6">
        <f>2*sigma/alpha*corel*(B368/12-1/alpha*(1-EXP(-alpha*Output!B368/12)))</f>
        <v>1.54444145020845</v>
      </c>
      <c r="W368" s="5">
        <f t="shared" si="74"/>
        <v>-4.4216919239859542E-2</v>
      </c>
      <c r="X368" s="1">
        <f t="shared" si="75"/>
        <v>7.6471127826652658</v>
      </c>
      <c r="Y368" s="3">
        <f t="shared" si="65"/>
        <v>2.0519326048878184E-2</v>
      </c>
      <c r="Z368" s="1">
        <f t="shared" si="66"/>
        <v>0.12136869735683882</v>
      </c>
      <c r="AA368" s="8">
        <f t="shared" si="71"/>
        <v>29.666666666666515</v>
      </c>
      <c r="AB368" s="1">
        <v>29.75</v>
      </c>
      <c r="AC368" s="1">
        <v>7.6249856169999996E-3</v>
      </c>
      <c r="AD368" s="8">
        <f t="shared" si="67"/>
        <v>0.69534499076398704</v>
      </c>
      <c r="AE368" s="3">
        <f t="shared" si="68"/>
        <v>9.1192957690793119E-3</v>
      </c>
      <c r="AF368" s="11">
        <f t="shared" si="69"/>
        <v>29.666666666666515</v>
      </c>
      <c r="AG368" s="1">
        <f t="shared" si="70"/>
        <v>0.12136869735683882</v>
      </c>
    </row>
    <row r="369" spans="2:33" ht="15" x14ac:dyDescent="0.25">
      <c r="B369" s="1">
        <v>358</v>
      </c>
      <c r="C369" s="1">
        <v>1.0006114448949082</v>
      </c>
      <c r="D369" s="1">
        <v>1.1874231009766869</v>
      </c>
      <c r="E369" s="1">
        <v>0.84131785829884775</v>
      </c>
      <c r="G369" s="1">
        <v>1.001105057490927</v>
      </c>
      <c r="H369" s="1">
        <v>4.2628101521912161</v>
      </c>
      <c r="I369" s="1">
        <v>0.1971300134101002</v>
      </c>
      <c r="K369" s="1">
        <v>1.0000401807009258</v>
      </c>
      <c r="L369" s="1">
        <v>1.5170182157276908</v>
      </c>
      <c r="M369" s="1">
        <v>0.65137980548550178</v>
      </c>
      <c r="O369" s="1">
        <v>7.5547963992198628E-3</v>
      </c>
      <c r="P369" s="1">
        <v>0.79820904136167159</v>
      </c>
      <c r="R369" s="1">
        <v>0.14577854256446068</v>
      </c>
      <c r="S369" s="2">
        <f t="shared" si="72"/>
        <v>0.66404166315601842</v>
      </c>
      <c r="T369" s="4">
        <f t="shared" si="73"/>
        <v>0.44095133040701101</v>
      </c>
      <c r="U369" s="1">
        <f t="shared" si="64"/>
        <v>0.39653638015840986</v>
      </c>
      <c r="V369" s="6">
        <f>2*sigma/alpha*corel*(B369/12-1/alpha*(1-EXP(-alpha*Output!B369/12)))</f>
        <v>1.5516944211300112</v>
      </c>
      <c r="W369" s="5">
        <f t="shared" si="74"/>
        <v>-4.4414950248601148E-2</v>
      </c>
      <c r="X369" s="1">
        <f t="shared" si="75"/>
        <v>7.7079396395657369</v>
      </c>
      <c r="Y369" s="3">
        <f t="shared" si="65"/>
        <v>2.0524411493638366E-2</v>
      </c>
      <c r="Z369" s="1">
        <f t="shared" si="66"/>
        <v>0.12157504481604241</v>
      </c>
      <c r="AA369" s="8">
        <f t="shared" si="71"/>
        <v>29.749999999999847</v>
      </c>
      <c r="AB369" s="1">
        <v>29.83</v>
      </c>
      <c r="AC369" s="1">
        <v>7.6244674060000003E-3</v>
      </c>
      <c r="AD369" s="8">
        <f t="shared" si="67"/>
        <v>0.69671006780137534</v>
      </c>
      <c r="AE369" s="3">
        <f t="shared" si="68"/>
        <v>9.1378194790773994E-3</v>
      </c>
      <c r="AF369" s="11">
        <f t="shared" si="69"/>
        <v>29.749999999999847</v>
      </c>
      <c r="AG369" s="1">
        <f t="shared" si="70"/>
        <v>0.12157504481604241</v>
      </c>
    </row>
    <row r="370" spans="2:33" ht="15" x14ac:dyDescent="0.25">
      <c r="B370" s="1">
        <v>359</v>
      </c>
      <c r="C370" s="1">
        <v>1.0006136217141639</v>
      </c>
      <c r="D370" s="1">
        <v>1.1837469426499916</v>
      </c>
      <c r="E370" s="1">
        <v>0.84392890864562931</v>
      </c>
      <c r="G370" s="1">
        <v>1.0010720668073199</v>
      </c>
      <c r="H370" s="1">
        <v>4.1419307911363763</v>
      </c>
      <c r="I370" s="1">
        <v>0.20278496975694638</v>
      </c>
      <c r="K370" s="1">
        <v>1.0000401996212314</v>
      </c>
      <c r="L370" s="1">
        <v>1.5132442592951407</v>
      </c>
      <c r="M370" s="1">
        <v>0.65297056931824782</v>
      </c>
      <c r="O370" s="1">
        <v>7.5541818308321323E-3</v>
      </c>
      <c r="P370" s="1">
        <v>0.79772134058930733</v>
      </c>
      <c r="R370" s="1">
        <v>0.14620367283546903</v>
      </c>
      <c r="S370" s="2">
        <f t="shared" si="72"/>
        <v>0.66613900551076832</v>
      </c>
      <c r="T370" s="4">
        <f t="shared" si="73"/>
        <v>0.44374117466287544</v>
      </c>
      <c r="U370" s="1">
        <f t="shared" si="64"/>
        <v>0.39906878466318352</v>
      </c>
      <c r="V370" s="6">
        <f>2*sigma/alpha*corel*(B370/12-1/alpha*(1-EXP(-alpha*Output!B370/12)))</f>
        <v>1.5589579201474812</v>
      </c>
      <c r="W370" s="5">
        <f t="shared" si="74"/>
        <v>-4.4672389999691919E-2</v>
      </c>
      <c r="X370" s="1">
        <f t="shared" si="75"/>
        <v>7.7761458000870274</v>
      </c>
      <c r="Y370" s="3">
        <f t="shared" si="65"/>
        <v>2.0550689108398454E-2</v>
      </c>
      <c r="Z370" s="1">
        <f t="shared" si="66"/>
        <v>0.12178905568005169</v>
      </c>
      <c r="AA370" s="8">
        <f t="shared" si="71"/>
        <v>29.833333333333179</v>
      </c>
      <c r="AB370" s="1">
        <v>29.92</v>
      </c>
      <c r="AC370" s="1">
        <v>7.6239515959999997E-3</v>
      </c>
      <c r="AD370" s="8">
        <f t="shared" si="67"/>
        <v>0.69769765167867348</v>
      </c>
      <c r="AE370" s="3">
        <f t="shared" si="68"/>
        <v>9.1513914128826465E-3</v>
      </c>
      <c r="AF370" s="11">
        <f t="shared" si="69"/>
        <v>29.833333333333179</v>
      </c>
      <c r="AG370" s="1">
        <f t="shared" si="70"/>
        <v>0.12178905568005169</v>
      </c>
    </row>
    <row r="371" spans="2:33" ht="15" x14ac:dyDescent="0.25">
      <c r="B371" s="1">
        <v>360</v>
      </c>
      <c r="C371" s="1">
        <v>1.0006126649303446</v>
      </c>
      <c r="D371" s="1">
        <v>1.1851441894099377</v>
      </c>
      <c r="E371" s="1">
        <v>0.84293225764660284</v>
      </c>
      <c r="G371" s="1">
        <v>1.0008264795938526</v>
      </c>
      <c r="H371" s="1">
        <v>4.1884421146301154</v>
      </c>
      <c r="I371" s="1">
        <v>0.20043609808336244</v>
      </c>
      <c r="K371" s="1">
        <v>1.0000309751554386</v>
      </c>
      <c r="L371" s="1">
        <v>1.5205659790465103</v>
      </c>
      <c r="M371" s="1">
        <v>0.64980005934199436</v>
      </c>
      <c r="O371" s="1">
        <v>7.5535379815800307E-3</v>
      </c>
      <c r="P371" s="1">
        <v>0.79723471976956639</v>
      </c>
      <c r="R371" s="1">
        <v>0.14661741227762642</v>
      </c>
      <c r="S371" s="2">
        <f t="shared" si="72"/>
        <v>0.66820084284360304</v>
      </c>
      <c r="T371" s="4">
        <f t="shared" si="73"/>
        <v>0.44649236637690148</v>
      </c>
      <c r="U371" s="1">
        <f t="shared" si="64"/>
        <v>0.4016085112182779</v>
      </c>
      <c r="V371" s="6">
        <f>2*sigma/alpha*corel*(B371/12-1/alpha*(1-EXP(-alpha*Output!B371/12)))</f>
        <v>1.5662319122256321</v>
      </c>
      <c r="W371" s="5">
        <f t="shared" si="74"/>
        <v>-4.4883855158623587E-2</v>
      </c>
      <c r="X371" s="1">
        <f t="shared" si="75"/>
        <v>7.8391450219087906</v>
      </c>
      <c r="Y371" s="3">
        <f t="shared" si="65"/>
        <v>2.0560256815876275E-2</v>
      </c>
      <c r="Z371" s="1">
        <f t="shared" si="66"/>
        <v>0.1219962248564686</v>
      </c>
      <c r="AA371" s="8">
        <f t="shared" si="71"/>
        <v>29.916666666666512</v>
      </c>
      <c r="AB371" s="1">
        <v>30</v>
      </c>
      <c r="AC371" s="1">
        <v>7.6234390999999997E-3</v>
      </c>
      <c r="AD371" s="8">
        <f t="shared" si="67"/>
        <v>0.69901118419968955</v>
      </c>
      <c r="AE371" s="3">
        <f t="shared" si="68"/>
        <v>9.1692368107156464E-3</v>
      </c>
      <c r="AF371" s="11">
        <f t="shared" si="69"/>
        <v>29.916666666666512</v>
      </c>
      <c r="AG371" s="1">
        <f t="shared" si="70"/>
        <v>0.1219962248564686</v>
      </c>
    </row>
    <row r="372" spans="2:33" ht="15" x14ac:dyDescent="0.25">
      <c r="B372" s="1">
        <v>361</v>
      </c>
      <c r="C372" s="1">
        <v>1.0006169931427888</v>
      </c>
      <c r="D372" s="1">
        <v>1.1843681475512557</v>
      </c>
      <c r="E372" s="1">
        <v>0.84348288759486589</v>
      </c>
      <c r="G372" s="1">
        <v>1.0010028567832991</v>
      </c>
      <c r="H372" s="1">
        <v>4.1606918142516598</v>
      </c>
      <c r="I372" s="1">
        <v>0.20167532522239243</v>
      </c>
      <c r="K372" s="1">
        <v>1.000030279799315</v>
      </c>
      <c r="L372" s="1">
        <v>1.5213688315742271</v>
      </c>
      <c r="M372" s="1">
        <v>0.64944325248503432</v>
      </c>
      <c r="O372" s="1">
        <v>7.5529285632897139E-3</v>
      </c>
      <c r="P372" s="1">
        <v>0.79674765602262654</v>
      </c>
      <c r="R372" s="1">
        <v>0.14703753427128743</v>
      </c>
      <c r="S372" s="2">
        <f t="shared" si="72"/>
        <v>0.67028541266547159</v>
      </c>
      <c r="T372" s="4">
        <f t="shared" si="73"/>
        <v>0.44928253443212157</v>
      </c>
      <c r="U372" s="1">
        <f t="shared" si="64"/>
        <v>0.40415554597481451</v>
      </c>
      <c r="V372" s="6">
        <f>2*sigma/alpha*corel*(B372/12-1/alpha*(1-EXP(-alpha*Output!B372/12)))</f>
        <v>1.5735163624458233</v>
      </c>
      <c r="W372" s="5">
        <f t="shared" si="74"/>
        <v>-4.512698845730706E-2</v>
      </c>
      <c r="X372" s="1">
        <f t="shared" si="75"/>
        <v>7.906234687247351</v>
      </c>
      <c r="Y372" s="3">
        <f t="shared" si="65"/>
        <v>2.0580937137071556E-2</v>
      </c>
      <c r="Z372" s="1">
        <f t="shared" si="66"/>
        <v>0.12220719897988087</v>
      </c>
      <c r="AA372" s="8">
        <f t="shared" si="71"/>
        <v>29.999999999999844</v>
      </c>
      <c r="AB372" s="1">
        <v>30.08</v>
      </c>
      <c r="AC372" s="1">
        <v>7.6229308300000001E-3</v>
      </c>
      <c r="AD372" s="8">
        <f t="shared" si="67"/>
        <v>0.70002266710286232</v>
      </c>
      <c r="AE372" s="3">
        <f t="shared" si="68"/>
        <v>9.1831171332150512E-3</v>
      </c>
      <c r="AF372" s="11">
        <f t="shared" si="69"/>
        <v>29.999999999999844</v>
      </c>
      <c r="AG372" s="1">
        <f t="shared" si="70"/>
        <v>0.12220719897988087</v>
      </c>
    </row>
    <row r="373" spans="2:33" ht="15" x14ac:dyDescent="0.25">
      <c r="B373" s="1">
        <v>362</v>
      </c>
      <c r="C373" s="1">
        <v>1.0006187062490042</v>
      </c>
      <c r="D373" s="1">
        <v>1.1838333013184272</v>
      </c>
      <c r="E373" s="1">
        <v>0.84386227151949256</v>
      </c>
      <c r="G373" s="1">
        <v>1.0009673673807495</v>
      </c>
      <c r="H373" s="1">
        <v>4.163979269475341</v>
      </c>
      <c r="I373" s="1">
        <v>0.20141861826441443</v>
      </c>
      <c r="K373" s="1">
        <v>1.0000359228014135</v>
      </c>
      <c r="L373" s="1">
        <v>1.5365599231797118</v>
      </c>
      <c r="M373" s="1">
        <v>0.64300306003417329</v>
      </c>
      <c r="O373" s="1">
        <v>7.5523262955308618E-3</v>
      </c>
      <c r="P373" s="1">
        <v>0.79626079895951773</v>
      </c>
      <c r="R373" s="1">
        <v>0.1474279137404706</v>
      </c>
      <c r="S373" s="2">
        <f t="shared" si="72"/>
        <v>0.67227801860322267</v>
      </c>
      <c r="T373" s="4">
        <f t="shared" si="73"/>
        <v>0.45195773429707503</v>
      </c>
      <c r="U373" s="1">
        <f t="shared" si="64"/>
        <v>0.40670987506011569</v>
      </c>
      <c r="V373" s="6">
        <f>2*sigma/alpha*corel*(B373/12-1/alpha*(1-EXP(-alpha*Output!B373/12)))</f>
        <v>1.5808112360056197</v>
      </c>
      <c r="W373" s="5">
        <f t="shared" si="74"/>
        <v>-4.5247859236959342E-2</v>
      </c>
      <c r="X373" s="1">
        <f t="shared" si="75"/>
        <v>7.9588725118080417</v>
      </c>
      <c r="Y373" s="3">
        <f t="shared" si="65"/>
        <v>2.0558057553387854E-2</v>
      </c>
      <c r="Z373" s="1">
        <f t="shared" si="66"/>
        <v>0.12240107982097014</v>
      </c>
      <c r="AA373" s="8">
        <f t="shared" si="71"/>
        <v>30.083333333333176</v>
      </c>
      <c r="AB373" s="1">
        <v>30.17</v>
      </c>
      <c r="AC373" s="1">
        <v>7.6224275019999999E-3</v>
      </c>
      <c r="AD373" s="8">
        <f t="shared" si="67"/>
        <v>0.70101206469138155</v>
      </c>
      <c r="AE373" s="3">
        <f t="shared" si="68"/>
        <v>9.1967036027229832E-3</v>
      </c>
      <c r="AF373" s="11">
        <f t="shared" si="69"/>
        <v>30.083333333333176</v>
      </c>
      <c r="AG373" s="1">
        <f t="shared" si="70"/>
        <v>0.12240107982097014</v>
      </c>
    </row>
    <row r="374" spans="2:33" ht="15" x14ac:dyDescent="0.25">
      <c r="B374" s="1">
        <v>363</v>
      </c>
      <c r="C374" s="1">
        <v>1.0006169154748921</v>
      </c>
      <c r="D374" s="1">
        <v>1.1872172176202285</v>
      </c>
      <c r="E374" s="1">
        <v>0.84145532444194227</v>
      </c>
      <c r="G374" s="1">
        <v>1.0006552265154487</v>
      </c>
      <c r="H374" s="1">
        <v>4.2463667231101745</v>
      </c>
      <c r="I374" s="1">
        <v>0.19741517340234624</v>
      </c>
      <c r="K374" s="1">
        <v>1.0000372624814993</v>
      </c>
      <c r="L374" s="1">
        <v>1.5310669889882262</v>
      </c>
      <c r="M374" s="1">
        <v>0.64528996311319176</v>
      </c>
      <c r="O374" s="1">
        <v>7.5517741319940414E-3</v>
      </c>
      <c r="P374" s="1">
        <v>0.79577311315471477</v>
      </c>
      <c r="R374" s="1">
        <v>0.14785786508932397</v>
      </c>
      <c r="S374" s="2">
        <f t="shared" si="72"/>
        <v>0.67439845659948539</v>
      </c>
      <c r="T374" s="4">
        <f t="shared" si="73"/>
        <v>0.45481327826376799</v>
      </c>
      <c r="U374" s="1">
        <f t="shared" si="64"/>
        <v>0.40927148457825258</v>
      </c>
      <c r="V374" s="6">
        <f>2*sigma/alpha*corel*(B374/12-1/alpha*(1-EXP(-alpha*Output!B374/12)))</f>
        <v>1.588116498218398</v>
      </c>
      <c r="W374" s="5">
        <f t="shared" si="74"/>
        <v>-4.5541793685515419E-2</v>
      </c>
      <c r="X374" s="1">
        <f t="shared" si="75"/>
        <v>8.0326710478608323</v>
      </c>
      <c r="Y374" s="3">
        <f t="shared" si="65"/>
        <v>2.0596367302764484E-2</v>
      </c>
      <c r="Z374" s="1">
        <f t="shared" si="66"/>
        <v>0.12261790119990644</v>
      </c>
      <c r="AA374" s="8">
        <f t="shared" si="71"/>
        <v>30.166666666666508</v>
      </c>
      <c r="AB374" s="1">
        <v>30.25</v>
      </c>
      <c r="AC374" s="1">
        <v>7.6219290380000002E-3</v>
      </c>
      <c r="AD374" s="8">
        <f t="shared" si="67"/>
        <v>0.7015490600595885</v>
      </c>
      <c r="AE374" s="3">
        <f t="shared" si="68"/>
        <v>9.2043504546150366E-3</v>
      </c>
      <c r="AF374" s="11">
        <f t="shared" si="69"/>
        <v>30.166666666666508</v>
      </c>
      <c r="AG374" s="1">
        <f t="shared" si="70"/>
        <v>0.12261790119990644</v>
      </c>
    </row>
    <row r="375" spans="2:33" ht="15" x14ac:dyDescent="0.25">
      <c r="B375" s="1">
        <v>364</v>
      </c>
      <c r="C375" s="1">
        <v>1.0006185879839924</v>
      </c>
      <c r="D375" s="1">
        <v>1.1904101312898996</v>
      </c>
      <c r="E375" s="1">
        <v>0.83919668433553807</v>
      </c>
      <c r="G375" s="1">
        <v>1.0006250756927177</v>
      </c>
      <c r="H375" s="1">
        <v>4.3498086283575006</v>
      </c>
      <c r="I375" s="1">
        <v>0.19262725381016213</v>
      </c>
      <c r="K375" s="1">
        <v>1.0000247998432228</v>
      </c>
      <c r="L375" s="1">
        <v>1.5227951822202217</v>
      </c>
      <c r="M375" s="1">
        <v>0.64875958707284886</v>
      </c>
      <c r="O375" s="1">
        <v>7.5512877530102326E-3</v>
      </c>
      <c r="P375" s="1">
        <v>0.79528421226755985</v>
      </c>
      <c r="R375" s="1">
        <v>0.14826069831361421</v>
      </c>
      <c r="S375" s="2">
        <f t="shared" si="72"/>
        <v>0.6764373790139373</v>
      </c>
      <c r="T375" s="4">
        <f t="shared" si="73"/>
        <v>0.45756752772724507</v>
      </c>
      <c r="U375" s="1">
        <f t="shared" si="64"/>
        <v>0.4118403606105816</v>
      </c>
      <c r="V375" s="6">
        <f>2*sigma/alpha*corel*(B375/12-1/alpha*(1-EXP(-alpha*Output!B375/12)))</f>
        <v>1.5954321145129655</v>
      </c>
      <c r="W375" s="5">
        <f t="shared" si="74"/>
        <v>-4.572716711666347E-2</v>
      </c>
      <c r="X375" s="1">
        <f t="shared" si="75"/>
        <v>8.0936332421744801</v>
      </c>
      <c r="Y375" s="3">
        <f t="shared" si="65"/>
        <v>2.0596137930015752E-2</v>
      </c>
      <c r="Z375" s="1">
        <f t="shared" si="66"/>
        <v>0.12281955777166705</v>
      </c>
      <c r="AA375" s="8">
        <f t="shared" si="71"/>
        <v>30.24999999999984</v>
      </c>
      <c r="AB375" s="1">
        <v>30.33</v>
      </c>
      <c r="AC375" s="1">
        <v>7.6214351680000004E-3</v>
      </c>
      <c r="AD375" s="8">
        <f t="shared" si="67"/>
        <v>0.7014741498976782</v>
      </c>
      <c r="AE375" s="3">
        <f t="shared" si="68"/>
        <v>9.2039640098619049E-3</v>
      </c>
      <c r="AF375" s="11">
        <f t="shared" si="69"/>
        <v>30.24999999999984</v>
      </c>
      <c r="AG375" s="1">
        <f t="shared" si="70"/>
        <v>0.12281955777166705</v>
      </c>
    </row>
    <row r="376" spans="2:33" ht="15" x14ac:dyDescent="0.25">
      <c r="B376" s="1">
        <v>365</v>
      </c>
      <c r="C376" s="1">
        <v>1.0006207299551031</v>
      </c>
      <c r="D376" s="1">
        <v>1.188478603690571</v>
      </c>
      <c r="E376" s="1">
        <v>0.84055885707402089</v>
      </c>
      <c r="G376" s="1">
        <v>1.0006216170045428</v>
      </c>
      <c r="H376" s="1">
        <v>4.2865640588706118</v>
      </c>
      <c r="I376" s="1">
        <v>0.19537474348695011</v>
      </c>
      <c r="K376" s="1">
        <v>1.000032161735787</v>
      </c>
      <c r="L376" s="1">
        <v>1.522547192318056</v>
      </c>
      <c r="M376" s="1">
        <v>0.64885506142334803</v>
      </c>
      <c r="O376" s="1">
        <v>7.5509038743891716E-3</v>
      </c>
      <c r="P376" s="1">
        <v>0.79479319823016403</v>
      </c>
      <c r="R376" s="1">
        <v>0.14861849811192107</v>
      </c>
      <c r="S376" s="2">
        <f t="shared" si="72"/>
        <v>0.67833955597146356</v>
      </c>
      <c r="T376" s="4">
        <f t="shared" si="73"/>
        <v>0.46014455319556236</v>
      </c>
      <c r="U376" s="1">
        <f t="shared" si="64"/>
        <v>0.4144164892162796</v>
      </c>
      <c r="V376" s="6">
        <f>2*sigma/alpha*corel*(B376/12-1/alpha*(1-EXP(-alpha*Output!B376/12)))</f>
        <v>1.6027580504331764</v>
      </c>
      <c r="W376" s="5">
        <f t="shared" si="74"/>
        <v>-4.5728063979282751E-2</v>
      </c>
      <c r="X376" s="1">
        <f t="shared" si="75"/>
        <v>8.1324144857077574</v>
      </c>
      <c r="Y376" s="3">
        <f t="shared" si="65"/>
        <v>2.0531191275065315E-2</v>
      </c>
      <c r="Z376" s="1">
        <f t="shared" si="66"/>
        <v>0.12299609792615206</v>
      </c>
      <c r="AA376" s="8">
        <f t="shared" si="71"/>
        <v>30.333333333333172</v>
      </c>
      <c r="AB376" s="1">
        <v>30.42</v>
      </c>
      <c r="AC376" s="1">
        <v>7.6209456179999998E-3</v>
      </c>
      <c r="AD376" s="8">
        <f t="shared" si="67"/>
        <v>0.70041743610828144</v>
      </c>
      <c r="AE376" s="3">
        <f t="shared" si="68"/>
        <v>9.1906893345880519E-3</v>
      </c>
      <c r="AF376" s="11">
        <f t="shared" si="69"/>
        <v>30.333333333333172</v>
      </c>
      <c r="AG376" s="1">
        <f t="shared" si="70"/>
        <v>0.12299609792615206</v>
      </c>
    </row>
    <row r="377" spans="2:33" ht="15" x14ac:dyDescent="0.25">
      <c r="B377" s="1">
        <v>366</v>
      </c>
      <c r="C377" s="1">
        <v>1.000620724393481</v>
      </c>
      <c r="D377" s="1">
        <v>1.1888306291138808</v>
      </c>
      <c r="E377" s="1">
        <v>0.840308258252355</v>
      </c>
      <c r="G377" s="1">
        <v>1.0004614185535128</v>
      </c>
      <c r="H377" s="1">
        <v>4.2938509509912359</v>
      </c>
      <c r="I377" s="1">
        <v>0.19494882843915132</v>
      </c>
      <c r="K377" s="1">
        <v>1.0000299143724198</v>
      </c>
      <c r="L377" s="1">
        <v>1.51830088013918</v>
      </c>
      <c r="M377" s="1">
        <v>0.65064225100034867</v>
      </c>
      <c r="O377" s="1">
        <v>7.5504823771364521E-3</v>
      </c>
      <c r="P377" s="1">
        <v>0.79430344952561127</v>
      </c>
      <c r="R377" s="1">
        <v>0.14901436672891913</v>
      </c>
      <c r="S377" s="2">
        <f t="shared" si="72"/>
        <v>0.6803616608116323</v>
      </c>
      <c r="T377" s="4">
        <f t="shared" si="73"/>
        <v>0.4628919895023626</v>
      </c>
      <c r="U377" s="1">
        <f t="shared" ref="U377:U440" si="76">sigma*sigma/alpha/alpha*(B377/12+2/alpha*EXP(-alpha*B377/12)-1/2/alpha*EXP(-2*alpha*B377/12)-3/2/alpha)</f>
        <v>0.41699985643287185</v>
      </c>
      <c r="V377" s="6">
        <f>2*sigma/alpha*corel*(B377/12-1/alpha*(1-EXP(-alpha*Output!B377/12)))</f>
        <v>1.6100942716375446</v>
      </c>
      <c r="W377" s="5">
        <f t="shared" si="74"/>
        <v>-4.5892133069490748E-2</v>
      </c>
      <c r="X377" s="1">
        <f t="shared" si="75"/>
        <v>8.191243798037906</v>
      </c>
      <c r="Y377" s="3">
        <f t="shared" si="65"/>
        <v>2.0523616942085193E-2</v>
      </c>
      <c r="Z377" s="1">
        <f t="shared" si="66"/>
        <v>0.12319410108061614</v>
      </c>
      <c r="AA377" s="8">
        <f t="shared" si="71"/>
        <v>30.416666666666504</v>
      </c>
      <c r="AB377" s="1">
        <v>30.5</v>
      </c>
      <c r="AC377" s="1">
        <v>7.6204601140000003E-3</v>
      </c>
      <c r="AD377" s="8">
        <f t="shared" si="67"/>
        <v>0.6997773686354819</v>
      </c>
      <c r="AE377" s="3">
        <f t="shared" si="68"/>
        <v>9.1828755503867709E-3</v>
      </c>
      <c r="AF377" s="11">
        <f t="shared" si="69"/>
        <v>30.416666666666504</v>
      </c>
      <c r="AG377" s="1">
        <f t="shared" si="70"/>
        <v>0.12319410108061614</v>
      </c>
    </row>
    <row r="378" spans="2:33" ht="15" x14ac:dyDescent="0.25">
      <c r="B378" s="1">
        <v>367</v>
      </c>
      <c r="C378" s="1">
        <v>1.0006243268464694</v>
      </c>
      <c r="D378" s="1">
        <v>1.1872407866248715</v>
      </c>
      <c r="E378" s="1">
        <v>0.84143181410587597</v>
      </c>
      <c r="G378" s="1">
        <v>1.0005923339575375</v>
      </c>
      <c r="H378" s="1">
        <v>4.2398030953434453</v>
      </c>
      <c r="I378" s="1">
        <v>0.1973384723288715</v>
      </c>
      <c r="K378" s="1">
        <v>1.0000325681437667</v>
      </c>
      <c r="L378" s="1">
        <v>1.5139909516304273</v>
      </c>
      <c r="M378" s="1">
        <v>0.65248167626949494</v>
      </c>
      <c r="O378" s="1">
        <v>7.5500833737698111E-3</v>
      </c>
      <c r="P378" s="1">
        <v>0.79381351227283703</v>
      </c>
      <c r="R378" s="1">
        <v>0.14938926084976287</v>
      </c>
      <c r="S378" s="2">
        <f t="shared" si="72"/>
        <v>0.68231976978265774</v>
      </c>
      <c r="T378" s="4">
        <f t="shared" si="73"/>
        <v>0.46556026823625907</v>
      </c>
      <c r="U378" s="1">
        <f t="shared" si="76"/>
        <v>0.41959044827675473</v>
      </c>
      <c r="V378" s="6">
        <f>2*sigma/alpha*corel*(B378/12-1/alpha*(1-EXP(-alpha*Output!B378/12)))</f>
        <v>1.6174407438988667</v>
      </c>
      <c r="W378" s="5">
        <f t="shared" si="74"/>
        <v>-4.5969819959504332E-2</v>
      </c>
      <c r="X378" s="1">
        <f t="shared" si="75"/>
        <v>8.2397558684034831</v>
      </c>
      <c r="Y378" s="3">
        <f t="shared" si="65"/>
        <v>2.0485941433763116E-2</v>
      </c>
      <c r="Z378" s="1">
        <f t="shared" si="66"/>
        <v>0.12338022155270834</v>
      </c>
      <c r="AA378" s="8">
        <f t="shared" si="71"/>
        <v>30.499999999999837</v>
      </c>
      <c r="AB378" s="1">
        <v>30.58</v>
      </c>
      <c r="AC378" s="1">
        <v>7.6199783859999997E-3</v>
      </c>
      <c r="AD378" s="8">
        <f t="shared" si="67"/>
        <v>0.69895012230188591</v>
      </c>
      <c r="AE378" s="3">
        <f t="shared" si="68"/>
        <v>9.1725998014121658E-3</v>
      </c>
      <c r="AF378" s="11">
        <f t="shared" si="69"/>
        <v>30.499999999999837</v>
      </c>
      <c r="AG378" s="1">
        <f t="shared" si="70"/>
        <v>0.12338022155270834</v>
      </c>
    </row>
    <row r="379" spans="2:33" ht="15" x14ac:dyDescent="0.25">
      <c r="B379" s="1">
        <v>368</v>
      </c>
      <c r="C379" s="1">
        <v>1.0006254464729232</v>
      </c>
      <c r="D379" s="1">
        <v>1.1850116655668501</v>
      </c>
      <c r="E379" s="1">
        <v>0.84301291553178126</v>
      </c>
      <c r="G379" s="1">
        <v>1.0005112952812831</v>
      </c>
      <c r="H379" s="1">
        <v>4.165606566946396</v>
      </c>
      <c r="I379" s="1">
        <v>0.20075624079323337</v>
      </c>
      <c r="K379" s="1">
        <v>1.0000312734811017</v>
      </c>
      <c r="L379" s="1">
        <v>1.5253548786174749</v>
      </c>
      <c r="M379" s="1">
        <v>0.64759789162414649</v>
      </c>
      <c r="O379" s="1">
        <v>7.5497573882029774E-3</v>
      </c>
      <c r="P379" s="1">
        <v>0.79332215355766567</v>
      </c>
      <c r="R379" s="1">
        <v>0.14977502858096597</v>
      </c>
      <c r="S379" s="2">
        <f t="shared" si="72"/>
        <v>0.68431634905700967</v>
      </c>
      <c r="T379" s="4">
        <f t="shared" si="73"/>
        <v>0.46828886558671512</v>
      </c>
      <c r="U379" s="1">
        <f t="shared" si="76"/>
        <v>0.42218825074372113</v>
      </c>
      <c r="V379" s="6">
        <f>2*sigma/alpha*corel*(B379/12-1/alpha*(1-EXP(-alpha*Output!B379/12)))</f>
        <v>1.6247974331038408</v>
      </c>
      <c r="W379" s="5">
        <f t="shared" si="74"/>
        <v>-4.6100614842993992E-2</v>
      </c>
      <c r="X379" s="1">
        <f t="shared" si="75"/>
        <v>8.2949754526947608</v>
      </c>
      <c r="Y379" s="3">
        <f t="shared" si="65"/>
        <v>2.0466888100192419E-2</v>
      </c>
      <c r="Z379" s="1">
        <f t="shared" si="66"/>
        <v>0.12357301119265067</v>
      </c>
      <c r="AA379" s="8">
        <f t="shared" si="71"/>
        <v>30.583333333333169</v>
      </c>
      <c r="AB379" s="1">
        <v>30.67</v>
      </c>
      <c r="AC379" s="1">
        <v>7.6195001590000002E-3</v>
      </c>
      <c r="AD379" s="8">
        <f t="shared" si="67"/>
        <v>0.69742770797022802</v>
      </c>
      <c r="AE379" s="3">
        <f t="shared" si="68"/>
        <v>9.1531950051400735E-3</v>
      </c>
      <c r="AF379" s="11">
        <f t="shared" si="69"/>
        <v>30.583333333333169</v>
      </c>
      <c r="AG379" s="1">
        <f t="shared" si="70"/>
        <v>0.12357301119265067</v>
      </c>
    </row>
    <row r="380" spans="2:33" ht="15" x14ac:dyDescent="0.25">
      <c r="B380" s="1">
        <v>369</v>
      </c>
      <c r="C380" s="1">
        <v>1.0006296422167258</v>
      </c>
      <c r="D380" s="1">
        <v>1.1914761519318924</v>
      </c>
      <c r="E380" s="1">
        <v>0.83843734799245018</v>
      </c>
      <c r="G380" s="1">
        <v>1.000694636058286</v>
      </c>
      <c r="H380" s="1">
        <v>4.3738849277210194</v>
      </c>
      <c r="I380" s="1">
        <v>0.19110401228614463</v>
      </c>
      <c r="K380" s="1">
        <v>1.000024986147851</v>
      </c>
      <c r="L380" s="1">
        <v>1.5331250743258809</v>
      </c>
      <c r="M380" s="1">
        <v>0.64428189791198598</v>
      </c>
      <c r="O380" s="1">
        <v>7.5494288005118169E-3</v>
      </c>
      <c r="P380" s="1">
        <v>0.79283120550009756</v>
      </c>
      <c r="R380" s="1">
        <v>0.15018168358264844</v>
      </c>
      <c r="S380" s="2">
        <f t="shared" si="72"/>
        <v>0.68638022994318426</v>
      </c>
      <c r="T380" s="4">
        <f t="shared" si="73"/>
        <v>0.47111782005685848</v>
      </c>
      <c r="U380" s="1">
        <f t="shared" si="76"/>
        <v>0.4247932498094662</v>
      </c>
      <c r="V380" s="6">
        <f>2*sigma/alpha*corel*(B380/12-1/alpha*(1-EXP(-alpha*Output!B380/12)))</f>
        <v>1.6321643052526857</v>
      </c>
      <c r="W380" s="5">
        <f t="shared" si="74"/>
        <v>-4.6324570247392283E-2</v>
      </c>
      <c r="X380" s="1">
        <f t="shared" si="75"/>
        <v>8.3618824597702339</v>
      </c>
      <c r="Y380" s="3">
        <f t="shared" si="65"/>
        <v>2.048012465929935E-2</v>
      </c>
      <c r="Z380" s="1">
        <f t="shared" si="66"/>
        <v>0.12377764223516381</v>
      </c>
      <c r="AA380" s="8">
        <f t="shared" si="71"/>
        <v>30.666666666666501</v>
      </c>
      <c r="AB380" s="1">
        <v>30.75</v>
      </c>
      <c r="AC380" s="1">
        <v>7.619025162E-3</v>
      </c>
      <c r="AD380" s="8">
        <f t="shared" si="67"/>
        <v>0.69596361488183034</v>
      </c>
      <c r="AE380" s="3">
        <f t="shared" si="68"/>
        <v>9.1345493692941079E-3</v>
      </c>
      <c r="AF380" s="11">
        <f t="shared" si="69"/>
        <v>30.666666666666501</v>
      </c>
      <c r="AG380" s="1">
        <f t="shared" si="70"/>
        <v>0.12377764223516381</v>
      </c>
    </row>
    <row r="381" spans="2:33" ht="15" x14ac:dyDescent="0.25">
      <c r="B381" s="1">
        <v>370</v>
      </c>
      <c r="C381" s="1">
        <v>1.0006327933216967</v>
      </c>
      <c r="D381" s="1">
        <v>1.1956080333306365</v>
      </c>
      <c r="E381" s="1">
        <v>0.83553810178758647</v>
      </c>
      <c r="G381" s="1">
        <v>1.0007811426711604</v>
      </c>
      <c r="H381" s="1">
        <v>4.5111444375986531</v>
      </c>
      <c r="I381" s="1">
        <v>0.18519970026176927</v>
      </c>
      <c r="K381" s="1">
        <v>1.0000298899409963</v>
      </c>
      <c r="L381" s="1">
        <v>1.5404792322221659</v>
      </c>
      <c r="M381" s="1">
        <v>0.64119209852520564</v>
      </c>
      <c r="O381" s="1">
        <v>7.5492125244951032E-3</v>
      </c>
      <c r="P381" s="1">
        <v>0.79233786083252611</v>
      </c>
      <c r="R381" s="1">
        <v>0.15053356405065918</v>
      </c>
      <c r="S381" s="2">
        <f t="shared" si="72"/>
        <v>0.68827663560412078</v>
      </c>
      <c r="T381" s="4">
        <f t="shared" si="73"/>
        <v>0.47372472711852764</v>
      </c>
      <c r="U381" s="1">
        <f t="shared" si="76"/>
        <v>0.4274054314301039</v>
      </c>
      <c r="V381" s="6">
        <f>2*sigma/alpha*corel*(B381/12-1/alpha*(1-EXP(-alpha*Output!B381/12)))</f>
        <v>1.6395413264587635</v>
      </c>
      <c r="W381" s="5">
        <f t="shared" si="74"/>
        <v>-4.6319295688423745E-2</v>
      </c>
      <c r="X381" s="1">
        <f t="shared" si="75"/>
        <v>8.4008088960717568</v>
      </c>
      <c r="Y381" s="3">
        <f t="shared" si="65"/>
        <v>2.0414165955402536E-2</v>
      </c>
      <c r="Z381" s="1">
        <f t="shared" si="66"/>
        <v>0.12395178580336849</v>
      </c>
      <c r="AA381" s="8">
        <f t="shared" si="71"/>
        <v>30.749999999999833</v>
      </c>
      <c r="AB381" s="1">
        <v>30.83</v>
      </c>
      <c r="AC381" s="1">
        <v>7.6185531210000001E-3</v>
      </c>
      <c r="AD381" s="8">
        <f t="shared" si="67"/>
        <v>0.6934059650489689</v>
      </c>
      <c r="AE381" s="3">
        <f t="shared" si="68"/>
        <v>9.101544007583862E-3</v>
      </c>
      <c r="AF381" s="11">
        <f t="shared" si="69"/>
        <v>30.749999999999833</v>
      </c>
      <c r="AG381" s="1">
        <f t="shared" si="70"/>
        <v>0.12395178580336849</v>
      </c>
    </row>
    <row r="382" spans="2:33" ht="15" x14ac:dyDescent="0.25">
      <c r="B382" s="1">
        <v>371</v>
      </c>
      <c r="C382" s="1">
        <v>1.0006321254683552</v>
      </c>
      <c r="D382" s="1">
        <v>1.1921553526955522</v>
      </c>
      <c r="E382" s="1">
        <v>0.83795624608429398</v>
      </c>
      <c r="G382" s="1">
        <v>1.000561526063199</v>
      </c>
      <c r="H382" s="1">
        <v>4.3933376523582233</v>
      </c>
      <c r="I382" s="1">
        <v>0.19007381111448385</v>
      </c>
      <c r="K382" s="1">
        <v>1.0000230256008693</v>
      </c>
      <c r="L382" s="1">
        <v>1.5414107097749088</v>
      </c>
      <c r="M382" s="1">
        <v>0.6407749608427733</v>
      </c>
      <c r="O382" s="1">
        <v>7.5490356135765255E-3</v>
      </c>
      <c r="P382" s="1">
        <v>0.7918438879905213</v>
      </c>
      <c r="R382" s="1">
        <v>0.15094306987009642</v>
      </c>
      <c r="S382" s="2">
        <f t="shared" si="72"/>
        <v>0.69035826135782496</v>
      </c>
      <c r="T382" s="4">
        <f t="shared" si="73"/>
        <v>0.47659452902499894</v>
      </c>
      <c r="U382" s="1">
        <f t="shared" si="76"/>
        <v>0.43002478154267276</v>
      </c>
      <c r="V382" s="6">
        <f>2*sigma/alpha*corel*(B382/12-1/alpha*(1-EXP(-alpha*Output!B382/12)))</f>
        <v>1.6469284629482055</v>
      </c>
      <c r="W382" s="5">
        <f t="shared" si="74"/>
        <v>-4.6569747482326174E-2</v>
      </c>
      <c r="X382" s="1">
        <f t="shared" si="75"/>
        <v>8.4714988007166081</v>
      </c>
      <c r="Y382" s="3">
        <f t="shared" si="65"/>
        <v>2.043647652037232E-2</v>
      </c>
      <c r="Z382" s="1">
        <f t="shared" si="66"/>
        <v>0.12415899671155711</v>
      </c>
      <c r="AA382" s="8">
        <f t="shared" si="71"/>
        <v>30.833333333333165</v>
      </c>
      <c r="AB382" s="1">
        <v>30.92</v>
      </c>
      <c r="AC382" s="1">
        <v>7.6180837650000003E-3</v>
      </c>
      <c r="AD382" s="8">
        <f t="shared" si="67"/>
        <v>0.69048151423474824</v>
      </c>
      <c r="AE382" s="3">
        <f t="shared" si="68"/>
        <v>9.0637164874328227E-3</v>
      </c>
      <c r="AF382" s="11">
        <f t="shared" si="69"/>
        <v>30.833333333333165</v>
      </c>
      <c r="AG382" s="1">
        <f t="shared" si="70"/>
        <v>0.12415899671155711</v>
      </c>
    </row>
    <row r="383" spans="2:33" ht="15" x14ac:dyDescent="0.25">
      <c r="B383" s="1">
        <v>372</v>
      </c>
      <c r="C383" s="1">
        <v>1.0006264997715089</v>
      </c>
      <c r="D383" s="1">
        <v>1.1945436985859177</v>
      </c>
      <c r="E383" s="1">
        <v>0.8362791410913033</v>
      </c>
      <c r="G383" s="1">
        <v>0.99994900039924484</v>
      </c>
      <c r="H383" s="1">
        <v>4.4715948892228852</v>
      </c>
      <c r="I383" s="1">
        <v>0.18665699387792153</v>
      </c>
      <c r="K383" s="1">
        <v>1.0000293968938694</v>
      </c>
      <c r="L383" s="1">
        <v>1.5408856495559031</v>
      </c>
      <c r="M383" s="1">
        <v>0.64097680413876257</v>
      </c>
      <c r="O383" s="1">
        <v>7.5489040664158836E-3</v>
      </c>
      <c r="P383" s="1">
        <v>0.79134913358614112</v>
      </c>
      <c r="R383" s="1">
        <v>0.15135492758630559</v>
      </c>
      <c r="S383" s="2">
        <f t="shared" si="72"/>
        <v>0.69245062173250771</v>
      </c>
      <c r="T383" s="4">
        <f t="shared" si="73"/>
        <v>0.47948786353773648</v>
      </c>
      <c r="U383" s="1">
        <f t="shared" si="76"/>
        <v>0.43265128606563019</v>
      </c>
      <c r="V383" s="6">
        <f>2*sigma/alpha*corel*(B383/12-1/alpha*(1-EXP(-alpha*Output!B383/12)))</f>
        <v>1.6543256810595333</v>
      </c>
      <c r="W383" s="5">
        <f t="shared" si="74"/>
        <v>-4.6836577472106289E-2</v>
      </c>
      <c r="X383" s="1">
        <f t="shared" si="75"/>
        <v>8.5445290655542685</v>
      </c>
      <c r="Y383" s="3">
        <f t="shared" si="65"/>
        <v>2.0464144558574683E-2</v>
      </c>
      <c r="Z383" s="1">
        <f t="shared" si="66"/>
        <v>0.12436780305489512</v>
      </c>
      <c r="AA383" s="8">
        <f t="shared" si="71"/>
        <v>30.916666666666497</v>
      </c>
      <c r="AB383" s="1">
        <v>31</v>
      </c>
      <c r="AC383" s="1">
        <v>7.6176168210000004E-3</v>
      </c>
      <c r="AD383" s="8">
        <f t="shared" si="67"/>
        <v>0.68712754584116831</v>
      </c>
      <c r="AE383" s="3">
        <f t="shared" si="68"/>
        <v>9.0202429708319976E-3</v>
      </c>
      <c r="AF383" s="11">
        <f t="shared" si="69"/>
        <v>30.916666666666497</v>
      </c>
      <c r="AG383" s="1">
        <f t="shared" si="70"/>
        <v>0.12436780305489512</v>
      </c>
    </row>
    <row r="384" spans="2:33" ht="15" x14ac:dyDescent="0.25">
      <c r="B384" s="1">
        <v>373</v>
      </c>
      <c r="C384" s="1">
        <v>1.000632155189185</v>
      </c>
      <c r="D384" s="1">
        <v>1.1965520585212708</v>
      </c>
      <c r="E384" s="1">
        <v>0.83487376933623958</v>
      </c>
      <c r="G384" s="1">
        <v>1.0002137528793897</v>
      </c>
      <c r="H384" s="1">
        <v>4.540591991628526</v>
      </c>
      <c r="I384" s="1">
        <v>0.18373169927936986</v>
      </c>
      <c r="K384" s="1">
        <v>1.0000328498318196</v>
      </c>
      <c r="L384" s="1">
        <v>1.5437252312215783</v>
      </c>
      <c r="M384" s="1">
        <v>0.63978509988610743</v>
      </c>
      <c r="O384" s="1">
        <v>7.5487888474439031E-3</v>
      </c>
      <c r="P384" s="1">
        <v>0.79085430426392012</v>
      </c>
      <c r="R384" s="1">
        <v>0.1517506149015963</v>
      </c>
      <c r="S384" s="2">
        <f t="shared" si="72"/>
        <v>0.69449390516152398</v>
      </c>
      <c r="T384" s="4">
        <f t="shared" si="73"/>
        <v>0.48232178430650385</v>
      </c>
      <c r="U384" s="1">
        <f t="shared" si="76"/>
        <v>0.43528493089935605</v>
      </c>
      <c r="V384" s="6">
        <f>2*sigma/alpha*corel*(B384/12-1/alpha*(1-EXP(-alpha*Output!B384/12)))</f>
        <v>1.6617329472432876</v>
      </c>
      <c r="W384" s="5">
        <f t="shared" si="74"/>
        <v>-4.7036853407147805E-2</v>
      </c>
      <c r="X384" s="1">
        <f t="shared" si="75"/>
        <v>8.6096051615759066</v>
      </c>
      <c r="Y384" s="3">
        <f t="shared" si="65"/>
        <v>2.0468845929042183E-2</v>
      </c>
      <c r="Z384" s="1">
        <f t="shared" si="66"/>
        <v>0.1245674705651417</v>
      </c>
      <c r="AA384" s="8">
        <f t="shared" si="71"/>
        <v>30.999999999999829</v>
      </c>
      <c r="AB384" s="1">
        <v>31.08</v>
      </c>
      <c r="AC384" s="1">
        <v>7.6171520160000002E-3</v>
      </c>
      <c r="AD384" s="8">
        <f t="shared" si="67"/>
        <v>0.68363168556097131</v>
      </c>
      <c r="AE384" s="3">
        <f t="shared" si="68"/>
        <v>8.974898808964132E-3</v>
      </c>
      <c r="AF384" s="11">
        <f t="shared" si="69"/>
        <v>30.999999999999829</v>
      </c>
      <c r="AG384" s="1">
        <f t="shared" si="70"/>
        <v>0.1245674705651417</v>
      </c>
    </row>
    <row r="385" spans="2:33" ht="15" x14ac:dyDescent="0.25">
      <c r="B385" s="1">
        <v>374</v>
      </c>
      <c r="C385" s="1">
        <v>1.0006377682603484</v>
      </c>
      <c r="D385" s="1">
        <v>1.1976901702885721</v>
      </c>
      <c r="E385" s="1">
        <v>0.83407871019534219</v>
      </c>
      <c r="G385" s="1">
        <v>1.0005023901815611</v>
      </c>
      <c r="H385" s="1">
        <v>4.5787719508531479</v>
      </c>
      <c r="I385" s="1">
        <v>0.18211151558047631</v>
      </c>
      <c r="K385" s="1">
        <v>1.0000444377160662</v>
      </c>
      <c r="L385" s="1">
        <v>1.5323312096846677</v>
      </c>
      <c r="M385" s="1">
        <v>0.64450759451292428</v>
      </c>
      <c r="O385" s="1">
        <v>7.5486503620729043E-3</v>
      </c>
      <c r="P385" s="1">
        <v>0.79036037265370673</v>
      </c>
      <c r="R385" s="1">
        <v>0.15215511201987478</v>
      </c>
      <c r="S385" s="2">
        <f t="shared" si="72"/>
        <v>0.69656569350494557</v>
      </c>
      <c r="T385" s="4">
        <f t="shared" si="73"/>
        <v>0.48520376536802579</v>
      </c>
      <c r="U385" s="1">
        <f t="shared" si="76"/>
        <v>0.43792570192664115</v>
      </c>
      <c r="V385" s="6">
        <f>2*sigma/alpha*corel*(B385/12-1/alpha*(1-EXP(-alpha*Output!B385/12)))</f>
        <v>1.669150228061655</v>
      </c>
      <c r="W385" s="5">
        <f t="shared" si="74"/>
        <v>-4.7278063441384632E-2</v>
      </c>
      <c r="X385" s="1">
        <f t="shared" si="75"/>
        <v>8.6800610595308925</v>
      </c>
      <c r="Y385" s="3">
        <f t="shared" si="65"/>
        <v>2.0487338613833853E-2</v>
      </c>
      <c r="Z385" s="1">
        <f t="shared" si="66"/>
        <v>0.12477193295148563</v>
      </c>
      <c r="AA385" s="8">
        <f t="shared" si="71"/>
        <v>31.083333333333162</v>
      </c>
      <c r="AB385" s="1">
        <v>31.17</v>
      </c>
      <c r="AC385" s="1">
        <v>7.6166891319999997E-3</v>
      </c>
      <c r="AD385" s="8">
        <f t="shared" si="67"/>
        <v>0.68038769927095466</v>
      </c>
      <c r="AE385" s="3">
        <f t="shared" si="68"/>
        <v>8.9328537305328835E-3</v>
      </c>
      <c r="AF385" s="11">
        <f t="shared" si="69"/>
        <v>31.083333333333162</v>
      </c>
      <c r="AG385" s="1">
        <f t="shared" si="70"/>
        <v>0.12477193295148563</v>
      </c>
    </row>
    <row r="386" spans="2:33" ht="15" x14ac:dyDescent="0.25">
      <c r="B386" s="1">
        <v>375</v>
      </c>
      <c r="C386" s="1">
        <v>1.0006389697488911</v>
      </c>
      <c r="D386" s="1">
        <v>1.2005714693628131</v>
      </c>
      <c r="E386" s="1">
        <v>0.83207525653708825</v>
      </c>
      <c r="G386" s="1">
        <v>1.000427216351969</v>
      </c>
      <c r="H386" s="1">
        <v>4.677994924916077</v>
      </c>
      <c r="I386" s="1">
        <v>0.17816259405985665</v>
      </c>
      <c r="K386" s="1">
        <v>1.0000343367303721</v>
      </c>
      <c r="L386" s="1">
        <v>1.5351503099351833</v>
      </c>
      <c r="M386" s="1">
        <v>0.64331250284634844</v>
      </c>
      <c r="O386" s="1">
        <v>7.5484923561645939E-3</v>
      </c>
      <c r="P386" s="1">
        <v>0.78986724959367027</v>
      </c>
      <c r="R386" s="1">
        <v>0.1525187593741589</v>
      </c>
      <c r="S386" s="2">
        <f t="shared" si="72"/>
        <v>0.69850857846238057</v>
      </c>
      <c r="T386" s="4">
        <f t="shared" si="73"/>
        <v>0.48791423418553564</v>
      </c>
      <c r="U386" s="1">
        <f t="shared" si="76"/>
        <v>0.44057358501317312</v>
      </c>
      <c r="V386" s="6">
        <f>2*sigma/alpha*corel*(B386/12-1/alpha*(1-EXP(-alpha*Output!B386/12)))</f>
        <v>1.6765774901880941</v>
      </c>
      <c r="W386" s="5">
        <f t="shared" si="74"/>
        <v>-4.7340649172362526E-2</v>
      </c>
      <c r="X386" s="1">
        <f t="shared" si="75"/>
        <v>8.7284932271507252</v>
      </c>
      <c r="Y386" s="3">
        <f t="shared" si="65"/>
        <v>2.0445197706801536E-2</v>
      </c>
      <c r="Z386" s="1">
        <f t="shared" si="66"/>
        <v>0.12495301314469028</v>
      </c>
      <c r="AA386" s="8">
        <f t="shared" si="71"/>
        <v>31.166666666666494</v>
      </c>
      <c r="AB386" s="1">
        <v>31.25</v>
      </c>
      <c r="AC386" s="1">
        <v>7.6162281620000003E-3</v>
      </c>
      <c r="AD386" s="8">
        <f t="shared" si="67"/>
        <v>0.67735805835406404</v>
      </c>
      <c r="AE386" s="3">
        <f t="shared" si="68"/>
        <v>8.893615631601454E-3</v>
      </c>
      <c r="AF386" s="11">
        <f t="shared" si="69"/>
        <v>31.166666666666494</v>
      </c>
      <c r="AG386" s="1">
        <f t="shared" si="70"/>
        <v>0.12495301314469028</v>
      </c>
    </row>
    <row r="387" spans="2:33" ht="15" x14ac:dyDescent="0.25">
      <c r="B387" s="1">
        <v>376</v>
      </c>
      <c r="C387" s="1">
        <v>1.0006419333517147</v>
      </c>
      <c r="D387" s="1">
        <v>1.2031861649876956</v>
      </c>
      <c r="E387" s="1">
        <v>0.83026532303322398</v>
      </c>
      <c r="G387" s="1">
        <v>1.0005135263239175</v>
      </c>
      <c r="H387" s="1">
        <v>4.7689589327012598</v>
      </c>
      <c r="I387" s="1">
        <v>0.17467974205206269</v>
      </c>
      <c r="K387" s="1">
        <v>1.0000374247248558</v>
      </c>
      <c r="L387" s="1">
        <v>1.5458802084947902</v>
      </c>
      <c r="M387" s="1">
        <v>0.63882228891068116</v>
      </c>
      <c r="O387" s="1">
        <v>7.5483473017884141E-3</v>
      </c>
      <c r="P387" s="1">
        <v>0.78937413465182316</v>
      </c>
      <c r="R387" s="1">
        <v>0.15287790510449806</v>
      </c>
      <c r="S387" s="2">
        <f t="shared" si="72"/>
        <v>0.70043902663174173</v>
      </c>
      <c r="T387" s="4">
        <f t="shared" si="73"/>
        <v>0.49061483002882178</v>
      </c>
      <c r="U387" s="1">
        <f t="shared" si="76"/>
        <v>0.44322856600802041</v>
      </c>
      <c r="V387" s="6">
        <f>2*sigma/alpha*corel*(B387/12-1/alpha*(1-EXP(-alpha*Output!B387/12)))</f>
        <v>1.6840147004069683</v>
      </c>
      <c r="W387" s="5">
        <f t="shared" si="74"/>
        <v>-4.7386264020801372E-2</v>
      </c>
      <c r="X387" s="1">
        <f t="shared" si="75"/>
        <v>8.7749839351272101</v>
      </c>
      <c r="Y387" s="3">
        <f t="shared" si="65"/>
        <v>2.0397530373244654E-2</v>
      </c>
      <c r="Z387" s="1">
        <f t="shared" si="66"/>
        <v>0.1251316111432392</v>
      </c>
      <c r="AA387" s="8">
        <f t="shared" si="71"/>
        <v>31.249999999999826</v>
      </c>
      <c r="AB387" s="1">
        <v>31.33</v>
      </c>
      <c r="AC387" s="1">
        <v>7.6157691550000003E-3</v>
      </c>
      <c r="AD387" s="8">
        <f t="shared" si="67"/>
        <v>0.67421853211586247</v>
      </c>
      <c r="AE387" s="3">
        <f t="shared" si="68"/>
        <v>8.8529276346725402E-3</v>
      </c>
      <c r="AF387" s="11">
        <f t="shared" si="69"/>
        <v>31.249999999999826</v>
      </c>
      <c r="AG387" s="1">
        <f t="shared" si="70"/>
        <v>0.1251316111432392</v>
      </c>
    </row>
    <row r="388" spans="2:33" ht="15" x14ac:dyDescent="0.25">
      <c r="B388" s="1">
        <v>377</v>
      </c>
      <c r="C388" s="1">
        <v>1.0006387770557508</v>
      </c>
      <c r="D388" s="1">
        <v>1.2060430917835032</v>
      </c>
      <c r="E388" s="1">
        <v>0.82829684054751296</v>
      </c>
      <c r="G388" s="1">
        <v>1.0001080424613995</v>
      </c>
      <c r="H388" s="1">
        <v>4.869562136401739</v>
      </c>
      <c r="I388" s="1">
        <v>0.17098816946712281</v>
      </c>
      <c r="K388" s="1">
        <v>1.000040852624301</v>
      </c>
      <c r="L388" s="1">
        <v>1.546180557239049</v>
      </c>
      <c r="M388" s="1">
        <v>0.63868510159134817</v>
      </c>
      <c r="O388" s="1">
        <v>7.5481739909003228E-3</v>
      </c>
      <c r="P388" s="1">
        <v>0.7888820469442589</v>
      </c>
      <c r="R388" s="1">
        <v>0.15326696884531979</v>
      </c>
      <c r="S388" s="2">
        <f t="shared" si="72"/>
        <v>0.70246475494198424</v>
      </c>
      <c r="T388" s="4">
        <f t="shared" si="73"/>
        <v>0.49345673193570194</v>
      </c>
      <c r="U388" s="1">
        <f t="shared" si="76"/>
        <v>0.44589063074411284</v>
      </c>
      <c r="V388" s="6">
        <f>2*sigma/alpha*corel*(B388/12-1/alpha*(1-EXP(-alpha*Output!B388/12)))</f>
        <v>1.6914618256131773</v>
      </c>
      <c r="W388" s="5">
        <f t="shared" si="74"/>
        <v>-4.7566101191589105E-2</v>
      </c>
      <c r="X388" s="1">
        <f t="shared" si="75"/>
        <v>8.8385164905830269</v>
      </c>
      <c r="Y388" s="3">
        <f t="shared" si="65"/>
        <v>2.0395264205996463E-2</v>
      </c>
      <c r="Z388" s="1">
        <f t="shared" si="66"/>
        <v>0.12532695471787078</v>
      </c>
      <c r="AA388" s="8">
        <f t="shared" si="71"/>
        <v>31.333333333333158</v>
      </c>
      <c r="AB388" s="1">
        <v>31.42</v>
      </c>
      <c r="AC388" s="1">
        <v>7.6153121580000002E-3</v>
      </c>
      <c r="AD388" s="8">
        <f t="shared" si="67"/>
        <v>0.67138167099677415</v>
      </c>
      <c r="AE388" s="3">
        <f t="shared" si="68"/>
        <v>8.8162068352178793E-3</v>
      </c>
      <c r="AF388" s="11">
        <f t="shared" si="69"/>
        <v>31.333333333333158</v>
      </c>
      <c r="AG388" s="1">
        <f t="shared" si="70"/>
        <v>0.12532695471787078</v>
      </c>
    </row>
    <row r="389" spans="2:33" ht="15" x14ac:dyDescent="0.25">
      <c r="B389" s="1">
        <v>378</v>
      </c>
      <c r="C389" s="1">
        <v>1.0006376570804101</v>
      </c>
      <c r="D389" s="1">
        <v>1.2068476480128552</v>
      </c>
      <c r="E389" s="1">
        <v>0.82774293211987482</v>
      </c>
      <c r="G389" s="1">
        <v>0.99988238992608025</v>
      </c>
      <c r="H389" s="1">
        <v>4.9001641048872937</v>
      </c>
      <c r="I389" s="1">
        <v>0.16983813021221525</v>
      </c>
      <c r="K389" s="1">
        <v>1.0000463757017641</v>
      </c>
      <c r="L389" s="1">
        <v>1.548057955373203</v>
      </c>
      <c r="M389" s="1">
        <v>0.6378816707710312</v>
      </c>
      <c r="O389" s="1">
        <v>7.5479370977188636E-3</v>
      </c>
      <c r="P389" s="1">
        <v>0.78839186779482862</v>
      </c>
      <c r="R389" s="1">
        <v>0.15366734125486023</v>
      </c>
      <c r="S389" s="2">
        <f t="shared" si="72"/>
        <v>0.70452535246591341</v>
      </c>
      <c r="T389" s="4">
        <f t="shared" si="73"/>
        <v>0.4963559722672195</v>
      </c>
      <c r="U389" s="1">
        <f t="shared" si="76"/>
        <v>0.44855976503871053</v>
      </c>
      <c r="V389" s="6">
        <f>2*sigma/alpha*corel*(B389/12-1/alpha*(1-EXP(-alpha*Output!B389/12)))</f>
        <v>1.6989188328117826</v>
      </c>
      <c r="W389" s="5">
        <f t="shared" si="74"/>
        <v>-4.7796207228508969E-2</v>
      </c>
      <c r="X389" s="1">
        <f t="shared" si="75"/>
        <v>8.9086473112746791</v>
      </c>
      <c r="Y389" s="3">
        <f t="shared" si="65"/>
        <v>2.0409791841599002E-2</v>
      </c>
      <c r="Z389" s="1">
        <f t="shared" si="66"/>
        <v>0.12552821377255236</v>
      </c>
      <c r="AA389" s="8">
        <f t="shared" si="71"/>
        <v>31.41666666666649</v>
      </c>
      <c r="AB389" s="1">
        <v>31.5</v>
      </c>
      <c r="AC389" s="1">
        <v>7.6148572189999996E-3</v>
      </c>
      <c r="AD389" s="8">
        <f t="shared" si="67"/>
        <v>0.66920121281136002</v>
      </c>
      <c r="AE389" s="3">
        <f t="shared" si="68"/>
        <v>8.7880992849297436E-3</v>
      </c>
      <c r="AF389" s="11">
        <f t="shared" si="69"/>
        <v>31.41666666666649</v>
      </c>
      <c r="AG389" s="1">
        <f t="shared" si="70"/>
        <v>0.12552821377255236</v>
      </c>
    </row>
    <row r="390" spans="2:33" ht="15" x14ac:dyDescent="0.25">
      <c r="B390" s="1">
        <v>379</v>
      </c>
      <c r="C390" s="1">
        <v>1.0006370878776205</v>
      </c>
      <c r="D390" s="1">
        <v>1.2084128538415273</v>
      </c>
      <c r="E390" s="1">
        <v>0.82666907374985366</v>
      </c>
      <c r="G390" s="1">
        <v>0.99968136776436367</v>
      </c>
      <c r="H390" s="1">
        <v>4.9554187209658025</v>
      </c>
      <c r="I390" s="1">
        <v>0.16786312988636984</v>
      </c>
      <c r="K390" s="1">
        <v>1.0000335982546364</v>
      </c>
      <c r="L390" s="1">
        <v>1.548773453081209</v>
      </c>
      <c r="M390" s="1">
        <v>0.63757003045363014</v>
      </c>
      <c r="O390" s="1">
        <v>7.5476673285944235E-3</v>
      </c>
      <c r="P390" s="1">
        <v>0.78790284243504827</v>
      </c>
      <c r="R390" s="1">
        <v>0.15405617493273971</v>
      </c>
      <c r="S390" s="2">
        <f t="shared" si="72"/>
        <v>0.70654940017426604</v>
      </c>
      <c r="T390" s="4">
        <f t="shared" si="73"/>
        <v>0.49921205488661513</v>
      </c>
      <c r="U390" s="1">
        <f t="shared" si="76"/>
        <v>0.45123595469387645</v>
      </c>
      <c r="V390" s="6">
        <f>2*sigma/alpha*corel*(B390/12-1/alpha*(1-EXP(-alpha*Output!B390/12)))</f>
        <v>1.7063856891176497</v>
      </c>
      <c r="W390" s="5">
        <f t="shared" si="74"/>
        <v>-4.797610019273868E-2</v>
      </c>
      <c r="X390" s="1">
        <f t="shared" si="75"/>
        <v>8.9727327777081687</v>
      </c>
      <c r="Y390" s="3">
        <f t="shared" si="65"/>
        <v>2.0407382477150619E-2</v>
      </c>
      <c r="Z390" s="1">
        <f t="shared" si="66"/>
        <v>0.12572265680618072</v>
      </c>
      <c r="AA390" s="8">
        <f t="shared" si="71"/>
        <v>31.499999999999822</v>
      </c>
      <c r="AB390" s="1">
        <v>31.58</v>
      </c>
      <c r="AC390" s="1">
        <v>7.6144043860000002E-3</v>
      </c>
      <c r="AD390" s="8">
        <f t="shared" si="67"/>
        <v>0.66737057405576694</v>
      </c>
      <c r="AE390" s="3">
        <f t="shared" si="68"/>
        <v>8.7645801329229132E-3</v>
      </c>
      <c r="AF390" s="11">
        <f t="shared" si="69"/>
        <v>31.499999999999822</v>
      </c>
      <c r="AG390" s="1">
        <f t="shared" si="70"/>
        <v>0.12572265680618072</v>
      </c>
    </row>
    <row r="391" spans="2:33" ht="15" x14ac:dyDescent="0.25">
      <c r="B391" s="1">
        <v>380</v>
      </c>
      <c r="C391" s="1">
        <v>1.0006407191517819</v>
      </c>
      <c r="D391" s="1">
        <v>1.2069194140014576</v>
      </c>
      <c r="E391" s="1">
        <v>0.82769026875699669</v>
      </c>
      <c r="G391" s="1">
        <v>0.99977882956546094</v>
      </c>
      <c r="H391" s="1">
        <v>4.8985844929161839</v>
      </c>
      <c r="I391" s="1">
        <v>0.16972855697169975</v>
      </c>
      <c r="K391" s="1">
        <v>1.0000293526664681</v>
      </c>
      <c r="L391" s="1">
        <v>1.5447401070687781</v>
      </c>
      <c r="M391" s="1">
        <v>0.63921349265892147</v>
      </c>
      <c r="O391" s="1">
        <v>7.547418016854917E-3</v>
      </c>
      <c r="P391" s="1">
        <v>0.78741364571201966</v>
      </c>
      <c r="R391" s="1">
        <v>0.15445536905579704</v>
      </c>
      <c r="S391" s="2">
        <f t="shared" si="72"/>
        <v>0.70860868597464255</v>
      </c>
      <c r="T391" s="4">
        <f t="shared" si="73"/>
        <v>0.50212626983870956</v>
      </c>
      <c r="U391" s="1">
        <f t="shared" si="76"/>
        <v>0.45391918549694399</v>
      </c>
      <c r="V391" s="6">
        <f>2*sigma/alpha*corel*(B391/12-1/alpha*(1-EXP(-alpha*Output!B391/12)))</f>
        <v>1.7138623617550786</v>
      </c>
      <c r="W391" s="5">
        <f t="shared" si="74"/>
        <v>-4.8207084341765571E-2</v>
      </c>
      <c r="X391" s="1">
        <f t="shared" si="75"/>
        <v>9.0435548783310011</v>
      </c>
      <c r="Y391" s="3">
        <f t="shared" si="65"/>
        <v>2.0421916157150742E-2</v>
      </c>
      <c r="Z391" s="1">
        <f t="shared" si="66"/>
        <v>0.12592306797222738</v>
      </c>
      <c r="AA391" s="8">
        <f t="shared" si="71"/>
        <v>31.583333333333155</v>
      </c>
      <c r="AB391" s="1">
        <v>31.67</v>
      </c>
      <c r="AC391" s="1">
        <v>7.6139537069999999E-3</v>
      </c>
      <c r="AD391" s="8">
        <f t="shared" si="67"/>
        <v>0.6653569014508296</v>
      </c>
      <c r="AE391" s="3">
        <f t="shared" si="68"/>
        <v>8.7386517840149728E-3</v>
      </c>
      <c r="AF391" s="11">
        <f t="shared" si="69"/>
        <v>31.583333333333155</v>
      </c>
      <c r="AG391" s="1">
        <f t="shared" si="70"/>
        <v>0.12592306797222738</v>
      </c>
    </row>
    <row r="392" spans="2:33" ht="15" x14ac:dyDescent="0.25">
      <c r="B392" s="1">
        <v>381</v>
      </c>
      <c r="C392" s="1">
        <v>1.0006432273726815</v>
      </c>
      <c r="D392" s="1">
        <v>1.2071324165476485</v>
      </c>
      <c r="E392" s="1">
        <v>0.82754249295446247</v>
      </c>
      <c r="G392" s="1">
        <v>0.99980868271887469</v>
      </c>
      <c r="H392" s="1">
        <v>4.9052605545417087</v>
      </c>
      <c r="I392" s="1">
        <v>0.16941555748415918</v>
      </c>
      <c r="K392" s="1">
        <v>1.0000251879015918</v>
      </c>
      <c r="L392" s="1">
        <v>1.5472553075245454</v>
      </c>
      <c r="M392" s="1">
        <v>0.63814451733710986</v>
      </c>
      <c r="O392" s="1">
        <v>7.5471792565686632E-3</v>
      </c>
      <c r="P392" s="1">
        <v>0.78692452179539674</v>
      </c>
      <c r="R392" s="1">
        <v>0.15484232231641687</v>
      </c>
      <c r="S392" s="2">
        <f t="shared" si="72"/>
        <v>0.71063088095085836</v>
      </c>
      <c r="T392" s="4">
        <f t="shared" si="73"/>
        <v>0.50499624896099304</v>
      </c>
      <c r="U392" s="1">
        <f t="shared" si="76"/>
        <v>0.45660944322097219</v>
      </c>
      <c r="V392" s="6">
        <f>2*sigma/alpha*corel*(B392/12-1/alpha*(1-EXP(-alpha*Output!B392/12)))</f>
        <v>1.7213488180574368</v>
      </c>
      <c r="W392" s="5">
        <f t="shared" si="74"/>
        <v>-4.8386805740020855E-2</v>
      </c>
      <c r="X392" s="1">
        <f t="shared" si="75"/>
        <v>9.1081660824103832</v>
      </c>
      <c r="Y392" s="3">
        <f t="shared" si="65"/>
        <v>2.0419291641049258E-2</v>
      </c>
      <c r="Z392" s="1">
        <f t="shared" si="66"/>
        <v>0.12611658760077032</v>
      </c>
      <c r="AA392" s="8">
        <f t="shared" si="71"/>
        <v>31.666666666666487</v>
      </c>
      <c r="AB392" s="1">
        <v>31.75</v>
      </c>
      <c r="AC392" s="1">
        <v>7.6135052300000004E-3</v>
      </c>
      <c r="AD392" s="8">
        <f t="shared" si="67"/>
        <v>0.6632597343133716</v>
      </c>
      <c r="AE392" s="3">
        <f t="shared" si="68"/>
        <v>8.7116211820527176E-3</v>
      </c>
      <c r="AF392" s="11">
        <f t="shared" si="69"/>
        <v>31.666666666666487</v>
      </c>
      <c r="AG392" s="1">
        <f t="shared" si="70"/>
        <v>0.12611658760077032</v>
      </c>
    </row>
    <row r="393" spans="2:33" ht="15" x14ac:dyDescent="0.25">
      <c r="B393" s="1">
        <v>382</v>
      </c>
      <c r="C393" s="1">
        <v>1.000645592596233</v>
      </c>
      <c r="D393" s="1">
        <v>1.2094969541182949</v>
      </c>
      <c r="E393" s="1">
        <v>0.82592294000354649</v>
      </c>
      <c r="G393" s="1">
        <v>0.99984586349573001</v>
      </c>
      <c r="H393" s="1">
        <v>4.9910656026379385</v>
      </c>
      <c r="I393" s="1">
        <v>0.16642246072390288</v>
      </c>
      <c r="K393" s="1">
        <v>1.0000270184961177</v>
      </c>
      <c r="L393" s="1">
        <v>1.548343721319692</v>
      </c>
      <c r="M393" s="1">
        <v>0.63767995196411364</v>
      </c>
      <c r="O393" s="1">
        <v>7.5469942049624789E-3</v>
      </c>
      <c r="P393" s="1">
        <v>0.78643438841793478</v>
      </c>
      <c r="R393" s="1">
        <v>0.15524601998712709</v>
      </c>
      <c r="S393" s="2">
        <f t="shared" si="72"/>
        <v>0.71271006904164924</v>
      </c>
      <c r="T393" s="4">
        <f t="shared" si="73"/>
        <v>0.50795564251335246</v>
      </c>
      <c r="U393" s="1">
        <f t="shared" si="76"/>
        <v>0.45930671362520537</v>
      </c>
      <c r="V393" s="6">
        <f>2*sigma/alpha*corel*(B393/12-1/alpha*(1-EXP(-alpha*Output!B393/12)))</f>
        <v>1.7288450254668022</v>
      </c>
      <c r="W393" s="5">
        <f t="shared" si="74"/>
        <v>-4.8648928888147092E-2</v>
      </c>
      <c r="X393" s="1">
        <f t="shared" si="75"/>
        <v>9.183535400505372</v>
      </c>
      <c r="Y393" s="3">
        <f t="shared" si="65"/>
        <v>2.0443819286400652E-2</v>
      </c>
      <c r="Z393" s="1">
        <f t="shared" si="66"/>
        <v>0.12631991828031774</v>
      </c>
      <c r="AA393" s="8">
        <f t="shared" si="71"/>
        <v>31.749999999999819</v>
      </c>
      <c r="AB393" s="1">
        <v>31.83</v>
      </c>
      <c r="AC393" s="1">
        <v>7.6130590060000001E-3</v>
      </c>
      <c r="AD393" s="8">
        <f t="shared" si="67"/>
        <v>0.66064801037521259</v>
      </c>
      <c r="AE393" s="3">
        <f t="shared" si="68"/>
        <v>8.6778259547777448E-3</v>
      </c>
      <c r="AF393" s="11">
        <f t="shared" si="69"/>
        <v>31.749999999999819</v>
      </c>
      <c r="AG393" s="1">
        <f t="shared" si="70"/>
        <v>0.12631991828031774</v>
      </c>
    </row>
    <row r="394" spans="2:33" ht="15" x14ac:dyDescent="0.25">
      <c r="B394" s="1">
        <v>383</v>
      </c>
      <c r="C394" s="1">
        <v>1.000647919483854</v>
      </c>
      <c r="D394" s="1">
        <v>1.210905283106404</v>
      </c>
      <c r="E394" s="1">
        <v>0.82496063113986084</v>
      </c>
      <c r="G394" s="1">
        <v>0.99985833072114094</v>
      </c>
      <c r="H394" s="1">
        <v>5.0419316847904962</v>
      </c>
      <c r="I394" s="1">
        <v>0.16466378998557743</v>
      </c>
      <c r="K394" s="1">
        <v>1.000048157432009</v>
      </c>
      <c r="L394" s="1">
        <v>1.5667586159108695</v>
      </c>
      <c r="M394" s="1">
        <v>0.6301665016576149</v>
      </c>
      <c r="O394" s="1">
        <v>7.5468592868622487E-3</v>
      </c>
      <c r="P394" s="1">
        <v>0.78594332697398184</v>
      </c>
      <c r="R394" s="1">
        <v>0.15567934354566659</v>
      </c>
      <c r="S394" s="2">
        <f t="shared" si="72"/>
        <v>0.71488732663907495</v>
      </c>
      <c r="T394" s="4">
        <f t="shared" si="73"/>
        <v>0.51106388978916339</v>
      </c>
      <c r="U394" s="1">
        <f t="shared" si="76"/>
        <v>0.46201098245552652</v>
      </c>
      <c r="V394" s="6">
        <f>2*sigma/alpha*corel*(B394/12-1/alpha*(1-EXP(-alpha*Output!B394/12)))</f>
        <v>1.7363509515335984</v>
      </c>
      <c r="W394" s="5">
        <f t="shared" si="74"/>
        <v>-4.9052907333636875E-2</v>
      </c>
      <c r="X394" s="1">
        <f t="shared" si="75"/>
        <v>9.2773357964859411</v>
      </c>
      <c r="Y394" s="3">
        <f t="shared" si="65"/>
        <v>2.0514688912756186E-2</v>
      </c>
      <c r="Z394" s="1">
        <f t="shared" si="66"/>
        <v>0.12654029252803567</v>
      </c>
      <c r="AA394" s="8">
        <f t="shared" si="71"/>
        <v>31.833333333333151</v>
      </c>
      <c r="AB394" s="1">
        <v>31.92</v>
      </c>
      <c r="AC394" s="1">
        <v>7.6126150829999998E-3</v>
      </c>
      <c r="AD394" s="8">
        <f t="shared" si="67"/>
        <v>0.65755796137751021</v>
      </c>
      <c r="AE394" s="3">
        <f t="shared" si="68"/>
        <v>8.6377408316089185E-3</v>
      </c>
      <c r="AF394" s="11">
        <f t="shared" si="69"/>
        <v>31.833333333333151</v>
      </c>
      <c r="AG394" s="1">
        <f t="shared" si="70"/>
        <v>0.12654029252803567</v>
      </c>
    </row>
    <row r="395" spans="2:33" ht="15" x14ac:dyDescent="0.25">
      <c r="B395" s="1">
        <v>384</v>
      </c>
      <c r="C395" s="1">
        <v>1.000652574820035</v>
      </c>
      <c r="D395" s="1">
        <v>1.2092527888844857</v>
      </c>
      <c r="E395" s="1">
        <v>0.82608623927188463</v>
      </c>
      <c r="G395" s="1">
        <v>1.0000743750283416</v>
      </c>
      <c r="H395" s="1">
        <v>4.9785486293242522</v>
      </c>
      <c r="I395" s="1">
        <v>0.16667948753178441</v>
      </c>
      <c r="K395" s="1">
        <v>1.0000342877252384</v>
      </c>
      <c r="L395" s="1">
        <v>1.5715489429323648</v>
      </c>
      <c r="M395" s="1">
        <v>0.62823300579770569</v>
      </c>
      <c r="O395" s="1">
        <v>7.5467379540228845E-3</v>
      </c>
      <c r="P395" s="1">
        <v>0.78545224835969929</v>
      </c>
      <c r="R395" s="1">
        <v>0.15603191862548191</v>
      </c>
      <c r="S395" s="2">
        <f t="shared" si="72"/>
        <v>0.71680905128606098</v>
      </c>
      <c r="T395" s="4">
        <f t="shared" si="73"/>
        <v>0.51381521600562285</v>
      </c>
      <c r="U395" s="1">
        <f t="shared" si="76"/>
        <v>0.46472223544490365</v>
      </c>
      <c r="V395" s="6">
        <f>2*sigma/alpha*corel*(B395/12-1/alpha*(1-EXP(-alpha*Output!B395/12)))</f>
        <v>1.7438665639162316</v>
      </c>
      <c r="W395" s="5">
        <f t="shared" si="74"/>
        <v>-4.9092980560719202E-2</v>
      </c>
      <c r="X395" s="1">
        <f t="shared" si="75"/>
        <v>9.3249721045170624</v>
      </c>
      <c r="Y395" s="3">
        <f t="shared" si="65"/>
        <v>2.0465861960800767E-2</v>
      </c>
      <c r="Z395" s="1">
        <f t="shared" si="66"/>
        <v>0.12671513524506736</v>
      </c>
      <c r="AA395" s="8">
        <f t="shared" si="71"/>
        <v>31.916666666666483</v>
      </c>
      <c r="AB395" s="1">
        <v>32</v>
      </c>
      <c r="AC395" s="1">
        <v>7.6121735100000004E-3</v>
      </c>
      <c r="AD395" s="8">
        <f t="shared" si="67"/>
        <v>0.65435555977115878</v>
      </c>
      <c r="AE395" s="3">
        <f t="shared" si="68"/>
        <v>8.5961724192379681E-3</v>
      </c>
      <c r="AF395" s="11">
        <f t="shared" si="69"/>
        <v>31.916666666666483</v>
      </c>
      <c r="AG395" s="1">
        <f t="shared" si="70"/>
        <v>0.12671513524506736</v>
      </c>
    </row>
    <row r="396" spans="2:33" ht="15" x14ac:dyDescent="0.25">
      <c r="B396" s="1">
        <v>385</v>
      </c>
      <c r="C396" s="1">
        <v>1.0006541947402416</v>
      </c>
      <c r="D396" s="1">
        <v>1.2050945706970277</v>
      </c>
      <c r="E396" s="1">
        <v>0.82893493218188297</v>
      </c>
      <c r="G396" s="1">
        <v>1.0000482055353555</v>
      </c>
      <c r="H396" s="1">
        <v>4.8252646593182034</v>
      </c>
      <c r="I396" s="1">
        <v>0.17189118935131603</v>
      </c>
      <c r="K396" s="1">
        <v>1.0000215679893423</v>
      </c>
      <c r="L396" s="1">
        <v>1.5680494690908087</v>
      </c>
      <c r="M396" s="1">
        <v>0.6296071998538495</v>
      </c>
      <c r="O396" s="1">
        <v>7.5466264255573496E-3</v>
      </c>
      <c r="P396" s="1">
        <v>0.78496124554310853</v>
      </c>
      <c r="R396" s="1">
        <v>0.15638553078426079</v>
      </c>
      <c r="S396" s="2">
        <f t="shared" si="72"/>
        <v>0.71873582918519663</v>
      </c>
      <c r="T396" s="4">
        <f t="shared" si="73"/>
        <v>0.51658119215453213</v>
      </c>
      <c r="U396" s="1">
        <f t="shared" si="76"/>
        <v>0.4674404583138343</v>
      </c>
      <c r="V396" s="6">
        <f>2*sigma/alpha*corel*(B396/12-1/alpha*(1-EXP(-alpha*Output!B396/12)))</f>
        <v>1.7513918303807365</v>
      </c>
      <c r="W396" s="5">
        <f t="shared" si="74"/>
        <v>-4.9140733840697837E-2</v>
      </c>
      <c r="X396" s="1">
        <f t="shared" si="75"/>
        <v>9.3737675197472754</v>
      </c>
      <c r="Y396" s="3">
        <f t="shared" si="65"/>
        <v>2.0419777843645327E-2</v>
      </c>
      <c r="Z396" s="1">
        <f t="shared" si="66"/>
        <v>0.12689062992694985</v>
      </c>
      <c r="AA396" s="8">
        <f t="shared" si="71"/>
        <v>31.999999999999815</v>
      </c>
      <c r="AB396" s="1">
        <v>32.08</v>
      </c>
      <c r="AC396" s="1">
        <v>7.6117343370000002E-3</v>
      </c>
      <c r="AD396" s="8">
        <f t="shared" si="67"/>
        <v>0.65107911442650535</v>
      </c>
      <c r="AE396" s="3">
        <f t="shared" si="68"/>
        <v>8.5536237288480303E-3</v>
      </c>
      <c r="AF396" s="11">
        <f t="shared" si="69"/>
        <v>31.999999999999815</v>
      </c>
      <c r="AG396" s="1">
        <f t="shared" si="70"/>
        <v>0.12689062992694985</v>
      </c>
    </row>
    <row r="397" spans="2:33" ht="15" x14ac:dyDescent="0.25">
      <c r="B397" s="1">
        <v>386</v>
      </c>
      <c r="C397" s="1">
        <v>1.0006526389582346</v>
      </c>
      <c r="D397" s="1">
        <v>1.2126768186020478</v>
      </c>
      <c r="E397" s="1">
        <v>0.82375028872493794</v>
      </c>
      <c r="G397" s="1">
        <v>0.99977365899100801</v>
      </c>
      <c r="H397" s="1">
        <v>5.1030688148938141</v>
      </c>
      <c r="I397" s="1">
        <v>0.16245503467369504</v>
      </c>
      <c r="K397" s="1">
        <v>1.0000111632443818</v>
      </c>
      <c r="L397" s="1">
        <v>1.5739467672762519</v>
      </c>
      <c r="M397" s="1">
        <v>0.62721951783117613</v>
      </c>
      <c r="O397" s="1">
        <v>7.5465061787714609E-3</v>
      </c>
      <c r="P397" s="1">
        <v>0.7844707842409756</v>
      </c>
      <c r="R397" s="1">
        <v>0.15674789757282251</v>
      </c>
      <c r="S397" s="2">
        <f t="shared" si="72"/>
        <v>0.72069157973133513</v>
      </c>
      <c r="T397" s="4">
        <f t="shared" si="73"/>
        <v>0.51939635309564736</v>
      </c>
      <c r="U397" s="1">
        <f t="shared" si="76"/>
        <v>0.47016563677078516</v>
      </c>
      <c r="V397" s="6">
        <f>2*sigma/alpha*corel*(B397/12-1/alpha*(1-EXP(-alpha*Output!B397/12)))</f>
        <v>1.7589267188004136</v>
      </c>
      <c r="W397" s="5">
        <f t="shared" si="74"/>
        <v>-4.92307163248622E-2</v>
      </c>
      <c r="X397" s="1">
        <f t="shared" si="75"/>
        <v>9.4281753692422594</v>
      </c>
      <c r="Y397" s="3">
        <f t="shared" ref="Y397:Y460" si="77">(-V397+SQRT(X397))/2/B397*12</f>
        <v>2.0387668641771391E-2</v>
      </c>
      <c r="Z397" s="1">
        <f t="shared" ref="Z397:Z460" si="78">S397/SQRT(B397/12)</f>
        <v>0.12707099151184156</v>
      </c>
      <c r="AA397" s="8">
        <f t="shared" si="71"/>
        <v>32.083333333333151</v>
      </c>
      <c r="AB397" s="1">
        <v>32.17</v>
      </c>
      <c r="AC397" s="1">
        <v>7.6112975990000001E-3</v>
      </c>
      <c r="AD397" s="8">
        <f t="shared" ref="AD397:AD460" si="79">(AC397-O397)*10000</f>
        <v>0.64791420228539276</v>
      </c>
      <c r="AE397" s="3">
        <f t="shared" ref="AE397:AE460" si="80">AD397/AC397/10000</f>
        <v>8.5125327693206763E-3</v>
      </c>
      <c r="AF397" s="11">
        <f t="shared" ref="AF397:AF460" si="81">AA397</f>
        <v>32.083333333333151</v>
      </c>
      <c r="AG397" s="1">
        <f t="shared" ref="AG397:AG460" si="82">Z397</f>
        <v>0.12707099151184156</v>
      </c>
    </row>
    <row r="398" spans="2:33" ht="15" x14ac:dyDescent="0.25">
      <c r="B398" s="1">
        <v>387</v>
      </c>
      <c r="C398" s="1">
        <v>1.0006569411834412</v>
      </c>
      <c r="D398" s="1">
        <v>1.2190155894380434</v>
      </c>
      <c r="E398" s="1">
        <v>0.81946512951700479</v>
      </c>
      <c r="G398" s="1">
        <v>0.99997376835303786</v>
      </c>
      <c r="H398" s="1">
        <v>5.3434755595473531</v>
      </c>
      <c r="I398" s="1">
        <v>0.15507101035198065</v>
      </c>
      <c r="K398" s="1">
        <v>1.0000059785884388</v>
      </c>
      <c r="L398" s="1">
        <v>1.5739204701433676</v>
      </c>
      <c r="M398" s="1">
        <v>0.62721336908251613</v>
      </c>
      <c r="O398" s="1">
        <v>7.546347842980243E-3</v>
      </c>
      <c r="P398" s="1">
        <v>0.78398160812109441</v>
      </c>
      <c r="R398" s="1">
        <v>0.15715732803367635</v>
      </c>
      <c r="S398" s="2">
        <f t="shared" si="72"/>
        <v>0.72279766861786143</v>
      </c>
      <c r="T398" s="4">
        <f t="shared" si="73"/>
        <v>0.52243646975941582</v>
      </c>
      <c r="U398" s="1">
        <f t="shared" si="76"/>
        <v>0.47289775651262822</v>
      </c>
      <c r="V398" s="6">
        <f>2*sigma/alpha*corel*(B398/12-1/alpha*(1-EXP(-alpha*Output!B398/12)))</f>
        <v>1.7664711971554761</v>
      </c>
      <c r="W398" s="5">
        <f t="shared" si="74"/>
        <v>-4.9538713246787602E-2</v>
      </c>
      <c r="X398" s="1">
        <f t="shared" si="75"/>
        <v>9.5109144992155006</v>
      </c>
      <c r="Y398" s="3">
        <f t="shared" si="77"/>
        <v>2.0426447467384114E-2</v>
      </c>
      <c r="Z398" s="1">
        <f t="shared" si="78"/>
        <v>0.1272775724849288</v>
      </c>
      <c r="AA398" s="8">
        <f t="shared" ref="AA398:AA461" si="83">AA397+1/12</f>
        <v>32.166666666666487</v>
      </c>
      <c r="AB398" s="1">
        <v>32.25</v>
      </c>
      <c r="AC398" s="1">
        <v>7.610863275E-3</v>
      </c>
      <c r="AD398" s="8">
        <f t="shared" si="79"/>
        <v>0.64515432019757002</v>
      </c>
      <c r="AE398" s="3">
        <f t="shared" si="80"/>
        <v>8.4767561429826103E-3</v>
      </c>
      <c r="AF398" s="11">
        <f t="shared" si="81"/>
        <v>32.166666666666487</v>
      </c>
      <c r="AG398" s="1">
        <f t="shared" si="82"/>
        <v>0.1272775724849288</v>
      </c>
    </row>
    <row r="399" spans="2:33" ht="15" x14ac:dyDescent="0.25">
      <c r="B399" s="1">
        <v>388</v>
      </c>
      <c r="C399" s="1">
        <v>1.0006546909621699</v>
      </c>
      <c r="D399" s="1">
        <v>1.2203848083739848</v>
      </c>
      <c r="E399" s="1">
        <v>0.81854399127642474</v>
      </c>
      <c r="G399" s="1">
        <v>0.999605002964425</v>
      </c>
      <c r="H399" s="1">
        <v>5.3939581408357249</v>
      </c>
      <c r="I399" s="1">
        <v>0.1535453664039314</v>
      </c>
      <c r="K399" s="1">
        <v>1.0000007057812437</v>
      </c>
      <c r="L399" s="1">
        <v>1.5793502149850152</v>
      </c>
      <c r="M399" s="1">
        <v>0.62502841252852748</v>
      </c>
      <c r="O399" s="1">
        <v>7.5461390962752763E-3</v>
      </c>
      <c r="P399" s="1">
        <v>0.7834940347721967</v>
      </c>
      <c r="R399" s="1">
        <v>0.15753878829247178</v>
      </c>
      <c r="S399" s="2">
        <f t="shared" si="72"/>
        <v>0.72481373249955783</v>
      </c>
      <c r="T399" s="4">
        <f t="shared" si="73"/>
        <v>0.52535494681994055</v>
      </c>
      <c r="U399" s="1">
        <f t="shared" si="76"/>
        <v>0.47563680322507196</v>
      </c>
      <c r="V399" s="6">
        <f>2*sigma/alpha*corel*(B399/12-1/alpha*(1-EXP(-alpha*Output!B399/12)))</f>
        <v>1.77402523353269</v>
      </c>
      <c r="W399" s="5">
        <f t="shared" si="74"/>
        <v>-4.9718143594868591E-2</v>
      </c>
      <c r="X399" s="1">
        <f t="shared" si="75"/>
        <v>9.5773787674803863</v>
      </c>
      <c r="Y399" s="3">
        <f t="shared" si="77"/>
        <v>2.0423332031654102E-2</v>
      </c>
      <c r="Z399" s="1">
        <f t="shared" si="78"/>
        <v>0.1274680004501563</v>
      </c>
      <c r="AA399" s="8">
        <f t="shared" si="83"/>
        <v>32.249999999999822</v>
      </c>
      <c r="AB399" s="1">
        <v>32.33</v>
      </c>
      <c r="AC399" s="1">
        <v>7.610431329E-3</v>
      </c>
      <c r="AD399" s="8">
        <f t="shared" si="79"/>
        <v>0.64292232724723686</v>
      </c>
      <c r="AE399" s="3">
        <f t="shared" si="80"/>
        <v>8.447909184822985E-3</v>
      </c>
      <c r="AF399" s="11">
        <f t="shared" si="81"/>
        <v>32.249999999999822</v>
      </c>
      <c r="AG399" s="1">
        <f t="shared" si="82"/>
        <v>0.1274680004501563</v>
      </c>
    </row>
    <row r="400" spans="2:33" ht="15" x14ac:dyDescent="0.25">
      <c r="B400" s="1">
        <v>389</v>
      </c>
      <c r="C400" s="1">
        <v>1.0006556765574317</v>
      </c>
      <c r="D400" s="1">
        <v>1.2154196201117629</v>
      </c>
      <c r="E400" s="1">
        <v>0.82188613316127923</v>
      </c>
      <c r="G400" s="1">
        <v>0.99951064672940959</v>
      </c>
      <c r="H400" s="1">
        <v>5.1974514686759852</v>
      </c>
      <c r="I400" s="1">
        <v>0.15927355976865357</v>
      </c>
      <c r="K400" s="1">
        <v>0.9999904343791387</v>
      </c>
      <c r="L400" s="1">
        <v>1.5780298244611004</v>
      </c>
      <c r="M400" s="1">
        <v>0.62554796197840301</v>
      </c>
      <c r="O400" s="1">
        <v>7.5460489212064944E-3</v>
      </c>
      <c r="P400" s="1">
        <v>0.78300378226105594</v>
      </c>
      <c r="R400" s="1">
        <v>0.15786181321856191</v>
      </c>
      <c r="S400" s="2">
        <f t="shared" si="72"/>
        <v>0.72664903100810196</v>
      </c>
      <c r="T400" s="4">
        <f t="shared" si="73"/>
        <v>0.52801881426501351</v>
      </c>
      <c r="U400" s="1">
        <f t="shared" si="76"/>
        <v>0.47838276258308898</v>
      </c>
      <c r="V400" s="6">
        <f>2*sigma/alpha*corel*(B400/12-1/alpha*(1-EXP(-alpha*Output!B400/12)))</f>
        <v>1.7815887961250225</v>
      </c>
      <c r="W400" s="5">
        <f t="shared" si="74"/>
        <v>-4.9636051681924531E-2</v>
      </c>
      <c r="X400" s="1">
        <f t="shared" si="75"/>
        <v>9.6102000065677551</v>
      </c>
      <c r="Y400" s="3">
        <f t="shared" si="77"/>
        <v>2.033588888685291E-2</v>
      </c>
      <c r="Z400" s="1">
        <f t="shared" si="78"/>
        <v>0.12762640058556518</v>
      </c>
      <c r="AA400" s="8">
        <f t="shared" si="83"/>
        <v>32.333333333333158</v>
      </c>
      <c r="AB400" s="1">
        <v>32.42</v>
      </c>
      <c r="AC400" s="1">
        <v>7.610001727E-3</v>
      </c>
      <c r="AD400" s="8">
        <f t="shared" si="79"/>
        <v>0.6395280579350564</v>
      </c>
      <c r="AE400" s="3">
        <f t="shared" si="80"/>
        <v>8.4037833482485929E-3</v>
      </c>
      <c r="AF400" s="11">
        <f t="shared" si="81"/>
        <v>32.333333333333158</v>
      </c>
      <c r="AG400" s="1">
        <f t="shared" si="82"/>
        <v>0.12762640058556518</v>
      </c>
    </row>
    <row r="401" spans="2:33" ht="15" x14ac:dyDescent="0.25">
      <c r="B401" s="1">
        <v>390</v>
      </c>
      <c r="C401" s="1">
        <v>1.0006615927326439</v>
      </c>
      <c r="D401" s="1">
        <v>1.2122792960755704</v>
      </c>
      <c r="E401" s="1">
        <v>0.82401341831129604</v>
      </c>
      <c r="G401" s="1">
        <v>0.99981761547814163</v>
      </c>
      <c r="H401" s="1">
        <v>5.0746905962671214</v>
      </c>
      <c r="I401" s="1">
        <v>0.16304759701673094</v>
      </c>
      <c r="K401" s="1">
        <v>0.99998419802939986</v>
      </c>
      <c r="L401" s="1">
        <v>1.5818174971114918</v>
      </c>
      <c r="M401" s="1">
        <v>0.6240144280707961</v>
      </c>
      <c r="O401" s="1">
        <v>7.5460247144033352E-3</v>
      </c>
      <c r="P401" s="1">
        <v>0.78251217059080269</v>
      </c>
      <c r="R401" s="1">
        <v>0.15824474418990395</v>
      </c>
      <c r="S401" s="2">
        <f t="shared" si="72"/>
        <v>0.72868028793238304</v>
      </c>
      <c r="T401" s="4">
        <f t="shared" si="73"/>
        <v>0.53097496202122063</v>
      </c>
      <c r="U401" s="1">
        <f t="shared" si="76"/>
        <v>0.48113562025134105</v>
      </c>
      <c r="V401" s="6">
        <f>2*sigma/alpha*corel*(B401/12-1/alpha*(1-EXP(-alpha*Output!B401/12)))</f>
        <v>1.7891618532312892</v>
      </c>
      <c r="W401" s="5">
        <f t="shared" si="74"/>
        <v>-4.9839341769879586E-2</v>
      </c>
      <c r="X401" s="1">
        <f t="shared" si="75"/>
        <v>9.6802145671423681</v>
      </c>
      <c r="Y401" s="3">
        <f t="shared" si="77"/>
        <v>2.0340653323757053E-2</v>
      </c>
      <c r="Z401" s="1">
        <f t="shared" si="78"/>
        <v>0.12781897800841033</v>
      </c>
      <c r="AA401" s="8">
        <f t="shared" si="83"/>
        <v>32.416666666666494</v>
      </c>
      <c r="AB401" s="1">
        <v>32.5</v>
      </c>
      <c r="AC401" s="1">
        <v>7.609574432E-3</v>
      </c>
      <c r="AD401" s="8">
        <f t="shared" si="79"/>
        <v>0.63549717596664801</v>
      </c>
      <c r="AE401" s="3">
        <f t="shared" si="80"/>
        <v>8.3512840520257887E-3</v>
      </c>
      <c r="AF401" s="11">
        <f t="shared" si="81"/>
        <v>32.416666666666494</v>
      </c>
      <c r="AG401" s="1">
        <f t="shared" si="82"/>
        <v>0.12781897800841033</v>
      </c>
    </row>
    <row r="402" spans="2:33" ht="15" x14ac:dyDescent="0.25">
      <c r="B402" s="1">
        <v>391</v>
      </c>
      <c r="C402" s="1">
        <v>1.0006650304105809</v>
      </c>
      <c r="D402" s="1">
        <v>1.2141280254831024</v>
      </c>
      <c r="E402" s="1">
        <v>0.82275695520041525</v>
      </c>
      <c r="G402" s="1">
        <v>0.99992287246166944</v>
      </c>
      <c r="H402" s="1">
        <v>5.1398514889785956</v>
      </c>
      <c r="I402" s="1">
        <v>0.16090266651995616</v>
      </c>
      <c r="K402" s="1">
        <v>0.99997175593449161</v>
      </c>
      <c r="L402" s="1">
        <v>1.5759399510965664</v>
      </c>
      <c r="M402" s="1">
        <v>0.62633488366498213</v>
      </c>
      <c r="O402" s="1">
        <v>7.5458867317542708E-3</v>
      </c>
      <c r="P402" s="1">
        <v>0.78202376984595989</v>
      </c>
      <c r="R402" s="1">
        <v>0.15861600804722661</v>
      </c>
      <c r="S402" s="2">
        <f t="shared" si="72"/>
        <v>0.73067089095893123</v>
      </c>
      <c r="T402" s="4">
        <f t="shared" si="73"/>
        <v>0.5338799508947184</v>
      </c>
      <c r="U402" s="1">
        <f t="shared" si="76"/>
        <v>0.48389536188459559</v>
      </c>
      <c r="V402" s="6">
        <f>2*sigma/alpha*corel*(B402/12-1/alpha*(1-EXP(-alpha*Output!B402/12)))</f>
        <v>1.7967443732557982</v>
      </c>
      <c r="W402" s="5">
        <f t="shared" si="74"/>
        <v>-4.9984589010122815E-2</v>
      </c>
      <c r="X402" s="1">
        <f t="shared" si="75"/>
        <v>9.7429484438123772</v>
      </c>
      <c r="Y402" s="3">
        <f t="shared" si="77"/>
        <v>2.0326730471119894E-2</v>
      </c>
      <c r="Z402" s="1">
        <f t="shared" si="78"/>
        <v>0.12800415005597068</v>
      </c>
      <c r="AA402" s="8">
        <f t="shared" si="83"/>
        <v>32.499999999999829</v>
      </c>
      <c r="AB402" s="1">
        <v>32.58</v>
      </c>
      <c r="AC402" s="1">
        <v>7.6091494089999996E-3</v>
      </c>
      <c r="AD402" s="8">
        <f t="shared" si="79"/>
        <v>0.63262677245728804</v>
      </c>
      <c r="AE402" s="3">
        <f t="shared" si="80"/>
        <v>8.3140274747270128E-3</v>
      </c>
      <c r="AF402" s="11">
        <f t="shared" si="81"/>
        <v>32.499999999999829</v>
      </c>
      <c r="AG402" s="1">
        <f t="shared" si="82"/>
        <v>0.12800415005597068</v>
      </c>
    </row>
    <row r="403" spans="2:33" ht="15" x14ac:dyDescent="0.25">
      <c r="B403" s="1">
        <v>392</v>
      </c>
      <c r="C403" s="1">
        <v>1.0006656114287675</v>
      </c>
      <c r="D403" s="1">
        <v>1.2180730228465282</v>
      </c>
      <c r="E403" s="1">
        <v>0.82009052386234338</v>
      </c>
      <c r="G403" s="1">
        <v>0.9998082162130959</v>
      </c>
      <c r="H403" s="1">
        <v>5.2917041417801682</v>
      </c>
      <c r="I403" s="1">
        <v>0.15620973559204282</v>
      </c>
      <c r="K403" s="1">
        <v>0.99997653852026014</v>
      </c>
      <c r="L403" s="1">
        <v>1.5726015130010296</v>
      </c>
      <c r="M403" s="1">
        <v>0.62762912385416647</v>
      </c>
      <c r="O403" s="1">
        <v>7.545731294471834E-3</v>
      </c>
      <c r="P403" s="1">
        <v>0.78153613752667817</v>
      </c>
      <c r="R403" s="1">
        <v>0.15901694414921158</v>
      </c>
      <c r="S403" s="2">
        <f t="shared" si="72"/>
        <v>0.73275740785532872</v>
      </c>
      <c r="T403" s="4">
        <f t="shared" si="73"/>
        <v>0.53693341876686052</v>
      </c>
      <c r="U403" s="1">
        <f t="shared" si="76"/>
        <v>0.48666197312814408</v>
      </c>
      <c r="V403" s="6">
        <f>2*sigma/alpha*corel*(B403/12-1/alpha*(1-EXP(-alpha*Output!B403/12)))</f>
        <v>1.8043363247080015</v>
      </c>
      <c r="W403" s="5">
        <f t="shared" si="74"/>
        <v>-5.0271445638716439E-2</v>
      </c>
      <c r="X403" s="1">
        <f t="shared" si="75"/>
        <v>9.8244318027863944</v>
      </c>
      <c r="Y403" s="3">
        <f t="shared" si="77"/>
        <v>2.0358040427695203E-2</v>
      </c>
      <c r="Z403" s="1">
        <f t="shared" si="78"/>
        <v>0.12820583960642981</v>
      </c>
      <c r="AA403" s="8">
        <f t="shared" si="83"/>
        <v>32.583333333333165</v>
      </c>
      <c r="AB403" s="1">
        <v>32.67</v>
      </c>
      <c r="AC403" s="1">
        <v>7.6087266239999998E-3</v>
      </c>
      <c r="AD403" s="8">
        <f t="shared" si="79"/>
        <v>0.62995329528165755</v>
      </c>
      <c r="AE403" s="3">
        <f t="shared" si="80"/>
        <v>8.2793524647687168E-3</v>
      </c>
      <c r="AF403" s="11">
        <f t="shared" si="81"/>
        <v>32.583333333333165</v>
      </c>
      <c r="AG403" s="1">
        <f t="shared" si="82"/>
        <v>0.12820583960642981</v>
      </c>
    </row>
    <row r="404" spans="2:33" ht="15" x14ac:dyDescent="0.25">
      <c r="B404" s="1">
        <v>393</v>
      </c>
      <c r="C404" s="1">
        <v>1.0006636852258226</v>
      </c>
      <c r="D404" s="1">
        <v>1.2193415084358938</v>
      </c>
      <c r="E404" s="1">
        <v>0.81923562651690796</v>
      </c>
      <c r="G404" s="1">
        <v>0.9994824929864824</v>
      </c>
      <c r="H404" s="1">
        <v>5.3416626283601829</v>
      </c>
      <c r="I404" s="1">
        <v>0.15467390004720039</v>
      </c>
      <c r="K404" s="1">
        <v>0.99998071015305934</v>
      </c>
      <c r="L404" s="1">
        <v>1.5727276736037707</v>
      </c>
      <c r="M404" s="1">
        <v>0.62756297272913764</v>
      </c>
      <c r="O404" s="1">
        <v>7.5455486573859244E-3</v>
      </c>
      <c r="P404" s="1">
        <v>0.7810495252589984</v>
      </c>
      <c r="R404" s="1">
        <v>0.15938677048532468</v>
      </c>
      <c r="S404" s="2">
        <f t="shared" si="72"/>
        <v>0.73474445024039547</v>
      </c>
      <c r="T404" s="4">
        <f t="shared" si="73"/>
        <v>0.53984940715906093</v>
      </c>
      <c r="U404" s="1">
        <f t="shared" si="76"/>
        <v>0.48943543961821234</v>
      </c>
      <c r="V404" s="6">
        <f>2*sigma/alpha*corel*(B404/12-1/alpha*(1-EXP(-alpha*Output!B404/12)))</f>
        <v>1.8119376762021466</v>
      </c>
      <c r="W404" s="5">
        <f t="shared" si="74"/>
        <v>-5.0413967540848592E-2</v>
      </c>
      <c r="X404" s="1">
        <f t="shared" si="75"/>
        <v>9.8873478902920002</v>
      </c>
      <c r="Y404" s="3">
        <f t="shared" si="77"/>
        <v>2.0343170584993298E-2</v>
      </c>
      <c r="Z404" s="1">
        <f t="shared" si="78"/>
        <v>0.12838984135684353</v>
      </c>
      <c r="AA404" s="8">
        <f t="shared" si="83"/>
        <v>32.666666666666501</v>
      </c>
      <c r="AB404" s="1">
        <v>32.75</v>
      </c>
      <c r="AC404" s="1">
        <v>7.6083060409999998E-3</v>
      </c>
      <c r="AD404" s="8">
        <f t="shared" si="79"/>
        <v>0.6275738361407549</v>
      </c>
      <c r="AE404" s="3">
        <f t="shared" si="80"/>
        <v>8.2485356498392063E-3</v>
      </c>
      <c r="AF404" s="11">
        <f t="shared" si="81"/>
        <v>32.666666666666501</v>
      </c>
      <c r="AG404" s="1">
        <f t="shared" si="82"/>
        <v>0.12838984135684353</v>
      </c>
    </row>
    <row r="405" spans="2:33" ht="15" x14ac:dyDescent="0.25">
      <c r="B405" s="1">
        <v>394</v>
      </c>
      <c r="C405" s="1">
        <v>1.0006679495084232</v>
      </c>
      <c r="D405" s="1">
        <v>1.2168967676266842</v>
      </c>
      <c r="E405" s="1">
        <v>0.82087970631452278</v>
      </c>
      <c r="G405" s="1">
        <v>0.99963813700791926</v>
      </c>
      <c r="H405" s="1">
        <v>5.2452748544360634</v>
      </c>
      <c r="I405" s="1">
        <v>0.15743999942531389</v>
      </c>
      <c r="K405" s="1">
        <v>0.99996564409727429</v>
      </c>
      <c r="L405" s="1">
        <v>1.5685197714063894</v>
      </c>
      <c r="M405" s="1">
        <v>0.62923203856138366</v>
      </c>
      <c r="O405" s="1">
        <v>7.5453718898759632E-3</v>
      </c>
      <c r="P405" s="1">
        <v>0.78056308930506213</v>
      </c>
      <c r="R405" s="1">
        <v>0.15972299836636059</v>
      </c>
      <c r="S405" s="2">
        <f t="shared" si="72"/>
        <v>0.73662521383672952</v>
      </c>
      <c r="T405" s="4">
        <f t="shared" si="73"/>
        <v>0.54261670566000753</v>
      </c>
      <c r="U405" s="1">
        <f t="shared" si="76"/>
        <v>0.49221574698236914</v>
      </c>
      <c r="V405" s="6">
        <f>2*sigma/alpha*corel*(B405/12-1/alpha*(1-EXP(-alpha*Output!B405/12)))</f>
        <v>1.8195483964569243</v>
      </c>
      <c r="W405" s="5">
        <f t="shared" si="74"/>
        <v>-5.0400958677638386E-2</v>
      </c>
      <c r="X405" s="1">
        <f t="shared" si="75"/>
        <v>9.9300822733788063</v>
      </c>
      <c r="Y405" s="3">
        <f t="shared" si="77"/>
        <v>2.027900876904945E-2</v>
      </c>
      <c r="Z405" s="1">
        <f t="shared" si="78"/>
        <v>0.12855503540002133</v>
      </c>
      <c r="AA405" s="8">
        <f t="shared" si="83"/>
        <v>32.749999999999837</v>
      </c>
      <c r="AB405" s="1">
        <v>32.83</v>
      </c>
      <c r="AC405" s="1">
        <v>7.6078876259999999E-3</v>
      </c>
      <c r="AD405" s="8">
        <f t="shared" si="79"/>
        <v>0.62515736124036692</v>
      </c>
      <c r="AE405" s="3">
        <f t="shared" si="80"/>
        <v>8.2172265413580498E-3</v>
      </c>
      <c r="AF405" s="11">
        <f t="shared" si="81"/>
        <v>32.749999999999837</v>
      </c>
      <c r="AG405" s="1">
        <f t="shared" si="82"/>
        <v>0.12855503540002133</v>
      </c>
    </row>
    <row r="406" spans="2:33" ht="15" x14ac:dyDescent="0.25">
      <c r="B406" s="1">
        <v>395</v>
      </c>
      <c r="C406" s="1">
        <v>1.0006686890212029</v>
      </c>
      <c r="D406" s="1">
        <v>1.219081932133335</v>
      </c>
      <c r="E406" s="1">
        <v>0.81940654452284134</v>
      </c>
      <c r="G406" s="1">
        <v>0.99950569007057088</v>
      </c>
      <c r="H406" s="1">
        <v>5.3261315006298675</v>
      </c>
      <c r="I406" s="1">
        <v>0.15497487071360183</v>
      </c>
      <c r="K406" s="1">
        <v>0.99995934821801968</v>
      </c>
      <c r="L406" s="1">
        <v>1.566663844373301</v>
      </c>
      <c r="M406" s="1">
        <v>0.62994773262635062</v>
      </c>
      <c r="O406" s="1">
        <v>7.5452404956954013E-3</v>
      </c>
      <c r="P406" s="1">
        <v>0.7800758142100952</v>
      </c>
      <c r="R406" s="1">
        <v>0.16008673423346531</v>
      </c>
      <c r="S406" s="2">
        <f t="shared" si="72"/>
        <v>0.73859762618390978</v>
      </c>
      <c r="T406" s="4">
        <f t="shared" si="73"/>
        <v>0.54552645340450656</v>
      </c>
      <c r="U406" s="1">
        <f t="shared" si="76"/>
        <v>0.49500288083992983</v>
      </c>
      <c r="V406" s="6">
        <f>2*sigma/alpha*corel*(B406/12-1/alpha*(1-EXP(-alpha*Output!B406/12)))</f>
        <v>1.8271684542951223</v>
      </c>
      <c r="W406" s="5">
        <f t="shared" si="74"/>
        <v>-5.0523572564576735E-2</v>
      </c>
      <c r="X406" s="1">
        <f t="shared" si="75"/>
        <v>9.9908149480404962</v>
      </c>
      <c r="Y406" s="3">
        <f t="shared" si="77"/>
        <v>2.0258074754527775E-2</v>
      </c>
      <c r="Z406" s="1">
        <f t="shared" si="78"/>
        <v>0.12873599165138716</v>
      </c>
      <c r="AA406" s="8">
        <f t="shared" si="83"/>
        <v>32.833333333333172</v>
      </c>
      <c r="AB406" s="1">
        <v>32.92</v>
      </c>
      <c r="AC406" s="1">
        <v>7.6074713450000001E-3</v>
      </c>
      <c r="AD406" s="8">
        <f t="shared" si="79"/>
        <v>0.6223084930459879</v>
      </c>
      <c r="AE406" s="3">
        <f t="shared" si="80"/>
        <v>8.1802278947129946E-3</v>
      </c>
      <c r="AF406" s="11">
        <f t="shared" si="81"/>
        <v>32.833333333333172</v>
      </c>
      <c r="AG406" s="1">
        <f t="shared" si="82"/>
        <v>0.12873599165138716</v>
      </c>
    </row>
    <row r="407" spans="2:33" ht="15" x14ac:dyDescent="0.25">
      <c r="B407" s="1">
        <v>396</v>
      </c>
      <c r="C407" s="1">
        <v>1.0006696295398085</v>
      </c>
      <c r="D407" s="1">
        <v>1.218291848509772</v>
      </c>
      <c r="E407" s="1">
        <v>0.81993617719742307</v>
      </c>
      <c r="G407" s="1">
        <v>0.99938430113259291</v>
      </c>
      <c r="H407" s="1">
        <v>5.2896041027200456</v>
      </c>
      <c r="I407" s="1">
        <v>0.15596955592639603</v>
      </c>
      <c r="K407" s="1">
        <v>0.99994977984992794</v>
      </c>
      <c r="L407" s="1">
        <v>1.5627110233076178</v>
      </c>
      <c r="M407" s="1">
        <v>0.63151303909488776</v>
      </c>
      <c r="O407" s="1">
        <v>7.5450473179786938E-3</v>
      </c>
      <c r="P407" s="1">
        <v>0.77959044984579218</v>
      </c>
      <c r="R407" s="1">
        <v>0.16042056401731358</v>
      </c>
      <c r="S407" s="2">
        <f t="shared" ref="S407:S470" si="84">optim_vol_implied(P407,R407)</f>
        <v>0.74047261827880084</v>
      </c>
      <c r="T407" s="4">
        <f t="shared" ref="T407:T470" si="85">S407*S407</f>
        <v>0.54829969842066273</v>
      </c>
      <c r="U407" s="1">
        <f t="shared" si="76"/>
        <v>0.4977968268023556</v>
      </c>
      <c r="V407" s="6">
        <f>2*sigma/alpha*corel*(B407/12-1/alpha*(1-EXP(-alpha*Output!B407/12)))</f>
        <v>1.8347978186432825</v>
      </c>
      <c r="W407" s="5">
        <f t="shared" ref="W407:W470" si="86">U407-T407</f>
        <v>-5.0502871618307132E-2</v>
      </c>
      <c r="X407" s="1">
        <f t="shared" ref="X407:X470" si="87">V407*V407-4*W407*B407/12</f>
        <v>10.032862088914689</v>
      </c>
      <c r="Y407" s="3">
        <f t="shared" si="77"/>
        <v>2.0191992913037544E-2</v>
      </c>
      <c r="Z407" s="1">
        <f t="shared" si="78"/>
        <v>0.12889973768935187</v>
      </c>
      <c r="AA407" s="8">
        <f t="shared" si="83"/>
        <v>32.916666666666508</v>
      </c>
      <c r="AB407" s="1">
        <v>33</v>
      </c>
      <c r="AC407" s="1">
        <v>7.6070571639999997E-3</v>
      </c>
      <c r="AD407" s="8">
        <f t="shared" si="79"/>
        <v>0.62009846021305981</v>
      </c>
      <c r="AE407" s="3">
        <f t="shared" si="80"/>
        <v>8.1516208810371946E-3</v>
      </c>
      <c r="AF407" s="11">
        <f t="shared" si="81"/>
        <v>32.916666666666508</v>
      </c>
      <c r="AG407" s="1">
        <f t="shared" si="82"/>
        <v>0.12889973768935187</v>
      </c>
    </row>
    <row r="408" spans="2:33" ht="15" x14ac:dyDescent="0.25">
      <c r="B408" s="1">
        <v>397</v>
      </c>
      <c r="C408" s="1">
        <v>1.0006732963463736</v>
      </c>
      <c r="D408" s="1">
        <v>1.2152861378796704</v>
      </c>
      <c r="E408" s="1">
        <v>0.82196231211582604</v>
      </c>
      <c r="G408" s="1">
        <v>0.99952864086210336</v>
      </c>
      <c r="H408" s="1">
        <v>5.1692352691018284</v>
      </c>
      <c r="I408" s="1">
        <v>0.15952418757791864</v>
      </c>
      <c r="K408" s="1">
        <v>0.99995260782233675</v>
      </c>
      <c r="L408" s="1">
        <v>1.55366270400466</v>
      </c>
      <c r="M408" s="1">
        <v>0.63517904358355415</v>
      </c>
      <c r="O408" s="1">
        <v>7.5449087831977475E-3</v>
      </c>
      <c r="P408" s="1">
        <v>0.77910400411776359</v>
      </c>
      <c r="R408" s="1">
        <v>0.16076763240690789</v>
      </c>
      <c r="S408" s="2">
        <f t="shared" si="84"/>
        <v>0.7423938376267043</v>
      </c>
      <c r="T408" s="4">
        <f t="shared" si="85"/>
        <v>0.55114861014610539</v>
      </c>
      <c r="U408" s="1">
        <f t="shared" si="76"/>
        <v>0.50059757047365183</v>
      </c>
      <c r="V408" s="6">
        <f>2*sigma/alpha*corel*(B408/12-1/alpha*(1-EXP(-alpha*Output!B408/12)))</f>
        <v>1.8424364585313491</v>
      </c>
      <c r="W408" s="5">
        <f t="shared" si="86"/>
        <v>-5.0551039672453557E-2</v>
      </c>
      <c r="X408" s="1">
        <f t="shared" si="87"/>
        <v>10.084159687046894</v>
      </c>
      <c r="Y408" s="3">
        <f t="shared" si="77"/>
        <v>2.0147911380015489E-2</v>
      </c>
      <c r="Z408" s="1">
        <f t="shared" si="78"/>
        <v>0.12907131297515978</v>
      </c>
      <c r="AA408" s="8">
        <f t="shared" si="83"/>
        <v>32.999999999999844</v>
      </c>
      <c r="AB408" s="1">
        <v>33.08</v>
      </c>
      <c r="AC408" s="1">
        <v>7.6066450480000002E-3</v>
      </c>
      <c r="AD408" s="8">
        <f t="shared" si="79"/>
        <v>0.61736264802252783</v>
      </c>
      <c r="AE408" s="3">
        <f t="shared" si="80"/>
        <v>8.1160964410301982E-3</v>
      </c>
      <c r="AF408" s="11">
        <f t="shared" si="81"/>
        <v>32.999999999999844</v>
      </c>
      <c r="AG408" s="1">
        <f t="shared" si="82"/>
        <v>0.12907131297515978</v>
      </c>
    </row>
    <row r="409" spans="2:33" ht="15" x14ac:dyDescent="0.25">
      <c r="B409" s="1">
        <v>398</v>
      </c>
      <c r="C409" s="1">
        <v>1.0006745985483085</v>
      </c>
      <c r="D409" s="1">
        <v>1.215565522699253</v>
      </c>
      <c r="E409" s="1">
        <v>0.8217716143604662</v>
      </c>
      <c r="G409" s="1">
        <v>0.99945494996749007</v>
      </c>
      <c r="H409" s="1">
        <v>5.1747251561930696</v>
      </c>
      <c r="I409" s="1">
        <v>0.15927785091900418</v>
      </c>
      <c r="K409" s="1">
        <v>0.99995699724707343</v>
      </c>
      <c r="L409" s="1">
        <v>1.5524146756736932</v>
      </c>
      <c r="M409" s="1">
        <v>0.63566669061987502</v>
      </c>
      <c r="O409" s="1">
        <v>7.5447431424745682E-3</v>
      </c>
      <c r="P409" s="1">
        <v>0.77861857988629768</v>
      </c>
      <c r="R409" s="1">
        <v>0.16114785678841773</v>
      </c>
      <c r="S409" s="2">
        <f t="shared" si="84"/>
        <v>0.74442205878765466</v>
      </c>
      <c r="T409" s="4">
        <f t="shared" si="85"/>
        <v>0.55416420160965041</v>
      </c>
      <c r="U409" s="1">
        <f t="shared" si="76"/>
        <v>0.50340509745075757</v>
      </c>
      <c r="V409" s="6">
        <f>2*sigma/alpha*corel*(B409/12-1/alpha*(1-EXP(-alpha*Output!B409/12)))</f>
        <v>1.8500843430923291</v>
      </c>
      <c r="W409" s="5">
        <f t="shared" si="86"/>
        <v>-5.0759104158892843E-2</v>
      </c>
      <c r="X409" s="1">
        <f t="shared" si="87"/>
        <v>10.156853228301825</v>
      </c>
      <c r="Y409" s="3">
        <f t="shared" si="77"/>
        <v>2.0154233573976135E-2</v>
      </c>
      <c r="Z409" s="1">
        <f t="shared" si="78"/>
        <v>0.12926124086608762</v>
      </c>
      <c r="AA409" s="8">
        <f t="shared" si="83"/>
        <v>33.083333333333179</v>
      </c>
      <c r="AB409" s="1">
        <v>33.17</v>
      </c>
      <c r="AC409" s="1">
        <v>7.6062349660000004E-3</v>
      </c>
      <c r="AD409" s="8">
        <f t="shared" si="79"/>
        <v>0.61491823525432199</v>
      </c>
      <c r="AE409" s="3">
        <f t="shared" si="80"/>
        <v>8.0843970506172501E-3</v>
      </c>
      <c r="AF409" s="11">
        <f t="shared" si="81"/>
        <v>33.083333333333179</v>
      </c>
      <c r="AG409" s="1">
        <f t="shared" si="82"/>
        <v>0.12926124086608762</v>
      </c>
    </row>
    <row r="410" spans="2:33" ht="15" x14ac:dyDescent="0.25">
      <c r="B410" s="1">
        <v>399</v>
      </c>
      <c r="C410" s="1">
        <v>1.0006774079057017</v>
      </c>
      <c r="D410" s="1">
        <v>1.2118202495635491</v>
      </c>
      <c r="E410" s="1">
        <v>0.82430960826451161</v>
      </c>
      <c r="G410" s="1">
        <v>0.99950734867830193</v>
      </c>
      <c r="H410" s="1">
        <v>5.0371026895403475</v>
      </c>
      <c r="I410" s="1">
        <v>0.16355043547577869</v>
      </c>
      <c r="K410" s="1">
        <v>0.99994221354263091</v>
      </c>
      <c r="L410" s="1">
        <v>1.5583518214235557</v>
      </c>
      <c r="M410" s="1">
        <v>0.63322164492092692</v>
      </c>
      <c r="O410" s="1">
        <v>7.54455403045957E-3</v>
      </c>
      <c r="P410" s="1">
        <v>0.7781340868538531</v>
      </c>
      <c r="R410" s="1">
        <v>0.16148018251907273</v>
      </c>
      <c r="S410" s="2">
        <f t="shared" si="84"/>
        <v>0.74629635821668416</v>
      </c>
      <c r="T410" s="4">
        <f t="shared" si="85"/>
        <v>0.55695825428748535</v>
      </c>
      <c r="U410" s="1">
        <f t="shared" si="76"/>
        <v>0.50621939332393806</v>
      </c>
      <c r="V410" s="6">
        <f>2*sigma/alpha*corel*(B410/12-1/alpha*(1-EXP(-alpha*Output!B410/12)))</f>
        <v>1.85774144156195</v>
      </c>
      <c r="W410" s="5">
        <f t="shared" si="86"/>
        <v>-5.0738860963547294E-2</v>
      </c>
      <c r="X410" s="1">
        <f t="shared" si="87"/>
        <v>10.199471771848462</v>
      </c>
      <c r="Y410" s="3">
        <f t="shared" si="77"/>
        <v>2.0089018715438937E-2</v>
      </c>
      <c r="Z410" s="1">
        <f t="shared" si="78"/>
        <v>0.12942420248584613</v>
      </c>
      <c r="AA410" s="8">
        <f t="shared" si="83"/>
        <v>33.166666666666515</v>
      </c>
      <c r="AB410" s="1">
        <v>33.25</v>
      </c>
      <c r="AC410" s="1">
        <v>7.6058269049999998E-3</v>
      </c>
      <c r="AD410" s="8">
        <f t="shared" si="79"/>
        <v>0.61272874540429889</v>
      </c>
      <c r="AE410" s="3">
        <f t="shared" si="80"/>
        <v>8.0560437813999783E-3</v>
      </c>
      <c r="AF410" s="11">
        <f t="shared" si="81"/>
        <v>33.166666666666515</v>
      </c>
      <c r="AG410" s="1">
        <f t="shared" si="82"/>
        <v>0.12942420248584613</v>
      </c>
    </row>
    <row r="411" spans="2:33" ht="15" x14ac:dyDescent="0.25">
      <c r="B411" s="1">
        <v>400</v>
      </c>
      <c r="C411" s="1">
        <v>1.0006802443644893</v>
      </c>
      <c r="D411" s="1">
        <v>1.2104672174284195</v>
      </c>
      <c r="E411" s="1">
        <v>0.82522920875374861</v>
      </c>
      <c r="G411" s="1">
        <v>0.99958147515805817</v>
      </c>
      <c r="H411" s="1">
        <v>4.9826651049901454</v>
      </c>
      <c r="I411" s="1">
        <v>0.16525729684337595</v>
      </c>
      <c r="K411" s="1">
        <v>0.99994914337929319</v>
      </c>
      <c r="L411" s="1">
        <v>1.5717776825466492</v>
      </c>
      <c r="M411" s="1">
        <v>0.62779146378499839</v>
      </c>
      <c r="O411" s="1">
        <v>7.5444022156972625E-3</v>
      </c>
      <c r="P411" s="1">
        <v>0.77764895299995673</v>
      </c>
      <c r="R411" s="1">
        <v>0.16186117395871855</v>
      </c>
      <c r="S411" s="2">
        <f t="shared" si="84"/>
        <v>0.74833052556380486</v>
      </c>
      <c r="T411" s="4">
        <f t="shared" si="85"/>
        <v>0.55999857549060039</v>
      </c>
      <c r="U411" s="1">
        <f t="shared" si="76"/>
        <v>0.50904044367716583</v>
      </c>
      <c r="V411" s="6">
        <f>2*sigma/alpha*corel*(B411/12-1/alpha*(1-EXP(-alpha*Output!B411/12)))</f>
        <v>1.8654077232783131</v>
      </c>
      <c r="W411" s="5">
        <f t="shared" si="86"/>
        <v>-5.095813181343456E-2</v>
      </c>
      <c r="X411" s="1">
        <f t="shared" si="87"/>
        <v>10.274163549190988</v>
      </c>
      <c r="Y411" s="3">
        <f t="shared" si="77"/>
        <v>2.0098888295666768E-2</v>
      </c>
      <c r="Z411" s="1">
        <f t="shared" si="78"/>
        <v>0.12961464911312304</v>
      </c>
      <c r="AA411" s="8">
        <f t="shared" si="83"/>
        <v>33.249999999999851</v>
      </c>
      <c r="AB411" s="1">
        <v>33.33</v>
      </c>
      <c r="AC411" s="1">
        <v>7.6054208530000004E-3</v>
      </c>
      <c r="AD411" s="8">
        <f t="shared" si="79"/>
        <v>0.61018637302737844</v>
      </c>
      <c r="AE411" s="3">
        <f t="shared" si="80"/>
        <v>8.0230454674534817E-3</v>
      </c>
      <c r="AF411" s="11">
        <f t="shared" si="81"/>
        <v>33.249999999999851</v>
      </c>
      <c r="AG411" s="1">
        <f t="shared" si="82"/>
        <v>0.12961464911312304</v>
      </c>
    </row>
    <row r="412" spans="2:33" ht="15" x14ac:dyDescent="0.25">
      <c r="B412" s="1">
        <v>401</v>
      </c>
      <c r="C412" s="1">
        <v>1.0006820753605195</v>
      </c>
      <c r="D412" s="1">
        <v>1.2063131706866368</v>
      </c>
      <c r="E412" s="1">
        <v>0.82806915531073322</v>
      </c>
      <c r="G412" s="1">
        <v>0.99956370896686186</v>
      </c>
      <c r="H412" s="1">
        <v>4.8254965868659632</v>
      </c>
      <c r="I412" s="1">
        <v>0.17055724123206764</v>
      </c>
      <c r="K412" s="1">
        <v>0.99995547301143628</v>
      </c>
      <c r="L412" s="1">
        <v>1.5813256867995855</v>
      </c>
      <c r="M412" s="1">
        <v>0.62398505142198224</v>
      </c>
      <c r="O412" s="1">
        <v>7.5443330733194133E-3</v>
      </c>
      <c r="P412" s="1">
        <v>0.77716199425247401</v>
      </c>
      <c r="R412" s="1">
        <v>0.16218819045490274</v>
      </c>
      <c r="S412" s="2">
        <f t="shared" si="84"/>
        <v>0.75019554839664937</v>
      </c>
      <c r="T412" s="4">
        <f t="shared" si="85"/>
        <v>0.56279336083414944</v>
      </c>
      <c r="U412" s="1">
        <f t="shared" si="76"/>
        <v>0.51186823408850524</v>
      </c>
      <c r="V412" s="6">
        <f>2*sigma/alpha*corel*(B412/12-1/alpha*(1-EXP(-alpha*Output!B412/12)))</f>
        <v>1.873083157681557</v>
      </c>
      <c r="W412" s="5">
        <f t="shared" si="86"/>
        <v>-5.09251267456442E-2</v>
      </c>
      <c r="X412" s="1">
        <f t="shared" si="87"/>
        <v>10.315432457258087</v>
      </c>
      <c r="Y412" s="3">
        <f t="shared" si="77"/>
        <v>2.0030147693367945E-2</v>
      </c>
      <c r="Z412" s="1">
        <f t="shared" si="78"/>
        <v>0.12977556235118218</v>
      </c>
      <c r="AA412" s="8">
        <f t="shared" si="83"/>
        <v>33.333333333333186</v>
      </c>
      <c r="AB412" s="1">
        <v>33.42</v>
      </c>
      <c r="AC412" s="1">
        <v>7.6050168009999999E-3</v>
      </c>
      <c r="AD412" s="8">
        <f t="shared" si="79"/>
        <v>0.60683727680586541</v>
      </c>
      <c r="AE412" s="3">
        <f t="shared" si="80"/>
        <v>7.9794337433425674E-3</v>
      </c>
      <c r="AF412" s="11">
        <f t="shared" si="81"/>
        <v>33.333333333333186</v>
      </c>
      <c r="AG412" s="1">
        <f t="shared" si="82"/>
        <v>0.12977556235118218</v>
      </c>
    </row>
    <row r="413" spans="2:33" ht="15" x14ac:dyDescent="0.25">
      <c r="B413" s="1">
        <v>402</v>
      </c>
      <c r="C413" s="1">
        <v>1.0006817487982316</v>
      </c>
      <c r="D413" s="1">
        <v>1.2066275868248071</v>
      </c>
      <c r="E413" s="1">
        <v>0.82785157414190469</v>
      </c>
      <c r="G413" s="1">
        <v>0.99937011594996517</v>
      </c>
      <c r="H413" s="1">
        <v>4.8357387258418649</v>
      </c>
      <c r="I413" s="1">
        <v>0.17011365618812863</v>
      </c>
      <c r="K413" s="1">
        <v>0.99996999822898491</v>
      </c>
      <c r="L413" s="1">
        <v>1.5603230875121985</v>
      </c>
      <c r="M413" s="1">
        <v>0.63236015939532531</v>
      </c>
      <c r="O413" s="1">
        <v>7.5442131137334334E-3</v>
      </c>
      <c r="P413" s="1">
        <v>0.77667667158057474</v>
      </c>
      <c r="R413" s="1">
        <v>0.16256933938505255</v>
      </c>
      <c r="S413" s="2">
        <f t="shared" si="84"/>
        <v>0.75223451269734221</v>
      </c>
      <c r="T413" s="4">
        <f t="shared" si="85"/>
        <v>0.56585676209300784</v>
      </c>
      <c r="U413" s="1">
        <f t="shared" si="76"/>
        <v>0.51470275013048905</v>
      </c>
      <c r="V413" s="6">
        <f>2*sigma/alpha*corel*(B413/12-1/alpha*(1-EXP(-alpha*Output!B413/12)))</f>
        <v>1.8807677143135186</v>
      </c>
      <c r="W413" s="5">
        <f t="shared" si="86"/>
        <v>-5.1154011962518786E-2</v>
      </c>
      <c r="X413" s="1">
        <f t="shared" si="87"/>
        <v>10.391924798181616</v>
      </c>
      <c r="Y413" s="3">
        <f t="shared" si="77"/>
        <v>2.0043031865444417E-2</v>
      </c>
      <c r="Z413" s="1">
        <f t="shared" si="78"/>
        <v>0.12996632883036294</v>
      </c>
      <c r="AA413" s="8">
        <f t="shared" si="83"/>
        <v>33.416666666666522</v>
      </c>
      <c r="AB413" s="1">
        <v>33.5</v>
      </c>
      <c r="AC413" s="1">
        <v>7.6046147379999996E-3</v>
      </c>
      <c r="AD413" s="8">
        <f t="shared" si="79"/>
        <v>0.60401624266566245</v>
      </c>
      <c r="AE413" s="3">
        <f t="shared" si="80"/>
        <v>7.9427592780922079E-3</v>
      </c>
      <c r="AF413" s="11">
        <f t="shared" si="81"/>
        <v>33.416666666666522</v>
      </c>
      <c r="AG413" s="1">
        <f t="shared" si="82"/>
        <v>0.12996632883036294</v>
      </c>
    </row>
    <row r="414" spans="2:33" ht="15" x14ac:dyDescent="0.25">
      <c r="B414" s="1">
        <v>403</v>
      </c>
      <c r="C414" s="1">
        <v>1.0006846943885899</v>
      </c>
      <c r="D414" s="1">
        <v>1.2086385646285474</v>
      </c>
      <c r="E414" s="1">
        <v>0.82647235565122279</v>
      </c>
      <c r="G414" s="1">
        <v>0.99945338038673359</v>
      </c>
      <c r="H414" s="1">
        <v>4.9078884211089369</v>
      </c>
      <c r="I414" s="1">
        <v>0.16753176218565929</v>
      </c>
      <c r="K414" s="1">
        <v>0.99996775519919945</v>
      </c>
      <c r="L414" s="1">
        <v>1.5598270965681271</v>
      </c>
      <c r="M414" s="1">
        <v>0.63254399146889995</v>
      </c>
      <c r="O414" s="1">
        <v>7.5440527382395432E-3</v>
      </c>
      <c r="P414" s="1">
        <v>0.77619272102829551</v>
      </c>
      <c r="R414" s="1">
        <v>0.16297720205764371</v>
      </c>
      <c r="S414" s="2">
        <f t="shared" si="84"/>
        <v>0.75435958168456185</v>
      </c>
      <c r="T414" s="4">
        <f t="shared" si="85"/>
        <v>0.56905837847930718</v>
      </c>
      <c r="U414" s="1">
        <f t="shared" si="76"/>
        <v>0.51754397737049151</v>
      </c>
      <c r="V414" s="6">
        <f>2*sigma/alpha*corel*(B414/12-1/alpha*(1-EXP(-alpha*Output!B414/12)))</f>
        <v>1.8884613628173912</v>
      </c>
      <c r="W414" s="5">
        <f t="shared" si="86"/>
        <v>-5.1514401108815666E-2</v>
      </c>
      <c r="X414" s="1">
        <f t="shared" si="87"/>
        <v>10.486387534471689</v>
      </c>
      <c r="Y414" s="3">
        <f t="shared" si="77"/>
        <v>2.0096394880553231E-2</v>
      </c>
      <c r="Z414" s="1">
        <f t="shared" si="78"/>
        <v>0.1301716803175865</v>
      </c>
      <c r="AA414" s="8">
        <f t="shared" si="83"/>
        <v>33.499999999999858</v>
      </c>
      <c r="AB414" s="1">
        <v>33.58</v>
      </c>
      <c r="AC414" s="1">
        <v>7.6042146530000002E-3</v>
      </c>
      <c r="AD414" s="8">
        <f t="shared" si="79"/>
        <v>0.60161914760457036</v>
      </c>
      <c r="AE414" s="3">
        <f t="shared" si="80"/>
        <v>7.9116539321680071E-3</v>
      </c>
      <c r="AF414" s="11">
        <f t="shared" si="81"/>
        <v>33.499999999999858</v>
      </c>
      <c r="AG414" s="1">
        <f t="shared" si="82"/>
        <v>0.1301716803175865</v>
      </c>
    </row>
    <row r="415" spans="2:33" ht="15" x14ac:dyDescent="0.25">
      <c r="B415" s="1">
        <v>404</v>
      </c>
      <c r="C415" s="1">
        <v>1.000689373251006</v>
      </c>
      <c r="D415" s="1">
        <v>1.2081853066184198</v>
      </c>
      <c r="E415" s="1">
        <v>0.82678059877146415</v>
      </c>
      <c r="G415" s="1">
        <v>0.99966945425585652</v>
      </c>
      <c r="H415" s="1">
        <v>4.8891680695979547</v>
      </c>
      <c r="I415" s="1">
        <v>0.16809186666325687</v>
      </c>
      <c r="K415" s="1">
        <v>0.99996958874806341</v>
      </c>
      <c r="L415" s="1">
        <v>1.5601133029174474</v>
      </c>
      <c r="M415" s="1">
        <v>0.63240568058990509</v>
      </c>
      <c r="O415" s="1">
        <v>7.5438394120765397E-3</v>
      </c>
      <c r="P415" s="1">
        <v>0.77571047559831519</v>
      </c>
      <c r="R415" s="1">
        <v>0.16336889560342646</v>
      </c>
      <c r="S415" s="2">
        <f t="shared" si="84"/>
        <v>0.75643167117345955</v>
      </c>
      <c r="T415" s="4">
        <f t="shared" si="85"/>
        <v>0.5721888731542728</v>
      </c>
      <c r="U415" s="1">
        <f t="shared" si="76"/>
        <v>0.52039190137109959</v>
      </c>
      <c r="V415" s="6">
        <f>2*sigma/alpha*corel*(B415/12-1/alpha*(1-EXP(-alpha*Output!B415/12)))</f>
        <v>1.8961640729373883</v>
      </c>
      <c r="W415" s="5">
        <f t="shared" si="86"/>
        <v>-5.1796971783173218E-2</v>
      </c>
      <c r="X415" s="1">
        <f t="shared" si="87"/>
        <v>10.570763724965833</v>
      </c>
      <c r="Y415" s="3">
        <f t="shared" si="77"/>
        <v>2.0125351794044601E-2</v>
      </c>
      <c r="Z415" s="1">
        <f t="shared" si="78"/>
        <v>0.13036759222902089</v>
      </c>
      <c r="AA415" s="8">
        <f t="shared" si="83"/>
        <v>33.583333333333194</v>
      </c>
      <c r="AB415" s="1">
        <v>33.67</v>
      </c>
      <c r="AC415" s="1">
        <v>7.6038165370000002E-3</v>
      </c>
      <c r="AD415" s="8">
        <f t="shared" si="79"/>
        <v>0.5997712492346059</v>
      </c>
      <c r="AE415" s="3">
        <f t="shared" si="80"/>
        <v>7.8877659174985681E-3</v>
      </c>
      <c r="AF415" s="11">
        <f t="shared" si="81"/>
        <v>33.583333333333194</v>
      </c>
      <c r="AG415" s="1">
        <f t="shared" si="82"/>
        <v>0.13036759222902089</v>
      </c>
    </row>
    <row r="416" spans="2:33" ht="15" x14ac:dyDescent="0.25">
      <c r="B416" s="1">
        <v>405</v>
      </c>
      <c r="C416" s="1">
        <v>1.0006904550130249</v>
      </c>
      <c r="D416" s="1">
        <v>1.2112043266488817</v>
      </c>
      <c r="E416" s="1">
        <v>0.82471797233504629</v>
      </c>
      <c r="G416" s="1">
        <v>0.99960685973777252</v>
      </c>
      <c r="H416" s="1">
        <v>4.9992433648145882</v>
      </c>
      <c r="I416" s="1">
        <v>0.16431121865017562</v>
      </c>
      <c r="K416" s="1">
        <v>0.99998028645286208</v>
      </c>
      <c r="L416" s="1">
        <v>1.562292348382714</v>
      </c>
      <c r="M416" s="1">
        <v>0.63149903666537477</v>
      </c>
      <c r="O416" s="1">
        <v>7.5436880539665966E-3</v>
      </c>
      <c r="P416" s="1">
        <v>0.77522693602004267</v>
      </c>
      <c r="R416" s="1">
        <v>0.16374259513545206</v>
      </c>
      <c r="S416" s="2">
        <f t="shared" si="84"/>
        <v>0.75844978490395687</v>
      </c>
      <c r="T416" s="4">
        <f t="shared" si="85"/>
        <v>0.57524607622085844</v>
      </c>
      <c r="U416" s="1">
        <f t="shared" si="76"/>
        <v>0.52324650769048153</v>
      </c>
      <c r="V416" s="6">
        <f>2*sigma/alpha*corel*(B416/12-1/alpha*(1-EXP(-alpha*Output!B416/12)))</f>
        <v>1.9038758145184111</v>
      </c>
      <c r="W416" s="5">
        <f t="shared" si="86"/>
        <v>-5.1999568530376905E-2</v>
      </c>
      <c r="X416" s="1">
        <f t="shared" si="87"/>
        <v>10.644684868709026</v>
      </c>
      <c r="Y416" s="3">
        <f t="shared" si="77"/>
        <v>2.0129533508699001E-2</v>
      </c>
      <c r="Z416" s="1">
        <f t="shared" si="78"/>
        <v>0.13055392826078321</v>
      </c>
      <c r="AA416" s="8">
        <f t="shared" si="83"/>
        <v>33.666666666666529</v>
      </c>
      <c r="AB416" s="1">
        <v>33.75</v>
      </c>
      <c r="AC416" s="1">
        <v>7.6034203790000003E-3</v>
      </c>
      <c r="AD416" s="8">
        <f t="shared" si="79"/>
        <v>0.59732325033403677</v>
      </c>
      <c r="AE416" s="3">
        <f t="shared" si="80"/>
        <v>7.8559808686074067E-3</v>
      </c>
      <c r="AF416" s="11">
        <f t="shared" si="81"/>
        <v>33.666666666666529</v>
      </c>
      <c r="AG416" s="1">
        <f t="shared" si="82"/>
        <v>0.13055392826078321</v>
      </c>
    </row>
    <row r="417" spans="2:33" ht="15" x14ac:dyDescent="0.25">
      <c r="B417" s="1">
        <v>406</v>
      </c>
      <c r="C417" s="1">
        <v>1.0006917884853956</v>
      </c>
      <c r="D417" s="1">
        <v>1.213526429830631</v>
      </c>
      <c r="E417" s="1">
        <v>0.82313804791769107</v>
      </c>
      <c r="G417" s="1">
        <v>0.99956235573778518</v>
      </c>
      <c r="H417" s="1">
        <v>5.0840645581839077</v>
      </c>
      <c r="I417" s="1">
        <v>0.16149172241972981</v>
      </c>
      <c r="K417" s="1">
        <v>0.99998707464909842</v>
      </c>
      <c r="L417" s="1">
        <v>1.5514563841174653</v>
      </c>
      <c r="M417" s="1">
        <v>0.63589894509175093</v>
      </c>
      <c r="O417" s="1">
        <v>7.5435438364860764E-3</v>
      </c>
      <c r="P417" s="1">
        <v>0.77474353022909026</v>
      </c>
      <c r="R417" s="1">
        <v>0.16410738485856158</v>
      </c>
      <c r="S417" s="2">
        <f t="shared" si="84"/>
        <v>0.76044084725034078</v>
      </c>
      <c r="T417" s="4">
        <f t="shared" si="85"/>
        <v>0.57827028216681609</v>
      </c>
      <c r="U417" s="1">
        <f t="shared" si="76"/>
        <v>0.52610778188274621</v>
      </c>
      <c r="V417" s="6">
        <f>2*sigma/alpha*corel*(B417/12-1/alpha*(1-EXP(-alpha*Output!B417/12)))</f>
        <v>1.9115965575057072</v>
      </c>
      <c r="W417" s="5">
        <f t="shared" si="86"/>
        <v>-5.2162500284069879E-2</v>
      </c>
      <c r="X417" s="1">
        <f t="shared" si="87"/>
        <v>10.713526437111794</v>
      </c>
      <c r="Y417" s="3">
        <f t="shared" si="77"/>
        <v>2.0121514470077213E-2</v>
      </c>
      <c r="Z417" s="1">
        <f t="shared" si="78"/>
        <v>0.13073535282331603</v>
      </c>
      <c r="AA417" s="8">
        <f t="shared" si="83"/>
        <v>33.749999999999865</v>
      </c>
      <c r="AB417" s="1">
        <v>33.83</v>
      </c>
      <c r="AC417" s="1">
        <v>7.6030261710000003E-3</v>
      </c>
      <c r="AD417" s="8">
        <f t="shared" si="79"/>
        <v>0.59482334513923962</v>
      </c>
      <c r="AE417" s="3">
        <f t="shared" si="80"/>
        <v>7.8235077949364018E-3</v>
      </c>
      <c r="AF417" s="11">
        <f t="shared" si="81"/>
        <v>33.749999999999865</v>
      </c>
      <c r="AG417" s="1">
        <f t="shared" si="82"/>
        <v>0.13073535282331603</v>
      </c>
    </row>
    <row r="418" spans="2:33" ht="15" x14ac:dyDescent="0.25">
      <c r="B418" s="1">
        <v>407</v>
      </c>
      <c r="C418" s="1">
        <v>1.0006934003323691</v>
      </c>
      <c r="D418" s="1">
        <v>1.2125792374184896</v>
      </c>
      <c r="E418" s="1">
        <v>0.8237792140578466</v>
      </c>
      <c r="G418" s="1">
        <v>0.99950908866976773</v>
      </c>
      <c r="H418" s="1">
        <v>5.0416070203096686</v>
      </c>
      <c r="I418" s="1">
        <v>0.1627729217473835</v>
      </c>
      <c r="K418" s="1">
        <v>0.99999024246376012</v>
      </c>
      <c r="L418" s="1">
        <v>1.5573040764165185</v>
      </c>
      <c r="M418" s="1">
        <v>0.63347597680555012</v>
      </c>
      <c r="O418" s="1">
        <v>7.543386431411411E-3</v>
      </c>
      <c r="P418" s="1">
        <v>0.77426079079495846</v>
      </c>
      <c r="R418" s="1">
        <v>0.16447611992296698</v>
      </c>
      <c r="S418" s="2">
        <f t="shared" si="84"/>
        <v>0.76244557149853831</v>
      </c>
      <c r="T418" s="4">
        <f t="shared" si="85"/>
        <v>0.58132324949773273</v>
      </c>
      <c r="U418" s="1">
        <f t="shared" si="76"/>
        <v>0.5289757094983063</v>
      </c>
      <c r="V418" s="6">
        <f>2*sigma/alpha*corel*(B418/12-1/alpha*(1-EXP(-alpha*Output!B418/12)))</f>
        <v>1.9193262719445414</v>
      </c>
      <c r="W418" s="5">
        <f t="shared" si="86"/>
        <v>-5.2347539999426429E-2</v>
      </c>
      <c r="X418" s="1">
        <f t="shared" si="87"/>
        <v>10.785629598098717</v>
      </c>
      <c r="Y418" s="3">
        <f t="shared" si="77"/>
        <v>2.0120225429215516E-2</v>
      </c>
      <c r="Z418" s="1">
        <f t="shared" si="78"/>
        <v>0.13091887498731028</v>
      </c>
      <c r="AA418" s="8">
        <f t="shared" si="83"/>
        <v>33.833333333333201</v>
      </c>
      <c r="AB418" s="1">
        <v>33.92</v>
      </c>
      <c r="AC418" s="1">
        <v>7.6026339030000004E-3</v>
      </c>
      <c r="AD418" s="8">
        <f t="shared" si="79"/>
        <v>0.59247471588589473</v>
      </c>
      <c r="AE418" s="3">
        <f t="shared" si="80"/>
        <v>7.7930191489571018E-3</v>
      </c>
      <c r="AF418" s="11">
        <f t="shared" si="81"/>
        <v>33.833333333333201</v>
      </c>
      <c r="AG418" s="1">
        <f t="shared" si="82"/>
        <v>0.13091887498731028</v>
      </c>
    </row>
    <row r="419" spans="2:33" ht="15" x14ac:dyDescent="0.25">
      <c r="B419" s="1">
        <v>408</v>
      </c>
      <c r="C419" s="1">
        <v>1.000693788491493</v>
      </c>
      <c r="D419" s="1">
        <v>1.2100484855784097</v>
      </c>
      <c r="E419" s="1">
        <v>0.82550027856009145</v>
      </c>
      <c r="G419" s="1">
        <v>0.99937053042264057</v>
      </c>
      <c r="H419" s="1">
        <v>4.9459555988637129</v>
      </c>
      <c r="I419" s="1">
        <v>0.16584056251237916</v>
      </c>
      <c r="K419" s="1">
        <v>0.9999866782735165</v>
      </c>
      <c r="L419" s="1">
        <v>1.5465496572062665</v>
      </c>
      <c r="M419" s="1">
        <v>0.63786440278339873</v>
      </c>
      <c r="O419" s="1">
        <v>7.5431602117505157E-3</v>
      </c>
      <c r="P419" s="1">
        <v>0.77378018286140526</v>
      </c>
      <c r="R419" s="1">
        <v>0.16483314905961474</v>
      </c>
      <c r="S419" s="2">
        <f t="shared" si="84"/>
        <v>0.76441076272567199</v>
      </c>
      <c r="T419" s="4">
        <f t="shared" si="85"/>
        <v>0.58432381417084356</v>
      </c>
      <c r="U419" s="1">
        <f t="shared" si="76"/>
        <v>0.53185027608423496</v>
      </c>
      <c r="V419" s="6">
        <f>2*sigma/alpha*corel*(B419/12-1/alpha*(1-EXP(-alpha*Output!B419/12)))</f>
        <v>1.927064927979862</v>
      </c>
      <c r="W419" s="5">
        <f t="shared" si="86"/>
        <v>-5.2473538086608595E-2</v>
      </c>
      <c r="X419" s="1">
        <f t="shared" si="87"/>
        <v>10.849980416428799</v>
      </c>
      <c r="Y419" s="3">
        <f t="shared" si="77"/>
        <v>2.0100969378627709E-2</v>
      </c>
      <c r="Z419" s="1">
        <f t="shared" si="78"/>
        <v>0.13109536427515878</v>
      </c>
      <c r="AA419" s="8">
        <f t="shared" si="83"/>
        <v>33.916666666666536</v>
      </c>
      <c r="AB419" s="1">
        <v>34</v>
      </c>
      <c r="AC419" s="1">
        <v>7.6022435640000002E-3</v>
      </c>
      <c r="AD419" s="8">
        <f t="shared" si="79"/>
        <v>0.59083352249484489</v>
      </c>
      <c r="AE419" s="3">
        <f t="shared" si="80"/>
        <v>7.7718310064768771E-3</v>
      </c>
      <c r="AF419" s="11">
        <f t="shared" si="81"/>
        <v>33.916666666666536</v>
      </c>
      <c r="AG419" s="1">
        <f t="shared" si="82"/>
        <v>0.13109536427515878</v>
      </c>
    </row>
    <row r="420" spans="2:33" ht="15" x14ac:dyDescent="0.25">
      <c r="B420" s="1">
        <v>409</v>
      </c>
      <c r="C420" s="1">
        <v>1.0006943082360058</v>
      </c>
      <c r="D420" s="1">
        <v>1.2113736361515763</v>
      </c>
      <c r="E420" s="1">
        <v>0.82459541603470687</v>
      </c>
      <c r="G420" s="1">
        <v>0.99923728529271816</v>
      </c>
      <c r="H420" s="1">
        <v>4.9917409857273256</v>
      </c>
      <c r="I420" s="1">
        <v>0.16423993244546289</v>
      </c>
      <c r="K420" s="1">
        <v>0.99998511358276987</v>
      </c>
      <c r="L420" s="1">
        <v>1.5470549158570699</v>
      </c>
      <c r="M420" s="1">
        <v>0.63763670594571331</v>
      </c>
      <c r="O420" s="1">
        <v>7.5429514203252598E-3</v>
      </c>
      <c r="P420" s="1">
        <v>0.77329944306262832</v>
      </c>
      <c r="R420" s="1">
        <v>0.16523339843118667</v>
      </c>
      <c r="S420" s="2">
        <f t="shared" si="84"/>
        <v>0.7665183913289948</v>
      </c>
      <c r="T420" s="4">
        <f t="shared" si="85"/>
        <v>0.58755044424559</v>
      </c>
      <c r="U420" s="1">
        <f t="shared" si="76"/>
        <v>0.5347314671846144</v>
      </c>
      <c r="V420" s="6">
        <f>2*sigma/alpha*corel*(B420/12-1/alpha*(1-EXP(-alpha*Output!B420/12)))</f>
        <v>1.9348124958559678</v>
      </c>
      <c r="W420" s="5">
        <f t="shared" si="86"/>
        <v>-5.2818977060975603E-2</v>
      </c>
      <c r="X420" s="1">
        <f t="shared" si="87"/>
        <v>10.944486600100074</v>
      </c>
      <c r="Y420" s="3">
        <f t="shared" si="77"/>
        <v>2.0148157687014855E-2</v>
      </c>
      <c r="Z420" s="1">
        <f t="shared" si="78"/>
        <v>0.13129601608939398</v>
      </c>
      <c r="AA420" s="8">
        <f t="shared" si="83"/>
        <v>33.999999999999872</v>
      </c>
      <c r="AB420" s="1">
        <v>34.08</v>
      </c>
      <c r="AC420" s="1">
        <v>7.6018551470000001E-3</v>
      </c>
      <c r="AD420" s="8">
        <f t="shared" si="79"/>
        <v>0.58903726674740253</v>
      </c>
      <c r="AE420" s="3">
        <f t="shared" si="80"/>
        <v>7.7485989321943406E-3</v>
      </c>
      <c r="AF420" s="11">
        <f t="shared" si="81"/>
        <v>33.999999999999872</v>
      </c>
      <c r="AG420" s="1">
        <f t="shared" si="82"/>
        <v>0.13129601608939398</v>
      </c>
    </row>
    <row r="421" spans="2:33" ht="15" x14ac:dyDescent="0.25">
      <c r="B421" s="1">
        <v>410</v>
      </c>
      <c r="C421" s="1">
        <v>1.0006972130013154</v>
      </c>
      <c r="D421" s="1">
        <v>1.207442362852003</v>
      </c>
      <c r="E421" s="1">
        <v>0.82727835153628226</v>
      </c>
      <c r="G421" s="1">
        <v>0.99931239053764453</v>
      </c>
      <c r="H421" s="1">
        <v>4.8511391617378727</v>
      </c>
      <c r="I421" s="1">
        <v>0.16891837321392084</v>
      </c>
      <c r="K421" s="1">
        <v>0.99998171466038666</v>
      </c>
      <c r="L421" s="1">
        <v>1.5500750586741492</v>
      </c>
      <c r="M421" s="1">
        <v>0.63636746442011571</v>
      </c>
      <c r="O421" s="1">
        <v>7.5427249276770799E-3</v>
      </c>
      <c r="P421" s="1">
        <v>0.77281949622911894</v>
      </c>
      <c r="R421" s="1">
        <v>0.16561465818280602</v>
      </c>
      <c r="S421" s="2">
        <f t="shared" si="84"/>
        <v>0.76856516918270001</v>
      </c>
      <c r="T421" s="4">
        <f t="shared" si="85"/>
        <v>0.59069241928083227</v>
      </c>
      <c r="U421" s="1">
        <f t="shared" si="76"/>
        <v>0.53761926834088936</v>
      </c>
      <c r="V421" s="6">
        <f>2*sigma/alpha*corel*(B421/12-1/alpha*(1-EXP(-alpha*Output!B421/12)))</f>
        <v>1.942568945916177</v>
      </c>
      <c r="W421" s="5">
        <f t="shared" si="86"/>
        <v>-5.3073150939942915E-2</v>
      </c>
      <c r="X421" s="1">
        <f t="shared" si="87"/>
        <v>11.026904738096754</v>
      </c>
      <c r="Y421" s="3">
        <f t="shared" si="77"/>
        <v>2.0167454768691636E-2</v>
      </c>
      <c r="Z421" s="1">
        <f t="shared" si="78"/>
        <v>0.13148596355922382</v>
      </c>
      <c r="AA421" s="8">
        <f t="shared" si="83"/>
        <v>34.083333333333208</v>
      </c>
      <c r="AB421" s="1">
        <v>34.17</v>
      </c>
      <c r="AC421" s="1">
        <v>7.6014686400000002E-3</v>
      </c>
      <c r="AD421" s="8">
        <f t="shared" si="79"/>
        <v>0.58743712322920261</v>
      </c>
      <c r="AE421" s="3">
        <f t="shared" si="80"/>
        <v>7.7279424680913051E-3</v>
      </c>
      <c r="AF421" s="11">
        <f t="shared" si="81"/>
        <v>34.083333333333208</v>
      </c>
      <c r="AG421" s="1">
        <f t="shared" si="82"/>
        <v>0.13148596355922382</v>
      </c>
    </row>
    <row r="422" spans="2:33" ht="15" x14ac:dyDescent="0.25">
      <c r="B422" s="1">
        <v>411</v>
      </c>
      <c r="C422" s="1">
        <v>1.0006956144560288</v>
      </c>
      <c r="D422" s="1">
        <v>1.2063539750729686</v>
      </c>
      <c r="E422" s="1">
        <v>0.82802288896814014</v>
      </c>
      <c r="G422" s="1">
        <v>0.99902076367873982</v>
      </c>
      <c r="H422" s="1">
        <v>4.8084361380455132</v>
      </c>
      <c r="I422" s="1">
        <v>0.17033605849299413</v>
      </c>
      <c r="K422" s="1">
        <v>0.99997952035473148</v>
      </c>
      <c r="L422" s="1">
        <v>1.5496817196537931</v>
      </c>
      <c r="M422" s="1">
        <v>0.63650414895261009</v>
      </c>
      <c r="O422" s="1">
        <v>7.5424652631077109E-3</v>
      </c>
      <c r="P422" s="1">
        <v>0.77234075391399881</v>
      </c>
      <c r="R422" s="1">
        <v>0.16595905536844013</v>
      </c>
      <c r="S422" s="2">
        <f t="shared" si="84"/>
        <v>0.7704921968408307</v>
      </c>
      <c r="T422" s="4">
        <f t="shared" si="85"/>
        <v>0.59365822539260937</v>
      </c>
      <c r="U422" s="1">
        <f t="shared" si="76"/>
        <v>0.5405136650922131</v>
      </c>
      <c r="V422" s="6">
        <f>2*sigma/alpha*corel*(B422/12-1/alpha*(1-EXP(-alpha*Output!B422/12)))</f>
        <v>1.950334248602501</v>
      </c>
      <c r="W422" s="5">
        <f t="shared" si="86"/>
        <v>-5.3144560300396271E-2</v>
      </c>
      <c r="X422" s="1">
        <f t="shared" si="87"/>
        <v>11.084608442426171</v>
      </c>
      <c r="Y422" s="3">
        <f t="shared" si="77"/>
        <v>2.0131697971175824E-2</v>
      </c>
      <c r="Z422" s="1">
        <f t="shared" si="78"/>
        <v>0.13165518171639473</v>
      </c>
      <c r="AA422" s="8">
        <f t="shared" si="83"/>
        <v>34.166666666666544</v>
      </c>
      <c r="AB422" s="1">
        <v>34.25</v>
      </c>
      <c r="AC422" s="1">
        <v>7.6010840289999996E-3</v>
      </c>
      <c r="AD422" s="8">
        <f t="shared" si="79"/>
        <v>0.58618765892288693</v>
      </c>
      <c r="AE422" s="3">
        <f t="shared" si="80"/>
        <v>7.711895522881174E-3</v>
      </c>
      <c r="AF422" s="11">
        <f t="shared" si="81"/>
        <v>34.166666666666544</v>
      </c>
      <c r="AG422" s="1">
        <f t="shared" si="82"/>
        <v>0.13165518171639473</v>
      </c>
    </row>
    <row r="423" spans="2:33" ht="15" x14ac:dyDescent="0.25">
      <c r="B423" s="1">
        <v>412</v>
      </c>
      <c r="C423" s="1">
        <v>1.0006980221628585</v>
      </c>
      <c r="D423" s="1">
        <v>1.2111597942929382</v>
      </c>
      <c r="E423" s="1">
        <v>0.82473549646826971</v>
      </c>
      <c r="G423" s="1">
        <v>0.99905499128133635</v>
      </c>
      <c r="H423" s="1">
        <v>4.9821617427942844</v>
      </c>
      <c r="I423" s="1">
        <v>0.16431698022815808</v>
      </c>
      <c r="K423" s="1">
        <v>0.99998024996680235</v>
      </c>
      <c r="L423" s="1">
        <v>1.5385185486648871</v>
      </c>
      <c r="M423" s="1">
        <v>0.64111208465959157</v>
      </c>
      <c r="O423" s="1">
        <v>7.5422487399010134E-3</v>
      </c>
      <c r="P423" s="1">
        <v>0.77186119830051092</v>
      </c>
      <c r="R423" s="1">
        <v>0.16631233731881445</v>
      </c>
      <c r="S423" s="2">
        <f t="shared" si="84"/>
        <v>0.77245140168295512</v>
      </c>
      <c r="T423" s="4">
        <f t="shared" si="85"/>
        <v>0.59668116796196213</v>
      </c>
      <c r="U423" s="1">
        <f t="shared" si="76"/>
        <v>0.54341464297578668</v>
      </c>
      <c r="V423" s="6">
        <f>2*sigma/alpha*corel*(B423/12-1/alpha*(1-EXP(-alpha*Output!B423/12)))</f>
        <v>1.9581083744553123</v>
      </c>
      <c r="W423" s="5">
        <f t="shared" si="86"/>
        <v>-5.3266524986175456E-2</v>
      </c>
      <c r="X423" s="1">
        <f t="shared" si="87"/>
        <v>11.149457837546789</v>
      </c>
      <c r="Y423" s="3">
        <f t="shared" si="77"/>
        <v>2.0111242915744169E-2</v>
      </c>
      <c r="Z423" s="1">
        <f t="shared" si="78"/>
        <v>0.13182967474936425</v>
      </c>
      <c r="AA423" s="8">
        <f t="shared" si="83"/>
        <v>34.249999999999879</v>
      </c>
      <c r="AB423" s="1">
        <v>34.33</v>
      </c>
      <c r="AC423" s="1">
        <v>7.6007012989999997E-3</v>
      </c>
      <c r="AD423" s="8">
        <f t="shared" si="79"/>
        <v>0.58452559098986367</v>
      </c>
      <c r="AE423" s="3">
        <f t="shared" si="80"/>
        <v>7.6904165549403682E-3</v>
      </c>
      <c r="AF423" s="11">
        <f t="shared" si="81"/>
        <v>34.249999999999879</v>
      </c>
      <c r="AG423" s="1">
        <f t="shared" si="82"/>
        <v>0.13182967474936425</v>
      </c>
    </row>
    <row r="424" spans="2:33" ht="15" x14ac:dyDescent="0.25">
      <c r="B424" s="1">
        <v>413</v>
      </c>
      <c r="C424" s="1">
        <v>1.0006999544673436</v>
      </c>
      <c r="D424" s="1">
        <v>1.2128578201031495</v>
      </c>
      <c r="E424" s="1">
        <v>0.82357900779607685</v>
      </c>
      <c r="G424" s="1">
        <v>0.99903032219357391</v>
      </c>
      <c r="H424" s="1">
        <v>5.0422511065424569</v>
      </c>
      <c r="I424" s="1">
        <v>0.16228023126675223</v>
      </c>
      <c r="K424" s="1">
        <v>0.99998373240423399</v>
      </c>
      <c r="L424" s="1">
        <v>1.5448889942984405</v>
      </c>
      <c r="M424" s="1">
        <v>0.63844544906018785</v>
      </c>
      <c r="O424" s="1">
        <v>7.5421053068994966E-3</v>
      </c>
      <c r="P424" s="1">
        <v>0.77138002786058024</v>
      </c>
      <c r="R424" s="1">
        <v>0.16669079194493136</v>
      </c>
      <c r="S424" s="2">
        <f t="shared" si="84"/>
        <v>0.77449721148687134</v>
      </c>
      <c r="T424" s="4">
        <f t="shared" si="85"/>
        <v>0.59984593060093949</v>
      </c>
      <c r="U424" s="1">
        <f t="shared" si="76"/>
        <v>0.54632218752719997</v>
      </c>
      <c r="V424" s="6">
        <f>2*sigma/alpha*corel*(B424/12-1/alpha*(1-EXP(-alpha*Output!B424/12)))</f>
        <v>1.9658912941130193</v>
      </c>
      <c r="W424" s="5">
        <f t="shared" si="86"/>
        <v>-5.3523743073739527E-2</v>
      </c>
      <c r="X424" s="1">
        <f t="shared" si="87"/>
        <v>11.233163876754169</v>
      </c>
      <c r="Y424" s="3">
        <f t="shared" si="77"/>
        <v>2.0131234160243084E-2</v>
      </c>
      <c r="Z424" s="1">
        <f t="shared" si="78"/>
        <v>0.13201870114068975</v>
      </c>
      <c r="AA424" s="8">
        <f t="shared" si="83"/>
        <v>34.333333333333215</v>
      </c>
      <c r="AB424" s="1">
        <v>34.42</v>
      </c>
      <c r="AC424" s="1">
        <v>7.6003204370000002E-3</v>
      </c>
      <c r="AD424" s="8">
        <f t="shared" si="79"/>
        <v>0.58215130100503631</v>
      </c>
      <c r="AE424" s="3">
        <f t="shared" si="80"/>
        <v>7.6595625912165245E-3</v>
      </c>
      <c r="AF424" s="11">
        <f t="shared" si="81"/>
        <v>34.333333333333215</v>
      </c>
      <c r="AG424" s="1">
        <f t="shared" si="82"/>
        <v>0.13201870114068975</v>
      </c>
    </row>
    <row r="425" spans="2:33" ht="15" x14ac:dyDescent="0.25">
      <c r="B425" s="1">
        <v>414</v>
      </c>
      <c r="C425" s="1">
        <v>1.0007033788149946</v>
      </c>
      <c r="D425" s="1">
        <v>1.2152994904081631</v>
      </c>
      <c r="E425" s="1">
        <v>0.82192250472340966</v>
      </c>
      <c r="G425" s="1">
        <v>0.99912344980788259</v>
      </c>
      <c r="H425" s="1">
        <v>5.1342513743513436</v>
      </c>
      <c r="I425" s="1">
        <v>0.15929523291671799</v>
      </c>
      <c r="K425" s="1">
        <v>0.99996668403749389</v>
      </c>
      <c r="L425" s="1">
        <v>1.5473578302701048</v>
      </c>
      <c r="M425" s="1">
        <v>0.63740024936773632</v>
      </c>
      <c r="O425" s="1">
        <v>7.5419105747307784E-3</v>
      </c>
      <c r="P425" s="1">
        <v>0.77090054016111476</v>
      </c>
      <c r="R425" s="1">
        <v>0.16701429210116797</v>
      </c>
      <c r="S425" s="2">
        <f t="shared" si="84"/>
        <v>0.7763633086808448</v>
      </c>
      <c r="T425" s="4">
        <f t="shared" si="85"/>
        <v>0.60273998706586873</v>
      </c>
      <c r="U425" s="1">
        <f t="shared" si="76"/>
        <v>0.54923628428077009</v>
      </c>
      <c r="V425" s="6">
        <f>2*sigma/alpha*corel*(B425/12-1/alpha*(1-EXP(-alpha*Output!B425/12)))</f>
        <v>1.9736829783117393</v>
      </c>
      <c r="W425" s="5">
        <f t="shared" si="86"/>
        <v>-5.3503702785098639E-2</v>
      </c>
      <c r="X425" s="1">
        <f t="shared" si="87"/>
        <v>11.27893548322111</v>
      </c>
      <c r="Y425" s="3">
        <f t="shared" si="77"/>
        <v>2.0068545870568465E-2</v>
      </c>
      <c r="Z425" s="1">
        <f t="shared" si="78"/>
        <v>0.13217686735120787</v>
      </c>
      <c r="AA425" s="8">
        <f t="shared" si="83"/>
        <v>34.416666666666551</v>
      </c>
      <c r="AB425" s="1">
        <v>34.5</v>
      </c>
      <c r="AC425" s="1">
        <v>7.5999414259999998E-3</v>
      </c>
      <c r="AD425" s="8">
        <f t="shared" si="79"/>
        <v>0.58030851269221495</v>
      </c>
      <c r="AE425" s="3">
        <f t="shared" si="80"/>
        <v>7.6356971740194424E-3</v>
      </c>
      <c r="AF425" s="11">
        <f t="shared" si="81"/>
        <v>34.416666666666551</v>
      </c>
      <c r="AG425" s="1">
        <f t="shared" si="82"/>
        <v>0.13217686735120787</v>
      </c>
    </row>
    <row r="426" spans="2:33" ht="15" x14ac:dyDescent="0.25">
      <c r="B426" s="1">
        <v>415</v>
      </c>
      <c r="C426" s="1">
        <v>1.0007045040564357</v>
      </c>
      <c r="D426" s="1">
        <v>1.2159977564856737</v>
      </c>
      <c r="E426" s="1">
        <v>0.82144868420087591</v>
      </c>
      <c r="G426" s="1">
        <v>0.99905156869946676</v>
      </c>
      <c r="H426" s="1">
        <v>5.1570645533472703</v>
      </c>
      <c r="I426" s="1">
        <v>0.1585138293815804</v>
      </c>
      <c r="K426" s="1">
        <v>0.99996796268412558</v>
      </c>
      <c r="L426" s="1">
        <v>1.543243255705768</v>
      </c>
      <c r="M426" s="1">
        <v>0.63907934236909869</v>
      </c>
      <c r="O426" s="1">
        <v>7.541709715555435E-3</v>
      </c>
      <c r="P426" s="1">
        <v>0.77042153876056974</v>
      </c>
      <c r="R426" s="1">
        <v>0.16739101702209377</v>
      </c>
      <c r="S426" s="2">
        <f t="shared" si="84"/>
        <v>0.7784038414808907</v>
      </c>
      <c r="T426" s="4">
        <f t="shared" si="85"/>
        <v>0.60591254043220766</v>
      </c>
      <c r="U426" s="1">
        <f t="shared" si="76"/>
        <v>0.55215691876986872</v>
      </c>
      <c r="V426" s="6">
        <f>2*sigma/alpha*corel*(B426/12-1/alpha*(1-EXP(-alpha*Output!B426/12)))</f>
        <v>1.9814833978849733</v>
      </c>
      <c r="W426" s="5">
        <f t="shared" si="86"/>
        <v>-5.3755621662338937E-2</v>
      </c>
      <c r="X426" s="1">
        <f t="shared" si="87"/>
        <v>11.362470786050665</v>
      </c>
      <c r="Y426" s="3">
        <f t="shared" si="77"/>
        <v>2.0086887135950832E-2</v>
      </c>
      <c r="Z426" s="1">
        <f t="shared" si="78"/>
        <v>0.13236450662812596</v>
      </c>
      <c r="AA426" s="8">
        <f t="shared" si="83"/>
        <v>34.499999999999886</v>
      </c>
      <c r="AB426" s="1">
        <v>34.58</v>
      </c>
      <c r="AC426" s="1">
        <v>7.5995642520000004E-3</v>
      </c>
      <c r="AD426" s="8">
        <f t="shared" si="79"/>
        <v>0.57854536444565396</v>
      </c>
      <c r="AE426" s="3">
        <f t="shared" si="80"/>
        <v>7.6128754920835942E-3</v>
      </c>
      <c r="AF426" s="11">
        <f t="shared" si="81"/>
        <v>34.499999999999886</v>
      </c>
      <c r="AG426" s="1">
        <f t="shared" si="82"/>
        <v>0.13236450662812596</v>
      </c>
    </row>
    <row r="427" spans="2:33" ht="15" x14ac:dyDescent="0.25">
      <c r="B427" s="1">
        <v>416</v>
      </c>
      <c r="C427" s="1">
        <v>1.0007048621278676</v>
      </c>
      <c r="D427" s="1">
        <v>1.2153335787710915</v>
      </c>
      <c r="E427" s="1">
        <v>0.82189575398760073</v>
      </c>
      <c r="G427" s="1">
        <v>0.99892377303008284</v>
      </c>
      <c r="H427" s="1">
        <v>5.1277086156112182</v>
      </c>
      <c r="I427" s="1">
        <v>0.15934417955677962</v>
      </c>
      <c r="K427" s="1">
        <v>0.99997994110209276</v>
      </c>
      <c r="L427" s="1">
        <v>1.5400626173681859</v>
      </c>
      <c r="M427" s="1">
        <v>0.64037293034148657</v>
      </c>
      <c r="O427" s="1">
        <v>7.5414887490732659E-3</v>
      </c>
      <c r="P427" s="1">
        <v>0.76994339745542084</v>
      </c>
      <c r="R427" s="1">
        <v>0.16773894342647033</v>
      </c>
      <c r="S427" s="2">
        <f t="shared" si="84"/>
        <v>0.78035108651023366</v>
      </c>
      <c r="T427" s="4">
        <f t="shared" si="85"/>
        <v>0.60894781821770216</v>
      </c>
      <c r="U427" s="1">
        <f t="shared" si="76"/>
        <v>0.55508407652725511</v>
      </c>
      <c r="V427" s="6">
        <f>2*sigma/alpha*corel*(B427/12-1/alpha*(1-EXP(-alpha*Output!B427/12)))</f>
        <v>1.9892925237632815</v>
      </c>
      <c r="W427" s="5">
        <f t="shared" si="86"/>
        <v>-5.3863741690447053E-2</v>
      </c>
      <c r="X427" s="1">
        <f t="shared" si="87"/>
        <v>11.426390259509144</v>
      </c>
      <c r="Y427" s="3">
        <f t="shared" si="77"/>
        <v>2.0062527122629199E-2</v>
      </c>
      <c r="Z427" s="1">
        <f t="shared" si="78"/>
        <v>0.13253604207379804</v>
      </c>
      <c r="AA427" s="8">
        <f t="shared" si="83"/>
        <v>34.583333333333222</v>
      </c>
      <c r="AB427" s="1">
        <v>34.67</v>
      </c>
      <c r="AC427" s="1">
        <v>7.5991888999999996E-3</v>
      </c>
      <c r="AD427" s="8">
        <f t="shared" si="79"/>
        <v>0.57700150926733729</v>
      </c>
      <c r="AE427" s="3">
        <f t="shared" si="80"/>
        <v>7.592935467985765E-3</v>
      </c>
      <c r="AF427" s="11">
        <f t="shared" si="81"/>
        <v>34.583333333333222</v>
      </c>
      <c r="AG427" s="1">
        <f t="shared" si="82"/>
        <v>0.13253604207379804</v>
      </c>
    </row>
    <row r="428" spans="2:33" ht="15" x14ac:dyDescent="0.25">
      <c r="B428" s="1">
        <v>417</v>
      </c>
      <c r="C428" s="1">
        <v>1.0007115875645523</v>
      </c>
      <c r="D428" s="1">
        <v>1.2199583575264923</v>
      </c>
      <c r="E428" s="1">
        <v>0.81877815587988967</v>
      </c>
      <c r="G428" s="1">
        <v>0.99929420073569541</v>
      </c>
      <c r="H428" s="1">
        <v>5.3003252525048232</v>
      </c>
      <c r="I428" s="1">
        <v>0.15408020158570732</v>
      </c>
      <c r="K428" s="1">
        <v>0.99997975363224778</v>
      </c>
      <c r="L428" s="1">
        <v>1.5365876963996461</v>
      </c>
      <c r="M428" s="1">
        <v>0.64180226505487992</v>
      </c>
      <c r="O428" s="1">
        <v>7.5412150124424294E-3</v>
      </c>
      <c r="P428" s="1">
        <v>0.76946699225198256</v>
      </c>
      <c r="R428" s="1">
        <v>0.16809622296321175</v>
      </c>
      <c r="S428" s="2">
        <f t="shared" si="84"/>
        <v>0.78232783858315624</v>
      </c>
      <c r="T428" s="4">
        <f t="shared" si="85"/>
        <v>0.61203684702219296</v>
      </c>
      <c r="U428" s="1">
        <f t="shared" si="76"/>
        <v>0.55801774308540208</v>
      </c>
      <c r="V428" s="6">
        <f>2*sigma/alpha*corel*(B428/12-1/alpha*(1-EXP(-alpha*Output!B428/12)))</f>
        <v>1.9971103269739632</v>
      </c>
      <c r="W428" s="5">
        <f t="shared" si="86"/>
        <v>-5.401910393679088E-2</v>
      </c>
      <c r="X428" s="1">
        <f t="shared" si="87"/>
        <v>11.497105105319983</v>
      </c>
      <c r="Y428" s="3">
        <f t="shared" si="77"/>
        <v>2.0052198687617213E-2</v>
      </c>
      <c r="Z428" s="1">
        <f t="shared" si="78"/>
        <v>0.13271236241333847</v>
      </c>
      <c r="AA428" s="8">
        <f t="shared" si="83"/>
        <v>34.666666666666558</v>
      </c>
      <c r="AB428" s="1">
        <v>34.75</v>
      </c>
      <c r="AC428" s="1">
        <v>7.5988153560000004E-3</v>
      </c>
      <c r="AD428" s="8">
        <f t="shared" si="79"/>
        <v>0.57600343557570943</v>
      </c>
      <c r="AE428" s="3">
        <f t="shared" si="80"/>
        <v>7.5801741270222992E-3</v>
      </c>
      <c r="AF428" s="11">
        <f t="shared" si="81"/>
        <v>34.666666666666558</v>
      </c>
      <c r="AG428" s="1">
        <f t="shared" si="82"/>
        <v>0.13271236241333847</v>
      </c>
    </row>
    <row r="429" spans="2:33" ht="15" x14ac:dyDescent="0.25">
      <c r="B429" s="1">
        <v>418</v>
      </c>
      <c r="C429" s="1">
        <v>1.0007130197095131</v>
      </c>
      <c r="D429" s="1">
        <v>1.2201864511805531</v>
      </c>
      <c r="E429" s="1">
        <v>0.81862324717016521</v>
      </c>
      <c r="G429" s="1">
        <v>0.99925531283801683</v>
      </c>
      <c r="H429" s="1">
        <v>5.3130253398851304</v>
      </c>
      <c r="I429" s="1">
        <v>0.15363751927911076</v>
      </c>
      <c r="K429" s="1">
        <v>0.9999705054143998</v>
      </c>
      <c r="L429" s="1">
        <v>1.5358504068353978</v>
      </c>
      <c r="M429" s="1">
        <v>0.64210189157735154</v>
      </c>
      <c r="O429" s="1">
        <v>7.5408632373430151E-3</v>
      </c>
      <c r="P429" s="1">
        <v>0.7689930072910488</v>
      </c>
      <c r="R429" s="1">
        <v>0.1683924182333538</v>
      </c>
      <c r="S429" s="2">
        <f t="shared" si="84"/>
        <v>0.78410300944291622</v>
      </c>
      <c r="T429" s="4">
        <f t="shared" si="85"/>
        <v>0.61481752941743795</v>
      </c>
      <c r="U429" s="1">
        <f t="shared" si="76"/>
        <v>0.56095790397681622</v>
      </c>
      <c r="V429" s="6">
        <f>2*sigma/alpha*corel*(B429/12-1/alpha*(1-EXP(-alpha*Output!B429/12)))</f>
        <v>2.0049367786407304</v>
      </c>
      <c r="W429" s="5">
        <f t="shared" si="86"/>
        <v>-5.3859625440621728E-2</v>
      </c>
      <c r="X429" s="1">
        <f t="shared" si="87"/>
        <v>11.524212631072896</v>
      </c>
      <c r="Y429" s="3">
        <f t="shared" si="77"/>
        <v>1.9949229093273641E-2</v>
      </c>
      <c r="Z429" s="1">
        <f t="shared" si="78"/>
        <v>0.13285429613834279</v>
      </c>
      <c r="AA429" s="8">
        <f t="shared" si="83"/>
        <v>34.749999999999893</v>
      </c>
      <c r="AB429" s="1">
        <v>34.83</v>
      </c>
      <c r="AC429" s="1">
        <v>7.5984436049999996E-3</v>
      </c>
      <c r="AD429" s="8">
        <f t="shared" si="79"/>
        <v>0.57580367656984499</v>
      </c>
      <c r="AE429" s="3">
        <f t="shared" si="80"/>
        <v>7.5779160378442395E-3</v>
      </c>
      <c r="AF429" s="11">
        <f t="shared" si="81"/>
        <v>34.749999999999893</v>
      </c>
      <c r="AG429" s="1">
        <f t="shared" si="82"/>
        <v>0.13285429613834279</v>
      </c>
    </row>
    <row r="430" spans="2:33" ht="15" x14ac:dyDescent="0.25">
      <c r="B430" s="1">
        <v>419</v>
      </c>
      <c r="C430" s="1">
        <v>1.0007125608928111</v>
      </c>
      <c r="D430" s="1">
        <v>1.2185511984494639</v>
      </c>
      <c r="E430" s="1">
        <v>0.81971995302043965</v>
      </c>
      <c r="G430" s="1">
        <v>0.99902437688603662</v>
      </c>
      <c r="H430" s="1">
        <v>5.2499325240149579</v>
      </c>
      <c r="I430" s="1">
        <v>0.15540867787210014</v>
      </c>
      <c r="K430" s="1">
        <v>0.99998317509081891</v>
      </c>
      <c r="L430" s="1">
        <v>1.5307638782713935</v>
      </c>
      <c r="M430" s="1">
        <v>0.64420899807716159</v>
      </c>
      <c r="O430" s="1">
        <v>7.5405426038377792E-3</v>
      </c>
      <c r="P430" s="1">
        <v>0.76851852370111484</v>
      </c>
      <c r="R430" s="1">
        <v>0.16877757232002605</v>
      </c>
      <c r="S430" s="2">
        <f t="shared" si="84"/>
        <v>0.78617138545131193</v>
      </c>
      <c r="T430" s="4">
        <f t="shared" si="85"/>
        <v>0.61806544730243529</v>
      </c>
      <c r="U430" s="1">
        <f t="shared" si="76"/>
        <v>0.56390454473436025</v>
      </c>
      <c r="V430" s="6">
        <f>2*sigma/alpha*corel*(B430/12-1/alpha*(1-EXP(-alpha*Output!B430/12)))</f>
        <v>2.012771849983388</v>
      </c>
      <c r="W430" s="5">
        <f t="shared" si="86"/>
        <v>-5.4160902568075042E-2</v>
      </c>
      <c r="X430" s="1">
        <f t="shared" si="87"/>
        <v>11.615723245426697</v>
      </c>
      <c r="Y430" s="3">
        <f t="shared" si="77"/>
        <v>1.9982046207035919E-2</v>
      </c>
      <c r="Z430" s="1">
        <f t="shared" si="78"/>
        <v>0.13304570040139019</v>
      </c>
      <c r="AA430" s="8">
        <f t="shared" si="83"/>
        <v>34.833333333333229</v>
      </c>
      <c r="AB430" s="1">
        <v>34.92</v>
      </c>
      <c r="AC430" s="1">
        <v>7.598073635E-3</v>
      </c>
      <c r="AD430" s="8">
        <f t="shared" si="79"/>
        <v>0.57531031162220791</v>
      </c>
      <c r="AE430" s="3">
        <f t="shared" si="80"/>
        <v>7.5717917364222526E-3</v>
      </c>
      <c r="AF430" s="11">
        <f t="shared" si="81"/>
        <v>34.833333333333229</v>
      </c>
      <c r="AG430" s="1">
        <f t="shared" si="82"/>
        <v>0.13304570040139019</v>
      </c>
    </row>
    <row r="431" spans="2:33" ht="15" x14ac:dyDescent="0.25">
      <c r="B431" s="1">
        <v>420</v>
      </c>
      <c r="C431" s="1">
        <v>1.0007131586476985</v>
      </c>
      <c r="D431" s="1">
        <v>1.2163549166232721</v>
      </c>
      <c r="E431" s="1">
        <v>0.82119819492004231</v>
      </c>
      <c r="G431" s="1">
        <v>0.99888590342767036</v>
      </c>
      <c r="H431" s="1">
        <v>5.1588618335327316</v>
      </c>
      <c r="I431" s="1">
        <v>0.15807562339780218</v>
      </c>
      <c r="K431" s="1">
        <v>0.99997977370763258</v>
      </c>
      <c r="L431" s="1">
        <v>1.5299206341547253</v>
      </c>
      <c r="M431" s="1">
        <v>0.644546534165792</v>
      </c>
      <c r="O431" s="1">
        <v>7.5402052380153638E-3</v>
      </c>
      <c r="P431" s="1">
        <v>0.76804482371101535</v>
      </c>
      <c r="R431" s="1">
        <v>0.1691193017353505</v>
      </c>
      <c r="S431" s="2">
        <f t="shared" si="84"/>
        <v>0.78809856031461112</v>
      </c>
      <c r="T431" s="4">
        <f t="shared" si="85"/>
        <v>0.62109934076996276</v>
      </c>
      <c r="U431" s="1">
        <f t="shared" si="76"/>
        <v>0.56685765089156881</v>
      </c>
      <c r="V431" s="6">
        <f>2*sigma/alpha*corel*(B431/12-1/alpha*(1-EXP(-alpha*Output!B431/12)))</f>
        <v>2.0206155123175202</v>
      </c>
      <c r="W431" s="5">
        <f t="shared" si="86"/>
        <v>-5.4241689878393951E-2</v>
      </c>
      <c r="X431" s="1">
        <f t="shared" si="87"/>
        <v>11.676723631593347</v>
      </c>
      <c r="Y431" s="3">
        <f t="shared" si="77"/>
        <v>1.9950094497053351E-2</v>
      </c>
      <c r="Z431" s="1">
        <f t="shared" si="78"/>
        <v>0.1332129702790624</v>
      </c>
      <c r="AA431" s="8">
        <f t="shared" si="83"/>
        <v>34.916666666666565</v>
      </c>
      <c r="AB431" s="1">
        <v>35</v>
      </c>
      <c r="AC431" s="1">
        <v>7.5977054299999998E-3</v>
      </c>
      <c r="AD431" s="8">
        <f t="shared" si="79"/>
        <v>0.57500191984635918</v>
      </c>
      <c r="AE431" s="3">
        <f t="shared" si="80"/>
        <v>7.5680996735663017E-3</v>
      </c>
      <c r="AF431" s="11">
        <f t="shared" si="81"/>
        <v>34.916666666666565</v>
      </c>
      <c r="AG431" s="1">
        <f t="shared" si="82"/>
        <v>0.1332129702790624</v>
      </c>
    </row>
    <row r="432" spans="2:33" ht="15" x14ac:dyDescent="0.25">
      <c r="B432" s="1">
        <v>421</v>
      </c>
      <c r="C432" s="1">
        <v>1.0007171473756793</v>
      </c>
      <c r="D432" s="1">
        <v>1.2152347370368934</v>
      </c>
      <c r="E432" s="1">
        <v>0.8219532881134709</v>
      </c>
      <c r="G432" s="1">
        <v>0.99905070631999238</v>
      </c>
      <c r="H432" s="1">
        <v>5.1113585550798275</v>
      </c>
      <c r="I432" s="1">
        <v>0.15946752874702441</v>
      </c>
      <c r="K432" s="1">
        <v>0.99998609883142142</v>
      </c>
      <c r="L432" s="1">
        <v>1.5302086874812628</v>
      </c>
      <c r="M432" s="1">
        <v>0.64439214039118675</v>
      </c>
      <c r="O432" s="1">
        <v>7.5398454442888183E-3</v>
      </c>
      <c r="P432" s="1">
        <v>0.76757206281966905</v>
      </c>
      <c r="R432" s="1">
        <v>0.1695072339139557</v>
      </c>
      <c r="S432" s="2">
        <f t="shared" si="84"/>
        <v>0.7901772025393432</v>
      </c>
      <c r="T432" s="4">
        <f t="shared" si="85"/>
        <v>0.62438001141290222</v>
      </c>
      <c r="U432" s="1">
        <f t="shared" si="76"/>
        <v>0.56981720798295799</v>
      </c>
      <c r="V432" s="6">
        <f>2*sigma/alpha*corel*(B432/12-1/alpha*(1-EXP(-alpha*Output!B432/12)))</f>
        <v>2.0284677370541617</v>
      </c>
      <c r="W432" s="5">
        <f t="shared" si="86"/>
        <v>-5.456280342994424E-2</v>
      </c>
      <c r="X432" s="1">
        <f t="shared" si="87"/>
        <v>11.77166144160514</v>
      </c>
      <c r="Y432" s="3">
        <f t="shared" si="77"/>
        <v>1.998837654526664E-2</v>
      </c>
      <c r="Z432" s="1">
        <f t="shared" si="78"/>
        <v>0.13340560316994693</v>
      </c>
      <c r="AA432" s="8">
        <f t="shared" si="83"/>
        <v>34.999999999999901</v>
      </c>
      <c r="AB432" s="1">
        <v>35.08</v>
      </c>
      <c r="AC432" s="1">
        <v>7.5973389770000004E-3</v>
      </c>
      <c r="AD432" s="8">
        <f t="shared" si="79"/>
        <v>0.5749353271118206</v>
      </c>
      <c r="AE432" s="3">
        <f t="shared" si="80"/>
        <v>7.5675881891326142E-3</v>
      </c>
      <c r="AF432" s="11">
        <f t="shared" si="81"/>
        <v>34.999999999999901</v>
      </c>
      <c r="AG432" s="1">
        <f t="shared" si="82"/>
        <v>0.13340560316994693</v>
      </c>
    </row>
    <row r="433" spans="2:33" ht="15" x14ac:dyDescent="0.25">
      <c r="B433" s="1">
        <v>422</v>
      </c>
      <c r="C433" s="1">
        <v>1.0007175552327283</v>
      </c>
      <c r="D433" s="1">
        <v>1.2125002861357976</v>
      </c>
      <c r="E433" s="1">
        <v>0.82380509119818235</v>
      </c>
      <c r="G433" s="1">
        <v>0.99892426146917312</v>
      </c>
      <c r="H433" s="1">
        <v>5.0068255284161207</v>
      </c>
      <c r="I433" s="1">
        <v>0.16271813712803657</v>
      </c>
      <c r="K433" s="1">
        <v>0.9999691187452312</v>
      </c>
      <c r="L433" s="1">
        <v>1.5412684868512068</v>
      </c>
      <c r="M433" s="1">
        <v>0.63975069864686296</v>
      </c>
      <c r="O433" s="1">
        <v>7.5394279431201562E-3</v>
      </c>
      <c r="P433" s="1">
        <v>0.76710119566729595</v>
      </c>
      <c r="R433" s="1">
        <v>0.16983894276525344</v>
      </c>
      <c r="S433" s="2">
        <f t="shared" si="84"/>
        <v>0.79207065491062467</v>
      </c>
      <c r="T433" s="4">
        <f t="shared" si="85"/>
        <v>0.62737592237054585</v>
      </c>
      <c r="U433" s="1">
        <f t="shared" si="76"/>
        <v>0.57278320154434104</v>
      </c>
      <c r="V433" s="6">
        <f>2*sigma/alpha*corel*(B433/12-1/alpha*(1-EXP(-alpha*Output!B433/12)))</f>
        <v>2.036328495699486</v>
      </c>
      <c r="W433" s="5">
        <f t="shared" si="86"/>
        <v>-5.459272082620481E-2</v>
      </c>
      <c r="X433" s="1">
        <f t="shared" si="87"/>
        <v>11.826009805283874</v>
      </c>
      <c r="Y433" s="3">
        <f t="shared" si="77"/>
        <v>1.994172655965509E-2</v>
      </c>
      <c r="Z433" s="1">
        <f t="shared" si="78"/>
        <v>0.13356673845651565</v>
      </c>
      <c r="AA433" s="8">
        <f t="shared" si="83"/>
        <v>35.083333333333236</v>
      </c>
      <c r="AB433" s="1">
        <v>35.17</v>
      </c>
      <c r="AC433" s="1">
        <v>7.5969742609999997E-3</v>
      </c>
      <c r="AD433" s="8">
        <f t="shared" si="79"/>
        <v>0.57546317879843445</v>
      </c>
      <c r="AE433" s="3">
        <f t="shared" si="80"/>
        <v>7.5748996775287939E-3</v>
      </c>
      <c r="AF433" s="11">
        <f t="shared" si="81"/>
        <v>35.083333333333236</v>
      </c>
      <c r="AG433" s="1">
        <f t="shared" si="82"/>
        <v>0.13356673845651565</v>
      </c>
    </row>
    <row r="434" spans="2:33" ht="15" x14ac:dyDescent="0.25">
      <c r="B434" s="1">
        <v>423</v>
      </c>
      <c r="C434" s="1">
        <v>1.0007220077997179</v>
      </c>
      <c r="D434" s="1">
        <v>1.2139550596635751</v>
      </c>
      <c r="E434" s="1">
        <v>0.82281598187344096</v>
      </c>
      <c r="G434" s="1">
        <v>0.9991395744160676</v>
      </c>
      <c r="H434" s="1">
        <v>5.0604733907775445</v>
      </c>
      <c r="I434" s="1">
        <v>0.16091520576086615</v>
      </c>
      <c r="K434" s="1">
        <v>0.99996792695497527</v>
      </c>
      <c r="L434" s="1">
        <v>1.5345496689289944</v>
      </c>
      <c r="M434" s="1">
        <v>0.64253696213398626</v>
      </c>
      <c r="O434" s="1">
        <v>7.5390779143211083E-3</v>
      </c>
      <c r="P434" s="1">
        <v>0.76662884736027803</v>
      </c>
      <c r="R434" s="1">
        <v>0.17021363800924594</v>
      </c>
      <c r="S434" s="2">
        <f t="shared" si="84"/>
        <v>0.79410935180540121</v>
      </c>
      <c r="T434" s="4">
        <f t="shared" si="85"/>
        <v>0.63060966262479445</v>
      </c>
      <c r="U434" s="1">
        <f t="shared" si="76"/>
        <v>0.57575561711313217</v>
      </c>
      <c r="V434" s="6">
        <f>2*sigma/alpha*corel*(B434/12-1/alpha*(1-EXP(-alpha*Output!B434/12)))</f>
        <v>2.0441977598544909</v>
      </c>
      <c r="W434" s="5">
        <f t="shared" si="86"/>
        <v>-5.4854045511662286E-2</v>
      </c>
      <c r="X434" s="1">
        <f t="shared" si="87"/>
        <v>11.913164898538501</v>
      </c>
      <c r="Y434" s="3">
        <f t="shared" si="77"/>
        <v>1.9962376333882256E-2</v>
      </c>
      <c r="Z434" s="1">
        <f t="shared" si="78"/>
        <v>0.13375214323196136</v>
      </c>
      <c r="AA434" s="8">
        <f t="shared" si="83"/>
        <v>35.166666666666572</v>
      </c>
      <c r="AB434" s="1">
        <v>35.25</v>
      </c>
      <c r="AC434" s="1">
        <v>7.5966112709999999E-3</v>
      </c>
      <c r="AD434" s="8">
        <f t="shared" si="79"/>
        <v>0.57533356678891523</v>
      </c>
      <c r="AE434" s="3">
        <f t="shared" si="80"/>
        <v>7.5735554481410191E-3</v>
      </c>
      <c r="AF434" s="11">
        <f t="shared" si="81"/>
        <v>35.166666666666572</v>
      </c>
      <c r="AG434" s="1">
        <f t="shared" si="82"/>
        <v>0.13375214323196136</v>
      </c>
    </row>
    <row r="435" spans="2:33" ht="15" x14ac:dyDescent="0.25">
      <c r="B435" s="1">
        <v>424</v>
      </c>
      <c r="C435" s="1">
        <v>1.0007181612499816</v>
      </c>
      <c r="D435" s="1">
        <v>1.2142601989883128</v>
      </c>
      <c r="E435" s="1">
        <v>0.82260732580465112</v>
      </c>
      <c r="G435" s="1">
        <v>0.99868488492624352</v>
      </c>
      <c r="H435" s="1">
        <v>5.0731744577683209</v>
      </c>
      <c r="I435" s="1">
        <v>0.16043467584847126</v>
      </c>
      <c r="K435" s="1">
        <v>0.99997566824508632</v>
      </c>
      <c r="L435" s="1">
        <v>1.531579691453425</v>
      </c>
      <c r="M435" s="1">
        <v>0.64375256276507586</v>
      </c>
      <c r="O435" s="1">
        <v>7.5387037892122285E-3</v>
      </c>
      <c r="P435" s="1">
        <v>0.76615748690989116</v>
      </c>
      <c r="R435" s="1">
        <v>0.17058552376663697</v>
      </c>
      <c r="S435" s="2">
        <f t="shared" si="84"/>
        <v>0.79613921440745572</v>
      </c>
      <c r="T435" s="4">
        <f t="shared" si="85"/>
        <v>0.63383764871732073</v>
      </c>
      <c r="U435" s="1">
        <f t="shared" si="76"/>
        <v>0.57873444022865028</v>
      </c>
      <c r="V435" s="6">
        <f>2*sigma/alpha*corel*(B435/12-1/alpha*(1-EXP(-alpha*Output!B435/12)))</f>
        <v>2.0520755012146767</v>
      </c>
      <c r="W435" s="5">
        <f t="shared" si="86"/>
        <v>-5.5103208488670452E-2</v>
      </c>
      <c r="X435" s="1">
        <f t="shared" si="87"/>
        <v>11.998933995750891</v>
      </c>
      <c r="Y435" s="3">
        <f t="shared" si="77"/>
        <v>1.9979324236497085E-2</v>
      </c>
      <c r="Z435" s="1">
        <f t="shared" si="78"/>
        <v>0.13393581066612503</v>
      </c>
      <c r="AA435" s="8">
        <f t="shared" si="83"/>
        <v>35.249999999999908</v>
      </c>
      <c r="AB435" s="1">
        <v>35.33</v>
      </c>
      <c r="AC435" s="1">
        <v>7.5962499950000002E-3</v>
      </c>
      <c r="AD435" s="8">
        <f t="shared" si="79"/>
        <v>0.57546205787771709</v>
      </c>
      <c r="AE435" s="3">
        <f t="shared" si="80"/>
        <v>7.5756071516405784E-3</v>
      </c>
      <c r="AF435" s="11">
        <f t="shared" si="81"/>
        <v>35.249999999999908</v>
      </c>
      <c r="AG435" s="1">
        <f t="shared" si="82"/>
        <v>0.13393581066612503</v>
      </c>
    </row>
    <row r="436" spans="2:33" ht="15" x14ac:dyDescent="0.25">
      <c r="B436" s="1">
        <v>425</v>
      </c>
      <c r="C436" s="1">
        <v>1.0007222681755819</v>
      </c>
      <c r="D436" s="1">
        <v>1.2176380286385007</v>
      </c>
      <c r="E436" s="1">
        <v>0.82032346031210823</v>
      </c>
      <c r="G436" s="1">
        <v>0.998883803564932</v>
      </c>
      <c r="H436" s="1">
        <v>5.2029544180066374</v>
      </c>
      <c r="I436" s="1">
        <v>0.15635717818017475</v>
      </c>
      <c r="K436" s="1">
        <v>0.99995276271447542</v>
      </c>
      <c r="L436" s="1">
        <v>1.5315212623302976</v>
      </c>
      <c r="M436" s="1">
        <v>0.64376076499586599</v>
      </c>
      <c r="O436" s="1">
        <v>7.5381852093652935E-3</v>
      </c>
      <c r="P436" s="1">
        <v>0.76569038136103607</v>
      </c>
      <c r="R436" s="1">
        <v>0.17091872505892075</v>
      </c>
      <c r="S436" s="2">
        <f t="shared" si="84"/>
        <v>0.79803689899378116</v>
      </c>
      <c r="T436" s="4">
        <f t="shared" si="85"/>
        <v>0.63686289215561043</v>
      </c>
      <c r="U436" s="1">
        <f t="shared" si="76"/>
        <v>0.58171965643242052</v>
      </c>
      <c r="V436" s="6">
        <f>2*sigma/alpha*corel*(B436/12-1/alpha*(1-EXP(-alpha*Output!B436/12)))</f>
        <v>2.0599616915697352</v>
      </c>
      <c r="W436" s="5">
        <f t="shared" si="86"/>
        <v>-5.514323572318991E-2</v>
      </c>
      <c r="X436" s="1">
        <f t="shared" si="87"/>
        <v>12.055400564853414</v>
      </c>
      <c r="Y436" s="3">
        <f t="shared" si="77"/>
        <v>1.9935911976232443E-2</v>
      </c>
      <c r="Z436" s="1">
        <f t="shared" si="78"/>
        <v>0.13409702111765573</v>
      </c>
      <c r="AA436" s="8">
        <f t="shared" si="83"/>
        <v>35.333333333333243</v>
      </c>
      <c r="AB436" s="1">
        <v>35.42</v>
      </c>
      <c r="AC436" s="1">
        <v>7.5958904209999997E-3</v>
      </c>
      <c r="AD436" s="8">
        <f t="shared" si="79"/>
        <v>0.57705211634706199</v>
      </c>
      <c r="AE436" s="3">
        <f t="shared" si="80"/>
        <v>7.5968989066997764E-3</v>
      </c>
      <c r="AF436" s="11">
        <f t="shared" si="81"/>
        <v>35.333333333333243</v>
      </c>
      <c r="AG436" s="1">
        <f t="shared" si="82"/>
        <v>0.13409702111765573</v>
      </c>
    </row>
    <row r="437" spans="2:33" ht="15" x14ac:dyDescent="0.25">
      <c r="B437" s="1">
        <v>426</v>
      </c>
      <c r="C437" s="1">
        <v>1.0007243394294629</v>
      </c>
      <c r="D437" s="1">
        <v>1.2179587807535566</v>
      </c>
      <c r="E437" s="1">
        <v>0.8201055383302629</v>
      </c>
      <c r="G437" s="1">
        <v>0.99887218982943637</v>
      </c>
      <c r="H437" s="1">
        <v>5.2074280669926942</v>
      </c>
      <c r="I437" s="1">
        <v>0.15614726115940916</v>
      </c>
      <c r="K437" s="1">
        <v>0.99996186967336709</v>
      </c>
      <c r="L437" s="1">
        <v>1.5255812108214934</v>
      </c>
      <c r="M437" s="1">
        <v>0.64625099723208335</v>
      </c>
      <c r="O437" s="1">
        <v>7.5375747442495864E-3</v>
      </c>
      <c r="P437" s="1">
        <v>0.76522612283979907</v>
      </c>
      <c r="R437" s="1">
        <v>0.17130387218739637</v>
      </c>
      <c r="S437" s="2">
        <f t="shared" si="84"/>
        <v>0.80010206665815331</v>
      </c>
      <c r="T437" s="4">
        <f t="shared" si="85"/>
        <v>0.640163317070648</v>
      </c>
      <c r="U437" s="1">
        <f t="shared" si="76"/>
        <v>0.58471125126847268</v>
      </c>
      <c r="V437" s="6">
        <f>2*sigma/alpha*corel*(B437/12-1/alpha*(1-EXP(-alpha*Output!B437/12)))</f>
        <v>2.0678563028032388</v>
      </c>
      <c r="W437" s="5">
        <f t="shared" si="86"/>
        <v>-5.5452065802175321E-2</v>
      </c>
      <c r="X437" s="1">
        <f t="shared" si="87"/>
        <v>12.150223032951976</v>
      </c>
      <c r="Y437" s="3">
        <f t="shared" si="77"/>
        <v>1.9969869032914634E-2</v>
      </c>
      <c r="Z437" s="1">
        <f t="shared" si="78"/>
        <v>0.13428614781483544</v>
      </c>
      <c r="AA437" s="8">
        <f t="shared" si="83"/>
        <v>35.416666666666579</v>
      </c>
      <c r="AB437" s="1">
        <v>35.5</v>
      </c>
      <c r="AC437" s="1">
        <v>7.5955325370000003E-3</v>
      </c>
      <c r="AD437" s="8">
        <f t="shared" si="79"/>
        <v>0.57957792750413895</v>
      </c>
      <c r="AE437" s="3">
        <f t="shared" si="80"/>
        <v>7.6305107598558745E-3</v>
      </c>
      <c r="AF437" s="11">
        <f t="shared" si="81"/>
        <v>35.416666666666579</v>
      </c>
      <c r="AG437" s="1">
        <f t="shared" si="82"/>
        <v>0.13428614781483544</v>
      </c>
    </row>
    <row r="438" spans="2:33" ht="15" x14ac:dyDescent="0.25">
      <c r="B438" s="1">
        <v>427</v>
      </c>
      <c r="C438" s="1">
        <v>1.0007270237471162</v>
      </c>
      <c r="D438" s="1">
        <v>1.2201060397119967</v>
      </c>
      <c r="E438" s="1">
        <v>0.81866034945494082</v>
      </c>
      <c r="G438" s="1">
        <v>0.99894082773019288</v>
      </c>
      <c r="H438" s="1">
        <v>5.2935344368744417</v>
      </c>
      <c r="I438" s="1">
        <v>0.15353299151730981</v>
      </c>
      <c r="K438" s="1">
        <v>0.99995789988567674</v>
      </c>
      <c r="L438" s="1">
        <v>1.5264636783409962</v>
      </c>
      <c r="M438" s="1">
        <v>0.64585282566818891</v>
      </c>
      <c r="O438" s="1">
        <v>7.5369817098409593E-3</v>
      </c>
      <c r="P438" s="1">
        <v>0.76476174928299567</v>
      </c>
      <c r="R438" s="1">
        <v>0.17169703872865241</v>
      </c>
      <c r="S438" s="2">
        <f t="shared" si="84"/>
        <v>0.80219587559445604</v>
      </c>
      <c r="T438" s="4">
        <f t="shared" si="85"/>
        <v>0.64351822282075599</v>
      </c>
      <c r="U438" s="1">
        <f t="shared" si="76"/>
        <v>0.58770921028363388</v>
      </c>
      <c r="V438" s="6">
        <f>2*sigma/alpha*corel*(B438/12-1/alpha*(1-EXP(-alpha*Output!B438/12)))</f>
        <v>2.0757593068923224</v>
      </c>
      <c r="W438" s="5">
        <f t="shared" si="86"/>
        <v>-5.5809012537122116E-2</v>
      </c>
      <c r="X438" s="1">
        <f t="shared" si="87"/>
        <v>12.252259484600476</v>
      </c>
      <c r="Y438" s="3">
        <f t="shared" si="77"/>
        <v>2.0017285176663693E-2</v>
      </c>
      <c r="Z438" s="1">
        <f t="shared" si="78"/>
        <v>0.13447981725981045</v>
      </c>
      <c r="AA438" s="8">
        <f t="shared" si="83"/>
        <v>35.499999999999915</v>
      </c>
      <c r="AB438" s="1">
        <v>35.58</v>
      </c>
      <c r="AC438" s="1">
        <v>7.5951763330000003E-3</v>
      </c>
      <c r="AD438" s="8">
        <f t="shared" si="79"/>
        <v>0.58194623159040992</v>
      </c>
      <c r="AE438" s="3">
        <f t="shared" si="80"/>
        <v>7.662050307666108E-3</v>
      </c>
      <c r="AF438" s="11">
        <f t="shared" si="81"/>
        <v>35.499999999999915</v>
      </c>
      <c r="AG438" s="1">
        <f t="shared" si="82"/>
        <v>0.13447981725981045</v>
      </c>
    </row>
    <row r="439" spans="2:33" ht="15" x14ac:dyDescent="0.25">
      <c r="B439" s="1">
        <v>428</v>
      </c>
      <c r="C439" s="1">
        <v>1.0007262517158584</v>
      </c>
      <c r="D439" s="1">
        <v>1.2154555528061886</v>
      </c>
      <c r="E439" s="1">
        <v>0.82179074724470713</v>
      </c>
      <c r="G439" s="1">
        <v>0.99870638848136772</v>
      </c>
      <c r="H439" s="1">
        <v>5.1161653434379817</v>
      </c>
      <c r="I439" s="1">
        <v>0.15877886244109413</v>
      </c>
      <c r="K439" s="1">
        <v>0.9999591028625231</v>
      </c>
      <c r="L439" s="1">
        <v>1.5317413587678159</v>
      </c>
      <c r="M439" s="1">
        <v>0.64359421589234445</v>
      </c>
      <c r="O439" s="1">
        <v>7.5364183912529602E-3</v>
      </c>
      <c r="P439" s="1">
        <v>0.76429692301995189</v>
      </c>
      <c r="R439" s="1">
        <v>0.17202967363206051</v>
      </c>
      <c r="S439" s="2">
        <f t="shared" si="84"/>
        <v>0.80409363007444301</v>
      </c>
      <c r="T439" s="4">
        <f t="shared" si="85"/>
        <v>0.64656656592629524</v>
      </c>
      <c r="U439" s="1">
        <f t="shared" si="76"/>
        <v>0.59071351902782299</v>
      </c>
      <c r="V439" s="6">
        <f>2*sigma/alpha*corel*(B439/12-1/alpha*(1-EXP(-alpha*Output!B439/12)))</f>
        <v>2.0836706759073751</v>
      </c>
      <c r="W439" s="5">
        <f t="shared" si="86"/>
        <v>-5.5853046898472258E-2</v>
      </c>
      <c r="X439" s="1">
        <f t="shared" si="87"/>
        <v>12.31005150981834</v>
      </c>
      <c r="Y439" s="3">
        <f t="shared" si="77"/>
        <v>1.9975200325867182E-2</v>
      </c>
      <c r="Z439" s="1">
        <f t="shared" si="78"/>
        <v>0.1346403897746927</v>
      </c>
      <c r="AA439" s="8">
        <f t="shared" si="83"/>
        <v>35.58333333333325</v>
      </c>
      <c r="AB439" s="1">
        <v>35.67</v>
      </c>
      <c r="AC439" s="1">
        <v>7.5948217949999997E-3</v>
      </c>
      <c r="AD439" s="8">
        <f t="shared" si="79"/>
        <v>0.58403403747039551</v>
      </c>
      <c r="AE439" s="3">
        <f t="shared" si="80"/>
        <v>7.6898978440138053E-3</v>
      </c>
      <c r="AF439" s="11">
        <f t="shared" si="81"/>
        <v>35.58333333333325</v>
      </c>
      <c r="AG439" s="1">
        <f t="shared" si="82"/>
        <v>0.1346403897746927</v>
      </c>
    </row>
    <row r="440" spans="2:33" ht="15" x14ac:dyDescent="0.25">
      <c r="B440" s="1">
        <v>429</v>
      </c>
      <c r="C440" s="1">
        <v>1.0007333956182887</v>
      </c>
      <c r="D440" s="1">
        <v>1.2178154849595015</v>
      </c>
      <c r="E440" s="1">
        <v>0.82019634722592916</v>
      </c>
      <c r="G440" s="1">
        <v>0.99909834068465631</v>
      </c>
      <c r="H440" s="1">
        <v>5.2051058183529717</v>
      </c>
      <c r="I440" s="1">
        <v>0.15599026520924208</v>
      </c>
      <c r="K440" s="1">
        <v>0.99996409393413377</v>
      </c>
      <c r="L440" s="1">
        <v>1.5232848084473458</v>
      </c>
      <c r="M440" s="1">
        <v>0.64715165496456573</v>
      </c>
      <c r="O440" s="1">
        <v>7.5356621659181493E-3</v>
      </c>
      <c r="P440" s="1">
        <v>0.76383771871893746</v>
      </c>
      <c r="R440" s="1">
        <v>0.17242100367135019</v>
      </c>
      <c r="S440" s="2">
        <f t="shared" si="84"/>
        <v>0.80617658221235522</v>
      </c>
      <c r="T440" s="4">
        <f t="shared" si="85"/>
        <v>0.64992068170759432</v>
      </c>
      <c r="U440" s="1">
        <f t="shared" si="76"/>
        <v>0.59372416305433662</v>
      </c>
      <c r="V440" s="6">
        <f>2*sigma/alpha*corel*(B440/12-1/alpha*(1-EXP(-alpha*Output!B440/12)))</f>
        <v>2.091590382011733</v>
      </c>
      <c r="W440" s="5">
        <f t="shared" si="86"/>
        <v>-5.6196518653257699E-2</v>
      </c>
      <c r="X440" s="1">
        <f t="shared" si="87"/>
        <v>12.410852493539839</v>
      </c>
      <c r="Y440" s="3">
        <f t="shared" si="77"/>
        <v>2.0018372081697801E-2</v>
      </c>
      <c r="Z440" s="1">
        <f t="shared" si="78"/>
        <v>0.13483174510598131</v>
      </c>
      <c r="AA440" s="8">
        <f t="shared" si="83"/>
        <v>35.666666666666586</v>
      </c>
      <c r="AB440" s="1">
        <v>35.75</v>
      </c>
      <c r="AC440" s="1">
        <v>7.5944689130000003E-3</v>
      </c>
      <c r="AD440" s="8">
        <f t="shared" si="79"/>
        <v>0.5880674708185103</v>
      </c>
      <c r="AE440" s="3">
        <f t="shared" si="80"/>
        <v>7.7433653038183198E-3</v>
      </c>
      <c r="AF440" s="11">
        <f t="shared" si="81"/>
        <v>35.666666666666586</v>
      </c>
      <c r="AG440" s="1">
        <f t="shared" si="82"/>
        <v>0.13483174510598131</v>
      </c>
    </row>
    <row r="441" spans="2:33" ht="15" x14ac:dyDescent="0.25">
      <c r="B441" s="1">
        <v>430</v>
      </c>
      <c r="C441" s="1">
        <v>1.0007375900462043</v>
      </c>
      <c r="D441" s="1">
        <v>1.2190225148648375</v>
      </c>
      <c r="E441" s="1">
        <v>0.81938231656891169</v>
      </c>
      <c r="G441" s="1">
        <v>0.99927505750563272</v>
      </c>
      <c r="H441" s="1">
        <v>5.2500840778624447</v>
      </c>
      <c r="I441" s="1">
        <v>0.15457903840918702</v>
      </c>
      <c r="K441" s="1">
        <v>0.99995327785047872</v>
      </c>
      <c r="L441" s="1">
        <v>1.5186401716640914</v>
      </c>
      <c r="M441" s="1">
        <v>0.64911299672131828</v>
      </c>
      <c r="O441" s="1">
        <v>7.5348566012782923E-3</v>
      </c>
      <c r="P441" s="1">
        <v>0.76338023617988526</v>
      </c>
      <c r="R441" s="1">
        <v>0.17280234502825995</v>
      </c>
      <c r="S441" s="2">
        <f t="shared" si="84"/>
        <v>0.80822577996475831</v>
      </c>
      <c r="T441" s="4">
        <f t="shared" si="85"/>
        <v>0.6532289113996419</v>
      </c>
      <c r="U441" s="1">
        <f t="shared" ref="U441:U504" si="88">sigma*sigma/alpha/alpha*(B441/12+2/alpha*EXP(-alpha*B441/12)-1/2/alpha*EXP(-2*alpha*B441/12)-3/2/alpha)</f>
        <v>0.59674112792013645</v>
      </c>
      <c r="V441" s="6">
        <f>2*sigma/alpha*corel*(B441/12-1/alpha*(1-EXP(-alpha*Output!B441/12)))</f>
        <v>2.0995183974613623</v>
      </c>
      <c r="W441" s="5">
        <f t="shared" si="86"/>
        <v>-5.6487783479505449E-2</v>
      </c>
      <c r="X441" s="1">
        <f t="shared" si="87"/>
        <v>12.50455980000784</v>
      </c>
      <c r="Y441" s="3">
        <f t="shared" si="77"/>
        <v>2.0046422829423562E-2</v>
      </c>
      <c r="Z441" s="1">
        <f t="shared" si="78"/>
        <v>0.13501719904908327</v>
      </c>
      <c r="AA441" s="8">
        <f t="shared" si="83"/>
        <v>35.749999999999922</v>
      </c>
      <c r="AB441" s="1">
        <v>35.83</v>
      </c>
      <c r="AC441" s="1">
        <v>7.594117676E-3</v>
      </c>
      <c r="AD441" s="8">
        <f t="shared" si="79"/>
        <v>0.59261074721707674</v>
      </c>
      <c r="AE441" s="3">
        <f t="shared" si="80"/>
        <v>7.8035497012369018E-3</v>
      </c>
      <c r="AF441" s="11">
        <f t="shared" si="81"/>
        <v>35.749999999999922</v>
      </c>
      <c r="AG441" s="1">
        <f t="shared" si="82"/>
        <v>0.13501719904908327</v>
      </c>
    </row>
    <row r="442" spans="2:33" ht="15" x14ac:dyDescent="0.25">
      <c r="B442" s="1">
        <v>431</v>
      </c>
      <c r="C442" s="1">
        <v>1.0007389878868804</v>
      </c>
      <c r="D442" s="1">
        <v>1.2231655849813239</v>
      </c>
      <c r="E442" s="1">
        <v>0.8166050284357852</v>
      </c>
      <c r="G442" s="1">
        <v>0.99923307072378631</v>
      </c>
      <c r="H442" s="1">
        <v>5.4078248454840701</v>
      </c>
      <c r="I442" s="1">
        <v>0.14999750748179677</v>
      </c>
      <c r="K442" s="1">
        <v>0.99995347230980347</v>
      </c>
      <c r="L442" s="1">
        <v>1.5157755258608598</v>
      </c>
      <c r="M442" s="1">
        <v>0.65031822558640151</v>
      </c>
      <c r="O442" s="1">
        <v>7.5340470104064538E-3</v>
      </c>
      <c r="P442" s="1">
        <v>0.76292324039525494</v>
      </c>
      <c r="R442" s="1">
        <v>0.17314824914356056</v>
      </c>
      <c r="S442" s="2">
        <f t="shared" si="84"/>
        <v>0.81015947355106466</v>
      </c>
      <c r="T442" s="4">
        <f t="shared" si="85"/>
        <v>0.65635837258453822</v>
      </c>
      <c r="U442" s="1">
        <f t="shared" si="88"/>
        <v>0.599764399186133</v>
      </c>
      <c r="V442" s="6">
        <f>2*sigma/alpha*corel*(B442/12-1/alpha*(1-EXP(-alpha*Output!B442/12)))</f>
        <v>2.1074546946045563</v>
      </c>
      <c r="W442" s="5">
        <f t="shared" si="86"/>
        <v>-5.6593973398405217E-2</v>
      </c>
      <c r="X442" s="1">
        <f t="shared" si="87"/>
        <v>12.572032801381667</v>
      </c>
      <c r="Y442" s="3">
        <f t="shared" si="77"/>
        <v>2.0022063396728712E-2</v>
      </c>
      <c r="Z442" s="1">
        <f t="shared" si="78"/>
        <v>0.13518313153303424</v>
      </c>
      <c r="AA442" s="8">
        <f t="shared" si="83"/>
        <v>35.833333333333258</v>
      </c>
      <c r="AB442" s="1">
        <v>35.92</v>
      </c>
      <c r="AC442" s="1">
        <v>7.593768073E-3</v>
      </c>
      <c r="AD442" s="8">
        <f t="shared" si="79"/>
        <v>0.59721062593546226</v>
      </c>
      <c r="AE442" s="3">
        <f t="shared" si="80"/>
        <v>7.864483352591092E-3</v>
      </c>
      <c r="AF442" s="11">
        <f t="shared" si="81"/>
        <v>35.833333333333258</v>
      </c>
      <c r="AG442" s="1">
        <f t="shared" si="82"/>
        <v>0.13518313153303424</v>
      </c>
    </row>
    <row r="443" spans="2:33" ht="15" x14ac:dyDescent="0.25">
      <c r="B443" s="1">
        <v>432</v>
      </c>
      <c r="C443" s="1">
        <v>1.0007426512563697</v>
      </c>
      <c r="D443" s="1">
        <v>1.2235443254948284</v>
      </c>
      <c r="E443" s="1">
        <v>0.8163503486348932</v>
      </c>
      <c r="G443" s="1">
        <v>0.99937377193337829</v>
      </c>
      <c r="H443" s="1">
        <v>5.4222305745326551</v>
      </c>
      <c r="I443" s="1">
        <v>0.14952660591278594</v>
      </c>
      <c r="K443" s="1">
        <v>0.99996406003086802</v>
      </c>
      <c r="L443" s="1">
        <v>1.5208294463078831</v>
      </c>
      <c r="M443" s="1">
        <v>0.64812790951213239</v>
      </c>
      <c r="O443" s="1">
        <v>7.5332252265695567E-3</v>
      </c>
      <c r="P443" s="1">
        <v>0.76246695575338586</v>
      </c>
      <c r="R443" s="1">
        <v>0.17350497012203797</v>
      </c>
      <c r="S443" s="2">
        <f t="shared" si="84"/>
        <v>0.81212949534808043</v>
      </c>
      <c r="T443" s="4">
        <f t="shared" si="85"/>
        <v>0.65955431721432778</v>
      </c>
      <c r="U443" s="1">
        <f t="shared" si="88"/>
        <v>0.60279396241746319</v>
      </c>
      <c r="V443" s="6">
        <f>2*sigma/alpha*corel*(B443/12-1/alpha*(1-EXP(-alpha*Output!B443/12)))</f>
        <v>2.1153992458816302</v>
      </c>
      <c r="W443" s="5">
        <f t="shared" si="86"/>
        <v>-5.6760354796864587E-2</v>
      </c>
      <c r="X443" s="1">
        <f t="shared" si="87"/>
        <v>12.64840506022507</v>
      </c>
      <c r="Y443" s="3">
        <f t="shared" si="77"/>
        <v>2.0014727479885905E-2</v>
      </c>
      <c r="Z443" s="1">
        <f t="shared" si="78"/>
        <v>0.13535491589134674</v>
      </c>
      <c r="AA443" s="8">
        <f t="shared" si="83"/>
        <v>35.916666666666593</v>
      </c>
      <c r="AB443" s="1">
        <v>36</v>
      </c>
      <c r="AC443" s="1">
        <v>7.5934200919999997E-3</v>
      </c>
      <c r="AD443" s="8">
        <f t="shared" si="79"/>
        <v>0.60194865430442979</v>
      </c>
      <c r="AE443" s="3">
        <f t="shared" si="80"/>
        <v>7.9272402555287183E-3</v>
      </c>
      <c r="AF443" s="11">
        <f t="shared" si="81"/>
        <v>35.916666666666593</v>
      </c>
      <c r="AG443" s="1">
        <f t="shared" si="82"/>
        <v>0.13535491589134674</v>
      </c>
    </row>
    <row r="444" spans="2:33" ht="15" x14ac:dyDescent="0.25">
      <c r="B444" s="1">
        <v>433</v>
      </c>
      <c r="C444" s="1">
        <v>1.0007448724421191</v>
      </c>
      <c r="D444" s="1">
        <v>1.2211492178165082</v>
      </c>
      <c r="E444" s="1">
        <v>0.81794958936910211</v>
      </c>
      <c r="G444" s="1">
        <v>0.99939330162264961</v>
      </c>
      <c r="H444" s="1">
        <v>5.3251893081117476</v>
      </c>
      <c r="I444" s="1">
        <v>0.15217776529689778</v>
      </c>
      <c r="K444" s="1">
        <v>0.99995786710698875</v>
      </c>
      <c r="L444" s="1">
        <v>1.5122495204973754</v>
      </c>
      <c r="M444" s="1">
        <v>0.65178837823349256</v>
      </c>
      <c r="O444" s="1">
        <v>7.5324113415291393E-3</v>
      </c>
      <c r="P444" s="1">
        <v>0.76201083118712687</v>
      </c>
      <c r="R444" s="1">
        <v>0.17386650500117207</v>
      </c>
      <c r="S444" s="2">
        <f t="shared" si="84"/>
        <v>0.8141170794600403</v>
      </c>
      <c r="T444" s="4">
        <f t="shared" si="85"/>
        <v>0.66278661906854563</v>
      </c>
      <c r="U444" s="1">
        <f t="shared" si="88"/>
        <v>0.60582980318377055</v>
      </c>
      <c r="V444" s="6">
        <f>2*sigma/alpha*corel*(B444/12-1/alpha*(1-EXP(-alpha*Output!B444/12)))</f>
        <v>2.1233520238246095</v>
      </c>
      <c r="W444" s="5">
        <f t="shared" si="86"/>
        <v>-5.6956815884775081E-2</v>
      </c>
      <c r="X444" s="1">
        <f t="shared" si="87"/>
        <v>12.729390909782602</v>
      </c>
      <c r="Y444" s="3">
        <f t="shared" si="77"/>
        <v>2.00158222652266E-2</v>
      </c>
      <c r="Z444" s="1">
        <f t="shared" si="78"/>
        <v>0.13552940784158399</v>
      </c>
      <c r="AA444" s="8">
        <f t="shared" si="83"/>
        <v>35.999999999999929</v>
      </c>
      <c r="AB444" s="1">
        <v>36.08</v>
      </c>
      <c r="AC444" s="1">
        <v>7.5930737229999998E-3</v>
      </c>
      <c r="AD444" s="8">
        <f t="shared" si="79"/>
        <v>0.60662381470860494</v>
      </c>
      <c r="AE444" s="3">
        <f t="shared" si="80"/>
        <v>7.9891732497090751E-3</v>
      </c>
      <c r="AF444" s="11">
        <f t="shared" si="81"/>
        <v>35.999999999999929</v>
      </c>
      <c r="AG444" s="1">
        <f t="shared" si="82"/>
        <v>0.13552940784158399</v>
      </c>
    </row>
    <row r="445" spans="2:33" ht="15" x14ac:dyDescent="0.25">
      <c r="B445" s="1">
        <v>434</v>
      </c>
      <c r="C445" s="1">
        <v>1.0007498110534156</v>
      </c>
      <c r="D445" s="1">
        <v>1.2224038817198024</v>
      </c>
      <c r="E445" s="1">
        <v>0.81710813868643861</v>
      </c>
      <c r="G445" s="1">
        <v>0.99964096488499432</v>
      </c>
      <c r="H445" s="1">
        <v>5.3774731995721821</v>
      </c>
      <c r="I445" s="1">
        <v>0.15062525471240829</v>
      </c>
      <c r="K445" s="1">
        <v>0.99994923845183914</v>
      </c>
      <c r="L445" s="1">
        <v>1.5207065191388944</v>
      </c>
      <c r="M445" s="1">
        <v>0.64814505460328231</v>
      </c>
      <c r="O445" s="1">
        <v>7.5316041618826296E-3</v>
      </c>
      <c r="P445" s="1">
        <v>0.7615548981016641</v>
      </c>
      <c r="R445" s="1">
        <v>0.17423655900935292</v>
      </c>
      <c r="S445" s="2">
        <f t="shared" si="84"/>
        <v>0.81613443675043196</v>
      </c>
      <c r="T445" s="4">
        <f t="shared" si="85"/>
        <v>0.66607541884994481</v>
      </c>
      <c r="U445" s="1">
        <f t="shared" si="88"/>
        <v>0.60887190705947525</v>
      </c>
      <c r="V445" s="6">
        <f>2*sigma/alpha*corel*(B445/12-1/alpha*(1-EXP(-alpha*Output!B445/12)))</f>
        <v>2.1313130010569257</v>
      </c>
      <c r="W445" s="5">
        <f t="shared" si="86"/>
        <v>-5.7203511790469563E-2</v>
      </c>
      <c r="X445" s="1">
        <f t="shared" si="87"/>
        <v>12.817936480828877</v>
      </c>
      <c r="Y445" s="3">
        <f t="shared" si="77"/>
        <v>2.0030897485803483E-2</v>
      </c>
      <c r="Z445" s="1">
        <f t="shared" si="78"/>
        <v>0.13570862853040025</v>
      </c>
      <c r="AA445" s="8">
        <f t="shared" si="83"/>
        <v>36.083333333333265</v>
      </c>
      <c r="AB445" s="1">
        <v>36.17</v>
      </c>
      <c r="AC445" s="1">
        <v>7.5927289550000001E-3</v>
      </c>
      <c r="AD445" s="8">
        <f t="shared" si="79"/>
        <v>0.61124793117370468</v>
      </c>
      <c r="AE445" s="3">
        <f t="shared" si="80"/>
        <v>8.0504379228654391E-3</v>
      </c>
      <c r="AF445" s="11">
        <f t="shared" si="81"/>
        <v>36.083333333333265</v>
      </c>
      <c r="AG445" s="1">
        <f t="shared" si="82"/>
        <v>0.13570862853040025</v>
      </c>
    </row>
    <row r="446" spans="2:33" ht="15" x14ac:dyDescent="0.25">
      <c r="B446" s="1">
        <v>435</v>
      </c>
      <c r="C446" s="1">
        <v>1.0007525157362109</v>
      </c>
      <c r="D446" s="1">
        <v>1.2204336354302969</v>
      </c>
      <c r="E446" s="1">
        <v>0.81842534108646259</v>
      </c>
      <c r="G446" s="1">
        <v>0.99967410993177652</v>
      </c>
      <c r="H446" s="1">
        <v>5.2929923439385318</v>
      </c>
      <c r="I446" s="1">
        <v>0.1529553165093876</v>
      </c>
      <c r="K446" s="1">
        <v>0.99996119161395747</v>
      </c>
      <c r="L446" s="1">
        <v>1.5116921048425649</v>
      </c>
      <c r="M446" s="1">
        <v>0.65198265101041852</v>
      </c>
      <c r="O446" s="1">
        <v>7.5307082266668542E-3</v>
      </c>
      <c r="P446" s="1">
        <v>0.76110178896165326</v>
      </c>
      <c r="R446" s="1">
        <v>0.17457930051292869</v>
      </c>
      <c r="S446" s="2">
        <f t="shared" si="84"/>
        <v>0.81805867554866718</v>
      </c>
      <c r="T446" s="4">
        <f t="shared" si="85"/>
        <v>0.66921999664043952</v>
      </c>
      <c r="U446" s="1">
        <f t="shared" si="88"/>
        <v>0.61192025962404939</v>
      </c>
      <c r="V446" s="6">
        <f>2*sigma/alpha*corel*(B446/12-1/alpha*(1-EXP(-alpha*Output!B446/12)))</f>
        <v>2.1392821502931176</v>
      </c>
      <c r="W446" s="5">
        <f t="shared" si="86"/>
        <v>-5.7299737016390129E-2</v>
      </c>
      <c r="X446" s="1">
        <f t="shared" si="87"/>
        <v>12.884989985939313</v>
      </c>
      <c r="Y446" s="3">
        <f t="shared" si="77"/>
        <v>2.0003926537688062E-2</v>
      </c>
      <c r="Z446" s="1">
        <f t="shared" si="78"/>
        <v>0.13587215051890808</v>
      </c>
      <c r="AA446" s="8">
        <f t="shared" si="83"/>
        <v>36.1666666666666</v>
      </c>
      <c r="AB446" s="1">
        <v>36.25</v>
      </c>
      <c r="AC446" s="1">
        <v>7.5923857759999996E-3</v>
      </c>
      <c r="AD446" s="8">
        <f t="shared" si="79"/>
        <v>0.61677549333145376</v>
      </c>
      <c r="AE446" s="3">
        <f t="shared" si="80"/>
        <v>8.1236058273160879E-3</v>
      </c>
      <c r="AF446" s="11">
        <f t="shared" si="81"/>
        <v>36.1666666666666</v>
      </c>
      <c r="AG446" s="1">
        <f t="shared" si="82"/>
        <v>0.13587215051890808</v>
      </c>
    </row>
    <row r="447" spans="2:33" ht="15" x14ac:dyDescent="0.25">
      <c r="B447" s="1">
        <v>436</v>
      </c>
      <c r="C447" s="1">
        <v>1.0007534374752383</v>
      </c>
      <c r="D447" s="1">
        <v>1.2169262830179406</v>
      </c>
      <c r="E447" s="1">
        <v>0.82078222606529483</v>
      </c>
      <c r="G447" s="1">
        <v>0.99958094659426167</v>
      </c>
      <c r="H447" s="1">
        <v>5.1525779995847643</v>
      </c>
      <c r="I447" s="1">
        <v>0.15704751210546175</v>
      </c>
      <c r="K447" s="1">
        <v>0.9999591561106328</v>
      </c>
      <c r="L447" s="1">
        <v>1.5126458666424192</v>
      </c>
      <c r="M447" s="1">
        <v>0.6515444229154832</v>
      </c>
      <c r="O447" s="1">
        <v>7.5298812320249084E-3</v>
      </c>
      <c r="P447" s="1">
        <v>0.7606471576916265</v>
      </c>
      <c r="R447" s="1">
        <v>0.1749040259742648</v>
      </c>
      <c r="S447" s="2">
        <f t="shared" si="84"/>
        <v>0.8199279411619298</v>
      </c>
      <c r="T447" s="4">
        <f t="shared" si="85"/>
        <v>0.67228182869804098</v>
      </c>
      <c r="U447" s="1">
        <f t="shared" si="88"/>
        <v>0.61497484646228573</v>
      </c>
      <c r="V447" s="6">
        <f>2*sigma/alpha*corel*(B447/12-1/alpha*(1-EXP(-alpha*Output!B447/12)))</f>
        <v>2.1472594443385211</v>
      </c>
      <c r="W447" s="5">
        <f t="shared" si="86"/>
        <v>-5.7306982235755255E-2</v>
      </c>
      <c r="X447" s="1">
        <f t="shared" si="87"/>
        <v>12.939337872897406</v>
      </c>
      <c r="Y447" s="3">
        <f t="shared" si="77"/>
        <v>1.9952334922939026E-2</v>
      </c>
      <c r="Z447" s="1">
        <f t="shared" si="78"/>
        <v>0.13602635625934331</v>
      </c>
      <c r="AA447" s="8">
        <f t="shared" si="83"/>
        <v>36.249999999999936</v>
      </c>
      <c r="AB447" s="1">
        <v>36.33</v>
      </c>
      <c r="AC447" s="1">
        <v>7.5920441760000002E-3</v>
      </c>
      <c r="AD447" s="8">
        <f t="shared" si="79"/>
        <v>0.62162943975091822</v>
      </c>
      <c r="AE447" s="3">
        <f t="shared" si="80"/>
        <v>8.1879059886929475E-3</v>
      </c>
      <c r="AF447" s="11">
        <f t="shared" si="81"/>
        <v>36.249999999999936</v>
      </c>
      <c r="AG447" s="1">
        <f t="shared" si="82"/>
        <v>0.13602635625934331</v>
      </c>
    </row>
    <row r="448" spans="2:33" ht="15" x14ac:dyDescent="0.25">
      <c r="B448" s="1">
        <v>437</v>
      </c>
      <c r="C448" s="1">
        <v>1.0007571077349231</v>
      </c>
      <c r="D448" s="1">
        <v>1.2180368530252956</v>
      </c>
      <c r="E448" s="1">
        <v>0.82003192657940016</v>
      </c>
      <c r="G448" s="1">
        <v>0.99968834907618243</v>
      </c>
      <c r="H448" s="1">
        <v>5.1907145465397759</v>
      </c>
      <c r="I448" s="1">
        <v>0.15581823502652353</v>
      </c>
      <c r="K448" s="1">
        <v>0.99995803405009454</v>
      </c>
      <c r="L448" s="1">
        <v>1.5127687427649341</v>
      </c>
      <c r="M448" s="1">
        <v>0.65148387221864845</v>
      </c>
      <c r="O448" s="1">
        <v>7.5291025768962818E-3</v>
      </c>
      <c r="P448" s="1">
        <v>0.76019156455213066</v>
      </c>
      <c r="R448" s="1">
        <v>0.17524015068328447</v>
      </c>
      <c r="S448" s="2">
        <f t="shared" si="84"/>
        <v>0.82183842911882365</v>
      </c>
      <c r="T448" s="4">
        <f t="shared" si="85"/>
        <v>0.67541840357649574</v>
      </c>
      <c r="U448" s="1">
        <f t="shared" si="88"/>
        <v>0.61803565316455833</v>
      </c>
      <c r="V448" s="6">
        <f>2*sigma/alpha*corel*(B448/12-1/alpha*(1-EXP(-alpha*Output!B448/12)))</f>
        <v>2.1552448560889692</v>
      </c>
      <c r="W448" s="5">
        <f t="shared" si="86"/>
        <v>-5.7382750411937411E-2</v>
      </c>
      <c r="X448" s="1">
        <f t="shared" si="87"/>
        <v>13.003834366370178</v>
      </c>
      <c r="Y448" s="3">
        <f t="shared" si="77"/>
        <v>1.9919974065674244E-2</v>
      </c>
      <c r="Z448" s="1">
        <f t="shared" si="78"/>
        <v>0.1361872183819508</v>
      </c>
      <c r="AA448" s="8">
        <f t="shared" si="83"/>
        <v>36.333333333333272</v>
      </c>
      <c r="AB448" s="1">
        <v>36.42</v>
      </c>
      <c r="AC448" s="1">
        <v>7.5917041439999998E-3</v>
      </c>
      <c r="AD448" s="8">
        <f t="shared" si="79"/>
        <v>0.62601567103717959</v>
      </c>
      <c r="AE448" s="3">
        <f t="shared" si="80"/>
        <v>8.2460493607610166E-3</v>
      </c>
      <c r="AF448" s="11">
        <f t="shared" si="81"/>
        <v>36.333333333333272</v>
      </c>
      <c r="AG448" s="1">
        <f t="shared" si="82"/>
        <v>0.1361872183819508</v>
      </c>
    </row>
    <row r="449" spans="2:33" ht="15" x14ac:dyDescent="0.25">
      <c r="B449" s="1">
        <v>438</v>
      </c>
      <c r="C449" s="1">
        <v>1.0007555780479771</v>
      </c>
      <c r="D449" s="1">
        <v>1.2209233455309196</v>
      </c>
      <c r="E449" s="1">
        <v>0.8180912823807206</v>
      </c>
      <c r="G449" s="1">
        <v>0.99939046679742227</v>
      </c>
      <c r="H449" s="1">
        <v>5.3033360391840434</v>
      </c>
      <c r="I449" s="1">
        <v>0.15243548275734328</v>
      </c>
      <c r="K449" s="1">
        <v>0.9999477430254331</v>
      </c>
      <c r="L449" s="1">
        <v>1.5088843454470842</v>
      </c>
      <c r="M449" s="1">
        <v>0.65312591429493627</v>
      </c>
      <c r="O449" s="1">
        <v>7.5283900184675472E-3</v>
      </c>
      <c r="P449" s="1">
        <v>0.7597345100035201</v>
      </c>
      <c r="R449" s="1">
        <v>0.17556689728256625</v>
      </c>
      <c r="S449" s="2">
        <f t="shared" si="84"/>
        <v>0.82372234409806078</v>
      </c>
      <c r="T449" s="4">
        <f t="shared" si="85"/>
        <v>0.67851850016640403</v>
      </c>
      <c r="U449" s="1">
        <f t="shared" si="88"/>
        <v>0.62110266532709346</v>
      </c>
      <c r="V449" s="6">
        <f>2*sigma/alpha*corel*(B449/12-1/alpha*(1-EXP(-alpha*Output!B449/12)))</f>
        <v>2.1632383585304962</v>
      </c>
      <c r="W449" s="5">
        <f t="shared" si="86"/>
        <v>-5.7415834839310564E-2</v>
      </c>
      <c r="X449" s="1">
        <f t="shared" si="87"/>
        <v>13.062312082357057</v>
      </c>
      <c r="Y449" s="3">
        <f t="shared" si="77"/>
        <v>1.9875941342546801E-2</v>
      </c>
      <c r="Z449" s="1">
        <f t="shared" si="78"/>
        <v>0.1363434925097802</v>
      </c>
      <c r="AA449" s="8">
        <f t="shared" si="83"/>
        <v>36.416666666666607</v>
      </c>
      <c r="AB449" s="1">
        <v>36.5</v>
      </c>
      <c r="AC449" s="1">
        <v>7.591365668E-3</v>
      </c>
      <c r="AD449" s="8">
        <f t="shared" si="79"/>
        <v>0.62975649532452838</v>
      </c>
      <c r="AE449" s="3">
        <f t="shared" si="80"/>
        <v>8.2956943831483509E-3</v>
      </c>
      <c r="AF449" s="11">
        <f t="shared" si="81"/>
        <v>36.416666666666607</v>
      </c>
      <c r="AG449" s="1">
        <f t="shared" si="82"/>
        <v>0.1363434925097802</v>
      </c>
    </row>
    <row r="450" spans="2:33" ht="15" x14ac:dyDescent="0.25">
      <c r="B450" s="1">
        <v>439</v>
      </c>
      <c r="C450" s="1">
        <v>1.0007562619032206</v>
      </c>
      <c r="D450" s="1">
        <v>1.2168862411494104</v>
      </c>
      <c r="E450" s="1">
        <v>0.82080341199855278</v>
      </c>
      <c r="G450" s="1">
        <v>0.99928775776403345</v>
      </c>
      <c r="H450" s="1">
        <v>5.147295411924472</v>
      </c>
      <c r="I450" s="1">
        <v>0.15698057369144991</v>
      </c>
      <c r="K450" s="1">
        <v>0.99994989305050175</v>
      </c>
      <c r="L450" s="1">
        <v>1.5061966404102298</v>
      </c>
      <c r="M450" s="1">
        <v>0.65426876967325021</v>
      </c>
      <c r="O450" s="1">
        <v>7.5277546119811569E-3</v>
      </c>
      <c r="P450" s="1">
        <v>0.75927567738438373</v>
      </c>
      <c r="R450" s="1">
        <v>0.17590277821978365</v>
      </c>
      <c r="S450" s="2">
        <f t="shared" si="84"/>
        <v>0.82564150441679263</v>
      </c>
      <c r="T450" s="4">
        <f t="shared" si="85"/>
        <v>0.68168389381562455</v>
      </c>
      <c r="U450" s="1">
        <f t="shared" si="88"/>
        <v>0.62417586855222185</v>
      </c>
      <c r="V450" s="6">
        <f>2*sigma/alpha*corel*(B450/12-1/alpha*(1-EXP(-alpha*Output!B450/12)))</f>
        <v>2.1712399247390293</v>
      </c>
      <c r="W450" s="5">
        <f t="shared" si="86"/>
        <v>-5.7508025263402707E-2</v>
      </c>
      <c r="X450" s="1">
        <f t="shared" si="87"/>
        <v>13.129623840992007</v>
      </c>
      <c r="Y450" s="3">
        <f t="shared" si="77"/>
        <v>1.9848414892460663E-2</v>
      </c>
      <c r="Z450" s="1">
        <f t="shared" si="78"/>
        <v>0.13650541492832843</v>
      </c>
      <c r="AA450" s="8">
        <f t="shared" si="83"/>
        <v>36.499999999999943</v>
      </c>
      <c r="AB450" s="1">
        <v>36.58</v>
      </c>
      <c r="AC450" s="1">
        <v>7.5910287389999997E-3</v>
      </c>
      <c r="AD450" s="8">
        <f t="shared" si="79"/>
        <v>0.63274127018842807</v>
      </c>
      <c r="AE450" s="3">
        <f t="shared" si="80"/>
        <v>8.3353823565128788E-3</v>
      </c>
      <c r="AF450" s="11">
        <f t="shared" si="81"/>
        <v>36.499999999999943</v>
      </c>
      <c r="AG450" s="1">
        <f t="shared" si="82"/>
        <v>0.13650541492832843</v>
      </c>
    </row>
    <row r="451" spans="2:33" ht="15" x14ac:dyDescent="0.25">
      <c r="B451" s="1">
        <v>440</v>
      </c>
      <c r="C451" s="1">
        <v>1.0007584594881973</v>
      </c>
      <c r="D451" s="1">
        <v>1.2171169147848444</v>
      </c>
      <c r="E451" s="1">
        <v>0.82064590010353233</v>
      </c>
      <c r="G451" s="1">
        <v>0.99927039890256952</v>
      </c>
      <c r="H451" s="1">
        <v>5.1552671836918451</v>
      </c>
      <c r="I451" s="1">
        <v>0.15666198113468852</v>
      </c>
      <c r="K451" s="1">
        <v>0.9999420729460865</v>
      </c>
      <c r="L451" s="1">
        <v>1.5179182775961064</v>
      </c>
      <c r="M451" s="1">
        <v>0.64918196694464381</v>
      </c>
      <c r="O451" s="1">
        <v>7.527068841712726E-3</v>
      </c>
      <c r="P451" s="1">
        <v>0.75881860351908748</v>
      </c>
      <c r="R451" s="1">
        <v>0.17628133868970661</v>
      </c>
      <c r="S451" s="2">
        <f t="shared" si="84"/>
        <v>0.82770092426977993</v>
      </c>
      <c r="T451" s="4">
        <f t="shared" si="85"/>
        <v>0.68508882003704796</v>
      </c>
      <c r="U451" s="1">
        <f t="shared" si="88"/>
        <v>0.62725524844864289</v>
      </c>
      <c r="V451" s="6">
        <f>2*sigma/alpha*corel*(B451/12-1/alpha*(1-EXP(-alpha*Output!B451/12)))</f>
        <v>2.1792495278800921</v>
      </c>
      <c r="W451" s="5">
        <f t="shared" si="86"/>
        <v>-5.7833571588405075E-2</v>
      </c>
      <c r="X451" s="1">
        <f t="shared" si="87"/>
        <v>13.231385671065015</v>
      </c>
      <c r="Y451" s="3">
        <f t="shared" si="77"/>
        <v>1.9885195137262127E-2</v>
      </c>
      <c r="Z451" s="1">
        <f t="shared" si="78"/>
        <v>0.13669030889739384</v>
      </c>
      <c r="AA451" s="8">
        <f t="shared" si="83"/>
        <v>36.583333333333279</v>
      </c>
      <c r="AB451" s="1">
        <v>36.67</v>
      </c>
      <c r="AC451" s="1">
        <v>7.5906933449999998E-3</v>
      </c>
      <c r="AD451" s="8">
        <f t="shared" si="79"/>
        <v>0.63624503287273804</v>
      </c>
      <c r="AE451" s="3">
        <f t="shared" si="80"/>
        <v>8.3819093191511082E-3</v>
      </c>
      <c r="AF451" s="11">
        <f t="shared" si="81"/>
        <v>36.583333333333279</v>
      </c>
      <c r="AG451" s="1">
        <f t="shared" si="82"/>
        <v>0.13669030889739384</v>
      </c>
    </row>
    <row r="452" spans="2:33" ht="15" x14ac:dyDescent="0.25">
      <c r="B452" s="1">
        <v>441</v>
      </c>
      <c r="C452" s="1">
        <v>1.0007574286917071</v>
      </c>
      <c r="D452" s="1">
        <v>1.2180791169858447</v>
      </c>
      <c r="E452" s="1">
        <v>0.8199956924205416</v>
      </c>
      <c r="G452" s="1">
        <v>0.99901251925050782</v>
      </c>
      <c r="H452" s="1">
        <v>5.1883024955362256</v>
      </c>
      <c r="I452" s="1">
        <v>0.15558914343939251</v>
      </c>
      <c r="K452" s="1">
        <v>0.99994431531585193</v>
      </c>
      <c r="L452" s="1">
        <v>1.5308834442835118</v>
      </c>
      <c r="M452" s="1">
        <v>0.64368949654105778</v>
      </c>
      <c r="O452" s="1">
        <v>7.5263871158667327E-3</v>
      </c>
      <c r="P452" s="1">
        <v>0.7583617787659499</v>
      </c>
      <c r="R452" s="1">
        <v>0.17663307694311348</v>
      </c>
      <c r="S452" s="2">
        <f t="shared" si="84"/>
        <v>0.82967306425064025</v>
      </c>
      <c r="T452" s="4">
        <f t="shared" si="85"/>
        <v>0.68835739354304704</v>
      </c>
      <c r="U452" s="1">
        <f t="shared" si="88"/>
        <v>0.63034079063167558</v>
      </c>
      <c r="V452" s="6">
        <f>2*sigma/alpha*corel*(B452/12-1/alpha*(1-EXP(-alpha*Output!B452/12)))</f>
        <v>2.1872671412085118</v>
      </c>
      <c r="W452" s="5">
        <f t="shared" si="86"/>
        <v>-5.8016602911371451E-2</v>
      </c>
      <c r="X452" s="1">
        <f t="shared" si="87"/>
        <v>13.312578174982059</v>
      </c>
      <c r="Y452" s="3">
        <f t="shared" si="77"/>
        <v>1.9882631993610698E-2</v>
      </c>
      <c r="Z452" s="1">
        <f t="shared" si="78"/>
        <v>0.13686056199556823</v>
      </c>
      <c r="AA452" s="8">
        <f t="shared" si="83"/>
        <v>36.666666666666615</v>
      </c>
      <c r="AB452" s="1">
        <v>36.75</v>
      </c>
      <c r="AC452" s="1">
        <v>7.5903594760000003E-3</v>
      </c>
      <c r="AD452" s="8">
        <f t="shared" si="79"/>
        <v>0.63972360133267636</v>
      </c>
      <c r="AE452" s="3">
        <f t="shared" si="80"/>
        <v>8.428106776173408E-3</v>
      </c>
      <c r="AF452" s="11">
        <f t="shared" si="81"/>
        <v>36.666666666666615</v>
      </c>
      <c r="AG452" s="1">
        <f t="shared" si="82"/>
        <v>0.13686056199556823</v>
      </c>
    </row>
    <row r="453" spans="2:33" ht="15" x14ac:dyDescent="0.25">
      <c r="B453" s="1">
        <v>442</v>
      </c>
      <c r="C453" s="1">
        <v>1.0007601772051058</v>
      </c>
      <c r="D453" s="1">
        <v>1.2163884670122891</v>
      </c>
      <c r="E453" s="1">
        <v>0.82113344023230483</v>
      </c>
      <c r="G453" s="1">
        <v>0.99905634439740276</v>
      </c>
      <c r="H453" s="1">
        <v>5.119834750343828</v>
      </c>
      <c r="I453" s="1">
        <v>0.15759354315389493</v>
      </c>
      <c r="K453" s="1">
        <v>0.99994582024610357</v>
      </c>
      <c r="L453" s="1">
        <v>1.5264249110083556</v>
      </c>
      <c r="M453" s="1">
        <v>0.64552848980297983</v>
      </c>
      <c r="O453" s="1">
        <v>7.5257143250071368E-3</v>
      </c>
      <c r="P453" s="1">
        <v>0.75790506571421412</v>
      </c>
      <c r="R453" s="1">
        <v>0.1769925866145193</v>
      </c>
      <c r="S453" s="2">
        <f t="shared" si="84"/>
        <v>0.83167278936427147</v>
      </c>
      <c r="T453" s="4">
        <f t="shared" si="85"/>
        <v>0.69167962856894782</v>
      </c>
      <c r="U453" s="1">
        <f t="shared" si="88"/>
        <v>0.6334324807235121</v>
      </c>
      <c r="V453" s="6">
        <f>2*sigma/alpha*corel*(B453/12-1/alpha*(1-EXP(-alpha*Output!B453/12)))</f>
        <v>2.1952927380681153</v>
      </c>
      <c r="W453" s="5">
        <f t="shared" si="86"/>
        <v>-5.8247147845435721E-2</v>
      </c>
      <c r="X453" s="1">
        <f t="shared" si="87"/>
        <v>13.401056655042131</v>
      </c>
      <c r="Y453" s="3">
        <f t="shared" si="77"/>
        <v>1.9893022136356561E-2</v>
      </c>
      <c r="Z453" s="1">
        <f t="shared" si="78"/>
        <v>0.13703515041709441</v>
      </c>
      <c r="AA453" s="8">
        <f t="shared" si="83"/>
        <v>36.74999999999995</v>
      </c>
      <c r="AB453" s="1">
        <v>36.83</v>
      </c>
      <c r="AC453" s="1">
        <v>7.590027121E-3</v>
      </c>
      <c r="AD453" s="8">
        <f t="shared" si="79"/>
        <v>0.6431279599286317</v>
      </c>
      <c r="AE453" s="3">
        <f t="shared" si="80"/>
        <v>8.4733288784862529E-3</v>
      </c>
      <c r="AF453" s="11">
        <f t="shared" si="81"/>
        <v>36.74999999999995</v>
      </c>
      <c r="AG453" s="1">
        <f t="shared" si="82"/>
        <v>0.13703515041709441</v>
      </c>
    </row>
    <row r="454" spans="2:33" ht="15" x14ac:dyDescent="0.25">
      <c r="B454" s="1">
        <v>443</v>
      </c>
      <c r="C454" s="1">
        <v>1.0007639833297644</v>
      </c>
      <c r="D454" s="1">
        <v>1.2142788528827113</v>
      </c>
      <c r="E454" s="1">
        <v>0.82255806072878179</v>
      </c>
      <c r="G454" s="1">
        <v>0.99916523159631054</v>
      </c>
      <c r="H454" s="1">
        <v>5.0410732311668998</v>
      </c>
      <c r="I454" s="1">
        <v>0.15997832311564017</v>
      </c>
      <c r="K454" s="1">
        <v>0.99993539019336686</v>
      </c>
      <c r="L454" s="1">
        <v>1.5341442007242456</v>
      </c>
      <c r="M454" s="1">
        <v>0.64229137953458582</v>
      </c>
      <c r="O454" s="1">
        <v>7.5250537321905888E-3</v>
      </c>
      <c r="P454" s="1">
        <v>0.75744837155830524</v>
      </c>
      <c r="R454" s="1">
        <v>0.17734840519428774</v>
      </c>
      <c r="S454" s="2">
        <f t="shared" si="84"/>
        <v>0.83366225631100743</v>
      </c>
      <c r="T454" s="4">
        <f t="shared" si="85"/>
        <v>0.69499275759755985</v>
      </c>
      <c r="U454" s="1">
        <f t="shared" si="88"/>
        <v>0.63653030435346647</v>
      </c>
      <c r="V454" s="6">
        <f>2*sigma/alpha*corel*(B454/12-1/alpha*(1-EXP(-alpha*Output!B454/12)))</f>
        <v>2.2033262918914347</v>
      </c>
      <c r="W454" s="5">
        <f t="shared" si="86"/>
        <v>-5.8462453244093382E-2</v>
      </c>
      <c r="X454" s="1">
        <f t="shared" si="87"/>
        <v>13.487602344251183</v>
      </c>
      <c r="Y454" s="3">
        <f t="shared" si="77"/>
        <v>1.9899153420050535E-2</v>
      </c>
      <c r="Z454" s="1">
        <f t="shared" si="78"/>
        <v>0.13720783111441293</v>
      </c>
      <c r="AA454" s="8">
        <f t="shared" si="83"/>
        <v>36.833333333333286</v>
      </c>
      <c r="AB454" s="1">
        <v>36.92</v>
      </c>
      <c r="AC454" s="1">
        <v>7.5896962699999997E-3</v>
      </c>
      <c r="AD454" s="8">
        <f t="shared" si="79"/>
        <v>0.64642537809410894</v>
      </c>
      <c r="AE454" s="3">
        <f t="shared" si="80"/>
        <v>8.5171442320986189E-3</v>
      </c>
      <c r="AF454" s="11">
        <f t="shared" si="81"/>
        <v>36.833333333333286</v>
      </c>
      <c r="AG454" s="1">
        <f t="shared" si="82"/>
        <v>0.13720783111441293</v>
      </c>
    </row>
    <row r="455" spans="2:33" ht="15" x14ac:dyDescent="0.25">
      <c r="B455" s="1">
        <v>444</v>
      </c>
      <c r="C455" s="1">
        <v>1.0007658894116018</v>
      </c>
      <c r="D455" s="1">
        <v>1.2174061607345987</v>
      </c>
      <c r="E455" s="1">
        <v>0.82044308374849795</v>
      </c>
      <c r="G455" s="1">
        <v>0.99921862582198717</v>
      </c>
      <c r="H455" s="1">
        <v>5.154074020454436</v>
      </c>
      <c r="I455" s="1">
        <v>0.15639514852259265</v>
      </c>
      <c r="K455" s="1">
        <v>0.99993898332132569</v>
      </c>
      <c r="L455" s="1">
        <v>1.534026494141268</v>
      </c>
      <c r="M455" s="1">
        <v>0.64229987524614729</v>
      </c>
      <c r="O455" s="1">
        <v>7.5243671284597503E-3</v>
      </c>
      <c r="P455" s="1">
        <v>0.75699276447087926</v>
      </c>
      <c r="R455" s="1">
        <v>0.17768344932674415</v>
      </c>
      <c r="S455" s="2">
        <f t="shared" si="84"/>
        <v>0.83558277938552616</v>
      </c>
      <c r="T455" s="4">
        <f t="shared" si="85"/>
        <v>0.69819858120564093</v>
      </c>
      <c r="U455" s="1">
        <f t="shared" si="88"/>
        <v>0.63963424715822237</v>
      </c>
      <c r="V455" s="6">
        <f>2*sigma/alpha*corel*(B455/12-1/alpha*(1-EXP(-alpha*Output!B455/12)))</f>
        <v>2.2113677761994146</v>
      </c>
      <c r="W455" s="5">
        <f t="shared" si="86"/>
        <v>-5.8564334047418565E-2</v>
      </c>
      <c r="X455" s="1">
        <f t="shared" si="87"/>
        <v>13.557668880631091</v>
      </c>
      <c r="Y455" s="3">
        <f t="shared" si="77"/>
        <v>1.9874408318084735E-2</v>
      </c>
      <c r="Z455" s="1">
        <f t="shared" si="78"/>
        <v>0.13736896274077628</v>
      </c>
      <c r="AA455" s="8">
        <f t="shared" si="83"/>
        <v>36.916666666666622</v>
      </c>
      <c r="AB455" s="1">
        <v>37</v>
      </c>
      <c r="AC455" s="1">
        <v>7.589366914E-3</v>
      </c>
      <c r="AD455" s="8">
        <f t="shared" si="79"/>
        <v>0.64999785540249644</v>
      </c>
      <c r="AE455" s="3">
        <f t="shared" si="80"/>
        <v>8.564585989424946E-3</v>
      </c>
      <c r="AF455" s="11">
        <f t="shared" si="81"/>
        <v>36.916666666666622</v>
      </c>
      <c r="AG455" s="1">
        <f t="shared" si="82"/>
        <v>0.13736896274077628</v>
      </c>
    </row>
    <row r="456" spans="2:33" ht="15" x14ac:dyDescent="0.25">
      <c r="B456" s="1">
        <v>445</v>
      </c>
      <c r="C456" s="1">
        <v>1.0007724060018361</v>
      </c>
      <c r="D456" s="1">
        <v>1.2151769376191572</v>
      </c>
      <c r="E456" s="1">
        <v>0.82194620002717711</v>
      </c>
      <c r="G456" s="1">
        <v>0.99958717286160825</v>
      </c>
      <c r="H456" s="1">
        <v>5.0686780896960144</v>
      </c>
      <c r="I456" s="1">
        <v>0.15895309863897641</v>
      </c>
      <c r="K456" s="1">
        <v>0.99994762036469664</v>
      </c>
      <c r="L456" s="1">
        <v>1.5448555065247986</v>
      </c>
      <c r="M456" s="1">
        <v>0.63778305663976509</v>
      </c>
      <c r="O456" s="1">
        <v>7.5237278803086862E-3</v>
      </c>
      <c r="P456" s="1">
        <v>0.7565361894493805</v>
      </c>
      <c r="R456" s="1">
        <v>0.17801552266969448</v>
      </c>
      <c r="S456" s="2">
        <f t="shared" si="84"/>
        <v>0.83749706845895533</v>
      </c>
      <c r="T456" s="4">
        <f t="shared" si="85"/>
        <v>0.70140133967734408</v>
      </c>
      <c r="U456" s="1">
        <f t="shared" si="88"/>
        <v>0.64274429478207873</v>
      </c>
      <c r="V456" s="6">
        <f>2*sigma/alpha*corel*(B456/12-1/alpha*(1-EXP(-alpha*Output!B456/12)))</f>
        <v>2.2194171646011158</v>
      </c>
      <c r="W456" s="5">
        <f t="shared" si="86"/>
        <v>-5.8657044895265353E-2</v>
      </c>
      <c r="X456" s="1">
        <f t="shared" si="87"/>
        <v>13.62660754332375</v>
      </c>
      <c r="Y456" s="3">
        <f t="shared" si="77"/>
        <v>1.9847276591178818E-2</v>
      </c>
      <c r="Z456" s="1">
        <f t="shared" si="78"/>
        <v>0.13752888216480716</v>
      </c>
      <c r="AA456" s="8">
        <f t="shared" si="83"/>
        <v>36.999999999999957</v>
      </c>
      <c r="AB456" s="1">
        <v>37.08</v>
      </c>
      <c r="AC456" s="1">
        <v>7.5890390400000004E-3</v>
      </c>
      <c r="AD456" s="8">
        <f t="shared" si="79"/>
        <v>0.6531115969131418</v>
      </c>
      <c r="AE456" s="3">
        <f t="shared" si="80"/>
        <v>8.6059854676033103E-3</v>
      </c>
      <c r="AF456" s="11">
        <f t="shared" si="81"/>
        <v>36.999999999999957</v>
      </c>
      <c r="AG456" s="1">
        <f t="shared" si="82"/>
        <v>0.13752888216480716</v>
      </c>
    </row>
    <row r="457" spans="2:33" ht="15" x14ac:dyDescent="0.25">
      <c r="B457" s="1">
        <v>446</v>
      </c>
      <c r="C457" s="1">
        <v>1.0007767476005638</v>
      </c>
      <c r="D457" s="1">
        <v>1.2140644760477528</v>
      </c>
      <c r="E457" s="1">
        <v>0.82269737901785611</v>
      </c>
      <c r="G457" s="1">
        <v>0.99979256666024208</v>
      </c>
      <c r="H457" s="1">
        <v>5.0246019721406023</v>
      </c>
      <c r="I457" s="1">
        <v>0.16026984731471852</v>
      </c>
      <c r="K457" s="1">
        <v>0.99994189458757277</v>
      </c>
      <c r="L457" s="1">
        <v>1.5469235238074799</v>
      </c>
      <c r="M457" s="1">
        <v>0.63691889462335027</v>
      </c>
      <c r="O457" s="1">
        <v>7.5230169953902186E-3</v>
      </c>
      <c r="P457" s="1">
        <v>0.75608198342726551</v>
      </c>
      <c r="R457" s="1">
        <v>0.17838482285840579</v>
      </c>
      <c r="S457" s="2">
        <f t="shared" si="84"/>
        <v>0.83953294838811288</v>
      </c>
      <c r="T457" s="4">
        <f t="shared" si="85"/>
        <v>0.70481557142923779</v>
      </c>
      <c r="U457" s="1">
        <f t="shared" si="88"/>
        <v>0.64586043287718642</v>
      </c>
      <c r="V457" s="6">
        <f>2*sigma/alpha*corel*(B457/12-1/alpha*(1-EXP(-alpha*Output!B457/12)))</f>
        <v>2.2274744307934209</v>
      </c>
      <c r="W457" s="5">
        <f t="shared" si="86"/>
        <v>-5.8955138552051367E-2</v>
      </c>
      <c r="X457" s="1">
        <f t="shared" si="87"/>
        <v>13.726306271243445</v>
      </c>
      <c r="Y457" s="3">
        <f t="shared" si="77"/>
        <v>1.9875720719769119E-2</v>
      </c>
      <c r="Z457" s="1">
        <f t="shared" si="78"/>
        <v>0.13770856059727446</v>
      </c>
      <c r="AA457" s="8">
        <f t="shared" si="83"/>
        <v>37.083333333333293</v>
      </c>
      <c r="AB457" s="1">
        <v>37.17</v>
      </c>
      <c r="AC457" s="1">
        <v>7.5887126400000001E-3</v>
      </c>
      <c r="AD457" s="8">
        <f t="shared" si="79"/>
        <v>0.65695644609781512</v>
      </c>
      <c r="AE457" s="3">
        <f t="shared" si="80"/>
        <v>8.6570209897658627E-3</v>
      </c>
      <c r="AF457" s="11">
        <f t="shared" si="81"/>
        <v>37.083333333333293</v>
      </c>
      <c r="AG457" s="1">
        <f t="shared" si="82"/>
        <v>0.13770856059727446</v>
      </c>
    </row>
    <row r="458" spans="2:33" ht="15" x14ac:dyDescent="0.25">
      <c r="B458" s="1">
        <v>447</v>
      </c>
      <c r="C458" s="1">
        <v>1.0007840306955498</v>
      </c>
      <c r="D458" s="1">
        <v>1.2173893242527667</v>
      </c>
      <c r="E458" s="1">
        <v>0.82044850669539737</v>
      </c>
      <c r="G458" s="1">
        <v>1.0002275324407277</v>
      </c>
      <c r="H458" s="1">
        <v>5.1433554421320142</v>
      </c>
      <c r="I458" s="1">
        <v>0.15649365252831887</v>
      </c>
      <c r="K458" s="1">
        <v>0.99993585956698205</v>
      </c>
      <c r="L458" s="1">
        <v>1.5540614377959612</v>
      </c>
      <c r="M458" s="1">
        <v>0.63397466451451667</v>
      </c>
      <c r="O458" s="1">
        <v>7.5222165468623514E-3</v>
      </c>
      <c r="P458" s="1">
        <v>0.75563066059128425</v>
      </c>
      <c r="R458" s="1">
        <v>0.17872031414601891</v>
      </c>
      <c r="S458" s="2">
        <f t="shared" si="84"/>
        <v>0.8414531928773068</v>
      </c>
      <c r="T458" s="4">
        <f t="shared" si="85"/>
        <v>0.70804347580341409</v>
      </c>
      <c r="U458" s="1">
        <f t="shared" si="88"/>
        <v>0.64898264710379383</v>
      </c>
      <c r="V458" s="6">
        <f>2*sigma/alpha*corel*(B458/12-1/alpha*(1-EXP(-alpha*Output!B458/12)))</f>
        <v>2.2355395485607459</v>
      </c>
      <c r="W458" s="5">
        <f t="shared" si="86"/>
        <v>-5.906082869962026E-2</v>
      </c>
      <c r="X458" s="1">
        <f t="shared" si="87"/>
        <v>13.797700549422601</v>
      </c>
      <c r="Y458" s="3">
        <f t="shared" si="77"/>
        <v>1.9852161974537763E-2</v>
      </c>
      <c r="Z458" s="1">
        <f t="shared" si="78"/>
        <v>0.13786906304555094</v>
      </c>
      <c r="AA458" s="8">
        <f t="shared" si="83"/>
        <v>37.166666666666629</v>
      </c>
      <c r="AB458" s="1">
        <v>37.25</v>
      </c>
      <c r="AC458" s="1">
        <v>7.588387704E-3</v>
      </c>
      <c r="AD458" s="8">
        <f t="shared" si="79"/>
        <v>0.66171157137648662</v>
      </c>
      <c r="AE458" s="3">
        <f t="shared" si="80"/>
        <v>8.7200548678829943E-3</v>
      </c>
      <c r="AF458" s="11">
        <f t="shared" si="81"/>
        <v>37.166666666666629</v>
      </c>
      <c r="AG458" s="1">
        <f t="shared" si="82"/>
        <v>0.13786906304555094</v>
      </c>
    </row>
    <row r="459" spans="2:33" ht="15" x14ac:dyDescent="0.25">
      <c r="B459" s="1">
        <v>448</v>
      </c>
      <c r="C459" s="1">
        <v>1.0007839227387603</v>
      </c>
      <c r="D459" s="1">
        <v>1.2174543035784362</v>
      </c>
      <c r="E459" s="1">
        <v>0.82040273333847247</v>
      </c>
      <c r="G459" s="1">
        <v>1.000063850143124</v>
      </c>
      <c r="H459" s="1">
        <v>5.142849383830761</v>
      </c>
      <c r="I459" s="1">
        <v>0.15643331033902122</v>
      </c>
      <c r="K459" s="1">
        <v>0.99993070979076704</v>
      </c>
      <c r="L459" s="1">
        <v>1.5469300648379625</v>
      </c>
      <c r="M459" s="1">
        <v>0.63684737404815894</v>
      </c>
      <c r="O459" s="1">
        <v>7.5213708515766142E-3</v>
      </c>
      <c r="P459" s="1">
        <v>0.7551809835673482</v>
      </c>
      <c r="R459" s="1">
        <v>0.17907184985880459</v>
      </c>
      <c r="S459" s="2">
        <f t="shared" si="84"/>
        <v>0.84342588871080082</v>
      </c>
      <c r="T459" s="4">
        <f t="shared" si="85"/>
        <v>0.71136722974760414</v>
      </c>
      <c r="U459" s="1">
        <f t="shared" si="88"/>
        <v>0.65211092313047914</v>
      </c>
      <c r="V459" s="6">
        <f>2*sigma/alpha*corel*(B459/12-1/alpha*(1-EXP(-alpha*Output!B459/12)))</f>
        <v>2.2436124917747455</v>
      </c>
      <c r="W459" s="5">
        <f t="shared" si="86"/>
        <v>-5.9256306617124999E-2</v>
      </c>
      <c r="X459" s="1">
        <f t="shared" si="87"/>
        <v>13.882738801405015</v>
      </c>
      <c r="Y459" s="3">
        <f t="shared" si="77"/>
        <v>1.985279810546799E-2</v>
      </c>
      <c r="Z459" s="1">
        <f t="shared" si="78"/>
        <v>0.13803796350366587</v>
      </c>
      <c r="AA459" s="8">
        <f t="shared" si="83"/>
        <v>37.249999999999964</v>
      </c>
      <c r="AB459" s="1">
        <v>37.33</v>
      </c>
      <c r="AC459" s="1">
        <v>7.5880642209999998E-3</v>
      </c>
      <c r="AD459" s="8">
        <f t="shared" si="79"/>
        <v>0.66693369423385596</v>
      </c>
      <c r="AE459" s="3">
        <f t="shared" si="80"/>
        <v>8.7892468330475395E-3</v>
      </c>
      <c r="AF459" s="11">
        <f t="shared" si="81"/>
        <v>37.249999999999964</v>
      </c>
      <c r="AG459" s="1">
        <f t="shared" si="82"/>
        <v>0.13803796350366587</v>
      </c>
    </row>
    <row r="460" spans="2:33" ht="15" x14ac:dyDescent="0.25">
      <c r="B460" s="1">
        <v>449</v>
      </c>
      <c r="C460" s="1">
        <v>1.000788954579197</v>
      </c>
      <c r="D460" s="1">
        <v>1.216723655119619</v>
      </c>
      <c r="E460" s="1">
        <v>0.82089340051333692</v>
      </c>
      <c r="G460" s="1">
        <v>1.0003138679971435</v>
      </c>
      <c r="H460" s="1">
        <v>5.1144771509621885</v>
      </c>
      <c r="I460" s="1">
        <v>0.15722498908031499</v>
      </c>
      <c r="K460" s="1">
        <v>0.99992940886282011</v>
      </c>
      <c r="L460" s="1">
        <v>1.536794245404377</v>
      </c>
      <c r="M460" s="1">
        <v>0.64106614525676708</v>
      </c>
      <c r="O460" s="1">
        <v>7.5205698910108193E-3</v>
      </c>
      <c r="P460" s="1">
        <v>0.75473041723874168</v>
      </c>
      <c r="R460" s="1">
        <v>0.17943441932072646</v>
      </c>
      <c r="S460" s="2">
        <f t="shared" si="84"/>
        <v>0.84543895948874281</v>
      </c>
      <c r="T460" s="4">
        <f t="shared" si="85"/>
        <v>0.71476703422140808</v>
      </c>
      <c r="U460" s="1">
        <f t="shared" si="88"/>
        <v>0.65524524663438388</v>
      </c>
      <c r="V460" s="6">
        <f>2*sigma/alpha*corel*(B460/12-1/alpha*(1-EXP(-alpha*Output!B460/12)))</f>
        <v>2.2516932343940228</v>
      </c>
      <c r="W460" s="5">
        <f t="shared" si="86"/>
        <v>-5.95217875870242E-2</v>
      </c>
      <c r="X460" s="1">
        <f t="shared" si="87"/>
        <v>13.978549964007104</v>
      </c>
      <c r="Y460" s="3">
        <f t="shared" si="77"/>
        <v>1.987211588392488E-2</v>
      </c>
      <c r="Z460" s="1">
        <f t="shared" si="78"/>
        <v>0.13821325966139852</v>
      </c>
      <c r="AA460" s="8">
        <f t="shared" si="83"/>
        <v>37.3333333333333</v>
      </c>
      <c r="AB460" s="1">
        <v>37.42</v>
      </c>
      <c r="AC460" s="1">
        <v>7.5877421830000003E-3</v>
      </c>
      <c r="AD460" s="8">
        <f t="shared" si="79"/>
        <v>0.67172291989180988</v>
      </c>
      <c r="AE460" s="3">
        <f t="shared" si="80"/>
        <v>8.8527377932894873E-3</v>
      </c>
      <c r="AF460" s="11">
        <f t="shared" si="81"/>
        <v>37.3333333333333</v>
      </c>
      <c r="AG460" s="1">
        <f t="shared" si="82"/>
        <v>0.13821325966139852</v>
      </c>
    </row>
    <row r="461" spans="2:33" ht="15" x14ac:dyDescent="0.25">
      <c r="B461" s="1">
        <v>450</v>
      </c>
      <c r="C461" s="1">
        <v>1.0007889176838791</v>
      </c>
      <c r="D461" s="1">
        <v>1.2153108945726314</v>
      </c>
      <c r="E461" s="1">
        <v>0.82184566732581199</v>
      </c>
      <c r="G461" s="1">
        <v>1.0001541856197529</v>
      </c>
      <c r="H461" s="1">
        <v>5.0595851948487462</v>
      </c>
      <c r="I461" s="1">
        <v>0.15885382477961069</v>
      </c>
      <c r="K461" s="1">
        <v>0.99992066255168421</v>
      </c>
      <c r="L461" s="1">
        <v>1.535503047820427</v>
      </c>
      <c r="M461" s="1">
        <v>0.64154821699405651</v>
      </c>
      <c r="O461" s="1">
        <v>7.519768729490485E-3</v>
      </c>
      <c r="P461" s="1">
        <v>0.7542802261086804</v>
      </c>
      <c r="R461" s="1">
        <v>0.1797827527674373</v>
      </c>
      <c r="S461" s="2">
        <f t="shared" si="84"/>
        <v>0.8474059069980362</v>
      </c>
      <c r="T461" s="4">
        <f t="shared" si="85"/>
        <v>0.71809677121516435</v>
      </c>
      <c r="U461" s="1">
        <f t="shared" si="88"/>
        <v>0.65838560330144968</v>
      </c>
      <c r="V461" s="6">
        <f>2*sigma/alpha*corel*(B461/12-1/alpha*(1-EXP(-alpha*Output!B461/12)))</f>
        <v>2.2597817504638429</v>
      </c>
      <c r="W461" s="5">
        <f t="shared" si="86"/>
        <v>-5.9711167913714669E-2</v>
      </c>
      <c r="X461" s="1">
        <f t="shared" si="87"/>
        <v>14.063288746786631</v>
      </c>
      <c r="Y461" s="3">
        <f t="shared" ref="Y461:Y524" si="89">(-V461+SQRT(X461))/2/B461*12</f>
        <v>1.98709788573301E-2</v>
      </c>
      <c r="Z461" s="1">
        <f t="shared" ref="Z461:Z524" si="90">S461/SQRT(B461/12)</f>
        <v>0.13838080514437104</v>
      </c>
      <c r="AA461" s="8">
        <f t="shared" si="83"/>
        <v>37.416666666666636</v>
      </c>
      <c r="AB461" s="1">
        <v>37.5</v>
      </c>
      <c r="AC461" s="1">
        <v>7.5874215790000003E-3</v>
      </c>
      <c r="AD461" s="8">
        <f t="shared" ref="AD461:AD524" si="91">(AC461-O461)*10000</f>
        <v>0.67652849509515323</v>
      </c>
      <c r="AE461" s="3">
        <f t="shared" ref="AE461:AE524" si="92">AD461/AC461/10000</f>
        <v>8.9164479402015478E-3</v>
      </c>
      <c r="AF461" s="11">
        <f t="shared" ref="AF461:AF524" si="93">AA461</f>
        <v>37.416666666666636</v>
      </c>
      <c r="AG461" s="1">
        <f t="shared" ref="AG461:AG524" si="94">Z461</f>
        <v>0.13838080514437104</v>
      </c>
    </row>
    <row r="462" spans="2:33" ht="15" x14ac:dyDescent="0.25">
      <c r="B462" s="1">
        <v>451</v>
      </c>
      <c r="C462" s="1">
        <v>1.0007903828133318</v>
      </c>
      <c r="D462" s="1">
        <v>1.2185537097868249</v>
      </c>
      <c r="E462" s="1">
        <v>0.81965657695581606</v>
      </c>
      <c r="G462" s="1">
        <v>1.0001297358087509</v>
      </c>
      <c r="H462" s="1">
        <v>5.1824648399698772</v>
      </c>
      <c r="I462" s="1">
        <v>0.15501224157559992</v>
      </c>
      <c r="K462" s="1">
        <v>0.99991568080783599</v>
      </c>
      <c r="L462" s="1">
        <v>1.5450599158215577</v>
      </c>
      <c r="M462" s="1">
        <v>0.63756933840680263</v>
      </c>
      <c r="O462" s="1">
        <v>7.5188329432881798E-3</v>
      </c>
      <c r="P462" s="1">
        <v>0.75383421829430941</v>
      </c>
      <c r="R462" s="1">
        <v>0.18012209906535637</v>
      </c>
      <c r="S462" s="2">
        <f t="shared" si="84"/>
        <v>0.84933733855528848</v>
      </c>
      <c r="T462" s="4">
        <f t="shared" si="85"/>
        <v>0.72137391466418077</v>
      </c>
      <c r="U462" s="1">
        <f t="shared" si="88"/>
        <v>0.66153197882663939</v>
      </c>
      <c r="V462" s="6">
        <f>2*sigma/alpha*corel*(B462/12-1/alpha*(1-EXP(-alpha*Output!B462/12)))</f>
        <v>2.2678780141158428</v>
      </c>
      <c r="W462" s="5">
        <f t="shared" si="86"/>
        <v>-5.9841935837541382E-2</v>
      </c>
      <c r="X462" s="1">
        <f t="shared" si="87"/>
        <v>14.139508374487075</v>
      </c>
      <c r="Y462" s="3">
        <f t="shared" si="89"/>
        <v>1.9854222845106819E-2</v>
      </c>
      <c r="Z462" s="1">
        <f t="shared" si="90"/>
        <v>0.13854235607082216</v>
      </c>
      <c r="AA462" s="8">
        <f t="shared" ref="AA462:AA525" si="95">AA461+1/12</f>
        <v>37.499999999999972</v>
      </c>
      <c r="AB462" s="1">
        <v>37.58</v>
      </c>
      <c r="AC462" s="1">
        <v>7.5871024000000002E-3</v>
      </c>
      <c r="AD462" s="8">
        <f t="shared" si="91"/>
        <v>0.68269456711820409</v>
      </c>
      <c r="AE462" s="3">
        <f t="shared" si="92"/>
        <v>8.9980934897913607E-3</v>
      </c>
      <c r="AF462" s="11">
        <f t="shared" si="93"/>
        <v>37.499999999999972</v>
      </c>
      <c r="AG462" s="1">
        <f t="shared" si="94"/>
        <v>0.13854235607082216</v>
      </c>
    </row>
    <row r="463" spans="2:33" ht="15" x14ac:dyDescent="0.25">
      <c r="B463" s="1">
        <v>452</v>
      </c>
      <c r="C463" s="1">
        <v>1.0007918862210883</v>
      </c>
      <c r="D463" s="1">
        <v>1.2128904480721467</v>
      </c>
      <c r="E463" s="1">
        <v>0.8234817318711547</v>
      </c>
      <c r="G463" s="1">
        <v>1.0000712398639562</v>
      </c>
      <c r="H463" s="1">
        <v>4.9677424359261053</v>
      </c>
      <c r="I463" s="1">
        <v>0.16163412644787103</v>
      </c>
      <c r="K463" s="1">
        <v>0.99992198412716504</v>
      </c>
      <c r="L463" s="1">
        <v>1.5484839735291804</v>
      </c>
      <c r="M463" s="1">
        <v>0.63612991006215192</v>
      </c>
      <c r="O463" s="1">
        <v>7.5178081900335548E-3</v>
      </c>
      <c r="P463" s="1">
        <v>0.75339111638620004</v>
      </c>
      <c r="R463" s="1">
        <v>0.18045064903956712</v>
      </c>
      <c r="S463" s="2">
        <f t="shared" si="84"/>
        <v>0.85122941208815139</v>
      </c>
      <c r="T463" s="4">
        <f t="shared" si="85"/>
        <v>0.7245915120039399</v>
      </c>
      <c r="U463" s="1">
        <f t="shared" si="88"/>
        <v>0.66468435891416977</v>
      </c>
      <c r="V463" s="6">
        <f>2*sigma/alpha*corel*(B463/12-1/alpha*(1-EXP(-alpha*Output!B463/12)))</f>
        <v>2.2759819995677404</v>
      </c>
      <c r="W463" s="5">
        <f t="shared" si="86"/>
        <v>-5.9907153089770127E-2</v>
      </c>
      <c r="X463" s="1">
        <f t="shared" si="87"/>
        <v>14.206105127881735</v>
      </c>
      <c r="Y463" s="3">
        <f t="shared" si="89"/>
        <v>1.9820133398559994E-2</v>
      </c>
      <c r="Z463" s="1">
        <f t="shared" si="90"/>
        <v>0.13869730637818739</v>
      </c>
      <c r="AA463" s="8">
        <f t="shared" si="95"/>
        <v>37.583333333333307</v>
      </c>
      <c r="AB463" s="1">
        <v>37.67</v>
      </c>
      <c r="AC463" s="1">
        <v>7.5867846360000001E-3</v>
      </c>
      <c r="AD463" s="8">
        <f t="shared" si="91"/>
        <v>0.68976445966445299</v>
      </c>
      <c r="AE463" s="3">
        <f t="shared" si="92"/>
        <v>9.0916573061986805E-3</v>
      </c>
      <c r="AF463" s="11">
        <f t="shared" si="93"/>
        <v>37.583333333333307</v>
      </c>
      <c r="AG463" s="1">
        <f t="shared" si="94"/>
        <v>0.13869730637818739</v>
      </c>
    </row>
    <row r="464" spans="2:33" ht="15" x14ac:dyDescent="0.25">
      <c r="B464" s="1">
        <v>453</v>
      </c>
      <c r="C464" s="1">
        <v>1.0007895124676665</v>
      </c>
      <c r="D464" s="1">
        <v>1.2120430103679669</v>
      </c>
      <c r="E464" s="1">
        <v>0.82405548070356482</v>
      </c>
      <c r="G464" s="1">
        <v>0.99973775020947375</v>
      </c>
      <c r="H464" s="1">
        <v>4.9363390253710513</v>
      </c>
      <c r="I464" s="1">
        <v>0.16258366933385829</v>
      </c>
      <c r="K464" s="1">
        <v>0.99992675334106507</v>
      </c>
      <c r="L464" s="1">
        <v>1.5554416558958795</v>
      </c>
      <c r="M464" s="1">
        <v>0.63325894724183152</v>
      </c>
      <c r="O464" s="1">
        <v>7.5167927397765261E-3</v>
      </c>
      <c r="P464" s="1">
        <v>0.75294813910350022</v>
      </c>
      <c r="R464" s="1">
        <v>0.18081285376142686</v>
      </c>
      <c r="S464" s="2">
        <f t="shared" si="84"/>
        <v>0.85323567136018763</v>
      </c>
      <c r="T464" s="4">
        <f t="shared" si="85"/>
        <v>0.72801111088147008</v>
      </c>
      <c r="U464" s="1">
        <f t="shared" si="88"/>
        <v>0.66784272927773447</v>
      </c>
      <c r="V464" s="6">
        <f>2*sigma/alpha*corel*(B464/12-1/alpha*(1-EXP(-alpha*Output!B464/12)))</f>
        <v>2.284093681123057</v>
      </c>
      <c r="W464" s="5">
        <f t="shared" si="86"/>
        <v>-6.016838160373561E-2</v>
      </c>
      <c r="X464" s="1">
        <f t="shared" si="87"/>
        <v>14.302509566310356</v>
      </c>
      <c r="Y464" s="3">
        <f t="shared" si="89"/>
        <v>1.9838042425270822E-2</v>
      </c>
      <c r="Z464" s="1">
        <f t="shared" si="90"/>
        <v>0.13887066839295653</v>
      </c>
      <c r="AA464" s="8">
        <f t="shared" si="95"/>
        <v>37.666666666666643</v>
      </c>
      <c r="AB464" s="1">
        <v>37.75</v>
      </c>
      <c r="AC464" s="1">
        <v>7.586468279E-3</v>
      </c>
      <c r="AD464" s="8">
        <f t="shared" si="91"/>
        <v>0.69675539223473981</v>
      </c>
      <c r="AE464" s="3">
        <f t="shared" si="92"/>
        <v>9.1841864568710969E-3</v>
      </c>
      <c r="AF464" s="11">
        <f t="shared" si="93"/>
        <v>37.666666666666643</v>
      </c>
      <c r="AG464" s="1">
        <f t="shared" si="94"/>
        <v>0.13887066839295653</v>
      </c>
    </row>
    <row r="465" spans="2:33" ht="15" x14ac:dyDescent="0.25">
      <c r="B465" s="1">
        <v>454</v>
      </c>
      <c r="C465" s="1">
        <v>1.0007926666303222</v>
      </c>
      <c r="D465" s="1">
        <v>1.2172871378609531</v>
      </c>
      <c r="E465" s="1">
        <v>0.8205034028780479</v>
      </c>
      <c r="G465" s="1">
        <v>0.99988566336527951</v>
      </c>
      <c r="H465" s="1">
        <v>5.1301122455549901</v>
      </c>
      <c r="I465" s="1">
        <v>0.15636689052465769</v>
      </c>
      <c r="K465" s="1">
        <v>0.99993587734365275</v>
      </c>
      <c r="L465" s="1">
        <v>1.5571108318223144</v>
      </c>
      <c r="M465" s="1">
        <v>0.63256523088794625</v>
      </c>
      <c r="O465" s="1">
        <v>7.5157178193633357E-3</v>
      </c>
      <c r="P465" s="1">
        <v>0.75250724274189984</v>
      </c>
      <c r="R465" s="1">
        <v>0.18116083132519914</v>
      </c>
      <c r="S465" s="2">
        <f t="shared" si="84"/>
        <v>0.85519261212582753</v>
      </c>
      <c r="T465" s="4">
        <f t="shared" si="85"/>
        <v>0.73135440383459605</v>
      </c>
      <c r="U465" s="1">
        <f t="shared" si="88"/>
        <v>0.67100707564072248</v>
      </c>
      <c r="V465" s="6">
        <f>2*sigma/alpha*corel*(B465/12-1/alpha*(1-EXP(-alpha*Output!B465/12)))</f>
        <v>2.292213033170821</v>
      </c>
      <c r="W465" s="5">
        <f t="shared" si="86"/>
        <v>-6.0347328193873562E-2</v>
      </c>
      <c r="X465" s="1">
        <f t="shared" si="87"/>
        <v>14.386802922777708</v>
      </c>
      <c r="Y465" s="3">
        <f t="shared" si="89"/>
        <v>1.9834108715986728E-2</v>
      </c>
      <c r="Z465" s="1">
        <f t="shared" si="90"/>
        <v>0.13903579900629809</v>
      </c>
      <c r="AA465" s="8">
        <f t="shared" si="95"/>
        <v>37.749999999999979</v>
      </c>
      <c r="AB465" s="1">
        <v>37.83</v>
      </c>
      <c r="AC465" s="1">
        <v>7.5861533179999996E-3</v>
      </c>
      <c r="AD465" s="8">
        <f t="shared" si="91"/>
        <v>0.70435498636663851</v>
      </c>
      <c r="AE465" s="3">
        <f t="shared" si="92"/>
        <v>9.2847449404348907E-3</v>
      </c>
      <c r="AF465" s="11">
        <f t="shared" si="93"/>
        <v>37.749999999999979</v>
      </c>
      <c r="AG465" s="1">
        <f t="shared" si="94"/>
        <v>0.13903579900629809</v>
      </c>
    </row>
    <row r="466" spans="2:33" ht="15" x14ac:dyDescent="0.25">
      <c r="B466" s="1">
        <v>455</v>
      </c>
      <c r="C466" s="1">
        <v>1.0007961311771079</v>
      </c>
      <c r="D466" s="1">
        <v>1.2197434108428031</v>
      </c>
      <c r="E466" s="1">
        <v>0.81884909354318514</v>
      </c>
      <c r="G466" s="1">
        <v>1.000037432919912</v>
      </c>
      <c r="H466" s="1">
        <v>5.2221073108663791</v>
      </c>
      <c r="I466" s="1">
        <v>0.15353791582694801</v>
      </c>
      <c r="K466" s="1">
        <v>0.99992273283108468</v>
      </c>
      <c r="L466" s="1">
        <v>1.540437079941575</v>
      </c>
      <c r="M466" s="1">
        <v>0.63940143356582713</v>
      </c>
      <c r="O466" s="1">
        <v>7.5145915217302295E-3</v>
      </c>
      <c r="P466" s="1">
        <v>0.75206820435414057</v>
      </c>
      <c r="R466" s="1">
        <v>0.18151475832465427</v>
      </c>
      <c r="S466" s="2">
        <f t="shared" si="84"/>
        <v>0.85716808705835157</v>
      </c>
      <c r="T466" s="4">
        <f t="shared" si="85"/>
        <v>0.73473712947127379</v>
      </c>
      <c r="U466" s="1">
        <f t="shared" si="88"/>
        <v>0.67417738373644021</v>
      </c>
      <c r="V466" s="6">
        <f>2*sigma/alpha*corel*(B466/12-1/alpha*(1-EXP(-alpha*Output!B466/12)))</f>
        <v>2.3003400301852914</v>
      </c>
      <c r="W466" s="5">
        <f t="shared" si="86"/>
        <v>-6.0559745734833581E-2</v>
      </c>
      <c r="X466" s="1">
        <f t="shared" si="87"/>
        <v>14.476459024255963</v>
      </c>
      <c r="Y466" s="3">
        <f t="shared" si="89"/>
        <v>1.9838956293249898E-2</v>
      </c>
      <c r="Z466" s="1">
        <f t="shared" si="90"/>
        <v>0.13920374468923644</v>
      </c>
      <c r="AA466" s="8">
        <f t="shared" si="95"/>
        <v>37.833333333333314</v>
      </c>
      <c r="AB466" s="1">
        <v>37.92</v>
      </c>
      <c r="AC466" s="1">
        <v>7.5858397440000001E-3</v>
      </c>
      <c r="AD466" s="8">
        <f t="shared" si="91"/>
        <v>0.71248222269770611</v>
      </c>
      <c r="AE466" s="3">
        <f t="shared" si="92"/>
        <v>9.3922656784470298E-3</v>
      </c>
      <c r="AF466" s="11">
        <f t="shared" si="93"/>
        <v>37.833333333333314</v>
      </c>
      <c r="AG466" s="1">
        <f t="shared" si="94"/>
        <v>0.13920374468923644</v>
      </c>
    </row>
    <row r="467" spans="2:33" ht="15" x14ac:dyDescent="0.25">
      <c r="B467" s="1">
        <v>456</v>
      </c>
      <c r="C467" s="1">
        <v>1.0007946653978959</v>
      </c>
      <c r="D467" s="1">
        <v>1.2185175218930655</v>
      </c>
      <c r="E467" s="1">
        <v>0.81967087977916075</v>
      </c>
      <c r="G467" s="1">
        <v>0.99977587662390632</v>
      </c>
      <c r="H467" s="1">
        <v>5.172005711102301</v>
      </c>
      <c r="I467" s="1">
        <v>0.15495022166691358</v>
      </c>
      <c r="K467" s="1">
        <v>0.99992189467421289</v>
      </c>
      <c r="L467" s="1">
        <v>1.5456576763919685</v>
      </c>
      <c r="M467" s="1">
        <v>0.63721321266959663</v>
      </c>
      <c r="O467" s="1">
        <v>7.5135420144374528E-3</v>
      </c>
      <c r="P467" s="1">
        <v>0.75162736993281698</v>
      </c>
      <c r="R467" s="1">
        <v>0.1818598230786628</v>
      </c>
      <c r="S467" s="2">
        <f t="shared" si="84"/>
        <v>0.8591190937413864</v>
      </c>
      <c r="T467" s="4">
        <f t="shared" si="85"/>
        <v>0.73808561723102106</v>
      </c>
      <c r="U467" s="1">
        <f t="shared" si="88"/>
        <v>0.67735363930832859</v>
      </c>
      <c r="V467" s="6">
        <f>2*sigma/alpha*corel*(B467/12-1/alpha*(1-EXP(-alpha*Output!B467/12)))</f>
        <v>2.3084746467256707</v>
      </c>
      <c r="W467" s="5">
        <f t="shared" si="86"/>
        <v>-6.0731977922692471E-2</v>
      </c>
      <c r="X467" s="1">
        <f t="shared" si="87"/>
        <v>14.560315838824465</v>
      </c>
      <c r="Y467" s="3">
        <f t="shared" si="89"/>
        <v>1.9833204537486732E-2</v>
      </c>
      <c r="Z467" s="1">
        <f t="shared" si="90"/>
        <v>0.13936752030730051</v>
      </c>
      <c r="AA467" s="8">
        <f t="shared" si="95"/>
        <v>37.91666666666665</v>
      </c>
      <c r="AB467" s="1">
        <v>38</v>
      </c>
      <c r="AC467" s="1">
        <v>7.5855275500000003E-3</v>
      </c>
      <c r="AD467" s="8">
        <f t="shared" si="91"/>
        <v>0.71985535562547542</v>
      </c>
      <c r="AE467" s="3">
        <f t="shared" si="92"/>
        <v>9.489852233487377E-3</v>
      </c>
      <c r="AF467" s="11">
        <f t="shared" si="93"/>
        <v>37.91666666666665</v>
      </c>
      <c r="AG467" s="1">
        <f t="shared" si="94"/>
        <v>0.13936752030730051</v>
      </c>
    </row>
    <row r="468" spans="2:33" ht="15" x14ac:dyDescent="0.25">
      <c r="B468" s="1">
        <v>457</v>
      </c>
      <c r="C468" s="1">
        <v>1.0007937933344586</v>
      </c>
      <c r="D468" s="1">
        <v>1.2151105897614378</v>
      </c>
      <c r="E468" s="1">
        <v>0.82196704949541211</v>
      </c>
      <c r="G468" s="1">
        <v>0.99955741710791368</v>
      </c>
      <c r="H468" s="1">
        <v>5.0431424313157152</v>
      </c>
      <c r="I468" s="1">
        <v>0.15883262979033128</v>
      </c>
      <c r="K468" s="1">
        <v>0.99991733037761288</v>
      </c>
      <c r="L468" s="1">
        <v>1.5441658542026899</v>
      </c>
      <c r="M468" s="1">
        <v>0.63780904056602217</v>
      </c>
      <c r="O468" s="1">
        <v>7.5125035251610885E-3</v>
      </c>
      <c r="P468" s="1">
        <v>0.75118661010819177</v>
      </c>
      <c r="R468" s="1">
        <v>0.18220712116932927</v>
      </c>
      <c r="S468" s="2">
        <f t="shared" si="84"/>
        <v>0.86107941281436795</v>
      </c>
      <c r="T468" s="4">
        <f t="shared" si="85"/>
        <v>0.74145775517273671</v>
      </c>
      <c r="U468" s="1">
        <f t="shared" si="88"/>
        <v>0.68053582811017543</v>
      </c>
      <c r="V468" s="6">
        <f>2*sigma/alpha*corel*(B468/12-1/alpha*(1-EXP(-alpha*Output!B468/12)))</f>
        <v>2.3166168574358239</v>
      </c>
      <c r="W468" s="5">
        <f t="shared" si="86"/>
        <v>-6.0921927062561276E-2</v>
      </c>
      <c r="X468" s="1">
        <f t="shared" si="87"/>
        <v>14.647153886685999</v>
      </c>
      <c r="Y468" s="3">
        <f t="shared" si="89"/>
        <v>1.983207664920782E-2</v>
      </c>
      <c r="Z468" s="1">
        <f t="shared" si="90"/>
        <v>0.13953261355409341</v>
      </c>
      <c r="AA468" s="8">
        <f t="shared" si="95"/>
        <v>37.999999999999986</v>
      </c>
      <c r="AB468" s="1">
        <v>38.08</v>
      </c>
      <c r="AC468" s="1">
        <v>7.5852167240000002E-3</v>
      </c>
      <c r="AD468" s="8">
        <f t="shared" si="91"/>
        <v>0.72713198838911774</v>
      </c>
      <c r="AE468" s="3">
        <f t="shared" si="92"/>
        <v>9.5861728787318135E-3</v>
      </c>
      <c r="AF468" s="11">
        <f t="shared" si="93"/>
        <v>37.999999999999986</v>
      </c>
      <c r="AG468" s="1">
        <f t="shared" si="94"/>
        <v>0.13953261355409341</v>
      </c>
    </row>
    <row r="469" spans="2:33" ht="15" x14ac:dyDescent="0.25">
      <c r="B469" s="1">
        <v>458</v>
      </c>
      <c r="C469" s="1">
        <v>1.0007931188283457</v>
      </c>
      <c r="D469" s="1">
        <v>1.2150271725544288</v>
      </c>
      <c r="E469" s="1">
        <v>0.8220214496896191</v>
      </c>
      <c r="G469" s="1">
        <v>0.99933861439043792</v>
      </c>
      <c r="H469" s="1">
        <v>5.0362228938849309</v>
      </c>
      <c r="I469" s="1">
        <v>0.1589738817800721</v>
      </c>
      <c r="K469" s="1">
        <v>0.99992357654588215</v>
      </c>
      <c r="L469" s="1">
        <v>1.5466192862954142</v>
      </c>
      <c r="M469" s="1">
        <v>0.63677291090374</v>
      </c>
      <c r="O469" s="1">
        <v>7.5115078228914361E-3</v>
      </c>
      <c r="P469" s="1">
        <v>0.75074501269298011</v>
      </c>
      <c r="R469" s="1">
        <v>0.18254997834522207</v>
      </c>
      <c r="S469" s="2">
        <f t="shared" si="84"/>
        <v>0.86302832140640895</v>
      </c>
      <c r="T469" s="4">
        <f t="shared" si="85"/>
        <v>0.74481788354956391</v>
      </c>
      <c r="U469" s="1">
        <f t="shared" si="88"/>
        <v>0.68372393590632896</v>
      </c>
      <c r="V469" s="6">
        <f>2*sigma/alpha*corel*(B469/12-1/alpha*(1-EXP(-alpha*Output!B469/12)))</f>
        <v>2.3247666370439926</v>
      </c>
      <c r="W469" s="5">
        <f t="shared" si="86"/>
        <v>-6.1093947643234947E-2</v>
      </c>
      <c r="X469" s="1">
        <f t="shared" si="87"/>
        <v>14.731549256913368</v>
      </c>
      <c r="Y469" s="3">
        <f t="shared" si="89"/>
        <v>1.9826245455210088E-2</v>
      </c>
      <c r="Z469" s="1">
        <f t="shared" si="90"/>
        <v>0.13969566580594667</v>
      </c>
      <c r="AA469" s="8">
        <f t="shared" si="95"/>
        <v>38.083333333333321</v>
      </c>
      <c r="AB469" s="1">
        <v>38.17</v>
      </c>
      <c r="AC469" s="1">
        <v>7.5849072590000004E-3</v>
      </c>
      <c r="AD469" s="8">
        <f t="shared" si="91"/>
        <v>0.73399436108564231</v>
      </c>
      <c r="AE469" s="3">
        <f t="shared" si="92"/>
        <v>9.6770380443967716E-3</v>
      </c>
      <c r="AF469" s="11">
        <f t="shared" si="93"/>
        <v>38.083333333333321</v>
      </c>
      <c r="AG469" s="1">
        <f t="shared" si="94"/>
        <v>0.13969566580594667</v>
      </c>
    </row>
    <row r="470" spans="2:33" ht="15" x14ac:dyDescent="0.25">
      <c r="B470" s="1">
        <v>459</v>
      </c>
      <c r="C470" s="1">
        <v>1.0007947966171018</v>
      </c>
      <c r="D470" s="1">
        <v>1.2156125003718639</v>
      </c>
      <c r="E470" s="1">
        <v>0.82162360387037781</v>
      </c>
      <c r="G470" s="1">
        <v>0.99931553109225502</v>
      </c>
      <c r="H470" s="1">
        <v>5.0558031299590462</v>
      </c>
      <c r="I470" s="1">
        <v>0.1582815618094976</v>
      </c>
      <c r="K470" s="1">
        <v>0.9999329289598039</v>
      </c>
      <c r="L470" s="1">
        <v>1.542919351919225</v>
      </c>
      <c r="M470" s="1">
        <v>0.63827952119526021</v>
      </c>
      <c r="O470" s="1">
        <v>7.5104882919654822E-3</v>
      </c>
      <c r="P470" s="1">
        <v>0.75030448325305388</v>
      </c>
      <c r="R470" s="1">
        <v>0.18292318584944026</v>
      </c>
      <c r="S470" s="2">
        <f t="shared" si="84"/>
        <v>0.86507916433335375</v>
      </c>
      <c r="T470" s="4">
        <f t="shared" si="85"/>
        <v>0.74836196056369364</v>
      </c>
      <c r="U470" s="1">
        <f t="shared" si="88"/>
        <v>0.68691794847190613</v>
      </c>
      <c r="V470" s="6">
        <f>2*sigma/alpha*corel*(B470/12-1/alpha*(1-EXP(-alpha*Output!B470/12)))</f>
        <v>2.332923960362522</v>
      </c>
      <c r="W470" s="5">
        <f t="shared" si="86"/>
        <v>-6.1444012091787514E-2</v>
      </c>
      <c r="X470" s="1">
        <f t="shared" si="87"/>
        <v>14.843468054877043</v>
      </c>
      <c r="Y470" s="3">
        <f t="shared" si="89"/>
        <v>1.9866643154098241E-2</v>
      </c>
      <c r="Z470" s="1">
        <f t="shared" si="90"/>
        <v>0.13987501055166571</v>
      </c>
      <c r="AA470" s="8">
        <f t="shared" si="95"/>
        <v>38.166666666666657</v>
      </c>
      <c r="AB470" s="1">
        <v>38.25</v>
      </c>
      <c r="AC470" s="1">
        <v>7.5845991460000003E-3</v>
      </c>
      <c r="AD470" s="8">
        <f t="shared" si="91"/>
        <v>0.74110854034518081</v>
      </c>
      <c r="AE470" s="3">
        <f t="shared" si="92"/>
        <v>9.7712288557270689E-3</v>
      </c>
      <c r="AF470" s="11">
        <f t="shared" si="93"/>
        <v>38.166666666666657</v>
      </c>
      <c r="AG470" s="1">
        <f t="shared" si="94"/>
        <v>0.13987501055166571</v>
      </c>
    </row>
    <row r="471" spans="2:33" ht="15" x14ac:dyDescent="0.25">
      <c r="B471" s="1">
        <v>460</v>
      </c>
      <c r="C471" s="1">
        <v>1.0008012226135103</v>
      </c>
      <c r="D471" s="1">
        <v>1.2123441171131026</v>
      </c>
      <c r="E471" s="1">
        <v>0.82383659078283578</v>
      </c>
      <c r="G471" s="1">
        <v>0.99964579071199844</v>
      </c>
      <c r="H471" s="1">
        <v>4.9324347653654916</v>
      </c>
      <c r="I471" s="1">
        <v>0.16216192438683</v>
      </c>
      <c r="K471" s="1">
        <v>0.99993607522904371</v>
      </c>
      <c r="L471" s="1">
        <v>1.5534528419550948</v>
      </c>
      <c r="M471" s="1">
        <v>0.63393821058462729</v>
      </c>
      <c r="O471" s="1">
        <v>7.5094599538607773E-3</v>
      </c>
      <c r="P471" s="1">
        <v>0.74986459289020002</v>
      </c>
      <c r="R471" s="1">
        <v>0.18324412905648252</v>
      </c>
      <c r="S471" s="2">
        <f t="shared" ref="S471:S534" si="96">optim_vol_implied(P471,R471)</f>
        <v>0.86695534119718398</v>
      </c>
      <c r="T471" s="4">
        <f t="shared" ref="T471:T534" si="97">S471*S471</f>
        <v>0.75161156363032566</v>
      </c>
      <c r="U471" s="1">
        <f t="shared" si="88"/>
        <v>0.69011785159300176</v>
      </c>
      <c r="V471" s="6">
        <f>2*sigma/alpha*corel*(B471/12-1/alpha*(1-EXP(-alpha*Output!B471/12)))</f>
        <v>2.3410888022875724</v>
      </c>
      <c r="W471" s="5">
        <f t="shared" ref="W471:W534" si="98">U471-T471</f>
        <v>-6.14937120373239E-2</v>
      </c>
      <c r="X471" s="1">
        <f t="shared" ref="X471:X534" si="99">V471*V471-4*W471*B471/12</f>
        <v>14.909732625919258</v>
      </c>
      <c r="Y471" s="3">
        <f t="shared" si="89"/>
        <v>1.9829002055889253E-2</v>
      </c>
      <c r="Z471" s="1">
        <f t="shared" si="90"/>
        <v>0.14002591967796771</v>
      </c>
      <c r="AA471" s="8">
        <f t="shared" si="95"/>
        <v>38.249999999999993</v>
      </c>
      <c r="AB471" s="1">
        <v>38.33</v>
      </c>
      <c r="AC471" s="1">
        <v>7.5842923750000001E-3</v>
      </c>
      <c r="AD471" s="8">
        <f t="shared" si="91"/>
        <v>0.74832421139222827</v>
      </c>
      <c r="AE471" s="3">
        <f t="shared" si="92"/>
        <v>9.8667637584610966E-3</v>
      </c>
      <c r="AF471" s="11">
        <f t="shared" si="93"/>
        <v>38.249999999999993</v>
      </c>
      <c r="AG471" s="1">
        <f t="shared" si="94"/>
        <v>0.14002591967796771</v>
      </c>
    </row>
    <row r="472" spans="2:33" ht="15" x14ac:dyDescent="0.25">
      <c r="B472" s="1">
        <v>461</v>
      </c>
      <c r="C472" s="1">
        <v>1.0008018549213751</v>
      </c>
      <c r="D472" s="1">
        <v>1.2101324062853824</v>
      </c>
      <c r="E472" s="1">
        <v>0.82534023090197928</v>
      </c>
      <c r="G472" s="1">
        <v>0.99954965303310184</v>
      </c>
      <c r="H472" s="1">
        <v>4.8515171296512358</v>
      </c>
      <c r="I472" s="1">
        <v>0.16478680266789109</v>
      </c>
      <c r="K472" s="1">
        <v>0.9999223304149224</v>
      </c>
      <c r="L472" s="1">
        <v>1.544919082313436</v>
      </c>
      <c r="M472" s="1">
        <v>0.6374093361301445</v>
      </c>
      <c r="O472" s="1">
        <v>7.5084384281921763E-3</v>
      </c>
      <c r="P472" s="1">
        <v>0.74942489273824231</v>
      </c>
      <c r="R472" s="1">
        <v>0.18357796123966319</v>
      </c>
      <c r="S472" s="2">
        <f t="shared" si="96"/>
        <v>0.86887637260671857</v>
      </c>
      <c r="T472" s="4">
        <f t="shared" si="97"/>
        <v>0.75494615087420924</v>
      </c>
      <c r="U472" s="1">
        <f t="shared" si="88"/>
        <v>0.69332363106689243</v>
      </c>
      <c r="V472" s="6">
        <f>2*sigma/alpha*corel*(B472/12-1/alpha*(1-EXP(-alpha*Output!B472/12)))</f>
        <v>2.349261137798845</v>
      </c>
      <c r="W472" s="5">
        <f t="shared" si="98"/>
        <v>-6.1622519807316811E-2</v>
      </c>
      <c r="X472" s="1">
        <f t="shared" si="99"/>
        <v>14.988355103962942</v>
      </c>
      <c r="Y472" s="3">
        <f t="shared" si="89"/>
        <v>1.981195531768461E-2</v>
      </c>
      <c r="Z472" s="1">
        <f t="shared" si="90"/>
        <v>0.14018390315540502</v>
      </c>
      <c r="AA472" s="8">
        <f t="shared" si="95"/>
        <v>38.333333333333329</v>
      </c>
      <c r="AB472" s="1">
        <v>38.42</v>
      </c>
      <c r="AC472" s="1">
        <v>7.5839869379999997E-3</v>
      </c>
      <c r="AD472" s="8">
        <f t="shared" si="91"/>
        <v>0.75548509807823494</v>
      </c>
      <c r="AE472" s="3">
        <f t="shared" si="92"/>
        <v>9.9615822687250909E-3</v>
      </c>
      <c r="AF472" s="11">
        <f t="shared" si="93"/>
        <v>38.333333333333329</v>
      </c>
      <c r="AG472" s="1">
        <f t="shared" si="94"/>
        <v>0.14018390315540502</v>
      </c>
    </row>
    <row r="473" spans="2:33" ht="15" x14ac:dyDescent="0.25">
      <c r="B473" s="1">
        <v>462</v>
      </c>
      <c r="C473" s="1">
        <v>1.000802595935691</v>
      </c>
      <c r="D473" s="1">
        <v>1.2132457975093485</v>
      </c>
      <c r="E473" s="1">
        <v>0.82322021802345469</v>
      </c>
      <c r="G473" s="1">
        <v>0.99946646654850924</v>
      </c>
      <c r="H473" s="1">
        <v>4.9633203831623494</v>
      </c>
      <c r="I473" s="1">
        <v>0.16099687335910015</v>
      </c>
      <c r="K473" s="1">
        <v>0.99993445224112942</v>
      </c>
      <c r="L473" s="1">
        <v>1.5392344473552788</v>
      </c>
      <c r="M473" s="1">
        <v>0.63973821170212997</v>
      </c>
      <c r="O473" s="1">
        <v>7.5073950919769435E-3</v>
      </c>
      <c r="P473" s="1">
        <v>0.74898620686043482</v>
      </c>
      <c r="R473" s="1">
        <v>0.18392359080399762</v>
      </c>
      <c r="S473" s="2">
        <f t="shared" si="96"/>
        <v>0.87083717844547293</v>
      </c>
      <c r="T473" s="4">
        <f t="shared" si="97"/>
        <v>0.7583573913628725</v>
      </c>
      <c r="U473" s="1">
        <f t="shared" si="88"/>
        <v>0.69653527270224025</v>
      </c>
      <c r="V473" s="6">
        <f>2*sigma/alpha*corel*(B473/12-1/alpha*(1-EXP(-alpha*Output!B473/12)))</f>
        <v>2.3574409419593061</v>
      </c>
      <c r="W473" s="5">
        <f t="shared" si="98"/>
        <v>-6.1822118660632253E-2</v>
      </c>
      <c r="X473" s="1">
        <f t="shared" si="99"/>
        <v>15.078134068563347</v>
      </c>
      <c r="Y473" s="3">
        <f t="shared" si="89"/>
        <v>1.9813199577952183E-2</v>
      </c>
      <c r="Z473" s="1">
        <f t="shared" si="90"/>
        <v>0.14034811926368601</v>
      </c>
      <c r="AA473" s="8">
        <f t="shared" si="95"/>
        <v>38.416666666666664</v>
      </c>
      <c r="AB473" s="1">
        <v>38.5</v>
      </c>
      <c r="AC473" s="1">
        <v>7.5836828270000002E-3</v>
      </c>
      <c r="AD473" s="8">
        <f t="shared" si="91"/>
        <v>0.76287735023056713</v>
      </c>
      <c r="AE473" s="3">
        <f t="shared" si="92"/>
        <v>1.0059457490950354E-2</v>
      </c>
      <c r="AF473" s="11">
        <f t="shared" si="93"/>
        <v>38.416666666666664</v>
      </c>
      <c r="AG473" s="1">
        <f t="shared" si="94"/>
        <v>0.14034811926368601</v>
      </c>
    </row>
    <row r="474" spans="2:33" ht="15" x14ac:dyDescent="0.25">
      <c r="B474" s="1">
        <v>463</v>
      </c>
      <c r="C474" s="1">
        <v>1.0008022005641741</v>
      </c>
      <c r="D474" s="1">
        <v>1.2138463412803875</v>
      </c>
      <c r="E474" s="1">
        <v>0.82281087834689104</v>
      </c>
      <c r="G474" s="1">
        <v>0.99930589172638884</v>
      </c>
      <c r="H474" s="1">
        <v>4.9829548878405463</v>
      </c>
      <c r="I474" s="1">
        <v>0.16028487762847124</v>
      </c>
      <c r="K474" s="1">
        <v>0.99994565860218709</v>
      </c>
      <c r="L474" s="1">
        <v>1.5355470129078124</v>
      </c>
      <c r="M474" s="1">
        <v>0.64126035379620949</v>
      </c>
      <c r="O474" s="1">
        <v>7.506303986141152E-3</v>
      </c>
      <c r="P474" s="1">
        <v>0.74854928759608086</v>
      </c>
      <c r="R474" s="1">
        <v>0.18431493285515277</v>
      </c>
      <c r="S474" s="2">
        <f t="shared" si="96"/>
        <v>0.87295066012235956</v>
      </c>
      <c r="T474" s="4">
        <f t="shared" si="97"/>
        <v>0.76204285500806335</v>
      </c>
      <c r="U474" s="1">
        <f t="shared" si="88"/>
        <v>0.6997527623192914</v>
      </c>
      <c r="V474" s="6">
        <f>2*sigma/alpha*corel*(B474/12-1/alpha*(1-EXP(-alpha*Output!B474/12)))</f>
        <v>2.3656281899149034</v>
      </c>
      <c r="W474" s="5">
        <f t="shared" si="98"/>
        <v>-6.2290092688771947E-2</v>
      </c>
      <c r="X474" s="1">
        <f t="shared" si="99"/>
        <v>15.209634371220531</v>
      </c>
      <c r="Y474" s="3">
        <f t="shared" si="89"/>
        <v>1.9883260487933124E-2</v>
      </c>
      <c r="Z474" s="1">
        <f t="shared" si="90"/>
        <v>0.14053672387012767</v>
      </c>
      <c r="AA474" s="8">
        <f t="shared" si="95"/>
        <v>38.5</v>
      </c>
      <c r="AB474" s="1">
        <v>38.58</v>
      </c>
      <c r="AC474" s="1">
        <v>7.5833800319999997E-3</v>
      </c>
      <c r="AD474" s="8">
        <f t="shared" si="91"/>
        <v>0.77076045858847675</v>
      </c>
      <c r="AE474" s="3">
        <f t="shared" si="92"/>
        <v>1.0163811589766793E-2</v>
      </c>
      <c r="AF474" s="11">
        <f t="shared" si="93"/>
        <v>38.5</v>
      </c>
      <c r="AG474" s="1">
        <f t="shared" si="94"/>
        <v>0.14053672387012767</v>
      </c>
    </row>
    <row r="475" spans="2:33" ht="15" x14ac:dyDescent="0.25">
      <c r="B475" s="1">
        <v>464</v>
      </c>
      <c r="C475" s="1">
        <v>1.0008021040627879</v>
      </c>
      <c r="D475" s="1">
        <v>1.2079958538922446</v>
      </c>
      <c r="E475" s="1">
        <v>0.82679379231148498</v>
      </c>
      <c r="G475" s="1">
        <v>0.99913049922694586</v>
      </c>
      <c r="H475" s="1">
        <v>4.7667548216286599</v>
      </c>
      <c r="I475" s="1">
        <v>0.1674736335095687</v>
      </c>
      <c r="K475" s="1">
        <v>0.99995804341281591</v>
      </c>
      <c r="L475" s="1">
        <v>1.5288234994759105</v>
      </c>
      <c r="M475" s="1">
        <v>0.64404880005952869</v>
      </c>
      <c r="O475" s="1">
        <v>7.5050820415969947E-3</v>
      </c>
      <c r="P475" s="1">
        <v>0.74811654403691019</v>
      </c>
      <c r="R475" s="1">
        <v>0.18468065319200302</v>
      </c>
      <c r="S475" s="2">
        <f t="shared" si="96"/>
        <v>0.87497237758435964</v>
      </c>
      <c r="T475" s="4">
        <f t="shared" si="97"/>
        <v>0.7655766615356272</v>
      </c>
      <c r="U475" s="1">
        <f t="shared" si="88"/>
        <v>0.70297608575007597</v>
      </c>
      <c r="V475" s="6">
        <f>2*sigma/alpha*corel*(B475/12-1/alpha*(1-EXP(-alpha*Output!B475/12)))</f>
        <v>2.3738228568942943</v>
      </c>
      <c r="W475" s="5">
        <f t="shared" si="98"/>
        <v>-6.2600575785551227E-2</v>
      </c>
      <c r="X475" s="1">
        <f t="shared" si="99"/>
        <v>15.317257344079046</v>
      </c>
      <c r="Y475" s="3">
        <f t="shared" si="89"/>
        <v>1.9912550788610005E-2</v>
      </c>
      <c r="Z475" s="1">
        <f t="shared" si="90"/>
        <v>0.14071032804675301</v>
      </c>
      <c r="AA475" s="8">
        <f t="shared" si="95"/>
        <v>38.583333333333336</v>
      </c>
      <c r="AB475" s="1">
        <v>38.67</v>
      </c>
      <c r="AC475" s="1">
        <v>7.583078545E-3</v>
      </c>
      <c r="AD475" s="8">
        <f t="shared" si="91"/>
        <v>0.77996503403005357</v>
      </c>
      <c r="AE475" s="3">
        <f t="shared" si="92"/>
        <v>1.0285598776295592E-2</v>
      </c>
      <c r="AF475" s="11">
        <f t="shared" si="93"/>
        <v>38.583333333333336</v>
      </c>
      <c r="AG475" s="1">
        <f t="shared" si="94"/>
        <v>0.14071032804675301</v>
      </c>
    </row>
    <row r="476" spans="2:33" ht="15" x14ac:dyDescent="0.25">
      <c r="B476" s="1">
        <v>465</v>
      </c>
      <c r="C476" s="1">
        <v>1.0008064345048833</v>
      </c>
      <c r="D476" s="1">
        <v>1.2076675670110206</v>
      </c>
      <c r="E476" s="1">
        <v>0.82701646862440314</v>
      </c>
      <c r="G476" s="1">
        <v>0.99932263724144754</v>
      </c>
      <c r="H476" s="1">
        <v>4.7513493541728549</v>
      </c>
      <c r="I476" s="1">
        <v>0.16793531907673126</v>
      </c>
      <c r="K476" s="1">
        <v>0.99996516084592368</v>
      </c>
      <c r="L476" s="1">
        <v>1.520283345976092</v>
      </c>
      <c r="M476" s="1">
        <v>0.64765757312358185</v>
      </c>
      <c r="O476" s="1">
        <v>7.5037725938659604E-3</v>
      </c>
      <c r="P476" s="1">
        <v>0.74768673813576725</v>
      </c>
      <c r="R476" s="1">
        <v>0.18507773059055097</v>
      </c>
      <c r="S476" s="2">
        <f t="shared" si="96"/>
        <v>0.87709650449047016</v>
      </c>
      <c r="T476" s="4">
        <f t="shared" si="97"/>
        <v>0.76929827818940133</v>
      </c>
      <c r="U476" s="1">
        <f t="shared" si="88"/>
        <v>0.7062052288386047</v>
      </c>
      <c r="V476" s="6">
        <f>2*sigma/alpha*corel*(B476/12-1/alpha*(1-EXP(-alpha*Output!B476/12)))</f>
        <v>2.3820249182085722</v>
      </c>
      <c r="W476" s="5">
        <f t="shared" si="98"/>
        <v>-6.3093049350796626E-2</v>
      </c>
      <c r="X476" s="1">
        <f t="shared" si="99"/>
        <v>15.453465360340033</v>
      </c>
      <c r="Y476" s="3">
        <f t="shared" si="89"/>
        <v>1.9987931241919839E-2</v>
      </c>
      <c r="Z476" s="1">
        <f t="shared" si="90"/>
        <v>0.14090017314391259</v>
      </c>
      <c r="AA476" s="8">
        <f t="shared" si="95"/>
        <v>38.666666666666671</v>
      </c>
      <c r="AB476" s="1">
        <v>38.75</v>
      </c>
      <c r="AC476" s="1">
        <v>7.582778357E-3</v>
      </c>
      <c r="AD476" s="8">
        <f t="shared" si="91"/>
        <v>0.79005763134039519</v>
      </c>
      <c r="AE476" s="3">
        <f t="shared" si="92"/>
        <v>1.0419104899869028E-2</v>
      </c>
      <c r="AF476" s="11">
        <f t="shared" si="93"/>
        <v>38.666666666666671</v>
      </c>
      <c r="AG476" s="1">
        <f t="shared" si="94"/>
        <v>0.14090017314391259</v>
      </c>
    </row>
    <row r="477" spans="2:33" ht="15" x14ac:dyDescent="0.25">
      <c r="B477" s="1">
        <v>466</v>
      </c>
      <c r="C477" s="1">
        <v>1.0008119844081482</v>
      </c>
      <c r="D477" s="1">
        <v>1.2041726551986807</v>
      </c>
      <c r="E477" s="1">
        <v>0.82941466107767881</v>
      </c>
      <c r="G477" s="1">
        <v>0.99960698661417247</v>
      </c>
      <c r="H477" s="1">
        <v>4.6902928868165352</v>
      </c>
      <c r="I477" s="1">
        <v>0.17003909845456569</v>
      </c>
      <c r="K477" s="1">
        <v>0.9999651996129596</v>
      </c>
      <c r="L477" s="1">
        <v>1.5224618244142583</v>
      </c>
      <c r="M477" s="1">
        <v>0.64670113994763245</v>
      </c>
      <c r="O477" s="1">
        <v>7.5024059502967026E-3</v>
      </c>
      <c r="P477" s="1">
        <v>0.74725900198684048</v>
      </c>
      <c r="R477" s="1">
        <v>0.18544589986018567</v>
      </c>
      <c r="S477" s="2">
        <f t="shared" si="96"/>
        <v>0.87912149174069687</v>
      </c>
      <c r="T477" s="4">
        <f t="shared" si="97"/>
        <v>0.77285459724038819</v>
      </c>
      <c r="U477" s="1">
        <f t="shared" si="88"/>
        <v>0.70944017744106125</v>
      </c>
      <c r="V477" s="6">
        <f>2*sigma/alpha*corel*(B477/12-1/alpha*(1-EXP(-alpha*Output!B477/12)))</f>
        <v>2.3902343492509872</v>
      </c>
      <c r="W477" s="5">
        <f t="shared" si="98"/>
        <v>-6.3414419799326938E-2</v>
      </c>
      <c r="X477" s="1">
        <f t="shared" si="99"/>
        <v>15.563593453168075</v>
      </c>
      <c r="Y477" s="3">
        <f t="shared" si="89"/>
        <v>2.0019369494259157E-2</v>
      </c>
      <c r="Z477" s="1">
        <f t="shared" si="90"/>
        <v>0.14107386406443284</v>
      </c>
      <c r="AA477" s="8">
        <f t="shared" si="95"/>
        <v>38.750000000000007</v>
      </c>
      <c r="AB477" s="1">
        <v>38.83</v>
      </c>
      <c r="AC477" s="1">
        <v>7.5824794609999999E-3</v>
      </c>
      <c r="AD477" s="8">
        <f t="shared" si="91"/>
        <v>0.80073510703297313</v>
      </c>
      <c r="AE477" s="3">
        <f t="shared" si="92"/>
        <v>1.0560333346783241E-2</v>
      </c>
      <c r="AF477" s="11">
        <f t="shared" si="93"/>
        <v>38.750000000000007</v>
      </c>
      <c r="AG477" s="1">
        <f t="shared" si="94"/>
        <v>0.14107386406443284</v>
      </c>
    </row>
    <row r="478" spans="2:33" ht="15" x14ac:dyDescent="0.25">
      <c r="B478" s="1">
        <v>467</v>
      </c>
      <c r="C478" s="1">
        <v>1.0008087401647723</v>
      </c>
      <c r="D478" s="1">
        <v>1.2032038274455772</v>
      </c>
      <c r="E478" s="1">
        <v>0.83008041894793649</v>
      </c>
      <c r="G478" s="1">
        <v>0.99918455509571635</v>
      </c>
      <c r="H478" s="1">
        <v>4.6730769630265883</v>
      </c>
      <c r="I478" s="1">
        <v>0.17058293031624505</v>
      </c>
      <c r="K478" s="1">
        <v>0.99996981705803123</v>
      </c>
      <c r="L478" s="1">
        <v>1.525451683804719</v>
      </c>
      <c r="M478" s="1">
        <v>0.64541445259594332</v>
      </c>
      <c r="O478" s="1">
        <v>7.5009425166296948E-3</v>
      </c>
      <c r="P478" s="1">
        <v>0.74683449377771705</v>
      </c>
      <c r="R478" s="1">
        <v>0.18585081125638878</v>
      </c>
      <c r="S478" s="2">
        <f t="shared" si="96"/>
        <v>0.8812666644943481</v>
      </c>
      <c r="T478" s="4">
        <f t="shared" si="97"/>
        <v>0.77663093394899385</v>
      </c>
      <c r="U478" s="1">
        <f t="shared" si="88"/>
        <v>0.7126809174259936</v>
      </c>
      <c r="V478" s="6">
        <f>2*sigma/alpha*corel*(B478/12-1/alpha*(1-EXP(-alpha*Output!B478/12)))</f>
        <v>2.3984511254966758</v>
      </c>
      <c r="W478" s="5">
        <f t="shared" si="98"/>
        <v>-6.3950016523000253E-2</v>
      </c>
      <c r="X478" s="1">
        <f t="shared" si="99"/>
        <v>15.707453706809977</v>
      </c>
      <c r="Y478" s="3">
        <f t="shared" si="89"/>
        <v>2.0104649512726735E-2</v>
      </c>
      <c r="Z478" s="1">
        <f t="shared" si="90"/>
        <v>0.14126661057048354</v>
      </c>
      <c r="AA478" s="8">
        <f t="shared" si="95"/>
        <v>38.833333333333343</v>
      </c>
      <c r="AB478" s="1">
        <v>38.92</v>
      </c>
      <c r="AC478" s="1">
        <v>7.5821818480000004E-3</v>
      </c>
      <c r="AD478" s="8">
        <f t="shared" si="91"/>
        <v>0.81239331370305634</v>
      </c>
      <c r="AE478" s="3">
        <f t="shared" si="92"/>
        <v>1.0714505797791521E-2</v>
      </c>
      <c r="AF478" s="11">
        <f t="shared" si="93"/>
        <v>38.833333333333343</v>
      </c>
      <c r="AG478" s="1">
        <f t="shared" si="94"/>
        <v>0.14126661057048354</v>
      </c>
    </row>
    <row r="479" spans="2:33" ht="15" x14ac:dyDescent="0.25">
      <c r="B479" s="1">
        <v>468</v>
      </c>
      <c r="C479" s="1">
        <v>1.0008085485439449</v>
      </c>
      <c r="D479" s="1">
        <v>1.2007984216476724</v>
      </c>
      <c r="E479" s="1">
        <v>0.83174111172141896</v>
      </c>
      <c r="G479" s="1">
        <v>0.99902535023048333</v>
      </c>
      <c r="H479" s="1">
        <v>4.5875244580407077</v>
      </c>
      <c r="I479" s="1">
        <v>0.17368001873968503</v>
      </c>
      <c r="K479" s="1">
        <v>0.99997884021872641</v>
      </c>
      <c r="L479" s="1">
        <v>1.5423508423830081</v>
      </c>
      <c r="M479" s="1">
        <v>0.63833140119440301</v>
      </c>
      <c r="O479" s="1">
        <v>7.4994997069512195E-3</v>
      </c>
      <c r="P479" s="1">
        <v>0.74640980841571403</v>
      </c>
      <c r="R479" s="1">
        <v>0.18621930015049479</v>
      </c>
      <c r="S479" s="2">
        <f t="shared" si="96"/>
        <v>0.88329130875954531</v>
      </c>
      <c r="T479" s="4">
        <f t="shared" si="97"/>
        <v>0.78020353613015037</v>
      </c>
      <c r="U479" s="1">
        <f t="shared" si="88"/>
        <v>0.71592743467450459</v>
      </c>
      <c r="V479" s="6">
        <f>2*sigma/alpha*corel*(B479/12-1/alpha*(1-EXP(-alpha*Output!B479/12)))</f>
        <v>2.4066752225023897</v>
      </c>
      <c r="W479" s="5">
        <f t="shared" si="98"/>
        <v>-6.4276101455645773E-2</v>
      </c>
      <c r="X479" s="1">
        <f t="shared" si="99"/>
        <v>15.819157453687669</v>
      </c>
      <c r="Y479" s="3">
        <f t="shared" si="89"/>
        <v>2.0136605392402161E-2</v>
      </c>
      <c r="Z479" s="1">
        <f t="shared" si="90"/>
        <v>0.14143980654374519</v>
      </c>
      <c r="AA479" s="8">
        <f t="shared" si="95"/>
        <v>38.916666666666679</v>
      </c>
      <c r="AB479" s="1">
        <v>39</v>
      </c>
      <c r="AC479" s="1">
        <v>7.5818855099999997E-3</v>
      </c>
      <c r="AD479" s="8">
        <f t="shared" si="91"/>
        <v>0.82385803048780171</v>
      </c>
      <c r="AE479" s="3">
        <f t="shared" si="92"/>
        <v>1.0866136522388634E-2</v>
      </c>
      <c r="AF479" s="11">
        <f t="shared" si="93"/>
        <v>38.916666666666679</v>
      </c>
      <c r="AG479" s="1">
        <f t="shared" si="94"/>
        <v>0.14143980654374519</v>
      </c>
    </row>
    <row r="480" spans="2:33" ht="15" x14ac:dyDescent="0.25">
      <c r="B480" s="1">
        <v>469</v>
      </c>
      <c r="C480" s="1">
        <v>1.0008086042199962</v>
      </c>
      <c r="D480" s="1">
        <v>1.201744121737421</v>
      </c>
      <c r="E480" s="1">
        <v>0.8310844777407399</v>
      </c>
      <c r="G480" s="1">
        <v>0.99886899565608689</v>
      </c>
      <c r="H480" s="1">
        <v>4.6160496207481572</v>
      </c>
      <c r="I480" s="1">
        <v>0.17252320816865446</v>
      </c>
      <c r="K480" s="1">
        <v>0.99998017604358758</v>
      </c>
      <c r="L480" s="1">
        <v>1.5452584500479585</v>
      </c>
      <c r="M480" s="1">
        <v>0.63710725063365925</v>
      </c>
      <c r="O480" s="1">
        <v>7.4979955952769982E-3</v>
      </c>
      <c r="P480" s="1">
        <v>0.7459873312344133</v>
      </c>
      <c r="R480" s="1">
        <v>0.1866182938517261</v>
      </c>
      <c r="S480" s="2">
        <f t="shared" si="96"/>
        <v>0.88541707723124929</v>
      </c>
      <c r="T480" s="4">
        <f t="shared" si="97"/>
        <v>0.78396340065272807</v>
      </c>
      <c r="U480" s="1">
        <f t="shared" si="88"/>
        <v>0.71917971508043976</v>
      </c>
      <c r="V480" s="6">
        <f>2*sigma/alpha*corel*(B480/12-1/alpha*(1-EXP(-alpha*Output!B480/12)))</f>
        <v>2.4149066159062209</v>
      </c>
      <c r="W480" s="5">
        <f t="shared" si="98"/>
        <v>-6.4783685572288308E-2</v>
      </c>
      <c r="X480" s="1">
        <f t="shared" si="99"/>
        <v>15.95962347468204</v>
      </c>
      <c r="Y480" s="3">
        <f t="shared" si="89"/>
        <v>2.0213771389715651E-2</v>
      </c>
      <c r="Z480" s="1">
        <f t="shared" si="90"/>
        <v>0.14162896966610988</v>
      </c>
      <c r="AA480" s="8">
        <f t="shared" si="95"/>
        <v>39.000000000000014</v>
      </c>
      <c r="AB480" s="1">
        <v>39.08</v>
      </c>
      <c r="AC480" s="1">
        <v>7.581590438E-3</v>
      </c>
      <c r="AD480" s="8">
        <f t="shared" si="91"/>
        <v>0.83594842723001828</v>
      </c>
      <c r="AE480" s="3">
        <f t="shared" si="92"/>
        <v>1.102602988206969E-2</v>
      </c>
      <c r="AF480" s="11">
        <f t="shared" si="93"/>
        <v>39.000000000000014</v>
      </c>
      <c r="AG480" s="1">
        <f t="shared" si="94"/>
        <v>0.14162896966610988</v>
      </c>
    </row>
    <row r="481" spans="2:33" ht="15" x14ac:dyDescent="0.25">
      <c r="B481" s="1">
        <v>470</v>
      </c>
      <c r="C481" s="1">
        <v>1.0008181944672807</v>
      </c>
      <c r="D481" s="1">
        <v>1.2052021229009722</v>
      </c>
      <c r="E481" s="1">
        <v>0.82869780341195376</v>
      </c>
      <c r="G481" s="1">
        <v>0.99953529708419597</v>
      </c>
      <c r="H481" s="1">
        <v>4.7376843538893665</v>
      </c>
      <c r="I481" s="1">
        <v>0.16801250773745663</v>
      </c>
      <c r="K481" s="1">
        <v>0.99997026846443349</v>
      </c>
      <c r="L481" s="1">
        <v>1.5356211808597011</v>
      </c>
      <c r="M481" s="1">
        <v>0.64108406814316332</v>
      </c>
      <c r="O481" s="1">
        <v>7.4965140931578479E-3</v>
      </c>
      <c r="P481" s="1">
        <v>0.74556461985437616</v>
      </c>
      <c r="R481" s="1">
        <v>0.18702231791475207</v>
      </c>
      <c r="S481" s="2">
        <f t="shared" si="96"/>
        <v>0.8875624826520252</v>
      </c>
      <c r="T481" s="4">
        <f t="shared" si="97"/>
        <v>0.78776716061142649</v>
      </c>
      <c r="U481" s="1">
        <f t="shared" si="88"/>
        <v>0.7224377445505703</v>
      </c>
      <c r="V481" s="6">
        <f>2*sigma/alpha*corel*(B481/12-1/alpha*(1-EXP(-alpha*Output!B481/12)))</f>
        <v>2.423145281427332</v>
      </c>
      <c r="W481" s="5">
        <f t="shared" si="98"/>
        <v>-6.5329416060856182E-2</v>
      </c>
      <c r="X481" s="1">
        <f t="shared" si="99"/>
        <v>16.106574904437679</v>
      </c>
      <c r="Y481" s="3">
        <f t="shared" si="89"/>
        <v>2.0299844313190013E-2</v>
      </c>
      <c r="Z481" s="1">
        <f t="shared" si="90"/>
        <v>0.14182102841510238</v>
      </c>
      <c r="AA481" s="8">
        <f t="shared" si="95"/>
        <v>39.08333333333335</v>
      </c>
      <c r="AB481" s="1">
        <v>39.17</v>
      </c>
      <c r="AC481" s="1">
        <v>7.5812966239999996E-3</v>
      </c>
      <c r="AD481" s="8">
        <f t="shared" si="91"/>
        <v>0.84782530842151749</v>
      </c>
      <c r="AE481" s="3">
        <f t="shared" si="92"/>
        <v>1.118311748596631E-2</v>
      </c>
      <c r="AF481" s="11">
        <f t="shared" si="93"/>
        <v>39.08333333333335</v>
      </c>
      <c r="AG481" s="1">
        <f t="shared" si="94"/>
        <v>0.14182102841510238</v>
      </c>
    </row>
    <row r="482" spans="2:33" ht="15" x14ac:dyDescent="0.25">
      <c r="B482" s="1">
        <v>471</v>
      </c>
      <c r="C482" s="1">
        <v>1.0008197919799942</v>
      </c>
      <c r="D482" s="1">
        <v>1.208195440965725</v>
      </c>
      <c r="E482" s="1">
        <v>0.82664259335305323</v>
      </c>
      <c r="G482" s="1">
        <v>0.99952282656527081</v>
      </c>
      <c r="H482" s="1">
        <v>4.8455622644666407</v>
      </c>
      <c r="I482" s="1">
        <v>0.16419249386153378</v>
      </c>
      <c r="K482" s="1">
        <v>0.99995477016299739</v>
      </c>
      <c r="L482" s="1">
        <v>1.5296065364079248</v>
      </c>
      <c r="M482" s="1">
        <v>0.64358314651114346</v>
      </c>
      <c r="O482" s="1">
        <v>7.4951385711749269E-3</v>
      </c>
      <c r="P482" s="1">
        <v>0.74513923241344404</v>
      </c>
      <c r="R482" s="1">
        <v>0.18738644496065093</v>
      </c>
      <c r="S482" s="2">
        <f t="shared" si="96"/>
        <v>0.88957995693239078</v>
      </c>
      <c r="T482" s="4">
        <f t="shared" si="97"/>
        <v>0.79135249977583422</v>
      </c>
      <c r="U482" s="1">
        <f t="shared" si="88"/>
        <v>0.72570150900477826</v>
      </c>
      <c r="V482" s="6">
        <f>2*sigma/alpha*corel*(B482/12-1/alpha*(1-EXP(-alpha*Output!B482/12)))</f>
        <v>2.4313911948656886</v>
      </c>
      <c r="W482" s="5">
        <f t="shared" si="98"/>
        <v>-6.5650990771055961E-2</v>
      </c>
      <c r="X482" s="1">
        <f t="shared" si="99"/>
        <v>16.218868693526186</v>
      </c>
      <c r="Y482" s="3">
        <f t="shared" si="89"/>
        <v>2.0329611016566322E-2</v>
      </c>
      <c r="Z482" s="1">
        <f t="shared" si="90"/>
        <v>0.14199241926260264</v>
      </c>
      <c r="AA482" s="8">
        <f t="shared" si="95"/>
        <v>39.166666666666686</v>
      </c>
      <c r="AB482" s="1">
        <v>39.25</v>
      </c>
      <c r="AC482" s="1">
        <v>7.5810040609999999E-3</v>
      </c>
      <c r="AD482" s="8">
        <f t="shared" si="91"/>
        <v>0.85865489825072938</v>
      </c>
      <c r="AE482" s="3">
        <f t="shared" si="92"/>
        <v>1.1326400716074348E-2</v>
      </c>
      <c r="AF482" s="11">
        <f t="shared" si="93"/>
        <v>39.166666666666686</v>
      </c>
      <c r="AG482" s="1">
        <f t="shared" si="94"/>
        <v>0.14199241926260264</v>
      </c>
    </row>
    <row r="483" spans="2:33" ht="15" x14ac:dyDescent="0.25">
      <c r="B483" s="1">
        <v>472</v>
      </c>
      <c r="C483" s="1">
        <v>1.0008228557090981</v>
      </c>
      <c r="D483" s="1">
        <v>1.2046576439853927</v>
      </c>
      <c r="E483" s="1">
        <v>0.82906813608790075</v>
      </c>
      <c r="G483" s="1">
        <v>0.99961616363998962</v>
      </c>
      <c r="H483" s="1">
        <v>4.7190336988268342</v>
      </c>
      <c r="I483" s="1">
        <v>0.16851328251477599</v>
      </c>
      <c r="K483" s="1">
        <v>0.99994760534361027</v>
      </c>
      <c r="L483" s="1">
        <v>1.5322826962397778</v>
      </c>
      <c r="M483" s="1">
        <v>0.64241460601657552</v>
      </c>
      <c r="O483" s="1">
        <v>7.4938734542364296E-3</v>
      </c>
      <c r="P483" s="1">
        <v>0.74471102442099846</v>
      </c>
      <c r="R483" s="1">
        <v>0.18770298863745286</v>
      </c>
      <c r="S483" s="2">
        <f t="shared" si="96"/>
        <v>0.89144346929851959</v>
      </c>
      <c r="T483" s="4">
        <f t="shared" si="97"/>
        <v>0.79467145895498059</v>
      </c>
      <c r="U483" s="1">
        <f t="shared" si="88"/>
        <v>0.72897099437623503</v>
      </c>
      <c r="V483" s="6">
        <f>2*sigma/alpha*corel*(B483/12-1/alpha*(1-EXP(-alpha*Output!B483/12)))</f>
        <v>2.4396443321017887</v>
      </c>
      <c r="W483" s="5">
        <f t="shared" si="98"/>
        <v>-6.5700464578745565E-2</v>
      </c>
      <c r="X483" s="1">
        <f t="shared" si="99"/>
        <v>16.288737560879017</v>
      </c>
      <c r="Y483" s="3">
        <f t="shared" si="89"/>
        <v>2.0291777352399041E-2</v>
      </c>
      <c r="Z483" s="1">
        <f t="shared" si="90"/>
        <v>0.14213905750477934</v>
      </c>
      <c r="AA483" s="8">
        <f t="shared" si="95"/>
        <v>39.250000000000021</v>
      </c>
      <c r="AB483" s="1">
        <v>39.33</v>
      </c>
      <c r="AC483" s="1">
        <v>7.5807127400000004E-3</v>
      </c>
      <c r="AD483" s="8">
        <f t="shared" si="91"/>
        <v>0.86839285763570806</v>
      </c>
      <c r="AE483" s="3">
        <f t="shared" si="92"/>
        <v>1.1455293023485651E-2</v>
      </c>
      <c r="AF483" s="11">
        <f t="shared" si="93"/>
        <v>39.250000000000021</v>
      </c>
      <c r="AG483" s="1">
        <f t="shared" si="94"/>
        <v>0.14213905750477934</v>
      </c>
    </row>
    <row r="484" spans="2:33" ht="15" x14ac:dyDescent="0.25">
      <c r="B484" s="1">
        <v>473</v>
      </c>
      <c r="C484" s="1">
        <v>1.0008276576971791</v>
      </c>
      <c r="D484" s="1">
        <v>1.2062137355756952</v>
      </c>
      <c r="E484" s="1">
        <v>0.82799647155358824</v>
      </c>
      <c r="G484" s="1">
        <v>0.99986247215134749</v>
      </c>
      <c r="H484" s="1">
        <v>4.7679970544645176</v>
      </c>
      <c r="I484" s="1">
        <v>0.16670206374029914</v>
      </c>
      <c r="K484" s="1">
        <v>0.99994946467555279</v>
      </c>
      <c r="L484" s="1">
        <v>1.5327441158110731</v>
      </c>
      <c r="M484" s="1">
        <v>0.64218641961257816</v>
      </c>
      <c r="O484" s="1">
        <v>7.4926355959495355E-3</v>
      </c>
      <c r="P484" s="1">
        <v>0.74428241974927778</v>
      </c>
      <c r="R484" s="1">
        <v>0.18806490980170851</v>
      </c>
      <c r="S484" s="2">
        <f t="shared" si="96"/>
        <v>0.89346341946418284</v>
      </c>
      <c r="T484" s="4">
        <f t="shared" si="97"/>
        <v>0.79827688192063029</v>
      </c>
      <c r="U484" s="1">
        <f t="shared" si="88"/>
        <v>0.73224618661158347</v>
      </c>
      <c r="V484" s="6">
        <f>2*sigma/alpha*corel*(B484/12-1/alpha*(1-EXP(-alpha*Output!B484/12)))</f>
        <v>2.4479046690963924</v>
      </c>
      <c r="W484" s="5">
        <f t="shared" si="98"/>
        <v>-6.6030695309046816E-2</v>
      </c>
      <c r="X484" s="1">
        <f t="shared" si="99"/>
        <v>16.403076896043633</v>
      </c>
      <c r="Y484" s="3">
        <f t="shared" si="89"/>
        <v>2.0323465776040099E-2</v>
      </c>
      <c r="Z484" s="1">
        <f t="shared" si="90"/>
        <v>0.14231046208004777</v>
      </c>
      <c r="AA484" s="8">
        <f t="shared" si="95"/>
        <v>39.333333333333357</v>
      </c>
      <c r="AB484" s="1">
        <v>39.42</v>
      </c>
      <c r="AC484" s="1">
        <v>7.5804226539999998E-3</v>
      </c>
      <c r="AD484" s="8">
        <f t="shared" si="91"/>
        <v>0.87787058050464373</v>
      </c>
      <c r="AE484" s="3">
        <f t="shared" si="92"/>
        <v>1.158076034245153E-2</v>
      </c>
      <c r="AF484" s="11">
        <f t="shared" si="93"/>
        <v>39.333333333333357</v>
      </c>
      <c r="AG484" s="1">
        <f t="shared" si="94"/>
        <v>0.14231046208004777</v>
      </c>
    </row>
    <row r="485" spans="2:33" ht="15" x14ac:dyDescent="0.25">
      <c r="B485" s="1">
        <v>474</v>
      </c>
      <c r="C485" s="1">
        <v>1.0008273079685073</v>
      </c>
      <c r="D485" s="1">
        <v>1.2068027275684243</v>
      </c>
      <c r="E485" s="1">
        <v>0.82759024163891859</v>
      </c>
      <c r="G485" s="1">
        <v>0.9996731264927694</v>
      </c>
      <c r="H485" s="1">
        <v>4.7872333570486605</v>
      </c>
      <c r="I485" s="1">
        <v>0.16595184795458287</v>
      </c>
      <c r="K485" s="1">
        <v>0.99993936371870218</v>
      </c>
      <c r="L485" s="1">
        <v>1.5540112687187226</v>
      </c>
      <c r="M485" s="1">
        <v>0.63338558511584431</v>
      </c>
      <c r="O485" s="1">
        <v>7.4914024735404233E-3</v>
      </c>
      <c r="P485" s="1">
        <v>0.74385407606670073</v>
      </c>
      <c r="R485" s="1">
        <v>0.18842584886190003</v>
      </c>
      <c r="S485" s="2">
        <f t="shared" si="96"/>
        <v>0.89548161982211449</v>
      </c>
      <c r="T485" s="4">
        <f t="shared" si="97"/>
        <v>0.80188733143923796</v>
      </c>
      <c r="U485" s="1">
        <f t="shared" si="88"/>
        <v>0.73552707167111109</v>
      </c>
      <c r="V485" s="6">
        <f>2*sigma/alpha*corel*(B485/12-1/alpha*(1-EXP(-alpha*Output!B485/12)))</f>
        <v>2.4561721818902607</v>
      </c>
      <c r="W485" s="5">
        <f t="shared" si="98"/>
        <v>-6.6360259768126872E-2</v>
      </c>
      <c r="X485" s="1">
        <f t="shared" si="99"/>
        <v>16.517702830455608</v>
      </c>
      <c r="Y485" s="3">
        <f t="shared" si="89"/>
        <v>2.0354753215906012E-2</v>
      </c>
      <c r="Z485" s="1">
        <f t="shared" si="90"/>
        <v>0.142481385098993</v>
      </c>
      <c r="AA485" s="8">
        <f t="shared" si="95"/>
        <v>39.416666666666693</v>
      </c>
      <c r="AB485" s="1">
        <v>39.5</v>
      </c>
      <c r="AC485" s="1">
        <v>7.5801337939999996E-3</v>
      </c>
      <c r="AD485" s="8">
        <f t="shared" si="91"/>
        <v>0.88731320459576291</v>
      </c>
      <c r="AE485" s="3">
        <f t="shared" si="92"/>
        <v>1.170577233475891E-2</v>
      </c>
      <c r="AF485" s="11">
        <f t="shared" si="93"/>
        <v>39.416666666666693</v>
      </c>
      <c r="AG485" s="1">
        <f t="shared" si="94"/>
        <v>0.142481385098993</v>
      </c>
    </row>
    <row r="486" spans="2:33" ht="15" x14ac:dyDescent="0.25">
      <c r="B486" s="1">
        <v>475</v>
      </c>
      <c r="C486" s="1">
        <v>1.0008341531088902</v>
      </c>
      <c r="D486" s="1">
        <v>1.2075232409715073</v>
      </c>
      <c r="E486" s="1">
        <v>0.82709430812773177</v>
      </c>
      <c r="G486" s="1">
        <v>1.0000679529620133</v>
      </c>
      <c r="H486" s="1">
        <v>4.8091283278053085</v>
      </c>
      <c r="I486" s="1">
        <v>0.16511634225104257</v>
      </c>
      <c r="K486" s="1">
        <v>0.99995736236319777</v>
      </c>
      <c r="L486" s="1">
        <v>1.5566771983049454</v>
      </c>
      <c r="M486" s="1">
        <v>0.63227402468636329</v>
      </c>
      <c r="O486" s="1">
        <v>7.490111810422917E-3</v>
      </c>
      <c r="P486" s="1">
        <v>0.74342782495911797</v>
      </c>
      <c r="R486" s="1">
        <v>0.18878675582290855</v>
      </c>
      <c r="S486" s="2">
        <f t="shared" si="96"/>
        <v>0.89749788998505897</v>
      </c>
      <c r="T486" s="4">
        <f t="shared" si="97"/>
        <v>0.80550246252763302</v>
      </c>
      <c r="U486" s="1">
        <f t="shared" si="88"/>
        <v>0.73881363552892809</v>
      </c>
      <c r="V486" s="6">
        <f>2*sigma/alpha*corel*(B486/12-1/alpha*(1-EXP(-alpha*Output!B486/12)))</f>
        <v>2.4644468466038836</v>
      </c>
      <c r="W486" s="5">
        <f t="shared" si="98"/>
        <v>-6.6688826998704931E-2</v>
      </c>
      <c r="X486" s="1">
        <f t="shared" si="99"/>
        <v>16.632562534530773</v>
      </c>
      <c r="Y486" s="3">
        <f t="shared" si="89"/>
        <v>2.0385562522320034E-2</v>
      </c>
      <c r="Z486" s="1">
        <f t="shared" si="90"/>
        <v>0.14265179948193762</v>
      </c>
      <c r="AA486" s="8">
        <f t="shared" si="95"/>
        <v>39.500000000000028</v>
      </c>
      <c r="AB486" s="1">
        <v>39.58</v>
      </c>
      <c r="AC486" s="1">
        <v>7.5798461530000001E-3</v>
      </c>
      <c r="AD486" s="8">
        <f t="shared" si="91"/>
        <v>0.89734342577083193</v>
      </c>
      <c r="AE486" s="3">
        <f t="shared" si="92"/>
        <v>1.1838544050339012E-2</v>
      </c>
      <c r="AF486" s="11">
        <f t="shared" si="93"/>
        <v>39.500000000000028</v>
      </c>
      <c r="AG486" s="1">
        <f t="shared" si="94"/>
        <v>0.14265179948193762</v>
      </c>
    </row>
    <row r="487" spans="2:33" ht="15" x14ac:dyDescent="0.25">
      <c r="B487" s="1">
        <v>476</v>
      </c>
      <c r="C487" s="1">
        <v>1.0008365596751814</v>
      </c>
      <c r="D487" s="1">
        <v>1.205558663062005</v>
      </c>
      <c r="E487" s="1">
        <v>0.82844001123143307</v>
      </c>
      <c r="G487" s="1">
        <v>1.0000943601344066</v>
      </c>
      <c r="H487" s="1">
        <v>4.7382125299170408</v>
      </c>
      <c r="I487" s="1">
        <v>0.16750648341053986</v>
      </c>
      <c r="K487" s="1">
        <v>0.99997012489761283</v>
      </c>
      <c r="L487" s="1">
        <v>1.5450840480483132</v>
      </c>
      <c r="M487" s="1">
        <v>0.63702122352612567</v>
      </c>
      <c r="O487" s="1">
        <v>7.4888254124846976E-3</v>
      </c>
      <c r="P487" s="1">
        <v>0.74300185222885495</v>
      </c>
      <c r="R487" s="1">
        <v>0.18917715264070353</v>
      </c>
      <c r="S487" s="2">
        <f t="shared" si="96"/>
        <v>0.8996159045897536</v>
      </c>
      <c r="T487" s="4">
        <f t="shared" si="97"/>
        <v>0.80930877579084071</v>
      </c>
      <c r="U487" s="1">
        <f t="shared" si="88"/>
        <v>0.74210586417313484</v>
      </c>
      <c r="V487" s="6">
        <f>2*sigma/alpha*corel*(B487/12-1/alpha*(1-EXP(-alpha*Output!B487/12)))</f>
        <v>2.4727286394372157</v>
      </c>
      <c r="W487" s="5">
        <f t="shared" si="98"/>
        <v>-6.7202911617705863E-2</v>
      </c>
      <c r="X487" s="1">
        <f t="shared" si="99"/>
        <v>16.77724890096902</v>
      </c>
      <c r="Y487" s="3">
        <f t="shared" si="89"/>
        <v>2.0461454329315776E-2</v>
      </c>
      <c r="Z487" s="1">
        <f t="shared" si="90"/>
        <v>0.14283816803231522</v>
      </c>
      <c r="AA487" s="8">
        <f t="shared" si="95"/>
        <v>39.583333333333364</v>
      </c>
      <c r="AB487" s="1">
        <v>39.67</v>
      </c>
      <c r="AC487" s="1">
        <v>7.5795597229999997E-3</v>
      </c>
      <c r="AD487" s="8">
        <f t="shared" si="91"/>
        <v>0.90734310515302141</v>
      </c>
      <c r="AE487" s="3">
        <f t="shared" si="92"/>
        <v>1.197092098106582E-2</v>
      </c>
      <c r="AF487" s="11">
        <f t="shared" si="93"/>
        <v>39.583333333333364</v>
      </c>
      <c r="AG487" s="1">
        <f t="shared" si="94"/>
        <v>0.14283816803231522</v>
      </c>
    </row>
    <row r="488" spans="2:33" ht="15" x14ac:dyDescent="0.25">
      <c r="B488" s="1">
        <v>477</v>
      </c>
      <c r="C488" s="1">
        <v>1.0008359090253047</v>
      </c>
      <c r="D488" s="1">
        <v>1.2007285402056469</v>
      </c>
      <c r="E488" s="1">
        <v>0.83177040150746862</v>
      </c>
      <c r="G488" s="1">
        <v>0.99987988351924673</v>
      </c>
      <c r="H488" s="1">
        <v>4.5673331034279316</v>
      </c>
      <c r="I488" s="1">
        <v>0.17368935514623771</v>
      </c>
      <c r="K488" s="1">
        <v>0.99996471077064919</v>
      </c>
      <c r="L488" s="1">
        <v>1.5380101885525774</v>
      </c>
      <c r="M488" s="1">
        <v>0.63993180013690087</v>
      </c>
      <c r="O488" s="1">
        <v>7.4875097665713652E-3</v>
      </c>
      <c r="P488" s="1">
        <v>0.74257714610740366</v>
      </c>
      <c r="R488" s="1">
        <v>0.18952622193530946</v>
      </c>
      <c r="S488" s="2">
        <f t="shared" si="96"/>
        <v>0.90159324062476642</v>
      </c>
      <c r="T488" s="4">
        <f t="shared" si="97"/>
        <v>0.81287037154026798</v>
      </c>
      <c r="U488" s="1">
        <f t="shared" si="88"/>
        <v>0.74540374360600037</v>
      </c>
      <c r="V488" s="6">
        <f>2*sigma/alpha*corel*(B488/12-1/alpha*(1-EXP(-alpha*Output!B488/12)))</f>
        <v>2.4810175366694169</v>
      </c>
      <c r="W488" s="5">
        <f t="shared" si="98"/>
        <v>-6.7466627934267609E-2</v>
      </c>
      <c r="X488" s="1">
        <f t="shared" si="99"/>
        <v>16.88264185880973</v>
      </c>
      <c r="Y488" s="3">
        <f t="shared" si="89"/>
        <v>2.0475870148093201E-2</v>
      </c>
      <c r="Z488" s="1">
        <f t="shared" si="90"/>
        <v>0.14300198983004625</v>
      </c>
      <c r="AA488" s="8">
        <f t="shared" si="95"/>
        <v>39.6666666666667</v>
      </c>
      <c r="AB488" s="1">
        <v>39.75</v>
      </c>
      <c r="AC488" s="1">
        <v>7.5792744969999997E-3</v>
      </c>
      <c r="AD488" s="8">
        <f t="shared" si="91"/>
        <v>0.917647304286345</v>
      </c>
      <c r="AE488" s="3">
        <f t="shared" si="92"/>
        <v>1.2107323790021917E-2</v>
      </c>
      <c r="AF488" s="11">
        <f t="shared" si="93"/>
        <v>39.6666666666667</v>
      </c>
      <c r="AG488" s="1">
        <f t="shared" si="94"/>
        <v>0.14300198983004625</v>
      </c>
    </row>
    <row r="489" spans="2:33" ht="15" x14ac:dyDescent="0.25">
      <c r="B489" s="1">
        <v>478</v>
      </c>
      <c r="C489" s="1">
        <v>1.0008414680860591</v>
      </c>
      <c r="D489" s="1">
        <v>1.2023452915292794</v>
      </c>
      <c r="E489" s="1">
        <v>0.83064980486430029</v>
      </c>
      <c r="G489" s="1">
        <v>1.0002196910499326</v>
      </c>
      <c r="H489" s="1">
        <v>4.6202222567729487</v>
      </c>
      <c r="I489" s="1">
        <v>0.17161796620505954</v>
      </c>
      <c r="K489" s="1">
        <v>0.99996269929147907</v>
      </c>
      <c r="L489" s="1">
        <v>1.540945262681211</v>
      </c>
      <c r="M489" s="1">
        <v>0.6387003352372802</v>
      </c>
      <c r="O489" s="1">
        <v>7.4862013839667157E-3</v>
      </c>
      <c r="P489" s="1">
        <v>0.74215263076563009</v>
      </c>
      <c r="R489" s="1">
        <v>0.18989503198772134</v>
      </c>
      <c r="S489" s="2">
        <f t="shared" si="96"/>
        <v>0.9036393980730526</v>
      </c>
      <c r="T489" s="4">
        <f t="shared" si="97"/>
        <v>0.81656416174982882</v>
      </c>
      <c r="U489" s="1">
        <f t="shared" si="88"/>
        <v>0.74870725984412356</v>
      </c>
      <c r="V489" s="6">
        <f>2*sigma/alpha*corel*(B489/12-1/alpha*(1-EXP(-alpha*Output!B489/12)))</f>
        <v>2.4893135146585816</v>
      </c>
      <c r="W489" s="5">
        <f t="shared" si="98"/>
        <v>-6.7856901905705258E-2</v>
      </c>
      <c r="X489" s="1">
        <f t="shared" si="99"/>
        <v>17.008548144570899</v>
      </c>
      <c r="Y489" s="3">
        <f t="shared" si="89"/>
        <v>2.0520861031057554E-2</v>
      </c>
      <c r="Z489" s="1">
        <f t="shared" si="90"/>
        <v>0.14317652986791035</v>
      </c>
      <c r="AA489" s="8">
        <f t="shared" si="95"/>
        <v>39.750000000000036</v>
      </c>
      <c r="AB489" s="1">
        <v>39.83</v>
      </c>
      <c r="AC489" s="1">
        <v>7.5789904670000002E-3</v>
      </c>
      <c r="AD489" s="8">
        <f t="shared" si="91"/>
        <v>0.92789083033284481</v>
      </c>
      <c r="AE489" s="3">
        <f t="shared" si="92"/>
        <v>1.2242934390444389E-2</v>
      </c>
      <c r="AF489" s="11">
        <f t="shared" si="93"/>
        <v>39.750000000000036</v>
      </c>
      <c r="AG489" s="1">
        <f t="shared" si="94"/>
        <v>0.14317652986791035</v>
      </c>
    </row>
    <row r="490" spans="2:33" ht="15" x14ac:dyDescent="0.25">
      <c r="B490" s="1">
        <v>479</v>
      </c>
      <c r="C490" s="1">
        <v>1.0008425347055478</v>
      </c>
      <c r="D490" s="1">
        <v>1.2002079547129099</v>
      </c>
      <c r="E490" s="1">
        <v>0.8321268780027935</v>
      </c>
      <c r="G490" s="1">
        <v>1.000140583115811</v>
      </c>
      <c r="H490" s="1">
        <v>4.504994858649586</v>
      </c>
      <c r="I490" s="1">
        <v>0.17592236188871724</v>
      </c>
      <c r="K490" s="1">
        <v>0.99996660355182687</v>
      </c>
      <c r="L490" s="1">
        <v>1.5351713600678838</v>
      </c>
      <c r="M490" s="1">
        <v>0.64105641829417381</v>
      </c>
      <c r="O490" s="1">
        <v>7.4848702048735255E-3</v>
      </c>
      <c r="P490" s="1">
        <v>0.74172919479768917</v>
      </c>
      <c r="R490" s="1">
        <v>0.19028247217978897</v>
      </c>
      <c r="S490" s="2">
        <f t="shared" si="96"/>
        <v>0.90574908146339794</v>
      </c>
      <c r="T490" s="4">
        <f t="shared" si="97"/>
        <v>0.82038139857178904</v>
      </c>
      <c r="U490" s="1">
        <f t="shared" si="88"/>
        <v>0.7520163989186015</v>
      </c>
      <c r="V490" s="6">
        <f>2*sigma/alpha*corel*(B490/12-1/alpha*(1-EXP(-alpha*Output!B490/12)))</f>
        <v>2.4976165498414806</v>
      </c>
      <c r="W490" s="5">
        <f t="shared" si="98"/>
        <v>-6.8364999653187541E-2</v>
      </c>
      <c r="X490" s="1">
        <f t="shared" si="99"/>
        <v>17.153700041334339</v>
      </c>
      <c r="Y490" s="3">
        <f t="shared" si="89"/>
        <v>2.059397916849505E-2</v>
      </c>
      <c r="Z490" s="1">
        <f t="shared" si="90"/>
        <v>0.14336091644885388</v>
      </c>
      <c r="AA490" s="8">
        <f t="shared" si="95"/>
        <v>39.833333333333371</v>
      </c>
      <c r="AB490" s="1">
        <v>39.92</v>
      </c>
      <c r="AC490" s="1">
        <v>7.5787076250000002E-3</v>
      </c>
      <c r="AD490" s="8">
        <f t="shared" si="91"/>
        <v>0.93837420126474669</v>
      </c>
      <c r="AE490" s="3">
        <f t="shared" si="92"/>
        <v>1.2381717935249503E-2</v>
      </c>
      <c r="AF490" s="11">
        <f t="shared" si="93"/>
        <v>39.833333333333371</v>
      </c>
      <c r="AG490" s="1">
        <f t="shared" si="94"/>
        <v>0.14336091644885388</v>
      </c>
    </row>
    <row r="491" spans="2:33" ht="15" x14ac:dyDescent="0.25">
      <c r="B491" s="1">
        <v>480</v>
      </c>
      <c r="C491" s="1">
        <v>1.0008439125878597</v>
      </c>
      <c r="D491" s="1">
        <v>1.200344567132188</v>
      </c>
      <c r="E491" s="1">
        <v>0.83203001575930757</v>
      </c>
      <c r="G491" s="1">
        <v>1.0001233139786987</v>
      </c>
      <c r="H491" s="1">
        <v>4.4579573906631556</v>
      </c>
      <c r="I491" s="1">
        <v>0.17769252543802216</v>
      </c>
      <c r="K491" s="1">
        <v>0.99996594166655661</v>
      </c>
      <c r="L491" s="1">
        <v>1.5471288682705466</v>
      </c>
      <c r="M491" s="1">
        <v>0.63609667860263719</v>
      </c>
      <c r="O491" s="1">
        <v>7.4835962880588774E-3</v>
      </c>
      <c r="P491" s="1">
        <v>0.74130446693685448</v>
      </c>
      <c r="R491" s="1">
        <v>0.19065261993500368</v>
      </c>
      <c r="S491" s="2">
        <f t="shared" si="96"/>
        <v>0.90780445514365149</v>
      </c>
      <c r="T491" s="4">
        <f t="shared" si="97"/>
        <v>0.82410892877866193</v>
      </c>
      <c r="U491" s="1">
        <f t="shared" si="88"/>
        <v>0.75533114687519953</v>
      </c>
      <c r="V491" s="6">
        <f>2*sigma/alpha*corel*(B491/12-1/alpha*(1-EXP(-alpha*Output!B491/12)))</f>
        <v>2.5059266187332985</v>
      </c>
      <c r="W491" s="5">
        <f t="shared" si="98"/>
        <v>-6.8777781903462398E-2</v>
      </c>
      <c r="X491" s="1">
        <f t="shared" si="99"/>
        <v>17.284113323030088</v>
      </c>
      <c r="Y491" s="3">
        <f t="shared" si="89"/>
        <v>2.0643625573238004E-2</v>
      </c>
      <c r="Z491" s="1">
        <f t="shared" si="90"/>
        <v>0.14353648741510483</v>
      </c>
      <c r="AA491" s="8">
        <f t="shared" si="95"/>
        <v>39.916666666666707</v>
      </c>
      <c r="AB491" s="1">
        <v>40</v>
      </c>
      <c r="AC491" s="1">
        <v>7.5784259649999998E-3</v>
      </c>
      <c r="AD491" s="8">
        <f t="shared" si="91"/>
        <v>0.94829676941122343</v>
      </c>
      <c r="AE491" s="3">
        <f t="shared" si="92"/>
        <v>1.2513109896313719E-2</v>
      </c>
      <c r="AF491" s="11">
        <f t="shared" si="93"/>
        <v>39.916666666666707</v>
      </c>
      <c r="AG491" s="1">
        <f t="shared" si="94"/>
        <v>0.14353648741510483</v>
      </c>
    </row>
    <row r="492" spans="2:33" ht="15" x14ac:dyDescent="0.25">
      <c r="B492" s="1">
        <v>481</v>
      </c>
      <c r="C492" s="1">
        <v>1.0008447594444856</v>
      </c>
      <c r="D492" s="1">
        <v>1.1992506142237878</v>
      </c>
      <c r="E492" s="1">
        <v>0.8327868276010636</v>
      </c>
      <c r="G492" s="1">
        <v>1.0000336756917816</v>
      </c>
      <c r="H492" s="1">
        <v>4.479088000323622</v>
      </c>
      <c r="I492" s="1">
        <v>0.17676863259307307</v>
      </c>
      <c r="K492" s="1">
        <v>0.99997601886566323</v>
      </c>
      <c r="L492" s="1">
        <v>1.5526671872516438</v>
      </c>
      <c r="M492" s="1">
        <v>0.6337787689363511</v>
      </c>
      <c r="O492" s="1">
        <v>7.4823039173268924E-3</v>
      </c>
      <c r="P492" s="1">
        <v>0.7408806876114945</v>
      </c>
      <c r="R492" s="1">
        <v>0.19103976603387604</v>
      </c>
      <c r="S492" s="2">
        <f t="shared" si="96"/>
        <v>0.9099181403387715</v>
      </c>
      <c r="T492" s="4">
        <f t="shared" si="97"/>
        <v>0.82795102211756821</v>
      </c>
      <c r="U492" s="1">
        <f t="shared" si="88"/>
        <v>0.75865148977450492</v>
      </c>
      <c r="V492" s="6">
        <f>2*sigma/alpha*corel*(B492/12-1/alpha*(1-EXP(-alpha*Output!B492/12)))</f>
        <v>2.5142436979273706</v>
      </c>
      <c r="W492" s="5">
        <f t="shared" si="98"/>
        <v>-6.9299532343063297E-2</v>
      </c>
      <c r="X492" s="1">
        <f t="shared" si="99"/>
        <v>17.432446391571979</v>
      </c>
      <c r="Y492" s="3">
        <f t="shared" si="89"/>
        <v>2.0719015722683393E-2</v>
      </c>
      <c r="Z492" s="1">
        <f t="shared" si="90"/>
        <v>0.14372105884501354</v>
      </c>
      <c r="AA492" s="8">
        <f t="shared" si="95"/>
        <v>40.000000000000043</v>
      </c>
      <c r="AB492" s="1">
        <v>40.08</v>
      </c>
      <c r="AC492" s="1">
        <v>7.5781454780000004E-3</v>
      </c>
      <c r="AD492" s="8">
        <f t="shared" si="91"/>
        <v>0.95841560673107917</v>
      </c>
      <c r="AE492" s="3">
        <f t="shared" si="92"/>
        <v>1.2647099603899675E-2</v>
      </c>
      <c r="AF492" s="11">
        <f t="shared" si="93"/>
        <v>40.000000000000043</v>
      </c>
      <c r="AG492" s="1">
        <f t="shared" si="94"/>
        <v>0.14372105884501354</v>
      </c>
    </row>
    <row r="493" spans="2:33" ht="15" x14ac:dyDescent="0.25">
      <c r="B493" s="1">
        <v>482</v>
      </c>
      <c r="C493" s="1">
        <v>1.0008451452655198</v>
      </c>
      <c r="D493" s="1">
        <v>1.1990670986049228</v>
      </c>
      <c r="E493" s="1">
        <v>0.83291211583740132</v>
      </c>
      <c r="G493" s="1">
        <v>0.99992429832169527</v>
      </c>
      <c r="H493" s="1">
        <v>4.456853111858277</v>
      </c>
      <c r="I493" s="1">
        <v>0.17756452318175037</v>
      </c>
      <c r="K493" s="1">
        <v>0.99997331238492659</v>
      </c>
      <c r="L493" s="1">
        <v>1.5466870558781542</v>
      </c>
      <c r="M493" s="1">
        <v>0.63626178135122968</v>
      </c>
      <c r="O493" s="1">
        <v>7.4811151579727581E-3</v>
      </c>
      <c r="P493" s="1">
        <v>0.74045422846537301</v>
      </c>
      <c r="R493" s="1">
        <v>0.19139239180312279</v>
      </c>
      <c r="S493" s="2">
        <f t="shared" si="96"/>
        <v>0.91192126909407212</v>
      </c>
      <c r="T493" s="4">
        <f t="shared" si="97"/>
        <v>0.83160040102614308</v>
      </c>
      <c r="U493" s="1">
        <f t="shared" si="88"/>
        <v>0.76197741369209426</v>
      </c>
      <c r="V493" s="6">
        <f>2*sigma/alpha*corel*(B493/12-1/alpha*(1-EXP(-alpha*Output!B493/12)))</f>
        <v>2.5225677640949256</v>
      </c>
      <c r="W493" s="5">
        <f t="shared" si="98"/>
        <v>-6.9622987334048814E-2</v>
      </c>
      <c r="X493" s="1">
        <f t="shared" si="99"/>
        <v>17.54944142278805</v>
      </c>
      <c r="Y493" s="3">
        <f t="shared" si="89"/>
        <v>2.074652590369688E-2</v>
      </c>
      <c r="Z493" s="1">
        <f t="shared" si="90"/>
        <v>0.14388795788351219</v>
      </c>
      <c r="AA493" s="8">
        <f t="shared" si="95"/>
        <v>40.083333333333378</v>
      </c>
      <c r="AB493" s="1">
        <v>40.17</v>
      </c>
      <c r="AC493" s="1">
        <v>7.5778661569999997E-3</v>
      </c>
      <c r="AD493" s="8">
        <f t="shared" si="91"/>
        <v>0.96750999027241624</v>
      </c>
      <c r="AE493" s="3">
        <f t="shared" si="92"/>
        <v>1.2767578236766372E-2</v>
      </c>
      <c r="AF493" s="11">
        <f t="shared" si="93"/>
        <v>40.083333333333378</v>
      </c>
      <c r="AG493" s="1">
        <f t="shared" si="94"/>
        <v>0.14388795788351219</v>
      </c>
    </row>
    <row r="494" spans="2:33" ht="15" x14ac:dyDescent="0.25">
      <c r="B494" s="1">
        <v>483</v>
      </c>
      <c r="C494" s="1">
        <v>1.0008488248576399</v>
      </c>
      <c r="D494" s="1">
        <v>1.2015442534657659</v>
      </c>
      <c r="E494" s="1">
        <v>0.83119277997258667</v>
      </c>
      <c r="G494" s="1">
        <v>1.0000821006021536</v>
      </c>
      <c r="H494" s="1">
        <v>4.470182901653895</v>
      </c>
      <c r="I494" s="1">
        <v>0.17694934048563182</v>
      </c>
      <c r="K494" s="1">
        <v>0.99998397367782277</v>
      </c>
      <c r="L494" s="1">
        <v>1.5581238209618398</v>
      </c>
      <c r="M494" s="1">
        <v>0.63153886860967401</v>
      </c>
      <c r="O494" s="1">
        <v>7.4799746550082303E-3</v>
      </c>
      <c r="P494" s="1">
        <v>0.74002672404322056</v>
      </c>
      <c r="R494" s="1">
        <v>0.19176608883032209</v>
      </c>
      <c r="S494" s="2">
        <f t="shared" si="96"/>
        <v>0.91400038205432366</v>
      </c>
      <c r="T494" s="4">
        <f t="shared" si="97"/>
        <v>0.83539669839544961</v>
      </c>
      <c r="U494" s="1">
        <f t="shared" si="88"/>
        <v>0.76530890471869073</v>
      </c>
      <c r="V494" s="6">
        <f>2*sigma/alpha*corel*(B494/12-1/alpha*(1-EXP(-alpha*Output!B494/12)))</f>
        <v>2.5308987939848264</v>
      </c>
      <c r="W494" s="5">
        <f t="shared" si="98"/>
        <v>-7.0087793676758881E-2</v>
      </c>
      <c r="X494" s="1">
        <f t="shared" si="99"/>
        <v>17.689583487352028</v>
      </c>
      <c r="Y494" s="3">
        <f t="shared" si="89"/>
        <v>2.0807451676665176E-2</v>
      </c>
      <c r="Z494" s="1">
        <f t="shared" si="90"/>
        <v>0.14406664248070525</v>
      </c>
      <c r="AA494" s="8">
        <f t="shared" si="95"/>
        <v>40.166666666666714</v>
      </c>
      <c r="AB494" s="1">
        <v>40.25</v>
      </c>
      <c r="AC494" s="1">
        <v>7.5775879959999997E-3</v>
      </c>
      <c r="AD494" s="8">
        <f t="shared" si="91"/>
        <v>0.97613340991769415</v>
      </c>
      <c r="AE494" s="3">
        <f t="shared" si="92"/>
        <v>1.2881848556994233E-2</v>
      </c>
      <c r="AF494" s="11">
        <f t="shared" si="93"/>
        <v>40.166666666666714</v>
      </c>
      <c r="AG494" s="1">
        <f t="shared" si="94"/>
        <v>0.14406664248070525</v>
      </c>
    </row>
    <row r="495" spans="2:33" ht="15" x14ac:dyDescent="0.25">
      <c r="B495" s="1">
        <v>484</v>
      </c>
      <c r="C495" s="1">
        <v>1.0008522027965903</v>
      </c>
      <c r="D495" s="1">
        <v>1.2038201110368092</v>
      </c>
      <c r="E495" s="1">
        <v>0.82961921622805801</v>
      </c>
      <c r="G495" s="1">
        <v>1.000220317624618</v>
      </c>
      <c r="H495" s="1">
        <v>4.5426024578654376</v>
      </c>
      <c r="I495" s="1">
        <v>0.17404406949408355</v>
      </c>
      <c r="K495" s="1">
        <v>0.99997561956261971</v>
      </c>
      <c r="L495" s="1">
        <v>1.5513797530692737</v>
      </c>
      <c r="M495" s="1">
        <v>0.63428523571494122</v>
      </c>
      <c r="O495" s="1">
        <v>7.4788573993502571E-3</v>
      </c>
      <c r="P495" s="1">
        <v>0.73959891354962959</v>
      </c>
      <c r="R495" s="1">
        <v>0.1920985119604206</v>
      </c>
      <c r="S495" s="2">
        <f t="shared" si="96"/>
        <v>0.91594120148635261</v>
      </c>
      <c r="T495" s="4">
        <f t="shared" si="97"/>
        <v>0.83894828458026316</v>
      </c>
      <c r="U495" s="1">
        <f t="shared" si="88"/>
        <v>0.76864594896031857</v>
      </c>
      <c r="V495" s="6">
        <f>2*sigma/alpha*corel*(B495/12-1/alpha*(1-EXP(-alpha*Output!B495/12)))</f>
        <v>2.5392367644233094</v>
      </c>
      <c r="W495" s="5">
        <f t="shared" si="98"/>
        <v>-7.0302335619944589E-2</v>
      </c>
      <c r="X495" s="1">
        <f t="shared" si="99"/>
        <v>17.78983349248335</v>
      </c>
      <c r="Y495" s="3">
        <f t="shared" si="89"/>
        <v>2.0808630232371034E-2</v>
      </c>
      <c r="Z495" s="1">
        <f t="shared" si="90"/>
        <v>0.1442233361563677</v>
      </c>
      <c r="AA495" s="8">
        <f t="shared" si="95"/>
        <v>40.25000000000005</v>
      </c>
      <c r="AB495" s="1">
        <v>40.33</v>
      </c>
      <c r="AC495" s="1">
        <v>7.5773109859999998E-3</v>
      </c>
      <c r="AD495" s="8">
        <f t="shared" si="91"/>
        <v>0.98453586649742753</v>
      </c>
      <c r="AE495" s="3">
        <f t="shared" si="92"/>
        <v>1.2993209178249077E-2</v>
      </c>
      <c r="AF495" s="11">
        <f t="shared" si="93"/>
        <v>40.25000000000005</v>
      </c>
      <c r="AG495" s="1">
        <f t="shared" si="94"/>
        <v>0.1442233361563677</v>
      </c>
    </row>
    <row r="496" spans="2:33" ht="15" x14ac:dyDescent="0.25">
      <c r="B496" s="1">
        <v>485</v>
      </c>
      <c r="C496" s="1">
        <v>1.000853841582471</v>
      </c>
      <c r="D496" s="1">
        <v>1.2032640210929682</v>
      </c>
      <c r="E496" s="1">
        <v>0.8300004508312272</v>
      </c>
      <c r="G496" s="1">
        <v>1.0002137696634019</v>
      </c>
      <c r="H496" s="1">
        <v>4.6697578830844462</v>
      </c>
      <c r="I496" s="1">
        <v>0.16922297072252687</v>
      </c>
      <c r="K496" s="1">
        <v>0.99998506015973609</v>
      </c>
      <c r="L496" s="1">
        <v>1.5425324505728435</v>
      </c>
      <c r="M496" s="1">
        <v>0.63789109178146763</v>
      </c>
      <c r="O496" s="1">
        <v>7.4777560157314286E-3</v>
      </c>
      <c r="P496" s="1">
        <v>0.73917101383986472</v>
      </c>
      <c r="R496" s="1">
        <v>0.19240992337606369</v>
      </c>
      <c r="S496" s="2">
        <f t="shared" si="96"/>
        <v>0.91781231674852704</v>
      </c>
      <c r="T496" s="4">
        <f t="shared" si="97"/>
        <v>0.84237944877529847</v>
      </c>
      <c r="U496" s="1">
        <f t="shared" si="88"/>
        <v>0.77198853253846123</v>
      </c>
      <c r="V496" s="6">
        <f>2*sigma/alpha*corel*(B496/12-1/alpha*(1-EXP(-alpha*Output!B496/12)))</f>
        <v>2.5475816523137271</v>
      </c>
      <c r="W496" s="5">
        <f t="shared" si="98"/>
        <v>-7.0390916236837242E-2</v>
      </c>
      <c r="X496" s="1">
        <f t="shared" si="99"/>
        <v>17.87003706682756</v>
      </c>
      <c r="Y496" s="3">
        <f t="shared" si="89"/>
        <v>2.0779979498743849E-2</v>
      </c>
      <c r="Z496" s="1">
        <f t="shared" si="90"/>
        <v>0.14436889593686034</v>
      </c>
      <c r="AA496" s="8">
        <f t="shared" si="95"/>
        <v>40.333333333333385</v>
      </c>
      <c r="AB496" s="1">
        <v>40.42</v>
      </c>
      <c r="AC496" s="1">
        <v>7.5770351210000001E-3</v>
      </c>
      <c r="AD496" s="8">
        <f t="shared" si="91"/>
        <v>0.99279105268571499</v>
      </c>
      <c r="AE496" s="3">
        <f t="shared" si="92"/>
        <v>1.3102632320314342E-2</v>
      </c>
      <c r="AF496" s="11">
        <f t="shared" si="93"/>
        <v>40.333333333333385</v>
      </c>
      <c r="AG496" s="1">
        <f t="shared" si="94"/>
        <v>0.14436889593686034</v>
      </c>
    </row>
    <row r="497" spans="2:33" ht="15" x14ac:dyDescent="0.25">
      <c r="B497" s="1">
        <v>486</v>
      </c>
      <c r="C497" s="1">
        <v>1.0008568851478672</v>
      </c>
      <c r="D497" s="1">
        <v>1.2031320690905156</v>
      </c>
      <c r="E497" s="1">
        <v>0.83008930030739358</v>
      </c>
      <c r="G497" s="1">
        <v>1.0003321681031183</v>
      </c>
      <c r="H497" s="1">
        <v>4.6582450781144518</v>
      </c>
      <c r="I497" s="1">
        <v>0.16955908374731671</v>
      </c>
      <c r="K497" s="1">
        <v>1.0000008678867744</v>
      </c>
      <c r="L497" s="1">
        <v>1.5638798494356165</v>
      </c>
      <c r="M497" s="1">
        <v>0.62916186116009365</v>
      </c>
      <c r="O497" s="1">
        <v>7.4766576675514927E-3</v>
      </c>
      <c r="P497" s="1">
        <v>0.73874340648325232</v>
      </c>
      <c r="R497" s="1">
        <v>0.1927341681064533</v>
      </c>
      <c r="S497" s="2">
        <f t="shared" si="96"/>
        <v>0.91972868392364693</v>
      </c>
      <c r="T497" s="4">
        <f t="shared" si="97"/>
        <v>0.84590085203192367</v>
      </c>
      <c r="U497" s="1">
        <f t="shared" si="88"/>
        <v>0.77533664159021232</v>
      </c>
      <c r="V497" s="6">
        <f>2*sigma/alpha*corel*(B497/12-1/alpha*(1-EXP(-alpha*Output!B497/12)))</f>
        <v>2.5559334346362959</v>
      </c>
      <c r="W497" s="5">
        <f t="shared" si="98"/>
        <v>-7.056421044171135E-2</v>
      </c>
      <c r="X497" s="1">
        <f t="shared" si="99"/>
        <v>17.96419781384893</v>
      </c>
      <c r="Y497" s="3">
        <f t="shared" si="89"/>
        <v>2.0771429928649221E-2</v>
      </c>
      <c r="Z497" s="1">
        <f t="shared" si="90"/>
        <v>0.14452141983426434</v>
      </c>
      <c r="AA497" s="8">
        <f t="shared" si="95"/>
        <v>40.416666666666721</v>
      </c>
      <c r="AB497" s="1">
        <v>40.5</v>
      </c>
      <c r="AC497" s="1">
        <v>7.5767603940000003E-3</v>
      </c>
      <c r="AD497" s="8">
        <f t="shared" si="91"/>
        <v>1.001027264485076</v>
      </c>
      <c r="AE497" s="3">
        <f t="shared" si="92"/>
        <v>1.3211811017249333E-2</v>
      </c>
      <c r="AF497" s="11">
        <f t="shared" si="93"/>
        <v>40.416666666666721</v>
      </c>
      <c r="AG497" s="1">
        <f t="shared" si="94"/>
        <v>0.14452141983426434</v>
      </c>
    </row>
    <row r="498" spans="2:33" ht="15" x14ac:dyDescent="0.25">
      <c r="B498" s="1">
        <v>487</v>
      </c>
      <c r="C498" s="1">
        <v>1.0008589325186572</v>
      </c>
      <c r="D498" s="1">
        <v>1.1985866882247489</v>
      </c>
      <c r="E498" s="1">
        <v>0.83323504171282925</v>
      </c>
      <c r="G498" s="1">
        <v>1.0003447036495399</v>
      </c>
      <c r="H498" s="1">
        <v>4.4377526290442901</v>
      </c>
      <c r="I498" s="1">
        <v>0.17789757140326889</v>
      </c>
      <c r="K498" s="1">
        <v>0.99998507696130956</v>
      </c>
      <c r="L498" s="1">
        <v>1.5696180105480451</v>
      </c>
      <c r="M498" s="1">
        <v>0.62684146769362314</v>
      </c>
      <c r="O498" s="1">
        <v>7.4754703522690591E-3</v>
      </c>
      <c r="P498" s="1">
        <v>0.73831884740602571</v>
      </c>
      <c r="R498" s="1">
        <v>0.19305037420081875</v>
      </c>
      <c r="S498" s="2">
        <f t="shared" si="96"/>
        <v>0.92161370786938757</v>
      </c>
      <c r="T498" s="4">
        <f t="shared" si="97"/>
        <v>0.84937182653276089</v>
      </c>
      <c r="U498" s="1">
        <f t="shared" si="88"/>
        <v>0.77869026226842797</v>
      </c>
      <c r="V498" s="6">
        <f>2*sigma/alpha*corel*(B498/12-1/alpha*(1-EXP(-alpha*Output!B498/12)))</f>
        <v>2.564292088447834</v>
      </c>
      <c r="W498" s="5">
        <f t="shared" si="98"/>
        <v>-7.0681564264332919E-2</v>
      </c>
      <c r="X498" s="1">
        <f t="shared" si="99"/>
        <v>18.04956784711953</v>
      </c>
      <c r="Y498" s="3">
        <f t="shared" si="89"/>
        <v>2.0749727425634173E-2</v>
      </c>
      <c r="Z498" s="1">
        <f t="shared" si="90"/>
        <v>0.14466886297529594</v>
      </c>
      <c r="AA498" s="8">
        <f t="shared" si="95"/>
        <v>40.500000000000057</v>
      </c>
      <c r="AB498" s="1">
        <v>40.58</v>
      </c>
      <c r="AC498" s="1">
        <v>7.5764867979999997E-3</v>
      </c>
      <c r="AD498" s="8">
        <f t="shared" si="91"/>
        <v>1.0101644573094064</v>
      </c>
      <c r="AE498" s="3">
        <f t="shared" si="92"/>
        <v>1.3332887448257207E-2</v>
      </c>
      <c r="AF498" s="11">
        <f t="shared" si="93"/>
        <v>40.500000000000057</v>
      </c>
      <c r="AG498" s="1">
        <f t="shared" si="94"/>
        <v>0.14466886297529594</v>
      </c>
    </row>
    <row r="499" spans="2:33" ht="15" x14ac:dyDescent="0.25">
      <c r="B499" s="1">
        <v>488</v>
      </c>
      <c r="C499" s="1">
        <v>1.0008629367102126</v>
      </c>
      <c r="D499" s="1">
        <v>1.201827163866702</v>
      </c>
      <c r="E499" s="1">
        <v>0.8309862061768547</v>
      </c>
      <c r="G499" s="1">
        <v>1.0005059931315181</v>
      </c>
      <c r="H499" s="1">
        <v>4.5065989511236637</v>
      </c>
      <c r="I499" s="1">
        <v>0.17509506697520758</v>
      </c>
      <c r="K499" s="1">
        <v>1.000000133973485</v>
      </c>
      <c r="L499" s="1">
        <v>1.5510270752934876</v>
      </c>
      <c r="M499" s="1">
        <v>0.63432964445257667</v>
      </c>
      <c r="O499" s="1">
        <v>7.4742539415961085E-3</v>
      </c>
      <c r="P499" s="1">
        <v>0.73789555143044616</v>
      </c>
      <c r="R499" s="1">
        <v>0.1933643626705599</v>
      </c>
      <c r="S499" s="2">
        <f t="shared" si="96"/>
        <v>0.92349064109636991</v>
      </c>
      <c r="T499" s="4">
        <f t="shared" si="97"/>
        <v>0.85283496419258431</v>
      </c>
      <c r="U499" s="1">
        <f t="shared" si="88"/>
        <v>0.78204938074187424</v>
      </c>
      <c r="V499" s="6">
        <f>2*sigma/alpha*corel*(B499/12-1/alpha*(1-EXP(-alpha*Output!B499/12)))</f>
        <v>2.5726575908815104</v>
      </c>
      <c r="W499" s="5">
        <f t="shared" si="98"/>
        <v>-7.0785583450710066E-2</v>
      </c>
      <c r="X499" s="1">
        <f t="shared" si="99"/>
        <v>18.133021987902428</v>
      </c>
      <c r="Y499" s="3">
        <f t="shared" si="89"/>
        <v>2.0724971693571282E-2</v>
      </c>
      <c r="Z499" s="1">
        <f t="shared" si="90"/>
        <v>0.14481488728202696</v>
      </c>
      <c r="AA499" s="8">
        <f t="shared" si="95"/>
        <v>40.583333333333393</v>
      </c>
      <c r="AB499" s="1">
        <v>40.67</v>
      </c>
      <c r="AC499" s="1">
        <v>7.5762143250000004E-3</v>
      </c>
      <c r="AD499" s="8">
        <f t="shared" si="91"/>
        <v>1.0196038340389186</v>
      </c>
      <c r="AE499" s="3">
        <f t="shared" si="92"/>
        <v>1.3457959216840379E-2</v>
      </c>
      <c r="AF499" s="11">
        <f t="shared" si="93"/>
        <v>40.583333333333393</v>
      </c>
      <c r="AG499" s="1">
        <f t="shared" si="94"/>
        <v>0.14481488728202696</v>
      </c>
    </row>
    <row r="500" spans="2:33" ht="15" x14ac:dyDescent="0.25">
      <c r="B500" s="1">
        <v>489</v>
      </c>
      <c r="C500" s="1">
        <v>1.0008635638905645</v>
      </c>
      <c r="D500" s="1">
        <v>1.2040977326747371</v>
      </c>
      <c r="E500" s="1">
        <v>0.82941702254304295</v>
      </c>
      <c r="G500" s="1">
        <v>1.0004015887577171</v>
      </c>
      <c r="H500" s="1">
        <v>4.5251729587197262</v>
      </c>
      <c r="I500" s="1">
        <v>0.17429195835289599</v>
      </c>
      <c r="K500" s="1">
        <v>1.000005383746785</v>
      </c>
      <c r="L500" s="1">
        <v>1.5666757067924049</v>
      </c>
      <c r="M500" s="1">
        <v>0.62798162026758286</v>
      </c>
      <c r="O500" s="1">
        <v>7.4729956264041894E-3</v>
      </c>
      <c r="P500" s="1">
        <v>0.73747390696834281</v>
      </c>
      <c r="R500" s="1">
        <v>0.19372124667658838</v>
      </c>
      <c r="S500" s="2">
        <f t="shared" si="96"/>
        <v>0.92551343853886059</v>
      </c>
      <c r="T500" s="4">
        <f t="shared" si="97"/>
        <v>0.85657512491602528</v>
      </c>
      <c r="U500" s="1">
        <f t="shared" si="88"/>
        <v>0.78541398319537903</v>
      </c>
      <c r="V500" s="6">
        <f>2*sigma/alpha*corel*(B500/12-1/alpha*(1-EXP(-alpha*Output!B500/12)))</f>
        <v>2.5810299191465917</v>
      </c>
      <c r="W500" s="5">
        <f t="shared" si="98"/>
        <v>-7.1161141720646248E-2</v>
      </c>
      <c r="X500" s="1">
        <f t="shared" si="99"/>
        <v>18.2609815439952</v>
      </c>
      <c r="Y500" s="3">
        <f t="shared" si="89"/>
        <v>2.0763890217524464E-2</v>
      </c>
      <c r="Z500" s="1">
        <f t="shared" si="90"/>
        <v>0.14498361446796992</v>
      </c>
      <c r="AA500" s="8">
        <f t="shared" si="95"/>
        <v>40.666666666666728</v>
      </c>
      <c r="AB500" s="1">
        <v>40.75</v>
      </c>
      <c r="AC500" s="1">
        <v>7.5759429689999996E-3</v>
      </c>
      <c r="AD500" s="8">
        <f t="shared" si="91"/>
        <v>1.0294734259581015</v>
      </c>
      <c r="AE500" s="3">
        <f t="shared" si="92"/>
        <v>1.3588716680822489E-2</v>
      </c>
      <c r="AF500" s="11">
        <f t="shared" si="93"/>
        <v>40.666666666666728</v>
      </c>
      <c r="AG500" s="1">
        <f t="shared" si="94"/>
        <v>0.14498361446796992</v>
      </c>
    </row>
    <row r="501" spans="2:33" ht="15" x14ac:dyDescent="0.25">
      <c r="B501" s="1">
        <v>490</v>
      </c>
      <c r="C501" s="1">
        <v>1.0008583592237517</v>
      </c>
      <c r="D501" s="1">
        <v>1.2026635084680579</v>
      </c>
      <c r="E501" s="1">
        <v>0.83040393614261709</v>
      </c>
      <c r="G501" s="1">
        <v>0.9998556085908058</v>
      </c>
      <c r="H501" s="1">
        <v>4.6164570254482475</v>
      </c>
      <c r="I501" s="1">
        <v>0.17076286989830888</v>
      </c>
      <c r="K501" s="1">
        <v>0.99999721418305509</v>
      </c>
      <c r="L501" s="1">
        <v>1.5675489001269904</v>
      </c>
      <c r="M501" s="1">
        <v>0.62761887829101637</v>
      </c>
      <c r="O501" s="1">
        <v>7.4718599079102391E-3</v>
      </c>
      <c r="P501" s="1">
        <v>0.73704896831438149</v>
      </c>
      <c r="R501" s="1">
        <v>0.19406807741362922</v>
      </c>
      <c r="S501" s="2">
        <f t="shared" si="96"/>
        <v>0.92751008794582757</v>
      </c>
      <c r="T501" s="4">
        <f t="shared" si="97"/>
        <v>0.86027496324127684</v>
      </c>
      <c r="U501" s="1">
        <f t="shared" si="88"/>
        <v>0.78878405582997191</v>
      </c>
      <c r="V501" s="6">
        <f>2*sigma/alpha*corel*(B501/12-1/alpha*(1-EXP(-alpha*Output!B501/12)))</f>
        <v>2.589409050528185</v>
      </c>
      <c r="W501" s="5">
        <f t="shared" si="98"/>
        <v>-7.1490907411304927E-2</v>
      </c>
      <c r="X501" s="1">
        <f t="shared" si="99"/>
        <v>18.381887441470415</v>
      </c>
      <c r="Y501" s="3">
        <f t="shared" si="89"/>
        <v>2.0791852549750967E-2</v>
      </c>
      <c r="Z501" s="1">
        <f t="shared" si="90"/>
        <v>0.14514805642329434</v>
      </c>
      <c r="AA501" s="8">
        <f t="shared" si="95"/>
        <v>40.750000000000064</v>
      </c>
      <c r="AB501" s="1">
        <v>40.83</v>
      </c>
      <c r="AC501" s="1">
        <v>7.575672722E-3</v>
      </c>
      <c r="AD501" s="8">
        <f t="shared" si="91"/>
        <v>1.0381281408976089</v>
      </c>
      <c r="AE501" s="3">
        <f t="shared" si="92"/>
        <v>1.3703444947969453E-2</v>
      </c>
      <c r="AF501" s="11">
        <f t="shared" si="93"/>
        <v>40.750000000000064</v>
      </c>
      <c r="AG501" s="1">
        <f t="shared" si="94"/>
        <v>0.14514805642329434</v>
      </c>
    </row>
    <row r="502" spans="2:33" ht="15" x14ac:dyDescent="0.25">
      <c r="B502" s="1">
        <v>491</v>
      </c>
      <c r="C502" s="1">
        <v>1.0008584714408129</v>
      </c>
      <c r="D502" s="1">
        <v>1.206152223002934</v>
      </c>
      <c r="E502" s="1">
        <v>0.82799985090707506</v>
      </c>
      <c r="G502" s="1">
        <v>0.99968671812336818</v>
      </c>
      <c r="H502" s="1">
        <v>4.5947768039874006</v>
      </c>
      <c r="I502" s="1">
        <v>0.17148554959942139</v>
      </c>
      <c r="K502" s="1">
        <v>0.99999842453540366</v>
      </c>
      <c r="L502" s="1">
        <v>1.5573854990106899</v>
      </c>
      <c r="M502" s="1">
        <v>0.63168119969796788</v>
      </c>
      <c r="O502" s="1">
        <v>7.4708088279413255E-3</v>
      </c>
      <c r="P502" s="1">
        <v>0.73662186292764464</v>
      </c>
      <c r="R502" s="1">
        <v>0.19441964791178876</v>
      </c>
      <c r="S502" s="2">
        <f t="shared" si="96"/>
        <v>0.92952920888208102</v>
      </c>
      <c r="T502" s="4">
        <f t="shared" si="97"/>
        <v>0.86402455016494739</v>
      </c>
      <c r="U502" s="1">
        <f t="shared" si="88"/>
        <v>0.79215958486303251</v>
      </c>
      <c r="V502" s="6">
        <f>2*sigma/alpha*corel*(B502/12-1/alpha*(1-EXP(-alpha*Output!B502/12)))</f>
        <v>2.5977949623869874</v>
      </c>
      <c r="W502" s="5">
        <f t="shared" si="98"/>
        <v>-7.1864965301914885E-2</v>
      </c>
      <c r="X502" s="1">
        <f t="shared" si="99"/>
        <v>18.510437987683279</v>
      </c>
      <c r="Y502" s="3">
        <f t="shared" si="89"/>
        <v>2.0829909060494096E-2</v>
      </c>
      <c r="Z502" s="1">
        <f t="shared" si="90"/>
        <v>0.14531582713891122</v>
      </c>
      <c r="AA502" s="8">
        <f t="shared" si="95"/>
        <v>40.8333333333334</v>
      </c>
      <c r="AB502" s="1">
        <v>40.92</v>
      </c>
      <c r="AC502" s="1">
        <v>7.5754035790000004E-3</v>
      </c>
      <c r="AD502" s="8">
        <f t="shared" si="91"/>
        <v>1.0459475105867484</v>
      </c>
      <c r="AE502" s="3">
        <f t="shared" si="92"/>
        <v>1.3807152314448968E-2</v>
      </c>
      <c r="AF502" s="11">
        <f t="shared" si="93"/>
        <v>40.8333333333334</v>
      </c>
      <c r="AG502" s="1">
        <f t="shared" si="94"/>
        <v>0.14531582713891122</v>
      </c>
    </row>
    <row r="503" spans="2:33" ht="15" x14ac:dyDescent="0.25">
      <c r="B503" s="1">
        <v>492</v>
      </c>
      <c r="C503" s="1">
        <v>1.0008576125249931</v>
      </c>
      <c r="D503" s="1">
        <v>1.2052276033933949</v>
      </c>
      <c r="E503" s="1">
        <v>0.82863286736672459</v>
      </c>
      <c r="G503" s="1">
        <v>0.99948197554035745</v>
      </c>
      <c r="H503" s="1">
        <v>4.5616436418855999</v>
      </c>
      <c r="I503" s="1">
        <v>0.1726475025755414</v>
      </c>
      <c r="K503" s="1">
        <v>0.99999310304715239</v>
      </c>
      <c r="L503" s="1">
        <v>1.5610170929604603</v>
      </c>
      <c r="M503" s="1">
        <v>0.63017511275579685</v>
      </c>
      <c r="O503" s="1">
        <v>7.4697675414996442E-3</v>
      </c>
      <c r="P503" s="1">
        <v>0.73619483839895949</v>
      </c>
      <c r="R503" s="1">
        <v>0.19476209422561988</v>
      </c>
      <c r="S503" s="2">
        <f t="shared" si="96"/>
        <v>0.93151892837698891</v>
      </c>
      <c r="T503" s="4">
        <f t="shared" si="97"/>
        <v>0.86772751392461378</v>
      </c>
      <c r="U503" s="1">
        <f t="shared" si="88"/>
        <v>0.79554055652843081</v>
      </c>
      <c r="V503" s="6">
        <f>2*sigma/alpha*corel*(B503/12-1/alpha*(1-EXP(-alpha*Output!B503/12)))</f>
        <v>2.6061876321590374</v>
      </c>
      <c r="W503" s="5">
        <f t="shared" si="98"/>
        <v>-7.2186957396182971E-2</v>
      </c>
      <c r="X503" s="1">
        <f t="shared" si="99"/>
        <v>18.630874986992737</v>
      </c>
      <c r="Y503" s="3">
        <f t="shared" si="89"/>
        <v>2.0855635332915005E-2</v>
      </c>
      <c r="Z503" s="1">
        <f t="shared" si="90"/>
        <v>0.14547881531507736</v>
      </c>
      <c r="AA503" s="8">
        <f t="shared" si="95"/>
        <v>40.916666666666735</v>
      </c>
      <c r="AB503" s="1">
        <v>41</v>
      </c>
      <c r="AC503" s="1">
        <v>7.5751355330000002E-3</v>
      </c>
      <c r="AD503" s="8">
        <f t="shared" si="91"/>
        <v>1.0536799150035607</v>
      </c>
      <c r="AE503" s="3">
        <f t="shared" si="92"/>
        <v>1.3909716999958008E-2</v>
      </c>
      <c r="AF503" s="11">
        <f t="shared" si="93"/>
        <v>40.916666666666735</v>
      </c>
      <c r="AG503" s="1">
        <f t="shared" si="94"/>
        <v>0.14547881531507736</v>
      </c>
    </row>
    <row r="504" spans="2:33" ht="15" x14ac:dyDescent="0.25">
      <c r="B504" s="1">
        <v>493</v>
      </c>
      <c r="C504" s="1">
        <v>1.0008628389724472</v>
      </c>
      <c r="D504" s="1">
        <v>1.2030482266998972</v>
      </c>
      <c r="E504" s="1">
        <v>0.83013176109957432</v>
      </c>
      <c r="G504" s="1">
        <v>0.99970859596406625</v>
      </c>
      <c r="H504" s="1">
        <v>4.5025615014676248</v>
      </c>
      <c r="I504" s="1">
        <v>0.17482828843722764</v>
      </c>
      <c r="K504" s="1">
        <v>0.99999582190270897</v>
      </c>
      <c r="L504" s="1">
        <v>1.5680369124826925</v>
      </c>
      <c r="M504" s="1">
        <v>0.62734247607039451</v>
      </c>
      <c r="O504" s="1">
        <v>7.4686859152086251E-3</v>
      </c>
      <c r="P504" s="1">
        <v>0.73576940849639427</v>
      </c>
      <c r="R504" s="1">
        <v>0.19509999182590684</v>
      </c>
      <c r="S504" s="2">
        <f t="shared" si="96"/>
        <v>0.93349203112597268</v>
      </c>
      <c r="T504" s="4">
        <f t="shared" si="97"/>
        <v>0.87140737217569397</v>
      </c>
      <c r="U504" s="1">
        <f t="shared" si="88"/>
        <v>0.79892695707666705</v>
      </c>
      <c r="V504" s="6">
        <f>2*sigma/alpha*corel*(B504/12-1/alpha*(1-EXP(-alpha*Output!B504/12)))</f>
        <v>2.6145870373554589</v>
      </c>
      <c r="W504" s="5">
        <f t="shared" si="98"/>
        <v>-7.2480415099026918E-2</v>
      </c>
      <c r="X504" s="1">
        <f t="shared" si="99"/>
        <v>18.747013590513951</v>
      </c>
      <c r="Y504" s="3">
        <f t="shared" si="89"/>
        <v>2.0874585723777175E-2</v>
      </c>
      <c r="Z504" s="1">
        <f t="shared" si="90"/>
        <v>0.14563903018003654</v>
      </c>
      <c r="AA504" s="8">
        <f t="shared" si="95"/>
        <v>41.000000000000071</v>
      </c>
      <c r="AB504" s="1">
        <v>41.08</v>
      </c>
      <c r="AC504" s="1">
        <v>7.5748685759999997E-3</v>
      </c>
      <c r="AD504" s="8">
        <f t="shared" si="91"/>
        <v>1.0618266079137455</v>
      </c>
      <c r="AE504" s="3">
        <f t="shared" si="92"/>
        <v>1.4017756179665044E-2</v>
      </c>
      <c r="AF504" s="11">
        <f t="shared" si="93"/>
        <v>41.000000000000071</v>
      </c>
      <c r="AG504" s="1">
        <f t="shared" si="94"/>
        <v>0.14563903018003654</v>
      </c>
    </row>
    <row r="505" spans="2:33" ht="15" x14ac:dyDescent="0.25">
      <c r="B505" s="1">
        <v>494</v>
      </c>
      <c r="C505" s="1">
        <v>1.0008616908419949</v>
      </c>
      <c r="D505" s="1">
        <v>1.203386908218939</v>
      </c>
      <c r="E505" s="1">
        <v>0.82989591203387447</v>
      </c>
      <c r="G505" s="1">
        <v>0.99948961195897734</v>
      </c>
      <c r="H505" s="1">
        <v>4.6366320352116208</v>
      </c>
      <c r="I505" s="1">
        <v>0.16969085200450096</v>
      </c>
      <c r="K505" s="1">
        <v>1.0000069743289923</v>
      </c>
      <c r="L505" s="1">
        <v>1.5606942086105997</v>
      </c>
      <c r="M505" s="1">
        <v>0.63027611507154724</v>
      </c>
      <c r="O505" s="1">
        <v>7.4675831536295655E-3</v>
      </c>
      <c r="P505" s="1">
        <v>0.73534499680204812</v>
      </c>
      <c r="R505" s="1">
        <v>0.19544117055096516</v>
      </c>
      <c r="S505" s="2">
        <f t="shared" si="96"/>
        <v>0.93547652672798942</v>
      </c>
      <c r="T505" s="4">
        <f t="shared" si="97"/>
        <v>0.8751163320590627</v>
      </c>
      <c r="U505" s="1">
        <f t="shared" ref="U505:U568" si="100">sigma*sigma/alpha/alpha*(B505/12+2/alpha*EXP(-alpha*B505/12)-1/2/alpha*EXP(-2*alpha*B505/12)-3/2/alpha)</f>
        <v>0.80231877277500985</v>
      </c>
      <c r="V505" s="6">
        <f>2*sigma/alpha*corel*(B505/12-1/alpha*(1-EXP(-alpha*Output!B505/12)))</f>
        <v>2.6229931555622139</v>
      </c>
      <c r="W505" s="5">
        <f t="shared" si="98"/>
        <v>-7.2797559284052848E-2</v>
      </c>
      <c r="X505" s="1">
        <f t="shared" si="99"/>
        <v>18.867424522900258</v>
      </c>
      <c r="Y505" s="3">
        <f t="shared" si="89"/>
        <v>2.0898846762063505E-2</v>
      </c>
      <c r="Z505" s="1">
        <f t="shared" si="90"/>
        <v>0.14580084570647103</v>
      </c>
      <c r="AA505" s="8">
        <f t="shared" si="95"/>
        <v>41.083333333333407</v>
      </c>
      <c r="AB505" s="1">
        <v>41.17</v>
      </c>
      <c r="AC505" s="1">
        <v>7.5746027020000004E-3</v>
      </c>
      <c r="AD505" s="8">
        <f t="shared" si="91"/>
        <v>1.0701954837043486</v>
      </c>
      <c r="AE505" s="3">
        <f t="shared" si="92"/>
        <v>1.4128734216274788E-2</v>
      </c>
      <c r="AF505" s="11">
        <f t="shared" si="93"/>
        <v>41.083333333333407</v>
      </c>
      <c r="AG505" s="1">
        <f t="shared" si="94"/>
        <v>0.14580084570647103</v>
      </c>
    </row>
    <row r="506" spans="2:33" ht="15" x14ac:dyDescent="0.25">
      <c r="B506" s="1">
        <v>495</v>
      </c>
      <c r="C506" s="1">
        <v>1.0008679894819799</v>
      </c>
      <c r="D506" s="1">
        <v>1.2050740712483421</v>
      </c>
      <c r="E506" s="1">
        <v>0.82873179888234838</v>
      </c>
      <c r="G506" s="1">
        <v>0.9998699608460101</v>
      </c>
      <c r="H506" s="1">
        <v>4.6721262404652117</v>
      </c>
      <c r="I506" s="1">
        <v>0.16832018253830452</v>
      </c>
      <c r="K506" s="1">
        <v>1.0000152881878892</v>
      </c>
      <c r="L506" s="1">
        <v>1.5580399834817831</v>
      </c>
      <c r="M506" s="1">
        <v>0.6313250498239944</v>
      </c>
      <c r="O506" s="1">
        <v>7.4664649959779493E-3</v>
      </c>
      <c r="P506" s="1">
        <v>0.73492143173322966</v>
      </c>
      <c r="R506" s="1">
        <v>0.19577405572093146</v>
      </c>
      <c r="S506" s="2">
        <f t="shared" si="96"/>
        <v>0.93743289705358013</v>
      </c>
      <c r="T506" s="4">
        <f t="shared" si="97"/>
        <v>0.8787804364782682</v>
      </c>
      <c r="U506" s="1">
        <f t="shared" si="100"/>
        <v>0.80571598990763782</v>
      </c>
      <c r="V506" s="6">
        <f>2*sigma/alpha*corel*(B506/12-1/alpha*(1-EXP(-alpha*Output!B506/12)))</f>
        <v>2.6314059644398564</v>
      </c>
      <c r="W506" s="5">
        <f t="shared" si="98"/>
        <v>-7.3064446570630381E-2</v>
      </c>
      <c r="X506" s="1">
        <f t="shared" si="99"/>
        <v>18.979931033843663</v>
      </c>
      <c r="Y506" s="3">
        <f t="shared" si="89"/>
        <v>2.0911397607075253E-2</v>
      </c>
      <c r="Z506" s="1">
        <f t="shared" si="90"/>
        <v>0.14595810411569796</v>
      </c>
      <c r="AA506" s="8">
        <f t="shared" si="95"/>
        <v>41.166666666666742</v>
      </c>
      <c r="AB506" s="1">
        <v>41.25</v>
      </c>
      <c r="AC506" s="1">
        <v>7.5743379040000003E-3</v>
      </c>
      <c r="AD506" s="8">
        <f t="shared" si="91"/>
        <v>1.0787290802205096</v>
      </c>
      <c r="AE506" s="3">
        <f t="shared" si="92"/>
        <v>1.4241892742213599E-2</v>
      </c>
      <c r="AF506" s="11">
        <f t="shared" si="93"/>
        <v>41.166666666666742</v>
      </c>
      <c r="AG506" s="1">
        <f t="shared" si="94"/>
        <v>0.14595810411569796</v>
      </c>
    </row>
    <row r="507" spans="2:33" ht="15" x14ac:dyDescent="0.25">
      <c r="B507" s="1">
        <v>496</v>
      </c>
      <c r="C507" s="1">
        <v>1.0008714653396995</v>
      </c>
      <c r="D507" s="1">
        <v>1.2056967409704105</v>
      </c>
      <c r="E507" s="1">
        <v>0.82830158743304194</v>
      </c>
      <c r="G507" s="1">
        <v>1.0000071954919034</v>
      </c>
      <c r="H507" s="1">
        <v>4.6626779909305549</v>
      </c>
      <c r="I507" s="1">
        <v>0.16857960716509887</v>
      </c>
      <c r="K507" s="1">
        <v>1.0000327325934102</v>
      </c>
      <c r="L507" s="1">
        <v>1.5537421201759334</v>
      </c>
      <c r="M507" s="1">
        <v>0.63304395978330064</v>
      </c>
      <c r="O507" s="1">
        <v>7.4653525303183827E-3</v>
      </c>
      <c r="P507" s="1">
        <v>0.73449807471769069</v>
      </c>
      <c r="R507" s="1">
        <v>0.19605864684782925</v>
      </c>
      <c r="S507" s="2">
        <f t="shared" si="96"/>
        <v>0.93922442599794298</v>
      </c>
      <c r="T507" s="4">
        <f t="shared" si="97"/>
        <v>0.88214252239116542</v>
      </c>
      <c r="U507" s="1">
        <f t="shared" si="100"/>
        <v>0.80911859477576709</v>
      </c>
      <c r="V507" s="6">
        <f>2*sigma/alpha*corel*(B507/12-1/alpha*(1-EXP(-alpha*Output!B507/12)))</f>
        <v>2.6398254417232785</v>
      </c>
      <c r="W507" s="5">
        <f t="shared" si="98"/>
        <v>-7.3023927615398332E-2</v>
      </c>
      <c r="X507" s="1">
        <f t="shared" si="99"/>
        <v>19.04196772851536</v>
      </c>
      <c r="Y507" s="3">
        <f t="shared" si="89"/>
        <v>2.0853446068878526E-2</v>
      </c>
      <c r="Z507" s="1">
        <f t="shared" si="90"/>
        <v>0.14608955404061669</v>
      </c>
      <c r="AA507" s="8">
        <f t="shared" si="95"/>
        <v>41.250000000000078</v>
      </c>
      <c r="AB507" s="1">
        <v>41.33</v>
      </c>
      <c r="AC507" s="1">
        <v>7.5740741769999998E-3</v>
      </c>
      <c r="AD507" s="8">
        <f t="shared" si="91"/>
        <v>1.087216466816171</v>
      </c>
      <c r="AE507" s="3">
        <f t="shared" si="92"/>
        <v>1.4354447044071654E-2</v>
      </c>
      <c r="AF507" s="11">
        <f t="shared" si="93"/>
        <v>41.250000000000078</v>
      </c>
      <c r="AG507" s="1">
        <f t="shared" si="94"/>
        <v>0.14608955404061669</v>
      </c>
    </row>
    <row r="508" spans="2:33" ht="15" x14ac:dyDescent="0.25">
      <c r="B508" s="1">
        <v>497</v>
      </c>
      <c r="C508" s="1">
        <v>1.0008738849510492</v>
      </c>
      <c r="D508" s="1">
        <v>1.2055676276327458</v>
      </c>
      <c r="E508" s="1">
        <v>0.82838807008945814</v>
      </c>
      <c r="G508" s="1">
        <v>1.0000490298270448</v>
      </c>
      <c r="H508" s="1">
        <v>4.5603560258904228</v>
      </c>
      <c r="I508" s="1">
        <v>0.17227862973318678</v>
      </c>
      <c r="K508" s="1">
        <v>1.0000182349481905</v>
      </c>
      <c r="L508" s="1">
        <v>1.5396329056977549</v>
      </c>
      <c r="M508" s="1">
        <v>0.63883301565667194</v>
      </c>
      <c r="O508" s="1">
        <v>7.4642645341429599E-3</v>
      </c>
      <c r="P508" s="1">
        <v>0.7340743537417167</v>
      </c>
      <c r="R508" s="1">
        <v>0.19639587430807864</v>
      </c>
      <c r="S508" s="2">
        <f t="shared" si="96"/>
        <v>0.9412000003467127</v>
      </c>
      <c r="T508" s="4">
        <f t="shared" si="97"/>
        <v>0.88585744065265193</v>
      </c>
      <c r="U508" s="1">
        <f t="shared" si="100"/>
        <v>0.81252657369778891</v>
      </c>
      <c r="V508" s="6">
        <f>2*sigma/alpha*corel*(B508/12-1/alpha*(1-EXP(-alpha*Output!B508/12)))</f>
        <v>2.6482515652214653</v>
      </c>
      <c r="W508" s="5">
        <f t="shared" si="98"/>
        <v>-7.3330866954863017E-2</v>
      </c>
      <c r="X508" s="1">
        <f t="shared" si="99"/>
        <v>19.161716644886916</v>
      </c>
      <c r="Y508" s="3">
        <f t="shared" si="89"/>
        <v>2.0875149836640069E-2</v>
      </c>
      <c r="Z508" s="1">
        <f t="shared" si="90"/>
        <v>0.14624948563311721</v>
      </c>
      <c r="AA508" s="8">
        <f t="shared" si="95"/>
        <v>41.333333333333414</v>
      </c>
      <c r="AB508" s="1">
        <v>41.42</v>
      </c>
      <c r="AC508" s="1">
        <v>7.5738115129999999E-3</v>
      </c>
      <c r="AD508" s="8">
        <f t="shared" si="91"/>
        <v>1.0954697885703999</v>
      </c>
      <c r="AE508" s="3">
        <f t="shared" si="92"/>
        <v>1.4463916704159996E-2</v>
      </c>
      <c r="AF508" s="11">
        <f t="shared" si="93"/>
        <v>41.333333333333414</v>
      </c>
      <c r="AG508" s="1">
        <f t="shared" si="94"/>
        <v>0.14624948563311721</v>
      </c>
    </row>
    <row r="509" spans="2:33" ht="15" x14ac:dyDescent="0.25">
      <c r="B509" s="1">
        <v>498</v>
      </c>
      <c r="C509" s="1">
        <v>1.0008804091384829</v>
      </c>
      <c r="D509" s="1">
        <v>1.2020186069843639</v>
      </c>
      <c r="E509" s="1">
        <v>0.8308316902217372</v>
      </c>
      <c r="G509" s="1">
        <v>1.0004055551134468</v>
      </c>
      <c r="H509" s="1">
        <v>4.4750443802829816</v>
      </c>
      <c r="I509" s="1">
        <v>0.17547793163580158</v>
      </c>
      <c r="K509" s="1">
        <v>1.0000140764751373</v>
      </c>
      <c r="L509" s="1">
        <v>1.5470954720662085</v>
      </c>
      <c r="M509" s="1">
        <v>0.63569868060676438</v>
      </c>
      <c r="O509" s="1">
        <v>7.4631165554896479E-3</v>
      </c>
      <c r="P509" s="1">
        <v>0.7336528364987539</v>
      </c>
      <c r="R509" s="1">
        <v>0.19673306621963574</v>
      </c>
      <c r="S509" s="2">
        <f t="shared" si="96"/>
        <v>0.94317327011602714</v>
      </c>
      <c r="T509" s="4">
        <f t="shared" si="97"/>
        <v>0.88957581746136027</v>
      </c>
      <c r="U509" s="1">
        <f t="shared" si="100"/>
        <v>0.81593991300940294</v>
      </c>
      <c r="V509" s="6">
        <f>2*sigma/alpha*corel*(B509/12-1/alpha*(1-EXP(-alpha*Output!B509/12)))</f>
        <v>2.6566843128172515</v>
      </c>
      <c r="W509" s="5">
        <f t="shared" si="98"/>
        <v>-7.3635904451957335E-2</v>
      </c>
      <c r="X509" s="1">
        <f t="shared" si="99"/>
        <v>19.281531676994192</v>
      </c>
      <c r="Y509" s="3">
        <f t="shared" si="89"/>
        <v>2.0896262393701709E-2</v>
      </c>
      <c r="Z509" s="1">
        <f t="shared" si="90"/>
        <v>0.14640888588654311</v>
      </c>
      <c r="AA509" s="8">
        <f t="shared" si="95"/>
        <v>41.41666666666675</v>
      </c>
      <c r="AB509" s="1">
        <v>41.5</v>
      </c>
      <c r="AC509" s="1">
        <v>7.5735499059999996E-3</v>
      </c>
      <c r="AD509" s="8">
        <f t="shared" si="91"/>
        <v>1.104333505103517</v>
      </c>
      <c r="AE509" s="3">
        <f t="shared" si="92"/>
        <v>1.4581451483255296E-2</v>
      </c>
      <c r="AF509" s="11">
        <f t="shared" si="93"/>
        <v>41.41666666666675</v>
      </c>
      <c r="AG509" s="1">
        <f t="shared" si="94"/>
        <v>0.14640888588654311</v>
      </c>
    </row>
    <row r="510" spans="2:33" ht="15" x14ac:dyDescent="0.25">
      <c r="B510" s="1">
        <v>499</v>
      </c>
      <c r="C510" s="1">
        <v>1.0008857248120622</v>
      </c>
      <c r="D510" s="1">
        <v>1.2020497344574421</v>
      </c>
      <c r="E510" s="1">
        <v>0.83080793321613677</v>
      </c>
      <c r="G510" s="1">
        <v>1.0006999102246268</v>
      </c>
      <c r="H510" s="1">
        <v>4.4689033260492552</v>
      </c>
      <c r="I510" s="1">
        <v>0.17563399788573783</v>
      </c>
      <c r="K510" s="1">
        <v>1.0000048023526533</v>
      </c>
      <c r="L510" s="1">
        <v>1.5518057884930065</v>
      </c>
      <c r="M510" s="1">
        <v>0.63376193010963999</v>
      </c>
      <c r="O510" s="1">
        <v>7.4619249650760911E-3</v>
      </c>
      <c r="P510" s="1">
        <v>0.73323303132007622</v>
      </c>
      <c r="R510" s="1">
        <v>0.19706752410317643</v>
      </c>
      <c r="S510" s="2">
        <f t="shared" si="96"/>
        <v>0.94513584693295538</v>
      </c>
      <c r="T510" s="4">
        <f t="shared" si="97"/>
        <v>0.89328176915767488</v>
      </c>
      <c r="U510" s="1">
        <f t="shared" si="100"/>
        <v>0.81935859906374242</v>
      </c>
      <c r="V510" s="6">
        <f>2*sigma/alpha*corel*(B510/12-1/alpha*(1-EXP(-alpha*Output!B510/12)))</f>
        <v>2.6651236624670713</v>
      </c>
      <c r="W510" s="5">
        <f t="shared" si="98"/>
        <v>-7.3923170093932455E-2</v>
      </c>
      <c r="X510" s="1">
        <f t="shared" si="99"/>
        <v>19.398771428532662</v>
      </c>
      <c r="Y510" s="3">
        <f t="shared" si="89"/>
        <v>2.0913186108725678E-2</v>
      </c>
      <c r="Z510" s="1">
        <f t="shared" si="90"/>
        <v>0.14656645561521711</v>
      </c>
      <c r="AA510" s="8">
        <f t="shared" si="95"/>
        <v>41.500000000000085</v>
      </c>
      <c r="AB510" s="1">
        <v>41.58</v>
      </c>
      <c r="AC510" s="1">
        <v>7.5732893499999999E-3</v>
      </c>
      <c r="AD510" s="8">
        <f t="shared" si="91"/>
        <v>1.1136438492390881</v>
      </c>
      <c r="AE510" s="3">
        <f t="shared" si="92"/>
        <v>1.4704889748324328E-2</v>
      </c>
      <c r="AF510" s="11">
        <f t="shared" si="93"/>
        <v>41.500000000000085</v>
      </c>
      <c r="AG510" s="1">
        <f t="shared" si="94"/>
        <v>0.14656645561521711</v>
      </c>
    </row>
    <row r="511" spans="2:33" ht="15" x14ac:dyDescent="0.25">
      <c r="B511" s="1">
        <v>500</v>
      </c>
      <c r="C511" s="1">
        <v>1.0008896986586271</v>
      </c>
      <c r="D511" s="1">
        <v>1.204662558390009</v>
      </c>
      <c r="E511" s="1">
        <v>0.82900373021173879</v>
      </c>
      <c r="G511" s="1">
        <v>1.0008515166039689</v>
      </c>
      <c r="H511" s="1">
        <v>4.6514775065641301</v>
      </c>
      <c r="I511" s="1">
        <v>0.16865853107769796</v>
      </c>
      <c r="K511" s="1">
        <v>1.0000077774079656</v>
      </c>
      <c r="L511" s="1">
        <v>1.5599403038663897</v>
      </c>
      <c r="M511" s="1">
        <v>0.63047395856600841</v>
      </c>
      <c r="O511" s="1">
        <v>7.4607339871189081E-3</v>
      </c>
      <c r="P511" s="1">
        <v>0.73281359319400263</v>
      </c>
      <c r="R511" s="1">
        <v>0.19746867972004195</v>
      </c>
      <c r="S511" s="2">
        <f t="shared" si="96"/>
        <v>0.94733031451482486</v>
      </c>
      <c r="T511" s="4">
        <f t="shared" si="97"/>
        <v>0.89743472479875697</v>
      </c>
      <c r="U511" s="1">
        <f t="shared" si="100"/>
        <v>0.82278261823150656</v>
      </c>
      <c r="V511" s="6">
        <f>2*sigma/alpha*corel*(B511/12-1/alpha*(1-EXP(-alpha*Output!B511/12)))</f>
        <v>2.6735695922007134</v>
      </c>
      <c r="W511" s="5">
        <f t="shared" si="98"/>
        <v>-7.4652106567250409E-2</v>
      </c>
      <c r="X511" s="1">
        <f t="shared" si="99"/>
        <v>19.58999212554869</v>
      </c>
      <c r="Y511" s="3">
        <f t="shared" si="89"/>
        <v>2.102986456211715E-2</v>
      </c>
      <c r="Z511" s="1">
        <f t="shared" si="90"/>
        <v>0.14675978125893405</v>
      </c>
      <c r="AA511" s="8">
        <f t="shared" si="95"/>
        <v>41.583333333333421</v>
      </c>
      <c r="AB511" s="1">
        <v>41.67</v>
      </c>
      <c r="AC511" s="1">
        <v>7.5730298380000003E-3</v>
      </c>
      <c r="AD511" s="8">
        <f t="shared" si="91"/>
        <v>1.1229585088109224</v>
      </c>
      <c r="AE511" s="3">
        <f t="shared" si="92"/>
        <v>1.4828391447451239E-2</v>
      </c>
      <c r="AF511" s="11">
        <f t="shared" si="93"/>
        <v>41.583333333333421</v>
      </c>
      <c r="AG511" s="1">
        <f t="shared" si="94"/>
        <v>0.14675978125893405</v>
      </c>
    </row>
    <row r="512" spans="2:33" ht="15" x14ac:dyDescent="0.25">
      <c r="B512" s="1">
        <v>501</v>
      </c>
      <c r="C512" s="1">
        <v>1.0008944959966197</v>
      </c>
      <c r="D512" s="1">
        <v>1.2057739888361836</v>
      </c>
      <c r="E512" s="1">
        <v>0.82823734563256157</v>
      </c>
      <c r="G512" s="1">
        <v>1.0011108640997497</v>
      </c>
      <c r="H512" s="1">
        <v>4.7039313531183655</v>
      </c>
      <c r="I512" s="1">
        <v>0.16669706500166973</v>
      </c>
      <c r="K512" s="1">
        <v>1.0000145145497465</v>
      </c>
      <c r="L512" s="1">
        <v>1.554948244859363</v>
      </c>
      <c r="M512" s="1">
        <v>0.63244332952775117</v>
      </c>
      <c r="O512" s="1">
        <v>7.4596525680039492E-3</v>
      </c>
      <c r="P512" s="1">
        <v>0.73239119035586597</v>
      </c>
      <c r="R512" s="1">
        <v>0.19783535091557974</v>
      </c>
      <c r="S512" s="2">
        <f t="shared" si="96"/>
        <v>0.9494135828444028</v>
      </c>
      <c r="T512" s="4">
        <f t="shared" si="97"/>
        <v>0.90138615128944566</v>
      </c>
      <c r="U512" s="1">
        <f t="shared" si="100"/>
        <v>0.82621195690108484</v>
      </c>
      <c r="V512" s="6">
        <f>2*sigma/alpha*corel*(B512/12-1/alpha*(1-EXP(-alpha*Output!B512/12)))</f>
        <v>2.6820220801210839</v>
      </c>
      <c r="W512" s="5">
        <f t="shared" si="98"/>
        <v>-7.5174194388360815E-2</v>
      </c>
      <c r="X512" s="1">
        <f t="shared" si="99"/>
        <v>19.747332901113282</v>
      </c>
      <c r="Y512" s="3">
        <f t="shared" si="89"/>
        <v>2.1099102351336139E-2</v>
      </c>
      <c r="Z512" s="1">
        <f t="shared" si="90"/>
        <v>0.14693565753769447</v>
      </c>
      <c r="AA512" s="8">
        <f t="shared" si="95"/>
        <v>41.666666666666757</v>
      </c>
      <c r="AB512" s="1">
        <v>41.75</v>
      </c>
      <c r="AC512" s="1">
        <v>7.5727713640000001E-3</v>
      </c>
      <c r="AD512" s="8">
        <f t="shared" si="91"/>
        <v>1.1311879599605092</v>
      </c>
      <c r="AE512" s="3">
        <f t="shared" si="92"/>
        <v>1.4937569161773908E-2</v>
      </c>
      <c r="AF512" s="11">
        <f t="shared" si="93"/>
        <v>41.666666666666757</v>
      </c>
      <c r="AG512" s="1">
        <f t="shared" si="94"/>
        <v>0.14693565753769447</v>
      </c>
    </row>
    <row r="513" spans="2:33" ht="15" x14ac:dyDescent="0.25">
      <c r="B513" s="1">
        <v>502</v>
      </c>
      <c r="C513" s="1">
        <v>1.0008988157520013</v>
      </c>
      <c r="D513" s="1">
        <v>1.2062096221166994</v>
      </c>
      <c r="E513" s="1">
        <v>0.82793597187739687</v>
      </c>
      <c r="G513" s="1">
        <v>1.0013131416041696</v>
      </c>
      <c r="H513" s="1">
        <v>4.718022566898342</v>
      </c>
      <c r="I513" s="1">
        <v>0.16611873027512067</v>
      </c>
      <c r="K513" s="1">
        <v>1.0000243300547071</v>
      </c>
      <c r="L513" s="1">
        <v>1.564211708622822</v>
      </c>
      <c r="M513" s="1">
        <v>0.62869482628468298</v>
      </c>
      <c r="O513" s="1">
        <v>7.4585534855167029E-3</v>
      </c>
      <c r="P513" s="1">
        <v>0.73196970378872295</v>
      </c>
      <c r="R513" s="1">
        <v>0.19818637268672348</v>
      </c>
      <c r="S513" s="2">
        <f t="shared" si="96"/>
        <v>0.95144311985630492</v>
      </c>
      <c r="T513" s="4">
        <f t="shared" si="97"/>
        <v>0.90524401032189905</v>
      </c>
      <c r="U513" s="1">
        <f t="shared" si="100"/>
        <v>0.82964660147868274</v>
      </c>
      <c r="V513" s="6">
        <f>2*sigma/alpha*corel*(B513/12-1/alpha*(1-EXP(-alpha*Output!B513/12)))</f>
        <v>2.6904811044039514</v>
      </c>
      <c r="W513" s="5">
        <f t="shared" si="98"/>
        <v>-7.5597408843216307E-2</v>
      </c>
      <c r="X513" s="1">
        <f t="shared" si="99"/>
        <v>19.888654986252902</v>
      </c>
      <c r="Y513" s="3">
        <f t="shared" si="89"/>
        <v>2.114568197071395E-2</v>
      </c>
      <c r="Z513" s="1">
        <f t="shared" si="90"/>
        <v>0.14710302189798649</v>
      </c>
      <c r="AA513" s="8">
        <f t="shared" si="95"/>
        <v>41.750000000000092</v>
      </c>
      <c r="AB513" s="1">
        <v>41.83</v>
      </c>
      <c r="AC513" s="1">
        <v>7.5725139220000001E-3</v>
      </c>
      <c r="AD513" s="8">
        <f t="shared" si="91"/>
        <v>1.1396043648329717</v>
      </c>
      <c r="AE513" s="3">
        <f t="shared" si="92"/>
        <v>1.5049221124865059E-2</v>
      </c>
      <c r="AF513" s="11">
        <f t="shared" si="93"/>
        <v>41.750000000000092</v>
      </c>
      <c r="AG513" s="1">
        <f t="shared" si="94"/>
        <v>0.14710302189798649</v>
      </c>
    </row>
    <row r="514" spans="2:33" ht="15" x14ac:dyDescent="0.25">
      <c r="B514" s="1">
        <v>503</v>
      </c>
      <c r="C514" s="1">
        <v>1.0008958928829566</v>
      </c>
      <c r="D514" s="1">
        <v>1.2087581346845491</v>
      </c>
      <c r="E514" s="1">
        <v>0.82618812596389513</v>
      </c>
      <c r="G514" s="1">
        <v>1.0009557178273787</v>
      </c>
      <c r="H514" s="1">
        <v>4.8059876395116143</v>
      </c>
      <c r="I514" s="1">
        <v>0.16299926784839189</v>
      </c>
      <c r="K514" s="1">
        <v>1.0000177246734563</v>
      </c>
      <c r="L514" s="1">
        <v>1.5588831200089073</v>
      </c>
      <c r="M514" s="1">
        <v>0.63080504992205866</v>
      </c>
      <c r="O514" s="1">
        <v>7.4575249489947735E-3</v>
      </c>
      <c r="P514" s="1">
        <v>0.73154643056601176</v>
      </c>
      <c r="R514" s="1">
        <v>0.19848596030619714</v>
      </c>
      <c r="S514" s="2">
        <f t="shared" si="96"/>
        <v>0.95330005907189297</v>
      </c>
      <c r="T514" s="4">
        <f t="shared" si="97"/>
        <v>0.90878100262647465</v>
      </c>
      <c r="U514" s="1">
        <f t="shared" si="100"/>
        <v>0.83308653838844515</v>
      </c>
      <c r="V514" s="6">
        <f>2*sigma/alpha*corel*(B514/12-1/alpha*(1-EXP(-alpha*Output!B514/12)))</f>
        <v>2.6989466432977141</v>
      </c>
      <c r="W514" s="5">
        <f t="shared" si="98"/>
        <v>-7.5694464238029502E-2</v>
      </c>
      <c r="X514" s="1">
        <f t="shared" si="99"/>
        <v>19.975751487277613</v>
      </c>
      <c r="Y514" s="3">
        <f t="shared" si="89"/>
        <v>2.1119014989921935E-2</v>
      </c>
      <c r="Z514" s="1">
        <f t="shared" si="90"/>
        <v>0.14724354010421262</v>
      </c>
      <c r="AA514" s="8">
        <f t="shared" si="95"/>
        <v>41.833333333333428</v>
      </c>
      <c r="AB514" s="1">
        <v>41.92</v>
      </c>
      <c r="AC514" s="1">
        <v>7.5722575060000004E-3</v>
      </c>
      <c r="AD514" s="8">
        <f t="shared" si="91"/>
        <v>1.1473255700522687</v>
      </c>
      <c r="AE514" s="3">
        <f t="shared" si="92"/>
        <v>1.5151697748566615E-2</v>
      </c>
      <c r="AF514" s="11">
        <f t="shared" si="93"/>
        <v>41.833333333333428</v>
      </c>
      <c r="AG514" s="1">
        <f t="shared" si="94"/>
        <v>0.14724354010421262</v>
      </c>
    </row>
    <row r="515" spans="2:33" ht="15" x14ac:dyDescent="0.25">
      <c r="B515" s="1">
        <v>504</v>
      </c>
      <c r="C515" s="1">
        <v>1.0008968116414114</v>
      </c>
      <c r="D515" s="1">
        <v>1.2071236394426212</v>
      </c>
      <c r="E515" s="1">
        <v>0.82730456288193666</v>
      </c>
      <c r="G515" s="1">
        <v>1.0008973692951026</v>
      </c>
      <c r="H515" s="1">
        <v>4.7454525721493059</v>
      </c>
      <c r="I515" s="1">
        <v>0.16499863470648615</v>
      </c>
      <c r="K515" s="1">
        <v>1.0000279353467538</v>
      </c>
      <c r="L515" s="1">
        <v>1.5755040789063475</v>
      </c>
      <c r="M515" s="1">
        <v>0.62412270391288061</v>
      </c>
      <c r="O515" s="1">
        <v>7.4564927902545115E-3</v>
      </c>
      <c r="P515" s="1">
        <v>0.73112363866717733</v>
      </c>
      <c r="R515" s="1">
        <v>0.19884212691428768</v>
      </c>
      <c r="S515" s="2">
        <f t="shared" si="96"/>
        <v>0.95535412873330205</v>
      </c>
      <c r="T515" s="4">
        <f t="shared" si="97"/>
        <v>0.91270151128776666</v>
      </c>
      <c r="U515" s="1">
        <f t="shared" si="100"/>
        <v>0.83653175407257896</v>
      </c>
      <c r="V515" s="6">
        <f>2*sigma/alpha*corel*(B515/12-1/alpha*(1-EXP(-alpha*Output!B515/12)))</f>
        <v>2.7074186751231561</v>
      </c>
      <c r="W515" s="5">
        <f t="shared" si="98"/>
        <v>-7.6169757215187706E-2</v>
      </c>
      <c r="X515" s="1">
        <f t="shared" si="99"/>
        <v>20.126635094557162</v>
      </c>
      <c r="Y515" s="3">
        <f t="shared" si="89"/>
        <v>2.1176823487159584E-2</v>
      </c>
      <c r="Z515" s="1">
        <f t="shared" si="90"/>
        <v>0.14741434246366411</v>
      </c>
      <c r="AA515" s="8">
        <f t="shared" si="95"/>
        <v>41.916666666666764</v>
      </c>
      <c r="AB515" s="1">
        <v>42</v>
      </c>
      <c r="AC515" s="1">
        <v>7.5720021090000004E-3</v>
      </c>
      <c r="AD515" s="8">
        <f t="shared" si="91"/>
        <v>1.1550931874548895</v>
      </c>
      <c r="AE515" s="3">
        <f t="shared" si="92"/>
        <v>1.5254792204586923E-2</v>
      </c>
      <c r="AF515" s="11">
        <f t="shared" si="93"/>
        <v>41.916666666666764</v>
      </c>
      <c r="AG515" s="1">
        <f t="shared" si="94"/>
        <v>0.14741434246366411</v>
      </c>
    </row>
    <row r="516" spans="2:33" ht="15" x14ac:dyDescent="0.25">
      <c r="B516" s="1">
        <v>505</v>
      </c>
      <c r="C516" s="1">
        <v>1.0008935121467843</v>
      </c>
      <c r="D516" s="1">
        <v>1.2062260600451495</v>
      </c>
      <c r="E516" s="1">
        <v>0.82791791579899365</v>
      </c>
      <c r="G516" s="1">
        <v>1.0004798309463738</v>
      </c>
      <c r="H516" s="1">
        <v>4.5684258006063514</v>
      </c>
      <c r="I516" s="1">
        <v>0.17130936094093835</v>
      </c>
      <c r="K516" s="1">
        <v>1.0000136555657151</v>
      </c>
      <c r="L516" s="1">
        <v>1.5856473047258897</v>
      </c>
      <c r="M516" s="1">
        <v>0.62013561559214025</v>
      </c>
      <c r="O516" s="1">
        <v>7.455513018884437E-3</v>
      </c>
      <c r="P516" s="1">
        <v>0.73069960588993321</v>
      </c>
      <c r="R516" s="1">
        <v>0.19915502112121242</v>
      </c>
      <c r="S516" s="2">
        <f t="shared" si="96"/>
        <v>0.95726265265848309</v>
      </c>
      <c r="T516" s="4">
        <f t="shared" si="97"/>
        <v>0.91635178617475566</v>
      </c>
      <c r="U516" s="1">
        <f t="shared" si="100"/>
        <v>0.83998223499147029</v>
      </c>
      <c r="V516" s="6">
        <f>2*sigma/alpha*corel*(B516/12-1/alpha*(1-EXP(-alpha*Output!B516/12)))</f>
        <v>2.7158971782732024</v>
      </c>
      <c r="W516" s="5">
        <f t="shared" si="98"/>
        <v>-7.6369551183285367E-2</v>
      </c>
      <c r="X516" s="1">
        <f t="shared" si="99"/>
        <v>20.231638598805379</v>
      </c>
      <c r="Y516" s="3">
        <f t="shared" si="89"/>
        <v>2.1173016277522411E-2</v>
      </c>
      <c r="Z516" s="1">
        <f t="shared" si="90"/>
        <v>0.14756251525744302</v>
      </c>
      <c r="AA516" s="8">
        <f t="shared" si="95"/>
        <v>42.000000000000099</v>
      </c>
      <c r="AB516" s="1">
        <v>42.08</v>
      </c>
      <c r="AC516" s="1">
        <v>7.5717477259999999E-3</v>
      </c>
      <c r="AD516" s="8">
        <f t="shared" si="91"/>
        <v>1.1623470711556294</v>
      </c>
      <c r="AE516" s="3">
        <f t="shared" si="92"/>
        <v>1.5351106682600394E-2</v>
      </c>
      <c r="AF516" s="11">
        <f t="shared" si="93"/>
        <v>42.000000000000099</v>
      </c>
      <c r="AG516" s="1">
        <f t="shared" si="94"/>
        <v>0.14756251525744302</v>
      </c>
    </row>
    <row r="517" spans="2:33" ht="15" x14ac:dyDescent="0.25">
      <c r="B517" s="1">
        <v>506</v>
      </c>
      <c r="C517" s="1">
        <v>1.0008945610367406</v>
      </c>
      <c r="D517" s="1">
        <v>1.2088815406208724</v>
      </c>
      <c r="E517" s="1">
        <v>0.8260970139753232</v>
      </c>
      <c r="G517" s="1">
        <v>1.0004274424884041</v>
      </c>
      <c r="H517" s="1">
        <v>4.8091721005443908</v>
      </c>
      <c r="I517" s="1">
        <v>0.16265485566301183</v>
      </c>
      <c r="K517" s="1">
        <v>1.0000170598620013</v>
      </c>
      <c r="L517" s="1">
        <v>1.5829329833502741</v>
      </c>
      <c r="M517" s="1">
        <v>0.6211567296526751</v>
      </c>
      <c r="O517" s="1">
        <v>7.454541655636371E-3</v>
      </c>
      <c r="P517" s="1">
        <v>0.73027567937749061</v>
      </c>
      <c r="R517" s="1">
        <v>0.19950854485771929</v>
      </c>
      <c r="S517" s="2">
        <f t="shared" si="96"/>
        <v>0.95931402605870164</v>
      </c>
      <c r="T517" s="4">
        <f t="shared" si="97"/>
        <v>0.92028340059295533</v>
      </c>
      <c r="U517" s="1">
        <f t="shared" si="100"/>
        <v>0.84343796762380485</v>
      </c>
      <c r="V517" s="6">
        <f>2*sigma/alpha*corel*(B517/12-1/alpha*(1-EXP(-alpha*Output!B517/12)))</f>
        <v>2.7243821312126819</v>
      </c>
      <c r="W517" s="5">
        <f t="shared" si="98"/>
        <v>-7.6845432969150473E-2</v>
      </c>
      <c r="X517" s="1">
        <f t="shared" si="99"/>
        <v>20.383521024334335</v>
      </c>
      <c r="Y517" s="3">
        <f t="shared" si="89"/>
        <v>2.1230385334621123E-2</v>
      </c>
      <c r="Z517" s="1">
        <f t="shared" si="90"/>
        <v>0.14773253798964059</v>
      </c>
      <c r="AA517" s="8">
        <f t="shared" si="95"/>
        <v>42.083333333333435</v>
      </c>
      <c r="AB517" s="1">
        <v>42.17</v>
      </c>
      <c r="AC517" s="1">
        <v>7.5714943509999997E-3</v>
      </c>
      <c r="AD517" s="8">
        <f t="shared" si="91"/>
        <v>1.1695269536362869</v>
      </c>
      <c r="AE517" s="3">
        <f t="shared" si="92"/>
        <v>1.5446448209815049E-2</v>
      </c>
      <c r="AF517" s="11">
        <f t="shared" si="93"/>
        <v>42.083333333333435</v>
      </c>
      <c r="AG517" s="1">
        <f t="shared" si="94"/>
        <v>0.14773253798964059</v>
      </c>
    </row>
    <row r="518" spans="2:33" ht="15" x14ac:dyDescent="0.25">
      <c r="B518" s="1">
        <v>507</v>
      </c>
      <c r="C518" s="1">
        <v>1.0008935525331255</v>
      </c>
      <c r="D518" s="1">
        <v>1.2080135151850355</v>
      </c>
      <c r="E518" s="1">
        <v>0.82668834273537872</v>
      </c>
      <c r="G518" s="1">
        <v>1.0001913616322109</v>
      </c>
      <c r="H518" s="1">
        <v>4.7732226252765173</v>
      </c>
      <c r="I518" s="1">
        <v>0.16380054417668238</v>
      </c>
      <c r="K518" s="1">
        <v>1.0000206701980925</v>
      </c>
      <c r="L518" s="1">
        <v>1.5814729654575559</v>
      </c>
      <c r="M518" s="1">
        <v>0.62171133226385555</v>
      </c>
      <c r="O518" s="1">
        <v>7.4535439456365352E-3</v>
      </c>
      <c r="P518" s="1">
        <v>0.7298529294065802</v>
      </c>
      <c r="R518" s="1">
        <v>0.19984463549173084</v>
      </c>
      <c r="S518" s="2">
        <f t="shared" si="96"/>
        <v>0.961304720842316</v>
      </c>
      <c r="T518" s="4">
        <f t="shared" si="97"/>
        <v>0.92410676631372313</v>
      </c>
      <c r="U518" s="1">
        <f t="shared" si="100"/>
        <v>0.84689893846668607</v>
      </c>
      <c r="V518" s="6">
        <f>2*sigma/alpha*corel*(B518/12-1/alpha*(1-EXP(-alpha*Output!B518/12)))</f>
        <v>2.7328735124780912</v>
      </c>
      <c r="W518" s="5">
        <f t="shared" si="98"/>
        <v>-7.7207827847037058E-2</v>
      </c>
      <c r="X518" s="1">
        <f t="shared" si="99"/>
        <v>20.5167205413536</v>
      </c>
      <c r="Y518" s="3">
        <f t="shared" si="89"/>
        <v>2.126230952816139E-2</v>
      </c>
      <c r="Z518" s="1">
        <f t="shared" si="90"/>
        <v>0.14789303397574091</v>
      </c>
      <c r="AA518" s="8">
        <f t="shared" si="95"/>
        <v>42.166666666666771</v>
      </c>
      <c r="AB518" s="1">
        <v>42.25</v>
      </c>
      <c r="AC518" s="1">
        <v>7.5712419770000003E-3</v>
      </c>
      <c r="AD518" s="8">
        <f t="shared" si="91"/>
        <v>1.1769803136346506</v>
      </c>
      <c r="AE518" s="3">
        <f t="shared" si="92"/>
        <v>1.5545406119763362E-2</v>
      </c>
      <c r="AF518" s="11">
        <f t="shared" si="93"/>
        <v>42.166666666666771</v>
      </c>
      <c r="AG518" s="1">
        <f t="shared" si="94"/>
        <v>0.14789303397574091</v>
      </c>
    </row>
    <row r="519" spans="2:33" ht="15" x14ac:dyDescent="0.25">
      <c r="B519" s="1">
        <v>508</v>
      </c>
      <c r="C519" s="1">
        <v>1.0008929616056303</v>
      </c>
      <c r="D519" s="1">
        <v>1.208843843367245</v>
      </c>
      <c r="E519" s="1">
        <v>0.82611823703123066</v>
      </c>
      <c r="G519" s="1">
        <v>1.0000263746775397</v>
      </c>
      <c r="H519" s="1">
        <v>4.8065307375937545</v>
      </c>
      <c r="I519" s="1">
        <v>0.16258668797496081</v>
      </c>
      <c r="K519" s="1">
        <v>1.0000238747688115</v>
      </c>
      <c r="L519" s="1">
        <v>1.5779196868106395</v>
      </c>
      <c r="M519" s="1">
        <v>0.62309739158694544</v>
      </c>
      <c r="O519" s="1">
        <v>7.4525586531183421E-3</v>
      </c>
      <c r="P519" s="1">
        <v>0.72943016201301736</v>
      </c>
      <c r="R519" s="1">
        <v>0.20020868773778283</v>
      </c>
      <c r="S519" s="2">
        <f t="shared" si="96"/>
        <v>0.9633947879968483</v>
      </c>
      <c r="T519" s="4">
        <f t="shared" si="97"/>
        <v>0.92812951753949224</v>
      </c>
      <c r="U519" s="1">
        <f t="shared" si="100"/>
        <v>0.85036513403574743</v>
      </c>
      <c r="V519" s="6">
        <f>2*sigma/alpha*corel*(B519/12-1/alpha*(1-EXP(-alpha*Output!B519/12)))</f>
        <v>2.7413713006773492</v>
      </c>
      <c r="W519" s="5">
        <f t="shared" si="98"/>
        <v>-7.7764383503744816E-2</v>
      </c>
      <c r="X519" s="1">
        <f t="shared" si="99"/>
        <v>20.683218881478211</v>
      </c>
      <c r="Y519" s="3">
        <f t="shared" si="89"/>
        <v>2.1336725214879969E-2</v>
      </c>
      <c r="Z519" s="1">
        <f t="shared" si="90"/>
        <v>0.14806863041156459</v>
      </c>
      <c r="AA519" s="8">
        <f t="shared" si="95"/>
        <v>42.250000000000107</v>
      </c>
      <c r="AB519" s="1">
        <v>42.33</v>
      </c>
      <c r="AC519" s="1">
        <v>7.5709905990000003E-3</v>
      </c>
      <c r="AD519" s="8">
        <f t="shared" si="91"/>
        <v>1.1843194588165815</v>
      </c>
      <c r="AE519" s="3">
        <f t="shared" si="92"/>
        <v>1.5642859984174463E-2</v>
      </c>
      <c r="AF519" s="11">
        <f t="shared" si="93"/>
        <v>42.250000000000107</v>
      </c>
      <c r="AG519" s="1">
        <f t="shared" si="94"/>
        <v>0.14806863041156459</v>
      </c>
    </row>
    <row r="520" spans="2:33" ht="15" x14ac:dyDescent="0.25">
      <c r="B520" s="1">
        <v>509</v>
      </c>
      <c r="C520" s="1">
        <v>1.0008927461047461</v>
      </c>
      <c r="D520" s="1">
        <v>1.2093116893477736</v>
      </c>
      <c r="E520" s="1">
        <v>0.82579636167099268</v>
      </c>
      <c r="G520" s="1">
        <v>0.9998500175927586</v>
      </c>
      <c r="H520" s="1">
        <v>4.8172952579474542</v>
      </c>
      <c r="I520" s="1">
        <v>0.16214483465340643</v>
      </c>
      <c r="K520" s="1">
        <v>1.000030105744901</v>
      </c>
      <c r="L520" s="1">
        <v>1.5784308194861345</v>
      </c>
      <c r="M520" s="1">
        <v>0.62288214774970596</v>
      </c>
      <c r="O520" s="1">
        <v>7.451485959619383E-3</v>
      </c>
      <c r="P520" s="1">
        <v>0.72901046184687346</v>
      </c>
      <c r="R520" s="1">
        <v>0.20057058762995503</v>
      </c>
      <c r="S520" s="2">
        <f t="shared" si="96"/>
        <v>0.9654736221819471</v>
      </c>
      <c r="T520" s="4">
        <f t="shared" si="97"/>
        <v>0.93213931512912918</v>
      </c>
      <c r="U520" s="1">
        <f t="shared" si="100"/>
        <v>0.85383654086527017</v>
      </c>
      <c r="V520" s="6">
        <f>2*sigma/alpha*corel*(B520/12-1/alpha*(1-EXP(-alpha*Output!B520/12)))</f>
        <v>2.7498754744895639</v>
      </c>
      <c r="W520" s="5">
        <f t="shared" si="98"/>
        <v>-7.830277426385901E-2</v>
      </c>
      <c r="X520" s="1">
        <f t="shared" si="99"/>
        <v>20.847185825300617</v>
      </c>
      <c r="Y520" s="3">
        <f t="shared" si="89"/>
        <v>2.1406637135814977E-2</v>
      </c>
      <c r="Z520" s="1">
        <f t="shared" si="90"/>
        <v>0.14824230007501751</v>
      </c>
      <c r="AA520" s="8">
        <f t="shared" si="95"/>
        <v>42.333333333333442</v>
      </c>
      <c r="AB520" s="1">
        <v>42.42</v>
      </c>
      <c r="AC520" s="1">
        <v>7.5707402100000003E-3</v>
      </c>
      <c r="AD520" s="8">
        <f t="shared" si="91"/>
        <v>1.1925425038061734</v>
      </c>
      <c r="AE520" s="3">
        <f t="shared" si="92"/>
        <v>1.5751993473913872E-2</v>
      </c>
      <c r="AF520" s="11">
        <f t="shared" si="93"/>
        <v>42.333333333333442</v>
      </c>
      <c r="AG520" s="1">
        <f t="shared" si="94"/>
        <v>0.14824230007501751</v>
      </c>
    </row>
    <row r="521" spans="2:33" ht="15" x14ac:dyDescent="0.25">
      <c r="B521" s="1">
        <v>510</v>
      </c>
      <c r="C521" s="1">
        <v>1.0008952953129913</v>
      </c>
      <c r="D521" s="1">
        <v>1.2162789199242299</v>
      </c>
      <c r="E521" s="1">
        <v>0.82106367191641638</v>
      </c>
      <c r="G521" s="1">
        <v>0.99992624429341903</v>
      </c>
      <c r="H521" s="1">
        <v>5.0699356978304353</v>
      </c>
      <c r="I521" s="1">
        <v>0.15399038555773664</v>
      </c>
      <c r="K521" s="1">
        <v>1.0000249592178223</v>
      </c>
      <c r="L521" s="1">
        <v>1.5687528269823412</v>
      </c>
      <c r="M521" s="1">
        <v>0.62669323546577216</v>
      </c>
      <c r="O521" s="1">
        <v>7.4503371215401647E-3</v>
      </c>
      <c r="P521" s="1">
        <v>0.72859349125745121</v>
      </c>
      <c r="R521" s="1">
        <v>0.20088501888703872</v>
      </c>
      <c r="S521" s="2">
        <f t="shared" si="96"/>
        <v>0.96738402151598502</v>
      </c>
      <c r="T521" s="4">
        <f t="shared" si="97"/>
        <v>0.93583184508443973</v>
      </c>
      <c r="U521" s="1">
        <f t="shared" si="100"/>
        <v>0.85731314550829074</v>
      </c>
      <c r="V521" s="6">
        <f>2*sigma/alpha*corel*(B521/12-1/alpha*(1-EXP(-alpha*Output!B521/12)))</f>
        <v>2.7583860126647957</v>
      </c>
      <c r="W521" s="5">
        <f t="shared" si="98"/>
        <v>-7.8518699576148987E-2</v>
      </c>
      <c r="X521" s="1">
        <f t="shared" si="99"/>
        <v>20.956872322810117</v>
      </c>
      <c r="Y521" s="3">
        <f t="shared" si="89"/>
        <v>2.1405666452519297E-2</v>
      </c>
      <c r="Z521" s="1">
        <f t="shared" si="90"/>
        <v>0.14838993505462636</v>
      </c>
      <c r="AA521" s="8">
        <f t="shared" si="95"/>
        <v>42.416666666666778</v>
      </c>
      <c r="AB521" s="1">
        <v>42.5</v>
      </c>
      <c r="AC521" s="1">
        <v>7.5704908049999999E-3</v>
      </c>
      <c r="AD521" s="8">
        <f t="shared" si="91"/>
        <v>1.2015368345983517</v>
      </c>
      <c r="AE521" s="3">
        <f t="shared" si="92"/>
        <v>1.5871320176556923E-2</v>
      </c>
      <c r="AF521" s="11">
        <f t="shared" si="93"/>
        <v>42.416666666666778</v>
      </c>
      <c r="AG521" s="1">
        <f t="shared" si="94"/>
        <v>0.14838993505462636</v>
      </c>
    </row>
    <row r="522" spans="2:33" ht="15" x14ac:dyDescent="0.25">
      <c r="B522" s="1">
        <v>511</v>
      </c>
      <c r="C522" s="1">
        <v>1.0009020762125289</v>
      </c>
      <c r="D522" s="1">
        <v>1.2227945193403074</v>
      </c>
      <c r="E522" s="1">
        <v>0.8166864158485172</v>
      </c>
      <c r="G522" s="1">
        <v>1.0003356588161936</v>
      </c>
      <c r="H522" s="1">
        <v>5.3149026176664247</v>
      </c>
      <c r="I522" s="1">
        <v>0.14682175735370809</v>
      </c>
      <c r="K522" s="1">
        <v>1.0000240894727161</v>
      </c>
      <c r="L522" s="1">
        <v>1.5691127465391645</v>
      </c>
      <c r="M522" s="1">
        <v>0.62653628610977519</v>
      </c>
      <c r="O522" s="1">
        <v>7.4491766022168771E-3</v>
      </c>
      <c r="P522" s="1">
        <v>0.72817726080247436</v>
      </c>
      <c r="R522" s="1">
        <v>0.20120484352775633</v>
      </c>
      <c r="S522" s="2">
        <f t="shared" si="96"/>
        <v>0.96931374153815431</v>
      </c>
      <c r="T522" s="4">
        <f t="shared" si="97"/>
        <v>0.93956912953469585</v>
      </c>
      <c r="U522" s="1">
        <f t="shared" si="100"/>
        <v>0.86079493453671629</v>
      </c>
      <c r="V522" s="6">
        <f>2*sigma/alpha*corel*(B522/12-1/alpha*(1-EXP(-alpha*Output!B522/12)))</f>
        <v>2.7669028940238198</v>
      </c>
      <c r="W522" s="5">
        <f t="shared" si="98"/>
        <v>-7.8774194997979552E-2</v>
      </c>
      <c r="X522" s="1">
        <f t="shared" si="99"/>
        <v>21.073622839613243</v>
      </c>
      <c r="Y522" s="3">
        <f t="shared" si="89"/>
        <v>2.1413291777726075E-2</v>
      </c>
      <c r="Z522" s="1">
        <f t="shared" si="90"/>
        <v>0.14854038408244002</v>
      </c>
      <c r="AA522" s="8">
        <f t="shared" si="95"/>
        <v>42.500000000000114</v>
      </c>
      <c r="AB522" s="1">
        <v>42.58</v>
      </c>
      <c r="AC522" s="1">
        <v>7.5702423790000003E-3</v>
      </c>
      <c r="AD522" s="8">
        <f t="shared" si="91"/>
        <v>1.2106577678312314</v>
      </c>
      <c r="AE522" s="3">
        <f t="shared" si="92"/>
        <v>1.5992325043510093E-2</v>
      </c>
      <c r="AF522" s="11">
        <f t="shared" si="93"/>
        <v>42.500000000000114</v>
      </c>
      <c r="AG522" s="1">
        <f t="shared" si="94"/>
        <v>0.14854038408244002</v>
      </c>
    </row>
    <row r="523" spans="2:33" ht="15" x14ac:dyDescent="0.25">
      <c r="B523" s="1">
        <v>512</v>
      </c>
      <c r="C523" s="1">
        <v>1.0009027065352283</v>
      </c>
      <c r="D523" s="1">
        <v>1.224183263014383</v>
      </c>
      <c r="E523" s="1">
        <v>0.81575768500511614</v>
      </c>
      <c r="G523" s="1">
        <v>1.0002257895940765</v>
      </c>
      <c r="H523" s="1">
        <v>5.3669562900160326</v>
      </c>
      <c r="I523" s="1">
        <v>0.14532734561287627</v>
      </c>
      <c r="K523" s="1">
        <v>1.0000209473634578</v>
      </c>
      <c r="L523" s="1">
        <v>1.5727780651263223</v>
      </c>
      <c r="M523" s="1">
        <v>0.6250618208468417</v>
      </c>
      <c r="O523" s="1">
        <v>7.4480296920140954E-3</v>
      </c>
      <c r="P523" s="1">
        <v>0.72776098631613306</v>
      </c>
      <c r="R523" s="1">
        <v>0.20151740870121959</v>
      </c>
      <c r="S523" s="2">
        <f t="shared" si="96"/>
        <v>0.97122023162635562</v>
      </c>
      <c r="T523" s="4">
        <f t="shared" si="97"/>
        <v>0.94326873832035185</v>
      </c>
      <c r="U523" s="1">
        <f t="shared" si="100"/>
        <v>0.86428189454142856</v>
      </c>
      <c r="V523" s="6">
        <f>2*sigma/alpha*corel*(B523/12-1/alpha*(1-EXP(-alpha*Output!B523/12)))</f>
        <v>2.7754260974578893</v>
      </c>
      <c r="W523" s="5">
        <f t="shared" si="98"/>
        <v>-7.8986843778923288E-2</v>
      </c>
      <c r="X523" s="1">
        <f t="shared" si="99"/>
        <v>21.183411360719901</v>
      </c>
      <c r="Y523" s="3">
        <f t="shared" si="89"/>
        <v>2.1411538033443759E-2</v>
      </c>
      <c r="Z523" s="1">
        <f t="shared" si="90"/>
        <v>0.14868712470951628</v>
      </c>
      <c r="AA523" s="8">
        <f t="shared" si="95"/>
        <v>42.583333333333449</v>
      </c>
      <c r="AB523" s="1">
        <v>42.67</v>
      </c>
      <c r="AC523" s="1">
        <v>7.5699949250000002E-3</v>
      </c>
      <c r="AD523" s="8">
        <f t="shared" si="91"/>
        <v>1.219652329859048</v>
      </c>
      <c r="AE523" s="3">
        <f t="shared" si="92"/>
        <v>1.6111666413819267E-2</v>
      </c>
      <c r="AF523" s="11">
        <f t="shared" si="93"/>
        <v>42.583333333333449</v>
      </c>
      <c r="AG523" s="1">
        <f t="shared" si="94"/>
        <v>0.14868712470951628</v>
      </c>
    </row>
    <row r="524" spans="2:33" ht="15" x14ac:dyDescent="0.25">
      <c r="B524" s="1">
        <v>513</v>
      </c>
      <c r="C524" s="1">
        <v>1.000904906771245</v>
      </c>
      <c r="D524" s="1">
        <v>1.2254725068543757</v>
      </c>
      <c r="E524" s="1">
        <v>0.81489721325513143</v>
      </c>
      <c r="G524" s="1">
        <v>1.0002752118771703</v>
      </c>
      <c r="H524" s="1">
        <v>5.4120367461780585</v>
      </c>
      <c r="I524" s="1">
        <v>0.14404703762061752</v>
      </c>
      <c r="K524" s="1">
        <v>1.0000292134744446</v>
      </c>
      <c r="L524" s="1">
        <v>1.5807493080854851</v>
      </c>
      <c r="M524" s="1">
        <v>0.62188854949973882</v>
      </c>
      <c r="O524" s="1">
        <v>7.4468426187639537E-3</v>
      </c>
      <c r="P524" s="1">
        <v>0.72734633766414258</v>
      </c>
      <c r="R524" s="1">
        <v>0.20185672039869756</v>
      </c>
      <c r="S524" s="2">
        <f t="shared" si="96"/>
        <v>0.97321885181626522</v>
      </c>
      <c r="T524" s="4">
        <f t="shared" si="97"/>
        <v>0.94715493353056956</v>
      </c>
      <c r="U524" s="1">
        <f t="shared" si="100"/>
        <v>0.86777401213239758</v>
      </c>
      <c r="V524" s="6">
        <f>2*sigma/alpha*corel*(B524/12-1/alpha*(1-EXP(-alpha*Output!B524/12)))</f>
        <v>2.7839556019285068</v>
      </c>
      <c r="W524" s="5">
        <f t="shared" si="98"/>
        <v>-7.9380921398171989E-2</v>
      </c>
      <c r="X524" s="1">
        <f t="shared" si="99"/>
        <v>21.324546352596524</v>
      </c>
      <c r="Y524" s="3">
        <f t="shared" si="89"/>
        <v>2.1449067076625195E-2</v>
      </c>
      <c r="Z524" s="1">
        <f t="shared" si="90"/>
        <v>0.14884781140406264</v>
      </c>
      <c r="AA524" s="8">
        <f t="shared" si="95"/>
        <v>42.666666666666785</v>
      </c>
      <c r="AB524" s="1">
        <v>42.75</v>
      </c>
      <c r="AC524" s="1">
        <v>7.5697484369999998E-3</v>
      </c>
      <c r="AD524" s="8">
        <f t="shared" si="91"/>
        <v>1.2290581823604616</v>
      </c>
      <c r="AE524" s="3">
        <f t="shared" si="92"/>
        <v>1.6236446859356334E-2</v>
      </c>
      <c r="AF524" s="11">
        <f t="shared" si="93"/>
        <v>42.666666666666785</v>
      </c>
      <c r="AG524" s="1">
        <f t="shared" si="94"/>
        <v>0.14884781140406264</v>
      </c>
    </row>
    <row r="525" spans="2:33" ht="15" x14ac:dyDescent="0.25">
      <c r="B525" s="1">
        <v>514</v>
      </c>
      <c r="C525" s="1">
        <v>1.0009053379892521</v>
      </c>
      <c r="D525" s="1">
        <v>1.221308637401467</v>
      </c>
      <c r="E525" s="1">
        <v>0.81767320753951078</v>
      </c>
      <c r="G525" s="1">
        <v>1.0001667414574502</v>
      </c>
      <c r="H525" s="1">
        <v>5.2442057442530388</v>
      </c>
      <c r="I525" s="1">
        <v>0.14858501501714327</v>
      </c>
      <c r="K525" s="1">
        <v>1.0000158085220823</v>
      </c>
      <c r="L525" s="1">
        <v>1.5906126159285663</v>
      </c>
      <c r="M525" s="1">
        <v>0.61800231506405823</v>
      </c>
      <c r="O525" s="1">
        <v>7.445629901949375E-3</v>
      </c>
      <c r="P525" s="1">
        <v>0.72693286754451369</v>
      </c>
      <c r="R525" s="1">
        <v>0.20218174794888652</v>
      </c>
      <c r="S525" s="2">
        <f t="shared" si="96"/>
        <v>0.9751673626821018</v>
      </c>
      <c r="T525" s="4">
        <f t="shared" si="97"/>
        <v>0.95095138524036582</v>
      </c>
      <c r="U525" s="1">
        <f t="shared" si="100"/>
        <v>0.87127127393878245</v>
      </c>
      <c r="V525" s="6">
        <f>2*sigma/alpha*corel*(B525/12-1/alpha*(1-EXP(-alpha*Output!B525/12)))</f>
        <v>2.7924913864671823</v>
      </c>
      <c r="W525" s="5">
        <f t="shared" si="98"/>
        <v>-7.9680111301583367E-2</v>
      </c>
      <c r="X525" s="1">
        <f t="shared" si="99"/>
        <v>21.449867213164691</v>
      </c>
      <c r="Y525" s="3">
        <f t="shared" ref="Y525:Y588" si="101">(-V525+SQRT(X525))/2/B525*12</f>
        <v>2.1465860881200782E-2</v>
      </c>
      <c r="Z525" s="1">
        <f t="shared" ref="Z525:Z588" si="102">S525/SQRT(B525/12)</f>
        <v>0.14900066998311484</v>
      </c>
      <c r="AA525" s="8">
        <f t="shared" si="95"/>
        <v>42.750000000000121</v>
      </c>
      <c r="AB525" s="1">
        <v>42.83</v>
      </c>
      <c r="AC525" s="1">
        <v>7.5695029109999999E-3</v>
      </c>
      <c r="AD525" s="8">
        <f t="shared" ref="AD525:AD588" si="103">(AC525-O525)*10000</f>
        <v>1.2387300905062486</v>
      </c>
      <c r="AE525" s="3">
        <f t="shared" ref="AE525:AE588" si="104">AD525/AC525/10000</f>
        <v>1.6364748188498961E-2</v>
      </c>
      <c r="AF525" s="11">
        <f t="shared" ref="AF525:AF588" si="105">AA525</f>
        <v>42.750000000000121</v>
      </c>
      <c r="AG525" s="1">
        <f t="shared" ref="AG525:AG588" si="106">Z525</f>
        <v>0.14900066998311484</v>
      </c>
    </row>
    <row r="526" spans="2:33" ht="15" x14ac:dyDescent="0.25">
      <c r="B526" s="1">
        <v>515</v>
      </c>
      <c r="C526" s="1">
        <v>1.0009069010243401</v>
      </c>
      <c r="D526" s="1">
        <v>1.2204958320861241</v>
      </c>
      <c r="E526" s="1">
        <v>0.81821546563650249</v>
      </c>
      <c r="G526" s="1">
        <v>1.0001336093142674</v>
      </c>
      <c r="H526" s="1">
        <v>5.2112469488038773</v>
      </c>
      <c r="I526" s="1">
        <v>0.14945234891639406</v>
      </c>
      <c r="K526" s="1">
        <v>1.0000218465923258</v>
      </c>
      <c r="L526" s="1">
        <v>1.5913460189245134</v>
      </c>
      <c r="M526" s="1">
        <v>0.61769540055619765</v>
      </c>
      <c r="O526" s="1">
        <v>7.444426765519813E-3</v>
      </c>
      <c r="P526" s="1">
        <v>0.72651948059699334</v>
      </c>
      <c r="R526" s="1">
        <v>0.20252991803337586</v>
      </c>
      <c r="S526" s="2">
        <f t="shared" si="96"/>
        <v>0.97719863602608981</v>
      </c>
      <c r="T526" s="4">
        <f t="shared" si="97"/>
        <v>0.95491717425125033</v>
      </c>
      <c r="U526" s="1">
        <f t="shared" si="100"/>
        <v>0.87477366660903977</v>
      </c>
      <c r="V526" s="6">
        <f>2*sigma/alpha*corel*(B526/12-1/alpha*(1-EXP(-alpha*Output!B526/12)))</f>
        <v>2.801033430175206</v>
      </c>
      <c r="W526" s="5">
        <f t="shared" si="98"/>
        <v>-8.0143507642210565E-2</v>
      </c>
      <c r="X526" s="1">
        <f t="shared" si="99"/>
        <v>21.603757088871895</v>
      </c>
      <c r="Y526" s="3">
        <f t="shared" si="101"/>
        <v>2.1517873003166731E-2</v>
      </c>
      <c r="Z526" s="1">
        <f t="shared" si="102"/>
        <v>0.14916600572552316</v>
      </c>
      <c r="AA526" s="8">
        <f t="shared" ref="AA526:AA589" si="107">AA525+1/12</f>
        <v>42.833333333333456</v>
      </c>
      <c r="AB526" s="1">
        <v>42.92</v>
      </c>
      <c r="AC526" s="1">
        <v>7.5692583400000001E-3</v>
      </c>
      <c r="AD526" s="8">
        <f t="shared" si="103"/>
        <v>1.2483157448018711</v>
      </c>
      <c r="AE526" s="3">
        <f t="shared" si="104"/>
        <v>1.6491916231807079E-2</v>
      </c>
      <c r="AF526" s="11">
        <f t="shared" si="105"/>
        <v>42.833333333333456</v>
      </c>
      <c r="AG526" s="1">
        <f t="shared" si="106"/>
        <v>0.14916600572552316</v>
      </c>
    </row>
    <row r="527" spans="2:33" ht="15" x14ac:dyDescent="0.25">
      <c r="B527" s="1">
        <v>516</v>
      </c>
      <c r="C527" s="1">
        <v>1.0009093736468839</v>
      </c>
      <c r="D527" s="1">
        <v>1.2188551130300136</v>
      </c>
      <c r="E527" s="1">
        <v>0.81931458791460443</v>
      </c>
      <c r="G527" s="1">
        <v>1.0001776717126003</v>
      </c>
      <c r="H527" s="1">
        <v>5.1488905229080908</v>
      </c>
      <c r="I527" s="1">
        <v>0.1511890729320495</v>
      </c>
      <c r="K527" s="1">
        <v>1.0000041648650455</v>
      </c>
      <c r="L527" s="1">
        <v>1.5977618773448568</v>
      </c>
      <c r="M527" s="1">
        <v>0.61520431349316029</v>
      </c>
      <c r="O527" s="1">
        <v>7.4433740357193181E-3</v>
      </c>
      <c r="P527" s="1">
        <v>0.72610177826464739</v>
      </c>
      <c r="R527" s="1">
        <v>0.20285354663199398</v>
      </c>
      <c r="S527" s="2">
        <f t="shared" si="96"/>
        <v>0.97915473864081148</v>
      </c>
      <c r="T527" s="4">
        <f t="shared" si="97"/>
        <v>0.9587440022027558</v>
      </c>
      <c r="U527" s="1">
        <f t="shared" si="100"/>
        <v>0.87828117681102524</v>
      </c>
      <c r="V527" s="6">
        <f>2*sigma/alpha*corel*(B527/12-1/alpha*(1-EXP(-alpha*Output!B527/12)))</f>
        <v>2.8095817122234163</v>
      </c>
      <c r="W527" s="5">
        <f t="shared" si="98"/>
        <v>-8.0462825391730552E-2</v>
      </c>
      <c r="X527" s="1">
        <f t="shared" si="99"/>
        <v>21.733355365037919</v>
      </c>
      <c r="Y527" s="3">
        <f t="shared" si="101"/>
        <v>2.1538639309388281E-2</v>
      </c>
      <c r="Z527" s="1">
        <f t="shared" si="102"/>
        <v>0.14931969777711893</v>
      </c>
      <c r="AA527" s="8">
        <f t="shared" si="107"/>
        <v>42.916666666666792</v>
      </c>
      <c r="AB527" s="1">
        <v>43</v>
      </c>
      <c r="AC527" s="1">
        <v>7.5690147189999999E-3</v>
      </c>
      <c r="AD527" s="8">
        <f t="shared" si="103"/>
        <v>1.2564068328068181</v>
      </c>
      <c r="AE527" s="3">
        <f t="shared" si="104"/>
        <v>1.6599344557395861E-2</v>
      </c>
      <c r="AF527" s="11">
        <f t="shared" si="105"/>
        <v>42.916666666666792</v>
      </c>
      <c r="AG527" s="1">
        <f t="shared" si="106"/>
        <v>0.14931969777711893</v>
      </c>
    </row>
    <row r="528" spans="2:33" ht="15" x14ac:dyDescent="0.25">
      <c r="B528" s="1">
        <v>517</v>
      </c>
      <c r="C528" s="1">
        <v>1.0009121178211504</v>
      </c>
      <c r="D528" s="1">
        <v>1.2162011372673573</v>
      </c>
      <c r="E528" s="1">
        <v>0.82110018419554442</v>
      </c>
      <c r="G528" s="1">
        <v>1.0002641713664187</v>
      </c>
      <c r="H528" s="1">
        <v>5.0454724904419672</v>
      </c>
      <c r="I528" s="1">
        <v>0.1542133175505136</v>
      </c>
      <c r="K528" s="1">
        <v>0.99999919677038873</v>
      </c>
      <c r="L528" s="1">
        <v>1.5965302598035822</v>
      </c>
      <c r="M528" s="1">
        <v>0.61563014224987345</v>
      </c>
      <c r="O528" s="1">
        <v>7.4423848987284153E-3</v>
      </c>
      <c r="P528" s="1">
        <v>0.72568245518899976</v>
      </c>
      <c r="R528" s="1">
        <v>0.20321653902320519</v>
      </c>
      <c r="S528" s="2">
        <f t="shared" si="96"/>
        <v>0.98125391219761204</v>
      </c>
      <c r="T528" s="4">
        <f t="shared" si="97"/>
        <v>0.96285924020311897</v>
      </c>
      <c r="U528" s="1">
        <f t="shared" si="100"/>
        <v>0.881793791232095</v>
      </c>
      <c r="V528" s="6">
        <f>2*sigma/alpha*corel*(B528/12-1/alpha*(1-EXP(-alpha*Output!B528/12)))</f>
        <v>2.8181362118519639</v>
      </c>
      <c r="W528" s="5">
        <f t="shared" si="98"/>
        <v>-8.1065448971023968E-2</v>
      </c>
      <c r="X528" s="1">
        <f t="shared" si="99"/>
        <v>21.912170747891135</v>
      </c>
      <c r="Y528" s="3">
        <f t="shared" si="101"/>
        <v>2.1619816886757116E-2</v>
      </c>
      <c r="Z528" s="1">
        <f t="shared" si="102"/>
        <v>0.14949502933481459</v>
      </c>
      <c r="AA528" s="8">
        <f t="shared" si="107"/>
        <v>43.000000000000128</v>
      </c>
      <c r="AB528" s="1">
        <v>43.08</v>
      </c>
      <c r="AC528" s="1">
        <v>7.5687720420000004E-3</v>
      </c>
      <c r="AD528" s="8">
        <f t="shared" si="103"/>
        <v>1.2638714327158507</v>
      </c>
      <c r="AE528" s="3">
        <f t="shared" si="104"/>
        <v>1.6698500439734219E-2</v>
      </c>
      <c r="AF528" s="11">
        <f t="shared" si="105"/>
        <v>43.000000000000128</v>
      </c>
      <c r="AG528" s="1">
        <f t="shared" si="106"/>
        <v>0.14949502933481459</v>
      </c>
    </row>
    <row r="529" spans="2:33" ht="15" x14ac:dyDescent="0.25">
      <c r="B529" s="1">
        <v>518</v>
      </c>
      <c r="C529" s="1">
        <v>1.0009140400775456</v>
      </c>
      <c r="D529" s="1">
        <v>1.2157530904777911</v>
      </c>
      <c r="E529" s="1">
        <v>0.82140048278164157</v>
      </c>
      <c r="G529" s="1">
        <v>1.0002699044277752</v>
      </c>
      <c r="H529" s="1">
        <v>5.0245042607154433</v>
      </c>
      <c r="I529" s="1">
        <v>0.15478189625762728</v>
      </c>
      <c r="K529" s="1">
        <v>1.0000102811122145</v>
      </c>
      <c r="L529" s="1">
        <v>1.6011786888570714</v>
      </c>
      <c r="M529" s="1">
        <v>0.6138645624014204</v>
      </c>
      <c r="O529" s="1">
        <v>7.4413591564460348E-3</v>
      </c>
      <c r="P529" s="1">
        <v>0.72526463984653244</v>
      </c>
      <c r="R529" s="1">
        <v>0.20356798869965267</v>
      </c>
      <c r="S529" s="2">
        <f t="shared" si="96"/>
        <v>0.98331194186872506</v>
      </c>
      <c r="T529" s="4">
        <f t="shared" si="97"/>
        <v>0.96690237502164289</v>
      </c>
      <c r="U529" s="1">
        <f t="shared" si="100"/>
        <v>0.88531149657920638</v>
      </c>
      <c r="V529" s="6">
        <f>2*sigma/alpha*corel*(B529/12-1/alpha*(1-EXP(-alpha*Output!B529/12)))</f>
        <v>2.8266969083700837</v>
      </c>
      <c r="W529" s="5">
        <f t="shared" si="98"/>
        <v>-8.159087844243651E-2</v>
      </c>
      <c r="X529" s="1">
        <f t="shared" si="99"/>
        <v>22.078240422849692</v>
      </c>
      <c r="Y529" s="3">
        <f t="shared" si="101"/>
        <v>2.1683998914038497E-2</v>
      </c>
      <c r="Z529" s="1">
        <f t="shared" si="102"/>
        <v>0.14966389951833475</v>
      </c>
      <c r="AA529" s="8">
        <f t="shared" si="107"/>
        <v>43.083333333333464</v>
      </c>
      <c r="AB529" s="1">
        <v>43.17</v>
      </c>
      <c r="AC529" s="1">
        <v>7.568530304E-3</v>
      </c>
      <c r="AD529" s="8">
        <f t="shared" si="103"/>
        <v>1.2717114755396528</v>
      </c>
      <c r="AE529" s="3">
        <f t="shared" si="104"/>
        <v>1.680262117557418E-2</v>
      </c>
      <c r="AF529" s="11">
        <f t="shared" si="105"/>
        <v>43.083333333333464</v>
      </c>
      <c r="AG529" s="1">
        <f t="shared" si="106"/>
        <v>0.14966389951833475</v>
      </c>
    </row>
    <row r="530" spans="2:33" ht="15" x14ac:dyDescent="0.25">
      <c r="B530" s="1">
        <v>519</v>
      </c>
      <c r="C530" s="1">
        <v>1.0009115846311134</v>
      </c>
      <c r="D530" s="1">
        <v>1.2150196644129123</v>
      </c>
      <c r="E530" s="1">
        <v>0.82189399628724358</v>
      </c>
      <c r="G530" s="1">
        <v>0.99993745529224631</v>
      </c>
      <c r="H530" s="1">
        <v>4.9916726945408243</v>
      </c>
      <c r="I530" s="1">
        <v>0.15572449754871057</v>
      </c>
      <c r="K530" s="1">
        <v>0.99999990567858599</v>
      </c>
      <c r="L530" s="1">
        <v>1.5895601637545751</v>
      </c>
      <c r="M530" s="1">
        <v>0.61833093455426225</v>
      </c>
      <c r="O530" s="1">
        <v>7.440271514150075E-3</v>
      </c>
      <c r="P530" s="1">
        <v>0.72484912952688185</v>
      </c>
      <c r="R530" s="1">
        <v>0.20390689301093884</v>
      </c>
      <c r="S530" s="2">
        <f t="shared" si="96"/>
        <v>0.98532363030877312</v>
      </c>
      <c r="T530" s="4">
        <f t="shared" si="97"/>
        <v>0.97086265644485981</v>
      </c>
      <c r="U530" s="1">
        <f t="shared" si="100"/>
        <v>0.88883427957901828</v>
      </c>
      <c r="V530" s="6">
        <f>2*sigma/alpha*corel*(B530/12-1/alpha*(1-EXP(-alpha*Output!B530/12)))</f>
        <v>2.8352637811558683</v>
      </c>
      <c r="W530" s="5">
        <f t="shared" si="98"/>
        <v>-8.2028376865841524E-2</v>
      </c>
      <c r="X530" s="1">
        <f t="shared" si="99"/>
        <v>22.229629906524856</v>
      </c>
      <c r="Y530" s="3">
        <f t="shared" si="101"/>
        <v>2.1729099015700661E-2</v>
      </c>
      <c r="Z530" s="1">
        <f t="shared" si="102"/>
        <v>0.14982553680362326</v>
      </c>
      <c r="AA530" s="8">
        <f t="shared" si="107"/>
        <v>43.166666666666799</v>
      </c>
      <c r="AB530" s="1">
        <v>43.25</v>
      </c>
      <c r="AC530" s="1">
        <v>7.5682894989999999E-3</v>
      </c>
      <c r="AD530" s="8">
        <f t="shared" si="103"/>
        <v>1.2801798484992495</v>
      </c>
      <c r="AE530" s="3">
        <f t="shared" si="104"/>
        <v>1.6915048620542331E-2</v>
      </c>
      <c r="AF530" s="11">
        <f t="shared" si="105"/>
        <v>43.166666666666799</v>
      </c>
      <c r="AG530" s="1">
        <f t="shared" si="106"/>
        <v>0.14982553680362326</v>
      </c>
    </row>
    <row r="531" spans="2:33" ht="15" x14ac:dyDescent="0.25">
      <c r="B531" s="1">
        <v>520</v>
      </c>
      <c r="C531" s="1">
        <v>1.0009105562826812</v>
      </c>
      <c r="D531" s="1">
        <v>1.2175426510928373</v>
      </c>
      <c r="E531" s="1">
        <v>0.82018856024936992</v>
      </c>
      <c r="G531" s="1">
        <v>0.99967046673113602</v>
      </c>
      <c r="H531" s="1">
        <v>5.0862822828044374</v>
      </c>
      <c r="I531" s="1">
        <v>0.15275387467880816</v>
      </c>
      <c r="K531" s="1">
        <v>1.0000062512580739</v>
      </c>
      <c r="L531" s="1">
        <v>1.5997903675478975</v>
      </c>
      <c r="M531" s="1">
        <v>0.61433852275819656</v>
      </c>
      <c r="O531" s="1">
        <v>7.4391107773927947E-3</v>
      </c>
      <c r="P531" s="1">
        <v>0.72443628317263964</v>
      </c>
      <c r="R531" s="1">
        <v>0.20424920820526216</v>
      </c>
      <c r="S531" s="2">
        <f t="shared" si="96"/>
        <v>0.98734413726333048</v>
      </c>
      <c r="T531" s="4">
        <f t="shared" si="97"/>
        <v>0.97484844538827042</v>
      </c>
      <c r="U531" s="1">
        <f t="shared" si="100"/>
        <v>0.89236212697798711</v>
      </c>
      <c r="V531" s="6">
        <f>2*sigma/alpha*corel*(B531/12-1/alpha*(1-EXP(-alpha*Output!B531/12)))</f>
        <v>2.843836809656032</v>
      </c>
      <c r="W531" s="5">
        <f t="shared" si="98"/>
        <v>-8.248631841028331E-2</v>
      </c>
      <c r="X531" s="1">
        <f t="shared" si="99"/>
        <v>22.385036324403707</v>
      </c>
      <c r="Y531" s="3">
        <f t="shared" si="101"/>
        <v>2.1778222222695109E-2</v>
      </c>
      <c r="Z531" s="1">
        <f t="shared" si="102"/>
        <v>0.14998834149987511</v>
      </c>
      <c r="AA531" s="8">
        <f t="shared" si="107"/>
        <v>43.250000000000135</v>
      </c>
      <c r="AB531" s="1">
        <v>43.33</v>
      </c>
      <c r="AC531" s="1">
        <v>7.568049623E-3</v>
      </c>
      <c r="AD531" s="8">
        <f t="shared" si="103"/>
        <v>1.2893884560720523</v>
      </c>
      <c r="AE531" s="3">
        <f t="shared" si="104"/>
        <v>1.7037262178533845E-2</v>
      </c>
      <c r="AF531" s="11">
        <f t="shared" si="105"/>
        <v>43.250000000000135</v>
      </c>
      <c r="AG531" s="1">
        <f t="shared" si="106"/>
        <v>0.14998834149987511</v>
      </c>
    </row>
    <row r="532" spans="2:33" ht="15" x14ac:dyDescent="0.25">
      <c r="B532" s="1">
        <v>521</v>
      </c>
      <c r="C532" s="1">
        <v>1.0009125566490384</v>
      </c>
      <c r="D532" s="1">
        <v>1.215473011078035</v>
      </c>
      <c r="E532" s="1">
        <v>0.82158281227138219</v>
      </c>
      <c r="G532" s="1">
        <v>0.99964188730953996</v>
      </c>
      <c r="H532" s="1">
        <v>5.0064334250013216</v>
      </c>
      <c r="I532" s="1">
        <v>0.15511503766883575</v>
      </c>
      <c r="K532" s="1">
        <v>0.99999425319458546</v>
      </c>
      <c r="L532" s="1">
        <v>1.6027600631755237</v>
      </c>
      <c r="M532" s="1">
        <v>0.61319319903580227</v>
      </c>
      <c r="O532" s="1">
        <v>7.4380430312753262E-3</v>
      </c>
      <c r="P532" s="1">
        <v>0.72402088889971528</v>
      </c>
      <c r="R532" s="1">
        <v>0.20456126292265284</v>
      </c>
      <c r="S532" s="2">
        <f t="shared" si="96"/>
        <v>0.98926561012731051</v>
      </c>
      <c r="T532" s="4">
        <f t="shared" si="97"/>
        <v>0.97864644738055995</v>
      </c>
      <c r="U532" s="1">
        <f t="shared" si="100"/>
        <v>0.89589502554246048</v>
      </c>
      <c r="V532" s="6">
        <f>2*sigma/alpha*corel*(B532/12-1/alpha*(1-EXP(-alpha*Output!B532/12)))</f>
        <v>2.8524159733856864</v>
      </c>
      <c r="W532" s="5">
        <f t="shared" si="98"/>
        <v>-8.275142183809947E-2</v>
      </c>
      <c r="X532" s="1">
        <f t="shared" si="99"/>
        <v>22.507440477775752</v>
      </c>
      <c r="Y532" s="3">
        <f t="shared" si="101"/>
        <v>2.1786388644069947E-2</v>
      </c>
      <c r="Z532" s="1">
        <f t="shared" si="102"/>
        <v>0.15013594203687164</v>
      </c>
      <c r="AA532" s="8">
        <f t="shared" si="107"/>
        <v>43.333333333333471</v>
      </c>
      <c r="AB532" s="1">
        <v>43.42</v>
      </c>
      <c r="AC532" s="1">
        <v>7.5678106689999998E-3</v>
      </c>
      <c r="AD532" s="8">
        <f t="shared" si="103"/>
        <v>1.2976763772467366</v>
      </c>
      <c r="AE532" s="3">
        <f t="shared" si="104"/>
        <v>1.7147315571231246E-2</v>
      </c>
      <c r="AF532" s="11">
        <f t="shared" si="105"/>
        <v>43.333333333333471</v>
      </c>
      <c r="AG532" s="1">
        <f t="shared" si="106"/>
        <v>0.15013594203687164</v>
      </c>
    </row>
    <row r="533" spans="2:33" ht="15" x14ac:dyDescent="0.25">
      <c r="B533" s="1">
        <v>522</v>
      </c>
      <c r="C533" s="1">
        <v>1.000917425185234</v>
      </c>
      <c r="D533" s="1">
        <v>1.215982514555457</v>
      </c>
      <c r="E533" s="1">
        <v>0.82123624127712913</v>
      </c>
      <c r="G533" s="1">
        <v>0.99987412999686798</v>
      </c>
      <c r="H533" s="1">
        <v>5.023704727588135</v>
      </c>
      <c r="I533" s="1">
        <v>0.15450690539623735</v>
      </c>
      <c r="K533" s="1">
        <v>0.99999551038896717</v>
      </c>
      <c r="L533" s="1">
        <v>1.6033716642591902</v>
      </c>
      <c r="M533" s="1">
        <v>0.61295156897585712</v>
      </c>
      <c r="O533" s="1">
        <v>7.436924182532223E-3</v>
      </c>
      <c r="P533" s="1">
        <v>0.72360747013824267</v>
      </c>
      <c r="R533" s="1">
        <v>0.20491426314752145</v>
      </c>
      <c r="S533" s="2">
        <f t="shared" si="96"/>
        <v>0.99132904478243566</v>
      </c>
      <c r="T533" s="4">
        <f t="shared" si="97"/>
        <v>0.98273327502925634</v>
      </c>
      <c r="U533" s="1">
        <f t="shared" si="100"/>
        <v>0.89943296205877843</v>
      </c>
      <c r="V533" s="6">
        <f>2*sigma/alpha*corel*(B533/12-1/alpha*(1-EXP(-alpha*Output!B533/12)))</f>
        <v>2.8610012519281152</v>
      </c>
      <c r="W533" s="5">
        <f t="shared" si="98"/>
        <v>-8.3300312970477908E-2</v>
      </c>
      <c r="X533" s="1">
        <f t="shared" si="99"/>
        <v>22.679582620397397</v>
      </c>
      <c r="Y533" s="3">
        <f t="shared" si="101"/>
        <v>2.1854106747669199E-2</v>
      </c>
      <c r="Z533" s="1">
        <f t="shared" si="102"/>
        <v>0.1503049218785015</v>
      </c>
      <c r="AA533" s="8">
        <f t="shared" si="107"/>
        <v>43.416666666666806</v>
      </c>
      <c r="AB533" s="1">
        <v>43.5</v>
      </c>
      <c r="AC533" s="1">
        <v>7.5675726319999999E-3</v>
      </c>
      <c r="AD533" s="8">
        <f t="shared" si="103"/>
        <v>1.3064844946777694</v>
      </c>
      <c r="AE533" s="3">
        <f t="shared" si="104"/>
        <v>1.7264247840228317E-2</v>
      </c>
      <c r="AF533" s="11">
        <f t="shared" si="105"/>
        <v>43.416666666666806</v>
      </c>
      <c r="AG533" s="1">
        <f t="shared" si="106"/>
        <v>0.1503049218785015</v>
      </c>
    </row>
    <row r="534" spans="2:33" ht="15" x14ac:dyDescent="0.25">
      <c r="B534" s="1">
        <v>523</v>
      </c>
      <c r="C534" s="1">
        <v>1.0009197780937547</v>
      </c>
      <c r="D534" s="1">
        <v>1.2120119237318991</v>
      </c>
      <c r="E534" s="1">
        <v>0.82392430295964281</v>
      </c>
      <c r="G534" s="1">
        <v>0.99992595981666965</v>
      </c>
      <c r="H534" s="1">
        <v>4.8769866986709518</v>
      </c>
      <c r="I534" s="1">
        <v>0.15907798397239187</v>
      </c>
      <c r="K534" s="1">
        <v>0.999998016549971</v>
      </c>
      <c r="L534" s="1">
        <v>1.6062657961935671</v>
      </c>
      <c r="M534" s="1">
        <v>0.61179447386595154</v>
      </c>
      <c r="O534" s="1">
        <v>7.4358419190924891E-3</v>
      </c>
      <c r="P534" s="1">
        <v>0.72319326915857984</v>
      </c>
      <c r="R534" s="1">
        <v>0.20521952816423344</v>
      </c>
      <c r="S534" s="2">
        <f t="shared" si="96"/>
        <v>0.99322839368969218</v>
      </c>
      <c r="T534" s="4">
        <f t="shared" si="97"/>
        <v>0.98650264203140614</v>
      </c>
      <c r="U534" s="1">
        <f t="shared" si="100"/>
        <v>0.90297592333336052</v>
      </c>
      <c r="V534" s="6">
        <f>2*sigma/alpha*corel*(B534/12-1/alpha*(1-EXP(-alpha*Output!B534/12)))</f>
        <v>2.8695926249345418</v>
      </c>
      <c r="W534" s="5">
        <f t="shared" si="98"/>
        <v>-8.3526718698045621E-2</v>
      </c>
      <c r="X534" s="1">
        <f t="shared" si="99"/>
        <v>22.796053126104667</v>
      </c>
      <c r="Y534" s="3">
        <f t="shared" si="101"/>
        <v>2.1853865630753894E-2</v>
      </c>
      <c r="Z534" s="1">
        <f t="shared" si="102"/>
        <v>0.15044886126323825</v>
      </c>
      <c r="AA534" s="8">
        <f t="shared" si="107"/>
        <v>43.500000000000142</v>
      </c>
      <c r="AB534" s="1">
        <v>43.58</v>
      </c>
      <c r="AC534" s="1">
        <v>7.5673355080000003E-3</v>
      </c>
      <c r="AD534" s="8">
        <f t="shared" si="103"/>
        <v>1.3149358890751119</v>
      </c>
      <c r="AE534" s="3">
        <f t="shared" si="104"/>
        <v>1.737647138395006E-2</v>
      </c>
      <c r="AF534" s="11">
        <f t="shared" si="105"/>
        <v>43.500000000000142</v>
      </c>
      <c r="AG534" s="1">
        <f t="shared" si="106"/>
        <v>0.15044886126323825</v>
      </c>
    </row>
    <row r="535" spans="2:33" ht="15" x14ac:dyDescent="0.25">
      <c r="B535" s="1">
        <v>524</v>
      </c>
      <c r="C535" s="1">
        <v>1.0009226997115923</v>
      </c>
      <c r="D535" s="1">
        <v>1.2127139593369858</v>
      </c>
      <c r="E535" s="1">
        <v>0.82344499737226595</v>
      </c>
      <c r="G535" s="1">
        <v>1.0000281510447242</v>
      </c>
      <c r="H535" s="1">
        <v>4.9014958049907218</v>
      </c>
      <c r="I535" s="1">
        <v>0.15820589506714391</v>
      </c>
      <c r="K535" s="1">
        <v>0.99999767403923545</v>
      </c>
      <c r="L535" s="1">
        <v>1.6166480824042107</v>
      </c>
      <c r="M535" s="1">
        <v>0.60785887346309386</v>
      </c>
      <c r="O535" s="1">
        <v>7.4348388731780785E-3</v>
      </c>
      <c r="P535" s="1">
        <v>0.72277693543592236</v>
      </c>
      <c r="R535" s="1">
        <v>0.20554313406498512</v>
      </c>
      <c r="S535" s="2">
        <f t="shared" ref="S535:S598" si="108">optim_vol_implied(P535,R535)</f>
        <v>0.99519853682920623</v>
      </c>
      <c r="T535" s="4">
        <f t="shared" ref="T535:T598" si="109">S535*S535</f>
        <v>0.99042012770699295</v>
      </c>
      <c r="U535" s="1">
        <f t="shared" si="100"/>
        <v>0.90652389619279949</v>
      </c>
      <c r="V535" s="6">
        <f>2*sigma/alpha*corel*(B535/12-1/alpha*(1-EXP(-alpha*Output!B535/12)))</f>
        <v>2.878190072123906</v>
      </c>
      <c r="W535" s="5">
        <f t="shared" ref="W535:W598" si="110">U535-T535</f>
        <v>-8.3896231514193453E-2</v>
      </c>
      <c r="X535" s="1">
        <f t="shared" ref="X535:X598" si="111">V535*V535-4*W535*B535/12</f>
        <v>22.937853195751735</v>
      </c>
      <c r="Y535" s="3">
        <f t="shared" si="101"/>
        <v>2.1883486445467403E-2</v>
      </c>
      <c r="Z535" s="1">
        <f t="shared" si="102"/>
        <v>0.15060337635786639</v>
      </c>
      <c r="AA535" s="8">
        <f t="shared" si="107"/>
        <v>43.583333333333478</v>
      </c>
      <c r="AB535" s="1">
        <v>43.67</v>
      </c>
      <c r="AC535" s="1">
        <v>7.5670992899999996E-3</v>
      </c>
      <c r="AD535" s="8">
        <f t="shared" si="103"/>
        <v>1.3226041682192109</v>
      </c>
      <c r="AE535" s="3">
        <f t="shared" si="104"/>
        <v>1.7478350917993716E-2</v>
      </c>
      <c r="AF535" s="11">
        <f t="shared" si="105"/>
        <v>43.583333333333478</v>
      </c>
      <c r="AG535" s="1">
        <f t="shared" si="106"/>
        <v>0.15060337635786639</v>
      </c>
    </row>
    <row r="536" spans="2:33" ht="15" x14ac:dyDescent="0.25">
      <c r="B536" s="1">
        <v>525</v>
      </c>
      <c r="C536" s="1">
        <v>1.0009233992650897</v>
      </c>
      <c r="D536" s="1">
        <v>1.2116732266452572</v>
      </c>
      <c r="E536" s="1">
        <v>0.8241499269899133</v>
      </c>
      <c r="G536" s="1">
        <v>0.99990910171283942</v>
      </c>
      <c r="H536" s="1">
        <v>4.8602576203503309</v>
      </c>
      <c r="I536" s="1">
        <v>0.15947097652315179</v>
      </c>
      <c r="K536" s="1">
        <v>1.0000174791365508</v>
      </c>
      <c r="L536" s="1">
        <v>1.6202761926344795</v>
      </c>
      <c r="M536" s="1">
        <v>0.60646740428347101</v>
      </c>
      <c r="O536" s="1">
        <v>7.4338603399640175E-3</v>
      </c>
      <c r="P536" s="1">
        <v>0.72236018747019182</v>
      </c>
      <c r="R536" s="1">
        <v>0.20589061709198331</v>
      </c>
      <c r="S536" s="2">
        <f t="shared" si="108"/>
        <v>0.99725570351231663</v>
      </c>
      <c r="T536" s="4">
        <f t="shared" si="109"/>
        <v>0.99451893818784554</v>
      </c>
      <c r="U536" s="1">
        <f t="shared" si="100"/>
        <v>0.91007686748395455</v>
      </c>
      <c r="V536" s="6">
        <f>2*sigma/alpha*corel*(B536/12-1/alpha*(1-EXP(-alpha*Output!B536/12)))</f>
        <v>2.8867935732826413</v>
      </c>
      <c r="W536" s="5">
        <f t="shared" si="110"/>
        <v>-8.4442070703890981E-2</v>
      </c>
      <c r="X536" s="1">
        <f t="shared" si="111"/>
        <v>23.110939507926879</v>
      </c>
      <c r="Y536" s="3">
        <f t="shared" si="101"/>
        <v>2.1949603194204421E-2</v>
      </c>
      <c r="Z536" s="1">
        <f t="shared" si="102"/>
        <v>0.15077089057339157</v>
      </c>
      <c r="AA536" s="8">
        <f t="shared" si="107"/>
        <v>43.666666666666814</v>
      </c>
      <c r="AB536" s="1">
        <v>43.75</v>
      </c>
      <c r="AC536" s="1">
        <v>7.5668639739999996E-3</v>
      </c>
      <c r="AD536" s="8">
        <f t="shared" si="103"/>
        <v>1.3300363403598217</v>
      </c>
      <c r="AE536" s="3">
        <f t="shared" si="104"/>
        <v>1.7577114441727399E-2</v>
      </c>
      <c r="AF536" s="11">
        <f t="shared" si="105"/>
        <v>43.666666666666814</v>
      </c>
      <c r="AG536" s="1">
        <f t="shared" si="106"/>
        <v>0.15077089057339157</v>
      </c>
    </row>
    <row r="537" spans="2:33" ht="15" x14ac:dyDescent="0.25">
      <c r="B537" s="1">
        <v>526</v>
      </c>
      <c r="C537" s="1">
        <v>1.0009268661222528</v>
      </c>
      <c r="D537" s="1">
        <v>1.2106334215961538</v>
      </c>
      <c r="E537" s="1">
        <v>0.82485543206501488</v>
      </c>
      <c r="G537" s="1">
        <v>1.000007384858294</v>
      </c>
      <c r="H537" s="1">
        <v>4.818125863367313</v>
      </c>
      <c r="I537" s="1">
        <v>0.16078756084131179</v>
      </c>
      <c r="K537" s="1">
        <v>1.0000106341849295</v>
      </c>
      <c r="L537" s="1">
        <v>1.6296291810654018</v>
      </c>
      <c r="M537" s="1">
        <v>0.60295547274790118</v>
      </c>
      <c r="O537" s="1">
        <v>7.4329791956698268E-3</v>
      </c>
      <c r="P537" s="1">
        <v>0.72194071565374573</v>
      </c>
      <c r="R537" s="1">
        <v>0.20619317376182569</v>
      </c>
      <c r="S537" s="2">
        <f t="shared" si="108"/>
        <v>0.99916221223080415</v>
      </c>
      <c r="T537" s="4">
        <f t="shared" si="109"/>
        <v>0.99832512634995452</v>
      </c>
      <c r="U537" s="1">
        <f t="shared" si="100"/>
        <v>0.91363482407403662</v>
      </c>
      <c r="V537" s="6">
        <f>2*sigma/alpha*corel*(B537/12-1/alpha*(1-EXP(-alpha*Output!B537/12)))</f>
        <v>2.895403108264444</v>
      </c>
      <c r="W537" s="5">
        <f t="shared" si="110"/>
        <v>-8.4690302275917895E-2</v>
      </c>
      <c r="X537" s="1">
        <f t="shared" si="111"/>
        <v>23.232392158391676</v>
      </c>
      <c r="Y537" s="3">
        <f t="shared" si="101"/>
        <v>2.1953567432973085E-2</v>
      </c>
      <c r="Z537" s="1">
        <f t="shared" si="102"/>
        <v>0.15091546695975058</v>
      </c>
      <c r="AA537" s="8">
        <f t="shared" si="107"/>
        <v>43.750000000000149</v>
      </c>
      <c r="AB537" s="1">
        <v>43.83</v>
      </c>
      <c r="AC537" s="1">
        <v>7.5666295539999996E-3</v>
      </c>
      <c r="AD537" s="8">
        <f t="shared" si="103"/>
        <v>1.3365035833017274</v>
      </c>
      <c r="AE537" s="3">
        <f t="shared" si="104"/>
        <v>1.766312958449515E-2</v>
      </c>
      <c r="AF537" s="11">
        <f t="shared" si="105"/>
        <v>43.750000000000149</v>
      </c>
      <c r="AG537" s="1">
        <f t="shared" si="106"/>
        <v>0.15091546695975058</v>
      </c>
    </row>
    <row r="538" spans="2:33" ht="15" x14ac:dyDescent="0.25">
      <c r="B538" s="1">
        <v>527</v>
      </c>
      <c r="C538" s="1">
        <v>1.0009299795354811</v>
      </c>
      <c r="D538" s="1">
        <v>1.2126351426772102</v>
      </c>
      <c r="E538" s="1">
        <v>0.82349147365280118</v>
      </c>
      <c r="G538" s="1">
        <v>1.0000974984849478</v>
      </c>
      <c r="H538" s="1">
        <v>4.8917924190586257</v>
      </c>
      <c r="I538" s="1">
        <v>0.15828953757379804</v>
      </c>
      <c r="K538" s="1">
        <v>1.0000086293103809</v>
      </c>
      <c r="L538" s="1">
        <v>1.6275054917530904</v>
      </c>
      <c r="M538" s="1">
        <v>0.60373923498677773</v>
      </c>
      <c r="O538" s="1">
        <v>7.4321987976189831E-3</v>
      </c>
      <c r="P538" s="1">
        <v>0.72151840106240461</v>
      </c>
      <c r="R538" s="1">
        <v>0.20647630271667863</v>
      </c>
      <c r="S538" s="2">
        <f t="shared" si="108"/>
        <v>1.0010079157785017</v>
      </c>
      <c r="T538" s="4">
        <f t="shared" si="109"/>
        <v>1.0020168474512199</v>
      </c>
      <c r="U538" s="1">
        <f t="shared" si="100"/>
        <v>0.91719775285069671</v>
      </c>
      <c r="V538" s="6">
        <f>2*sigma/alpha*corel*(B538/12-1/alpha*(1-EXP(-alpha*Output!B538/12)))</f>
        <v>2.9040186569900537</v>
      </c>
      <c r="W538" s="5">
        <f t="shared" si="110"/>
        <v>-8.4819094600523171E-2</v>
      </c>
      <c r="X538" s="1">
        <f t="shared" si="111"/>
        <v>23.333211978304888</v>
      </c>
      <c r="Y538" s="3">
        <f t="shared" si="101"/>
        <v>2.1932763153145227E-2</v>
      </c>
      <c r="Z538" s="1">
        <f t="shared" si="102"/>
        <v>0.15105072956498775</v>
      </c>
      <c r="AA538" s="8">
        <f t="shared" si="107"/>
        <v>43.833333333333485</v>
      </c>
      <c r="AB538" s="1">
        <v>43.92</v>
      </c>
      <c r="AC538" s="1">
        <v>7.5663960260000003E-3</v>
      </c>
      <c r="AD538" s="8">
        <f t="shared" si="103"/>
        <v>1.3419722838101718</v>
      </c>
      <c r="AE538" s="3">
        <f t="shared" si="104"/>
        <v>1.7735950896553977E-2</v>
      </c>
      <c r="AF538" s="11">
        <f t="shared" si="105"/>
        <v>43.833333333333485</v>
      </c>
      <c r="AG538" s="1">
        <f t="shared" si="106"/>
        <v>0.15105072956498775</v>
      </c>
    </row>
    <row r="539" spans="2:33" ht="15" x14ac:dyDescent="0.25">
      <c r="B539" s="1">
        <v>528</v>
      </c>
      <c r="C539" s="1">
        <v>1.0009282980419216</v>
      </c>
      <c r="D539" s="1">
        <v>1.2153921790175519</v>
      </c>
      <c r="E539" s="1">
        <v>0.821621086011323</v>
      </c>
      <c r="G539" s="1">
        <v>0.99983004031015899</v>
      </c>
      <c r="H539" s="1">
        <v>4.9908325177310946</v>
      </c>
      <c r="I539" s="1">
        <v>0.15507324486634941</v>
      </c>
      <c r="K539" s="1">
        <v>0.99999987590406303</v>
      </c>
      <c r="L539" s="1">
        <v>1.6343133961976515</v>
      </c>
      <c r="M539" s="1">
        <v>0.60120248790706343</v>
      </c>
      <c r="O539" s="1">
        <v>7.4314750975496956E-3</v>
      </c>
      <c r="P539" s="1">
        <v>0.72109462837826155</v>
      </c>
      <c r="R539" s="1">
        <v>0.20677964792615047</v>
      </c>
      <c r="S539" s="2">
        <f t="shared" si="108"/>
        <v>1.0029298493261354</v>
      </c>
      <c r="T539" s="4">
        <f t="shared" si="109"/>
        <v>1.0058682826693446</v>
      </c>
      <c r="U539" s="1">
        <f t="shared" si="100"/>
        <v>0.92076564072211697</v>
      </c>
      <c r="V539" s="6">
        <f>2*sigma/alpha*corel*(B539/12-1/alpha*(1-EXP(-alpha*Output!B539/12)))</f>
        <v>2.9126401994470328</v>
      </c>
      <c r="W539" s="5">
        <f t="shared" si="110"/>
        <v>-8.5102641947227609E-2</v>
      </c>
      <c r="X539" s="1">
        <f t="shared" si="111"/>
        <v>23.461537914146909</v>
      </c>
      <c r="Y539" s="3">
        <f t="shared" si="101"/>
        <v>2.1943988320230076E-2</v>
      </c>
      <c r="Z539" s="1">
        <f t="shared" si="102"/>
        <v>0.15119736369374848</v>
      </c>
      <c r="AA539" s="8">
        <f t="shared" si="107"/>
        <v>43.916666666666821</v>
      </c>
      <c r="AB539" s="1">
        <v>44</v>
      </c>
      <c r="AC539" s="1">
        <v>7.5661633840000001E-3</v>
      </c>
      <c r="AD539" s="8">
        <f t="shared" si="103"/>
        <v>1.3468828645030444</v>
      </c>
      <c r="AE539" s="3">
        <f t="shared" si="104"/>
        <v>1.780139809498785E-2</v>
      </c>
      <c r="AF539" s="11">
        <f t="shared" si="105"/>
        <v>43.916666666666821</v>
      </c>
      <c r="AG539" s="1">
        <f t="shared" si="106"/>
        <v>0.15119736369374848</v>
      </c>
    </row>
    <row r="540" spans="2:33" ht="15" x14ac:dyDescent="0.25">
      <c r="B540" s="1">
        <v>529</v>
      </c>
      <c r="C540" s="1">
        <v>1.0009306130990898</v>
      </c>
      <c r="D540" s="1">
        <v>1.2146257944606798</v>
      </c>
      <c r="E540" s="1">
        <v>0.82213714072412269</v>
      </c>
      <c r="G540" s="1">
        <v>0.99989126204600876</v>
      </c>
      <c r="H540" s="1">
        <v>4.9559113423643932</v>
      </c>
      <c r="I540" s="1">
        <v>0.1560903234536537</v>
      </c>
      <c r="K540" s="1">
        <v>0.99999630781437066</v>
      </c>
      <c r="L540" s="1">
        <v>1.6205717372327171</v>
      </c>
      <c r="M540" s="1">
        <v>0.60627365345581818</v>
      </c>
      <c r="O540" s="1">
        <v>7.4308372620648499E-3</v>
      </c>
      <c r="P540" s="1">
        <v>0.72066846363807691</v>
      </c>
      <c r="R540" s="1">
        <v>0.2070942780235811</v>
      </c>
      <c r="S540" s="2">
        <f t="shared" si="108"/>
        <v>1.0048985226020808</v>
      </c>
      <c r="T540" s="4">
        <f t="shared" si="109"/>
        <v>1.0098210407278447</v>
      </c>
      <c r="U540" s="1">
        <f t="shared" si="100"/>
        <v>0.92433847461709107</v>
      </c>
      <c r="V540" s="6">
        <f>2*sigma/alpha*corel*(B540/12-1/alpha*(1-EXP(-alpha*Output!B540/12)))</f>
        <v>2.9212677156895372</v>
      </c>
      <c r="W540" s="5">
        <f t="shared" si="110"/>
        <v>-8.5482566110753666E-2</v>
      </c>
      <c r="X540" s="1">
        <f t="shared" si="111"/>
        <v>23.607230890926196</v>
      </c>
      <c r="Y540" s="3">
        <f t="shared" si="101"/>
        <v>2.1974966830773629E-2</v>
      </c>
      <c r="Z540" s="1">
        <f t="shared" si="102"/>
        <v>0.15135089544327876</v>
      </c>
      <c r="AA540" s="8">
        <f t="shared" si="107"/>
        <v>44.000000000000156</v>
      </c>
      <c r="AB540" s="1">
        <v>44.08</v>
      </c>
      <c r="AC540" s="1">
        <v>7.5659316239999998E-3</v>
      </c>
      <c r="AD540" s="8">
        <f t="shared" si="103"/>
        <v>1.3509436193514992</v>
      </c>
      <c r="AE540" s="3">
        <f t="shared" si="104"/>
        <v>1.785561496572546E-2</v>
      </c>
      <c r="AF540" s="11">
        <f t="shared" si="105"/>
        <v>44.000000000000156</v>
      </c>
      <c r="AG540" s="1">
        <f t="shared" si="106"/>
        <v>0.15135089544327876</v>
      </c>
    </row>
    <row r="541" spans="2:33" ht="15" x14ac:dyDescent="0.25">
      <c r="B541" s="1">
        <v>530</v>
      </c>
      <c r="C541" s="1">
        <v>1.000929914050382</v>
      </c>
      <c r="D541" s="1">
        <v>1.2109105273843634</v>
      </c>
      <c r="E541" s="1">
        <v>0.82465721878181009</v>
      </c>
      <c r="G541" s="1">
        <v>0.99967256562627094</v>
      </c>
      <c r="H541" s="1">
        <v>4.8208119446560573</v>
      </c>
      <c r="I541" s="1">
        <v>0.16038692294449464</v>
      </c>
      <c r="K541" s="1">
        <v>1.0000015392099109</v>
      </c>
      <c r="L541" s="1">
        <v>1.6308023037139749</v>
      </c>
      <c r="M541" s="1">
        <v>0.60246003580635821</v>
      </c>
      <c r="O541" s="1">
        <v>7.4302490304364501E-3</v>
      </c>
      <c r="P541" s="1">
        <v>0.72024104939354572</v>
      </c>
      <c r="R541" s="1">
        <v>0.207389611366782</v>
      </c>
      <c r="S541" s="2">
        <f t="shared" si="108"/>
        <v>1.0068036288950351</v>
      </c>
      <c r="T541" s="4">
        <f t="shared" si="109"/>
        <v>1.0136535471562114</v>
      </c>
      <c r="U541" s="1">
        <f t="shared" si="100"/>
        <v>0.92791624148510765</v>
      </c>
      <c r="V541" s="6">
        <f>2*sigma/alpha*corel*(B541/12-1/alpha*(1-EXP(-alpha*Output!B541/12)))</f>
        <v>2.9299011858380983</v>
      </c>
      <c r="W541" s="5">
        <f t="shared" si="110"/>
        <v>-8.5737305671103714E-2</v>
      </c>
      <c r="X541" s="1">
        <f t="shared" si="111"/>
        <v>23.731244960670484</v>
      </c>
      <c r="Y541" s="3">
        <f t="shared" si="101"/>
        <v>2.198005335960285E-2</v>
      </c>
      <c r="Z541" s="1">
        <f t="shared" si="102"/>
        <v>0.15149470733562503</v>
      </c>
      <c r="AA541" s="8">
        <f t="shared" si="107"/>
        <v>44.083333333333492</v>
      </c>
      <c r="AB541" s="1">
        <v>44.17</v>
      </c>
      <c r="AC541" s="1">
        <v>7.5657007400000004E-3</v>
      </c>
      <c r="AD541" s="8">
        <f t="shared" si="103"/>
        <v>1.3545170956355026</v>
      </c>
      <c r="AE541" s="3">
        <f t="shared" si="104"/>
        <v>1.7903392457411717E-2</v>
      </c>
      <c r="AF541" s="11">
        <f t="shared" si="105"/>
        <v>44.083333333333492</v>
      </c>
      <c r="AG541" s="1">
        <f t="shared" si="106"/>
        <v>0.15149470733562503</v>
      </c>
    </row>
    <row r="542" spans="2:33" ht="15" x14ac:dyDescent="0.25">
      <c r="B542" s="1">
        <v>531</v>
      </c>
      <c r="C542" s="1">
        <v>1.0009282443476855</v>
      </c>
      <c r="D542" s="1">
        <v>1.2116565439582243</v>
      </c>
      <c r="E542" s="1">
        <v>0.8241471040552274</v>
      </c>
      <c r="G542" s="1">
        <v>0.99939828679103271</v>
      </c>
      <c r="H542" s="1">
        <v>4.8441808729515872</v>
      </c>
      <c r="I542" s="1">
        <v>0.15953590121413869</v>
      </c>
      <c r="K542" s="1">
        <v>0.99999485564019086</v>
      </c>
      <c r="L542" s="1">
        <v>1.6441189621494823</v>
      </c>
      <c r="M542" s="1">
        <v>0.59754858701528102</v>
      </c>
      <c r="O542" s="1">
        <v>7.4296381498496419E-3</v>
      </c>
      <c r="P542" s="1">
        <v>0.71981468061924458</v>
      </c>
      <c r="R542" s="1">
        <v>0.20769967300796482</v>
      </c>
      <c r="S542" s="2">
        <f t="shared" si="108"/>
        <v>1.0087607806164447</v>
      </c>
      <c r="T542" s="4">
        <f t="shared" si="109"/>
        <v>1.0175983125098989</v>
      </c>
      <c r="U542" s="1">
        <f t="shared" si="100"/>
        <v>0.93149892829643832</v>
      </c>
      <c r="V542" s="6">
        <f>2*sigma/alpha*corel*(B542/12-1/alpha*(1-EXP(-alpha*Output!B542/12)))</f>
        <v>2.9385405900794042</v>
      </c>
      <c r="W542" s="5">
        <f t="shared" si="110"/>
        <v>-8.6099384213460528E-2</v>
      </c>
      <c r="X542" s="1">
        <f t="shared" si="111"/>
        <v>23.874611805326726</v>
      </c>
      <c r="Y542" s="3">
        <f t="shared" si="101"/>
        <v>2.2007059408445807E-2</v>
      </c>
      <c r="Z542" s="1">
        <f t="shared" si="102"/>
        <v>0.15164620679107674</v>
      </c>
      <c r="AA542" s="8">
        <f t="shared" si="107"/>
        <v>44.166666666666828</v>
      </c>
      <c r="AB542" s="1">
        <v>44.25</v>
      </c>
      <c r="AC542" s="1">
        <v>7.5654707269999996E-3</v>
      </c>
      <c r="AD542" s="8">
        <f t="shared" si="103"/>
        <v>1.3583257715035768</v>
      </c>
      <c r="AE542" s="3">
        <f t="shared" si="104"/>
        <v>1.7954279654482323E-2</v>
      </c>
      <c r="AF542" s="11">
        <f t="shared" si="105"/>
        <v>44.166666666666828</v>
      </c>
      <c r="AG542" s="1">
        <f t="shared" si="106"/>
        <v>0.15164620679107674</v>
      </c>
    </row>
    <row r="543" spans="2:33" ht="15" x14ac:dyDescent="0.25">
      <c r="B543" s="1">
        <v>532</v>
      </c>
      <c r="C543" s="1">
        <v>1.0009302125406743</v>
      </c>
      <c r="D543" s="1">
        <v>1.2111963079643016</v>
      </c>
      <c r="E543" s="1">
        <v>0.82445788831093814</v>
      </c>
      <c r="G543" s="1">
        <v>0.99941719651402905</v>
      </c>
      <c r="H543" s="1">
        <v>4.8264935605301718</v>
      </c>
      <c r="I543" s="1">
        <v>0.16004299951751921</v>
      </c>
      <c r="K543" s="1">
        <v>0.99999366791278288</v>
      </c>
      <c r="L543" s="1">
        <v>1.6284978007436162</v>
      </c>
      <c r="M543" s="1">
        <v>0.60327837507443771</v>
      </c>
      <c r="O543" s="1">
        <v>7.4289981736989294E-3</v>
      </c>
      <c r="P543" s="1">
        <v>0.71938956543283494</v>
      </c>
      <c r="R543" s="1">
        <v>0.20798755074486205</v>
      </c>
      <c r="S543" s="2">
        <f t="shared" si="108"/>
        <v>1.0106389693416309</v>
      </c>
      <c r="T543" s="4">
        <f t="shared" si="109"/>
        <v>1.021391126351914</v>
      </c>
      <c r="U543" s="1">
        <f t="shared" si="100"/>
        <v>0.9350865220422131</v>
      </c>
      <c r="V543" s="6">
        <f>2*sigma/alpha*corel*(B543/12-1/alpha*(1-EXP(-alpha*Output!B543/12)))</f>
        <v>2.9471859086660768</v>
      </c>
      <c r="W543" s="5">
        <f t="shared" si="110"/>
        <v>-8.6304604309700883E-2</v>
      </c>
      <c r="X543" s="1">
        <f t="shared" si="111"/>
        <v>23.990587944493512</v>
      </c>
      <c r="Y543" s="3">
        <f t="shared" si="101"/>
        <v>2.20018744602462E-2</v>
      </c>
      <c r="Z543" s="1">
        <f t="shared" si="102"/>
        <v>0.1517856962525958</v>
      </c>
      <c r="AA543" s="8">
        <f t="shared" si="107"/>
        <v>44.250000000000163</v>
      </c>
      <c r="AB543" s="1">
        <v>44.33</v>
      </c>
      <c r="AC543" s="1">
        <v>7.5652415799999997E-3</v>
      </c>
      <c r="AD543" s="8">
        <f t="shared" si="103"/>
        <v>1.3624340630107035</v>
      </c>
      <c r="AE543" s="3">
        <f t="shared" si="104"/>
        <v>1.8009128308771119E-2</v>
      </c>
      <c r="AF543" s="11">
        <f t="shared" si="105"/>
        <v>44.250000000000163</v>
      </c>
      <c r="AG543" s="1">
        <f t="shared" si="106"/>
        <v>0.1517856962525958</v>
      </c>
    </row>
    <row r="544" spans="2:33" ht="15" x14ac:dyDescent="0.25">
      <c r="B544" s="1">
        <v>533</v>
      </c>
      <c r="C544" s="1">
        <v>1.0009289243180466</v>
      </c>
      <c r="D544" s="1">
        <v>1.2084451436642645</v>
      </c>
      <c r="E544" s="1">
        <v>0.82633247250209219</v>
      </c>
      <c r="G544" s="1">
        <v>0.99916869908193362</v>
      </c>
      <c r="H544" s="1">
        <v>4.7271942309197303</v>
      </c>
      <c r="I544" s="1">
        <v>0.16332572604282314</v>
      </c>
      <c r="K544" s="1">
        <v>0.99999058938134555</v>
      </c>
      <c r="L544" s="1">
        <v>1.6297741109582722</v>
      </c>
      <c r="M544" s="1">
        <v>0.60275606987652464</v>
      </c>
      <c r="O544" s="1">
        <v>7.4283930857571637E-3</v>
      </c>
      <c r="P544" s="1">
        <v>0.71896366388195942</v>
      </c>
      <c r="R544" s="1">
        <v>0.20831202101692189</v>
      </c>
      <c r="S544" s="2">
        <f t="shared" si="108"/>
        <v>1.0126504253383579</v>
      </c>
      <c r="T544" s="4">
        <f t="shared" si="109"/>
        <v>1.0254608839379573</v>
      </c>
      <c r="U544" s="1">
        <f t="shared" si="100"/>
        <v>0.93867900973450435</v>
      </c>
      <c r="V544" s="6">
        <f>2*sigma/alpha*corel*(B544/12-1/alpha*(1-EXP(-alpha*Output!B544/12)))</f>
        <v>2.955837121916451</v>
      </c>
      <c r="W544" s="5">
        <f t="shared" si="110"/>
        <v>-8.6781874203452958E-2</v>
      </c>
      <c r="X544" s="1">
        <f t="shared" si="111"/>
        <v>24.155219408112803</v>
      </c>
      <c r="Y544" s="3">
        <f t="shared" si="101"/>
        <v>2.2052069563111447E-2</v>
      </c>
      <c r="Z544" s="1">
        <f t="shared" si="102"/>
        <v>0.15194505405165634</v>
      </c>
      <c r="AA544" s="8">
        <f t="shared" si="107"/>
        <v>44.333333333333499</v>
      </c>
      <c r="AB544" s="1">
        <v>44.42</v>
      </c>
      <c r="AC544" s="1">
        <v>7.5650132949999999E-3</v>
      </c>
      <c r="AD544" s="8">
        <f t="shared" si="103"/>
        <v>1.3662020924283622</v>
      </c>
      <c r="AE544" s="3">
        <f t="shared" si="104"/>
        <v>1.8059480388902108E-2</v>
      </c>
      <c r="AF544" s="11">
        <f t="shared" si="105"/>
        <v>44.333333333333499</v>
      </c>
      <c r="AG544" s="1">
        <f t="shared" si="106"/>
        <v>0.15194505405165634</v>
      </c>
    </row>
    <row r="545" spans="2:33" ht="15" x14ac:dyDescent="0.25">
      <c r="B545" s="1">
        <v>534</v>
      </c>
      <c r="C545" s="1">
        <v>1.0009288288050584</v>
      </c>
      <c r="D545" s="1">
        <v>1.2090219808215323</v>
      </c>
      <c r="E545" s="1">
        <v>0.82593582819796152</v>
      </c>
      <c r="G545" s="1">
        <v>0.99906875735137879</v>
      </c>
      <c r="H545" s="1">
        <v>4.7486468283971224</v>
      </c>
      <c r="I545" s="1">
        <v>0.16250914398353222</v>
      </c>
      <c r="K545" s="1">
        <v>0.99998170732589142</v>
      </c>
      <c r="L545" s="1">
        <v>1.6362132124526503</v>
      </c>
      <c r="M545" s="1">
        <v>0.60038924663296322</v>
      </c>
      <c r="O545" s="1">
        <v>7.4278138550899538E-3</v>
      </c>
      <c r="P545" s="1">
        <v>0.71853726015704189</v>
      </c>
      <c r="R545" s="1">
        <v>0.20857412094369068</v>
      </c>
      <c r="S545" s="2">
        <f t="shared" si="108"/>
        <v>1.0144439207274731</v>
      </c>
      <c r="T545" s="4">
        <f t="shared" si="109"/>
        <v>1.0290964683009278</v>
      </c>
      <c r="U545" s="1">
        <f t="shared" si="100"/>
        <v>0.9422763784064041</v>
      </c>
      <c r="V545" s="6">
        <f>2*sigma/alpha*corel*(B545/12-1/alpha*(1-EXP(-alpha*Output!B545/12)))</f>
        <v>2.9644942102143608</v>
      </c>
      <c r="W545" s="5">
        <f t="shared" si="110"/>
        <v>-8.6820089894523722E-2</v>
      </c>
      <c r="X545" s="1">
        <f t="shared" si="111"/>
        <v>24.242201923619689</v>
      </c>
      <c r="Y545" s="3">
        <f t="shared" si="101"/>
        <v>2.201284103736921E-2</v>
      </c>
      <c r="Z545" s="1">
        <f t="shared" si="102"/>
        <v>0.15207157305888933</v>
      </c>
      <c r="AA545" s="8">
        <f t="shared" si="107"/>
        <v>44.416666666666835</v>
      </c>
      <c r="AB545" s="1">
        <v>44.5</v>
      </c>
      <c r="AC545" s="1">
        <v>7.5647858660000001E-3</v>
      </c>
      <c r="AD545" s="8">
        <f t="shared" si="103"/>
        <v>1.3697201091004627</v>
      </c>
      <c r="AE545" s="3">
        <f t="shared" si="104"/>
        <v>1.8106528504087369E-2</v>
      </c>
      <c r="AF545" s="11">
        <f t="shared" si="105"/>
        <v>44.416666666666835</v>
      </c>
      <c r="AG545" s="1">
        <f t="shared" si="106"/>
        <v>0.15207157305888933</v>
      </c>
    </row>
    <row r="546" spans="2:33" ht="15" x14ac:dyDescent="0.25">
      <c r="B546" s="1">
        <v>535</v>
      </c>
      <c r="C546" s="1">
        <v>1.0009334883770853</v>
      </c>
      <c r="D546" s="1">
        <v>1.2109459035137642</v>
      </c>
      <c r="E546" s="1">
        <v>0.82462120720036525</v>
      </c>
      <c r="G546" s="1">
        <v>0.99934863113258487</v>
      </c>
      <c r="H546" s="1">
        <v>4.8138881869106527</v>
      </c>
      <c r="I546" s="1">
        <v>0.1602290664075918</v>
      </c>
      <c r="K546" s="1">
        <v>0.99997229828979806</v>
      </c>
      <c r="L546" s="1">
        <v>1.6381514169864499</v>
      </c>
      <c r="M546" s="1">
        <v>0.59963834115598191</v>
      </c>
      <c r="O546" s="1">
        <v>7.4272370536961931E-3</v>
      </c>
      <c r="P546" s="1">
        <v>0.71811110087432173</v>
      </c>
      <c r="R546" s="1">
        <v>0.20884250138496929</v>
      </c>
      <c r="S546" s="2">
        <f t="shared" si="108"/>
        <v>1.0162610910312815</v>
      </c>
      <c r="T546" s="4">
        <f t="shared" si="109"/>
        <v>1.0327866051440906</v>
      </c>
      <c r="U546" s="1">
        <f t="shared" si="100"/>
        <v>0.94587861511210169</v>
      </c>
      <c r="V546" s="6">
        <f>2*sigma/alpha*corel*(B546/12-1/alpha*(1-EXP(-alpha*Output!B546/12)))</f>
        <v>2.9731571540089172</v>
      </c>
      <c r="W546" s="5">
        <f t="shared" si="110"/>
        <v>-8.6907990031988902E-2</v>
      </c>
      <c r="X546" s="1">
        <f t="shared" si="111"/>
        <v>24.33825501813909</v>
      </c>
      <c r="Y546" s="3">
        <f t="shared" si="101"/>
        <v>2.1983826707022501E-2</v>
      </c>
      <c r="Z546" s="1">
        <f t="shared" si="102"/>
        <v>0.15220153426056296</v>
      </c>
      <c r="AA546" s="8">
        <f t="shared" si="107"/>
        <v>44.500000000000171</v>
      </c>
      <c r="AB546" s="1">
        <v>44.58</v>
      </c>
      <c r="AC546" s="1">
        <v>7.5645592899999999E-3</v>
      </c>
      <c r="AD546" s="8">
        <f t="shared" si="103"/>
        <v>1.3732223630380687</v>
      </c>
      <c r="AE546" s="3">
        <f t="shared" si="104"/>
        <v>1.8153369025124908E-2</v>
      </c>
      <c r="AF546" s="11">
        <f t="shared" si="105"/>
        <v>44.500000000000171</v>
      </c>
      <c r="AG546" s="1">
        <f t="shared" si="106"/>
        <v>0.15220153426056296</v>
      </c>
    </row>
    <row r="547" spans="2:33" ht="15" x14ac:dyDescent="0.25">
      <c r="B547" s="1">
        <v>536</v>
      </c>
      <c r="C547" s="1">
        <v>1.0009349183482663</v>
      </c>
      <c r="D547" s="1">
        <v>1.2099346277288439</v>
      </c>
      <c r="E547" s="1">
        <v>0.82530803408115416</v>
      </c>
      <c r="G547" s="1">
        <v>0.99933573661835384</v>
      </c>
      <c r="H547" s="1">
        <v>4.7853605477675076</v>
      </c>
      <c r="I547" s="1">
        <v>0.1611062027260311</v>
      </c>
      <c r="K547" s="1">
        <v>0.99998506435957957</v>
      </c>
      <c r="L547" s="1">
        <v>1.6359194108889286</v>
      </c>
      <c r="M547" s="1">
        <v>0.60045898127797714</v>
      </c>
      <c r="O547" s="1">
        <v>7.4266421103321625E-3</v>
      </c>
      <c r="P547" s="1">
        <v>0.71768584490752074</v>
      </c>
      <c r="R547" s="1">
        <v>0.20917974475571594</v>
      </c>
      <c r="S547" s="2">
        <f t="shared" si="108"/>
        <v>1.018322932530743</v>
      </c>
      <c r="T547" s="4">
        <f t="shared" si="109"/>
        <v>1.0369815949180121</v>
      </c>
      <c r="U547" s="1">
        <f t="shared" si="100"/>
        <v>0.94948570692695977</v>
      </c>
      <c r="V547" s="6">
        <f>2*sigma/alpha*corel*(B547/12-1/alpha*(1-EXP(-alpha*Output!B547/12)))</f>
        <v>2.9818259338142914</v>
      </c>
      <c r="W547" s="5">
        <f t="shared" si="110"/>
        <v>-8.7495887991052346E-2</v>
      </c>
      <c r="X547" s="1">
        <f t="shared" si="111"/>
        <v>24.523884553968827</v>
      </c>
      <c r="Y547" s="3">
        <f t="shared" si="101"/>
        <v>2.2055973705789864E-2</v>
      </c>
      <c r="Z547" s="1">
        <f t="shared" si="102"/>
        <v>0.15236799485578789</v>
      </c>
      <c r="AA547" s="8">
        <f t="shared" si="107"/>
        <v>44.583333333333506</v>
      </c>
      <c r="AB547" s="1">
        <v>44.67</v>
      </c>
      <c r="AC547" s="1">
        <v>7.5643335599999998E-3</v>
      </c>
      <c r="AD547" s="8">
        <f t="shared" si="103"/>
        <v>1.3769144966783737</v>
      </c>
      <c r="AE547" s="3">
        <f t="shared" si="104"/>
        <v>1.8202720514064345E-2</v>
      </c>
      <c r="AF547" s="11">
        <f t="shared" si="105"/>
        <v>44.583333333333506</v>
      </c>
      <c r="AG547" s="1">
        <f t="shared" si="106"/>
        <v>0.15236799485578789</v>
      </c>
    </row>
    <row r="548" spans="2:33" ht="15" x14ac:dyDescent="0.25">
      <c r="B548" s="1">
        <v>537</v>
      </c>
      <c r="C548" s="1">
        <v>1.0009418458841428</v>
      </c>
      <c r="D548" s="1">
        <v>1.2178347771760618</v>
      </c>
      <c r="E548" s="1">
        <v>0.81995183415200124</v>
      </c>
      <c r="G548" s="1">
        <v>0.99974965203823773</v>
      </c>
      <c r="H548" s="1">
        <v>5.070514882153331</v>
      </c>
      <c r="I548" s="1">
        <v>0.15197231804071834</v>
      </c>
      <c r="K548" s="1">
        <v>0.99996574478732514</v>
      </c>
      <c r="L548" s="1">
        <v>1.6547379072195838</v>
      </c>
      <c r="M548" s="1">
        <v>0.59359796628723593</v>
      </c>
      <c r="O548" s="1">
        <v>7.425961716768641E-3</v>
      </c>
      <c r="P548" s="1">
        <v>0.71726365463000286</v>
      </c>
      <c r="R548" s="1">
        <v>0.20949325597491603</v>
      </c>
      <c r="S548" s="2">
        <f t="shared" si="108"/>
        <v>1.0202964666665937</v>
      </c>
      <c r="T548" s="4">
        <f t="shared" si="109"/>
        <v>1.0410048798923355</v>
      </c>
      <c r="U548" s="1">
        <f t="shared" si="100"/>
        <v>0.9530976409475902</v>
      </c>
      <c r="V548" s="6">
        <f>2*sigma/alpha*corel*(B548/12-1/alpha*(1-EXP(-alpha*Output!B548/12)))</f>
        <v>2.990500530209502</v>
      </c>
      <c r="W548" s="5">
        <f t="shared" si="110"/>
        <v>-8.7907238944745281E-2</v>
      </c>
      <c r="X548" s="1">
        <f t="shared" si="111"/>
        <v>24.678489192292716</v>
      </c>
      <c r="Y548" s="3">
        <f t="shared" si="101"/>
        <v>2.2092115639584811E-2</v>
      </c>
      <c r="Z548" s="1">
        <f t="shared" si="102"/>
        <v>0.15252107683948357</v>
      </c>
      <c r="AA548" s="8">
        <f t="shared" si="107"/>
        <v>44.666666666666842</v>
      </c>
      <c r="AB548" s="1">
        <v>44.75</v>
      </c>
      <c r="AC548" s="1">
        <v>7.5641086730000003E-3</v>
      </c>
      <c r="AD548" s="8">
        <f t="shared" si="103"/>
        <v>1.3814695623135931</v>
      </c>
      <c r="AE548" s="3">
        <f t="shared" si="104"/>
        <v>1.8263481158655649E-2</v>
      </c>
      <c r="AF548" s="11">
        <f t="shared" si="105"/>
        <v>44.666666666666842</v>
      </c>
      <c r="AG548" s="1">
        <f t="shared" si="106"/>
        <v>0.15252107683948357</v>
      </c>
    </row>
    <row r="549" spans="2:33" ht="15" x14ac:dyDescent="0.25">
      <c r="B549" s="1">
        <v>538</v>
      </c>
      <c r="C549" s="1">
        <v>1.0009473267581805</v>
      </c>
      <c r="D549" s="1">
        <v>1.2180782657583211</v>
      </c>
      <c r="E549" s="1">
        <v>0.81978553623764916</v>
      </c>
      <c r="G549" s="1">
        <v>1.0000667303358808</v>
      </c>
      <c r="H549" s="1">
        <v>5.0793639199962684</v>
      </c>
      <c r="I549" s="1">
        <v>0.15163408725143707</v>
      </c>
      <c r="K549" s="1">
        <v>0.9999545035967794</v>
      </c>
      <c r="L549" s="1">
        <v>1.6521576638901545</v>
      </c>
      <c r="M549" s="1">
        <v>0.59448915624619825</v>
      </c>
      <c r="O549" s="1">
        <v>7.4252639388444792E-3</v>
      </c>
      <c r="P549" s="1">
        <v>0.71684235270769037</v>
      </c>
      <c r="R549" s="1">
        <v>0.20981616882270507</v>
      </c>
      <c r="S549" s="2">
        <f t="shared" si="108"/>
        <v>1.0223037879257395</v>
      </c>
      <c r="T549" s="4">
        <f t="shared" si="109"/>
        <v>1.0451050348073154</v>
      </c>
      <c r="U549" s="1">
        <f t="shared" si="100"/>
        <v>0.95671440429192822</v>
      </c>
      <c r="V549" s="6">
        <f>2*sigma/alpha*corel*(B549/12-1/alpha*(1-EXP(-alpha*Output!B549/12)))</f>
        <v>2.9991809238381939</v>
      </c>
      <c r="W549" s="5">
        <f t="shared" si="110"/>
        <v>-8.8390630515387203E-2</v>
      </c>
      <c r="X549" s="1">
        <f t="shared" si="111"/>
        <v>24.846472619674362</v>
      </c>
      <c r="Y549" s="3">
        <f t="shared" si="101"/>
        <v>2.2142483585341134E-2</v>
      </c>
      <c r="Z549" s="1">
        <f t="shared" si="102"/>
        <v>0.15267905216394256</v>
      </c>
      <c r="AA549" s="8">
        <f t="shared" si="107"/>
        <v>44.750000000000178</v>
      </c>
      <c r="AB549" s="1">
        <v>44.83</v>
      </c>
      <c r="AC549" s="1">
        <v>7.563884624E-3</v>
      </c>
      <c r="AD549" s="8">
        <f t="shared" si="103"/>
        <v>1.3862068515552075</v>
      </c>
      <c r="AE549" s="3">
        <f t="shared" si="104"/>
        <v>1.8326652513403114E-2</v>
      </c>
      <c r="AF549" s="11">
        <f t="shared" si="105"/>
        <v>44.750000000000178</v>
      </c>
      <c r="AG549" s="1">
        <f t="shared" si="106"/>
        <v>0.15267905216394256</v>
      </c>
    </row>
    <row r="550" spans="2:33" ht="15" x14ac:dyDescent="0.25">
      <c r="B550" s="1">
        <v>539</v>
      </c>
      <c r="C550" s="1">
        <v>1.0009475404872641</v>
      </c>
      <c r="D550" s="1">
        <v>1.2224644960615088</v>
      </c>
      <c r="E550" s="1">
        <v>0.81684173777172731</v>
      </c>
      <c r="G550" s="1">
        <v>0.99997285613654407</v>
      </c>
      <c r="H550" s="1">
        <v>5.2471065637845378</v>
      </c>
      <c r="I550" s="1">
        <v>0.14671546900703761</v>
      </c>
      <c r="K550" s="1">
        <v>0.99993269903186244</v>
      </c>
      <c r="L550" s="1">
        <v>1.6462458736566417</v>
      </c>
      <c r="M550" s="1">
        <v>0.59662761448801271</v>
      </c>
      <c r="O550" s="1">
        <v>7.4246081759292096E-3</v>
      </c>
      <c r="P550" s="1">
        <v>0.71642002955364492</v>
      </c>
      <c r="R550" s="1">
        <v>0.2101202933396836</v>
      </c>
      <c r="S550" s="2">
        <f t="shared" si="108"/>
        <v>1.0242485120405405</v>
      </c>
      <c r="T550" s="4">
        <f t="shared" si="109"/>
        <v>1.0490850144172612</v>
      </c>
      <c r="U550" s="1">
        <f t="shared" si="100"/>
        <v>0.96033598409930221</v>
      </c>
      <c r="V550" s="6">
        <f>2*sigma/alpha*corel*(B550/12-1/alpha*(1-EXP(-alpha*Output!B550/12)))</f>
        <v>3.0078670954084257</v>
      </c>
      <c r="W550" s="5">
        <f t="shared" si="110"/>
        <v>-8.8749030317958999E-2</v>
      </c>
      <c r="X550" s="1">
        <f t="shared" si="111"/>
        <v>24.992506910767354</v>
      </c>
      <c r="Y550" s="3">
        <f t="shared" si="101"/>
        <v>2.2167534762673559E-2</v>
      </c>
      <c r="Z550" s="1">
        <f t="shared" si="102"/>
        <v>0.15282752579325312</v>
      </c>
      <c r="AA550" s="8">
        <f t="shared" si="107"/>
        <v>44.833333333333513</v>
      </c>
      <c r="AB550" s="1">
        <v>44.92</v>
      </c>
      <c r="AC550" s="1">
        <v>7.5636614069999998E-3</v>
      </c>
      <c r="AD550" s="8">
        <f t="shared" si="103"/>
        <v>1.390532310707902</v>
      </c>
      <c r="AE550" s="3">
        <f t="shared" si="104"/>
        <v>1.8384380736834616E-2</v>
      </c>
      <c r="AF550" s="11">
        <f t="shared" si="105"/>
        <v>44.833333333333513</v>
      </c>
      <c r="AG550" s="1">
        <f t="shared" si="106"/>
        <v>0.15282752579325312</v>
      </c>
    </row>
    <row r="551" spans="2:33" ht="15" x14ac:dyDescent="0.25">
      <c r="B551" s="1">
        <v>540</v>
      </c>
      <c r="C551" s="1">
        <v>1.0009505942642623</v>
      </c>
      <c r="D551" s="1">
        <v>1.222880277664572</v>
      </c>
      <c r="E551" s="1">
        <v>0.81656161691209739</v>
      </c>
      <c r="G551" s="1">
        <v>1.0001013815320461</v>
      </c>
      <c r="H551" s="1">
        <v>5.2591094434684464</v>
      </c>
      <c r="I551" s="1">
        <v>0.1463097268898792</v>
      </c>
      <c r="K551" s="1">
        <v>0.99993246031236704</v>
      </c>
      <c r="L551" s="1">
        <v>1.6352070548051161</v>
      </c>
      <c r="M551" s="1">
        <v>0.60062158689641321</v>
      </c>
      <c r="O551" s="1">
        <v>7.4239120625716401E-3</v>
      </c>
      <c r="P551" s="1">
        <v>0.7159993335516398</v>
      </c>
      <c r="R551" s="1">
        <v>0.21043985402575302</v>
      </c>
      <c r="S551" s="2">
        <f t="shared" si="108"/>
        <v>1.0262470200532003</v>
      </c>
      <c r="T551" s="4">
        <f t="shared" si="109"/>
        <v>1.0531829461680737</v>
      </c>
      <c r="U551" s="1">
        <f t="shared" si="100"/>
        <v>0.96396236753051046</v>
      </c>
      <c r="V551" s="6">
        <f>2*sigma/alpha*corel*(B551/12-1/alpha*(1-EXP(-alpha*Output!B551/12)))</f>
        <v>3.0165590256924579</v>
      </c>
      <c r="W551" s="5">
        <f t="shared" si="110"/>
        <v>-8.9220578637563275E-2</v>
      </c>
      <c r="X551" s="1">
        <f t="shared" si="111"/>
        <v>25.159332510248021</v>
      </c>
      <c r="Y551" s="3">
        <f t="shared" si="101"/>
        <v>2.2214987989574601E-2</v>
      </c>
      <c r="Z551" s="1">
        <f t="shared" si="102"/>
        <v>0.15298387323636972</v>
      </c>
      <c r="AA551" s="8">
        <f t="shared" si="107"/>
        <v>44.916666666666849</v>
      </c>
      <c r="AB551" s="1">
        <v>45</v>
      </c>
      <c r="AC551" s="1">
        <v>7.5634390190000003E-3</v>
      </c>
      <c r="AD551" s="8">
        <f t="shared" si="103"/>
        <v>1.3952695642836017</v>
      </c>
      <c r="AE551" s="3">
        <f t="shared" si="104"/>
        <v>1.8447554885794231E-2</v>
      </c>
      <c r="AF551" s="11">
        <f t="shared" si="105"/>
        <v>44.916666666666849</v>
      </c>
      <c r="AG551" s="1">
        <f t="shared" si="106"/>
        <v>0.15298387323636972</v>
      </c>
    </row>
    <row r="552" spans="2:33" ht="15" x14ac:dyDescent="0.25">
      <c r="B552" s="1">
        <v>541</v>
      </c>
      <c r="C552" s="1">
        <v>1.0009534126422035</v>
      </c>
      <c r="D552" s="1">
        <v>1.2220135784797044</v>
      </c>
      <c r="E552" s="1">
        <v>0.8171383545184272</v>
      </c>
      <c r="G552" s="1">
        <v>1.0001766252584052</v>
      </c>
      <c r="H552" s="1">
        <v>5.2231342340629778</v>
      </c>
      <c r="I552" s="1">
        <v>0.14724611220497424</v>
      </c>
      <c r="K552" s="1">
        <v>0.9999381576174402</v>
      </c>
      <c r="L552" s="1">
        <v>1.6411899286299587</v>
      </c>
      <c r="M552" s="1">
        <v>0.59842227488979749</v>
      </c>
      <c r="O552" s="1">
        <v>7.4232408577658291E-3</v>
      </c>
      <c r="P552" s="1">
        <v>0.71557816404482322</v>
      </c>
      <c r="R552" s="1">
        <v>0.21074905020904236</v>
      </c>
      <c r="S552" s="2">
        <f t="shared" si="108"/>
        <v>1.0282117373698865</v>
      </c>
      <c r="T552" s="4">
        <f t="shared" si="109"/>
        <v>1.0572193768652003</v>
      </c>
      <c r="U552" s="1">
        <f t="shared" si="100"/>
        <v>0.96759354176788648</v>
      </c>
      <c r="V552" s="6">
        <f>2*sigma/alpha*corel*(B552/12-1/alpha*(1-EXP(-alpha*Output!B552/12)))</f>
        <v>3.0252566955265343</v>
      </c>
      <c r="W552" s="5">
        <f t="shared" si="110"/>
        <v>-8.9625835097313811E-2</v>
      </c>
      <c r="X552" s="1">
        <f t="shared" si="111"/>
        <v>25.314703669710383</v>
      </c>
      <c r="Y552" s="3">
        <f t="shared" si="101"/>
        <v>2.224896766955535E-2</v>
      </c>
      <c r="Z552" s="1">
        <f t="shared" si="102"/>
        <v>0.15313502989072997</v>
      </c>
      <c r="AA552" s="8">
        <f t="shared" si="107"/>
        <v>45.000000000000185</v>
      </c>
      <c r="AB552" s="1">
        <v>45.08</v>
      </c>
      <c r="AC552" s="1">
        <v>7.5632174539999996E-3</v>
      </c>
      <c r="AD552" s="8">
        <f t="shared" si="103"/>
        <v>1.3997659623417054</v>
      </c>
      <c r="AE552" s="3">
        <f t="shared" si="104"/>
        <v>1.8507546171390374E-2</v>
      </c>
      <c r="AF552" s="11">
        <f t="shared" si="105"/>
        <v>45.000000000000185</v>
      </c>
      <c r="AG552" s="1">
        <f t="shared" si="106"/>
        <v>0.15313502989072997</v>
      </c>
    </row>
    <row r="553" spans="2:33" ht="15" x14ac:dyDescent="0.25">
      <c r="B553" s="1">
        <v>542</v>
      </c>
      <c r="C553" s="1">
        <v>1.0009485473442372</v>
      </c>
      <c r="D553" s="1">
        <v>1.2185076584526418</v>
      </c>
      <c r="E553" s="1">
        <v>0.81948703403439394</v>
      </c>
      <c r="G553" s="1">
        <v>0.99968872631884864</v>
      </c>
      <c r="H553" s="1">
        <v>5.0897400138290187</v>
      </c>
      <c r="I553" s="1">
        <v>0.15103202277965486</v>
      </c>
      <c r="K553" s="1">
        <v>0.99993115816361178</v>
      </c>
      <c r="L553" s="1">
        <v>1.6489608178465116</v>
      </c>
      <c r="M553" s="1">
        <v>0.59556820184939785</v>
      </c>
      <c r="O553" s="1">
        <v>7.42261603490477E-3</v>
      </c>
      <c r="P553" s="1">
        <v>0.71515582408948175</v>
      </c>
      <c r="R553" s="1">
        <v>0.21102386867777803</v>
      </c>
      <c r="S553" s="2">
        <f t="shared" si="108"/>
        <v>1.03005832508081</v>
      </c>
      <c r="T553" s="4">
        <f t="shared" si="109"/>
        <v>1.0610201530682837</v>
      </c>
      <c r="U553" s="1">
        <f t="shared" si="100"/>
        <v>0.97122949401537007</v>
      </c>
      <c r="V553" s="6">
        <f>2*sigma/alpha*corel*(B553/12-1/alpha*(1-EXP(-alpha*Output!B553/12)))</f>
        <v>3.0339600858106719</v>
      </c>
      <c r="W553" s="5">
        <f t="shared" si="110"/>
        <v>-8.9790659052913613E-2</v>
      </c>
      <c r="X553" s="1">
        <f t="shared" si="111"/>
        <v>25.427092871185359</v>
      </c>
      <c r="Y553" s="3">
        <f t="shared" si="101"/>
        <v>2.2235073815348515E-2</v>
      </c>
      <c r="Z553" s="1">
        <f t="shared" si="102"/>
        <v>0.15326846088201843</v>
      </c>
      <c r="AA553" s="8">
        <f t="shared" si="107"/>
        <v>45.08333333333352</v>
      </c>
      <c r="AB553" s="1">
        <v>45.17</v>
      </c>
      <c r="AC553" s="1">
        <v>7.562996709E-3</v>
      </c>
      <c r="AD553" s="8">
        <f t="shared" si="103"/>
        <v>1.4038067409523001</v>
      </c>
      <c r="AE553" s="3">
        <f t="shared" si="104"/>
        <v>1.8561514634559656E-2</v>
      </c>
      <c r="AF553" s="11">
        <f t="shared" si="105"/>
        <v>45.08333333333352</v>
      </c>
      <c r="AG553" s="1">
        <f t="shared" si="106"/>
        <v>0.15326846088201843</v>
      </c>
    </row>
    <row r="554" spans="2:33" ht="15" x14ac:dyDescent="0.25">
      <c r="B554" s="1">
        <v>543</v>
      </c>
      <c r="C554" s="1">
        <v>1.0009466304032113</v>
      </c>
      <c r="D554" s="1">
        <v>1.2178852789812373</v>
      </c>
      <c r="E554" s="1">
        <v>0.81990340188442556</v>
      </c>
      <c r="G554" s="1">
        <v>0.9993518111493267</v>
      </c>
      <c r="H554" s="1">
        <v>5.066637201730658</v>
      </c>
      <c r="I554" s="1">
        <v>0.1516472161188461</v>
      </c>
      <c r="K554" s="1">
        <v>0.99991386176464614</v>
      </c>
      <c r="L554" s="1">
        <v>1.6435950155934065</v>
      </c>
      <c r="M554" s="1">
        <v>0.59752270151229936</v>
      </c>
      <c r="O554" s="1">
        <v>7.4219821555941545E-3</v>
      </c>
      <c r="P554" s="1">
        <v>0.71473410073397103</v>
      </c>
      <c r="R554" s="1">
        <v>0.21134368559465191</v>
      </c>
      <c r="S554" s="2">
        <f t="shared" si="108"/>
        <v>1.0320663202394196</v>
      </c>
      <c r="T554" s="4">
        <f t="shared" si="109"/>
        <v>1.0651608893725362</v>
      </c>
      <c r="U554" s="1">
        <f t="shared" si="100"/>
        <v>0.97487021149857656</v>
      </c>
      <c r="V554" s="6">
        <f>2*sigma/alpha*corel*(B554/12-1/alpha*(1-EXP(-alpha*Output!B554/12)))</f>
        <v>3.0426691775084502</v>
      </c>
      <c r="W554" s="5">
        <f t="shared" si="110"/>
        <v>-9.0290677873959613E-2</v>
      </c>
      <c r="X554" s="1">
        <f t="shared" si="111"/>
        <v>25.600448418946641</v>
      </c>
      <c r="Y554" s="3">
        <f t="shared" si="101"/>
        <v>2.2287507092319882E-2</v>
      </c>
      <c r="Z554" s="1">
        <f t="shared" si="102"/>
        <v>0.1534257708745628</v>
      </c>
      <c r="AA554" s="8">
        <f t="shared" si="107"/>
        <v>45.166666666666856</v>
      </c>
      <c r="AB554" s="1">
        <v>45.25</v>
      </c>
      <c r="AC554" s="1">
        <v>7.5627767779999997E-3</v>
      </c>
      <c r="AD554" s="8">
        <f t="shared" si="103"/>
        <v>1.4079462240584526</v>
      </c>
      <c r="AE554" s="3">
        <f t="shared" si="104"/>
        <v>1.8616789380246503E-2</v>
      </c>
      <c r="AF554" s="11">
        <f t="shared" si="105"/>
        <v>45.166666666666856</v>
      </c>
      <c r="AG554" s="1">
        <f t="shared" si="106"/>
        <v>0.1534257708745628</v>
      </c>
    </row>
    <row r="555" spans="2:33" ht="15" x14ac:dyDescent="0.25">
      <c r="B555" s="1">
        <v>544</v>
      </c>
      <c r="C555" s="1">
        <v>1.0009463255271642</v>
      </c>
      <c r="D555" s="1">
        <v>1.2169943511763941</v>
      </c>
      <c r="E555" s="1">
        <v>0.82050120715835739</v>
      </c>
      <c r="G555" s="1">
        <v>0.99924574500107322</v>
      </c>
      <c r="H555" s="1">
        <v>5.0304205449210269</v>
      </c>
      <c r="I555" s="1">
        <v>0.15266502947982408</v>
      </c>
      <c r="K555" s="1">
        <v>0.99991688871678885</v>
      </c>
      <c r="L555" s="1">
        <v>1.6481538853779756</v>
      </c>
      <c r="M555" s="1">
        <v>0.59583923894107405</v>
      </c>
      <c r="O555" s="1">
        <v>7.4212786662126414E-3</v>
      </c>
      <c r="P555" s="1">
        <v>0.71431495566012415</v>
      </c>
      <c r="R555" s="1">
        <v>0.21167600316329363</v>
      </c>
      <c r="S555" s="2">
        <f t="shared" si="108"/>
        <v>1.034115910406473</v>
      </c>
      <c r="T555" s="4">
        <f t="shared" si="109"/>
        <v>1.0693957161558085</v>
      </c>
      <c r="U555" s="1">
        <f t="shared" si="100"/>
        <v>0.97851568146486079</v>
      </c>
      <c r="V555" s="6">
        <f>2*sigma/alpha*corel*(B555/12-1/alpha*(1-EXP(-alpha*Output!B555/12)))</f>
        <v>3.0513839516467955</v>
      </c>
      <c r="W555" s="5">
        <f t="shared" si="110"/>
        <v>-9.0880034690947742E-2</v>
      </c>
      <c r="X555" s="1">
        <f t="shared" si="111"/>
        <v>25.790523644326139</v>
      </c>
      <c r="Y555" s="3">
        <f t="shared" si="101"/>
        <v>2.2357204130623313E-2</v>
      </c>
      <c r="Z555" s="1">
        <f t="shared" si="102"/>
        <v>0.15358909917630836</v>
      </c>
      <c r="AA555" s="8">
        <f t="shared" si="107"/>
        <v>45.250000000000192</v>
      </c>
      <c r="AB555" s="1">
        <v>45.33</v>
      </c>
      <c r="AC555" s="1">
        <v>7.5625576569999997E-3</v>
      </c>
      <c r="AD555" s="8">
        <f t="shared" si="103"/>
        <v>1.4127899078735831</v>
      </c>
      <c r="AE555" s="3">
        <f t="shared" si="104"/>
        <v>1.8681377014902977E-2</v>
      </c>
      <c r="AF555" s="11">
        <f t="shared" si="105"/>
        <v>45.250000000000192</v>
      </c>
      <c r="AG555" s="1">
        <f t="shared" si="106"/>
        <v>0.15358909917630836</v>
      </c>
    </row>
    <row r="556" spans="2:33" ht="15" x14ac:dyDescent="0.25">
      <c r="B556" s="1">
        <v>545</v>
      </c>
      <c r="C556" s="1">
        <v>1.0009493218975263</v>
      </c>
      <c r="D556" s="1">
        <v>1.2149633888024194</v>
      </c>
      <c r="E556" s="1">
        <v>0.82187034528507774</v>
      </c>
      <c r="G556" s="1">
        <v>0.99928560731445881</v>
      </c>
      <c r="H556" s="1">
        <v>4.9446070528188226</v>
      </c>
      <c r="I556" s="1">
        <v>0.15523930287107887</v>
      </c>
      <c r="K556" s="1">
        <v>0.99992674904555545</v>
      </c>
      <c r="L556" s="1">
        <v>1.6465654652590418</v>
      </c>
      <c r="M556" s="1">
        <v>0.59639103626863676</v>
      </c>
      <c r="O556" s="1">
        <v>7.4205910133763233E-3</v>
      </c>
      <c r="P556" s="1">
        <v>0.71389562662597772</v>
      </c>
      <c r="R556" s="1">
        <v>0.21195553403289893</v>
      </c>
      <c r="S556" s="2">
        <f t="shared" si="108"/>
        <v>1.0359793440868688</v>
      </c>
      <c r="T556" s="4">
        <f t="shared" si="109"/>
        <v>1.0732532013746587</v>
      </c>
      <c r="U556" s="1">
        <f t="shared" si="100"/>
        <v>0.98216589118338549</v>
      </c>
      <c r="V556" s="6">
        <f>2*sigma/alpha*corel*(B556/12-1/alpha*(1-EXP(-alpha*Output!B556/12)))</f>
        <v>3.0601043893157729</v>
      </c>
      <c r="W556" s="5">
        <f t="shared" si="110"/>
        <v>-9.1087310191273252E-2</v>
      </c>
      <c r="X556" s="1">
        <f t="shared" si="111"/>
        <v>25.911766891590965</v>
      </c>
      <c r="Y556" s="3">
        <f t="shared" si="101"/>
        <v>2.2351440037437255E-2</v>
      </c>
      <c r="Z556" s="1">
        <f t="shared" si="102"/>
        <v>0.15372463416620569</v>
      </c>
      <c r="AA556" s="8">
        <f t="shared" si="107"/>
        <v>45.333333333333528</v>
      </c>
      <c r="AB556" s="1">
        <v>45.42</v>
      </c>
      <c r="AC556" s="1">
        <v>7.5623393419999999E-3</v>
      </c>
      <c r="AD556" s="8">
        <f t="shared" si="103"/>
        <v>1.4174832862367659</v>
      </c>
      <c r="AE556" s="3">
        <f t="shared" si="104"/>
        <v>1.8743978842159264E-2</v>
      </c>
      <c r="AF556" s="11">
        <f t="shared" si="105"/>
        <v>45.333333333333528</v>
      </c>
      <c r="AG556" s="1">
        <f t="shared" si="106"/>
        <v>0.15372463416620569</v>
      </c>
    </row>
    <row r="557" spans="2:33" ht="15" x14ac:dyDescent="0.25">
      <c r="B557" s="1">
        <v>546</v>
      </c>
      <c r="C557" s="1">
        <v>1.0009499975270661</v>
      </c>
      <c r="D557" s="1">
        <v>1.2185232390516179</v>
      </c>
      <c r="E557" s="1">
        <v>0.81946686595423712</v>
      </c>
      <c r="G557" s="1">
        <v>0.9992228358214772</v>
      </c>
      <c r="H557" s="1">
        <v>5.0760120718533592</v>
      </c>
      <c r="I557" s="1">
        <v>0.15114731187497391</v>
      </c>
      <c r="K557" s="1">
        <v>0.99992059018527879</v>
      </c>
      <c r="L557" s="1">
        <v>1.6563780896006777</v>
      </c>
      <c r="M557" s="1">
        <v>0.59282785712437824</v>
      </c>
      <c r="O557" s="1">
        <v>7.4199726443560047E-3</v>
      </c>
      <c r="P557" s="1">
        <v>0.71347437635413558</v>
      </c>
      <c r="R557" s="1">
        <v>0.21224313894612795</v>
      </c>
      <c r="S557" s="2">
        <f t="shared" si="108"/>
        <v>1.0378776427535168</v>
      </c>
      <c r="T557" s="4">
        <f t="shared" si="109"/>
        <v>1.0771900013275966</v>
      </c>
      <c r="U557" s="1">
        <f t="shared" si="100"/>
        <v>0.98582082794518389</v>
      </c>
      <c r="V557" s="6">
        <f>2*sigma/alpha*corel*(B557/12-1/alpha*(1-EXP(-alpha*Output!B557/12)))</f>
        <v>3.0688304716683774</v>
      </c>
      <c r="W557" s="5">
        <f t="shared" si="110"/>
        <v>-9.1369173382412683E-2</v>
      </c>
      <c r="X557" s="1">
        <f t="shared" si="111"/>
        <v>26.046910019439466</v>
      </c>
      <c r="Y557" s="3">
        <f t="shared" si="101"/>
        <v>2.2360295327759488E-2</v>
      </c>
      <c r="Z557" s="1">
        <f t="shared" si="102"/>
        <v>0.15386521869377576</v>
      </c>
      <c r="AA557" s="8">
        <f t="shared" si="107"/>
        <v>45.416666666666863</v>
      </c>
      <c r="AB557" s="1">
        <v>45.5</v>
      </c>
      <c r="AC557" s="1">
        <v>7.5621218279999999E-3</v>
      </c>
      <c r="AD557" s="8">
        <f t="shared" si="103"/>
        <v>1.4214918364399525</v>
      </c>
      <c r="AE557" s="3">
        <f t="shared" si="104"/>
        <v>1.8797526260111878E-2</v>
      </c>
      <c r="AF557" s="11">
        <f t="shared" si="105"/>
        <v>45.416666666666863</v>
      </c>
      <c r="AG557" s="1">
        <f t="shared" si="106"/>
        <v>0.15386521869377576</v>
      </c>
    </row>
    <row r="558" spans="2:33" ht="15" x14ac:dyDescent="0.25">
      <c r="B558" s="1">
        <v>547</v>
      </c>
      <c r="C558" s="1">
        <v>1.0009525759574565</v>
      </c>
      <c r="D558" s="1">
        <v>1.2159908714917818</v>
      </c>
      <c r="E558" s="1">
        <v>0.82117101114799329</v>
      </c>
      <c r="G558" s="1">
        <v>0.99928764030938799</v>
      </c>
      <c r="H558" s="1">
        <v>4.9866146288956346</v>
      </c>
      <c r="I558" s="1">
        <v>0.15378248389200147</v>
      </c>
      <c r="K558" s="1">
        <v>0.99991933485558437</v>
      </c>
      <c r="L558" s="1">
        <v>1.6509883579345368</v>
      </c>
      <c r="M558" s="1">
        <v>0.59474511573659883</v>
      </c>
      <c r="O558" s="1">
        <v>7.4194268259428243E-3</v>
      </c>
      <c r="P558" s="1">
        <v>0.71305109000481115</v>
      </c>
      <c r="R558" s="1">
        <v>0.21253801016250295</v>
      </c>
      <c r="S558" s="2">
        <f t="shared" si="108"/>
        <v>1.0398082402839377</v>
      </c>
      <c r="T558" s="4">
        <f t="shared" si="109"/>
        <v>1.081201176562379</v>
      </c>
      <c r="U558" s="1">
        <f t="shared" si="100"/>
        <v>0.98948047906322367</v>
      </c>
      <c r="V558" s="6">
        <f>2*sigma/alpha*corel*(B558/12-1/alpha*(1-EXP(-alpha*Output!B558/12)))</f>
        <v>3.0775621799203203</v>
      </c>
      <c r="W558" s="5">
        <f t="shared" si="110"/>
        <v>-9.1720697499155346E-2</v>
      </c>
      <c r="X558" s="1">
        <f t="shared" si="111"/>
        <v>26.195129481955238</v>
      </c>
      <c r="Y558" s="3">
        <f t="shared" si="101"/>
        <v>2.2382693830808625E-2</v>
      </c>
      <c r="Z558" s="1">
        <f t="shared" si="102"/>
        <v>0.15401045881261421</v>
      </c>
      <c r="AA558" s="8">
        <f t="shared" si="107"/>
        <v>45.500000000000199</v>
      </c>
      <c r="AB558" s="1">
        <v>45.58</v>
      </c>
      <c r="AC558" s="1">
        <v>7.5619051109999998E-3</v>
      </c>
      <c r="AD558" s="8">
        <f t="shared" si="103"/>
        <v>1.4247828505717548</v>
      </c>
      <c r="AE558" s="3">
        <f t="shared" si="104"/>
        <v>1.88415859450442E-2</v>
      </c>
      <c r="AF558" s="11">
        <f t="shared" si="105"/>
        <v>45.500000000000199</v>
      </c>
      <c r="AG558" s="1">
        <f t="shared" si="106"/>
        <v>0.15401045881261421</v>
      </c>
    </row>
    <row r="559" spans="2:33" ht="15" x14ac:dyDescent="0.25">
      <c r="B559" s="1">
        <v>548</v>
      </c>
      <c r="C559" s="1">
        <v>1.0009568499606858</v>
      </c>
      <c r="D559" s="1">
        <v>1.2199217853601769</v>
      </c>
      <c r="E559" s="1">
        <v>0.8185225431753993</v>
      </c>
      <c r="G559" s="1">
        <v>0.99950729830118212</v>
      </c>
      <c r="H559" s="1">
        <v>5.1297821598327022</v>
      </c>
      <c r="I559" s="1">
        <v>0.14941815092354863</v>
      </c>
      <c r="K559" s="1">
        <v>0.99991928128772212</v>
      </c>
      <c r="L559" s="1">
        <v>1.6552023996724725</v>
      </c>
      <c r="M559" s="1">
        <v>0.59320194975562512</v>
      </c>
      <c r="O559" s="1">
        <v>7.4189462516479447E-3</v>
      </c>
      <c r="P559" s="1">
        <v>0.71262599634912249</v>
      </c>
      <c r="R559" s="1">
        <v>0.21285989861559323</v>
      </c>
      <c r="S559" s="2">
        <f t="shared" si="108"/>
        <v>1.0418415649952892</v>
      </c>
      <c r="T559" s="4">
        <f t="shared" si="109"/>
        <v>1.0854338465518334</v>
      </c>
      <c r="U559" s="1">
        <f t="shared" si="100"/>
        <v>0.9931448318724696</v>
      </c>
      <c r="V559" s="6">
        <f>2*sigma/alpha*corel*(B559/12-1/alpha*(1-EXP(-alpha*Output!B559/12)))</f>
        <v>3.0862994953498246</v>
      </c>
      <c r="W559" s="5">
        <f t="shared" si="110"/>
        <v>-9.228901467936379E-2</v>
      </c>
      <c r="X559" s="1">
        <f t="shared" si="111"/>
        <v>26.383371256427033</v>
      </c>
      <c r="Y559" s="3">
        <f t="shared" si="101"/>
        <v>2.244717261468426E-2</v>
      </c>
      <c r="Z559" s="1">
        <f t="shared" si="102"/>
        <v>0.15417076369093929</v>
      </c>
      <c r="AA559" s="8">
        <f t="shared" si="107"/>
        <v>45.583333333333535</v>
      </c>
      <c r="AB559" s="1">
        <v>45.67</v>
      </c>
      <c r="AC559" s="1">
        <v>7.561689186E-3</v>
      </c>
      <c r="AD559" s="8">
        <f t="shared" si="103"/>
        <v>1.4274293435205532</v>
      </c>
      <c r="AE559" s="3">
        <f t="shared" si="104"/>
        <v>1.8877122669407654E-2</v>
      </c>
      <c r="AF559" s="11">
        <f t="shared" si="105"/>
        <v>45.583333333333535</v>
      </c>
      <c r="AG559" s="1">
        <f t="shared" si="106"/>
        <v>0.15417076369093929</v>
      </c>
    </row>
    <row r="560" spans="2:33" ht="15" x14ac:dyDescent="0.25">
      <c r="B560" s="1">
        <v>549</v>
      </c>
      <c r="C560" s="1">
        <v>1.0009596319600884</v>
      </c>
      <c r="D560" s="1">
        <v>1.2168167575276585</v>
      </c>
      <c r="E560" s="1">
        <v>0.82060877194260851</v>
      </c>
      <c r="G560" s="1">
        <v>0.99963176727052649</v>
      </c>
      <c r="H560" s="1">
        <v>5.0120817219816827</v>
      </c>
      <c r="I560" s="1">
        <v>0.15285291917929922</v>
      </c>
      <c r="K560" s="1">
        <v>0.99992195229992453</v>
      </c>
      <c r="L560" s="1">
        <v>1.6576698645393126</v>
      </c>
      <c r="M560" s="1">
        <v>0.59232053226059433</v>
      </c>
      <c r="O560" s="1">
        <v>7.4185352194528244E-3</v>
      </c>
      <c r="P560" s="1">
        <v>0.71219894726127475</v>
      </c>
      <c r="R560" s="1">
        <v>0.21316078997071977</v>
      </c>
      <c r="S560" s="2">
        <f t="shared" si="108"/>
        <v>1.0438058876620671</v>
      </c>
      <c r="T560" s="4">
        <f t="shared" si="109"/>
        <v>1.0895307311179958</v>
      </c>
      <c r="U560" s="1">
        <f t="shared" si="100"/>
        <v>0.99681387372994612</v>
      </c>
      <c r="V560" s="6">
        <f>2*sigma/alpha*corel*(B560/12-1/alpha*(1-EXP(-alpha*Output!B560/12)))</f>
        <v>3.095042399297415</v>
      </c>
      <c r="W560" s="5">
        <f t="shared" si="110"/>
        <v>-9.2716857388049689E-2</v>
      </c>
      <c r="X560" s="1">
        <f t="shared" si="111"/>
        <v>26.546472355461791</v>
      </c>
      <c r="Y560" s="3">
        <f t="shared" si="101"/>
        <v>2.2483983477418503E-2</v>
      </c>
      <c r="Z560" s="1">
        <f t="shared" si="102"/>
        <v>0.15432070298148387</v>
      </c>
      <c r="AA560" s="8">
        <f t="shared" si="107"/>
        <v>45.66666666666687</v>
      </c>
      <c r="AB560" s="1">
        <v>45.75</v>
      </c>
      <c r="AC560" s="1">
        <v>7.5614740500000001E-3</v>
      </c>
      <c r="AD560" s="8">
        <f t="shared" si="103"/>
        <v>1.4293883054717575</v>
      </c>
      <c r="AE560" s="3">
        <f t="shared" si="104"/>
        <v>1.8903566897406167E-2</v>
      </c>
      <c r="AF560" s="11">
        <f t="shared" si="105"/>
        <v>45.66666666666687</v>
      </c>
      <c r="AG560" s="1">
        <f t="shared" si="106"/>
        <v>0.15432070298148387</v>
      </c>
    </row>
    <row r="561" spans="2:33" ht="15" x14ac:dyDescent="0.25">
      <c r="B561" s="1">
        <v>550</v>
      </c>
      <c r="C561" s="1">
        <v>1.000955478195904</v>
      </c>
      <c r="D561" s="1">
        <v>1.220710195598709</v>
      </c>
      <c r="E561" s="1">
        <v>0.81798900828007326</v>
      </c>
      <c r="G561" s="1">
        <v>0.99917383064557252</v>
      </c>
      <c r="H561" s="1">
        <v>5.1546312098844762</v>
      </c>
      <c r="I561" s="1">
        <v>0.14855383925440616</v>
      </c>
      <c r="K561" s="1">
        <v>0.99992295858006874</v>
      </c>
      <c r="L561" s="1">
        <v>1.6664646113804122</v>
      </c>
      <c r="M561" s="1">
        <v>0.58916820768245359</v>
      </c>
      <c r="O561" s="1">
        <v>7.4181116704917774E-3</v>
      </c>
      <c r="P561" s="1">
        <v>0.71177261118080426</v>
      </c>
      <c r="R561" s="1">
        <v>0.21351076311731174</v>
      </c>
      <c r="S561" s="2">
        <f t="shared" si="108"/>
        <v>1.0459471806201843</v>
      </c>
      <c r="T561" s="4">
        <f t="shared" si="109"/>
        <v>1.0940055046473125</v>
      </c>
      <c r="U561" s="1">
        <f t="shared" si="100"/>
        <v>1.0004875920147929</v>
      </c>
      <c r="V561" s="6">
        <f>2*sigma/alpha*corel*(B561/12-1/alpha*(1-EXP(-alpha*Output!B561/12)))</f>
        <v>3.1037908731657105</v>
      </c>
      <c r="W561" s="5">
        <f t="shared" si="110"/>
        <v>-9.3517912632519629E-2</v>
      </c>
      <c r="X561" s="1">
        <f t="shared" si="111"/>
        <v>26.778468433642026</v>
      </c>
      <c r="Y561" s="3">
        <f t="shared" si="101"/>
        <v>2.25927355498916E-2</v>
      </c>
      <c r="Z561" s="1">
        <f t="shared" si="102"/>
        <v>0.15449663753780152</v>
      </c>
      <c r="AA561" s="8">
        <f t="shared" si="107"/>
        <v>45.750000000000206</v>
      </c>
      <c r="AB561" s="1">
        <v>45.83</v>
      </c>
      <c r="AC561" s="1">
        <v>7.5612596970000001E-3</v>
      </c>
      <c r="AD561" s="8">
        <f t="shared" si="103"/>
        <v>1.4314802650822276</v>
      </c>
      <c r="AE561" s="3">
        <f t="shared" si="104"/>
        <v>1.8931769605138423E-2</v>
      </c>
      <c r="AF561" s="11">
        <f t="shared" si="105"/>
        <v>45.750000000000206</v>
      </c>
      <c r="AG561" s="1">
        <f t="shared" si="106"/>
        <v>0.15449663753780152</v>
      </c>
    </row>
    <row r="562" spans="2:33" ht="15" x14ac:dyDescent="0.25">
      <c r="B562" s="1">
        <v>551</v>
      </c>
      <c r="C562" s="1">
        <v>1.0009526881108297</v>
      </c>
      <c r="D562" s="1">
        <v>1.2218932399661733</v>
      </c>
      <c r="E562" s="1">
        <v>0.81719458060886496</v>
      </c>
      <c r="G562" s="1">
        <v>0.99881822196046055</v>
      </c>
      <c r="H562" s="1">
        <v>5.1967642929964457</v>
      </c>
      <c r="I562" s="1">
        <v>0.14727806053060161</v>
      </c>
      <c r="K562" s="1">
        <v>0.99992338610453302</v>
      </c>
      <c r="L562" s="1">
        <v>1.6659592131382441</v>
      </c>
      <c r="M562" s="1">
        <v>0.58931909047094588</v>
      </c>
      <c r="O562" s="1">
        <v>7.4176698461681555E-3</v>
      </c>
      <c r="P562" s="1">
        <v>0.71134717745065712</v>
      </c>
      <c r="R562" s="1">
        <v>0.21380101786088976</v>
      </c>
      <c r="S562" s="2">
        <f t="shared" si="108"/>
        <v>1.0478744281136196</v>
      </c>
      <c r="T562" s="4">
        <f t="shared" si="109"/>
        <v>1.0980408170944453</v>
      </c>
      <c r="U562" s="1">
        <f t="shared" si="100"/>
        <v>1.0041659741283282</v>
      </c>
      <c r="V562" s="6">
        <f>2*sigma/alpha*corel*(B562/12-1/alpha*(1-EXP(-alpha*Output!B562/12)))</f>
        <v>3.1125448984192174</v>
      </c>
      <c r="W562" s="5">
        <f t="shared" si="110"/>
        <v>-9.3874842966117145E-2</v>
      </c>
      <c r="X562" s="1">
        <f t="shared" si="111"/>
        <v>26.929615236119012</v>
      </c>
      <c r="Y562" s="3">
        <f t="shared" si="101"/>
        <v>2.2615212278447983E-2</v>
      </c>
      <c r="Z562" s="1">
        <f t="shared" si="102"/>
        <v>0.15464079216354254</v>
      </c>
      <c r="AA562" s="8">
        <f t="shared" si="107"/>
        <v>45.833333333333542</v>
      </c>
      <c r="AB562" s="1">
        <v>45.92</v>
      </c>
      <c r="AC562" s="1">
        <v>7.5610461239999996E-3</v>
      </c>
      <c r="AD562" s="8">
        <f t="shared" si="103"/>
        <v>1.4337627783184408</v>
      </c>
      <c r="AE562" s="3">
        <f t="shared" si="104"/>
        <v>1.8962492157896547E-2</v>
      </c>
      <c r="AF562" s="11">
        <f t="shared" si="105"/>
        <v>45.833333333333542</v>
      </c>
      <c r="AG562" s="1">
        <f t="shared" si="106"/>
        <v>0.15464079216354254</v>
      </c>
    </row>
    <row r="563" spans="2:33" ht="15" x14ac:dyDescent="0.25">
      <c r="B563" s="1">
        <v>552</v>
      </c>
      <c r="C563" s="1">
        <v>1.0009494542858526</v>
      </c>
      <c r="D563" s="1">
        <v>1.2202269032538076</v>
      </c>
      <c r="E563" s="1">
        <v>0.81830808486436224</v>
      </c>
      <c r="G563" s="1">
        <v>0.9983865505885906</v>
      </c>
      <c r="H563" s="1">
        <v>5.1266062346180679</v>
      </c>
      <c r="I563" s="1">
        <v>0.14922126216431711</v>
      </c>
      <c r="K563" s="1">
        <v>0.99991794906357456</v>
      </c>
      <c r="L563" s="1">
        <v>1.6644436191779912</v>
      </c>
      <c r="M563" s="1">
        <v>0.5898261456053473</v>
      </c>
      <c r="O563" s="1">
        <v>7.4171881919102428E-3</v>
      </c>
      <c r="P563" s="1">
        <v>0.71092335289322517</v>
      </c>
      <c r="R563" s="1">
        <v>0.21409184915449828</v>
      </c>
      <c r="S563" s="2">
        <f t="shared" si="108"/>
        <v>1.0498025233804202</v>
      </c>
      <c r="T563" s="4">
        <f t="shared" si="109"/>
        <v>1.1020853380958977</v>
      </c>
      <c r="U563" s="1">
        <f t="shared" si="100"/>
        <v>1.007849007494106</v>
      </c>
      <c r="V563" s="6">
        <f>2*sigma/alpha*corel*(B563/12-1/alpha*(1-EXP(-alpha*Output!B563/12)))</f>
        <v>3.1213044565841268</v>
      </c>
      <c r="W563" s="5">
        <f t="shared" si="110"/>
        <v>-9.4236330601791707E-2</v>
      </c>
      <c r="X563" s="1">
        <f t="shared" si="111"/>
        <v>27.082026341421603</v>
      </c>
      <c r="Y563" s="3">
        <f t="shared" si="101"/>
        <v>2.2638423574403096E-2</v>
      </c>
      <c r="Z563" s="1">
        <f t="shared" si="102"/>
        <v>0.1547849376235563</v>
      </c>
      <c r="AA563" s="8">
        <f t="shared" si="107"/>
        <v>45.916666666666877</v>
      </c>
      <c r="AB563" s="1">
        <v>46</v>
      </c>
      <c r="AC563" s="1">
        <v>7.5608333259999999E-3</v>
      </c>
      <c r="AD563" s="8">
        <f t="shared" si="103"/>
        <v>1.4364513408975705</v>
      </c>
      <c r="AE563" s="3">
        <f t="shared" si="104"/>
        <v>1.8998584930551749E-2</v>
      </c>
      <c r="AF563" s="11">
        <f t="shared" si="105"/>
        <v>45.916666666666877</v>
      </c>
      <c r="AG563" s="1">
        <f t="shared" si="106"/>
        <v>0.1547849376235563</v>
      </c>
    </row>
    <row r="564" spans="2:33" ht="15" x14ac:dyDescent="0.25">
      <c r="B564" s="1">
        <v>553</v>
      </c>
      <c r="C564" s="1">
        <v>1.0009485804683727</v>
      </c>
      <c r="D564" s="1">
        <v>1.2195771515008285</v>
      </c>
      <c r="E564" s="1">
        <v>0.81874159350150333</v>
      </c>
      <c r="G564" s="1">
        <v>0.99817546645153266</v>
      </c>
      <c r="H564" s="1">
        <v>5.100311736483123</v>
      </c>
      <c r="I564" s="1">
        <v>0.14991791769955581</v>
      </c>
      <c r="K564" s="1">
        <v>0.99992294145012228</v>
      </c>
      <c r="L564" s="1">
        <v>1.6637950342025105</v>
      </c>
      <c r="M564" s="1">
        <v>0.59003991013699397</v>
      </c>
      <c r="O564" s="1">
        <v>7.416805717482414E-3</v>
      </c>
      <c r="P564" s="1">
        <v>0.710496590530173</v>
      </c>
      <c r="R564" s="1">
        <v>0.21437392156183285</v>
      </c>
      <c r="S564" s="2">
        <f t="shared" si="108"/>
        <v>1.0517073432435107</v>
      </c>
      <c r="T564" s="4">
        <f t="shared" si="109"/>
        <v>1.1060883358323235</v>
      </c>
      <c r="U564" s="1">
        <f t="shared" si="100"/>
        <v>1.0115366795579708</v>
      </c>
      <c r="V564" s="6">
        <f>2*sigma/alpha*corel*(B564/12-1/alpha*(1-EXP(-alpha*Output!B564/12)))</f>
        <v>3.1300695292481047</v>
      </c>
      <c r="W564" s="5">
        <f t="shared" si="110"/>
        <v>-9.4551656274352691E-2</v>
      </c>
      <c r="X564" s="1">
        <f t="shared" si="111"/>
        <v>27.226357231166467</v>
      </c>
      <c r="Y564" s="3">
        <f t="shared" si="101"/>
        <v>2.265264376764381E-2</v>
      </c>
      <c r="Z564" s="1">
        <f t="shared" si="102"/>
        <v>0.15492552040121566</v>
      </c>
      <c r="AA564" s="8">
        <f t="shared" si="107"/>
        <v>46.000000000000213</v>
      </c>
      <c r="AB564" s="1">
        <v>46.08</v>
      </c>
      <c r="AC564" s="1">
        <v>7.5606212990000001E-3</v>
      </c>
      <c r="AD564" s="8">
        <f t="shared" si="103"/>
        <v>1.4381558151758609</v>
      </c>
      <c r="AE564" s="3">
        <f t="shared" si="104"/>
        <v>1.9021661822502305E-2</v>
      </c>
      <c r="AF564" s="11">
        <f t="shared" si="105"/>
        <v>46.000000000000213</v>
      </c>
      <c r="AG564" s="1">
        <f t="shared" si="106"/>
        <v>0.15492552040121566</v>
      </c>
    </row>
    <row r="565" spans="2:33" ht="15" x14ac:dyDescent="0.25">
      <c r="B565" s="1">
        <v>554</v>
      </c>
      <c r="C565" s="1">
        <v>1.0009525691257182</v>
      </c>
      <c r="D565" s="1">
        <v>1.2211245867884282</v>
      </c>
      <c r="E565" s="1">
        <v>0.81770160546632364</v>
      </c>
      <c r="G565" s="1">
        <v>0.99840726581446415</v>
      </c>
      <c r="H565" s="1">
        <v>5.1580771893581421</v>
      </c>
      <c r="I565" s="1">
        <v>0.14816718043804367</v>
      </c>
      <c r="K565" s="1">
        <v>0.99992200161466693</v>
      </c>
      <c r="L565" s="1">
        <v>1.6717666197291681</v>
      </c>
      <c r="M565" s="1">
        <v>0.58721012014263785</v>
      </c>
      <c r="O565" s="1">
        <v>7.4164774150331011E-3</v>
      </c>
      <c r="P565" s="1">
        <v>0.71006835377321509</v>
      </c>
      <c r="R565" s="1">
        <v>0.21465101309021084</v>
      </c>
      <c r="S565" s="2">
        <f t="shared" si="108"/>
        <v>1.0535993984122525</v>
      </c>
      <c r="T565" s="4">
        <f t="shared" si="109"/>
        <v>1.1100716923346603</v>
      </c>
      <c r="U565" s="1">
        <f t="shared" si="100"/>
        <v>1.0152289777881145</v>
      </c>
      <c r="V565" s="6">
        <f>2*sigma/alpha*corel*(B565/12-1/alpha*(1-EXP(-alpha*Output!B565/12)))</f>
        <v>3.1388400980600886</v>
      </c>
      <c r="W565" s="5">
        <f t="shared" si="110"/>
        <v>-9.4842714546545803E-2</v>
      </c>
      <c r="X565" s="1">
        <f t="shared" si="111"/>
        <v>27.366605114118659</v>
      </c>
      <c r="Y565" s="3">
        <f t="shared" si="101"/>
        <v>2.2662129727941016E-2</v>
      </c>
      <c r="Z565" s="1">
        <f t="shared" si="102"/>
        <v>0.15506409707664379</v>
      </c>
      <c r="AA565" s="8">
        <f t="shared" si="107"/>
        <v>46.083333333333549</v>
      </c>
      <c r="AB565" s="1">
        <v>46.17</v>
      </c>
      <c r="AC565" s="1">
        <v>7.5604100390000003E-3</v>
      </c>
      <c r="AD565" s="8">
        <f t="shared" si="103"/>
        <v>1.4393262396689925</v>
      </c>
      <c r="AE565" s="3">
        <f t="shared" si="104"/>
        <v>1.9037674309254383E-2</v>
      </c>
      <c r="AF565" s="11">
        <f t="shared" si="105"/>
        <v>46.083333333333549</v>
      </c>
      <c r="AG565" s="1">
        <f t="shared" si="106"/>
        <v>0.15506409707664379</v>
      </c>
    </row>
    <row r="566" spans="2:33" ht="15" x14ac:dyDescent="0.25">
      <c r="B566" s="1">
        <v>555</v>
      </c>
      <c r="C566" s="1">
        <v>1.0009518204313999</v>
      </c>
      <c r="D566" s="1">
        <v>1.2154465890664703</v>
      </c>
      <c r="E566" s="1">
        <v>0.82151904748964144</v>
      </c>
      <c r="G566" s="1">
        <v>0.99819641555686789</v>
      </c>
      <c r="H566" s="1">
        <v>4.9440916090741718</v>
      </c>
      <c r="I566" s="1">
        <v>0.15450514037048751</v>
      </c>
      <c r="K566" s="1">
        <v>0.99992889480117175</v>
      </c>
      <c r="L566" s="1">
        <v>1.6665716387633136</v>
      </c>
      <c r="M566" s="1">
        <v>0.58903788622024789</v>
      </c>
      <c r="O566" s="1">
        <v>7.4161458046220069E-3</v>
      </c>
      <c r="P566" s="1">
        <v>0.70964052252651921</v>
      </c>
      <c r="R566" s="1">
        <v>0.21493705175823755</v>
      </c>
      <c r="S566" s="2">
        <f t="shared" si="108"/>
        <v>1.0555249507773896</v>
      </c>
      <c r="T566" s="4">
        <f t="shared" si="109"/>
        <v>1.1141329217136107</v>
      </c>
      <c r="U566" s="1">
        <f t="shared" si="100"/>
        <v>1.0189258896751339</v>
      </c>
      <c r="V566" s="6">
        <f>2*sigma/alpha*corel*(B566/12-1/alpha*(1-EXP(-alpha*Output!B566/12)))</f>
        <v>3.1476161447300863</v>
      </c>
      <c r="W566" s="5">
        <f t="shared" si="110"/>
        <v>-9.5207032038476802E-2</v>
      </c>
      <c r="X566" s="1">
        <f t="shared" si="111"/>
        <v>27.520788321683696</v>
      </c>
      <c r="Y566" s="3">
        <f t="shared" si="101"/>
        <v>2.2685511463562423E-2</v>
      </c>
      <c r="Z566" s="1">
        <f t="shared" si="102"/>
        <v>0.15520747555927669</v>
      </c>
      <c r="AA566" s="8">
        <f t="shared" si="107"/>
        <v>46.166666666666885</v>
      </c>
      <c r="AB566" s="1">
        <v>46.25</v>
      </c>
      <c r="AC566" s="1">
        <v>7.5601995410000001E-3</v>
      </c>
      <c r="AD566" s="8">
        <f t="shared" si="103"/>
        <v>1.4405373637799319</v>
      </c>
      <c r="AE566" s="3">
        <f t="shared" si="104"/>
        <v>1.9054224110986756E-2</v>
      </c>
      <c r="AF566" s="11">
        <f t="shared" si="105"/>
        <v>46.166666666666885</v>
      </c>
      <c r="AG566" s="1">
        <f t="shared" si="106"/>
        <v>0.15520747555927669</v>
      </c>
    </row>
    <row r="567" spans="2:33" ht="15" x14ac:dyDescent="0.25">
      <c r="B567" s="1">
        <v>556</v>
      </c>
      <c r="C567" s="1">
        <v>1.0009533019379211</v>
      </c>
      <c r="D567" s="1">
        <v>1.2157576583859047</v>
      </c>
      <c r="E567" s="1">
        <v>0.82130636885522235</v>
      </c>
      <c r="G567" s="1">
        <v>0.99816976217430764</v>
      </c>
      <c r="H567" s="1">
        <v>4.9247248528953929</v>
      </c>
      <c r="I567" s="1">
        <v>0.15503760746234763</v>
      </c>
      <c r="K567" s="1">
        <v>0.99993396317195693</v>
      </c>
      <c r="L567" s="1">
        <v>1.669827406100906</v>
      </c>
      <c r="M567" s="1">
        <v>0.58785285407048149</v>
      </c>
      <c r="O567" s="1">
        <v>7.4158657663868279E-3</v>
      </c>
      <c r="P567" s="1">
        <v>0.70921129358421031</v>
      </c>
      <c r="R567" s="1">
        <v>0.21524229938277795</v>
      </c>
      <c r="S567" s="2">
        <f t="shared" si="108"/>
        <v>1.057524889752276</v>
      </c>
      <c r="T567" s="4">
        <f t="shared" si="109"/>
        <v>1.1183588924455634</v>
      </c>
      <c r="U567" s="1">
        <f t="shared" si="100"/>
        <v>1.0226274027320783</v>
      </c>
      <c r="V567" s="6">
        <f>2*sigma/alpha*corel*(B567/12-1/alpha*(1-EXP(-alpha*Output!B567/12)))</f>
        <v>3.15639765102897</v>
      </c>
      <c r="W567" s="5">
        <f t="shared" si="110"/>
        <v>-9.5731489713485107E-2</v>
      </c>
      <c r="X567" s="1">
        <f t="shared" si="111"/>
        <v>27.705082224987109</v>
      </c>
      <c r="Y567" s="3">
        <f t="shared" si="101"/>
        <v>2.273918085128776E-2</v>
      </c>
      <c r="Z567" s="1">
        <f t="shared" si="102"/>
        <v>0.15536164997513954</v>
      </c>
      <c r="AA567" s="8">
        <f t="shared" si="107"/>
        <v>46.25000000000022</v>
      </c>
      <c r="AB567" s="1">
        <v>46.33</v>
      </c>
      <c r="AC567" s="1">
        <v>7.5599898019999999E-3</v>
      </c>
      <c r="AD567" s="8">
        <f t="shared" si="103"/>
        <v>1.4412403561317195</v>
      </c>
      <c r="AE567" s="3">
        <f t="shared" si="104"/>
        <v>1.9064051591054242E-2</v>
      </c>
      <c r="AF567" s="11">
        <f t="shared" si="105"/>
        <v>46.25000000000022</v>
      </c>
      <c r="AG567" s="1">
        <f t="shared" si="106"/>
        <v>0.15536164997513954</v>
      </c>
    </row>
    <row r="568" spans="2:33" ht="15" x14ac:dyDescent="0.25">
      <c r="B568" s="1">
        <v>557</v>
      </c>
      <c r="C568" s="1">
        <v>1.0009576146111361</v>
      </c>
      <c r="D568" s="1">
        <v>1.2165029188236258</v>
      </c>
      <c r="E568" s="1">
        <v>0.82080073153536826</v>
      </c>
      <c r="G568" s="1">
        <v>0.99841186688654071</v>
      </c>
      <c r="H568" s="1">
        <v>4.9776171335238981</v>
      </c>
      <c r="I568" s="1">
        <v>0.1533158747134743</v>
      </c>
      <c r="K568" s="1">
        <v>0.99992768758114536</v>
      </c>
      <c r="L568" s="1">
        <v>1.6735648459275452</v>
      </c>
      <c r="M568" s="1">
        <v>0.586539111663132</v>
      </c>
      <c r="O568" s="1">
        <v>7.4157549725662377E-3</v>
      </c>
      <c r="P568" s="1">
        <v>0.70877678934045163</v>
      </c>
      <c r="R568" s="1">
        <v>0.21553454909438191</v>
      </c>
      <c r="S568" s="2">
        <f t="shared" si="108"/>
        <v>1.0594912262716119</v>
      </c>
      <c r="T568" s="4">
        <f t="shared" si="109"/>
        <v>1.1225216585465239</v>
      </c>
      <c r="U568" s="1">
        <f t="shared" si="100"/>
        <v>1.0263335044945086</v>
      </c>
      <c r="V568" s="6">
        <f>2*sigma/alpha*corel*(B568/12-1/alpha*(1-EXP(-alpha*Output!B568/12)))</f>
        <v>3.1651845987882723</v>
      </c>
      <c r="W568" s="5">
        <f t="shared" si="110"/>
        <v>-9.6188154052015307E-2</v>
      </c>
      <c r="X568" s="1">
        <f t="shared" si="111"/>
        <v>27.877327480063983</v>
      </c>
      <c r="Y568" s="3">
        <f t="shared" si="101"/>
        <v>2.2779682253289035E-2</v>
      </c>
      <c r="Z568" s="1">
        <f t="shared" si="102"/>
        <v>0.15551074075231155</v>
      </c>
      <c r="AA568" s="8">
        <f t="shared" si="107"/>
        <v>46.333333333333556</v>
      </c>
      <c r="AB568" s="1">
        <v>46.42</v>
      </c>
      <c r="AC568" s="1">
        <v>7.5597808179999997E-3</v>
      </c>
      <c r="AD568" s="8">
        <f t="shared" si="103"/>
        <v>1.4402584543376193</v>
      </c>
      <c r="AE568" s="3">
        <f t="shared" si="104"/>
        <v>1.9051590105738692E-2</v>
      </c>
      <c r="AF568" s="11">
        <f t="shared" si="105"/>
        <v>46.333333333333556</v>
      </c>
      <c r="AG568" s="1">
        <f t="shared" si="106"/>
        <v>0.15551074075231155</v>
      </c>
    </row>
    <row r="569" spans="2:33" ht="15" x14ac:dyDescent="0.25">
      <c r="B569" s="1">
        <v>558</v>
      </c>
      <c r="C569" s="1">
        <v>1.0009607819980622</v>
      </c>
      <c r="D569" s="1">
        <v>1.2186344941228509</v>
      </c>
      <c r="E569" s="1">
        <v>0.8193625427958221</v>
      </c>
      <c r="G569" s="1">
        <v>0.99847844154470966</v>
      </c>
      <c r="H569" s="1">
        <v>5.0667129672725526</v>
      </c>
      <c r="I569" s="1">
        <v>0.15054692686756208</v>
      </c>
      <c r="K569" s="1">
        <v>0.99992895192625297</v>
      </c>
      <c r="L569" s="1">
        <v>1.6771830104523664</v>
      </c>
      <c r="M569" s="1">
        <v>0.58522917863421298</v>
      </c>
      <c r="O569" s="1">
        <v>7.4156192151368962E-3</v>
      </c>
      <c r="P569" s="1">
        <v>0.70834338662941221</v>
      </c>
      <c r="R569" s="1">
        <v>0.21583465819650155</v>
      </c>
      <c r="S569" s="2">
        <f t="shared" si="108"/>
        <v>1.0614858860228777</v>
      </c>
      <c r="T569" s="4">
        <f t="shared" si="109"/>
        <v>1.1267522862257737</v>
      </c>
      <c r="U569" s="1">
        <f t="shared" ref="U569:U632" si="112">sigma*sigma/alpha/alpha*(B569/12+2/alpha*EXP(-alpha*B569/12)-1/2/alpha*EXP(-2*alpha*B569/12)-3/2/alpha)</f>
        <v>1.0300441825205455</v>
      </c>
      <c r="V569" s="6">
        <f>2*sigma/alpha*corel*(B569/12-1/alpha*(1-EXP(-alpha*Output!B569/12)))</f>
        <v>3.1739769698999916</v>
      </c>
      <c r="W569" s="5">
        <f t="shared" si="110"/>
        <v>-9.6708103705228199E-2</v>
      </c>
      <c r="X569" s="1">
        <f t="shared" si="111"/>
        <v>28.061837094627975</v>
      </c>
      <c r="Y569" s="3">
        <f t="shared" si="101"/>
        <v>2.2831886945777233E-2</v>
      </c>
      <c r="Z569" s="1">
        <f t="shared" si="102"/>
        <v>0.15566384282114007</v>
      </c>
      <c r="AA569" s="8">
        <f t="shared" si="107"/>
        <v>46.416666666666892</v>
      </c>
      <c r="AB569" s="1">
        <v>46.5</v>
      </c>
      <c r="AC569" s="1">
        <v>7.5595725839999999E-3</v>
      </c>
      <c r="AD569" s="8">
        <f t="shared" si="103"/>
        <v>1.4395336886310375</v>
      </c>
      <c r="AE569" s="3">
        <f t="shared" si="104"/>
        <v>1.904252750582542E-2</v>
      </c>
      <c r="AF569" s="11">
        <f t="shared" si="105"/>
        <v>46.416666666666892</v>
      </c>
      <c r="AG569" s="1">
        <f t="shared" si="106"/>
        <v>0.15566384282114007</v>
      </c>
    </row>
    <row r="570" spans="2:33" ht="15" x14ac:dyDescent="0.25">
      <c r="B570" s="1">
        <v>559</v>
      </c>
      <c r="C570" s="1">
        <v>1.0009642520087261</v>
      </c>
      <c r="D570" s="1">
        <v>1.2213382932148178</v>
      </c>
      <c r="E570" s="1">
        <v>0.81754615440086009</v>
      </c>
      <c r="G570" s="1">
        <v>0.99861164713921968</v>
      </c>
      <c r="H570" s="1">
        <v>5.165277599964206</v>
      </c>
      <c r="I570" s="1">
        <v>0.14760263500893137</v>
      </c>
      <c r="K570" s="1">
        <v>0.99992972548302339</v>
      </c>
      <c r="L570" s="1">
        <v>1.6823165351318492</v>
      </c>
      <c r="M570" s="1">
        <v>0.58344311838613816</v>
      </c>
      <c r="O570" s="1">
        <v>7.4155231169091215E-3</v>
      </c>
      <c r="P570" s="1">
        <v>0.70790895711959823</v>
      </c>
      <c r="R570" s="1">
        <v>0.21612709278322939</v>
      </c>
      <c r="S570" s="2">
        <f t="shared" si="108"/>
        <v>1.063457221717196</v>
      </c>
      <c r="T570" s="4">
        <f t="shared" si="109"/>
        <v>1.1309412624224575</v>
      </c>
      <c r="U570" s="1">
        <f t="shared" si="112"/>
        <v>1.0337594243909192</v>
      </c>
      <c r="V570" s="6">
        <f>2*sigma/alpha*corel*(B570/12-1/alpha*(1-EXP(-alpha*Output!B570/12)))</f>
        <v>3.1827747463163814</v>
      </c>
      <c r="W570" s="5">
        <f t="shared" si="110"/>
        <v>-9.7181838031538348E-2</v>
      </c>
      <c r="X570" s="1">
        <f t="shared" si="111"/>
        <v>28.238270905665949</v>
      </c>
      <c r="Y570" s="3">
        <f t="shared" si="101"/>
        <v>2.2875076906460127E-2</v>
      </c>
      <c r="Z570" s="1">
        <f t="shared" si="102"/>
        <v>0.15581337828772532</v>
      </c>
      <c r="AA570" s="8">
        <f t="shared" si="107"/>
        <v>46.500000000000227</v>
      </c>
      <c r="AB570" s="1">
        <v>46.58</v>
      </c>
      <c r="AC570" s="1">
        <v>7.5593650970000002E-3</v>
      </c>
      <c r="AD570" s="8">
        <f t="shared" si="103"/>
        <v>1.438419800908787</v>
      </c>
      <c r="AE570" s="3">
        <f t="shared" si="104"/>
        <v>1.9028314976870696E-2</v>
      </c>
      <c r="AF570" s="11">
        <f t="shared" si="105"/>
        <v>46.500000000000227</v>
      </c>
      <c r="AG570" s="1">
        <f t="shared" si="106"/>
        <v>0.15581337828772532</v>
      </c>
    </row>
    <row r="571" spans="2:33" ht="15" x14ac:dyDescent="0.25">
      <c r="B571" s="1">
        <v>560</v>
      </c>
      <c r="C571" s="1">
        <v>1.0009706640347185</v>
      </c>
      <c r="D571" s="1">
        <v>1.2277658019494002</v>
      </c>
      <c r="E571" s="1">
        <v>0.81326372159933047</v>
      </c>
      <c r="G571" s="1">
        <v>0.99902624568709364</v>
      </c>
      <c r="H571" s="1">
        <v>5.4145513806257863</v>
      </c>
      <c r="I571" s="1">
        <v>0.14073913485543102</v>
      </c>
      <c r="K571" s="1">
        <v>0.99992213839679511</v>
      </c>
      <c r="L571" s="1">
        <v>1.6775865762225464</v>
      </c>
      <c r="M571" s="1">
        <v>0.58504402799533384</v>
      </c>
      <c r="O571" s="1">
        <v>7.4153412767541498E-3</v>
      </c>
      <c r="P571" s="1">
        <v>0.70747763619560355</v>
      </c>
      <c r="R571" s="1">
        <v>0.21637944736201917</v>
      </c>
      <c r="S571" s="2">
        <f t="shared" si="108"/>
        <v>1.065279140809982</v>
      </c>
      <c r="T571" s="4">
        <f t="shared" si="109"/>
        <v>1.1348196478448533</v>
      </c>
      <c r="U571" s="1">
        <f t="shared" si="112"/>
        <v>1.0374792177090213</v>
      </c>
      <c r="V571" s="6">
        <f>2*sigma/alpha*corel*(B571/12-1/alpha*(1-EXP(-alpha*Output!B571/12)))</f>
        <v>3.1915779100497543</v>
      </c>
      <c r="W571" s="5">
        <f t="shared" si="110"/>
        <v>-9.7340430135832046E-2</v>
      </c>
      <c r="X571" s="1">
        <f t="shared" si="111"/>
        <v>28.356383181272875</v>
      </c>
      <c r="Y571" s="3">
        <f t="shared" si="101"/>
        <v>2.2858856573616637E-2</v>
      </c>
      <c r="Z571" s="1">
        <f t="shared" si="102"/>
        <v>0.15594089868405184</v>
      </c>
      <c r="AA571" s="8">
        <f t="shared" si="107"/>
        <v>46.583333333333563</v>
      </c>
      <c r="AB571" s="1">
        <v>46.67</v>
      </c>
      <c r="AC571" s="1">
        <v>7.5591583520000002E-3</v>
      </c>
      <c r="AD571" s="8">
        <f t="shared" si="103"/>
        <v>1.4381707524585043</v>
      </c>
      <c r="AE571" s="3">
        <f t="shared" si="104"/>
        <v>1.9025540747906061E-2</v>
      </c>
      <c r="AF571" s="11">
        <f t="shared" si="105"/>
        <v>46.583333333333563</v>
      </c>
      <c r="AG571" s="1">
        <f t="shared" si="106"/>
        <v>0.15594089868405184</v>
      </c>
    </row>
    <row r="572" spans="2:33" ht="15" x14ac:dyDescent="0.25">
      <c r="B572" s="1">
        <v>561</v>
      </c>
      <c r="C572" s="1">
        <v>1.000971591814213</v>
      </c>
      <c r="D572" s="1">
        <v>1.2260906271028689</v>
      </c>
      <c r="E572" s="1">
        <v>0.81437237972185905</v>
      </c>
      <c r="G572" s="1">
        <v>0.99894218007690083</v>
      </c>
      <c r="H572" s="1">
        <v>5.3521356558511091</v>
      </c>
      <c r="I572" s="1">
        <v>0.14231144260055448</v>
      </c>
      <c r="K572" s="1">
        <v>0.99992954333670514</v>
      </c>
      <c r="L572" s="1">
        <v>1.6580589864902056</v>
      </c>
      <c r="M572" s="1">
        <v>0.59194550592886264</v>
      </c>
      <c r="O572" s="1">
        <v>7.4151136307058999E-3</v>
      </c>
      <c r="P572" s="1">
        <v>0.70704811358806163</v>
      </c>
      <c r="R572" s="1">
        <v>0.2166415050572488</v>
      </c>
      <c r="S572" s="2">
        <f t="shared" si="108"/>
        <v>1.0671344164783962</v>
      </c>
      <c r="T572" s="4">
        <f t="shared" si="109"/>
        <v>1.1387758628326872</v>
      </c>
      <c r="U572" s="1">
        <f t="shared" si="112"/>
        <v>1.0412035501009536</v>
      </c>
      <c r="V572" s="6">
        <f>2*sigma/alpha*corel*(B572/12-1/alpha*(1-EXP(-alpha*Output!B572/12)))</f>
        <v>3.2003864431722855</v>
      </c>
      <c r="W572" s="5">
        <f t="shared" si="110"/>
        <v>-9.7572312731733613E-2</v>
      </c>
      <c r="X572" s="1">
        <f t="shared" si="111"/>
        <v>28.488495866475137</v>
      </c>
      <c r="Y572" s="3">
        <f t="shared" si="101"/>
        <v>2.28564183237191E-2</v>
      </c>
      <c r="Z572" s="1">
        <f t="shared" si="102"/>
        <v>0.15607319432152958</v>
      </c>
      <c r="AA572" s="8">
        <f t="shared" si="107"/>
        <v>46.666666666666899</v>
      </c>
      <c r="AB572" s="1">
        <v>46.75</v>
      </c>
      <c r="AC572" s="1">
        <v>7.5589523449999998E-3</v>
      </c>
      <c r="AD572" s="8">
        <f t="shared" si="103"/>
        <v>1.4383871429409987</v>
      </c>
      <c r="AE572" s="3">
        <f t="shared" si="104"/>
        <v>1.9028921962875516E-2</v>
      </c>
      <c r="AF572" s="11">
        <f t="shared" si="105"/>
        <v>46.666666666666899</v>
      </c>
      <c r="AG572" s="1">
        <f t="shared" si="106"/>
        <v>0.15607319432152958</v>
      </c>
    </row>
    <row r="573" spans="2:33" ht="15" x14ac:dyDescent="0.25">
      <c r="B573" s="1">
        <v>562</v>
      </c>
      <c r="C573" s="1">
        <v>1.0009795789553491</v>
      </c>
      <c r="D573" s="1">
        <v>1.2246977921771647</v>
      </c>
      <c r="E573" s="1">
        <v>0.81529606510649777</v>
      </c>
      <c r="G573" s="1">
        <v>0.99945250113446271</v>
      </c>
      <c r="H573" s="1">
        <v>5.2995180701011764</v>
      </c>
      <c r="I573" s="1">
        <v>0.14365479642930071</v>
      </c>
      <c r="K573" s="1">
        <v>0.99992628931009864</v>
      </c>
      <c r="L573" s="1">
        <v>1.6578003439565938</v>
      </c>
      <c r="M573" s="1">
        <v>0.59200983226721782</v>
      </c>
      <c r="O573" s="1">
        <v>7.4149213313370391E-3</v>
      </c>
      <c r="P573" s="1">
        <v>0.70661770882346486</v>
      </c>
      <c r="R573" s="1">
        <v>0.2169072420597162</v>
      </c>
      <c r="S573" s="2">
        <f t="shared" si="108"/>
        <v>1.0690069459798692</v>
      </c>
      <c r="T573" s="4">
        <f t="shared" si="109"/>
        <v>1.1427758505532071</v>
      </c>
      <c r="U573" s="1">
        <f t="shared" si="112"/>
        <v>1.0449324092155741</v>
      </c>
      <c r="V573" s="6">
        <f>2*sigma/alpha*corel*(B573/12-1/alpha*(1-EXP(-alpha*Output!B573/12)))</f>
        <v>3.2092003278158074</v>
      </c>
      <c r="W573" s="5">
        <f t="shared" si="110"/>
        <v>-9.7843441337633008E-2</v>
      </c>
      <c r="X573" s="1">
        <f t="shared" si="111"/>
        <v>28.628304754636336</v>
      </c>
      <c r="Y573" s="3">
        <f t="shared" si="101"/>
        <v>2.2861304040373485E-2</v>
      </c>
      <c r="Z573" s="1">
        <f t="shared" si="102"/>
        <v>0.15620789941931151</v>
      </c>
      <c r="AA573" s="8">
        <f t="shared" si="107"/>
        <v>46.750000000000234</v>
      </c>
      <c r="AB573" s="1">
        <v>46.83</v>
      </c>
      <c r="AC573" s="1">
        <v>7.5587470730000004E-3</v>
      </c>
      <c r="AD573" s="8">
        <f t="shared" si="103"/>
        <v>1.4382574166296129</v>
      </c>
      <c r="AE573" s="3">
        <f t="shared" si="104"/>
        <v>1.9027722488123698E-2</v>
      </c>
      <c r="AF573" s="11">
        <f t="shared" si="105"/>
        <v>46.750000000000234</v>
      </c>
      <c r="AG573" s="1">
        <f t="shared" si="106"/>
        <v>0.15620789941931151</v>
      </c>
    </row>
    <row r="574" spans="2:33" ht="15" x14ac:dyDescent="0.25">
      <c r="B574" s="1">
        <v>563</v>
      </c>
      <c r="C574" s="1">
        <v>1.0009798201512963</v>
      </c>
      <c r="D574" s="1">
        <v>1.2325954515743323</v>
      </c>
      <c r="E574" s="1">
        <v>0.81006970636463838</v>
      </c>
      <c r="G574" s="1">
        <v>0.99936804556769421</v>
      </c>
      <c r="H574" s="1">
        <v>5.6168677213162423</v>
      </c>
      <c r="I574" s="1">
        <v>0.13547273084241454</v>
      </c>
      <c r="K574" s="1">
        <v>0.99992859626307506</v>
      </c>
      <c r="L574" s="1">
        <v>1.6562441386710411</v>
      </c>
      <c r="M574" s="1">
        <v>0.59253685607817375</v>
      </c>
      <c r="O574" s="1">
        <v>7.4147626726425667E-3</v>
      </c>
      <c r="P574" s="1">
        <v>0.70618647411358959</v>
      </c>
      <c r="R574" s="1">
        <v>0.21715980709638513</v>
      </c>
      <c r="S574" s="2">
        <f t="shared" si="108"/>
        <v>1.0708355095010058</v>
      </c>
      <c r="T574" s="4">
        <f t="shared" si="109"/>
        <v>1.1466886884082788</v>
      </c>
      <c r="U574" s="1">
        <f t="shared" si="112"/>
        <v>1.048665782724544</v>
      </c>
      <c r="V574" s="6">
        <f>2*sigma/alpha*corel*(B574/12-1/alpha*(1-EXP(-alpha*Output!B574/12)))</f>
        <v>3.2180195461716128</v>
      </c>
      <c r="W574" s="5">
        <f t="shared" si="110"/>
        <v>-9.8022905683734729E-2</v>
      </c>
      <c r="X574" s="1">
        <f t="shared" si="111"/>
        <v>28.751281766190104</v>
      </c>
      <c r="Y574" s="3">
        <f t="shared" si="101"/>
        <v>2.2849051067760723E-2</v>
      </c>
      <c r="Z574" s="1">
        <f t="shared" si="102"/>
        <v>0.15633606978438913</v>
      </c>
      <c r="AA574" s="8">
        <f t="shared" si="107"/>
        <v>46.83333333333357</v>
      </c>
      <c r="AB574" s="1">
        <v>46.92</v>
      </c>
      <c r="AC574" s="1">
        <v>7.5585425309999997E-3</v>
      </c>
      <c r="AD574" s="8">
        <f t="shared" si="103"/>
        <v>1.4377985835743301</v>
      </c>
      <c r="AE574" s="3">
        <f t="shared" si="104"/>
        <v>1.902216700742846E-2</v>
      </c>
      <c r="AF574" s="11">
        <f t="shared" si="105"/>
        <v>46.83333333333357</v>
      </c>
      <c r="AG574" s="1">
        <f t="shared" si="106"/>
        <v>0.15633606978438913</v>
      </c>
    </row>
    <row r="575" spans="2:33" ht="15" x14ac:dyDescent="0.25">
      <c r="B575" s="1">
        <v>564</v>
      </c>
      <c r="C575" s="1">
        <v>1.0009777900031933</v>
      </c>
      <c r="D575" s="1">
        <v>1.2358725575234817</v>
      </c>
      <c r="E575" s="1">
        <v>0.80791920540194928</v>
      </c>
      <c r="G575" s="1">
        <v>0.99906584327300063</v>
      </c>
      <c r="H575" s="1">
        <v>5.7550953617282676</v>
      </c>
      <c r="I575" s="1">
        <v>0.13215485685741013</v>
      </c>
      <c r="K575" s="1">
        <v>0.9999065319030731</v>
      </c>
      <c r="L575" s="1">
        <v>1.6465755814484544</v>
      </c>
      <c r="M575" s="1">
        <v>0.59599747453869367</v>
      </c>
      <c r="O575" s="1">
        <v>7.4146537642931064E-3</v>
      </c>
      <c r="P575" s="1">
        <v>0.70575387099767861</v>
      </c>
      <c r="R575" s="1">
        <v>0.21742072001888635</v>
      </c>
      <c r="S575" s="2">
        <f t="shared" si="108"/>
        <v>1.0726993069545008</v>
      </c>
      <c r="T575" s="4">
        <f t="shared" si="109"/>
        <v>1.1506838031406663</v>
      </c>
      <c r="U575" s="1">
        <f t="shared" si="112"/>
        <v>1.0524036583223739</v>
      </c>
      <c r="V575" s="6">
        <f>2*sigma/alpha*corel*(B575/12-1/alpha*(1-EXP(-alpha*Output!B575/12)))</f>
        <v>3.2268440804902623</v>
      </c>
      <c r="W575" s="5">
        <f t="shared" si="110"/>
        <v>-9.8280144818292392E-2</v>
      </c>
      <c r="X575" s="1">
        <f t="shared" si="111"/>
        <v>28.889189945634016</v>
      </c>
      <c r="Y575" s="3">
        <f t="shared" si="101"/>
        <v>2.2851302387474282E-2</v>
      </c>
      <c r="Z575" s="1">
        <f t="shared" si="102"/>
        <v>0.15646927528871565</v>
      </c>
      <c r="AA575" s="8">
        <f t="shared" si="107"/>
        <v>46.916666666666906</v>
      </c>
      <c r="AB575" s="1">
        <v>47</v>
      </c>
      <c r="AC575" s="1">
        <v>7.5583387160000001E-3</v>
      </c>
      <c r="AD575" s="8">
        <f t="shared" si="103"/>
        <v>1.4368495170689368</v>
      </c>
      <c r="AE575" s="3">
        <f t="shared" si="104"/>
        <v>1.9010123402214259E-2</v>
      </c>
      <c r="AF575" s="11">
        <f t="shared" si="105"/>
        <v>46.916666666666906</v>
      </c>
      <c r="AG575" s="1">
        <f t="shared" si="106"/>
        <v>0.15646927528871565</v>
      </c>
    </row>
    <row r="576" spans="2:33" ht="15" x14ac:dyDescent="0.25">
      <c r="B576" s="1">
        <v>565</v>
      </c>
      <c r="C576" s="1">
        <v>1.0009800527897974</v>
      </c>
      <c r="D576" s="1">
        <v>1.2377679809307793</v>
      </c>
      <c r="E576" s="1">
        <v>0.80667954163552269</v>
      </c>
      <c r="G576" s="1">
        <v>0.9990980384979572</v>
      </c>
      <c r="H576" s="1">
        <v>5.8326829275179222</v>
      </c>
      <c r="I576" s="1">
        <v>0.13033373878197968</v>
      </c>
      <c r="K576" s="1">
        <v>0.9998965427682156</v>
      </c>
      <c r="L576" s="1">
        <v>1.6426258269494836</v>
      </c>
      <c r="M576" s="1">
        <v>0.59742807028227352</v>
      </c>
      <c r="O576" s="1">
        <v>7.4145190019722015E-3</v>
      </c>
      <c r="P576" s="1">
        <v>0.7053224042750903</v>
      </c>
      <c r="R576" s="1">
        <v>0.21766930064719672</v>
      </c>
      <c r="S576" s="2">
        <f t="shared" si="108"/>
        <v>1.0745179400195271</v>
      </c>
      <c r="T576" s="4">
        <f t="shared" si="109"/>
        <v>1.1545888034238079</v>
      </c>
      <c r="U576" s="1">
        <f t="shared" si="112"/>
        <v>1.0561460237264688</v>
      </c>
      <c r="V576" s="6">
        <f>2*sigma/alpha*corel*(B576/12-1/alpha*(1-EXP(-alpha*Output!B576/12)))</f>
        <v>3.2356739130813779</v>
      </c>
      <c r="W576" s="5">
        <f t="shared" si="110"/>
        <v>-9.8442779697339056E-2</v>
      </c>
      <c r="X576" s="1">
        <f t="shared" si="111"/>
        <v>29.009642514794209</v>
      </c>
      <c r="Y576" s="3">
        <f t="shared" si="101"/>
        <v>2.2835958633638315E-2</v>
      </c>
      <c r="Z576" s="1">
        <f t="shared" si="102"/>
        <v>0.15659578561608242</v>
      </c>
      <c r="AA576" s="8">
        <f t="shared" si="107"/>
        <v>47.000000000000242</v>
      </c>
      <c r="AB576" s="1">
        <v>47.08</v>
      </c>
      <c r="AC576" s="1">
        <v>7.5581356239999998E-3</v>
      </c>
      <c r="AD576" s="8">
        <f t="shared" si="103"/>
        <v>1.4361662202779826</v>
      </c>
      <c r="AE576" s="3">
        <f t="shared" si="104"/>
        <v>1.9001593669708706E-2</v>
      </c>
      <c r="AF576" s="11">
        <f t="shared" si="105"/>
        <v>47.000000000000242</v>
      </c>
      <c r="AG576" s="1">
        <f t="shared" si="106"/>
        <v>0.15659578561608242</v>
      </c>
    </row>
    <row r="577" spans="2:33" ht="15" x14ac:dyDescent="0.25">
      <c r="B577" s="1">
        <v>566</v>
      </c>
      <c r="C577" s="1">
        <v>1.000983683024804</v>
      </c>
      <c r="D577" s="1">
        <v>1.242489674411513</v>
      </c>
      <c r="E577" s="1">
        <v>0.80361153572235522</v>
      </c>
      <c r="G577" s="1">
        <v>0.99927125293936536</v>
      </c>
      <c r="H577" s="1">
        <v>6.0309109439499169</v>
      </c>
      <c r="I577" s="1">
        <v>0.12598878096018692</v>
      </c>
      <c r="K577" s="1">
        <v>0.99990690178713415</v>
      </c>
      <c r="L577" s="1">
        <v>1.6438209489904205</v>
      </c>
      <c r="M577" s="1">
        <v>0.59695008617489087</v>
      </c>
      <c r="O577" s="1">
        <v>7.4144403614993092E-3</v>
      </c>
      <c r="P577" s="1">
        <v>0.70488935126299024</v>
      </c>
      <c r="R577" s="1">
        <v>0.21788388529738664</v>
      </c>
      <c r="S577" s="2">
        <f t="shared" si="108"/>
        <v>1.0762182766817248</v>
      </c>
      <c r="T577" s="4">
        <f t="shared" si="109"/>
        <v>1.1582457790637815</v>
      </c>
      <c r="U577" s="1">
        <f t="shared" si="112"/>
        <v>1.059892866677171</v>
      </c>
      <c r="V577" s="6">
        <f>2*sigma/alpha*corel*(B577/12-1/alpha*(1-EXP(-alpha*Output!B577/12)))</f>
        <v>3.2445090263134535</v>
      </c>
      <c r="W577" s="5">
        <f t="shared" si="110"/>
        <v>-9.835291238661048E-2</v>
      </c>
      <c r="X577" s="1">
        <f t="shared" si="111"/>
        <v>29.082754958769982</v>
      </c>
      <c r="Y577" s="3">
        <f t="shared" si="101"/>
        <v>2.2773857725809411E-2</v>
      </c>
      <c r="Z577" s="1">
        <f t="shared" si="102"/>
        <v>0.15670496996796138</v>
      </c>
      <c r="AA577" s="8">
        <f t="shared" si="107"/>
        <v>47.083333333333577</v>
      </c>
      <c r="AB577" s="1">
        <v>47.17</v>
      </c>
      <c r="AC577" s="1">
        <v>7.5579332509999996E-3</v>
      </c>
      <c r="AD577" s="8">
        <f t="shared" si="103"/>
        <v>1.4349288950069039</v>
      </c>
      <c r="AE577" s="3">
        <f t="shared" si="104"/>
        <v>1.8985731248910499E-2</v>
      </c>
      <c r="AF577" s="11">
        <f t="shared" si="105"/>
        <v>47.083333333333577</v>
      </c>
      <c r="AG577" s="1">
        <f t="shared" si="106"/>
        <v>0.15670496996796138</v>
      </c>
    </row>
    <row r="578" spans="2:33" ht="15" x14ac:dyDescent="0.25">
      <c r="B578" s="1">
        <v>567</v>
      </c>
      <c r="C578" s="1">
        <v>1.0009886397343626</v>
      </c>
      <c r="D578" s="1">
        <v>1.2393019146450146</v>
      </c>
      <c r="E578" s="1">
        <v>0.80567611913581916</v>
      </c>
      <c r="G578" s="1">
        <v>0.99953102432344898</v>
      </c>
      <c r="H578" s="1">
        <v>5.8905127512365203</v>
      </c>
      <c r="I578" s="1">
        <v>0.12892918991959934</v>
      </c>
      <c r="K578" s="1">
        <v>0.99991291544227656</v>
      </c>
      <c r="L578" s="1">
        <v>1.6515581451503922</v>
      </c>
      <c r="M578" s="1">
        <v>0.59415357525926149</v>
      </c>
      <c r="O578" s="1">
        <v>7.4143356511436036E-3</v>
      </c>
      <c r="P578" s="1">
        <v>0.70445744112092146</v>
      </c>
      <c r="R578" s="1">
        <v>0.21816182987463065</v>
      </c>
      <c r="S578" s="2">
        <f t="shared" si="108"/>
        <v>1.0781486752909253</v>
      </c>
      <c r="T578" s="4">
        <f t="shared" si="109"/>
        <v>1.1624045660315769</v>
      </c>
      <c r="U578" s="1">
        <f t="shared" si="112"/>
        <v>1.0636441749378052</v>
      </c>
      <c r="V578" s="6">
        <f>2*sigma/alpha*corel*(B578/12-1/alpha*(1-EXP(-alpha*Output!B578/12)))</f>
        <v>3.2533494026136589</v>
      </c>
      <c r="W578" s="5">
        <f t="shared" si="110"/>
        <v>-9.8760391093771771E-2</v>
      </c>
      <c r="X578" s="1">
        <f t="shared" si="111"/>
        <v>29.249996252209517</v>
      </c>
      <c r="Y578" s="3">
        <f t="shared" si="101"/>
        <v>2.2803991154486357E-2</v>
      </c>
      <c r="Z578" s="1">
        <f t="shared" si="102"/>
        <v>0.15684755285514382</v>
      </c>
      <c r="AA578" s="8">
        <f t="shared" si="107"/>
        <v>47.166666666666913</v>
      </c>
      <c r="AB578" s="1">
        <v>47.25</v>
      </c>
      <c r="AC578" s="1">
        <v>7.5577315929999996E-3</v>
      </c>
      <c r="AD578" s="8">
        <f t="shared" si="103"/>
        <v>1.4339594185639597</v>
      </c>
      <c r="AE578" s="3">
        <f t="shared" si="104"/>
        <v>1.8973410221290454E-2</v>
      </c>
      <c r="AF578" s="11">
        <f t="shared" si="105"/>
        <v>47.166666666666913</v>
      </c>
      <c r="AG578" s="1">
        <f t="shared" si="106"/>
        <v>0.15684755285514382</v>
      </c>
    </row>
    <row r="579" spans="2:33" ht="15" x14ac:dyDescent="0.25">
      <c r="B579" s="1">
        <v>568</v>
      </c>
      <c r="C579" s="1">
        <v>1.0009986175228622</v>
      </c>
      <c r="D579" s="1">
        <v>1.2462792069706849</v>
      </c>
      <c r="E579" s="1">
        <v>0.80116306834421003</v>
      </c>
      <c r="G579" s="1">
        <v>1.0002523058015667</v>
      </c>
      <c r="H579" s="1">
        <v>6.1935926685787432</v>
      </c>
      <c r="I579" s="1">
        <v>0.12256071271103537</v>
      </c>
      <c r="K579" s="1">
        <v>0.99990148084908514</v>
      </c>
      <c r="L579" s="1">
        <v>1.6598876904811948</v>
      </c>
      <c r="M579" s="1">
        <v>0.59116909480459168</v>
      </c>
      <c r="O579" s="1">
        <v>7.4142602043325376E-3</v>
      </c>
      <c r="P579" s="1">
        <v>0.7040248327372195</v>
      </c>
      <c r="R579" s="1">
        <v>0.21842455015987128</v>
      </c>
      <c r="S579" s="2">
        <f t="shared" si="108"/>
        <v>1.0800272786353784</v>
      </c>
      <c r="T579" s="4">
        <f t="shared" si="109"/>
        <v>1.1664589225965414</v>
      </c>
      <c r="U579" s="1">
        <f t="shared" si="112"/>
        <v>1.0673999362947155</v>
      </c>
      <c r="V579" s="6">
        <f>2*sigma/alpha*corel*(B579/12-1/alpha*(1-EXP(-alpha*Output!B579/12)))</f>
        <v>3.2621950244676392</v>
      </c>
      <c r="W579" s="5">
        <f t="shared" si="110"/>
        <v>-9.9058986301825858E-2</v>
      </c>
      <c r="X579" s="1">
        <f t="shared" si="111"/>
        <v>29.397084450807117</v>
      </c>
      <c r="Y579" s="3">
        <f t="shared" si="101"/>
        <v>2.2813867599578271E-2</v>
      </c>
      <c r="Z579" s="1">
        <f t="shared" si="102"/>
        <v>0.15698247789073677</v>
      </c>
      <c r="AA579" s="8">
        <f t="shared" si="107"/>
        <v>47.250000000000249</v>
      </c>
      <c r="AB579" s="1">
        <v>47.33</v>
      </c>
      <c r="AC579" s="1">
        <v>7.5575306459999998E-3</v>
      </c>
      <c r="AD579" s="8">
        <f t="shared" si="103"/>
        <v>1.4327044166746219</v>
      </c>
      <c r="AE579" s="3">
        <f t="shared" si="104"/>
        <v>1.8957308726666088E-2</v>
      </c>
      <c r="AF579" s="11">
        <f t="shared" si="105"/>
        <v>47.250000000000249</v>
      </c>
      <c r="AG579" s="1">
        <f t="shared" si="106"/>
        <v>0.15698247789073677</v>
      </c>
    </row>
    <row r="580" spans="2:33" ht="15" x14ac:dyDescent="0.25">
      <c r="B580" s="1">
        <v>569</v>
      </c>
      <c r="C580" s="1">
        <v>1.0009988359945077</v>
      </c>
      <c r="D580" s="1">
        <v>1.2473781831310917</v>
      </c>
      <c r="E580" s="1">
        <v>0.80045474383650117</v>
      </c>
      <c r="G580" s="1">
        <v>1.0001627003228473</v>
      </c>
      <c r="H580" s="1">
        <v>6.2409209663875265</v>
      </c>
      <c r="I580" s="1">
        <v>0.12157234562588522</v>
      </c>
      <c r="K580" s="1">
        <v>0.99991966432307067</v>
      </c>
      <c r="L580" s="1">
        <v>1.6577678623837877</v>
      </c>
      <c r="M580" s="1">
        <v>0.59186539331528709</v>
      </c>
      <c r="O580" s="1">
        <v>7.414235175842776E-3</v>
      </c>
      <c r="P580" s="1">
        <v>0.70359081681170543</v>
      </c>
      <c r="R580" s="1">
        <v>0.21863824831742062</v>
      </c>
      <c r="S580" s="2">
        <f t="shared" si="108"/>
        <v>1.0817322288814821</v>
      </c>
      <c r="T580" s="4">
        <f t="shared" si="109"/>
        <v>1.1701446150008992</v>
      </c>
      <c r="U580" s="1">
        <f t="shared" si="112"/>
        <v>1.0711601385573108</v>
      </c>
      <c r="V580" s="6">
        <f>2*sigma/alpha*corel*(B580/12-1/alpha*(1-EXP(-alpha*Output!B580/12)))</f>
        <v>3.2710458744193236</v>
      </c>
      <c r="W580" s="5">
        <f t="shared" si="110"/>
        <v>-9.8984476443588321E-2</v>
      </c>
      <c r="X580" s="1">
        <f t="shared" si="111"/>
        <v>29.473796811356262</v>
      </c>
      <c r="Y580" s="3">
        <f t="shared" si="101"/>
        <v>2.2754990891918535E-2</v>
      </c>
      <c r="Z580" s="1">
        <f t="shared" si="102"/>
        <v>0.1570920687584284</v>
      </c>
      <c r="AA580" s="8">
        <f t="shared" si="107"/>
        <v>47.333333333333584</v>
      </c>
      <c r="AB580" s="1">
        <v>47.42</v>
      </c>
      <c r="AC580" s="1">
        <v>7.5573304069999998E-3</v>
      </c>
      <c r="AD580" s="8">
        <f t="shared" si="103"/>
        <v>1.4309523115722378</v>
      </c>
      <c r="AE580" s="3">
        <f t="shared" si="104"/>
        <v>1.8934626839218437E-2</v>
      </c>
      <c r="AF580" s="11">
        <f t="shared" si="105"/>
        <v>47.333333333333584</v>
      </c>
      <c r="AG580" s="1">
        <f t="shared" si="106"/>
        <v>0.1570920687584284</v>
      </c>
    </row>
    <row r="581" spans="2:33" ht="15" x14ac:dyDescent="0.25">
      <c r="B581" s="1">
        <v>570</v>
      </c>
      <c r="C581" s="1">
        <v>1.0010012711083338</v>
      </c>
      <c r="D581" s="1">
        <v>1.241167762873622</v>
      </c>
      <c r="E581" s="1">
        <v>0.80445747873471907</v>
      </c>
      <c r="G581" s="1">
        <v>1.0001908246025706</v>
      </c>
      <c r="H581" s="1">
        <v>5.9685919184434688</v>
      </c>
      <c r="I581" s="1">
        <v>0.12705774745452927</v>
      </c>
      <c r="K581" s="1">
        <v>0.99991824381840011</v>
      </c>
      <c r="L581" s="1">
        <v>1.6623596124376585</v>
      </c>
      <c r="M581" s="1">
        <v>0.59023754393887873</v>
      </c>
      <c r="O581" s="1">
        <v>7.4144013537482643E-3</v>
      </c>
      <c r="P581" s="1">
        <v>0.70315068512356316</v>
      </c>
      <c r="R581" s="1">
        <v>0.21890557796566273</v>
      </c>
      <c r="S581" s="2">
        <f t="shared" si="108"/>
        <v>1.0836478215220324</v>
      </c>
      <c r="T581" s="4">
        <f t="shared" si="109"/>
        <v>1.1742926010894466</v>
      </c>
      <c r="U581" s="1">
        <f t="shared" si="112"/>
        <v>1.074924769558105</v>
      </c>
      <c r="V581" s="6">
        <f>2*sigma/alpha*corel*(B581/12-1/alpha*(1-EXP(-alpha*Output!B581/12)))</f>
        <v>3.2799019350707348</v>
      </c>
      <c r="W581" s="5">
        <f t="shared" si="110"/>
        <v>-9.9367831531341544E-2</v>
      </c>
      <c r="X581" s="1">
        <f t="shared" si="111"/>
        <v>29.637644694635647</v>
      </c>
      <c r="Y581" s="3">
        <f t="shared" si="101"/>
        <v>2.2780471425231725E-2</v>
      </c>
      <c r="Z581" s="1">
        <f t="shared" si="102"/>
        <v>0.15723215159953746</v>
      </c>
      <c r="AA581" s="8">
        <f t="shared" si="107"/>
        <v>47.41666666666692</v>
      </c>
      <c r="AB581" s="1">
        <v>47.5</v>
      </c>
      <c r="AC581" s="1">
        <v>7.5571308720000004E-3</v>
      </c>
      <c r="AD581" s="8">
        <f t="shared" si="103"/>
        <v>1.427295182517361</v>
      </c>
      <c r="AE581" s="3">
        <f t="shared" si="104"/>
        <v>1.8886733691560728E-2</v>
      </c>
      <c r="AF581" s="11">
        <f t="shared" si="105"/>
        <v>47.41666666666692</v>
      </c>
      <c r="AG581" s="1">
        <f t="shared" si="106"/>
        <v>0.15723215159953746</v>
      </c>
    </row>
    <row r="582" spans="2:33" ht="15" x14ac:dyDescent="0.25">
      <c r="B582" s="1">
        <v>571</v>
      </c>
      <c r="C582" s="1">
        <v>1.0010018693006841</v>
      </c>
      <c r="D582" s="1">
        <v>1.2398624475167797</v>
      </c>
      <c r="E582" s="1">
        <v>0.8053019035306066</v>
      </c>
      <c r="G582" s="1">
        <v>1.0001189820544594</v>
      </c>
      <c r="H582" s="1">
        <v>5.9116173341423801</v>
      </c>
      <c r="I582" s="1">
        <v>0.12822015034394887</v>
      </c>
      <c r="K582" s="1">
        <v>0.99992656816011838</v>
      </c>
      <c r="L582" s="1">
        <v>1.6606899111971378</v>
      </c>
      <c r="M582" s="1">
        <v>0.59082043417534813</v>
      </c>
      <c r="O582" s="1">
        <v>7.4146740766055201E-3</v>
      </c>
      <c r="P582" s="1">
        <v>0.70270724672867857</v>
      </c>
      <c r="R582" s="1">
        <v>0.21917028712664305</v>
      </c>
      <c r="S582" s="2">
        <f t="shared" si="108"/>
        <v>1.085563117629557</v>
      </c>
      <c r="T582" s="4">
        <f t="shared" si="109"/>
        <v>1.1784472823576035</v>
      </c>
      <c r="U582" s="1">
        <f t="shared" si="112"/>
        <v>1.0786938171527538</v>
      </c>
      <c r="V582" s="6">
        <f>2*sigma/alpha*corel*(B582/12-1/alpha*(1-EXP(-alpha*Output!B582/12)))</f>
        <v>3.2887631890817883</v>
      </c>
      <c r="W582" s="5">
        <f t="shared" si="110"/>
        <v>-9.9753465204849734E-2</v>
      </c>
      <c r="X582" s="1">
        <f t="shared" si="111"/>
        <v>29.80237285784915</v>
      </c>
      <c r="Y582" s="3">
        <f t="shared" si="101"/>
        <v>2.2806218239622415E-2</v>
      </c>
      <c r="Z582" s="1">
        <f t="shared" si="102"/>
        <v>0.157372066787799</v>
      </c>
      <c r="AA582" s="8">
        <f t="shared" si="107"/>
        <v>47.500000000000256</v>
      </c>
      <c r="AB582" s="1">
        <v>47.58</v>
      </c>
      <c r="AC582" s="1">
        <v>7.556932037E-3</v>
      </c>
      <c r="AD582" s="8">
        <f t="shared" si="103"/>
        <v>1.4225796039447989</v>
      </c>
      <c r="AE582" s="3">
        <f t="shared" si="104"/>
        <v>1.8824829930712779E-2</v>
      </c>
      <c r="AF582" s="11">
        <f t="shared" si="105"/>
        <v>47.500000000000256</v>
      </c>
      <c r="AG582" s="1">
        <f t="shared" si="106"/>
        <v>0.157372066787799</v>
      </c>
    </row>
    <row r="583" spans="2:33" ht="15" x14ac:dyDescent="0.25">
      <c r="B583" s="1">
        <v>572</v>
      </c>
      <c r="C583" s="1">
        <v>1.0010055697164386</v>
      </c>
      <c r="D583" s="1">
        <v>1.2380201339419978</v>
      </c>
      <c r="E583" s="1">
        <v>0.80649777527963662</v>
      </c>
      <c r="G583" s="1">
        <v>1.0002775960453516</v>
      </c>
      <c r="H583" s="1">
        <v>5.8311150631710973</v>
      </c>
      <c r="I583" s="1">
        <v>0.1299273378573147</v>
      </c>
      <c r="K583" s="1">
        <v>0.99992479108903243</v>
      </c>
      <c r="L583" s="1">
        <v>1.6611746354174248</v>
      </c>
      <c r="M583" s="1">
        <v>0.59059049425811838</v>
      </c>
      <c r="O583" s="1">
        <v>7.4149317843016874E-3</v>
      </c>
      <c r="P583" s="1">
        <v>0.70226455869187077</v>
      </c>
      <c r="R583" s="1">
        <v>0.21944668297215608</v>
      </c>
      <c r="S583" s="2">
        <f t="shared" si="108"/>
        <v>1.0875217346153374</v>
      </c>
      <c r="T583" s="4">
        <f t="shared" si="109"/>
        <v>1.1827035232607523</v>
      </c>
      <c r="U583" s="1">
        <f t="shared" si="112"/>
        <v>1.0824672692200932</v>
      </c>
      <c r="V583" s="6">
        <f>2*sigma/alpha*corel*(B583/12-1/alpha*(1-EXP(-alpha*Output!B583/12)))</f>
        <v>3.2976296191701056</v>
      </c>
      <c r="W583" s="5">
        <f t="shared" si="110"/>
        <v>-0.10023625404065917</v>
      </c>
      <c r="X583" s="1">
        <f t="shared" si="111"/>
        <v>29.986073542313658</v>
      </c>
      <c r="Y583" s="3">
        <f t="shared" si="101"/>
        <v>2.2849557718222915E-2</v>
      </c>
      <c r="Z583" s="1">
        <f t="shared" si="102"/>
        <v>0.15751813237354409</v>
      </c>
      <c r="AA583" s="8">
        <f t="shared" si="107"/>
        <v>47.583333333333591</v>
      </c>
      <c r="AB583" s="1">
        <v>47.67</v>
      </c>
      <c r="AC583" s="1">
        <v>7.5567338980000003E-3</v>
      </c>
      <c r="AD583" s="8">
        <f t="shared" si="103"/>
        <v>1.4180211369831281</v>
      </c>
      <c r="AE583" s="3">
        <f t="shared" si="104"/>
        <v>1.8765000278207863E-2</v>
      </c>
      <c r="AF583" s="11">
        <f t="shared" si="105"/>
        <v>47.583333333333591</v>
      </c>
      <c r="AG583" s="1">
        <f t="shared" si="106"/>
        <v>0.15751813237354409</v>
      </c>
    </row>
    <row r="584" spans="2:33" ht="15" x14ac:dyDescent="0.25">
      <c r="B584" s="1">
        <v>573</v>
      </c>
      <c r="C584" s="1">
        <v>1.0010128329919532</v>
      </c>
      <c r="D584" s="1">
        <v>1.2359047594514843</v>
      </c>
      <c r="E584" s="1">
        <v>0.80787565899888181</v>
      </c>
      <c r="G584" s="1">
        <v>1.000748694904078</v>
      </c>
      <c r="H584" s="1">
        <v>5.7374131263850323</v>
      </c>
      <c r="I584" s="1">
        <v>0.13198530549231369</v>
      </c>
      <c r="K584" s="1">
        <v>0.99994185852014283</v>
      </c>
      <c r="L584" s="1">
        <v>1.662222694153322</v>
      </c>
      <c r="M584" s="1">
        <v>0.59023269015041746</v>
      </c>
      <c r="O584" s="1">
        <v>7.4151799421359769E-3</v>
      </c>
      <c r="P584" s="1">
        <v>0.70182243942842615</v>
      </c>
      <c r="R584" s="1">
        <v>0.21969619402671753</v>
      </c>
      <c r="S584" s="2">
        <f t="shared" si="108"/>
        <v>1.0893830420164858</v>
      </c>
      <c r="T584" s="4">
        <f t="shared" si="109"/>
        <v>1.1867554122330926</v>
      </c>
      <c r="U584" s="1">
        <f t="shared" si="112"/>
        <v>1.0862451136621782</v>
      </c>
      <c r="V584" s="6">
        <f>2*sigma/alpha*corel*(B584/12-1/alpha*(1-EXP(-alpha*Output!B584/12)))</f>
        <v>3.30650120811082</v>
      </c>
      <c r="W584" s="5">
        <f t="shared" si="110"/>
        <v>-0.10051029857091431</v>
      </c>
      <c r="X584" s="1">
        <f t="shared" si="111"/>
        <v>30.130417266282947</v>
      </c>
      <c r="Y584" s="3">
        <f t="shared" si="101"/>
        <v>2.2854626902257754E-2</v>
      </c>
      <c r="Z584" s="1">
        <f t="shared" si="102"/>
        <v>0.15764998092786725</v>
      </c>
      <c r="AA584" s="8">
        <f t="shared" si="107"/>
        <v>47.666666666666927</v>
      </c>
      <c r="AB584" s="1">
        <v>47.75</v>
      </c>
      <c r="AC584" s="1">
        <v>7.5565364519999999E-3</v>
      </c>
      <c r="AD584" s="8">
        <f t="shared" si="103"/>
        <v>1.4135650986402299</v>
      </c>
      <c r="AE584" s="3">
        <f t="shared" si="104"/>
        <v>1.8706521269623459E-2</v>
      </c>
      <c r="AF584" s="11">
        <f t="shared" si="105"/>
        <v>47.666666666666927</v>
      </c>
      <c r="AG584" s="1">
        <f t="shared" si="106"/>
        <v>0.15764998092786725</v>
      </c>
    </row>
    <row r="585" spans="2:33" ht="15" x14ac:dyDescent="0.25">
      <c r="B585" s="1">
        <v>574</v>
      </c>
      <c r="C585" s="1">
        <v>1.0010095888477866</v>
      </c>
      <c r="D585" s="1">
        <v>1.2360902923871417</v>
      </c>
      <c r="E585" s="1">
        <v>0.80775187795670067</v>
      </c>
      <c r="G585" s="1">
        <v>1.0003733855513017</v>
      </c>
      <c r="H585" s="1">
        <v>5.7448349997057786</v>
      </c>
      <c r="I585" s="1">
        <v>0.13175093213434891</v>
      </c>
      <c r="K585" s="1">
        <v>0.99992678745198826</v>
      </c>
      <c r="L585" s="1">
        <v>1.6619430898047607</v>
      </c>
      <c r="M585" s="1">
        <v>0.59029239814453693</v>
      </c>
      <c r="O585" s="1">
        <v>7.4154233096189147E-3</v>
      </c>
      <c r="P585" s="1">
        <v>0.70138073021102798</v>
      </c>
      <c r="R585" s="1">
        <v>0.21997220798439693</v>
      </c>
      <c r="S585" s="2">
        <f t="shared" si="108"/>
        <v>1.0913426356328071</v>
      </c>
      <c r="T585" s="4">
        <f t="shared" si="109"/>
        <v>1.191028748349962</v>
      </c>
      <c r="U585" s="1">
        <f t="shared" si="112"/>
        <v>1.0900273384043189</v>
      </c>
      <c r="V585" s="6">
        <f>2*sigma/alpha*corel*(B585/12-1/alpha*(1-EXP(-alpha*Output!B585/12)))</f>
        <v>3.3153779387363862</v>
      </c>
      <c r="W585" s="5">
        <f t="shared" si="110"/>
        <v>-0.10100140994564311</v>
      </c>
      <c r="X585" s="1">
        <f t="shared" si="111"/>
        <v>30.31666731292631</v>
      </c>
      <c r="Y585" s="3">
        <f t="shared" si="101"/>
        <v>2.2899087705658995E-2</v>
      </c>
      <c r="Z585" s="1">
        <f t="shared" si="102"/>
        <v>0.1577959306022603</v>
      </c>
      <c r="AA585" s="8">
        <f t="shared" si="107"/>
        <v>47.750000000000263</v>
      </c>
      <c r="AB585" s="1">
        <v>47.83</v>
      </c>
      <c r="AC585" s="1">
        <v>7.5563396960000003E-3</v>
      </c>
      <c r="AD585" s="8">
        <f t="shared" si="103"/>
        <v>1.4091638638108559</v>
      </c>
      <c r="AE585" s="3">
        <f t="shared" si="104"/>
        <v>1.8648762767465396E-2</v>
      </c>
      <c r="AF585" s="11">
        <f t="shared" si="105"/>
        <v>47.750000000000263</v>
      </c>
      <c r="AG585" s="1">
        <f t="shared" si="106"/>
        <v>0.1577959306022603</v>
      </c>
    </row>
    <row r="586" spans="2:33" ht="15" x14ac:dyDescent="0.25">
      <c r="B586" s="1">
        <v>575</v>
      </c>
      <c r="C586" s="1">
        <v>1.001016295292229</v>
      </c>
      <c r="D586" s="1">
        <v>1.2334248235360328</v>
      </c>
      <c r="E586" s="1">
        <v>0.80949492302570736</v>
      </c>
      <c r="G586" s="1">
        <v>1.0007488396291253</v>
      </c>
      <c r="H586" s="1">
        <v>5.6360951346819448</v>
      </c>
      <c r="I586" s="1">
        <v>0.13422780567736833</v>
      </c>
      <c r="K586" s="1">
        <v>0.99990691778994822</v>
      </c>
      <c r="L586" s="1">
        <v>1.6848413038686356</v>
      </c>
      <c r="M586" s="1">
        <v>0.58227396510123985</v>
      </c>
      <c r="O586" s="1">
        <v>7.4158179194104626E-3</v>
      </c>
      <c r="P586" s="1">
        <v>0.70093419085560615</v>
      </c>
      <c r="R586" s="1">
        <v>0.22023787986648613</v>
      </c>
      <c r="S586" s="2">
        <f t="shared" si="108"/>
        <v>1.0932770126596327</v>
      </c>
      <c r="T586" s="4">
        <f t="shared" si="109"/>
        <v>1.1952546264099708</v>
      </c>
      <c r="U586" s="1">
        <f t="shared" si="112"/>
        <v>1.0938139313951152</v>
      </c>
      <c r="V586" s="6">
        <f>2*sigma/alpha*corel*(B586/12-1/alpha*(1-EXP(-alpha*Output!B586/12)))</f>
        <v>3.3242597939363856</v>
      </c>
      <c r="W586" s="5">
        <f t="shared" si="110"/>
        <v>-0.10144069501485564</v>
      </c>
      <c r="X586" s="1">
        <f t="shared" si="111"/>
        <v>30.493503055429315</v>
      </c>
      <c r="Y586" s="3">
        <f t="shared" si="101"/>
        <v>2.293390411415067E-2</v>
      </c>
      <c r="Z586" s="1">
        <f t="shared" si="102"/>
        <v>0.15793810299370942</v>
      </c>
      <c r="AA586" s="8">
        <f t="shared" si="107"/>
        <v>47.833333333333599</v>
      </c>
      <c r="AB586" s="1">
        <v>47.92</v>
      </c>
      <c r="AC586" s="1">
        <v>7.5561436250000001E-3</v>
      </c>
      <c r="AD586" s="8">
        <f t="shared" si="103"/>
        <v>1.403257055895375</v>
      </c>
      <c r="AE586" s="3">
        <f t="shared" si="104"/>
        <v>1.8571074420192415E-2</v>
      </c>
      <c r="AF586" s="11">
        <f t="shared" si="105"/>
        <v>47.833333333333599</v>
      </c>
      <c r="AG586" s="1">
        <f t="shared" si="106"/>
        <v>0.15793810299370942</v>
      </c>
    </row>
    <row r="587" spans="2:33" ht="15" x14ac:dyDescent="0.25">
      <c r="B587" s="1">
        <v>576</v>
      </c>
      <c r="C587" s="1">
        <v>1.0010153934696633</v>
      </c>
      <c r="D587" s="1">
        <v>1.2318132285584515</v>
      </c>
      <c r="E587" s="1">
        <v>0.81055145455214739</v>
      </c>
      <c r="G587" s="1">
        <v>1.0005286748067848</v>
      </c>
      <c r="H587" s="1">
        <v>5.5653306069244701</v>
      </c>
      <c r="I587" s="1">
        <v>0.13586868887512688</v>
      </c>
      <c r="K587" s="1">
        <v>0.99990251856146162</v>
      </c>
      <c r="L587" s="1">
        <v>1.6853662987190865</v>
      </c>
      <c r="M587" s="1">
        <v>0.58205714437555478</v>
      </c>
      <c r="O587" s="1">
        <v>7.4161776295522397E-3</v>
      </c>
      <c r="P587" s="1">
        <v>0.70048906316946946</v>
      </c>
      <c r="R587" s="1">
        <v>0.22048645289769817</v>
      </c>
      <c r="S587" s="2">
        <f t="shared" si="108"/>
        <v>1.095147880690017</v>
      </c>
      <c r="T587" s="4">
        <f t="shared" si="109"/>
        <v>1.1993488805798358</v>
      </c>
      <c r="U587" s="1">
        <f t="shared" si="112"/>
        <v>1.0976048806064926</v>
      </c>
      <c r="V587" s="6">
        <f>2*sigma/alpha*corel*(B587/12-1/alpha*(1-EXP(-alpha*Output!B587/12)))</f>
        <v>3.3331467566573445</v>
      </c>
      <c r="W587" s="5">
        <f t="shared" si="110"/>
        <v>-0.10174399997334316</v>
      </c>
      <c r="X587" s="1">
        <f t="shared" si="111"/>
        <v>30.644715296297264</v>
      </c>
      <c r="Y587" s="3">
        <f t="shared" si="101"/>
        <v>2.2943959944244495E-2</v>
      </c>
      <c r="Z587" s="1">
        <f t="shared" si="102"/>
        <v>0.15807098092970737</v>
      </c>
      <c r="AA587" s="8">
        <f t="shared" si="107"/>
        <v>47.916666666666934</v>
      </c>
      <c r="AB587" s="1">
        <v>48</v>
      </c>
      <c r="AC587" s="1">
        <v>7.5559482359999998E-3</v>
      </c>
      <c r="AD587" s="8">
        <f t="shared" si="103"/>
        <v>1.3977060644776007</v>
      </c>
      <c r="AE587" s="3">
        <f t="shared" si="104"/>
        <v>1.8498089463057577E-2</v>
      </c>
      <c r="AF587" s="11">
        <f t="shared" si="105"/>
        <v>47.916666666666934</v>
      </c>
      <c r="AG587" s="1">
        <f t="shared" si="106"/>
        <v>0.15807098092970737</v>
      </c>
    </row>
    <row r="588" spans="2:33" ht="15" x14ac:dyDescent="0.25">
      <c r="B588" s="1">
        <v>577</v>
      </c>
      <c r="C588" s="1">
        <v>1.0010168209942536</v>
      </c>
      <c r="D588" s="1">
        <v>1.2355837962048224</v>
      </c>
      <c r="E588" s="1">
        <v>0.80807539990767718</v>
      </c>
      <c r="G588" s="1">
        <v>1.0005419512932201</v>
      </c>
      <c r="H588" s="1">
        <v>5.7162614076106673</v>
      </c>
      <c r="I588" s="1">
        <v>0.13221715789692798</v>
      </c>
      <c r="K588" s="1">
        <v>0.9999106239779636</v>
      </c>
      <c r="L588" s="1">
        <v>1.6885204250336534</v>
      </c>
      <c r="M588" s="1">
        <v>0.58093142369837369</v>
      </c>
      <c r="O588" s="1">
        <v>7.4164412175429578E-3</v>
      </c>
      <c r="P588" s="1">
        <v>0.70004741171552876</v>
      </c>
      <c r="R588" s="1">
        <v>0.22076184396073112</v>
      </c>
      <c r="S588" s="2">
        <f t="shared" si="108"/>
        <v>1.0971118421524018</v>
      </c>
      <c r="T588" s="4">
        <f t="shared" si="109"/>
        <v>1.2036543941910365</v>
      </c>
      <c r="U588" s="1">
        <f t="shared" si="112"/>
        <v>1.1014001740337358</v>
      </c>
      <c r="V588" s="6">
        <f>2*sigma/alpha*corel*(B588/12-1/alpha*(1-EXP(-alpha*Output!B588/12)))</f>
        <v>3.3420388099025344</v>
      </c>
      <c r="W588" s="5">
        <f t="shared" si="110"/>
        <v>-0.10225422015730068</v>
      </c>
      <c r="X588" s="1">
        <f t="shared" si="111"/>
        <v>30.83611841714891</v>
      </c>
      <c r="Y588" s="3">
        <f t="shared" si="101"/>
        <v>2.2991220627938402E-2</v>
      </c>
      <c r="Z588" s="1">
        <f t="shared" si="102"/>
        <v>0.15821717261203236</v>
      </c>
      <c r="AA588" s="8">
        <f t="shared" si="107"/>
        <v>48.00000000000027</v>
      </c>
      <c r="AB588" s="1">
        <v>48.08</v>
      </c>
      <c r="AC588" s="1">
        <v>7.5557535250000002E-3</v>
      </c>
      <c r="AD588" s="8">
        <f t="shared" si="103"/>
        <v>1.3931230745704242</v>
      </c>
      <c r="AE588" s="3">
        <f t="shared" si="104"/>
        <v>1.8437910526871298E-2</v>
      </c>
      <c r="AF588" s="11">
        <f t="shared" si="105"/>
        <v>48.00000000000027</v>
      </c>
      <c r="AG588" s="1">
        <f t="shared" si="106"/>
        <v>0.15821717261203236</v>
      </c>
    </row>
    <row r="589" spans="2:33" ht="15" x14ac:dyDescent="0.25">
      <c r="B589" s="1">
        <v>578</v>
      </c>
      <c r="C589" s="1">
        <v>1.0010131652869172</v>
      </c>
      <c r="D589" s="1">
        <v>1.2366028581346646</v>
      </c>
      <c r="E589" s="1">
        <v>0.80740694124050083</v>
      </c>
      <c r="G589" s="1">
        <v>1.000111329609876</v>
      </c>
      <c r="H589" s="1">
        <v>5.759042287572564</v>
      </c>
      <c r="I589" s="1">
        <v>0.13117140631241675</v>
      </c>
      <c r="K589" s="1">
        <v>0.99991053211912384</v>
      </c>
      <c r="L589" s="1">
        <v>1.6929998206645049</v>
      </c>
      <c r="M589" s="1">
        <v>0.57938641223109721</v>
      </c>
      <c r="O589" s="1">
        <v>7.4167238492050206E-3</v>
      </c>
      <c r="P589" s="1">
        <v>0.69960536625642744</v>
      </c>
      <c r="R589" s="1">
        <v>0.22101431717426101</v>
      </c>
      <c r="S589" s="2">
        <f t="shared" si="108"/>
        <v>1.0989947470345236</v>
      </c>
      <c r="T589" s="4">
        <f t="shared" si="109"/>
        <v>1.2077894540094765</v>
      </c>
      <c r="U589" s="1">
        <f t="shared" si="112"/>
        <v>1.1051997996955203</v>
      </c>
      <c r="V589" s="6">
        <f>2*sigma/alpha*corel*(B589/12-1/alpha*(1-EXP(-alpha*Output!B589/12)))</f>
        <v>3.3509359367317915</v>
      </c>
      <c r="W589" s="5">
        <f t="shared" si="110"/>
        <v>-0.10258965431395617</v>
      </c>
      <c r="X589" s="1">
        <f t="shared" si="111"/>
        <v>30.994378383236125</v>
      </c>
      <c r="Y589" s="3">
        <f t="shared" ref="Y589:Y652" si="113">(-V589+SQRT(X589))/2/B589*12</f>
        <v>2.3006819035855237E-2</v>
      </c>
      <c r="Z589" s="1">
        <f t="shared" ref="Z589:Z652" si="114">S589/SQRT(B589/12)</f>
        <v>0.15835155060197995</v>
      </c>
      <c r="AA589" s="8">
        <f t="shared" si="107"/>
        <v>48.083333333333606</v>
      </c>
      <c r="AB589" s="1">
        <v>48.17</v>
      </c>
      <c r="AC589" s="1">
        <v>7.5555594899999997E-3</v>
      </c>
      <c r="AD589" s="8">
        <f t="shared" ref="AD589:AD652" si="115">(AC589-O589)*10000</f>
        <v>1.3883564079497905</v>
      </c>
      <c r="AE589" s="3">
        <f t="shared" ref="AE589:AE652" si="116">AD589/AC589/10000</f>
        <v>1.8375295830670383E-2</v>
      </c>
      <c r="AF589" s="11">
        <f t="shared" ref="AF589:AF652" si="117">AA589</f>
        <v>48.083333333333606</v>
      </c>
      <c r="AG589" s="1">
        <f t="shared" ref="AG589:AG652" si="118">Z589</f>
        <v>0.15835155060197995</v>
      </c>
    </row>
    <row r="590" spans="2:33" ht="15" x14ac:dyDescent="0.25">
      <c r="B590" s="1">
        <v>579</v>
      </c>
      <c r="C590" s="1">
        <v>1.0010189192960737</v>
      </c>
      <c r="D590" s="1">
        <v>1.2401314131816894</v>
      </c>
      <c r="E590" s="1">
        <v>0.80510708464628855</v>
      </c>
      <c r="G590" s="1">
        <v>1.000402258986602</v>
      </c>
      <c r="H590" s="1">
        <v>5.9051486585596136</v>
      </c>
      <c r="I590" s="1">
        <v>0.12786395944486323</v>
      </c>
      <c r="K590" s="1">
        <v>0.99992552572864668</v>
      </c>
      <c r="L590" s="1">
        <v>1.700997098244563</v>
      </c>
      <c r="M590" s="1">
        <v>0.57665852249956362</v>
      </c>
      <c r="O590" s="1">
        <v>7.4169976677188115E-3</v>
      </c>
      <c r="P590" s="1">
        <v>0.69916386430143196</v>
      </c>
      <c r="R590" s="1">
        <v>0.22122482356674189</v>
      </c>
      <c r="S590" s="2">
        <f t="shared" si="108"/>
        <v>1.1007243132415574</v>
      </c>
      <c r="T590" s="4">
        <f t="shared" si="109"/>
        <v>1.2115940137610981</v>
      </c>
      <c r="U590" s="1">
        <f t="shared" si="112"/>
        <v>1.1090037456339483</v>
      </c>
      <c r="V590" s="6">
        <f>2*sigma/alpha*corel*(B590/12-1/alpha*(1-EXP(-alpha*Output!B590/12)))</f>
        <v>3.3598381202613239</v>
      </c>
      <c r="W590" s="5">
        <f t="shared" si="110"/>
        <v>-0.10259026812714978</v>
      </c>
      <c r="X590" s="1">
        <f t="shared" si="111"/>
        <v>31.088433942901052</v>
      </c>
      <c r="Y590" s="3">
        <f t="shared" si="113"/>
        <v>2.2962302480590814E-2</v>
      </c>
      <c r="Z590" s="1">
        <f t="shared" si="114"/>
        <v>0.15846373958066257</v>
      </c>
      <c r="AA590" s="8">
        <f t="shared" ref="AA590:AA653" si="119">AA589+1/12</f>
        <v>48.166666666666941</v>
      </c>
      <c r="AB590" s="1">
        <v>48.25</v>
      </c>
      <c r="AC590" s="1">
        <v>7.5553661249999999E-3</v>
      </c>
      <c r="AD590" s="8">
        <f t="shared" si="115"/>
        <v>1.3836845728118843</v>
      </c>
      <c r="AE590" s="3">
        <f t="shared" si="116"/>
        <v>1.831393144844962E-2</v>
      </c>
      <c r="AF590" s="11">
        <f t="shared" si="117"/>
        <v>48.166666666666941</v>
      </c>
      <c r="AG590" s="1">
        <f t="shared" si="118"/>
        <v>0.15846373958066257</v>
      </c>
    </row>
    <row r="591" spans="2:33" ht="15" x14ac:dyDescent="0.25">
      <c r="B591" s="1">
        <v>580</v>
      </c>
      <c r="C591" s="1">
        <v>1.0010231281817659</v>
      </c>
      <c r="D591" s="1">
        <v>1.2370096276702207</v>
      </c>
      <c r="E591" s="1">
        <v>0.80713635041421128</v>
      </c>
      <c r="G591" s="1">
        <v>1.0005863083977879</v>
      </c>
      <c r="H591" s="1">
        <v>5.7709176980213091</v>
      </c>
      <c r="I591" s="1">
        <v>0.13077467302704876</v>
      </c>
      <c r="K591" s="1">
        <v>0.99991869960671309</v>
      </c>
      <c r="L591" s="1">
        <v>1.7045513292802903</v>
      </c>
      <c r="M591" s="1">
        <v>0.57542471622107205</v>
      </c>
      <c r="O591" s="1">
        <v>7.4172039921209885E-3</v>
      </c>
      <c r="P591" s="1">
        <v>0.6987248884665066</v>
      </c>
      <c r="R591" s="1">
        <v>0.22145665869034062</v>
      </c>
      <c r="S591" s="2">
        <f t="shared" si="108"/>
        <v>1.1025288083202691</v>
      </c>
      <c r="T591" s="4">
        <f t="shared" si="109"/>
        <v>1.2155697731761128</v>
      </c>
      <c r="U591" s="1">
        <f t="shared" si="112"/>
        <v>1.1128119999145745</v>
      </c>
      <c r="V591" s="6">
        <f>2*sigma/alpha*corel*(B591/12-1/alpha*(1-EXP(-alpha*Output!B591/12)))</f>
        <v>3.3687453436635266</v>
      </c>
      <c r="W591" s="5">
        <f t="shared" si="110"/>
        <v>-0.10275777326153834</v>
      </c>
      <c r="X591" s="1">
        <f t="shared" si="111"/>
        <v>31.21494802101877</v>
      </c>
      <c r="Y591" s="3">
        <f t="shared" si="113"/>
        <v>2.2947812856605521E-2</v>
      </c>
      <c r="Z591" s="1">
        <f t="shared" si="114"/>
        <v>0.15858663072599474</v>
      </c>
      <c r="AA591" s="8">
        <f t="shared" si="119"/>
        <v>48.250000000000277</v>
      </c>
      <c r="AB591" s="1">
        <v>48.33</v>
      </c>
      <c r="AC591" s="1">
        <v>7.5551734289999997E-3</v>
      </c>
      <c r="AD591" s="8">
        <f t="shared" si="115"/>
        <v>1.379694368790112</v>
      </c>
      <c r="AE591" s="3">
        <f t="shared" si="116"/>
        <v>1.8261584353500778E-2</v>
      </c>
      <c r="AF591" s="11">
        <f t="shared" si="117"/>
        <v>48.250000000000277</v>
      </c>
      <c r="AG591" s="1">
        <f t="shared" si="118"/>
        <v>0.15858663072599474</v>
      </c>
    </row>
    <row r="592" spans="2:33" ht="15" x14ac:dyDescent="0.25">
      <c r="B592" s="1">
        <v>581</v>
      </c>
      <c r="C592" s="1">
        <v>1.0010274168139917</v>
      </c>
      <c r="D592" s="1">
        <v>1.2400491607489519</v>
      </c>
      <c r="E592" s="1">
        <v>0.80515540180502232</v>
      </c>
      <c r="G592" s="1">
        <v>1.0008299033550627</v>
      </c>
      <c r="H592" s="1">
        <v>5.8968494575157813</v>
      </c>
      <c r="I592" s="1">
        <v>0.12791987324360105</v>
      </c>
      <c r="K592" s="1">
        <v>0.9999160484709807</v>
      </c>
      <c r="L592" s="1">
        <v>1.6947302780176736</v>
      </c>
      <c r="M592" s="1">
        <v>0.57876261639188098</v>
      </c>
      <c r="O592" s="1">
        <v>7.4174422669517105E-3</v>
      </c>
      <c r="P592" s="1">
        <v>0.69828508403270706</v>
      </c>
      <c r="R592" s="1">
        <v>0.22169996349972193</v>
      </c>
      <c r="S592" s="2">
        <f t="shared" si="108"/>
        <v>1.1043793818682797</v>
      </c>
      <c r="T592" s="4">
        <f t="shared" si="109"/>
        <v>1.2196538190957635</v>
      </c>
      <c r="U592" s="1">
        <f t="shared" si="112"/>
        <v>1.1166245506264421</v>
      </c>
      <c r="V592" s="6">
        <f>2*sigma/alpha*corel*(B592/12-1/alpha*(1-EXP(-alpha*Output!B592/12)))</f>
        <v>3.3776575901667902</v>
      </c>
      <c r="W592" s="5">
        <f t="shared" si="110"/>
        <v>-0.10302926846932148</v>
      </c>
      <c r="X592" s="1">
        <f t="shared" si="111"/>
        <v>31.361905789969921</v>
      </c>
      <c r="Y592" s="3">
        <f t="shared" si="113"/>
        <v>2.2951937009295903E-2</v>
      </c>
      <c r="Z592" s="1">
        <f t="shared" si="114"/>
        <v>0.15871605010091799</v>
      </c>
      <c r="AA592" s="8">
        <f t="shared" si="119"/>
        <v>48.333333333333613</v>
      </c>
      <c r="AB592" s="1">
        <v>48.42</v>
      </c>
      <c r="AC592" s="1">
        <v>7.5549813979999998E-3</v>
      </c>
      <c r="AD592" s="8">
        <f t="shared" si="115"/>
        <v>1.375391310482893</v>
      </c>
      <c r="AE592" s="3">
        <f t="shared" si="116"/>
        <v>1.8205091952271317E-2</v>
      </c>
      <c r="AF592" s="11">
        <f t="shared" si="117"/>
        <v>48.333333333333613</v>
      </c>
      <c r="AG592" s="1">
        <f t="shared" si="118"/>
        <v>0.15871605010091799</v>
      </c>
    </row>
    <row r="593" spans="2:33" ht="15" x14ac:dyDescent="0.25">
      <c r="B593" s="1">
        <v>582</v>
      </c>
      <c r="C593" s="1">
        <v>1.0010334730483079</v>
      </c>
      <c r="D593" s="1">
        <v>1.2342896517790596</v>
      </c>
      <c r="E593" s="1">
        <v>0.80890990021611486</v>
      </c>
      <c r="G593" s="1">
        <v>1.001130316390189</v>
      </c>
      <c r="H593" s="1">
        <v>5.6534943437048835</v>
      </c>
      <c r="I593" s="1">
        <v>0.13336155011157932</v>
      </c>
      <c r="K593" s="1">
        <v>0.99993115823603251</v>
      </c>
      <c r="L593" s="1">
        <v>1.7076080402823661</v>
      </c>
      <c r="M593" s="1">
        <v>0.57437101136263902</v>
      </c>
      <c r="O593" s="1">
        <v>7.4178214114513858E-3</v>
      </c>
      <c r="P593" s="1">
        <v>0.69784076092639424</v>
      </c>
      <c r="R593" s="1">
        <v>0.22191428780972233</v>
      </c>
      <c r="S593" s="2">
        <f t="shared" si="108"/>
        <v>1.106135062745955</v>
      </c>
      <c r="T593" s="4">
        <f t="shared" si="109"/>
        <v>1.2235347770359977</v>
      </c>
      <c r="U593" s="1">
        <f t="shared" si="112"/>
        <v>1.1204413858821085</v>
      </c>
      <c r="V593" s="6">
        <f>2*sigma/alpha*corel*(B593/12-1/alpha*(1-EXP(-alpha*Output!B593/12)))</f>
        <v>3.3865748430553215</v>
      </c>
      <c r="W593" s="5">
        <f t="shared" si="110"/>
        <v>-0.10309339115388916</v>
      </c>
      <c r="X593" s="1">
        <f t="shared" si="111"/>
        <v>31.469007051469674</v>
      </c>
      <c r="Y593" s="3">
        <f t="shared" si="113"/>
        <v>2.2919066869172007E-2</v>
      </c>
      <c r="Z593" s="1">
        <f t="shared" si="114"/>
        <v>0.15883173856632041</v>
      </c>
      <c r="AA593" s="8">
        <f t="shared" si="119"/>
        <v>48.416666666666949</v>
      </c>
      <c r="AB593" s="1">
        <v>48.5</v>
      </c>
      <c r="AC593" s="1">
        <v>7.5547900269999999E-3</v>
      </c>
      <c r="AD593" s="8">
        <f t="shared" si="115"/>
        <v>1.3696861554861415</v>
      </c>
      <c r="AE593" s="3">
        <f t="shared" si="116"/>
        <v>1.8130036051181193E-2</v>
      </c>
      <c r="AF593" s="11">
        <f t="shared" si="117"/>
        <v>48.416666666666949</v>
      </c>
      <c r="AG593" s="1">
        <f t="shared" si="118"/>
        <v>0.15883173856632041</v>
      </c>
    </row>
    <row r="594" spans="2:33" ht="15" x14ac:dyDescent="0.25">
      <c r="B594" s="1">
        <v>583</v>
      </c>
      <c r="C594" s="1">
        <v>1.0010375124324993</v>
      </c>
      <c r="D594" s="1">
        <v>1.2348566050964684</v>
      </c>
      <c r="E594" s="1">
        <v>0.80853594508951965</v>
      </c>
      <c r="G594" s="1">
        <v>1.0013145133015857</v>
      </c>
      <c r="H594" s="1">
        <v>5.676600277341346</v>
      </c>
      <c r="I594" s="1">
        <v>0.13275436706496335</v>
      </c>
      <c r="K594" s="1">
        <v>0.99993390075754818</v>
      </c>
      <c r="L594" s="1">
        <v>1.7172363210799051</v>
      </c>
      <c r="M594" s="1">
        <v>0.57112656638391912</v>
      </c>
      <c r="O594" s="1">
        <v>7.4181609336700146E-3</v>
      </c>
      <c r="P594" s="1">
        <v>0.69739801895427556</v>
      </c>
      <c r="R594" s="1">
        <v>0.2221714926417557</v>
      </c>
      <c r="S594" s="2">
        <f t="shared" si="108"/>
        <v>1.1080474751704765</v>
      </c>
      <c r="T594" s="4">
        <f t="shared" si="109"/>
        <v>1.2277692072316677</v>
      </c>
      <c r="U594" s="1">
        <f t="shared" si="112"/>
        <v>1.1242624938176773</v>
      </c>
      <c r="V594" s="6">
        <f>2*sigma/alpha*corel*(B594/12-1/alpha*(1-EXP(-alpha*Output!B594/12)))</f>
        <v>3.3954970856689513</v>
      </c>
      <c r="W594" s="5">
        <f t="shared" si="110"/>
        <v>-0.10350671341399043</v>
      </c>
      <c r="X594" s="1">
        <f t="shared" si="111"/>
        <v>31.644205098905147</v>
      </c>
      <c r="Y594" s="3">
        <f t="shared" si="113"/>
        <v>2.2948416497531564E-2</v>
      </c>
      <c r="Z594" s="1">
        <f t="shared" si="114"/>
        <v>0.15896983158123881</v>
      </c>
      <c r="AA594" s="8">
        <f t="shared" si="119"/>
        <v>48.500000000000284</v>
      </c>
      <c r="AB594" s="1">
        <v>48.58</v>
      </c>
      <c r="AC594" s="1">
        <v>7.554599314E-3</v>
      </c>
      <c r="AD594" s="8">
        <f t="shared" si="115"/>
        <v>1.3643838032998539</v>
      </c>
      <c r="AE594" s="3">
        <f t="shared" si="116"/>
        <v>1.8060306663404514E-2</v>
      </c>
      <c r="AF594" s="11">
        <f t="shared" si="117"/>
        <v>48.500000000000284</v>
      </c>
      <c r="AG594" s="1">
        <f t="shared" si="118"/>
        <v>0.15896983158123881</v>
      </c>
    </row>
    <row r="595" spans="2:33" ht="15" x14ac:dyDescent="0.25">
      <c r="B595" s="1">
        <v>584</v>
      </c>
      <c r="C595" s="1">
        <v>1.0010427253491283</v>
      </c>
      <c r="D595" s="1">
        <v>1.2386828518364978</v>
      </c>
      <c r="E595" s="1">
        <v>0.80603584537257056</v>
      </c>
      <c r="G595" s="1">
        <v>1.0015419299350365</v>
      </c>
      <c r="H595" s="1">
        <v>5.8389674640557407</v>
      </c>
      <c r="I595" s="1">
        <v>0.12900026632017655</v>
      </c>
      <c r="K595" s="1">
        <v>0.99994550434515816</v>
      </c>
      <c r="L595" s="1">
        <v>1.7081119314494146</v>
      </c>
      <c r="M595" s="1">
        <v>0.57415423065252547</v>
      </c>
      <c r="O595" s="1">
        <v>7.4185205357310781E-3</v>
      </c>
      <c r="P595" s="1">
        <v>0.69695483736134578</v>
      </c>
      <c r="R595" s="1">
        <v>0.22243283901392658</v>
      </c>
      <c r="S595" s="2">
        <f t="shared" si="108"/>
        <v>1.1099783692182645</v>
      </c>
      <c r="T595" s="4">
        <f t="shared" si="109"/>
        <v>1.2320519801324379</v>
      </c>
      <c r="U595" s="1">
        <f t="shared" si="112"/>
        <v>1.1280878625928223</v>
      </c>
      <c r="V595" s="6">
        <f>2*sigma/alpha*corel*(B595/12-1/alpha*(1-EXP(-alpha*Output!B595/12)))</f>
        <v>3.4044243014029525</v>
      </c>
      <c r="W595" s="5">
        <f t="shared" si="110"/>
        <v>-0.10396411753961554</v>
      </c>
      <c r="X595" s="1">
        <f t="shared" si="111"/>
        <v>31.828453038361474</v>
      </c>
      <c r="Y595" s="3">
        <f t="shared" si="113"/>
        <v>2.2985412530867933E-2</v>
      </c>
      <c r="Z595" s="1">
        <f t="shared" si="114"/>
        <v>0.15911045401878468</v>
      </c>
      <c r="AA595" s="8">
        <f t="shared" si="119"/>
        <v>48.58333333333362</v>
      </c>
      <c r="AB595" s="1">
        <v>48.67</v>
      </c>
      <c r="AC595" s="1">
        <v>7.5544092559999996E-3</v>
      </c>
      <c r="AD595" s="8">
        <f t="shared" si="115"/>
        <v>1.3588872026892158</v>
      </c>
      <c r="AE595" s="3">
        <f t="shared" si="116"/>
        <v>1.7988000869954668E-2</v>
      </c>
      <c r="AF595" s="11">
        <f t="shared" si="117"/>
        <v>48.58333333333362</v>
      </c>
      <c r="AG595" s="1">
        <f t="shared" si="118"/>
        <v>0.15911045401878468</v>
      </c>
    </row>
    <row r="596" spans="2:33" ht="15" x14ac:dyDescent="0.25">
      <c r="B596" s="1">
        <v>585</v>
      </c>
      <c r="C596" s="1">
        <v>1.0010466743875945</v>
      </c>
      <c r="D596" s="1">
        <v>1.2365669142288895</v>
      </c>
      <c r="E596" s="1">
        <v>0.80741251467159414</v>
      </c>
      <c r="G596" s="1">
        <v>1.0017157878498946</v>
      </c>
      <c r="H596" s="1">
        <v>5.7516954564468739</v>
      </c>
      <c r="I596" s="1">
        <v>0.13089417169030451</v>
      </c>
      <c r="K596" s="1">
        <v>0.99993764068085922</v>
      </c>
      <c r="L596" s="1">
        <v>1.7232657897759034</v>
      </c>
      <c r="M596" s="1">
        <v>0.56909755773774418</v>
      </c>
      <c r="O596" s="1">
        <v>7.4189946501726362E-3</v>
      </c>
      <c r="P596" s="1">
        <v>0.69650800740449892</v>
      </c>
      <c r="R596" s="1">
        <v>0.22264092723843729</v>
      </c>
      <c r="S596" s="2">
        <f t="shared" si="108"/>
        <v>1.111722666246213</v>
      </c>
      <c r="T596" s="4">
        <f t="shared" si="109"/>
        <v>1.2359272866455886</v>
      </c>
      <c r="U596" s="1">
        <f t="shared" si="112"/>
        <v>1.1319174803908201</v>
      </c>
      <c r="V596" s="6">
        <f>2*sigma/alpha*corel*(B596/12-1/alpha*(1-EXP(-alpha*Output!B596/12)))</f>
        <v>3.4133564737078546</v>
      </c>
      <c r="W596" s="5">
        <f t="shared" si="110"/>
        <v>-0.10400980625476852</v>
      </c>
      <c r="X596" s="1">
        <f t="shared" si="111"/>
        <v>31.932914636283183</v>
      </c>
      <c r="Y596" s="3">
        <f t="shared" si="113"/>
        <v>2.2949385644733974E-2</v>
      </c>
      <c r="Z596" s="1">
        <f t="shared" si="114"/>
        <v>0.15922422742113787</v>
      </c>
      <c r="AA596" s="8">
        <f t="shared" si="119"/>
        <v>48.666666666666956</v>
      </c>
      <c r="AB596" s="1">
        <v>48.75</v>
      </c>
      <c r="AC596" s="1">
        <v>7.5542198480000001E-3</v>
      </c>
      <c r="AD596" s="8">
        <f t="shared" si="115"/>
        <v>1.3522519782736397</v>
      </c>
      <c r="AE596" s="3">
        <f t="shared" si="116"/>
        <v>1.7900617211076431E-2</v>
      </c>
      <c r="AF596" s="11">
        <f t="shared" si="117"/>
        <v>48.666666666666956</v>
      </c>
      <c r="AG596" s="1">
        <f t="shared" si="118"/>
        <v>0.15922422742113787</v>
      </c>
    </row>
    <row r="597" spans="2:33" ht="15" x14ac:dyDescent="0.25">
      <c r="B597" s="1">
        <v>586</v>
      </c>
      <c r="C597" s="1">
        <v>1.0010457246990434</v>
      </c>
      <c r="D597" s="1">
        <v>1.2357822329029251</v>
      </c>
      <c r="E597" s="1">
        <v>0.8079226192930008</v>
      </c>
      <c r="G597" s="1">
        <v>1.0014999115171461</v>
      </c>
      <c r="H597" s="1">
        <v>5.7154671496074334</v>
      </c>
      <c r="I597" s="1">
        <v>0.13166004125676764</v>
      </c>
      <c r="K597" s="1">
        <v>0.99991226846647596</v>
      </c>
      <c r="L597" s="1">
        <v>1.7378585664682511</v>
      </c>
      <c r="M597" s="1">
        <v>0.56428296374374998</v>
      </c>
      <c r="O597" s="1">
        <v>7.4195004841990549E-3</v>
      </c>
      <c r="P597" s="1">
        <v>0.69606033073649998</v>
      </c>
      <c r="R597" s="1">
        <v>0.22285712537256544</v>
      </c>
      <c r="S597" s="2">
        <f t="shared" si="108"/>
        <v>1.1135007743009522</v>
      </c>
      <c r="T597" s="4">
        <f t="shared" si="109"/>
        <v>1.2398839743688201</v>
      </c>
      <c r="U597" s="1">
        <f t="shared" si="112"/>
        <v>1.1357513354185715</v>
      </c>
      <c r="V597" s="6">
        <f>2*sigma/alpha*corel*(B597/12-1/alpha*(1-EXP(-alpha*Output!B597/12)))</f>
        <v>3.4222935860892618</v>
      </c>
      <c r="W597" s="5">
        <f t="shared" si="110"/>
        <v>-0.1041326389502486</v>
      </c>
      <c r="X597" s="1">
        <f t="shared" si="111"/>
        <v>32.052668864336262</v>
      </c>
      <c r="Y597" s="3">
        <f t="shared" si="113"/>
        <v>2.2927106450390502E-2</v>
      </c>
      <c r="Z597" s="1">
        <f t="shared" si="114"/>
        <v>0.15934276110349366</v>
      </c>
      <c r="AA597" s="8">
        <f t="shared" si="119"/>
        <v>48.750000000000291</v>
      </c>
      <c r="AB597" s="1">
        <v>48.83</v>
      </c>
      <c r="AC597" s="1">
        <v>7.5540310879999998E-3</v>
      </c>
      <c r="AD597" s="8">
        <f t="shared" si="115"/>
        <v>1.345306038009449</v>
      </c>
      <c r="AE597" s="3">
        <f t="shared" si="116"/>
        <v>1.7809114396504705E-2</v>
      </c>
      <c r="AF597" s="11">
        <f t="shared" si="117"/>
        <v>48.750000000000291</v>
      </c>
      <c r="AG597" s="1">
        <f t="shared" si="118"/>
        <v>0.15934276110349366</v>
      </c>
    </row>
    <row r="598" spans="2:33" ht="15" x14ac:dyDescent="0.25">
      <c r="B598" s="1">
        <v>587</v>
      </c>
      <c r="C598" s="1">
        <v>1.001046681236003</v>
      </c>
      <c r="D598" s="1">
        <v>1.2372063280068302</v>
      </c>
      <c r="E598" s="1">
        <v>0.80699007617232987</v>
      </c>
      <c r="G598" s="1">
        <v>1.0014970253801347</v>
      </c>
      <c r="H598" s="1">
        <v>5.7739947996549539</v>
      </c>
      <c r="I598" s="1">
        <v>0.13026233442477397</v>
      </c>
      <c r="K598" s="1">
        <v>0.99990939514442778</v>
      </c>
      <c r="L598" s="1">
        <v>1.7447567207873238</v>
      </c>
      <c r="M598" s="1">
        <v>0.5620381021341877</v>
      </c>
      <c r="O598" s="1">
        <v>7.4199722812209983E-3</v>
      </c>
      <c r="P598" s="1">
        <v>0.69561404134636706</v>
      </c>
      <c r="R598" s="1">
        <v>0.22306871538290599</v>
      </c>
      <c r="S598" s="2">
        <f t="shared" si="108"/>
        <v>1.1152608057474429</v>
      </c>
      <c r="T598" s="4">
        <f t="shared" si="109"/>
        <v>1.2438066648364356</v>
      </c>
      <c r="U598" s="1">
        <f t="shared" si="112"/>
        <v>1.13958941590663</v>
      </c>
      <c r="V598" s="6">
        <f>2*sigma/alpha*corel*(B598/12-1/alpha*(1-EXP(-alpha*Output!B598/12)))</f>
        <v>3.431235622107665</v>
      </c>
      <c r="W598" s="5">
        <f t="shared" si="110"/>
        <v>-0.10421724892980566</v>
      </c>
      <c r="X598" s="1">
        <f t="shared" si="111"/>
        <v>32.165219601685884</v>
      </c>
      <c r="Y598" s="3">
        <f t="shared" si="113"/>
        <v>2.2898159934785368E-2</v>
      </c>
      <c r="Z598" s="1">
        <f t="shared" si="114"/>
        <v>0.15945862401729047</v>
      </c>
      <c r="AA598" s="8">
        <f t="shared" si="119"/>
        <v>48.833333333333627</v>
      </c>
      <c r="AB598" s="1">
        <v>48.92</v>
      </c>
      <c r="AC598" s="1">
        <v>7.5538429720000003E-3</v>
      </c>
      <c r="AD598" s="8">
        <f t="shared" si="115"/>
        <v>1.3387069077900204</v>
      </c>
      <c r="AE598" s="3">
        <f t="shared" si="116"/>
        <v>1.7722196671975252E-2</v>
      </c>
      <c r="AF598" s="11">
        <f t="shared" si="117"/>
        <v>48.833333333333627</v>
      </c>
      <c r="AG598" s="1">
        <f t="shared" si="118"/>
        <v>0.15945862401729047</v>
      </c>
    </row>
    <row r="599" spans="2:33" ht="15" x14ac:dyDescent="0.25">
      <c r="B599" s="1">
        <v>588</v>
      </c>
      <c r="C599" s="1">
        <v>1.0010475071897682</v>
      </c>
      <c r="D599" s="1">
        <v>1.2352371875572898</v>
      </c>
      <c r="E599" s="1">
        <v>0.80827394470566849</v>
      </c>
      <c r="G599" s="1">
        <v>1.0014040417863166</v>
      </c>
      <c r="H599" s="1">
        <v>5.6852530926689351</v>
      </c>
      <c r="I599" s="1">
        <v>0.13223151260309965</v>
      </c>
      <c r="K599" s="1">
        <v>0.99992293222801554</v>
      </c>
      <c r="L599" s="1">
        <v>1.7404224325597883</v>
      </c>
      <c r="M599" s="1">
        <v>0.56341020366365746</v>
      </c>
      <c r="O599" s="1">
        <v>7.4204526707852807E-3</v>
      </c>
      <c r="P599" s="1">
        <v>0.69516769074855889</v>
      </c>
      <c r="R599" s="1">
        <v>0.22325919897278693</v>
      </c>
      <c r="S599" s="2">
        <f t="shared" ref="S599:S662" si="120">optim_vol_implied(P599,R599)</f>
        <v>1.1169447627507181</v>
      </c>
      <c r="T599" s="4">
        <f t="shared" ref="T599:T662" si="121">S599*S599</f>
        <v>1.2475656030362579</v>
      </c>
      <c r="U599" s="1">
        <f t="shared" si="112"/>
        <v>1.1434317101092262</v>
      </c>
      <c r="V599" s="6">
        <f>2*sigma/alpha*corel*(B599/12-1/alpha*(1-EXP(-alpha*Output!B599/12)))</f>
        <v>3.4401825653782656</v>
      </c>
      <c r="W599" s="5">
        <f t="shared" ref="W599:W662" si="122">U599-T599</f>
        <v>-0.10413389292703168</v>
      </c>
      <c r="X599" s="1">
        <f t="shared" ref="X599:X662" si="123">V599*V599-4*W599*B599/12</f>
        <v>32.245099096830799</v>
      </c>
      <c r="Y599" s="3">
        <f t="shared" si="113"/>
        <v>2.2839737383303062E-2</v>
      </c>
      <c r="Z599" s="1">
        <f t="shared" si="114"/>
        <v>0.15956353753581687</v>
      </c>
      <c r="AA599" s="8">
        <f t="shared" si="119"/>
        <v>48.916666666666963</v>
      </c>
      <c r="AB599" s="1">
        <v>49</v>
      </c>
      <c r="AC599" s="1">
        <v>7.5536554969999996E-3</v>
      </c>
      <c r="AD599" s="8">
        <f t="shared" si="115"/>
        <v>1.3320282621471884</v>
      </c>
      <c r="AE599" s="3">
        <f t="shared" si="116"/>
        <v>1.7634220446990402E-2</v>
      </c>
      <c r="AF599" s="11">
        <f t="shared" si="117"/>
        <v>48.916666666666963</v>
      </c>
      <c r="AG599" s="1">
        <f t="shared" si="118"/>
        <v>0.15956353753581687</v>
      </c>
    </row>
    <row r="600" spans="2:33" ht="15" x14ac:dyDescent="0.25">
      <c r="B600" s="1">
        <v>589</v>
      </c>
      <c r="C600" s="1">
        <v>1.0010507532429</v>
      </c>
      <c r="D600" s="1">
        <v>1.2324311305172739</v>
      </c>
      <c r="E600" s="1">
        <v>0.81011166458988548</v>
      </c>
      <c r="G600" s="1">
        <v>1.0015074142945188</v>
      </c>
      <c r="H600" s="1">
        <v>5.5635177067629655</v>
      </c>
      <c r="I600" s="1">
        <v>0.13505940009812106</v>
      </c>
      <c r="K600" s="1">
        <v>0.99990892141465082</v>
      </c>
      <c r="L600" s="1">
        <v>1.7272825895898112</v>
      </c>
      <c r="M600" s="1">
        <v>0.56767257805135229</v>
      </c>
      <c r="O600" s="1">
        <v>7.4209124757579521E-3</v>
      </c>
      <c r="P600" s="1">
        <v>0.69472227285459587</v>
      </c>
      <c r="R600" s="1">
        <v>0.22344014090486447</v>
      </c>
      <c r="S600" s="2">
        <f t="shared" si="120"/>
        <v>1.1185931574105983</v>
      </c>
      <c r="T600" s="4">
        <f t="shared" si="121"/>
        <v>1.2512506518058115</v>
      </c>
      <c r="U600" s="1">
        <f t="shared" si="112"/>
        <v>1.1472782063042923</v>
      </c>
      <c r="V600" s="6">
        <f>2*sigma/alpha*corel*(B600/12-1/alpha*(1-EXP(-alpha*Output!B600/12)))</f>
        <v>3.4491343995707879</v>
      </c>
      <c r="W600" s="5">
        <f t="shared" si="122"/>
        <v>-0.10397244550151918</v>
      </c>
      <c r="X600" s="1">
        <f t="shared" si="123"/>
        <v>32.309784906434139</v>
      </c>
      <c r="Y600" s="3">
        <f t="shared" si="113"/>
        <v>2.2767761730114962E-2</v>
      </c>
      <c r="Z600" s="1">
        <f t="shared" si="114"/>
        <v>0.15966331204025361</v>
      </c>
      <c r="AA600" s="8">
        <f t="shared" si="119"/>
        <v>49.000000000000298</v>
      </c>
      <c r="AB600" s="1">
        <v>49.08</v>
      </c>
      <c r="AC600" s="1">
        <v>7.5534686599999998E-3</v>
      </c>
      <c r="AD600" s="8">
        <f t="shared" si="115"/>
        <v>1.3255618424204765</v>
      </c>
      <c r="AE600" s="3">
        <f t="shared" si="116"/>
        <v>1.7549048021342772E-2</v>
      </c>
      <c r="AF600" s="11">
        <f t="shared" si="117"/>
        <v>49.000000000000298</v>
      </c>
      <c r="AG600" s="1">
        <f t="shared" si="118"/>
        <v>0.15966331204025361</v>
      </c>
    </row>
    <row r="601" spans="2:33" ht="15" x14ac:dyDescent="0.25">
      <c r="B601" s="1">
        <v>590</v>
      </c>
      <c r="C601" s="1">
        <v>1.0010547004968899</v>
      </c>
      <c r="D601" s="1">
        <v>1.2346259599654272</v>
      </c>
      <c r="E601" s="1">
        <v>0.80866890992017082</v>
      </c>
      <c r="G601" s="1">
        <v>1.0016685245537809</v>
      </c>
      <c r="H601" s="1">
        <v>5.5764387779668505</v>
      </c>
      <c r="I601" s="1">
        <v>0.13468116741564906</v>
      </c>
      <c r="K601" s="1">
        <v>0.99992032567862799</v>
      </c>
      <c r="L601" s="1">
        <v>1.7134879202251687</v>
      </c>
      <c r="M601" s="1">
        <v>0.57225266126690955</v>
      </c>
      <c r="O601" s="1">
        <v>7.4213376892860311E-3</v>
      </c>
      <c r="P601" s="1">
        <v>0.69427826793988201</v>
      </c>
      <c r="R601" s="1">
        <v>0.22362125784513484</v>
      </c>
      <c r="S601" s="2">
        <f t="shared" si="120"/>
        <v>1.1202409023135995</v>
      </c>
      <c r="T601" s="4">
        <f t="shared" si="121"/>
        <v>1.2549396792163876</v>
      </c>
      <c r="U601" s="1">
        <f t="shared" si="112"/>
        <v>1.1511288927934826</v>
      </c>
      <c r="V601" s="6">
        <f>2*sigma/alpha*corel*(B601/12-1/alpha*(1-EXP(-alpha*Output!B601/12)))</f>
        <v>3.4580911084092998</v>
      </c>
      <c r="W601" s="5">
        <f t="shared" si="122"/>
        <v>-0.10381078642290498</v>
      </c>
      <c r="X601" s="1">
        <f t="shared" si="123"/>
        <v>32.374515443897437</v>
      </c>
      <c r="Y601" s="3">
        <f t="shared" si="113"/>
        <v>2.2695962536842421E-2</v>
      </c>
      <c r="Z601" s="1">
        <f t="shared" si="114"/>
        <v>0.15976293958680796</v>
      </c>
      <c r="AA601" s="8">
        <f t="shared" si="119"/>
        <v>49.083333333333634</v>
      </c>
      <c r="AB601" s="1">
        <v>49.17</v>
      </c>
      <c r="AC601" s="1">
        <v>7.553282457E-3</v>
      </c>
      <c r="AD601" s="8">
        <f t="shared" si="115"/>
        <v>1.3194476771396895</v>
      </c>
      <c r="AE601" s="3">
        <f t="shared" si="116"/>
        <v>1.7468533510446072E-2</v>
      </c>
      <c r="AF601" s="11">
        <f t="shared" si="117"/>
        <v>49.083333333333634</v>
      </c>
      <c r="AG601" s="1">
        <f t="shared" si="118"/>
        <v>0.15976293958680796</v>
      </c>
    </row>
    <row r="602" spans="2:33" ht="15" x14ac:dyDescent="0.25">
      <c r="B602" s="1">
        <v>591</v>
      </c>
      <c r="C602" s="1">
        <v>1.0010569250250028</v>
      </c>
      <c r="D602" s="1">
        <v>1.2342502490529828</v>
      </c>
      <c r="E602" s="1">
        <v>0.80891247060053717</v>
      </c>
      <c r="G602" s="1">
        <v>1.0017370871196167</v>
      </c>
      <c r="H602" s="1">
        <v>5.610612223036644</v>
      </c>
      <c r="I602" s="1">
        <v>0.13379598313444335</v>
      </c>
      <c r="K602" s="1">
        <v>0.99992278421411884</v>
      </c>
      <c r="L602" s="1">
        <v>1.702109513482523</v>
      </c>
      <c r="M602" s="1">
        <v>0.57603469821511355</v>
      </c>
      <c r="O602" s="1">
        <v>7.4217362485968445E-3</v>
      </c>
      <c r="P602" s="1">
        <v>0.69383540843361891</v>
      </c>
      <c r="R602" s="1">
        <v>0.22386670813655776</v>
      </c>
      <c r="S602" s="2">
        <f t="shared" si="120"/>
        <v>1.1221268692195558</v>
      </c>
      <c r="T602" s="4">
        <f t="shared" si="121"/>
        <v>1.2591687106244822</v>
      </c>
      <c r="U602" s="1">
        <f t="shared" si="112"/>
        <v>1.154983757902202</v>
      </c>
      <c r="V602" s="6">
        <f>2*sigma/alpha*corel*(B602/12-1/alpha*(1-EXP(-alpha*Output!B602/12)))</f>
        <v>3.4670526756720341</v>
      </c>
      <c r="W602" s="5">
        <f t="shared" si="122"/>
        <v>-0.10418495272228023</v>
      </c>
      <c r="X602" s="1">
        <f t="shared" si="123"/>
        <v>32.544889942173818</v>
      </c>
      <c r="Y602" s="3">
        <f t="shared" si="113"/>
        <v>2.2718377661184421E-2</v>
      </c>
      <c r="Z602" s="1">
        <f t="shared" si="114"/>
        <v>0.15989645828812449</v>
      </c>
      <c r="AA602" s="8">
        <f t="shared" si="119"/>
        <v>49.16666666666697</v>
      </c>
      <c r="AB602" s="1">
        <v>49.25</v>
      </c>
      <c r="AC602" s="1">
        <v>7.5530968860000004E-3</v>
      </c>
      <c r="AD602" s="8">
        <f t="shared" si="115"/>
        <v>1.3136063740315593</v>
      </c>
      <c r="AE602" s="3">
        <f t="shared" si="116"/>
        <v>1.7391626161533648E-2</v>
      </c>
      <c r="AF602" s="11">
        <f t="shared" si="117"/>
        <v>49.16666666666697</v>
      </c>
      <c r="AG602" s="1">
        <f t="shared" si="118"/>
        <v>0.15989645828812449</v>
      </c>
    </row>
    <row r="603" spans="2:33" ht="15" x14ac:dyDescent="0.25">
      <c r="B603" s="1">
        <v>592</v>
      </c>
      <c r="C603" s="1">
        <v>1.0010525453560073</v>
      </c>
      <c r="D603" s="1">
        <v>1.2380907984710854</v>
      </c>
      <c r="E603" s="1">
        <v>0.80640063140931439</v>
      </c>
      <c r="G603" s="1">
        <v>1.0012215172463328</v>
      </c>
      <c r="H603" s="1">
        <v>5.713891949123191</v>
      </c>
      <c r="I603" s="1">
        <v>0.13131393655747342</v>
      </c>
      <c r="K603" s="1">
        <v>0.99991811483775139</v>
      </c>
      <c r="L603" s="1">
        <v>1.6979077279490697</v>
      </c>
      <c r="M603" s="1">
        <v>0.57745916698486299</v>
      </c>
      <c r="O603" s="1">
        <v>7.4221695377380131E-3</v>
      </c>
      <c r="P603" s="1">
        <v>0.6933915973392043</v>
      </c>
      <c r="R603" s="1">
        <v>0.22404657963803346</v>
      </c>
      <c r="S603" s="2">
        <f t="shared" si="120"/>
        <v>1.1237733653345059</v>
      </c>
      <c r="T603" s="4">
        <f t="shared" si="121"/>
        <v>1.2628665766352409</v>
      </c>
      <c r="U603" s="1">
        <f t="shared" si="112"/>
        <v>1.1588427899796212</v>
      </c>
      <c r="V603" s="6">
        <f>2*sigma/alpha*corel*(B603/12-1/alpha*(1-EXP(-alpha*Output!B603/12)))</f>
        <v>3.4760190851912038</v>
      </c>
      <c r="W603" s="5">
        <f t="shared" si="122"/>
        <v>-0.10402378665561973</v>
      </c>
      <c r="X603" s="1">
        <f t="shared" si="123"/>
        <v>32.610069247322457</v>
      </c>
      <c r="Y603" s="3">
        <f t="shared" si="113"/>
        <v>2.2646995865403936E-2</v>
      </c>
      <c r="Z603" s="1">
        <f t="shared" si="114"/>
        <v>0.15999577126814105</v>
      </c>
      <c r="AA603" s="8">
        <f t="shared" si="119"/>
        <v>49.250000000000306</v>
      </c>
      <c r="AB603" s="1">
        <v>49.33</v>
      </c>
      <c r="AC603" s="1">
        <v>7.5529119420000004E-3</v>
      </c>
      <c r="AD603" s="8">
        <f t="shared" si="115"/>
        <v>1.3074240426198727</v>
      </c>
      <c r="AE603" s="3">
        <f t="shared" si="116"/>
        <v>1.7310198406386673E-2</v>
      </c>
      <c r="AF603" s="11">
        <f t="shared" si="117"/>
        <v>49.250000000000306</v>
      </c>
      <c r="AG603" s="1">
        <f t="shared" si="118"/>
        <v>0.15999577126814105</v>
      </c>
    </row>
    <row r="604" spans="2:33" ht="15" x14ac:dyDescent="0.25">
      <c r="B604" s="1">
        <v>593</v>
      </c>
      <c r="C604" s="1">
        <v>1.0010509780405998</v>
      </c>
      <c r="D604" s="1">
        <v>1.2338574776631883</v>
      </c>
      <c r="E604" s="1">
        <v>0.80916475186733938</v>
      </c>
      <c r="G604" s="1">
        <v>1.0009839323203851</v>
      </c>
      <c r="H604" s="1">
        <v>5.5410841619650117</v>
      </c>
      <c r="I604" s="1">
        <v>0.13534356499174291</v>
      </c>
      <c r="K604" s="1">
        <v>0.9999241115527896</v>
      </c>
      <c r="L604" s="1">
        <v>1.6923524452532639</v>
      </c>
      <c r="M604" s="1">
        <v>0.57931630403756618</v>
      </c>
      <c r="O604" s="1">
        <v>7.422575956832652E-3</v>
      </c>
      <c r="P604" s="1">
        <v>0.69294894020343523</v>
      </c>
      <c r="R604" s="1">
        <v>0.22426280909298688</v>
      </c>
      <c r="S604" s="2">
        <f t="shared" si="120"/>
        <v>1.125554380568299</v>
      </c>
      <c r="T604" s="4">
        <f t="shared" si="121"/>
        <v>1.2668726636164873</v>
      </c>
      <c r="U604" s="1">
        <f t="shared" si="112"/>
        <v>1.1627059773987023</v>
      </c>
      <c r="V604" s="6">
        <f>2*sigma/alpha*corel*(B604/12-1/alpha*(1-EXP(-alpha*Output!B604/12)))</f>
        <v>3.484990320852825</v>
      </c>
      <c r="W604" s="5">
        <f t="shared" si="122"/>
        <v>-0.10416668621778502</v>
      </c>
      <c r="X604" s="1">
        <f t="shared" si="123"/>
        <v>32.735439178820052</v>
      </c>
      <c r="Y604" s="3">
        <f t="shared" si="113"/>
        <v>2.2628994171877213E-2</v>
      </c>
      <c r="Z604" s="1">
        <f t="shared" si="114"/>
        <v>0.16011416649579738</v>
      </c>
      <c r="AA604" s="8">
        <f t="shared" si="119"/>
        <v>49.333333333333641</v>
      </c>
      <c r="AB604" s="1">
        <v>49.42</v>
      </c>
      <c r="AC604" s="1">
        <v>7.5527276239999996E-3</v>
      </c>
      <c r="AD604" s="8">
        <f t="shared" si="115"/>
        <v>1.3015166716734763</v>
      </c>
      <c r="AE604" s="3">
        <f t="shared" si="116"/>
        <v>1.7232405780630813E-2</v>
      </c>
      <c r="AF604" s="11">
        <f t="shared" si="117"/>
        <v>49.333333333333641</v>
      </c>
      <c r="AG604" s="1">
        <f t="shared" si="118"/>
        <v>0.16011416649579738</v>
      </c>
    </row>
    <row r="605" spans="2:33" ht="15" x14ac:dyDescent="0.25">
      <c r="B605" s="1">
        <v>594</v>
      </c>
      <c r="C605" s="1">
        <v>1.0010467236883391</v>
      </c>
      <c r="D605" s="1">
        <v>1.2373539726288167</v>
      </c>
      <c r="E605" s="1">
        <v>0.8068756186438556</v>
      </c>
      <c r="G605" s="1">
        <v>1.0005385336551151</v>
      </c>
      <c r="H605" s="1">
        <v>5.687371371127103</v>
      </c>
      <c r="I605" s="1">
        <v>0.13179844387510034</v>
      </c>
      <c r="K605" s="1">
        <v>0.99991328655274281</v>
      </c>
      <c r="L605" s="1">
        <v>1.6949292111012777</v>
      </c>
      <c r="M605" s="1">
        <v>0.57841209334914745</v>
      </c>
      <c r="O605" s="1">
        <v>7.4229854092825072E-3</v>
      </c>
      <c r="P605" s="1">
        <v>0.69250641476881336</v>
      </c>
      <c r="R605" s="1">
        <v>0.22446689392754884</v>
      </c>
      <c r="S605" s="2">
        <f t="shared" si="120"/>
        <v>1.1272919144347748</v>
      </c>
      <c r="T605" s="4">
        <f t="shared" si="121"/>
        <v>1.2707870603500198</v>
      </c>
      <c r="U605" s="1">
        <f t="shared" si="112"/>
        <v>1.1665733085562184</v>
      </c>
      <c r="V605" s="6">
        <f>2*sigma/alpha*corel*(B605/12-1/alpha*(1-EXP(-alpha*Output!B605/12)))</f>
        <v>3.4939663665965401</v>
      </c>
      <c r="W605" s="5">
        <f t="shared" si="122"/>
        <v>-0.10421375179380132</v>
      </c>
      <c r="X605" s="1">
        <f t="shared" si="123"/>
        <v>32.842123826080488</v>
      </c>
      <c r="Y605" s="3">
        <f t="shared" si="113"/>
        <v>2.2594327760288024E-2</v>
      </c>
      <c r="Z605" s="1">
        <f t="shared" si="114"/>
        <v>0.16022629579958766</v>
      </c>
      <c r="AA605" s="8">
        <f t="shared" si="119"/>
        <v>49.416666666666977</v>
      </c>
      <c r="AB605" s="1">
        <v>49.5</v>
      </c>
      <c r="AC605" s="1">
        <v>7.5525439270000003E-3</v>
      </c>
      <c r="AD605" s="8">
        <f t="shared" si="115"/>
        <v>1.2955851771749312</v>
      </c>
      <c r="AE605" s="3">
        <f t="shared" si="116"/>
        <v>1.7154288537710762E-2</v>
      </c>
      <c r="AF605" s="11">
        <f t="shared" si="117"/>
        <v>49.416666666666977</v>
      </c>
      <c r="AG605" s="1">
        <f t="shared" si="118"/>
        <v>0.16022629579958766</v>
      </c>
    </row>
    <row r="606" spans="2:33" ht="15" x14ac:dyDescent="0.25">
      <c r="B606" s="1">
        <v>595</v>
      </c>
      <c r="C606" s="1">
        <v>1.001044566323984</v>
      </c>
      <c r="D606" s="1">
        <v>1.2346425927801099</v>
      </c>
      <c r="E606" s="1">
        <v>0.80864496738464853</v>
      </c>
      <c r="G606" s="1">
        <v>1.0002259780059364</v>
      </c>
      <c r="H606" s="1">
        <v>5.5708510043808577</v>
      </c>
      <c r="I606" s="1">
        <v>0.13448995147480611</v>
      </c>
      <c r="K606" s="1">
        <v>0.99989565789302737</v>
      </c>
      <c r="L606" s="1">
        <v>1.6963021904663609</v>
      </c>
      <c r="M606" s="1">
        <v>0.5779385382831006</v>
      </c>
      <c r="O606" s="1">
        <v>7.4234122068357021E-3</v>
      </c>
      <c r="P606" s="1">
        <v>0.6920635295140064</v>
      </c>
      <c r="R606" s="1">
        <v>0.22467884344368275</v>
      </c>
      <c r="S606" s="2">
        <f t="shared" si="120"/>
        <v>1.1290615107227115</v>
      </c>
      <c r="T606" s="4">
        <f t="shared" si="121"/>
        <v>1.2747798949954516</v>
      </c>
      <c r="U606" s="1">
        <f t="shared" si="112"/>
        <v>1.1704447718727713</v>
      </c>
      <c r="V606" s="6">
        <f>2*sigma/alpha*corel*(B606/12-1/alpha*(1-EXP(-alpha*Output!B606/12)))</f>
        <v>3.5029472064154339</v>
      </c>
      <c r="W606" s="5">
        <f t="shared" si="122"/>
        <v>-0.10433512312268034</v>
      </c>
      <c r="X606" s="1">
        <f t="shared" si="123"/>
        <v>32.963771883598625</v>
      </c>
      <c r="Y606" s="3">
        <f t="shared" si="113"/>
        <v>2.2572719207681984E-2</v>
      </c>
      <c r="Z606" s="1">
        <f t="shared" si="114"/>
        <v>0.16034290324725012</v>
      </c>
      <c r="AA606" s="8">
        <f t="shared" si="119"/>
        <v>49.500000000000313</v>
      </c>
      <c r="AB606" s="1">
        <v>49.58</v>
      </c>
      <c r="AC606" s="1">
        <v>7.5523608480000002E-3</v>
      </c>
      <c r="AD606" s="8">
        <f t="shared" si="115"/>
        <v>1.2894864116429812</v>
      </c>
      <c r="AE606" s="3">
        <f t="shared" si="116"/>
        <v>1.7073951279545391E-2</v>
      </c>
      <c r="AF606" s="11">
        <f t="shared" si="117"/>
        <v>49.500000000000313</v>
      </c>
      <c r="AG606" s="1">
        <f t="shared" si="118"/>
        <v>0.16034290324725012</v>
      </c>
    </row>
    <row r="607" spans="2:33" ht="15" x14ac:dyDescent="0.25">
      <c r="B607" s="1">
        <v>596</v>
      </c>
      <c r="C607" s="1">
        <v>1.0010457785563618</v>
      </c>
      <c r="D607" s="1">
        <v>1.2334935040961059</v>
      </c>
      <c r="E607" s="1">
        <v>0.80939565319012907</v>
      </c>
      <c r="G607" s="1">
        <v>1.0001904940044135</v>
      </c>
      <c r="H607" s="1">
        <v>5.5243980159476909</v>
      </c>
      <c r="I607" s="1">
        <v>0.13555512044285084</v>
      </c>
      <c r="K607" s="1">
        <v>0.99991111418227496</v>
      </c>
      <c r="L607" s="1">
        <v>1.6928921915135264</v>
      </c>
      <c r="M607" s="1">
        <v>0.57907631830915463</v>
      </c>
      <c r="O607" s="1">
        <v>7.4238985325981114E-3</v>
      </c>
      <c r="P607" s="1">
        <v>0.69161883348388331</v>
      </c>
      <c r="R607" s="1">
        <v>0.22491266386829439</v>
      </c>
      <c r="S607" s="2">
        <f t="shared" si="120"/>
        <v>1.1309187078794964</v>
      </c>
      <c r="T607" s="4">
        <f t="shared" si="121"/>
        <v>1.2789771238318297</v>
      </c>
      <c r="U607" s="1">
        <f t="shared" si="112"/>
        <v>1.1743203557928115</v>
      </c>
      <c r="V607" s="6">
        <f>2*sigma/alpha*corel*(B607/12-1/alpha*(1-EXP(-alpha*Output!B607/12)))</f>
        <v>3.5119328243558594</v>
      </c>
      <c r="W607" s="5">
        <f t="shared" si="122"/>
        <v>-0.10465676803901824</v>
      </c>
      <c r="X607" s="1">
        <f t="shared" si="123"/>
        <v>33.125483413206418</v>
      </c>
      <c r="Y607" s="3">
        <f t="shared" si="113"/>
        <v>2.2585987131113983E-2</v>
      </c>
      <c r="Z607" s="1">
        <f t="shared" si="114"/>
        <v>0.16047185815076423</v>
      </c>
      <c r="AA607" s="8">
        <f t="shared" si="119"/>
        <v>49.583333333333648</v>
      </c>
      <c r="AB607" s="1">
        <v>49.67</v>
      </c>
      <c r="AC607" s="1">
        <v>7.5521783850000003E-3</v>
      </c>
      <c r="AD607" s="8">
        <f t="shared" si="115"/>
        <v>1.2827985240188891</v>
      </c>
      <c r="AE607" s="3">
        <f t="shared" si="116"/>
        <v>1.6985808049327332E-2</v>
      </c>
      <c r="AF607" s="11">
        <f t="shared" si="117"/>
        <v>49.583333333333648</v>
      </c>
      <c r="AG607" s="1">
        <f t="shared" si="118"/>
        <v>0.16047185815076423</v>
      </c>
    </row>
    <row r="608" spans="2:33" ht="15" x14ac:dyDescent="0.25">
      <c r="B608" s="1">
        <v>597</v>
      </c>
      <c r="C608" s="1">
        <v>1.0010424477899407</v>
      </c>
      <c r="D608" s="1">
        <v>1.2337093214393018</v>
      </c>
      <c r="E608" s="1">
        <v>0.80925143313912473</v>
      </c>
      <c r="G608" s="1">
        <v>0.999848575133092</v>
      </c>
      <c r="H608" s="1">
        <v>5.530266636125357</v>
      </c>
      <c r="I608" s="1">
        <v>0.13534565645308497</v>
      </c>
      <c r="K608" s="1">
        <v>0.99989608046277256</v>
      </c>
      <c r="L608" s="1">
        <v>1.6826884859991658</v>
      </c>
      <c r="M608" s="1">
        <v>0.58257688688428555</v>
      </c>
      <c r="O608" s="1">
        <v>7.4244044703266924E-3</v>
      </c>
      <c r="P608" s="1">
        <v>0.69117369280209473</v>
      </c>
      <c r="R608" s="1">
        <v>0.22512984291181445</v>
      </c>
      <c r="S608" s="2">
        <f t="shared" si="120"/>
        <v>1.1327169425343582</v>
      </c>
      <c r="T608" s="4">
        <f t="shared" si="121"/>
        <v>1.2830476719043844</v>
      </c>
      <c r="U608" s="1">
        <f t="shared" si="112"/>
        <v>1.1782000487846584</v>
      </c>
      <c r="V608" s="6">
        <f>2*sigma/alpha*corel*(B608/12-1/alpha*(1-EXP(-alpha*Output!B608/12)))</f>
        <v>3.520923204517262</v>
      </c>
      <c r="W608" s="5">
        <f t="shared" si="122"/>
        <v>-0.10484762311972595</v>
      </c>
      <c r="X608" s="1">
        <f t="shared" si="123"/>
        <v>33.261577212933567</v>
      </c>
      <c r="Y608" s="3">
        <f t="shared" si="113"/>
        <v>2.2576501277638342E-2</v>
      </c>
      <c r="Z608" s="1">
        <f t="shared" si="114"/>
        <v>0.16059235023142276</v>
      </c>
      <c r="AA608" s="8">
        <f t="shared" si="119"/>
        <v>49.666666666666984</v>
      </c>
      <c r="AB608" s="1">
        <v>49.75</v>
      </c>
      <c r="AC608" s="1">
        <v>7.5519965350000001E-3</v>
      </c>
      <c r="AD608" s="8">
        <f t="shared" si="115"/>
        <v>1.2759206467330766</v>
      </c>
      <c r="AE608" s="3">
        <f t="shared" si="116"/>
        <v>1.6895143434186927E-2</v>
      </c>
      <c r="AF608" s="11">
        <f t="shared" si="117"/>
        <v>49.666666666666984</v>
      </c>
      <c r="AG608" s="1">
        <f t="shared" si="118"/>
        <v>0.16059235023142276</v>
      </c>
    </row>
    <row r="609" spans="2:33" ht="15" x14ac:dyDescent="0.25">
      <c r="B609" s="1">
        <v>598</v>
      </c>
      <c r="C609" s="1">
        <v>1.0010463265402787</v>
      </c>
      <c r="D609" s="1">
        <v>1.2364996334331053</v>
      </c>
      <c r="E609" s="1">
        <v>0.80742263128603498</v>
      </c>
      <c r="G609" s="1">
        <v>1.0000694767788261</v>
      </c>
      <c r="H609" s="1">
        <v>5.6478942214793468</v>
      </c>
      <c r="I609" s="1">
        <v>0.1324626208597911</v>
      </c>
      <c r="K609" s="1">
        <v>0.99990668844487696</v>
      </c>
      <c r="L609" s="1">
        <v>1.6898309015087665</v>
      </c>
      <c r="M609" s="1">
        <v>0.5800983878306315</v>
      </c>
      <c r="O609" s="1">
        <v>7.4249293487881583E-3</v>
      </c>
      <c r="P609" s="1">
        <v>0.69072812841340703</v>
      </c>
      <c r="R609" s="1">
        <v>0.22535273367409331</v>
      </c>
      <c r="S609" s="2">
        <f t="shared" si="120"/>
        <v>1.1345395312200257</v>
      </c>
      <c r="T609" s="4">
        <f t="shared" si="121"/>
        <v>1.2871799479009558</v>
      </c>
      <c r="U609" s="1">
        <f t="shared" si="112"/>
        <v>1.1820838393405149</v>
      </c>
      <c r="V609" s="6">
        <f>2*sigma/alpha*corel*(B609/12-1/alpha*(1-EXP(-alpha*Output!B609/12)))</f>
        <v>3.5299183310519986</v>
      </c>
      <c r="W609" s="5">
        <f t="shared" si="122"/>
        <v>-0.10509610856044094</v>
      </c>
      <c r="X609" s="1">
        <f t="shared" si="123"/>
        <v>33.409481063611487</v>
      </c>
      <c r="Y609" s="3">
        <f t="shared" si="113"/>
        <v>2.2577008553226717E-2</v>
      </c>
      <c r="Z609" s="1">
        <f t="shared" si="114"/>
        <v>0.16071620313829513</v>
      </c>
      <c r="AA609" s="8">
        <f t="shared" si="119"/>
        <v>49.75000000000032</v>
      </c>
      <c r="AB609" s="1">
        <v>49.83</v>
      </c>
      <c r="AC609" s="1">
        <v>7.551815293E-3</v>
      </c>
      <c r="AD609" s="8">
        <f t="shared" si="115"/>
        <v>1.2688594421184172</v>
      </c>
      <c r="AE609" s="3">
        <f t="shared" si="116"/>
        <v>1.6802045506787759E-2</v>
      </c>
      <c r="AF609" s="11">
        <f t="shared" si="117"/>
        <v>49.75000000000032</v>
      </c>
      <c r="AG609" s="1">
        <f t="shared" si="118"/>
        <v>0.16071620313829513</v>
      </c>
    </row>
    <row r="610" spans="2:33" ht="15" x14ac:dyDescent="0.25">
      <c r="B610" s="1">
        <v>599</v>
      </c>
      <c r="C610" s="1">
        <v>1.0010531832259091</v>
      </c>
      <c r="D610" s="1">
        <v>1.2383326716676917</v>
      </c>
      <c r="E610" s="1">
        <v>0.80622481815529001</v>
      </c>
      <c r="G610" s="1">
        <v>1.0005173360092012</v>
      </c>
      <c r="H610" s="1">
        <v>5.7169020875627954</v>
      </c>
      <c r="I610" s="1">
        <v>0.13080027159398647</v>
      </c>
      <c r="K610" s="1">
        <v>0.99990708186454469</v>
      </c>
      <c r="L610" s="1">
        <v>1.6761937123393467</v>
      </c>
      <c r="M610" s="1">
        <v>0.58478254683194397</v>
      </c>
      <c r="O610" s="1">
        <v>7.4254195447543345E-3</v>
      </c>
      <c r="P610" s="1">
        <v>0.69028398591402207</v>
      </c>
      <c r="R610" s="1">
        <v>0.22553533241478854</v>
      </c>
      <c r="S610" s="2">
        <f t="shared" si="120"/>
        <v>1.1362104122640282</v>
      </c>
      <c r="T610" s="4">
        <f t="shared" si="121"/>
        <v>1.2909741009371929</v>
      </c>
      <c r="U610" s="1">
        <f t="shared" si="112"/>
        <v>1.1859717159764847</v>
      </c>
      <c r="V610" s="6">
        <f>2*sigma/alpha*corel*(B610/12-1/alpha*(1-EXP(-alpha*Output!B610/12)))</f>
        <v>3.5389181881651632</v>
      </c>
      <c r="W610" s="5">
        <f t="shared" si="122"/>
        <v>-0.10500238496070824</v>
      </c>
      <c r="X610" s="1">
        <f t="shared" si="123"/>
        <v>33.48941813968095</v>
      </c>
      <c r="Y610" s="3">
        <f t="shared" si="113"/>
        <v>2.2518391227334414E-2</v>
      </c>
      <c r="Z610" s="1">
        <f t="shared" si="114"/>
        <v>0.16081848876697194</v>
      </c>
      <c r="AA610" s="8">
        <f t="shared" si="119"/>
        <v>49.833333333333655</v>
      </c>
      <c r="AB610" s="1">
        <v>49.92</v>
      </c>
      <c r="AC610" s="1">
        <v>7.5516346579999998E-3</v>
      </c>
      <c r="AD610" s="8">
        <f t="shared" si="115"/>
        <v>1.2621511324566528</v>
      </c>
      <c r="AE610" s="3">
        <f t="shared" si="116"/>
        <v>1.6713614861115715E-2</v>
      </c>
      <c r="AF610" s="11">
        <f t="shared" si="117"/>
        <v>49.833333333333655</v>
      </c>
      <c r="AG610" s="1">
        <f t="shared" si="118"/>
        <v>0.16081848876697194</v>
      </c>
    </row>
    <row r="611" spans="2:33" ht="15" x14ac:dyDescent="0.25">
      <c r="B611" s="1">
        <v>600</v>
      </c>
      <c r="C611" s="1">
        <v>1.0010554783216421</v>
      </c>
      <c r="D611" s="1">
        <v>1.2388832918408741</v>
      </c>
      <c r="E611" s="1">
        <v>0.80586386048626923</v>
      </c>
      <c r="G611" s="1">
        <v>1.0005870432758701</v>
      </c>
      <c r="H611" s="1">
        <v>5.7376976939023212</v>
      </c>
      <c r="I611" s="1">
        <v>0.13026304837211183</v>
      </c>
      <c r="K611" s="1">
        <v>0.99990565556138666</v>
      </c>
      <c r="L611" s="1">
        <v>1.6873483042501347</v>
      </c>
      <c r="M611" s="1">
        <v>0.58088916810469415</v>
      </c>
      <c r="O611" s="1">
        <v>7.4260912443683338E-3</v>
      </c>
      <c r="P611" s="1">
        <v>0.68983381224549201</v>
      </c>
      <c r="R611" s="1">
        <v>0.2257184191375165</v>
      </c>
      <c r="S611" s="2">
        <f t="shared" si="120"/>
        <v>1.137898429025533</v>
      </c>
      <c r="T611" s="4">
        <f t="shared" si="121"/>
        <v>1.294812834778776</v>
      </c>
      <c r="U611" s="1">
        <f t="shared" si="112"/>
        <v>1.1898636672325913</v>
      </c>
      <c r="V611" s="6">
        <f>2*sigma/alpha*corel*(B611/12-1/alpha*(1-EXP(-alpha*Output!B611/12)))</f>
        <v>3.5479227601144148</v>
      </c>
      <c r="W611" s="5">
        <f t="shared" si="122"/>
        <v>-0.10494916754618466</v>
      </c>
      <c r="X611" s="1">
        <f t="shared" si="123"/>
        <v>33.577589420974817</v>
      </c>
      <c r="Y611" s="3">
        <f t="shared" si="113"/>
        <v>2.2466945198252028E-2</v>
      </c>
      <c r="Z611" s="1">
        <f t="shared" si="114"/>
        <v>0.16092313909309475</v>
      </c>
      <c r="AA611" s="8">
        <f t="shared" si="119"/>
        <v>49.916666666666991</v>
      </c>
      <c r="AB611" s="1">
        <v>50</v>
      </c>
      <c r="AC611" s="1">
        <v>7.5514546260000001E-3</v>
      </c>
      <c r="AD611" s="8">
        <f t="shared" si="115"/>
        <v>1.2536338163166623</v>
      </c>
      <c r="AE611" s="3">
        <f t="shared" si="116"/>
        <v>1.6601222922009547E-2</v>
      </c>
      <c r="AF611" s="11">
        <f t="shared" si="117"/>
        <v>49.916666666666991</v>
      </c>
      <c r="AG611" s="1">
        <f t="shared" si="118"/>
        <v>0.16092313909309475</v>
      </c>
    </row>
    <row r="612" spans="2:33" ht="15" x14ac:dyDescent="0.25">
      <c r="B612" s="1">
        <v>601</v>
      </c>
      <c r="C612" s="1">
        <v>1.0010530073202608</v>
      </c>
      <c r="D612" s="1">
        <v>1.2362203516604711</v>
      </c>
      <c r="E612" s="1">
        <v>0.80759712858709665</v>
      </c>
      <c r="G612" s="1">
        <v>1.0002712187902216</v>
      </c>
      <c r="H612" s="1">
        <v>5.6250048881424641</v>
      </c>
      <c r="I612" s="1">
        <v>0.13280838434660802</v>
      </c>
      <c r="K612" s="1">
        <v>0.99989247061384423</v>
      </c>
      <c r="L612" s="1">
        <v>1.6827138516883366</v>
      </c>
      <c r="M612" s="1">
        <v>0.58248755901921523</v>
      </c>
      <c r="O612" s="1">
        <v>7.4268075882275107E-3</v>
      </c>
      <c r="P612" s="1">
        <v>0.68938231357035606</v>
      </c>
      <c r="R612" s="1">
        <v>0.22591222120882368</v>
      </c>
      <c r="S612" s="2">
        <f t="shared" si="120"/>
        <v>1.1396314420099787</v>
      </c>
      <c r="T612" s="4">
        <f t="shared" si="121"/>
        <v>1.2987598236177433</v>
      </c>
      <c r="U612" s="1">
        <f t="shared" si="112"/>
        <v>1.1937596816727885</v>
      </c>
      <c r="V612" s="6">
        <f>2*sigma/alpha*corel*(B612/12-1/alpha*(1-EXP(-alpha*Output!B612/12)))</f>
        <v>3.5569320312097963</v>
      </c>
      <c r="W612" s="5">
        <f t="shared" si="122"/>
        <v>-0.10500014194495488</v>
      </c>
      <c r="X612" s="1">
        <f t="shared" si="123"/>
        <v>33.686793910952204</v>
      </c>
      <c r="Y612" s="3">
        <f t="shared" si="113"/>
        <v>2.2433615887954655E-2</v>
      </c>
      <c r="Z612" s="1">
        <f t="shared" si="114"/>
        <v>0.16103408493701687</v>
      </c>
      <c r="AA612" s="8">
        <f t="shared" si="119"/>
        <v>50.000000000000327</v>
      </c>
      <c r="AB612" s="1">
        <v>50.08</v>
      </c>
      <c r="AC612" s="1">
        <v>7.5512751939999997E-3</v>
      </c>
      <c r="AD612" s="8">
        <f t="shared" si="115"/>
        <v>1.244676057724891</v>
      </c>
      <c r="AE612" s="3">
        <f t="shared" si="116"/>
        <v>1.6482991623903081E-2</v>
      </c>
      <c r="AF612" s="11">
        <f t="shared" si="117"/>
        <v>50.000000000000327</v>
      </c>
      <c r="AG612" s="1">
        <f t="shared" si="118"/>
        <v>0.16103408493701687</v>
      </c>
    </row>
    <row r="613" spans="2:33" ht="15" x14ac:dyDescent="0.25">
      <c r="B613" s="1">
        <v>602</v>
      </c>
      <c r="C613" s="1">
        <v>1.0010519429596638</v>
      </c>
      <c r="D613" s="1">
        <v>1.2336016628007558</v>
      </c>
      <c r="E613" s="1">
        <v>0.8093088442138705</v>
      </c>
      <c r="G613" s="1">
        <v>1.0000804118730287</v>
      </c>
      <c r="H613" s="1">
        <v>5.512839256981926</v>
      </c>
      <c r="I613" s="1">
        <v>0.13544487116182191</v>
      </c>
      <c r="K613" s="1">
        <v>0.99987356761943269</v>
      </c>
      <c r="L613" s="1">
        <v>1.687473830185225</v>
      </c>
      <c r="M613" s="1">
        <v>0.58084544750646572</v>
      </c>
      <c r="O613" s="1">
        <v>7.4275008248567125E-3</v>
      </c>
      <c r="P613" s="1">
        <v>0.68893182676884246</v>
      </c>
      <c r="R613" s="1">
        <v>0.22612788370281922</v>
      </c>
      <c r="S613" s="2">
        <f t="shared" si="120"/>
        <v>1.1414461238493432</v>
      </c>
      <c r="T613" s="4">
        <f t="shared" si="121"/>
        <v>1.30289925365069</v>
      </c>
      <c r="U613" s="1">
        <f t="shared" si="112"/>
        <v>1.1976597478849791</v>
      </c>
      <c r="V613" s="6">
        <f>2*sigma/alpha*corel*(B613/12-1/alpha*(1-EXP(-alpha*Output!B613/12)))</f>
        <v>3.5659459858135638</v>
      </c>
      <c r="W613" s="5">
        <f t="shared" si="122"/>
        <v>-0.10523950576571095</v>
      </c>
      <c r="X613" s="1">
        <f t="shared" si="123"/>
        <v>33.834031597392539</v>
      </c>
      <c r="Y613" s="3">
        <f t="shared" si="113"/>
        <v>2.2432792282658057E-2</v>
      </c>
      <c r="Z613" s="1">
        <f t="shared" si="114"/>
        <v>0.16115648821575163</v>
      </c>
      <c r="AA613" s="8">
        <f t="shared" si="119"/>
        <v>50.083333333333663</v>
      </c>
      <c r="AB613" s="1">
        <v>50.17</v>
      </c>
      <c r="AC613" s="1">
        <v>7.5510963599999996E-3</v>
      </c>
      <c r="AD613" s="8">
        <f t="shared" si="115"/>
        <v>1.2359553514328709</v>
      </c>
      <c r="AE613" s="3">
        <f t="shared" si="116"/>
        <v>1.6367892720585954E-2</v>
      </c>
      <c r="AF613" s="11">
        <f t="shared" si="117"/>
        <v>50.083333333333663</v>
      </c>
      <c r="AG613" s="1">
        <f t="shared" si="118"/>
        <v>0.16115648821575163</v>
      </c>
    </row>
    <row r="614" spans="2:33" ht="15" x14ac:dyDescent="0.25">
      <c r="B614" s="1">
        <v>603</v>
      </c>
      <c r="C614" s="1">
        <v>1.001053542069692</v>
      </c>
      <c r="D614" s="1">
        <v>1.2335968005216522</v>
      </c>
      <c r="E614" s="1">
        <v>0.80930937790529645</v>
      </c>
      <c r="G614" s="1">
        <v>1.0000964316591441</v>
      </c>
      <c r="H614" s="1">
        <v>5.5126925328888721</v>
      </c>
      <c r="I614" s="1">
        <v>0.13538283906205431</v>
      </c>
      <c r="K614" s="1">
        <v>0.99987793285437854</v>
      </c>
      <c r="L614" s="1">
        <v>1.6887898209785492</v>
      </c>
      <c r="M614" s="1">
        <v>0.58036296841917479</v>
      </c>
      <c r="O614" s="1">
        <v>7.4281200517939405E-3</v>
      </c>
      <c r="P614" s="1">
        <v>0.68848411525636888</v>
      </c>
      <c r="R614" s="1">
        <v>0.22634709531268171</v>
      </c>
      <c r="S614" s="2">
        <f t="shared" si="120"/>
        <v>1.1432700318490874</v>
      </c>
      <c r="T614" s="4">
        <f t="shared" si="121"/>
        <v>1.3070663657242132</v>
      </c>
      <c r="U614" s="1">
        <f t="shared" si="112"/>
        <v>1.2015638544810288</v>
      </c>
      <c r="V614" s="6">
        <f>2*sigma/alpha*corel*(B614/12-1/alpha*(1-EXP(-alpha*Output!B614/12)))</f>
        <v>3.5749646083400153</v>
      </c>
      <c r="W614" s="5">
        <f t="shared" si="122"/>
        <v>-0.10550251124318444</v>
      </c>
      <c r="X614" s="1">
        <f t="shared" si="123"/>
        <v>33.98637671076375</v>
      </c>
      <c r="Y614" s="3">
        <f t="shared" si="113"/>
        <v>2.2436009771627331E-2</v>
      </c>
      <c r="Z614" s="1">
        <f t="shared" si="114"/>
        <v>0.16128010094145476</v>
      </c>
      <c r="AA614" s="8">
        <f t="shared" si="119"/>
        <v>50.166666666666998</v>
      </c>
      <c r="AB614" s="1">
        <v>50.25</v>
      </c>
      <c r="AC614" s="1">
        <v>7.5509181190000002E-3</v>
      </c>
      <c r="AD614" s="8">
        <f t="shared" si="115"/>
        <v>1.2279806720605964</v>
      </c>
      <c r="AE614" s="3">
        <f t="shared" si="116"/>
        <v>1.6262667038736515E-2</v>
      </c>
      <c r="AF614" s="11">
        <f t="shared" si="117"/>
        <v>50.166666666666998</v>
      </c>
      <c r="AG614" s="1">
        <f t="shared" si="118"/>
        <v>0.16128010094145476</v>
      </c>
    </row>
    <row r="615" spans="2:33" ht="15" x14ac:dyDescent="0.25">
      <c r="B615" s="1">
        <v>604</v>
      </c>
      <c r="C615" s="1">
        <v>1.0010556972176827</v>
      </c>
      <c r="D615" s="1">
        <v>1.2396057456083198</v>
      </c>
      <c r="E615" s="1">
        <v>0.80538363135762969</v>
      </c>
      <c r="G615" s="1">
        <v>1.0000880562929186</v>
      </c>
      <c r="H615" s="1">
        <v>5.7601099944608061</v>
      </c>
      <c r="I615" s="1">
        <v>0.12950487083856482</v>
      </c>
      <c r="K615" s="1">
        <v>0.99986936071506216</v>
      </c>
      <c r="L615" s="1">
        <v>1.6772042459541046</v>
      </c>
      <c r="M615" s="1">
        <v>0.5843457704318693</v>
      </c>
      <c r="O615" s="1">
        <v>7.4288536779671122E-3</v>
      </c>
      <c r="P615" s="1">
        <v>0.6880326619179542</v>
      </c>
      <c r="R615" s="1">
        <v>0.22657158686190071</v>
      </c>
      <c r="S615" s="2">
        <f t="shared" si="120"/>
        <v>1.1451242935156054</v>
      </c>
      <c r="T615" s="4">
        <f t="shared" si="121"/>
        <v>1.3113096475996144</v>
      </c>
      <c r="U615" s="1">
        <f t="shared" si="112"/>
        <v>1.2054719900967763</v>
      </c>
      <c r="V615" s="6">
        <f>2*sigma/alpha*corel*(B615/12-1/alpha*(1-EXP(-alpha*Output!B615/12)))</f>
        <v>3.583987883255312</v>
      </c>
      <c r="W615" s="5">
        <f t="shared" si="122"/>
        <v>-0.10583765750283813</v>
      </c>
      <c r="X615" s="1">
        <f t="shared" si="123"/>
        <v>34.153617524558967</v>
      </c>
      <c r="Y615" s="3">
        <f t="shared" si="113"/>
        <v>2.2451540664095281E-2</v>
      </c>
      <c r="Z615" s="1">
        <f t="shared" si="114"/>
        <v>0.1614078980563195</v>
      </c>
      <c r="AA615" s="8">
        <f t="shared" si="119"/>
        <v>50.250000000000334</v>
      </c>
      <c r="AB615" s="1">
        <v>50.33</v>
      </c>
      <c r="AC615" s="1">
        <v>7.5507404689999997E-3</v>
      </c>
      <c r="AD615" s="8">
        <f t="shared" si="115"/>
        <v>1.2188679103288751</v>
      </c>
      <c r="AE615" s="3">
        <f t="shared" si="116"/>
        <v>1.6142362664072585E-2</v>
      </c>
      <c r="AF615" s="11">
        <f t="shared" si="117"/>
        <v>50.250000000000334</v>
      </c>
      <c r="AG615" s="1">
        <f t="shared" si="118"/>
        <v>0.1614078980563195</v>
      </c>
    </row>
    <row r="616" spans="2:33" ht="15" x14ac:dyDescent="0.25">
      <c r="B616" s="1">
        <v>605</v>
      </c>
      <c r="C616" s="1">
        <v>1.0010609792774383</v>
      </c>
      <c r="D616" s="1">
        <v>1.2415875579046849</v>
      </c>
      <c r="E616" s="1">
        <v>0.80409543634907121</v>
      </c>
      <c r="G616" s="1">
        <v>1.0003877138090804</v>
      </c>
      <c r="H616" s="1">
        <v>5.8428006835869546</v>
      </c>
      <c r="I616" s="1">
        <v>0.12761017327259563</v>
      </c>
      <c r="K616" s="1">
        <v>0.99987327773857093</v>
      </c>
      <c r="L616" s="1">
        <v>1.6804302951610552</v>
      </c>
      <c r="M616" s="1">
        <v>0.583198180747452</v>
      </c>
      <c r="O616" s="1">
        <v>7.4296566123848483E-3</v>
      </c>
      <c r="P616" s="1">
        <v>0.68757901793043974</v>
      </c>
      <c r="R616" s="1">
        <v>0.22677540605385985</v>
      </c>
      <c r="S616" s="2">
        <f t="shared" si="120"/>
        <v>1.1469079803216331</v>
      </c>
      <c r="T616" s="4">
        <f t="shared" si="121"/>
        <v>1.3153979153254476</v>
      </c>
      <c r="U616" s="1">
        <f t="shared" si="112"/>
        <v>1.2093841433920489</v>
      </c>
      <c r="V616" s="6">
        <f>2*sigma/alpha*corel*(B616/12-1/alpha*(1-EXP(-alpha*Output!B616/12)))</f>
        <v>3.5930157950773074</v>
      </c>
      <c r="W616" s="5">
        <f t="shared" si="122"/>
        <v>-0.10601377193339867</v>
      </c>
      <c r="X616" s="1">
        <f t="shared" si="123"/>
        <v>34.289206510243744</v>
      </c>
      <c r="Y616" s="3">
        <f t="shared" si="113"/>
        <v>2.2439829822752489E-2</v>
      </c>
      <c r="Z616" s="1">
        <f t="shared" si="114"/>
        <v>0.16152565481520251</v>
      </c>
      <c r="AA616" s="8">
        <f t="shared" si="119"/>
        <v>50.33333333333367</v>
      </c>
      <c r="AB616" s="1">
        <v>50.42</v>
      </c>
      <c r="AC616" s="1">
        <v>7.5505634079999998E-3</v>
      </c>
      <c r="AD616" s="8">
        <f t="shared" si="115"/>
        <v>1.209067956151515</v>
      </c>
      <c r="AE616" s="3">
        <f t="shared" si="116"/>
        <v>1.601295017098299E-2</v>
      </c>
      <c r="AF616" s="11">
        <f t="shared" si="117"/>
        <v>50.33333333333367</v>
      </c>
      <c r="AG616" s="1">
        <f t="shared" si="118"/>
        <v>0.16152565481520251</v>
      </c>
    </row>
    <row r="617" spans="2:33" ht="15" x14ac:dyDescent="0.25">
      <c r="B617" s="1">
        <v>606</v>
      </c>
      <c r="C617" s="1">
        <v>1.0010633716849715</v>
      </c>
      <c r="D617" s="1">
        <v>1.2474358978519429</v>
      </c>
      <c r="E617" s="1">
        <v>0.80032296460468355</v>
      </c>
      <c r="G617" s="1">
        <v>1.0004721806489916</v>
      </c>
      <c r="H617" s="1">
        <v>6.0917800475136747</v>
      </c>
      <c r="I617" s="1">
        <v>0.12233525838282745</v>
      </c>
      <c r="K617" s="1">
        <v>0.99987570591601194</v>
      </c>
      <c r="L617" s="1">
        <v>1.6842616254212432</v>
      </c>
      <c r="M617" s="1">
        <v>0.58185958971793383</v>
      </c>
      <c r="O617" s="1">
        <v>7.4305178273198266E-3</v>
      </c>
      <c r="P617" s="1">
        <v>0.68712355877170805</v>
      </c>
      <c r="R617" s="1">
        <v>0.22698005074437294</v>
      </c>
      <c r="S617" s="2">
        <f t="shared" si="120"/>
        <v>1.1487009398524413</v>
      </c>
      <c r="T617" s="4">
        <f t="shared" si="121"/>
        <v>1.319513849217882</v>
      </c>
      <c r="U617" s="1">
        <f t="shared" si="112"/>
        <v>1.2133003030506742</v>
      </c>
      <c r="V617" s="6">
        <f>2*sigma/alpha*corel*(B617/12-1/alpha*(1-EXP(-alpha*Output!B617/12)))</f>
        <v>3.6020483283753801</v>
      </c>
      <c r="W617" s="5">
        <f t="shared" si="122"/>
        <v>-0.1062135461672078</v>
      </c>
      <c r="X617" s="1">
        <f t="shared" si="123"/>
        <v>34.429888485727844</v>
      </c>
      <c r="Y617" s="3">
        <f t="shared" si="113"/>
        <v>2.2432182278405349E-2</v>
      </c>
      <c r="Z617" s="1">
        <f t="shared" si="114"/>
        <v>0.16164463218191127</v>
      </c>
      <c r="AA617" s="8">
        <f t="shared" si="119"/>
        <v>50.416666666667005</v>
      </c>
      <c r="AB617" s="1">
        <v>50.5</v>
      </c>
      <c r="AC617" s="1">
        <v>7.5503869330000003E-3</v>
      </c>
      <c r="AD617" s="8">
        <f t="shared" si="115"/>
        <v>1.1986910568017368</v>
      </c>
      <c r="AE617" s="3">
        <f t="shared" si="116"/>
        <v>1.5875889109241453E-2</v>
      </c>
      <c r="AF617" s="11">
        <f t="shared" si="117"/>
        <v>50.416666666667005</v>
      </c>
      <c r="AG617" s="1">
        <f t="shared" si="118"/>
        <v>0.16164463218191127</v>
      </c>
    </row>
    <row r="618" spans="2:33" ht="15" x14ac:dyDescent="0.25">
      <c r="B618" s="1">
        <v>607</v>
      </c>
      <c r="C618" s="1">
        <v>1.0010651289506984</v>
      </c>
      <c r="D618" s="1">
        <v>1.2461022388866088</v>
      </c>
      <c r="E618" s="1">
        <v>0.8011768750198428</v>
      </c>
      <c r="G618" s="1">
        <v>1.0004633093270856</v>
      </c>
      <c r="H618" s="1">
        <v>6.0307038768877756</v>
      </c>
      <c r="I618" s="1">
        <v>0.12351432798436376</v>
      </c>
      <c r="K618" s="1">
        <v>0.99986609964167472</v>
      </c>
      <c r="L618" s="1">
        <v>1.6835562541976536</v>
      </c>
      <c r="M618" s="1">
        <v>0.58207057500991033</v>
      </c>
      <c r="O618" s="1">
        <v>7.4313653519767747E-3</v>
      </c>
      <c r="P618" s="1">
        <v>0.68666877827002581</v>
      </c>
      <c r="R618" s="1">
        <v>0.22718102931706693</v>
      </c>
      <c r="S618" s="2">
        <f t="shared" si="120"/>
        <v>1.150480676822071</v>
      </c>
      <c r="T618" s="4">
        <f t="shared" si="121"/>
        <v>1.3236057877409706</v>
      </c>
      <c r="U618" s="1">
        <f t="shared" si="112"/>
        <v>1.2172204577804919</v>
      </c>
      <c r="V618" s="6">
        <f>2*sigma/alpha*corel*(B618/12-1/alpha*(1-EXP(-alpha*Output!B618/12)))</f>
        <v>3.6110854677702555</v>
      </c>
      <c r="W618" s="5">
        <f t="shared" si="122"/>
        <v>-0.10638532996047867</v>
      </c>
      <c r="X618" s="1">
        <f t="shared" si="123"/>
        <v>34.565236684211712</v>
      </c>
      <c r="Y618" s="3">
        <f t="shared" si="113"/>
        <v>2.2419788669611751E-2</v>
      </c>
      <c r="Z618" s="1">
        <f t="shared" si="114"/>
        <v>0.16176166418984736</v>
      </c>
      <c r="AA618" s="8">
        <f t="shared" si="119"/>
        <v>50.500000000000341</v>
      </c>
      <c r="AB618" s="1">
        <v>50.58</v>
      </c>
      <c r="AC618" s="1">
        <v>7.5502110389999997E-3</v>
      </c>
      <c r="AD618" s="8">
        <f t="shared" si="115"/>
        <v>1.18845687023225</v>
      </c>
      <c r="AE618" s="3">
        <f t="shared" si="116"/>
        <v>1.5740710611840819E-2</v>
      </c>
      <c r="AF618" s="11">
        <f t="shared" si="117"/>
        <v>50.500000000000341</v>
      </c>
      <c r="AG618" s="1">
        <f t="shared" si="118"/>
        <v>0.16176166418984736</v>
      </c>
    </row>
    <row r="619" spans="2:33" ht="15" x14ac:dyDescent="0.25">
      <c r="B619" s="1">
        <v>608</v>
      </c>
      <c r="C619" s="1">
        <v>1.0010626230067088</v>
      </c>
      <c r="D619" s="1">
        <v>1.2496397121203058</v>
      </c>
      <c r="E619" s="1">
        <v>0.798906263982743</v>
      </c>
      <c r="G619" s="1">
        <v>1.000163256862828</v>
      </c>
      <c r="H619" s="1">
        <v>6.1852234633897156</v>
      </c>
      <c r="I619" s="1">
        <v>0.12037032500113162</v>
      </c>
      <c r="K619" s="1">
        <v>0.99985903265558895</v>
      </c>
      <c r="L619" s="1">
        <v>1.689310169232181</v>
      </c>
      <c r="M619" s="1">
        <v>0.5800941067154578</v>
      </c>
      <c r="O619" s="1">
        <v>7.4321978803906117E-3</v>
      </c>
      <c r="P619" s="1">
        <v>0.68621472323175259</v>
      </c>
      <c r="R619" s="1">
        <v>0.22734046354756948</v>
      </c>
      <c r="S619" s="2">
        <f t="shared" si="120"/>
        <v>1.1521043205101125</v>
      </c>
      <c r="T619" s="4">
        <f t="shared" si="121"/>
        <v>1.3273443653380679</v>
      </c>
      <c r="U619" s="1">
        <f t="shared" si="112"/>
        <v>1.2211445963133611</v>
      </c>
      <c r="V619" s="6">
        <f>2*sigma/alpha*corel*(B619/12-1/alpha*(1-EXP(-alpha*Output!B619/12)))</f>
        <v>3.6201271979338374</v>
      </c>
      <c r="W619" s="5">
        <f t="shared" si="122"/>
        <v>-0.10619976902470674</v>
      </c>
      <c r="X619" s="1">
        <f t="shared" si="123"/>
        <v>34.62847411822753</v>
      </c>
      <c r="Y619" s="3">
        <f t="shared" si="113"/>
        <v>2.2346734982678272E-2</v>
      </c>
      <c r="Z619" s="1">
        <f t="shared" si="114"/>
        <v>0.16185668400776096</v>
      </c>
      <c r="AA619" s="8">
        <f t="shared" si="119"/>
        <v>50.583333333333677</v>
      </c>
      <c r="AB619" s="1">
        <v>50.67</v>
      </c>
      <c r="AC619" s="1">
        <v>7.5500357259999998E-3</v>
      </c>
      <c r="AD619" s="8">
        <f t="shared" si="115"/>
        <v>1.1783784560938804</v>
      </c>
      <c r="AE619" s="3">
        <f t="shared" si="116"/>
        <v>1.5607587816252414E-2</v>
      </c>
      <c r="AF619" s="11">
        <f t="shared" si="117"/>
        <v>50.583333333333677</v>
      </c>
      <c r="AG619" s="1">
        <f t="shared" si="118"/>
        <v>0.16185668400776096</v>
      </c>
    </row>
    <row r="620" spans="2:33" ht="15" x14ac:dyDescent="0.25">
      <c r="B620" s="1">
        <v>609</v>
      </c>
      <c r="C620" s="1">
        <v>1.0010631353338941</v>
      </c>
      <c r="D620" s="1">
        <v>1.2518789920474909</v>
      </c>
      <c r="E620" s="1">
        <v>0.79747458894559153</v>
      </c>
      <c r="G620" s="1">
        <v>1.0000263665466642</v>
      </c>
      <c r="H620" s="1">
        <v>6.2812977245488666</v>
      </c>
      <c r="I620" s="1">
        <v>0.11847178476627465</v>
      </c>
      <c r="K620" s="1">
        <v>0.99985236488047424</v>
      </c>
      <c r="L620" s="1">
        <v>1.6845924912615702</v>
      </c>
      <c r="M620" s="1">
        <v>0.58168313319392195</v>
      </c>
      <c r="O620" s="1">
        <v>7.433135809985102E-3</v>
      </c>
      <c r="P620" s="1">
        <v>0.68575720508121807</v>
      </c>
      <c r="R620" s="1">
        <v>0.22754337371281091</v>
      </c>
      <c r="S620" s="2">
        <f t="shared" si="120"/>
        <v>1.1539015628826463</v>
      </c>
      <c r="T620" s="4">
        <f t="shared" si="121"/>
        <v>1.3314888168230139</v>
      </c>
      <c r="U620" s="1">
        <f t="shared" si="112"/>
        <v>1.2250727074051766</v>
      </c>
      <c r="V620" s="6">
        <f>2*sigma/alpha*corel*(B620/12-1/alpha*(1-EXP(-alpha*Output!B620/12)))</f>
        <v>3.6291735035890409</v>
      </c>
      <c r="W620" s="5">
        <f t="shared" si="122"/>
        <v>-0.1064161094178373</v>
      </c>
      <c r="X620" s="1">
        <f t="shared" si="123"/>
        <v>34.773370530973722</v>
      </c>
      <c r="Y620" s="3">
        <f t="shared" si="113"/>
        <v>2.2342083616548457E-2</v>
      </c>
      <c r="Z620" s="1">
        <f t="shared" si="114"/>
        <v>0.16197602552169019</v>
      </c>
      <c r="AA620" s="8">
        <f t="shared" si="119"/>
        <v>50.666666666667012</v>
      </c>
      <c r="AB620" s="1">
        <v>50.75</v>
      </c>
      <c r="AC620" s="1">
        <v>7.5498609890000002E-3</v>
      </c>
      <c r="AD620" s="8">
        <f t="shared" si="115"/>
        <v>1.1672517901489821</v>
      </c>
      <c r="AE620" s="3">
        <f t="shared" si="116"/>
        <v>1.5460573272138985E-2</v>
      </c>
      <c r="AF620" s="11">
        <f t="shared" si="117"/>
        <v>50.666666666667012</v>
      </c>
      <c r="AG620" s="1">
        <f t="shared" si="118"/>
        <v>0.16197602552169019</v>
      </c>
    </row>
    <row r="621" spans="2:33" ht="15" x14ac:dyDescent="0.25">
      <c r="B621" s="1">
        <v>610</v>
      </c>
      <c r="C621" s="1">
        <v>1.0010656379852565</v>
      </c>
      <c r="D621" s="1">
        <v>1.2518173846491396</v>
      </c>
      <c r="E621" s="1">
        <v>0.79751118869299786</v>
      </c>
      <c r="G621" s="1">
        <v>1.0001093707302375</v>
      </c>
      <c r="H621" s="1">
        <v>6.2800044443066776</v>
      </c>
      <c r="I621" s="1">
        <v>0.1184387565351455</v>
      </c>
      <c r="K621" s="1">
        <v>0.99984787368242256</v>
      </c>
      <c r="L621" s="1">
        <v>1.6774391363805674</v>
      </c>
      <c r="M621" s="1">
        <v>0.58412239743989602</v>
      </c>
      <c r="O621" s="1">
        <v>7.4341534122710513E-3</v>
      </c>
      <c r="P621" s="1">
        <v>0.68529710936495081</v>
      </c>
      <c r="R621" s="1">
        <v>0.22774130651617142</v>
      </c>
      <c r="S621" s="2">
        <f t="shared" si="120"/>
        <v>1.1556879729978531</v>
      </c>
      <c r="T621" s="4">
        <f t="shared" si="121"/>
        <v>1.3356146909318865</v>
      </c>
      <c r="U621" s="1">
        <f t="shared" si="112"/>
        <v>1.2290047798358721</v>
      </c>
      <c r="V621" s="6">
        <f>2*sigma/alpha*corel*(B621/12-1/alpha*(1-EXP(-alpha*Output!B621/12)))</f>
        <v>3.6382243695096177</v>
      </c>
      <c r="W621" s="5">
        <f t="shared" si="122"/>
        <v>-0.10660991109601436</v>
      </c>
      <c r="X621" s="1">
        <f t="shared" si="123"/>
        <v>34.914025152416578</v>
      </c>
      <c r="Y621" s="3">
        <f t="shared" si="113"/>
        <v>2.2333620443209443E-2</v>
      </c>
      <c r="Z621" s="1">
        <f t="shared" si="114"/>
        <v>0.16209376102304027</v>
      </c>
      <c r="AA621" s="8">
        <f t="shared" si="119"/>
        <v>50.750000000000348</v>
      </c>
      <c r="AB621" s="1">
        <v>50.83</v>
      </c>
      <c r="AC621" s="1">
        <v>7.5496868260000001E-3</v>
      </c>
      <c r="AD621" s="8">
        <f t="shared" si="115"/>
        <v>1.1553341372894881</v>
      </c>
      <c r="AE621" s="3">
        <f t="shared" si="116"/>
        <v>1.5303073675992609E-2</v>
      </c>
      <c r="AF621" s="11">
        <f t="shared" si="117"/>
        <v>50.750000000000348</v>
      </c>
      <c r="AG621" s="1">
        <f t="shared" si="118"/>
        <v>0.16209376102304027</v>
      </c>
    </row>
    <row r="622" spans="2:33" ht="15" x14ac:dyDescent="0.25">
      <c r="B622" s="1">
        <v>611</v>
      </c>
      <c r="C622" s="1">
        <v>1.0010688339419802</v>
      </c>
      <c r="D622" s="1">
        <v>1.2495937656113127</v>
      </c>
      <c r="E622" s="1">
        <v>0.79892768174921569</v>
      </c>
      <c r="G622" s="1">
        <v>1.0002481596347652</v>
      </c>
      <c r="H622" s="1">
        <v>6.1767215028992437</v>
      </c>
      <c r="I622" s="1">
        <v>0.12036085054465631</v>
      </c>
      <c r="K622" s="1">
        <v>0.99984650602903491</v>
      </c>
      <c r="L622" s="1">
        <v>1.6808920497652848</v>
      </c>
      <c r="M622" s="1">
        <v>0.58292871967432691</v>
      </c>
      <c r="O622" s="1">
        <v>7.4352780039196389E-3</v>
      </c>
      <c r="P622" s="1">
        <v>0.68483347552338059</v>
      </c>
      <c r="R622" s="1">
        <v>0.22792460167082615</v>
      </c>
      <c r="S622" s="2">
        <f t="shared" si="120"/>
        <v>1.1574292108652615</v>
      </c>
      <c r="T622" s="4">
        <f t="shared" si="121"/>
        <v>1.339642378164182</v>
      </c>
      <c r="U622" s="1">
        <f t="shared" si="112"/>
        <v>1.2329408024094333</v>
      </c>
      <c r="V622" s="6">
        <f>2*sigma/alpha*corel*(B622/12-1/alpha*(1-EXP(-alpha*Output!B622/12)))</f>
        <v>3.6472797805199897</v>
      </c>
      <c r="W622" s="5">
        <f t="shared" si="122"/>
        <v>-0.1067015757547487</v>
      </c>
      <c r="X622" s="1">
        <f t="shared" si="123"/>
        <v>35.034204059440427</v>
      </c>
      <c r="Y622" s="3">
        <f t="shared" si="113"/>
        <v>2.230792210117738E-2</v>
      </c>
      <c r="Z622" s="1">
        <f t="shared" si="114"/>
        <v>0.16220508193492536</v>
      </c>
      <c r="AA622" s="8">
        <f t="shared" si="119"/>
        <v>50.833333333333684</v>
      </c>
      <c r="AB622" s="1">
        <v>50.92</v>
      </c>
      <c r="AC622" s="1">
        <v>7.5495132330000003E-3</v>
      </c>
      <c r="AD622" s="8">
        <f t="shared" si="115"/>
        <v>1.142352290803613</v>
      </c>
      <c r="AE622" s="3">
        <f t="shared" si="116"/>
        <v>1.5131469480843188E-2</v>
      </c>
      <c r="AF622" s="11">
        <f t="shared" si="117"/>
        <v>50.833333333333684</v>
      </c>
      <c r="AG622" s="1">
        <f t="shared" si="118"/>
        <v>0.16220508193492536</v>
      </c>
    </row>
    <row r="623" spans="2:33" ht="15" x14ac:dyDescent="0.25">
      <c r="B623" s="1">
        <v>612</v>
      </c>
      <c r="C623" s="1">
        <v>1.0010727767520884</v>
      </c>
      <c r="D623" s="1">
        <v>1.2494753611887799</v>
      </c>
      <c r="E623" s="1">
        <v>0.79900072951388679</v>
      </c>
      <c r="G623" s="1">
        <v>1.0004433462756608</v>
      </c>
      <c r="H623" s="1">
        <v>6.1695222558154361</v>
      </c>
      <c r="I623" s="1">
        <v>0.12044290152090346</v>
      </c>
      <c r="K623" s="1">
        <v>0.99985425524487981</v>
      </c>
      <c r="L623" s="1">
        <v>1.6782746065721397</v>
      </c>
      <c r="M623" s="1">
        <v>0.58382026628814598</v>
      </c>
      <c r="O623" s="1">
        <v>7.4364146038612515E-3</v>
      </c>
      <c r="P623" s="1">
        <v>0.68436960795404189</v>
      </c>
      <c r="R623" s="1">
        <v>0.22814036747240268</v>
      </c>
      <c r="S623" s="2">
        <f t="shared" si="120"/>
        <v>1.1592958073569248</v>
      </c>
      <c r="T623" s="4">
        <f t="shared" si="121"/>
        <v>1.3439667689553443</v>
      </c>
      <c r="U623" s="1">
        <f t="shared" si="112"/>
        <v>1.2368807639539052</v>
      </c>
      <c r="V623" s="6">
        <f>2*sigma/alpha*corel*(B623/12-1/alpha*(1-EXP(-alpha*Output!B623/12)))</f>
        <v>3.656339721495081</v>
      </c>
      <c r="W623" s="5">
        <f t="shared" si="122"/>
        <v>-0.10708600500143906</v>
      </c>
      <c r="X623" s="1">
        <f t="shared" si="123"/>
        <v>35.214365179276292</v>
      </c>
      <c r="Y623" s="3">
        <f t="shared" si="113"/>
        <v>2.233166245028077E-2</v>
      </c>
      <c r="Z623" s="1">
        <f t="shared" si="114"/>
        <v>0.16233388305390742</v>
      </c>
      <c r="AA623" s="8">
        <f t="shared" si="119"/>
        <v>50.91666666666702</v>
      </c>
      <c r="AB623" s="1">
        <v>51</v>
      </c>
      <c r="AC623" s="1">
        <v>7.5493402099999999E-3</v>
      </c>
      <c r="AD623" s="8">
        <f t="shared" si="115"/>
        <v>1.129256061387484</v>
      </c>
      <c r="AE623" s="3">
        <f t="shared" si="116"/>
        <v>1.495834112617749E-2</v>
      </c>
      <c r="AF623" s="11">
        <f t="shared" si="117"/>
        <v>50.91666666666702</v>
      </c>
      <c r="AG623" s="1">
        <f t="shared" si="118"/>
        <v>0.16233388305390742</v>
      </c>
    </row>
    <row r="624" spans="2:33" ht="15" x14ac:dyDescent="0.25">
      <c r="B624" s="1">
        <v>613</v>
      </c>
      <c r="C624" s="1">
        <v>1.0010748651148678</v>
      </c>
      <c r="D624" s="1">
        <v>1.2451113834892409</v>
      </c>
      <c r="E624" s="1">
        <v>0.80179846305242397</v>
      </c>
      <c r="G624" s="1">
        <v>1.0004525611966795</v>
      </c>
      <c r="H624" s="1">
        <v>5.9747467108839434</v>
      </c>
      <c r="I624" s="1">
        <v>0.12430904200445098</v>
      </c>
      <c r="K624" s="1">
        <v>0.99986987511159198</v>
      </c>
      <c r="L624" s="1">
        <v>1.6881361706835289</v>
      </c>
      <c r="M624" s="1">
        <v>0.58039994082907886</v>
      </c>
      <c r="O624" s="1">
        <v>7.4375951717315378E-3</v>
      </c>
      <c r="P624" s="1">
        <v>0.68390438895747052</v>
      </c>
      <c r="R624" s="1">
        <v>0.2283447083729942</v>
      </c>
      <c r="S624" s="2">
        <f t="shared" si="120"/>
        <v>1.1611245057993702</v>
      </c>
      <c r="T624" s="4">
        <f t="shared" si="121"/>
        <v>1.3482101179678316</v>
      </c>
      <c r="U624" s="1">
        <f t="shared" si="112"/>
        <v>1.2408246533213974</v>
      </c>
      <c r="V624" s="6">
        <f>2*sigma/alpha*corel*(B624/12-1/alpha*(1-EXP(-alpha*Output!B624/12)))</f>
        <v>3.6654041773601471</v>
      </c>
      <c r="W624" s="5">
        <f t="shared" si="122"/>
        <v>-0.10738546464643428</v>
      </c>
      <c r="X624" s="1">
        <f t="shared" si="123"/>
        <v>35.377617726163955</v>
      </c>
      <c r="Y624" s="3">
        <f t="shared" si="113"/>
        <v>2.234099028772683E-2</v>
      </c>
      <c r="Z624" s="1">
        <f t="shared" si="114"/>
        <v>0.16245727969318052</v>
      </c>
      <c r="AA624" s="8">
        <f t="shared" si="119"/>
        <v>51.000000000000355</v>
      </c>
      <c r="AB624" s="1">
        <v>51.08</v>
      </c>
      <c r="AC624" s="1">
        <v>7.5491677509999999E-3</v>
      </c>
      <c r="AD624" s="8">
        <f t="shared" si="115"/>
        <v>1.1157257926846207</v>
      </c>
      <c r="AE624" s="3">
        <f t="shared" si="116"/>
        <v>1.4779454232379802E-2</v>
      </c>
      <c r="AF624" s="11">
        <f t="shared" si="117"/>
        <v>51.000000000000355</v>
      </c>
      <c r="AG624" s="1">
        <f t="shared" si="118"/>
        <v>0.16245727969318052</v>
      </c>
    </row>
    <row r="625" spans="2:33" ht="15" x14ac:dyDescent="0.25">
      <c r="B625" s="1">
        <v>614</v>
      </c>
      <c r="C625" s="1">
        <v>1.0010796676268208</v>
      </c>
      <c r="D625" s="1">
        <v>1.2493353206437154</v>
      </c>
      <c r="E625" s="1">
        <v>0.79908495459402573</v>
      </c>
      <c r="G625" s="1">
        <v>1.0007226086320542</v>
      </c>
      <c r="H625" s="1">
        <v>6.1612251680502288</v>
      </c>
      <c r="I625" s="1">
        <v>0.12048822596413188</v>
      </c>
      <c r="K625" s="1">
        <v>0.9998742542351855</v>
      </c>
      <c r="L625" s="1">
        <v>1.679459210631332</v>
      </c>
      <c r="M625" s="1">
        <v>0.58338127637051462</v>
      </c>
      <c r="O625" s="1">
        <v>7.4388493637348625E-3</v>
      </c>
      <c r="P625" s="1">
        <v>0.68343677715128537</v>
      </c>
      <c r="R625" s="1">
        <v>0.2285304720328569</v>
      </c>
      <c r="S625" s="2">
        <f t="shared" si="120"/>
        <v>1.1628904844234198</v>
      </c>
      <c r="T625" s="4">
        <f t="shared" si="121"/>
        <v>1.352314278762536</v>
      </c>
      <c r="U625" s="1">
        <f t="shared" si="112"/>
        <v>1.2447724593880944</v>
      </c>
      <c r="V625" s="6">
        <f>2*sigma/alpha*corel*(B625/12-1/alpha*(1-EXP(-alpha*Output!B625/12)))</f>
        <v>3.6744731330906086</v>
      </c>
      <c r="W625" s="5">
        <f t="shared" si="122"/>
        <v>-0.10754181937444152</v>
      </c>
      <c r="X625" s="1">
        <f t="shared" si="123"/>
        <v>35.511978504440407</v>
      </c>
      <c r="Y625" s="3">
        <f t="shared" si="113"/>
        <v>2.2326250551765906E-2</v>
      </c>
      <c r="Z625" s="1">
        <f t="shared" si="114"/>
        <v>0.16257181497625894</v>
      </c>
      <c r="AA625" s="8">
        <f t="shared" si="119"/>
        <v>51.083333333333691</v>
      </c>
      <c r="AB625" s="1">
        <v>51.17</v>
      </c>
      <c r="AC625" s="1">
        <v>7.5489958560000002E-3</v>
      </c>
      <c r="AD625" s="8">
        <f t="shared" si="115"/>
        <v>1.1014649226513771</v>
      </c>
      <c r="AE625" s="3">
        <f t="shared" si="116"/>
        <v>1.4590879948303643E-2</v>
      </c>
      <c r="AF625" s="11">
        <f t="shared" si="117"/>
        <v>51.083333333333691</v>
      </c>
      <c r="AG625" s="1">
        <f t="shared" si="118"/>
        <v>0.16257181497625894</v>
      </c>
    </row>
    <row r="626" spans="2:33" ht="15" x14ac:dyDescent="0.25">
      <c r="B626" s="1">
        <v>615</v>
      </c>
      <c r="C626" s="1">
        <v>1.0010859219334571</v>
      </c>
      <c r="D626" s="1">
        <v>1.2474543294197622</v>
      </c>
      <c r="E626" s="1">
        <v>0.80028718705491619</v>
      </c>
      <c r="G626" s="1">
        <v>1.0011171335241269</v>
      </c>
      <c r="H626" s="1">
        <v>6.0757483326534976</v>
      </c>
      <c r="I626" s="1">
        <v>0.12212410235146004</v>
      </c>
      <c r="K626" s="1">
        <v>0.99988588946409029</v>
      </c>
      <c r="L626" s="1">
        <v>1.6735176546540622</v>
      </c>
      <c r="M626" s="1">
        <v>0.58539810137279791</v>
      </c>
      <c r="O626" s="1">
        <v>7.440139246052955E-3</v>
      </c>
      <c r="P626" s="1">
        <v>0.6829680930692269</v>
      </c>
      <c r="R626" s="1">
        <v>0.22873787441515378</v>
      </c>
      <c r="S626" s="2">
        <f t="shared" si="120"/>
        <v>1.1647430542199866</v>
      </c>
      <c r="T626" s="4">
        <f t="shared" si="121"/>
        <v>1.3566263823537026</v>
      </c>
      <c r="U626" s="1">
        <f t="shared" si="112"/>
        <v>1.248724171054262</v>
      </c>
      <c r="V626" s="6">
        <f>2*sigma/alpha*corel*(B626/12-1/alpha*(1-EXP(-alpha*Output!B626/12)))</f>
        <v>3.683546573711888</v>
      </c>
      <c r="W626" s="5">
        <f t="shared" si="122"/>
        <v>-0.10790221129944055</v>
      </c>
      <c r="X626" s="1">
        <f t="shared" si="123"/>
        <v>35.688468677089908</v>
      </c>
      <c r="Y626" s="3">
        <f t="shared" si="113"/>
        <v>2.2345717796695579E-2</v>
      </c>
      <c r="Z626" s="1">
        <f t="shared" si="114"/>
        <v>0.16269836717088543</v>
      </c>
      <c r="AA626" s="8">
        <f t="shared" si="119"/>
        <v>51.166666666667027</v>
      </c>
      <c r="AB626" s="1">
        <v>51.25</v>
      </c>
      <c r="AC626" s="1">
        <v>7.5488245199999996E-3</v>
      </c>
      <c r="AD626" s="8">
        <f t="shared" si="115"/>
        <v>1.0868527394704459</v>
      </c>
      <c r="AE626" s="3">
        <f t="shared" si="116"/>
        <v>1.439764213078364E-2</v>
      </c>
      <c r="AF626" s="11">
        <f t="shared" si="117"/>
        <v>51.166666666667027</v>
      </c>
      <c r="AG626" s="1">
        <f t="shared" si="118"/>
        <v>0.16269836717088543</v>
      </c>
    </row>
    <row r="627" spans="2:33" ht="15" x14ac:dyDescent="0.25">
      <c r="B627" s="1">
        <v>616</v>
      </c>
      <c r="C627" s="1">
        <v>1.0010927258083921</v>
      </c>
      <c r="D627" s="1">
        <v>1.252748408550072</v>
      </c>
      <c r="E627" s="1">
        <v>0.79690252458270372</v>
      </c>
      <c r="G627" s="1">
        <v>1.0015805063791228</v>
      </c>
      <c r="H627" s="1">
        <v>6.309342551572068</v>
      </c>
      <c r="I627" s="1">
        <v>0.11754563923393017</v>
      </c>
      <c r="K627" s="1">
        <v>0.99988818486294362</v>
      </c>
      <c r="L627" s="1">
        <v>1.668544796092867</v>
      </c>
      <c r="M627" s="1">
        <v>0.58712119194762347</v>
      </c>
      <c r="O627" s="1">
        <v>7.4414261729667582E-3</v>
      </c>
      <c r="P627" s="1">
        <v>0.68249968721764398</v>
      </c>
      <c r="R627" s="1">
        <v>0.22890733029914301</v>
      </c>
      <c r="S627" s="2">
        <f t="shared" si="120"/>
        <v>1.1664532547629165</v>
      </c>
      <c r="T627" s="4">
        <f t="shared" si="121"/>
        <v>1.3606131955470013</v>
      </c>
      <c r="U627" s="1">
        <f t="shared" si="112"/>
        <v>1.2526797772442495</v>
      </c>
      <c r="V627" s="6">
        <f>2*sigma/alpha*corel*(B627/12-1/alpha*(1-EXP(-alpha*Output!B627/12)))</f>
        <v>3.6926244842992366</v>
      </c>
      <c r="W627" s="5">
        <f t="shared" si="122"/>
        <v>-0.10793341830275183</v>
      </c>
      <c r="X627" s="1">
        <f t="shared" si="123"/>
        <v>35.797804140211248</v>
      </c>
      <c r="Y627" s="3">
        <f t="shared" si="113"/>
        <v>2.231008572860186E-2</v>
      </c>
      <c r="Z627" s="1">
        <f t="shared" si="114"/>
        <v>0.16280495035871981</v>
      </c>
      <c r="AA627" s="8">
        <f t="shared" si="119"/>
        <v>51.250000000000362</v>
      </c>
      <c r="AB627" s="1">
        <v>51.33</v>
      </c>
      <c r="AC627" s="1">
        <v>7.5486537420000003E-3</v>
      </c>
      <c r="AD627" s="8">
        <f t="shared" si="115"/>
        <v>1.0722756903324207</v>
      </c>
      <c r="AE627" s="3">
        <f t="shared" si="116"/>
        <v>1.4204859925769009E-2</v>
      </c>
      <c r="AF627" s="11">
        <f t="shared" si="117"/>
        <v>51.250000000000362</v>
      </c>
      <c r="AG627" s="1">
        <f t="shared" si="118"/>
        <v>0.16280495035871981</v>
      </c>
    </row>
    <row r="628" spans="2:33" ht="15" x14ac:dyDescent="0.25">
      <c r="B628" s="1">
        <v>617</v>
      </c>
      <c r="C628" s="1">
        <v>1.0010965242347416</v>
      </c>
      <c r="D628" s="1">
        <v>1.2494540216985743</v>
      </c>
      <c r="E628" s="1">
        <v>0.79900100342036406</v>
      </c>
      <c r="G628" s="1">
        <v>1.0017504923725158</v>
      </c>
      <c r="H628" s="1">
        <v>6.1585847247168415</v>
      </c>
      <c r="I628" s="1">
        <v>0.12036471030345813</v>
      </c>
      <c r="K628" s="1">
        <v>0.99987677191845725</v>
      </c>
      <c r="L628" s="1">
        <v>1.6545948828568739</v>
      </c>
      <c r="M628" s="1">
        <v>0.59205291102209012</v>
      </c>
      <c r="O628" s="1">
        <v>7.4428003594493534E-3</v>
      </c>
      <c r="P628" s="1">
        <v>0.68202839633654944</v>
      </c>
      <c r="R628" s="1">
        <v>0.22906050018778337</v>
      </c>
      <c r="S628" s="2">
        <f t="shared" si="120"/>
        <v>1.1681102015048517</v>
      </c>
      <c r="T628" s="4">
        <f t="shared" si="121"/>
        <v>1.3644814428597052</v>
      </c>
      <c r="U628" s="1">
        <f t="shared" si="112"/>
        <v>1.2566392669064963</v>
      </c>
      <c r="V628" s="6">
        <f>2*sigma/alpha*corel*(B628/12-1/alpha*(1-EXP(-alpha*Output!B628/12)))</f>
        <v>3.7017068499775716</v>
      </c>
      <c r="W628" s="5">
        <f t="shared" si="122"/>
        <v>-0.10784217595320889</v>
      </c>
      <c r="X628" s="1">
        <f t="shared" si="123"/>
        <v>35.882174457547499</v>
      </c>
      <c r="Y628" s="3">
        <f t="shared" si="113"/>
        <v>2.2254129409225519E-2</v>
      </c>
      <c r="Z628" s="1">
        <f t="shared" si="114"/>
        <v>0.16290404108993198</v>
      </c>
      <c r="AA628" s="8">
        <f t="shared" si="119"/>
        <v>51.333333333333698</v>
      </c>
      <c r="AB628" s="1">
        <v>51.42</v>
      </c>
      <c r="AC628" s="1">
        <v>7.5484835179999996E-3</v>
      </c>
      <c r="AD628" s="8">
        <f t="shared" si="115"/>
        <v>1.0568315855064621</v>
      </c>
      <c r="AE628" s="3">
        <f t="shared" si="116"/>
        <v>1.4000581480854498E-2</v>
      </c>
      <c r="AF628" s="11">
        <f t="shared" si="117"/>
        <v>51.333333333333698</v>
      </c>
      <c r="AG628" s="1">
        <f t="shared" si="118"/>
        <v>0.16290404108993198</v>
      </c>
    </row>
    <row r="629" spans="2:33" ht="15" x14ac:dyDescent="0.25">
      <c r="B629" s="1">
        <v>618</v>
      </c>
      <c r="C629" s="1">
        <v>1.0010962586077257</v>
      </c>
      <c r="D629" s="1">
        <v>1.2560992946209815</v>
      </c>
      <c r="E629" s="1">
        <v>0.79477129146858017</v>
      </c>
      <c r="G629" s="1">
        <v>1.001634472365567</v>
      </c>
      <c r="H629" s="1">
        <v>6.4541884039689359</v>
      </c>
      <c r="I629" s="1">
        <v>0.11479630793005922</v>
      </c>
      <c r="K629" s="1">
        <v>0.99988314926106747</v>
      </c>
      <c r="L629" s="1">
        <v>1.6567269115043803</v>
      </c>
      <c r="M629" s="1">
        <v>0.59127759310098871</v>
      </c>
      <c r="O629" s="1">
        <v>7.4441651915610751E-3</v>
      </c>
      <c r="P629" s="1">
        <v>0.68155760314151348</v>
      </c>
      <c r="R629" s="1">
        <v>0.22924689538191176</v>
      </c>
      <c r="S629" s="2">
        <f t="shared" si="120"/>
        <v>1.1698942451303049</v>
      </c>
      <c r="T629" s="4">
        <f t="shared" si="121"/>
        <v>1.3686525447890061</v>
      </c>
      <c r="U629" s="1">
        <f t="shared" si="112"/>
        <v>1.2606026290135417</v>
      </c>
      <c r="V629" s="6">
        <f>2*sigma/alpha*corel*(B629/12-1/alpha*(1-EXP(-alpha*Output!B629/12)))</f>
        <v>3.7107936559213148</v>
      </c>
      <c r="W629" s="5">
        <f t="shared" si="122"/>
        <v>-0.10804991577546441</v>
      </c>
      <c r="X629" s="1">
        <f t="shared" si="123"/>
        <v>36.028272206571543</v>
      </c>
      <c r="Y629" s="3">
        <f t="shared" si="113"/>
        <v>2.2248173775790629E-2</v>
      </c>
      <c r="Z629" s="1">
        <f t="shared" si="114"/>
        <v>0.1630207887624108</v>
      </c>
      <c r="AA629" s="8">
        <f t="shared" si="119"/>
        <v>51.416666666667034</v>
      </c>
      <c r="AB629" s="1">
        <v>51.5</v>
      </c>
      <c r="AC629" s="1">
        <v>7.5483138449999997E-3</v>
      </c>
      <c r="AD629" s="8">
        <f t="shared" si="115"/>
        <v>1.0414865343892459</v>
      </c>
      <c r="AE629" s="3">
        <f t="shared" si="116"/>
        <v>1.3797605078107955E-2</v>
      </c>
      <c r="AF629" s="11">
        <f t="shared" si="117"/>
        <v>51.416666666667034</v>
      </c>
      <c r="AG629" s="1">
        <f t="shared" si="118"/>
        <v>0.1630207887624108</v>
      </c>
    </row>
    <row r="630" spans="2:33" ht="15" x14ac:dyDescent="0.25">
      <c r="B630" s="1">
        <v>619</v>
      </c>
      <c r="C630" s="1">
        <v>1.0010929916861795</v>
      </c>
      <c r="D630" s="1">
        <v>1.2556165562391155</v>
      </c>
      <c r="E630" s="1">
        <v>0.79507417389078605</v>
      </c>
      <c r="G630" s="1">
        <v>1.0012815296837361</v>
      </c>
      <c r="H630" s="1">
        <v>6.4269883380642563</v>
      </c>
      <c r="I630" s="1">
        <v>0.1152262716955631</v>
      </c>
      <c r="K630" s="1">
        <v>0.99988469488862275</v>
      </c>
      <c r="L630" s="1">
        <v>1.6513399870779817</v>
      </c>
      <c r="M630" s="1">
        <v>0.5932035027838195</v>
      </c>
      <c r="O630" s="1">
        <v>7.4455182707247308E-3</v>
      </c>
      <c r="P630" s="1">
        <v>0.68108739291252962</v>
      </c>
      <c r="R630" s="1">
        <v>0.2294239545588295</v>
      </c>
      <c r="S630" s="2">
        <f t="shared" si="120"/>
        <v>1.1716435865547636</v>
      </c>
      <c r="T630" s="4">
        <f t="shared" si="121"/>
        <v>1.3727486939149098</v>
      </c>
      <c r="U630" s="1">
        <f t="shared" si="112"/>
        <v>1.2645698525620208</v>
      </c>
      <c r="V630" s="6">
        <f>2*sigma/alpha*corel*(B630/12-1/alpha*(1-EXP(-alpha*Output!B630/12)))</f>
        <v>3.7198848873542216</v>
      </c>
      <c r="W630" s="5">
        <f t="shared" si="122"/>
        <v>-0.10817884135288902</v>
      </c>
      <c r="X630" s="1">
        <f t="shared" si="123"/>
        <v>36.158444507645768</v>
      </c>
      <c r="Y630" s="3">
        <f t="shared" si="113"/>
        <v>2.2229121085673386E-2</v>
      </c>
      <c r="Z630" s="1">
        <f t="shared" si="114"/>
        <v>0.16313262257324088</v>
      </c>
      <c r="AA630" s="8">
        <f t="shared" si="119"/>
        <v>51.500000000000369</v>
      </c>
      <c r="AB630" s="1">
        <v>51.58</v>
      </c>
      <c r="AC630" s="1">
        <v>7.5481447220000003E-3</v>
      </c>
      <c r="AD630" s="8">
        <f t="shared" si="115"/>
        <v>1.0262645127526953</v>
      </c>
      <c r="AE630" s="3">
        <f t="shared" si="116"/>
        <v>1.359624848953307E-2</v>
      </c>
      <c r="AF630" s="11">
        <f t="shared" si="117"/>
        <v>51.500000000000369</v>
      </c>
      <c r="AG630" s="1">
        <f t="shared" si="118"/>
        <v>0.16313262257324088</v>
      </c>
    </row>
    <row r="631" spans="2:33" ht="15" x14ac:dyDescent="0.25">
      <c r="B631" s="1">
        <v>620</v>
      </c>
      <c r="C631" s="1">
        <v>1.0010948719584229</v>
      </c>
      <c r="D631" s="1">
        <v>1.2577830631844555</v>
      </c>
      <c r="E631" s="1">
        <v>0.79370199555437526</v>
      </c>
      <c r="G631" s="1">
        <v>1.0013463662060329</v>
      </c>
      <c r="H631" s="1">
        <v>6.5248144046489855</v>
      </c>
      <c r="I631" s="1">
        <v>0.1134436833421742</v>
      </c>
      <c r="K631" s="1">
        <v>0.99989587545093883</v>
      </c>
      <c r="L631" s="1">
        <v>1.6507952916977209</v>
      </c>
      <c r="M631" s="1">
        <v>0.59337827863894621</v>
      </c>
      <c r="O631" s="1">
        <v>7.4468240987670842E-3</v>
      </c>
      <c r="P631" s="1">
        <v>0.680619015194456</v>
      </c>
      <c r="R631" s="1">
        <v>0.22961710756236173</v>
      </c>
      <c r="S631" s="2">
        <f t="shared" si="120"/>
        <v>1.1734521106436253</v>
      </c>
      <c r="T631" s="4">
        <f t="shared" si="121"/>
        <v>1.376989855973979</v>
      </c>
      <c r="U631" s="1">
        <f t="shared" si="112"/>
        <v>1.268540926572673</v>
      </c>
      <c r="V631" s="6">
        <f>2*sigma/alpha*corel*(B631/12-1/alpha*(1-EXP(-alpha*Output!B631/12)))</f>
        <v>3.7289805295492191</v>
      </c>
      <c r="W631" s="5">
        <f t="shared" si="122"/>
        <v>-0.10844892940130602</v>
      </c>
      <c r="X631" s="1">
        <f t="shared" si="123"/>
        <v>36.31807453269375</v>
      </c>
      <c r="Y631" s="3">
        <f t="shared" si="113"/>
        <v>2.2233555391636954E-2</v>
      </c>
      <c r="Z631" s="1">
        <f t="shared" si="114"/>
        <v>0.1632526158051941</v>
      </c>
      <c r="AA631" s="8">
        <f t="shared" si="119"/>
        <v>51.583333333333705</v>
      </c>
      <c r="AB631" s="1">
        <v>51.67</v>
      </c>
      <c r="AC631" s="1">
        <v>7.5479761459999999E-3</v>
      </c>
      <c r="AD631" s="8">
        <f t="shared" si="115"/>
        <v>1.0115204723291569</v>
      </c>
      <c r="AE631" s="3">
        <f t="shared" si="116"/>
        <v>1.3401214481383934E-2</v>
      </c>
      <c r="AF631" s="11">
        <f t="shared" si="117"/>
        <v>51.583333333333705</v>
      </c>
      <c r="AG631" s="1">
        <f t="shared" si="118"/>
        <v>0.1632526158051941</v>
      </c>
    </row>
    <row r="632" spans="2:33" ht="15" x14ac:dyDescent="0.25">
      <c r="B632" s="1">
        <v>621</v>
      </c>
      <c r="C632" s="1">
        <v>1.001098244284331</v>
      </c>
      <c r="D632" s="1">
        <v>1.2640753045623265</v>
      </c>
      <c r="E632" s="1">
        <v>0.78974848251815599</v>
      </c>
      <c r="G632" s="1">
        <v>1.0015446022259704</v>
      </c>
      <c r="H632" s="1">
        <v>6.8240773934967791</v>
      </c>
      <c r="I632" s="1">
        <v>0.10841615391363237</v>
      </c>
      <c r="K632" s="1">
        <v>0.99989793607019495</v>
      </c>
      <c r="L632" s="1">
        <v>1.6580515961978854</v>
      </c>
      <c r="M632" s="1">
        <v>0.59075908279455058</v>
      </c>
      <c r="O632" s="1">
        <v>7.4481922652997624E-3</v>
      </c>
      <c r="P632" s="1">
        <v>0.68014861737441734</v>
      </c>
      <c r="R632" s="1">
        <v>0.22975887993343561</v>
      </c>
      <c r="S632" s="2">
        <f t="shared" si="120"/>
        <v>1.1750716238373939</v>
      </c>
      <c r="T632" s="4">
        <f t="shared" si="121"/>
        <v>1.3807933211478498</v>
      </c>
      <c r="U632" s="1">
        <f t="shared" si="112"/>
        <v>1.2725158400903465</v>
      </c>
      <c r="V632" s="6">
        <f>2*sigma/alpha*corel*(B632/12-1/alpha*(1-EXP(-alpha*Output!B632/12)))</f>
        <v>3.7380805678282463</v>
      </c>
      <c r="W632" s="5">
        <f t="shared" si="122"/>
        <v>-0.10827748105750334</v>
      </c>
      <c r="X632" s="1">
        <f t="shared" si="123"/>
        <v>36.386684910478337</v>
      </c>
      <c r="Y632" s="3">
        <f t="shared" si="113"/>
        <v>2.2164802952085186E-2</v>
      </c>
      <c r="Z632" s="1">
        <f t="shared" si="114"/>
        <v>0.16334624741303302</v>
      </c>
      <c r="AA632" s="8">
        <f t="shared" si="119"/>
        <v>51.666666666667041</v>
      </c>
      <c r="AB632" s="1">
        <v>51.75</v>
      </c>
      <c r="AC632" s="1">
        <v>7.5478081129999996E-3</v>
      </c>
      <c r="AD632" s="8">
        <f t="shared" si="115"/>
        <v>0.99615847700237214</v>
      </c>
      <c r="AE632" s="3">
        <f t="shared" si="116"/>
        <v>1.3197983601181306E-2</v>
      </c>
      <c r="AF632" s="11">
        <f t="shared" si="117"/>
        <v>51.666666666667041</v>
      </c>
      <c r="AG632" s="1">
        <f t="shared" si="118"/>
        <v>0.16334624741303302</v>
      </c>
    </row>
    <row r="633" spans="2:33" ht="15" x14ac:dyDescent="0.25">
      <c r="B633" s="1">
        <v>622</v>
      </c>
      <c r="C633" s="1">
        <v>1.0011025062432293</v>
      </c>
      <c r="D633" s="1">
        <v>1.2639305542818811</v>
      </c>
      <c r="E633" s="1">
        <v>0.78983625386867495</v>
      </c>
      <c r="G633" s="1">
        <v>1.0017573843464325</v>
      </c>
      <c r="H633" s="1">
        <v>6.8169025859657202</v>
      </c>
      <c r="I633" s="1">
        <v>0.10847766000779406</v>
      </c>
      <c r="K633" s="1">
        <v>0.99992748106524909</v>
      </c>
      <c r="L633" s="1">
        <v>1.6681066699174565</v>
      </c>
      <c r="M633" s="1">
        <v>0.58717727096402039</v>
      </c>
      <c r="O633" s="1">
        <v>7.4496841369146583E-3</v>
      </c>
      <c r="P633" s="1">
        <v>0.67967403156032946</v>
      </c>
      <c r="R633" s="1">
        <v>0.2298950631340016</v>
      </c>
      <c r="S633" s="2">
        <f t="shared" si="120"/>
        <v>1.1766813133037248</v>
      </c>
      <c r="T633" s="4">
        <f t="shared" si="121"/>
        <v>1.3845789130781787</v>
      </c>
      <c r="U633" s="1">
        <f t="shared" ref="U633:U696" si="124">sigma*sigma/alpha/alpha*(B633/12+2/alpha*EXP(-alpha*B633/12)-1/2/alpha*EXP(-2*alpha*B633/12)-3/2/alpha)</f>
        <v>1.2764945821839939</v>
      </c>
      <c r="V633" s="6">
        <f>2*sigma/alpha*corel*(B633/12-1/alpha*(1-EXP(-alpha*Output!B633/12)))</f>
        <v>3.7471849875620835</v>
      </c>
      <c r="W633" s="5">
        <f t="shared" si="122"/>
        <v>-0.10808433089418479</v>
      </c>
      <c r="X633" s="1">
        <f t="shared" si="123"/>
        <v>36.450879936404959</v>
      </c>
      <c r="Y633" s="3">
        <f t="shared" si="113"/>
        <v>2.2092650404180427E-2</v>
      </c>
      <c r="Z633" s="1">
        <f t="shared" si="114"/>
        <v>0.16343846967982534</v>
      </c>
      <c r="AA633" s="8">
        <f t="shared" si="119"/>
        <v>51.750000000000377</v>
      </c>
      <c r="AB633" s="1">
        <v>51.83</v>
      </c>
      <c r="AC633" s="1">
        <v>7.5476406219999997E-3</v>
      </c>
      <c r="AD633" s="8">
        <f t="shared" si="115"/>
        <v>0.97956485085341427</v>
      </c>
      <c r="AE633" s="3">
        <f t="shared" si="116"/>
        <v>1.297842464833528E-2</v>
      </c>
      <c r="AF633" s="11">
        <f t="shared" si="117"/>
        <v>51.750000000000377</v>
      </c>
      <c r="AG633" s="1">
        <f t="shared" si="118"/>
        <v>0.16343846967982534</v>
      </c>
    </row>
    <row r="634" spans="2:33" ht="15" x14ac:dyDescent="0.25">
      <c r="B634" s="1">
        <v>623</v>
      </c>
      <c r="C634" s="1">
        <v>1.0010994836265377</v>
      </c>
      <c r="D634" s="1">
        <v>1.2644913887406495</v>
      </c>
      <c r="E634" s="1">
        <v>0.78948326468198204</v>
      </c>
      <c r="G634" s="1">
        <v>1.0014151660139279</v>
      </c>
      <c r="H634" s="1">
        <v>6.8441891026565207</v>
      </c>
      <c r="I634" s="1">
        <v>0.10799281209978015</v>
      </c>
      <c r="K634" s="1">
        <v>0.99993405630805032</v>
      </c>
      <c r="L634" s="1">
        <v>1.6761311231949576</v>
      </c>
      <c r="M634" s="1">
        <v>0.58435434135297715</v>
      </c>
      <c r="O634" s="1">
        <v>7.451209334075292E-3</v>
      </c>
      <c r="P634" s="1">
        <v>0.67919843290012338</v>
      </c>
      <c r="R634" s="1">
        <v>0.23004150605890977</v>
      </c>
      <c r="S634" s="2">
        <f t="shared" si="120"/>
        <v>1.1783343722798902</v>
      </c>
      <c r="T634" s="4">
        <f t="shared" si="121"/>
        <v>1.388471892896243</v>
      </c>
      <c r="U634" s="1">
        <f t="shared" si="124"/>
        <v>1.2804771419466801</v>
      </c>
      <c r="V634" s="6">
        <f>2*sigma/alpha*corel*(B634/12-1/alpha*(1-EXP(-alpha*Output!B634/12)))</f>
        <v>3.7562937741701954</v>
      </c>
      <c r="W634" s="5">
        <f t="shared" si="122"/>
        <v>-0.1079947509495629</v>
      </c>
      <c r="X634" s="1">
        <f t="shared" si="123"/>
        <v>36.536652865062329</v>
      </c>
      <c r="Y634" s="3">
        <f t="shared" si="113"/>
        <v>2.2037834967986801E-2</v>
      </c>
      <c r="Z634" s="1">
        <f t="shared" si="114"/>
        <v>0.16353666841948519</v>
      </c>
      <c r="AA634" s="8">
        <f t="shared" si="119"/>
        <v>51.833333333333712</v>
      </c>
      <c r="AB634" s="1">
        <v>51.92</v>
      </c>
      <c r="AC634" s="1">
        <v>7.5474736690000002E-3</v>
      </c>
      <c r="AD634" s="8">
        <f t="shared" si="115"/>
        <v>0.96264334924708184</v>
      </c>
      <c r="AE634" s="3">
        <f t="shared" si="116"/>
        <v>1.2754510866344326E-2</v>
      </c>
      <c r="AF634" s="11">
        <f t="shared" si="117"/>
        <v>51.833333333333712</v>
      </c>
      <c r="AG634" s="1">
        <f t="shared" si="118"/>
        <v>0.16353666841948519</v>
      </c>
    </row>
    <row r="635" spans="2:33" ht="15" x14ac:dyDescent="0.25">
      <c r="B635" s="1">
        <v>624</v>
      </c>
      <c r="C635" s="1">
        <v>1.0010966505315388</v>
      </c>
      <c r="D635" s="1">
        <v>1.2661798230907884</v>
      </c>
      <c r="E635" s="1">
        <v>0.78842782189876726</v>
      </c>
      <c r="G635" s="1">
        <v>1.0010164729186153</v>
      </c>
      <c r="H635" s="1">
        <v>6.9263568569522249</v>
      </c>
      <c r="I635" s="1">
        <v>0.10665996570567134</v>
      </c>
      <c r="K635" s="1">
        <v>0.99995848861905523</v>
      </c>
      <c r="L635" s="1">
        <v>1.6766889991213434</v>
      </c>
      <c r="M635" s="1">
        <v>0.58413633480695948</v>
      </c>
      <c r="O635" s="1">
        <v>7.4526470460803277E-3</v>
      </c>
      <c r="P635" s="1">
        <v>0.67872608217946029</v>
      </c>
      <c r="R635" s="1">
        <v>0.23022334999781111</v>
      </c>
      <c r="S635" s="2">
        <f t="shared" si="120"/>
        <v>1.1801171800414612</v>
      </c>
      <c r="T635" s="4">
        <f t="shared" si="121"/>
        <v>1.3926765586290104</v>
      </c>
      <c r="U635" s="1">
        <f t="shared" si="124"/>
        <v>1.2844635084955831</v>
      </c>
      <c r="V635" s="6">
        <f>2*sigma/alpha*corel*(B635/12-1/alpha*(1-EXP(-alpha*Output!B635/12)))</f>
        <v>3.7654069131205703</v>
      </c>
      <c r="W635" s="5">
        <f t="shared" si="122"/>
        <v>-0.1082130501334273</v>
      </c>
      <c r="X635" s="1">
        <f t="shared" si="123"/>
        <v>36.686603649129061</v>
      </c>
      <c r="Y635" s="3">
        <f t="shared" si="113"/>
        <v>2.2034036668276708E-2</v>
      </c>
      <c r="Z635" s="1">
        <f t="shared" si="114"/>
        <v>0.16365280783444064</v>
      </c>
      <c r="AA635" s="8">
        <f t="shared" si="119"/>
        <v>51.916666666667048</v>
      </c>
      <c r="AB635" s="1">
        <v>52</v>
      </c>
      <c r="AC635" s="1">
        <v>7.5473072520000004E-3</v>
      </c>
      <c r="AD635" s="8">
        <f t="shared" si="115"/>
        <v>0.94660205919672691</v>
      </c>
      <c r="AE635" s="3">
        <f t="shared" si="116"/>
        <v>1.2542248878841946E-2</v>
      </c>
      <c r="AF635" s="11">
        <f t="shared" si="117"/>
        <v>51.916666666667048</v>
      </c>
      <c r="AG635" s="1">
        <f t="shared" si="118"/>
        <v>0.16365280783444064</v>
      </c>
    </row>
    <row r="636" spans="2:33" ht="15" x14ac:dyDescent="0.25">
      <c r="B636" s="1">
        <v>625</v>
      </c>
      <c r="C636" s="1">
        <v>1.0010943459604227</v>
      </c>
      <c r="D636" s="1">
        <v>1.2674411356670123</v>
      </c>
      <c r="E636" s="1">
        <v>0.78764052736097734</v>
      </c>
      <c r="G636" s="1">
        <v>1.0006815980280148</v>
      </c>
      <c r="H636" s="1">
        <v>6.9843707568468281</v>
      </c>
      <c r="I636" s="1">
        <v>0.10572275406040872</v>
      </c>
      <c r="K636" s="1">
        <v>0.9999431323691147</v>
      </c>
      <c r="L636" s="1">
        <v>1.670786890138962</v>
      </c>
      <c r="M636" s="1">
        <v>0.58617845934122914</v>
      </c>
      <c r="O636" s="1">
        <v>7.4541046426320557E-3</v>
      </c>
      <c r="P636" s="1">
        <v>0.67825319499865966</v>
      </c>
      <c r="R636" s="1">
        <v>0.23038381771982977</v>
      </c>
      <c r="S636" s="2">
        <f t="shared" si="120"/>
        <v>1.1818216280200218</v>
      </c>
      <c r="T636" s="4">
        <f t="shared" si="121"/>
        <v>1.3967023604558948</v>
      </c>
      <c r="U636" s="1">
        <f t="shared" si="124"/>
        <v>1.2884536709719918</v>
      </c>
      <c r="V636" s="6">
        <f>2*sigma/alpha*corel*(B636/12-1/alpha*(1-EXP(-alpha*Output!B636/12)))</f>
        <v>3.7745243899295513</v>
      </c>
      <c r="W636" s="5">
        <f t="shared" si="122"/>
        <v>-0.10824868948390298</v>
      </c>
      <c r="X636" s="1">
        <f t="shared" si="123"/>
        <v>36.798844679319508</v>
      </c>
      <c r="Y636" s="3">
        <f t="shared" si="113"/>
        <v>2.2000135104740547E-2</v>
      </c>
      <c r="Z636" s="1">
        <f t="shared" si="114"/>
        <v>0.16375800841715552</v>
      </c>
      <c r="AA636" s="8">
        <f t="shared" si="119"/>
        <v>52.000000000000384</v>
      </c>
      <c r="AB636" s="1">
        <v>52.08</v>
      </c>
      <c r="AC636" s="1">
        <v>7.5471413679999997E-3</v>
      </c>
      <c r="AD636" s="8">
        <f t="shared" si="115"/>
        <v>0.93036725367943995</v>
      </c>
      <c r="AE636" s="3">
        <f t="shared" si="116"/>
        <v>1.232741257006543E-2</v>
      </c>
      <c r="AF636" s="11">
        <f t="shared" si="117"/>
        <v>52.000000000000384</v>
      </c>
      <c r="AG636" s="1">
        <f t="shared" si="118"/>
        <v>0.16375800841715552</v>
      </c>
    </row>
    <row r="637" spans="2:33" ht="15" x14ac:dyDescent="0.25">
      <c r="B637" s="1">
        <v>626</v>
      </c>
      <c r="C637" s="1">
        <v>1.0010952791975014</v>
      </c>
      <c r="D637" s="1">
        <v>1.2702195808916914</v>
      </c>
      <c r="E637" s="1">
        <v>0.78591498591576092</v>
      </c>
      <c r="G637" s="1">
        <v>1.0007146514052156</v>
      </c>
      <c r="H637" s="1">
        <v>7.1224808675555238</v>
      </c>
      <c r="I637" s="1">
        <v>0.10362246287103642</v>
      </c>
      <c r="K637" s="1">
        <v>0.99994495021776764</v>
      </c>
      <c r="L637" s="1">
        <v>1.686820532957839</v>
      </c>
      <c r="M637" s="1">
        <v>0.58058745766175524</v>
      </c>
      <c r="O637" s="1">
        <v>7.4556080457772039E-3</v>
      </c>
      <c r="P637" s="1">
        <v>0.67777885302941021</v>
      </c>
      <c r="R637" s="1">
        <v>0.23053114597399774</v>
      </c>
      <c r="S637" s="2">
        <f t="shared" si="120"/>
        <v>1.1834811661253026</v>
      </c>
      <c r="T637" s="4">
        <f t="shared" si="121"/>
        <v>1.4006276705733061</v>
      </c>
      <c r="U637" s="1">
        <f t="shared" si="124"/>
        <v>1.2924476185413067</v>
      </c>
      <c r="V637" s="6">
        <f>2*sigma/alpha*corel*(B637/12-1/alpha*(1-EXP(-alpha*Output!B637/12)))</f>
        <v>3.783646190161682</v>
      </c>
      <c r="W637" s="5">
        <f t="shared" si="122"/>
        <v>-0.10818005203199932</v>
      </c>
      <c r="X637" s="1">
        <f t="shared" si="123"/>
        <v>36.889549349668869</v>
      </c>
      <c r="Y637" s="3">
        <f t="shared" si="113"/>
        <v>2.1949174762933496E-2</v>
      </c>
      <c r="Z637" s="1">
        <f t="shared" si="114"/>
        <v>0.16385692761261225</v>
      </c>
      <c r="AA637" s="8">
        <f t="shared" si="119"/>
        <v>52.083333333333719</v>
      </c>
      <c r="AB637" s="1">
        <v>52.17</v>
      </c>
      <c r="AC637" s="1">
        <v>7.5469760149999999E-3</v>
      </c>
      <c r="AD637" s="8">
        <f t="shared" si="115"/>
        <v>0.91367969222795953</v>
      </c>
      <c r="AE637" s="3">
        <f t="shared" si="116"/>
        <v>1.2106566794593949E-2</v>
      </c>
      <c r="AF637" s="11">
        <f t="shared" si="117"/>
        <v>52.083333333333719</v>
      </c>
      <c r="AG637" s="1">
        <f t="shared" si="118"/>
        <v>0.16385692761261225</v>
      </c>
    </row>
    <row r="638" spans="2:33" ht="15" x14ac:dyDescent="0.25">
      <c r="B638" s="1">
        <v>627</v>
      </c>
      <c r="C638" s="1">
        <v>1.0010985081277992</v>
      </c>
      <c r="D638" s="1">
        <v>1.2685272235710225</v>
      </c>
      <c r="E638" s="1">
        <v>0.78696080007441738</v>
      </c>
      <c r="G638" s="1">
        <v>1.000833565652268</v>
      </c>
      <c r="H638" s="1">
        <v>7.0338205488700272</v>
      </c>
      <c r="I638" s="1">
        <v>0.10487775058849479</v>
      </c>
      <c r="K638" s="1">
        <v>0.99993095071681559</v>
      </c>
      <c r="L638" s="1">
        <v>1.6938303031939992</v>
      </c>
      <c r="M638" s="1">
        <v>0.57817007599313197</v>
      </c>
      <c r="O638" s="1">
        <v>7.4571579388698801E-3</v>
      </c>
      <c r="P638" s="1">
        <v>0.67730302784616148</v>
      </c>
      <c r="R638" s="1">
        <v>0.23066195626300331</v>
      </c>
      <c r="S638" s="2">
        <f t="shared" si="120"/>
        <v>1.185082799604152</v>
      </c>
      <c r="T638" s="4">
        <f t="shared" si="121"/>
        <v>1.4044212419176145</v>
      </c>
      <c r="U638" s="1">
        <f t="shared" si="124"/>
        <v>1.296445340393042</v>
      </c>
      <c r="V638" s="6">
        <f>2*sigma/alpha*corel*(B638/12-1/alpha*(1-EXP(-alpha*Output!B638/12)))</f>
        <v>3.7927722994295459</v>
      </c>
      <c r="W638" s="5">
        <f t="shared" si="122"/>
        <v>-0.10797590152457248</v>
      </c>
      <c r="X638" s="1">
        <f t="shared" si="123"/>
        <v>36.952085133955734</v>
      </c>
      <c r="Y638" s="3">
        <f t="shared" si="113"/>
        <v>2.1876080164632765E-2</v>
      </c>
      <c r="Z638" s="1">
        <f t="shared" si="114"/>
        <v>0.16394778267301854</v>
      </c>
      <c r="AA638" s="8">
        <f t="shared" si="119"/>
        <v>52.166666666667055</v>
      </c>
      <c r="AB638" s="1">
        <v>52.25</v>
      </c>
      <c r="AC638" s="1">
        <v>7.5468111910000002E-3</v>
      </c>
      <c r="AD638" s="8">
        <f t="shared" si="115"/>
        <v>0.89653252130120031</v>
      </c>
      <c r="AE638" s="3">
        <f t="shared" si="116"/>
        <v>1.1879620393449966E-2</v>
      </c>
      <c r="AF638" s="11">
        <f t="shared" si="117"/>
        <v>52.166666666667055</v>
      </c>
      <c r="AG638" s="1">
        <f t="shared" si="118"/>
        <v>0.16394778267301854</v>
      </c>
    </row>
    <row r="639" spans="2:33" ht="15" x14ac:dyDescent="0.25">
      <c r="B639" s="1">
        <v>628</v>
      </c>
      <c r="C639" s="1">
        <v>1.0010988617993972</v>
      </c>
      <c r="D639" s="1">
        <v>1.2697243280731256</v>
      </c>
      <c r="E639" s="1">
        <v>0.7862161612389188</v>
      </c>
      <c r="G639" s="1">
        <v>1.0007260498619084</v>
      </c>
      <c r="H639" s="1">
        <v>7.0943553986525529</v>
      </c>
      <c r="I639" s="1">
        <v>0.10393244670082379</v>
      </c>
      <c r="K639" s="1">
        <v>0.99993722029255994</v>
      </c>
      <c r="L639" s="1">
        <v>1.6991099250599702</v>
      </c>
      <c r="M639" s="1">
        <v>0.57635018750645706</v>
      </c>
      <c r="O639" s="1">
        <v>7.4586114055992777E-3</v>
      </c>
      <c r="P639" s="1">
        <v>0.67683077736565023</v>
      </c>
      <c r="R639" s="1">
        <v>0.23079713957790554</v>
      </c>
      <c r="S639" s="2">
        <f t="shared" si="120"/>
        <v>1.1866947809496329</v>
      </c>
      <c r="T639" s="4">
        <f t="shared" si="121"/>
        <v>1.4082445031330972</v>
      </c>
      <c r="U639" s="1">
        <f t="shared" si="124"/>
        <v>1.3004468257408233</v>
      </c>
      <c r="V639" s="6">
        <f>2*sigma/alpha*corel*(B639/12-1/alpha*(1-EXP(-alpha*Output!B639/12)))</f>
        <v>3.801902703393603</v>
      </c>
      <c r="W639" s="5">
        <f t="shared" si="122"/>
        <v>-0.10779767739227397</v>
      </c>
      <c r="X639" s="1">
        <f t="shared" si="123"/>
        <v>37.020111300187608</v>
      </c>
      <c r="Y639" s="3">
        <f t="shared" si="113"/>
        <v>2.1807446570230302E-2</v>
      </c>
      <c r="Z639" s="1">
        <f t="shared" si="114"/>
        <v>0.1640400275332716</v>
      </c>
      <c r="AA639" s="8">
        <f t="shared" si="119"/>
        <v>52.250000000000391</v>
      </c>
      <c r="AB639" s="1">
        <v>52.33</v>
      </c>
      <c r="AC639" s="1">
        <v>7.5466468919999996E-3</v>
      </c>
      <c r="AD639" s="8">
        <f t="shared" si="115"/>
        <v>0.88035486400721985</v>
      </c>
      <c r="AE639" s="3">
        <f t="shared" si="116"/>
        <v>1.166551021408542E-2</v>
      </c>
      <c r="AF639" s="11">
        <f t="shared" si="117"/>
        <v>52.250000000000391</v>
      </c>
      <c r="AG639" s="1">
        <f t="shared" si="118"/>
        <v>0.1640400275332716</v>
      </c>
    </row>
    <row r="640" spans="2:33" ht="15" x14ac:dyDescent="0.25">
      <c r="B640" s="1">
        <v>629</v>
      </c>
      <c r="C640" s="1">
        <v>1.0010963364049059</v>
      </c>
      <c r="D640" s="1">
        <v>1.2714541682550293</v>
      </c>
      <c r="E640" s="1">
        <v>0.78514381066316719</v>
      </c>
      <c r="G640" s="1">
        <v>1.0004024334395707</v>
      </c>
      <c r="H640" s="1">
        <v>7.1754313974223303</v>
      </c>
      <c r="I640" s="1">
        <v>0.10270829461920998</v>
      </c>
      <c r="K640" s="1">
        <v>0.99994927391205657</v>
      </c>
      <c r="L640" s="1">
        <v>1.6841808897036974</v>
      </c>
      <c r="M640" s="1">
        <v>0.58144096336373252</v>
      </c>
      <c r="O640" s="1">
        <v>7.4601871956963654E-3</v>
      </c>
      <c r="P640" s="1">
        <v>0.6763543556668915</v>
      </c>
      <c r="R640" s="1">
        <v>0.23096181027076637</v>
      </c>
      <c r="S640" s="2">
        <f t="shared" si="120"/>
        <v>1.1884315077677854</v>
      </c>
      <c r="T640" s="4">
        <f t="shared" si="121"/>
        <v>1.4123694486552116</v>
      </c>
      <c r="U640" s="1">
        <f t="shared" si="124"/>
        <v>1.3044520638223847</v>
      </c>
      <c r="V640" s="6">
        <f>2*sigma/alpha*corel*(B640/12-1/alpha*(1-EXP(-alpha*Output!B640/12)))</f>
        <v>3.8110373877620298</v>
      </c>
      <c r="W640" s="5">
        <f t="shared" si="122"/>
        <v>-0.10791738483282698</v>
      </c>
      <c r="X640" s="1">
        <f t="shared" si="123"/>
        <v>37.150684324202757</v>
      </c>
      <c r="Y640" s="3">
        <f t="shared" si="113"/>
        <v>2.1787905238223278E-2</v>
      </c>
      <c r="Z640" s="1">
        <f t="shared" si="114"/>
        <v>0.16414945971698369</v>
      </c>
      <c r="AA640" s="8">
        <f t="shared" si="119"/>
        <v>52.333333333333727</v>
      </c>
      <c r="AB640" s="1">
        <v>52.42</v>
      </c>
      <c r="AC640" s="1">
        <v>7.5464831169999996E-3</v>
      </c>
      <c r="AD640" s="8">
        <f t="shared" si="115"/>
        <v>0.86295921303634193</v>
      </c>
      <c r="AE640" s="3">
        <f t="shared" si="116"/>
        <v>1.1435250031797586E-2</v>
      </c>
      <c r="AF640" s="11">
        <f t="shared" si="117"/>
        <v>52.333333333333727</v>
      </c>
      <c r="AG640" s="1">
        <f t="shared" si="118"/>
        <v>0.16414945971698369</v>
      </c>
    </row>
    <row r="641" spans="2:33" ht="15" x14ac:dyDescent="0.25">
      <c r="B641" s="1">
        <v>630</v>
      </c>
      <c r="C641" s="1">
        <v>1.0010983761120795</v>
      </c>
      <c r="D641" s="1">
        <v>1.2699956402969637</v>
      </c>
      <c r="E641" s="1">
        <v>0.78604281562004552</v>
      </c>
      <c r="G641" s="1">
        <v>1.0004048095945783</v>
      </c>
      <c r="H641" s="1">
        <v>7.1004272943627891</v>
      </c>
      <c r="I641" s="1">
        <v>0.10374292543251296</v>
      </c>
      <c r="K641" s="1">
        <v>0.99997227621342499</v>
      </c>
      <c r="L641" s="1">
        <v>1.6863396248239413</v>
      </c>
      <c r="M641" s="1">
        <v>0.58067202594227629</v>
      </c>
      <c r="O641" s="1">
        <v>7.4617886663160514E-3</v>
      </c>
      <c r="P641" s="1">
        <v>0.67587718057793211</v>
      </c>
      <c r="R641" s="1">
        <v>0.23111535345426057</v>
      </c>
      <c r="S641" s="2">
        <f t="shared" si="120"/>
        <v>1.1901293380513784</v>
      </c>
      <c r="T641" s="4">
        <f t="shared" si="121"/>
        <v>1.4164078412906123</v>
      </c>
      <c r="U641" s="1">
        <f t="shared" si="124"/>
        <v>1.3084610438995701</v>
      </c>
      <c r="V641" s="6">
        <f>2*sigma/alpha*corel*(B641/12-1/alpha*(1-EXP(-alpha*Output!B641/12)))</f>
        <v>3.8201763382905685</v>
      </c>
      <c r="W641" s="5">
        <f t="shared" si="122"/>
        <v>-0.10794679739104218</v>
      </c>
      <c r="X641" s="1">
        <f t="shared" si="123"/>
        <v>37.262574707753998</v>
      </c>
      <c r="Y641" s="3">
        <f t="shared" si="113"/>
        <v>2.17536337414279E-2</v>
      </c>
      <c r="Z641" s="1">
        <f t="shared" si="114"/>
        <v>0.16425345347043405</v>
      </c>
      <c r="AA641" s="8">
        <f t="shared" si="119"/>
        <v>52.416666666667062</v>
      </c>
      <c r="AB641" s="1">
        <v>52.5</v>
      </c>
      <c r="AC641" s="1">
        <v>7.5463198629999997E-3</v>
      </c>
      <c r="AD641" s="8">
        <f t="shared" si="115"/>
        <v>0.84531196683948306</v>
      </c>
      <c r="AE641" s="3">
        <f t="shared" si="116"/>
        <v>1.1201645069195805E-2</v>
      </c>
      <c r="AF641" s="11">
        <f t="shared" si="117"/>
        <v>52.416666666667062</v>
      </c>
      <c r="AG641" s="1">
        <f t="shared" si="118"/>
        <v>0.16425345347043405</v>
      </c>
    </row>
    <row r="642" spans="2:33" ht="15" x14ac:dyDescent="0.25">
      <c r="B642" s="1">
        <v>631</v>
      </c>
      <c r="C642" s="1">
        <v>1.0010937060495508</v>
      </c>
      <c r="D642" s="1">
        <v>1.2700060129747894</v>
      </c>
      <c r="E642" s="1">
        <v>0.78603369766483988</v>
      </c>
      <c r="G642" s="1">
        <v>0.99994152408019821</v>
      </c>
      <c r="H642" s="1">
        <v>7.0987981277912375</v>
      </c>
      <c r="I642" s="1">
        <v>0.10371643674093207</v>
      </c>
      <c r="K642" s="1">
        <v>0.99998617401921275</v>
      </c>
      <c r="L642" s="1">
        <v>1.6763801044487103</v>
      </c>
      <c r="M642" s="1">
        <v>0.58410861546752857</v>
      </c>
      <c r="O642" s="1">
        <v>7.4633943248497512E-3</v>
      </c>
      <c r="P642" s="1">
        <v>0.67540001313584597</v>
      </c>
      <c r="R642" s="1">
        <v>0.23126112712470481</v>
      </c>
      <c r="S642" s="2">
        <f t="shared" si="120"/>
        <v>1.1917993120055839</v>
      </c>
      <c r="T642" s="4">
        <f t="shared" si="121"/>
        <v>1.420385600096983</v>
      </c>
      <c r="U642" s="1">
        <f t="shared" si="124"/>
        <v>1.3124737552583281</v>
      </c>
      <c r="V642" s="6">
        <f>2*sigma/alpha*corel*(B642/12-1/alpha*(1-EXP(-alpha*Output!B642/12)))</f>
        <v>3.8293195407823579</v>
      </c>
      <c r="W642" s="5">
        <f t="shared" si="122"/>
        <v>-0.1079118448386549</v>
      </c>
      <c r="X642" s="1">
        <f t="shared" si="123"/>
        <v>37.361146176481355</v>
      </c>
      <c r="Y642" s="3">
        <f t="shared" si="113"/>
        <v>2.1708940740792153E-2</v>
      </c>
      <c r="Z642" s="1">
        <f t="shared" si="114"/>
        <v>0.16435354417241674</v>
      </c>
      <c r="AA642" s="8">
        <f t="shared" si="119"/>
        <v>52.500000000000398</v>
      </c>
      <c r="AB642" s="1">
        <v>52.58</v>
      </c>
      <c r="AC642" s="1">
        <v>7.5461571259999999E-3</v>
      </c>
      <c r="AD642" s="8">
        <f t="shared" si="115"/>
        <v>0.82762801150248688</v>
      </c>
      <c r="AE642" s="3">
        <f t="shared" si="116"/>
        <v>1.0967542786127866E-2</v>
      </c>
      <c r="AF642" s="11">
        <f t="shared" si="117"/>
        <v>52.500000000000398</v>
      </c>
      <c r="AG642" s="1">
        <f t="shared" si="118"/>
        <v>0.16435354417241674</v>
      </c>
    </row>
    <row r="643" spans="2:33" ht="15" x14ac:dyDescent="0.25">
      <c r="B643" s="1">
        <v>632</v>
      </c>
      <c r="C643" s="1">
        <v>1.0010969093603936</v>
      </c>
      <c r="D643" s="1">
        <v>1.2756349323896379</v>
      </c>
      <c r="E643" s="1">
        <v>0.78256252204290977</v>
      </c>
      <c r="G643" s="1">
        <v>1.0000951032279259</v>
      </c>
      <c r="H643" s="1">
        <v>7.3852267069341284</v>
      </c>
      <c r="I643" s="1">
        <v>9.9645575273180409E-2</v>
      </c>
      <c r="K643" s="1">
        <v>0.99998304811393945</v>
      </c>
      <c r="L643" s="1">
        <v>1.6844025814956285</v>
      </c>
      <c r="M643" s="1">
        <v>0.58130996361371967</v>
      </c>
      <c r="O643" s="1">
        <v>7.4650131505656454E-3</v>
      </c>
      <c r="P643" s="1">
        <v>0.67492253391689705</v>
      </c>
      <c r="R643" s="1">
        <v>0.2314118267171848</v>
      </c>
      <c r="S643" s="2">
        <f t="shared" si="120"/>
        <v>1.1934909645370995</v>
      </c>
      <c r="T643" s="4">
        <f t="shared" si="121"/>
        <v>1.4244206824316961</v>
      </c>
      <c r="U643" s="1">
        <f t="shared" si="124"/>
        <v>1.3164901872087085</v>
      </c>
      <c r="V643" s="6">
        <f>2*sigma/alpha*corel*(B643/12-1/alpha*(1-EXP(-alpha*Output!B643/12)))</f>
        <v>3.8384669810877834</v>
      </c>
      <c r="W643" s="5">
        <f t="shared" si="122"/>
        <v>-0.10793049522298759</v>
      </c>
      <c r="X643" s="1">
        <f t="shared" si="123"/>
        <v>37.471186425210547</v>
      </c>
      <c r="Y643" s="3">
        <f t="shared" si="113"/>
        <v>2.1673142138457009E-2</v>
      </c>
      <c r="Z643" s="1">
        <f t="shared" si="114"/>
        <v>0.16445656668145683</v>
      </c>
      <c r="AA643" s="8">
        <f t="shared" si="119"/>
        <v>52.583333333333734</v>
      </c>
      <c r="AB643" s="1">
        <v>52.67</v>
      </c>
      <c r="AC643" s="1">
        <v>7.5459949060000002E-3</v>
      </c>
      <c r="AD643" s="8">
        <f t="shared" si="115"/>
        <v>0.80981755434354763</v>
      </c>
      <c r="AE643" s="3">
        <f t="shared" si="116"/>
        <v>1.0731753260257867E-2</v>
      </c>
      <c r="AF643" s="11">
        <f t="shared" si="117"/>
        <v>52.583333333333734</v>
      </c>
      <c r="AG643" s="1">
        <f t="shared" si="118"/>
        <v>0.16445656668145683</v>
      </c>
    </row>
    <row r="644" spans="2:33" ht="15" x14ac:dyDescent="0.25">
      <c r="B644" s="1">
        <v>633</v>
      </c>
      <c r="C644" s="1">
        <v>1.0011058522047416</v>
      </c>
      <c r="D644" s="1">
        <v>1.2822429418959775</v>
      </c>
      <c r="E644" s="1">
        <v>0.77852692295273673</v>
      </c>
      <c r="G644" s="1">
        <v>1.000748863403097</v>
      </c>
      <c r="H644" s="1">
        <v>7.7421355633185236</v>
      </c>
      <c r="I644" s="1">
        <v>9.5005886180607221E-2</v>
      </c>
      <c r="K644" s="1">
        <v>0.99996816848404491</v>
      </c>
      <c r="L644" s="1">
        <v>1.6748800655511671</v>
      </c>
      <c r="M644" s="1">
        <v>0.58459879634302681</v>
      </c>
      <c r="O644" s="1">
        <v>7.4666913569366306E-3</v>
      </c>
      <c r="P644" s="1">
        <v>0.67444309770595345</v>
      </c>
      <c r="R644" s="1">
        <v>0.23156612694610698</v>
      </c>
      <c r="S644" s="2">
        <f t="shared" si="120"/>
        <v>1.1952030886054008</v>
      </c>
      <c r="T644" s="4">
        <f t="shared" si="121"/>
        <v>1.4285104230118897</v>
      </c>
      <c r="U644" s="1">
        <f t="shared" si="124"/>
        <v>1.320510329084863</v>
      </c>
      <c r="V644" s="6">
        <f>2*sigma/alpha*corel*(B644/12-1/alpha*(1-EXP(-alpha*Output!B644/12)))</f>
        <v>3.8476186451043177</v>
      </c>
      <c r="W644" s="5">
        <f t="shared" si="122"/>
        <v>-0.1080000939270267</v>
      </c>
      <c r="X644" s="1">
        <f t="shared" si="123"/>
        <v>37.592189056757022</v>
      </c>
      <c r="Y644" s="3">
        <f t="shared" si="113"/>
        <v>2.1645765841920447E-2</v>
      </c>
      <c r="Z644" s="1">
        <f t="shared" si="114"/>
        <v>0.16456234779870396</v>
      </c>
      <c r="AA644" s="8">
        <f t="shared" si="119"/>
        <v>52.666666666667069</v>
      </c>
      <c r="AB644" s="1">
        <v>52.75</v>
      </c>
      <c r="AC644" s="1">
        <v>7.5458331989999997E-3</v>
      </c>
      <c r="AD644" s="8">
        <f t="shared" si="115"/>
        <v>0.79141842063369139</v>
      </c>
      <c r="AE644" s="3">
        <f t="shared" si="116"/>
        <v>1.048815153691143E-2</v>
      </c>
      <c r="AF644" s="11">
        <f t="shared" si="117"/>
        <v>52.666666666667069</v>
      </c>
      <c r="AG644" s="1">
        <f t="shared" si="118"/>
        <v>0.16456234779870396</v>
      </c>
    </row>
    <row r="645" spans="2:33" ht="15" x14ac:dyDescent="0.25">
      <c r="B645" s="1">
        <v>634</v>
      </c>
      <c r="C645" s="1">
        <v>1.0011135041330734</v>
      </c>
      <c r="D645" s="1">
        <v>1.2840015718558437</v>
      </c>
      <c r="E645" s="1">
        <v>0.77745793384830175</v>
      </c>
      <c r="G645" s="1">
        <v>1.0012333188828562</v>
      </c>
      <c r="H645" s="1">
        <v>7.836027471287883</v>
      </c>
      <c r="I645" s="1">
        <v>9.3822017462453638E-2</v>
      </c>
      <c r="K645" s="1">
        <v>0.99998330813689185</v>
      </c>
      <c r="L645" s="1">
        <v>1.6795893958390817</v>
      </c>
      <c r="M645" s="1">
        <v>0.58293111568109723</v>
      </c>
      <c r="O645" s="1">
        <v>7.4684335165856831E-3</v>
      </c>
      <c r="P645" s="1">
        <v>0.6739615363288477</v>
      </c>
      <c r="R645" s="1">
        <v>0.23177144106094719</v>
      </c>
      <c r="S645" s="2">
        <f t="shared" si="120"/>
        <v>1.1971189721908877</v>
      </c>
      <c r="T645" s="4">
        <f t="shared" si="121"/>
        <v>1.4330938335793673</v>
      </c>
      <c r="U645" s="1">
        <f t="shared" si="124"/>
        <v>1.3245341702450366</v>
      </c>
      <c r="V645" s="6">
        <f>2*sigma/alpha*corel*(B645/12-1/alpha*(1-EXP(-alpha*Output!B645/12)))</f>
        <v>3.856774518776362</v>
      </c>
      <c r="W645" s="5">
        <f t="shared" si="122"/>
        <v>-0.10855966333433065</v>
      </c>
      <c r="X645" s="1">
        <f t="shared" si="123"/>
        <v>37.816985206671184</v>
      </c>
      <c r="Y645" s="3">
        <f t="shared" si="113"/>
        <v>2.169820606654083E-2</v>
      </c>
      <c r="Z645" s="1">
        <f t="shared" si="114"/>
        <v>0.16469609716402081</v>
      </c>
      <c r="AA645" s="8">
        <f t="shared" si="119"/>
        <v>52.750000000000405</v>
      </c>
      <c r="AB645" s="1">
        <v>52.83</v>
      </c>
      <c r="AC645" s="1">
        <v>7.5456720030000002E-3</v>
      </c>
      <c r="AD645" s="8">
        <f t="shared" si="115"/>
        <v>0.7723848641431712</v>
      </c>
      <c r="AE645" s="3">
        <f t="shared" si="116"/>
        <v>1.0236130908368231E-2</v>
      </c>
      <c r="AF645" s="11">
        <f t="shared" si="117"/>
        <v>52.750000000000405</v>
      </c>
      <c r="AG645" s="1">
        <f t="shared" si="118"/>
        <v>0.16469609716402081</v>
      </c>
    </row>
    <row r="646" spans="2:33" ht="15" x14ac:dyDescent="0.25">
      <c r="B646" s="1">
        <v>635</v>
      </c>
      <c r="C646" s="1">
        <v>1.0011182651268724</v>
      </c>
      <c r="D646" s="1">
        <v>1.2833209768477973</v>
      </c>
      <c r="E646" s="1">
        <v>0.77786756330127882</v>
      </c>
      <c r="G646" s="1">
        <v>1.0015076650963906</v>
      </c>
      <c r="H646" s="1">
        <v>7.7936611298943674</v>
      </c>
      <c r="I646" s="1">
        <v>9.4286307783166462E-2</v>
      </c>
      <c r="K646" s="1">
        <v>0.9999987944704003</v>
      </c>
      <c r="L646" s="1">
        <v>1.6675316774310402</v>
      </c>
      <c r="M646" s="1">
        <v>0.58712883122058013</v>
      </c>
      <c r="O646" s="1">
        <v>7.4701360115480356E-3</v>
      </c>
      <c r="P646" s="1">
        <v>0.67348153682572476</v>
      </c>
      <c r="R646" s="1">
        <v>0.23191680636977591</v>
      </c>
      <c r="S646" s="2">
        <f t="shared" si="120"/>
        <v>1.1988022736247228</v>
      </c>
      <c r="T646" s="4">
        <f t="shared" si="121"/>
        <v>1.4371268912478048</v>
      </c>
      <c r="U646" s="1">
        <f t="shared" si="124"/>
        <v>1.3285617000715648</v>
      </c>
      <c r="V646" s="6">
        <f>2*sigma/alpha*corel*(B646/12-1/alpha*(1-EXP(-alpha*Output!B646/12)))</f>
        <v>3.8659345880950915</v>
      </c>
      <c r="W646" s="5">
        <f t="shared" si="122"/>
        <v>-0.10856519117623997</v>
      </c>
      <c r="X646" s="1">
        <f t="shared" si="123"/>
        <v>37.925082371734092</v>
      </c>
      <c r="Y646" s="3">
        <f t="shared" si="113"/>
        <v>2.1660470502190107E-2</v>
      </c>
      <c r="Z646" s="1">
        <f t="shared" si="114"/>
        <v>0.16479776532663126</v>
      </c>
      <c r="AA646" s="8">
        <f t="shared" si="119"/>
        <v>52.833333333333741</v>
      </c>
      <c r="AB646" s="1">
        <v>52.92</v>
      </c>
      <c r="AC646" s="1">
        <v>7.5455113149999996E-3</v>
      </c>
      <c r="AD646" s="8">
        <f t="shared" si="115"/>
        <v>0.75375303451963993</v>
      </c>
      <c r="AE646" s="3">
        <f t="shared" si="116"/>
        <v>9.989422890682392E-3</v>
      </c>
      <c r="AF646" s="11">
        <f t="shared" si="117"/>
        <v>52.833333333333741</v>
      </c>
      <c r="AG646" s="1">
        <f t="shared" si="118"/>
        <v>0.16479776532663126</v>
      </c>
    </row>
    <row r="647" spans="2:33" ht="15" x14ac:dyDescent="0.25">
      <c r="B647" s="1">
        <v>636</v>
      </c>
      <c r="C647" s="1">
        <v>1.0011174446348916</v>
      </c>
      <c r="D647" s="1">
        <v>1.2790310752596374</v>
      </c>
      <c r="E647" s="1">
        <v>0.78047384982950396</v>
      </c>
      <c r="G647" s="1">
        <v>1.0013257099556638</v>
      </c>
      <c r="H647" s="1">
        <v>7.5600449311299309</v>
      </c>
      <c r="I647" s="1">
        <v>9.7152772699877529E-2</v>
      </c>
      <c r="K647" s="1">
        <v>0.99998225869713653</v>
      </c>
      <c r="L647" s="1">
        <v>1.6646386459597349</v>
      </c>
      <c r="M647" s="1">
        <v>0.58813241860352816</v>
      </c>
      <c r="O647" s="1">
        <v>7.4718227108070707E-3</v>
      </c>
      <c r="P647" s="1">
        <v>0.67300225163606564</v>
      </c>
      <c r="R647" s="1">
        <v>0.23204193628815614</v>
      </c>
      <c r="S647" s="2">
        <f t="shared" si="120"/>
        <v>1.2004077584783996</v>
      </c>
      <c r="T647" s="4">
        <f t="shared" si="121"/>
        <v>1.4409787866151358</v>
      </c>
      <c r="U647" s="1">
        <f t="shared" si="124"/>
        <v>1.3325929079708709</v>
      </c>
      <c r="V647" s="6">
        <f>2*sigma/alpha*corel*(B647/12-1/alpha*(1-EXP(-alpha*Output!B647/12)))</f>
        <v>3.8750988390983023</v>
      </c>
      <c r="W647" s="5">
        <f t="shared" si="122"/>
        <v>-0.10838587864426485</v>
      </c>
      <c r="X647" s="1">
        <f t="shared" si="123"/>
        <v>37.994197285365161</v>
      </c>
      <c r="Y647" s="3">
        <f t="shared" si="113"/>
        <v>2.159287248673749E-2</v>
      </c>
      <c r="Z647" s="1">
        <f t="shared" si="114"/>
        <v>0.16488868667297465</v>
      </c>
      <c r="AA647" s="8">
        <f t="shared" si="119"/>
        <v>52.916666666667076</v>
      </c>
      <c r="AB647" s="1">
        <v>53</v>
      </c>
      <c r="AC647" s="1">
        <v>7.545351134E-3</v>
      </c>
      <c r="AD647" s="8">
        <f t="shared" si="115"/>
        <v>0.73528423192929271</v>
      </c>
      <c r="AE647" s="3">
        <f t="shared" si="116"/>
        <v>9.7448643392623428E-3</v>
      </c>
      <c r="AF647" s="11">
        <f t="shared" si="117"/>
        <v>52.916666666667076</v>
      </c>
      <c r="AG647" s="1">
        <f t="shared" si="118"/>
        <v>0.16488868667297465</v>
      </c>
    </row>
    <row r="648" spans="2:33" ht="15" x14ac:dyDescent="0.25">
      <c r="B648" s="1">
        <v>637</v>
      </c>
      <c r="C648" s="1">
        <v>1.0011216839528121</v>
      </c>
      <c r="D648" s="1">
        <v>1.2808418368444958</v>
      </c>
      <c r="E648" s="1">
        <v>0.77936777198361529</v>
      </c>
      <c r="G648" s="1">
        <v>1.0015430020075611</v>
      </c>
      <c r="H648" s="1">
        <v>7.6524527852606079</v>
      </c>
      <c r="I648" s="1">
        <v>9.5933070318229244E-2</v>
      </c>
      <c r="K648" s="1">
        <v>0.99998499462530754</v>
      </c>
      <c r="L648" s="1">
        <v>1.6726271114251978</v>
      </c>
      <c r="M648" s="1">
        <v>0.58530096626666273</v>
      </c>
      <c r="O648" s="1">
        <v>7.4733983500470036E-3</v>
      </c>
      <c r="P648" s="1">
        <v>0.67252708330247268</v>
      </c>
      <c r="R648" s="1">
        <v>0.23219357951248953</v>
      </c>
      <c r="S648" s="2">
        <f t="shared" si="120"/>
        <v>1.2021079912951993</v>
      </c>
      <c r="T648" s="4">
        <f t="shared" si="121"/>
        <v>1.4450636227357789</v>
      </c>
      <c r="U648" s="1">
        <f t="shared" si="124"/>
        <v>1.3366277833734559</v>
      </c>
      <c r="V648" s="6">
        <f>2*sigma/alpha*corel*(B648/12-1/alpha*(1-EXP(-alpha*Output!B648/12)))</f>
        <v>3.8842672578702508</v>
      </c>
      <c r="W648" s="5">
        <f t="shared" si="122"/>
        <v>-0.10843583936232304</v>
      </c>
      <c r="X648" s="1">
        <f t="shared" si="123"/>
        <v>38.112075355162801</v>
      </c>
      <c r="Y648" s="3">
        <f t="shared" si="113"/>
        <v>2.1562611276740577E-2</v>
      </c>
      <c r="Z648" s="1">
        <f t="shared" si="114"/>
        <v>0.16499257141752174</v>
      </c>
      <c r="AA648" s="8">
        <f t="shared" si="119"/>
        <v>53.000000000000412</v>
      </c>
      <c r="AB648" s="1">
        <v>53.08</v>
      </c>
      <c r="AC648" s="1">
        <v>7.5451914559999996E-3</v>
      </c>
      <c r="AD648" s="8">
        <f t="shared" si="115"/>
        <v>0.71793105952996061</v>
      </c>
      <c r="AE648" s="3">
        <f t="shared" si="116"/>
        <v>9.5150807466794739E-3</v>
      </c>
      <c r="AF648" s="11">
        <f t="shared" si="117"/>
        <v>53.000000000000412</v>
      </c>
      <c r="AG648" s="1">
        <f t="shared" si="118"/>
        <v>0.16499257141752174</v>
      </c>
    </row>
    <row r="649" spans="2:33" ht="15" x14ac:dyDescent="0.25">
      <c r="B649" s="1">
        <v>638</v>
      </c>
      <c r="C649" s="1">
        <v>1.0011250867977186</v>
      </c>
      <c r="D649" s="1">
        <v>1.2798390031620563</v>
      </c>
      <c r="E649" s="1">
        <v>0.77997574860807228</v>
      </c>
      <c r="G649" s="1">
        <v>1.0017407360461599</v>
      </c>
      <c r="H649" s="1">
        <v>7.5903429042917478</v>
      </c>
      <c r="I649" s="1">
        <v>9.6671182575726128E-2</v>
      </c>
      <c r="K649" s="1">
        <v>0.99997828434193659</v>
      </c>
      <c r="L649" s="1">
        <v>1.6824599848509976</v>
      </c>
      <c r="M649" s="1">
        <v>0.58186311733761076</v>
      </c>
      <c r="O649" s="1">
        <v>7.4749938019954745E-3</v>
      </c>
      <c r="P649" s="1">
        <v>0.67205136604979343</v>
      </c>
      <c r="R649" s="1">
        <v>0.23236880270668167</v>
      </c>
      <c r="S649" s="2">
        <f t="shared" si="120"/>
        <v>1.2039028266923812</v>
      </c>
      <c r="T649" s="4">
        <f t="shared" si="121"/>
        <v>1.4493820161179058</v>
      </c>
      <c r="U649" s="1">
        <f t="shared" si="124"/>
        <v>1.3406663157338969</v>
      </c>
      <c r="V649" s="6">
        <f>2*sigma/alpha*corel*(B649/12-1/alpha*(1-EXP(-alpha*Output!B649/12)))</f>
        <v>3.893439830541503</v>
      </c>
      <c r="W649" s="5">
        <f t="shared" si="122"/>
        <v>-0.10871570038400891</v>
      </c>
      <c r="X649" s="1">
        <f t="shared" si="123"/>
        <v>38.279079329046269</v>
      </c>
      <c r="Y649" s="3">
        <f t="shared" si="113"/>
        <v>2.1569615225558551E-2</v>
      </c>
      <c r="Z649" s="1">
        <f t="shared" si="114"/>
        <v>0.16510936906012924</v>
      </c>
      <c r="AA649" s="8">
        <f t="shared" si="119"/>
        <v>53.083333333333748</v>
      </c>
      <c r="AB649" s="1">
        <v>53.17</v>
      </c>
      <c r="AC649" s="1">
        <v>7.5450322799999999E-3</v>
      </c>
      <c r="AD649" s="8">
        <f t="shared" si="115"/>
        <v>0.70038478004525417</v>
      </c>
      <c r="AE649" s="3">
        <f t="shared" si="116"/>
        <v>9.2827274165784499E-3</v>
      </c>
      <c r="AF649" s="11">
        <f t="shared" si="117"/>
        <v>53.083333333333748</v>
      </c>
      <c r="AG649" s="1">
        <f t="shared" si="118"/>
        <v>0.16510936906012924</v>
      </c>
    </row>
    <row r="650" spans="2:33" ht="15" x14ac:dyDescent="0.25">
      <c r="B650" s="1">
        <v>639</v>
      </c>
      <c r="C650" s="1">
        <v>1.0011305455772364</v>
      </c>
      <c r="D650" s="1">
        <v>1.2765533141277228</v>
      </c>
      <c r="E650" s="1">
        <v>0.78198059148792087</v>
      </c>
      <c r="G650" s="1">
        <v>1.0020596206693408</v>
      </c>
      <c r="H650" s="1">
        <v>7.4097082454334542</v>
      </c>
      <c r="I650" s="1">
        <v>9.8979838803142914E-2</v>
      </c>
      <c r="K650" s="1">
        <v>0.99996479757601719</v>
      </c>
      <c r="L650" s="1">
        <v>1.6916407806680387</v>
      </c>
      <c r="M650" s="1">
        <v>0.57868624156076776</v>
      </c>
      <c r="O650" s="1">
        <v>7.4766145821917847E-3</v>
      </c>
      <c r="P650" s="1">
        <v>0.6715749009482721</v>
      </c>
      <c r="R650" s="1">
        <v>0.23250431076662506</v>
      </c>
      <c r="S650" s="2">
        <f t="shared" si="120"/>
        <v>1.2055478067869976</v>
      </c>
      <c r="T650" s="4">
        <f t="shared" si="121"/>
        <v>1.45334551444894</v>
      </c>
      <c r="U650" s="1">
        <f t="shared" si="124"/>
        <v>1.3447084945308392</v>
      </c>
      <c r="V650" s="6">
        <f>2*sigma/alpha*corel*(B650/12-1/alpha*(1-EXP(-alpha*Output!B650/12)))</f>
        <v>3.9026165432887798</v>
      </c>
      <c r="W650" s="5">
        <f t="shared" si="122"/>
        <v>-0.10863701991810082</v>
      </c>
      <c r="X650" s="1">
        <f t="shared" si="123"/>
        <v>38.370101126506739</v>
      </c>
      <c r="Y650" s="3">
        <f t="shared" si="113"/>
        <v>2.1518721933187008E-2</v>
      </c>
      <c r="Z650" s="1">
        <f t="shared" si="114"/>
        <v>0.16520554927355866</v>
      </c>
      <c r="AA650" s="8">
        <f t="shared" si="119"/>
        <v>53.166666666667084</v>
      </c>
      <c r="AB650" s="1">
        <v>53.25</v>
      </c>
      <c r="AC650" s="1">
        <v>7.5448736019999999E-3</v>
      </c>
      <c r="AD650" s="8">
        <f t="shared" si="115"/>
        <v>0.6825901980821516</v>
      </c>
      <c r="AE650" s="3">
        <f t="shared" si="116"/>
        <v>9.047072675958551E-3</v>
      </c>
      <c r="AF650" s="11">
        <f t="shared" si="117"/>
        <v>53.166666666667084</v>
      </c>
      <c r="AG650" s="1">
        <f t="shared" si="118"/>
        <v>0.16520554927355866</v>
      </c>
    </row>
    <row r="651" spans="2:33" ht="15" x14ac:dyDescent="0.25">
      <c r="B651" s="1">
        <v>640</v>
      </c>
      <c r="C651" s="1">
        <v>1.0011315475158098</v>
      </c>
      <c r="D651" s="1">
        <v>1.2777854844924963</v>
      </c>
      <c r="E651" s="1">
        <v>0.78122380696684846</v>
      </c>
      <c r="G651" s="1">
        <v>1.0020997484115286</v>
      </c>
      <c r="H651" s="1">
        <v>7.4706018279795776</v>
      </c>
      <c r="I651" s="1">
        <v>9.8125454430400619E-2</v>
      </c>
      <c r="K651" s="1">
        <v>0.99996701536691068</v>
      </c>
      <c r="L651" s="1">
        <v>1.6873610189626009</v>
      </c>
      <c r="M651" s="1">
        <v>0.58013870097478759</v>
      </c>
      <c r="O651" s="1">
        <v>7.4782603313076415E-3</v>
      </c>
      <c r="P651" s="1">
        <v>0.67109769867780455</v>
      </c>
      <c r="R651" s="1">
        <v>0.23267572069593959</v>
      </c>
      <c r="S651" s="2">
        <f t="shared" si="120"/>
        <v>1.2073356843571552</v>
      </c>
      <c r="T651" s="4">
        <f t="shared" si="121"/>
        <v>1.4576594547221604</v>
      </c>
      <c r="U651" s="1">
        <f t="shared" si="124"/>
        <v>1.3487543092669894</v>
      </c>
      <c r="V651" s="6">
        <f>2*sigma/alpha*corel*(B651/12-1/alpha*(1-EXP(-alpha*Output!B651/12)))</f>
        <v>3.9117973823348038</v>
      </c>
      <c r="W651" s="5">
        <f t="shared" si="122"/>
        <v>-0.10890514545517105</v>
      </c>
      <c r="X651" s="1">
        <f t="shared" si="123"/>
        <v>38.535256457544577</v>
      </c>
      <c r="Y651" s="3">
        <f t="shared" si="113"/>
        <v>2.1523873470437486E-2</v>
      </c>
      <c r="Z651" s="1">
        <f t="shared" si="114"/>
        <v>0.16532124720083774</v>
      </c>
      <c r="AA651" s="8">
        <f t="shared" si="119"/>
        <v>53.250000000000419</v>
      </c>
      <c r="AB651" s="1">
        <v>53.33</v>
      </c>
      <c r="AC651" s="1">
        <v>7.5447154219999996E-3</v>
      </c>
      <c r="AD651" s="8">
        <f t="shared" si="115"/>
        <v>0.66455090692358121</v>
      </c>
      <c r="AE651" s="3">
        <f t="shared" si="116"/>
        <v>8.8081639896686516E-3</v>
      </c>
      <c r="AF651" s="11">
        <f t="shared" si="117"/>
        <v>53.250000000000419</v>
      </c>
      <c r="AG651" s="1">
        <f t="shared" si="118"/>
        <v>0.16532124720083774</v>
      </c>
    </row>
    <row r="652" spans="2:33" ht="15" x14ac:dyDescent="0.25">
      <c r="B652" s="1">
        <v>641</v>
      </c>
      <c r="C652" s="1">
        <v>1.0011344009622667</v>
      </c>
      <c r="D652" s="1">
        <v>1.2774815678586202</v>
      </c>
      <c r="E652" s="1">
        <v>0.78140693873223976</v>
      </c>
      <c r="G652" s="1">
        <v>1.0021869722666663</v>
      </c>
      <c r="H652" s="1">
        <v>7.4546080858195305</v>
      </c>
      <c r="I652" s="1">
        <v>9.8288311324032693E-2</v>
      </c>
      <c r="K652" s="1">
        <v>0.99995399856256073</v>
      </c>
      <c r="L652" s="1">
        <v>1.6817035735130883</v>
      </c>
      <c r="M652" s="1">
        <v>0.5820672632634849</v>
      </c>
      <c r="O652" s="1">
        <v>7.4799254174191653E-3</v>
      </c>
      <c r="P652" s="1">
        <v>0.6706199588526055</v>
      </c>
      <c r="R652" s="1">
        <v>0.23281044831608133</v>
      </c>
      <c r="S652" s="2">
        <f t="shared" si="120"/>
        <v>1.2089846990083328</v>
      </c>
      <c r="T652" s="4">
        <f t="shared" si="121"/>
        <v>1.4616440024362691</v>
      </c>
      <c r="U652" s="1">
        <f t="shared" si="124"/>
        <v>1.3528037494691065</v>
      </c>
      <c r="V652" s="6">
        <f>2*sigma/alpha*corel*(B652/12-1/alpha*(1-EXP(-alpha*Output!B652/12)))</f>
        <v>3.9209823339481416</v>
      </c>
      <c r="W652" s="5">
        <f t="shared" si="122"/>
        <v>-0.1088402529671626</v>
      </c>
      <c r="X652" s="1">
        <f t="shared" si="123"/>
        <v>38.629636513783822</v>
      </c>
      <c r="Y652" s="3">
        <f t="shared" si="113"/>
        <v>2.1475433242370327E-2</v>
      </c>
      <c r="Z652" s="1">
        <f t="shared" si="114"/>
        <v>0.16541786556601709</v>
      </c>
      <c r="AA652" s="8">
        <f t="shared" si="119"/>
        <v>53.333333333333755</v>
      </c>
      <c r="AB652" s="1">
        <v>53.42</v>
      </c>
      <c r="AC652" s="1">
        <v>7.5445577349999996E-3</v>
      </c>
      <c r="AD652" s="8">
        <f t="shared" si="115"/>
        <v>0.64632317580834253</v>
      </c>
      <c r="AE652" s="3">
        <f t="shared" si="116"/>
        <v>8.5667470315719252E-3</v>
      </c>
      <c r="AF652" s="11">
        <f t="shared" si="117"/>
        <v>53.333333333333755</v>
      </c>
      <c r="AG652" s="1">
        <f t="shared" si="118"/>
        <v>0.16541786556601709</v>
      </c>
    </row>
    <row r="653" spans="2:33" ht="15" x14ac:dyDescent="0.25">
      <c r="B653" s="1">
        <v>642</v>
      </c>
      <c r="C653" s="1">
        <v>1.001137536487376</v>
      </c>
      <c r="D653" s="1">
        <v>1.2820456933299378</v>
      </c>
      <c r="E653" s="1">
        <v>0.77862238545913776</v>
      </c>
      <c r="G653" s="1">
        <v>1.0023091178973547</v>
      </c>
      <c r="H653" s="1">
        <v>7.6967700131950814</v>
      </c>
      <c r="I653" s="1">
        <v>9.5149737972659354E-2</v>
      </c>
      <c r="K653" s="1">
        <v>0.99996333435467399</v>
      </c>
      <c r="L653" s="1">
        <v>1.6709842052854762</v>
      </c>
      <c r="M653" s="1">
        <v>0.58577130175657521</v>
      </c>
      <c r="O653" s="1">
        <v>7.4817198360845102E-3</v>
      </c>
      <c r="P653" s="1">
        <v>0.67013773625135253</v>
      </c>
      <c r="R653" s="1">
        <v>0.23296223995962304</v>
      </c>
      <c r="S653" s="2">
        <f t="shared" si="120"/>
        <v>1.2107125615878667</v>
      </c>
      <c r="T653" s="4">
        <f t="shared" si="121"/>
        <v>1.4658249067866538</v>
      </c>
      <c r="U653" s="1">
        <f t="shared" si="124"/>
        <v>1.3568568046879981</v>
      </c>
      <c r="V653" s="6">
        <f>2*sigma/alpha*corel*(B653/12-1/alpha*(1-EXP(-alpha*Output!B653/12)))</f>
        <v>3.9301713844430601</v>
      </c>
      <c r="W653" s="5">
        <f t="shared" si="122"/>
        <v>-0.10896810209865571</v>
      </c>
      <c r="X653" s="1">
        <f t="shared" si="123"/>
        <v>38.7654209602074</v>
      </c>
      <c r="Y653" s="3">
        <f t="shared" ref="Y653:Y716" si="125">(-V653+SQRT(X653))/2/B653*12</f>
        <v>2.1458102174525193E-2</v>
      </c>
      <c r="Z653" s="1">
        <f t="shared" ref="Z653:Z716" si="126">S653/SQRT(B653/12)</f>
        <v>0.16552521375468932</v>
      </c>
      <c r="AA653" s="8">
        <f t="shared" si="119"/>
        <v>53.416666666667091</v>
      </c>
      <c r="AB653" s="1">
        <v>53.5</v>
      </c>
      <c r="AC653" s="1">
        <v>7.5444005409999997E-3</v>
      </c>
      <c r="AD653" s="8">
        <f t="shared" ref="AD653:AD716" si="127">(AC653-O653)*10000</f>
        <v>0.62680704915489549</v>
      </c>
      <c r="AE653" s="3">
        <f t="shared" ref="AE653:AE716" si="128">AD653/AC653/10000</f>
        <v>8.3082419305353199E-3</v>
      </c>
      <c r="AF653" s="11">
        <f t="shared" ref="AF653:AF716" si="129">AA653</f>
        <v>53.416666666667091</v>
      </c>
      <c r="AG653" s="1">
        <f t="shared" ref="AG653:AG716" si="130">Z653</f>
        <v>0.16552521375468932</v>
      </c>
    </row>
    <row r="654" spans="2:33" ht="15" x14ac:dyDescent="0.25">
      <c r="B654" s="1">
        <v>643</v>
      </c>
      <c r="C654" s="1">
        <v>1.0011429854495904</v>
      </c>
      <c r="D654" s="1">
        <v>1.281844628854184</v>
      </c>
      <c r="E654" s="1">
        <v>0.77874179408016009</v>
      </c>
      <c r="G654" s="1">
        <v>1.0026656264641582</v>
      </c>
      <c r="H654" s="1">
        <v>7.6856202656716475</v>
      </c>
      <c r="I654" s="1">
        <v>9.5241581491120525E-2</v>
      </c>
      <c r="K654" s="1">
        <v>0.99997663326096742</v>
      </c>
      <c r="L654" s="1">
        <v>1.668707041148076</v>
      </c>
      <c r="M654" s="1">
        <v>0.58655484280477299</v>
      </c>
      <c r="O654" s="1">
        <v>7.4834929936742492E-3</v>
      </c>
      <c r="P654" s="1">
        <v>0.66965642302652051</v>
      </c>
      <c r="R654" s="1">
        <v>0.23312854318146686</v>
      </c>
      <c r="S654" s="2">
        <f t="shared" si="120"/>
        <v>1.2124968237936449</v>
      </c>
      <c r="T654" s="4">
        <f t="shared" si="121"/>
        <v>1.4701485477096772</v>
      </c>
      <c r="U654" s="1">
        <f t="shared" si="124"/>
        <v>1.3609134644985073</v>
      </c>
      <c r="V654" s="6">
        <f>2*sigma/alpha*corel*(B654/12-1/alpha*(1-EXP(-alpha*Output!B654/12)))</f>
        <v>3.9393645201793661</v>
      </c>
      <c r="W654" s="5">
        <f t="shared" si="122"/>
        <v>-0.10923508321116993</v>
      </c>
      <c r="X654" s="1">
        <f t="shared" si="123"/>
        <v>38.931312324442089</v>
      </c>
      <c r="Y654" s="3">
        <f t="shared" si="125"/>
        <v>2.1463125716853357E-2</v>
      </c>
      <c r="Z654" s="1">
        <f t="shared" si="126"/>
        <v>0.16564019998630322</v>
      </c>
      <c r="AA654" s="8">
        <f t="shared" ref="AA654:AA717" si="131">AA653+1/12</f>
        <v>53.500000000000426</v>
      </c>
      <c r="AB654" s="1">
        <v>53.58</v>
      </c>
      <c r="AC654" s="1">
        <v>7.5442438360000001E-3</v>
      </c>
      <c r="AD654" s="8">
        <f t="shared" si="127"/>
        <v>0.60750842325750853</v>
      </c>
      <c r="AE654" s="3">
        <f t="shared" si="128"/>
        <v>8.0526085378970578E-3</v>
      </c>
      <c r="AF654" s="11">
        <f t="shared" si="129"/>
        <v>53.500000000000426</v>
      </c>
      <c r="AG654" s="1">
        <f t="shared" si="130"/>
        <v>0.16564019998630322</v>
      </c>
    </row>
    <row r="655" spans="2:33" ht="15" x14ac:dyDescent="0.25">
      <c r="B655" s="1">
        <v>644</v>
      </c>
      <c r="C655" s="1">
        <v>1.0011478738451867</v>
      </c>
      <c r="D655" s="1">
        <v>1.2828422103348536</v>
      </c>
      <c r="E655" s="1">
        <v>0.77813349358362283</v>
      </c>
      <c r="G655" s="1">
        <v>1.0029598424675519</v>
      </c>
      <c r="H655" s="1">
        <v>7.7329412668850539</v>
      </c>
      <c r="I655" s="1">
        <v>9.4612871257665196E-2</v>
      </c>
      <c r="K655" s="1">
        <v>0.99997300811611012</v>
      </c>
      <c r="L655" s="1">
        <v>1.6736150103746954</v>
      </c>
      <c r="M655" s="1">
        <v>0.58480758136667599</v>
      </c>
      <c r="O655" s="1">
        <v>7.4852669145424261E-3</v>
      </c>
      <c r="P655" s="1">
        <v>0.66917523032537052</v>
      </c>
      <c r="R655" s="1">
        <v>0.23327594294593076</v>
      </c>
      <c r="S655" s="2">
        <f t="shared" si="120"/>
        <v>1.2142094718249272</v>
      </c>
      <c r="T655" s="4">
        <f t="shared" si="121"/>
        <v>1.4743046414693688</v>
      </c>
      <c r="U655" s="1">
        <f t="shared" si="124"/>
        <v>1.3649737184995088</v>
      </c>
      <c r="V655" s="6">
        <f>2*sigma/alpha*corel*(B655/12-1/alpha*(1-EXP(-alpha*Output!B655/12)))</f>
        <v>3.9485617275622582</v>
      </c>
      <c r="W655" s="5">
        <f t="shared" si="122"/>
        <v>-0.10933092296986002</v>
      </c>
      <c r="X655" s="1">
        <f t="shared" si="123"/>
        <v>39.060844513899397</v>
      </c>
      <c r="Y655" s="3">
        <f t="shared" si="125"/>
        <v>2.1440737566581922E-2</v>
      </c>
      <c r="Z655" s="1">
        <f t="shared" si="126"/>
        <v>0.16574533193557955</v>
      </c>
      <c r="AA655" s="8">
        <f t="shared" si="131"/>
        <v>53.583333333333762</v>
      </c>
      <c r="AB655" s="1">
        <v>53.67</v>
      </c>
      <c r="AC655" s="1">
        <v>7.5440876190000002E-3</v>
      </c>
      <c r="AD655" s="8">
        <f t="shared" si="127"/>
        <v>0.58820704457574102</v>
      </c>
      <c r="AE655" s="3">
        <f t="shared" si="128"/>
        <v>7.7969275316252269E-3</v>
      </c>
      <c r="AF655" s="11">
        <f t="shared" si="129"/>
        <v>53.583333333333762</v>
      </c>
      <c r="AG655" s="1">
        <f t="shared" si="130"/>
        <v>0.16574533193557955</v>
      </c>
    </row>
    <row r="656" spans="2:33" ht="15" x14ac:dyDescent="0.25">
      <c r="B656" s="1">
        <v>645</v>
      </c>
      <c r="C656" s="1">
        <v>1.0011474039050301</v>
      </c>
      <c r="D656" s="1">
        <v>1.2851055595747378</v>
      </c>
      <c r="E656" s="1">
        <v>0.77676030786941741</v>
      </c>
      <c r="G656" s="1">
        <v>1.0028336370494295</v>
      </c>
      <c r="H656" s="1">
        <v>7.8549814548719601</v>
      </c>
      <c r="I656" s="1">
        <v>9.3097749098232471E-2</v>
      </c>
      <c r="K656" s="1">
        <v>0.99997486617981202</v>
      </c>
      <c r="L656" s="1">
        <v>1.6700763952180608</v>
      </c>
      <c r="M656" s="1">
        <v>0.58601703343023381</v>
      </c>
      <c r="O656" s="1">
        <v>7.4870152970230863E-3</v>
      </c>
      <c r="P656" s="1">
        <v>0.66869510360074003</v>
      </c>
      <c r="R656" s="1">
        <v>0.23339372753099516</v>
      </c>
      <c r="S656" s="2">
        <f t="shared" si="120"/>
        <v>1.2158063415671443</v>
      </c>
      <c r="T656" s="4">
        <f t="shared" si="121"/>
        <v>1.4781850601948836</v>
      </c>
      <c r="U656" s="1">
        <f t="shared" si="124"/>
        <v>1.3690375563138959</v>
      </c>
      <c r="V656" s="6">
        <f>2*sigma/alpha*corel*(B656/12-1/alpha*(1-EXP(-alpha*Output!B656/12)))</f>
        <v>3.957762993042178</v>
      </c>
      <c r="W656" s="5">
        <f t="shared" si="122"/>
        <v>-0.10914750388098771</v>
      </c>
      <c r="X656" s="1">
        <f t="shared" si="123"/>
        <v>39.13060124350654</v>
      </c>
      <c r="Y656" s="3">
        <f t="shared" si="125"/>
        <v>2.1373792874073819E-2</v>
      </c>
      <c r="Z656" s="1">
        <f t="shared" si="126"/>
        <v>0.16583460856821949</v>
      </c>
      <c r="AA656" s="8">
        <f t="shared" si="131"/>
        <v>53.666666666667098</v>
      </c>
      <c r="AB656" s="1">
        <v>53.75</v>
      </c>
      <c r="AC656" s="1">
        <v>7.5439318869999997E-3</v>
      </c>
      <c r="AD656" s="8">
        <f t="shared" si="127"/>
        <v>0.56916589976913412</v>
      </c>
      <c r="AE656" s="3">
        <f t="shared" si="128"/>
        <v>7.5446850302286423E-3</v>
      </c>
      <c r="AF656" s="11">
        <f t="shared" si="129"/>
        <v>53.666666666667098</v>
      </c>
      <c r="AG656" s="1">
        <f t="shared" si="130"/>
        <v>0.16583460856821949</v>
      </c>
    </row>
    <row r="657" spans="2:33" ht="15" x14ac:dyDescent="0.25">
      <c r="B657" s="1">
        <v>646</v>
      </c>
      <c r="C657" s="1">
        <v>1.0011510294025088</v>
      </c>
      <c r="D657" s="1">
        <v>1.2890946100186256</v>
      </c>
      <c r="E657" s="1">
        <v>0.7743539349817149</v>
      </c>
      <c r="G657" s="1">
        <v>1.0030203525979122</v>
      </c>
      <c r="H657" s="1">
        <v>8.0695541842841418</v>
      </c>
      <c r="I657" s="1">
        <v>9.0578309594091772E-2</v>
      </c>
      <c r="K657" s="1">
        <v>0.99997870960212187</v>
      </c>
      <c r="L657" s="1">
        <v>1.6777447390965692</v>
      </c>
      <c r="M657" s="1">
        <v>0.58333880696383622</v>
      </c>
      <c r="O657" s="1">
        <v>7.4888147798222171E-3</v>
      </c>
      <c r="P657" s="1">
        <v>0.66821328845562056</v>
      </c>
      <c r="R657" s="1">
        <v>0.2335148985640958</v>
      </c>
      <c r="S657" s="2">
        <f t="shared" si="120"/>
        <v>1.2174223181653436</v>
      </c>
      <c r="T657" s="4">
        <f t="shared" si="121"/>
        <v>1.4821171007670793</v>
      </c>
      <c r="U657" s="1">
        <f t="shared" si="124"/>
        <v>1.3731049675885738</v>
      </c>
      <c r="V657" s="6">
        <f>2*sigma/alpha*corel*(B657/12-1/alpha*(1-EXP(-alpha*Output!B657/12)))</f>
        <v>3.9669683031146543</v>
      </c>
      <c r="W657" s="5">
        <f t="shared" si="122"/>
        <v>-0.10901213317850544</v>
      </c>
      <c r="X657" s="1">
        <f t="shared" si="123"/>
        <v>39.210783529021199</v>
      </c>
      <c r="Y657" s="3">
        <f t="shared" si="125"/>
        <v>2.1314704111445898E-2</v>
      </c>
      <c r="Z657" s="1">
        <f t="shared" si="126"/>
        <v>0.16592645060734945</v>
      </c>
      <c r="AA657" s="8">
        <f t="shared" si="131"/>
        <v>53.750000000000433</v>
      </c>
      <c r="AB657" s="1">
        <v>53.83</v>
      </c>
      <c r="AC657" s="1">
        <v>7.5437766380000004E-3</v>
      </c>
      <c r="AD657" s="8">
        <f t="shared" si="127"/>
        <v>0.54961858177783252</v>
      </c>
      <c r="AE657" s="3">
        <f t="shared" si="128"/>
        <v>7.2857218360530213E-3</v>
      </c>
      <c r="AF657" s="11">
        <f t="shared" si="129"/>
        <v>53.750000000000433</v>
      </c>
      <c r="AG657" s="1">
        <f t="shared" si="130"/>
        <v>0.16592645060734945</v>
      </c>
    </row>
    <row r="658" spans="2:33" ht="15" x14ac:dyDescent="0.25">
      <c r="B658" s="1">
        <v>647</v>
      </c>
      <c r="C658" s="1">
        <v>1.0011467997273276</v>
      </c>
      <c r="D658" s="1">
        <v>1.2933104096175918</v>
      </c>
      <c r="E658" s="1">
        <v>0.7718270614108832</v>
      </c>
      <c r="G658" s="1">
        <v>1.0026313286286455</v>
      </c>
      <c r="H658" s="1">
        <v>8.301754423372385</v>
      </c>
      <c r="I658" s="1">
        <v>8.8002149118785469E-2</v>
      </c>
      <c r="K658" s="1">
        <v>0.99995422868562822</v>
      </c>
      <c r="L658" s="1">
        <v>1.6727489027597959</v>
      </c>
      <c r="M658" s="1">
        <v>0.5850748751998579</v>
      </c>
      <c r="O658" s="1">
        <v>7.4906998402856691E-3</v>
      </c>
      <c r="P658" s="1">
        <v>0.66772853926274378</v>
      </c>
      <c r="R658" s="1">
        <v>0.23364439779388807</v>
      </c>
      <c r="S658" s="2">
        <f t="shared" si="120"/>
        <v>1.2190797047430426</v>
      </c>
      <c r="T658" s="4">
        <f t="shared" si="121"/>
        <v>1.486155326516384</v>
      </c>
      <c r="U658" s="1">
        <f t="shared" si="124"/>
        <v>1.3771759419944467</v>
      </c>
      <c r="V658" s="6">
        <f>2*sigma/alpha*corel*(B658/12-1/alpha*(1-EXP(-alpha*Output!B658/12)))</f>
        <v>3.9761776443201557</v>
      </c>
      <c r="W658" s="5">
        <f t="shared" si="122"/>
        <v>-0.10897938452193734</v>
      </c>
      <c r="X658" s="1">
        <f t="shared" si="123"/>
        <v>39.313209254422532</v>
      </c>
      <c r="Y658" s="3">
        <f t="shared" si="125"/>
        <v>2.1272151626601683E-2</v>
      </c>
      <c r="Z658" s="1">
        <f t="shared" si="126"/>
        <v>0.16602388944782226</v>
      </c>
      <c r="AA658" s="8">
        <f t="shared" si="131"/>
        <v>53.833333333333769</v>
      </c>
      <c r="AB658" s="1">
        <v>53.92</v>
      </c>
      <c r="AC658" s="1">
        <v>7.5436218700000003E-3</v>
      </c>
      <c r="AD658" s="8">
        <f t="shared" si="127"/>
        <v>0.52922029714331209</v>
      </c>
      <c r="AE658" s="3">
        <f t="shared" si="128"/>
        <v>7.0154669237591574E-3</v>
      </c>
      <c r="AF658" s="11">
        <f t="shared" si="129"/>
        <v>53.833333333333769</v>
      </c>
      <c r="AG658" s="1">
        <f t="shared" si="130"/>
        <v>0.16602388944782226</v>
      </c>
    </row>
    <row r="659" spans="2:33" ht="15" x14ac:dyDescent="0.25">
      <c r="B659" s="1">
        <v>648</v>
      </c>
      <c r="C659" s="1">
        <v>1.0011529533960957</v>
      </c>
      <c r="D659" s="1">
        <v>1.2951363324249525</v>
      </c>
      <c r="E659" s="1">
        <v>0.77073620119448683</v>
      </c>
      <c r="G659" s="1">
        <v>1.0030545726482401</v>
      </c>
      <c r="H659" s="1">
        <v>8.4017883573940644</v>
      </c>
      <c r="I659" s="1">
        <v>8.6912216979240745E-2</v>
      </c>
      <c r="K659" s="1">
        <v>0.99994083297249892</v>
      </c>
      <c r="L659" s="1">
        <v>1.6770219692121253</v>
      </c>
      <c r="M659" s="1">
        <v>0.5835814795170482</v>
      </c>
      <c r="O659" s="1">
        <v>7.4925997160475511E-3</v>
      </c>
      <c r="P659" s="1">
        <v>0.66724339828180057</v>
      </c>
      <c r="R659" s="1">
        <v>0.23383074948888236</v>
      </c>
      <c r="S659" s="2">
        <f t="shared" si="120"/>
        <v>1.2209620959734362</v>
      </c>
      <c r="T659" s="4">
        <f t="shared" si="121"/>
        <v>1.4907484398038464</v>
      </c>
      <c r="U659" s="1">
        <f t="shared" si="124"/>
        <v>1.3812504692264111</v>
      </c>
      <c r="V659" s="6">
        <f>2*sigma/alpha*corel*(B659/12-1/alpha*(1-EXP(-alpha*Output!B659/12)))</f>
        <v>3.985391003243945</v>
      </c>
      <c r="W659" s="5">
        <f t="shared" si="122"/>
        <v>-0.10949797057743527</v>
      </c>
      <c r="X659" s="1">
        <f t="shared" si="123"/>
        <v>39.534903093463797</v>
      </c>
      <c r="Y659" s="3">
        <f t="shared" si="125"/>
        <v>2.1317478422610402E-2</v>
      </c>
      <c r="Z659" s="1">
        <f t="shared" si="126"/>
        <v>0.16615189613411011</v>
      </c>
      <c r="AA659" s="8">
        <f t="shared" si="131"/>
        <v>53.916666666667105</v>
      </c>
      <c r="AB659" s="1">
        <v>54</v>
      </c>
      <c r="AC659" s="1">
        <v>7.5434675800000002E-3</v>
      </c>
      <c r="AD659" s="8">
        <f t="shared" si="127"/>
        <v>0.50867863952449088</v>
      </c>
      <c r="AE659" s="3">
        <f t="shared" si="128"/>
        <v>6.7432998701174359E-3</v>
      </c>
      <c r="AF659" s="11">
        <f t="shared" si="129"/>
        <v>53.916666666667105</v>
      </c>
      <c r="AG659" s="1">
        <f t="shared" si="130"/>
        <v>0.16615189613411011</v>
      </c>
    </row>
    <row r="660" spans="2:33" ht="15" x14ac:dyDescent="0.25">
      <c r="B660" s="1">
        <v>649</v>
      </c>
      <c r="C660" s="1">
        <v>1.0011555030455745</v>
      </c>
      <c r="D660" s="1">
        <v>1.2875839331232328</v>
      </c>
      <c r="E660" s="1">
        <v>0.77525426462580571</v>
      </c>
      <c r="G660" s="1">
        <v>1.0031361109107735</v>
      </c>
      <c r="H660" s="1">
        <v>7.9694480129604033</v>
      </c>
      <c r="I660" s="1">
        <v>9.1582759769419056E-2</v>
      </c>
      <c r="K660" s="1">
        <v>0.99993220680023898</v>
      </c>
      <c r="L660" s="1">
        <v>1.6840680216105552</v>
      </c>
      <c r="M660" s="1">
        <v>0.5810980981809909</v>
      </c>
      <c r="O660" s="1">
        <v>7.4945575104312517E-3</v>
      </c>
      <c r="P660" s="1">
        <v>0.66675631008353253</v>
      </c>
      <c r="R660" s="1">
        <v>0.23393735867730966</v>
      </c>
      <c r="S660" s="2">
        <f t="shared" si="120"/>
        <v>1.2225398184623841</v>
      </c>
      <c r="T660" s="4">
        <f t="shared" si="121"/>
        <v>1.4946036077260392</v>
      </c>
      <c r="U660" s="1">
        <f t="shared" si="124"/>
        <v>1.3853285390033414</v>
      </c>
      <c r="V660" s="6">
        <f>2*sigma/alpha*corel*(B660/12-1/alpha*(1-EXP(-alpha*Output!B660/12)))</f>
        <v>3.9946083665159229</v>
      </c>
      <c r="W660" s="5">
        <f t="shared" si="122"/>
        <v>-0.10927506872269777</v>
      </c>
      <c r="X660" s="1">
        <f t="shared" si="123"/>
        <v>39.596735868849294</v>
      </c>
      <c r="Y660" s="3">
        <f t="shared" si="125"/>
        <v>2.1244856994595756E-2</v>
      </c>
      <c r="Z660" s="1">
        <f t="shared" si="126"/>
        <v>0.16623837606739025</v>
      </c>
      <c r="AA660" s="8">
        <f t="shared" si="131"/>
        <v>54.000000000000441</v>
      </c>
      <c r="AB660" s="1">
        <v>54.08</v>
      </c>
      <c r="AC660" s="1">
        <v>7.5433137659999998E-3</v>
      </c>
      <c r="AD660" s="8">
        <f t="shared" si="127"/>
        <v>0.4875625556874808</v>
      </c>
      <c r="AE660" s="3">
        <f t="shared" si="128"/>
        <v>6.4635062362787153E-3</v>
      </c>
      <c r="AF660" s="11">
        <f t="shared" si="129"/>
        <v>54.000000000000441</v>
      </c>
      <c r="AG660" s="1">
        <f t="shared" si="130"/>
        <v>0.16623837606739025</v>
      </c>
    </row>
    <row r="661" spans="2:33" ht="15" x14ac:dyDescent="0.25">
      <c r="B661" s="1">
        <v>650</v>
      </c>
      <c r="C661" s="1">
        <v>1.0011543799517293</v>
      </c>
      <c r="D661" s="1">
        <v>1.2881109565377857</v>
      </c>
      <c r="E661" s="1">
        <v>0.77493433610365015</v>
      </c>
      <c r="G661" s="1">
        <v>1.0029298747267628</v>
      </c>
      <c r="H661" s="1">
        <v>7.993940624762776</v>
      </c>
      <c r="I661" s="1">
        <v>9.1257895946440917E-2</v>
      </c>
      <c r="K661" s="1">
        <v>0.99993762367956063</v>
      </c>
      <c r="L661" s="1">
        <v>1.6827166595947496</v>
      </c>
      <c r="M661" s="1">
        <v>0.58151812172295392</v>
      </c>
      <c r="O661" s="1">
        <v>7.4964582201302934E-3</v>
      </c>
      <c r="P661" s="1">
        <v>0.66627142022299202</v>
      </c>
      <c r="R661" s="1">
        <v>0.23406149247860805</v>
      </c>
      <c r="S661" s="2">
        <f t="shared" si="120"/>
        <v>1.2241827437541855</v>
      </c>
      <c r="T661" s="4">
        <f t="shared" si="121"/>
        <v>1.4986233901055257</v>
      </c>
      <c r="U661" s="1">
        <f t="shared" si="124"/>
        <v>1.3894101410680806</v>
      </c>
      <c r="V661" s="6">
        <f>2*sigma/alpha*corel*(B661/12-1/alpha*(1-EXP(-alpha*Output!B661/12)))</f>
        <v>4.0038297208104821</v>
      </c>
      <c r="W661" s="5">
        <f t="shared" si="122"/>
        <v>-0.10921324903744511</v>
      </c>
      <c r="X661" s="1">
        <f t="shared" si="123"/>
        <v>39.693523058025121</v>
      </c>
      <c r="Y661" s="3">
        <f t="shared" si="125"/>
        <v>2.1197998899367038E-2</v>
      </c>
      <c r="Z661" s="1">
        <f t="shared" si="126"/>
        <v>0.16633368076187793</v>
      </c>
      <c r="AA661" s="8">
        <f t="shared" si="131"/>
        <v>54.083333333333776</v>
      </c>
      <c r="AB661" s="1">
        <v>54.17</v>
      </c>
      <c r="AC661" s="1">
        <v>7.5431604269999997E-3</v>
      </c>
      <c r="AD661" s="8">
        <f t="shared" si="127"/>
        <v>0.46702206869706286</v>
      </c>
      <c r="AE661" s="3">
        <f t="shared" si="128"/>
        <v>6.191331514379614E-3</v>
      </c>
      <c r="AF661" s="11">
        <f t="shared" si="129"/>
        <v>54.083333333333776</v>
      </c>
      <c r="AG661" s="1">
        <f t="shared" si="130"/>
        <v>0.16633368076187793</v>
      </c>
    </row>
    <row r="662" spans="2:33" ht="15" x14ac:dyDescent="0.25">
      <c r="B662" s="1">
        <v>651</v>
      </c>
      <c r="C662" s="1">
        <v>1.0011553767097974</v>
      </c>
      <c r="D662" s="1">
        <v>1.2885139241894523</v>
      </c>
      <c r="E662" s="1">
        <v>0.77468924328341982</v>
      </c>
      <c r="G662" s="1">
        <v>1.0029120569039123</v>
      </c>
      <c r="H662" s="1">
        <v>8.0146500040137294</v>
      </c>
      <c r="I662" s="1">
        <v>9.0977962614799859E-2</v>
      </c>
      <c r="K662" s="1">
        <v>0.99995092431032961</v>
      </c>
      <c r="L662" s="1">
        <v>1.6917109420847425</v>
      </c>
      <c r="M662" s="1">
        <v>0.57845231810496456</v>
      </c>
      <c r="O662" s="1">
        <v>7.4982703253100684E-3</v>
      </c>
      <c r="P662" s="1">
        <v>0.66578987238892073</v>
      </c>
      <c r="R662" s="1">
        <v>0.23417659101424379</v>
      </c>
      <c r="S662" s="2">
        <f t="shared" si="120"/>
        <v>1.2257842848008254</v>
      </c>
      <c r="T662" s="4">
        <f t="shared" si="121"/>
        <v>1.502547112864671</v>
      </c>
      <c r="U662" s="1">
        <f t="shared" si="124"/>
        <v>1.3934952651874286</v>
      </c>
      <c r="V662" s="6">
        <f>2*sigma/alpha*corel*(B662/12-1/alpha*(1-EXP(-alpha*Output!B662/12)))</f>
        <v>4.0130550528463642</v>
      </c>
      <c r="W662" s="5">
        <f t="shared" si="122"/>
        <v>-0.10905184767724241</v>
      </c>
      <c r="X662" s="1">
        <f t="shared" si="123"/>
        <v>39.768861803137341</v>
      </c>
      <c r="Y662" s="3">
        <f t="shared" si="125"/>
        <v>2.1135490456183244E-2</v>
      </c>
      <c r="Z662" s="1">
        <f t="shared" si="126"/>
        <v>0.16642331860188339</v>
      </c>
      <c r="AA662" s="8">
        <f t="shared" si="131"/>
        <v>54.166666666667112</v>
      </c>
      <c r="AB662" s="1">
        <v>54.25</v>
      </c>
      <c r="AC662" s="1">
        <v>7.5430075589999999E-3</v>
      </c>
      <c r="AD662" s="8">
        <f t="shared" si="127"/>
        <v>0.44737233689931544</v>
      </c>
      <c r="AE662" s="3">
        <f t="shared" si="128"/>
        <v>5.9309543759574991E-3</v>
      </c>
      <c r="AF662" s="11">
        <f t="shared" si="129"/>
        <v>54.166666666667112</v>
      </c>
      <c r="AG662" s="1">
        <f t="shared" si="130"/>
        <v>0.16642331860188339</v>
      </c>
    </row>
    <row r="663" spans="2:33" ht="15" x14ac:dyDescent="0.25">
      <c r="B663" s="1">
        <v>652</v>
      </c>
      <c r="C663" s="1">
        <v>1.0011562574027257</v>
      </c>
      <c r="D663" s="1">
        <v>1.2903304207895803</v>
      </c>
      <c r="E663" s="1">
        <v>0.77359591303377195</v>
      </c>
      <c r="G663" s="1">
        <v>1.0028578440480511</v>
      </c>
      <c r="H663" s="1">
        <v>8.1129430688263788</v>
      </c>
      <c r="I663" s="1">
        <v>8.9832138270711764E-2</v>
      </c>
      <c r="K663" s="1">
        <v>0.99995689589596892</v>
      </c>
      <c r="L663" s="1">
        <v>1.685778379665084</v>
      </c>
      <c r="M663" s="1">
        <v>0.58046799073425925</v>
      </c>
      <c r="O663" s="1">
        <v>7.5000993534962892E-3</v>
      </c>
      <c r="P663" s="1">
        <v>0.66530785991903307</v>
      </c>
      <c r="R663" s="1">
        <v>0.2343135181116234</v>
      </c>
      <c r="S663" s="2">
        <f t="shared" ref="S663:S726" si="132">optim_vol_implied(P663,R663)</f>
        <v>1.2274744256398422</v>
      </c>
      <c r="T663" s="4">
        <f t="shared" ref="T663:T726" si="133">S663*S663</f>
        <v>1.5066934655998605</v>
      </c>
      <c r="U663" s="1">
        <f t="shared" si="124"/>
        <v>1.397583901152128</v>
      </c>
      <c r="V663" s="6">
        <f>2*sigma/alpha*corel*(B663/12-1/alpha*(1-EXP(-alpha*Output!B663/12)))</f>
        <v>4.0222843493865046</v>
      </c>
      <c r="W663" s="5">
        <f t="shared" ref="W663:W726" si="134">U663-T663</f>
        <v>-0.10910956444773245</v>
      </c>
      <c r="X663" s="1">
        <f t="shared" ref="X663:X726" si="135">V663*V663-4*W663*B663/12</f>
        <v>39.89191672729347</v>
      </c>
      <c r="Y663" s="3">
        <f t="shared" si="125"/>
        <v>2.1107856975725318E-2</v>
      </c>
      <c r="Z663" s="1">
        <f t="shared" si="126"/>
        <v>0.16652493681605926</v>
      </c>
      <c r="AA663" s="8">
        <f t="shared" si="131"/>
        <v>54.250000000000448</v>
      </c>
      <c r="AB663" s="1">
        <v>54.33</v>
      </c>
      <c r="AC663" s="1">
        <v>7.542855161E-3</v>
      </c>
      <c r="AD663" s="8">
        <f t="shared" si="127"/>
        <v>0.42755807503710824</v>
      </c>
      <c r="AE663" s="3">
        <f t="shared" si="128"/>
        <v>5.6683850599144265E-3</v>
      </c>
      <c r="AF663" s="11">
        <f t="shared" si="129"/>
        <v>54.250000000000448</v>
      </c>
      <c r="AG663" s="1">
        <f t="shared" si="130"/>
        <v>0.16652493681605926</v>
      </c>
    </row>
    <row r="664" spans="2:33" ht="15" x14ac:dyDescent="0.25">
      <c r="B664" s="1">
        <v>653</v>
      </c>
      <c r="C664" s="1">
        <v>1.0011562224304422</v>
      </c>
      <c r="D664" s="1">
        <v>1.2890369905573382</v>
      </c>
      <c r="E664" s="1">
        <v>0.77436939732559007</v>
      </c>
      <c r="G664" s="1">
        <v>1.0027601103126498</v>
      </c>
      <c r="H664" s="1">
        <v>8.0312761261662722</v>
      </c>
      <c r="I664" s="1">
        <v>9.0701611425980364E-2</v>
      </c>
      <c r="K664" s="1">
        <v>0.99996467613557727</v>
      </c>
      <c r="L664" s="1">
        <v>1.6765333031354452</v>
      </c>
      <c r="M664" s="1">
        <v>0.58362300592691041</v>
      </c>
      <c r="O664" s="1">
        <v>7.5018705245734583E-3</v>
      </c>
      <c r="P664" s="1">
        <v>0.66482808688333439</v>
      </c>
      <c r="R664" s="1">
        <v>0.23445531220364288</v>
      </c>
      <c r="S664" s="2">
        <f t="shared" si="132"/>
        <v>1.2291803741332334</v>
      </c>
      <c r="T664" s="4">
        <f t="shared" si="133"/>
        <v>1.5108843921543158</v>
      </c>
      <c r="U664" s="1">
        <f t="shared" si="124"/>
        <v>1.4016760387768556</v>
      </c>
      <c r="V664" s="6">
        <f>2*sigma/alpha*corel*(B664/12-1/alpha*(1-EXP(-alpha*Output!B664/12)))</f>
        <v>4.0315175972378867</v>
      </c>
      <c r="W664" s="5">
        <f t="shared" si="134"/>
        <v>-0.10920835337746015</v>
      </c>
      <c r="X664" s="1">
        <f t="shared" si="135"/>
        <v>40.024152388665897</v>
      </c>
      <c r="Y664" s="3">
        <f t="shared" si="125"/>
        <v>2.1086801062172672E-2</v>
      </c>
      <c r="Z664" s="1">
        <f t="shared" si="126"/>
        <v>0.16662864004818007</v>
      </c>
      <c r="AA664" s="8">
        <f t="shared" si="131"/>
        <v>54.333333333333783</v>
      </c>
      <c r="AB664" s="1">
        <v>54.42</v>
      </c>
      <c r="AC664" s="1">
        <v>7.5427032300000004E-3</v>
      </c>
      <c r="AD664" s="8">
        <f t="shared" si="127"/>
        <v>0.40832705426542026</v>
      </c>
      <c r="AE664" s="3">
        <f t="shared" si="128"/>
        <v>5.4135373196357375E-3</v>
      </c>
      <c r="AF664" s="11">
        <f t="shared" si="129"/>
        <v>54.333333333333783</v>
      </c>
      <c r="AG664" s="1">
        <f t="shared" si="130"/>
        <v>0.16662864004818007</v>
      </c>
    </row>
    <row r="665" spans="2:33" ht="15" x14ac:dyDescent="0.25">
      <c r="B665" s="1">
        <v>654</v>
      </c>
      <c r="C665" s="1">
        <v>1.0011557139923848</v>
      </c>
      <c r="D665" s="1">
        <v>1.2876434308402638</v>
      </c>
      <c r="E665" s="1">
        <v>0.77520470846347833</v>
      </c>
      <c r="G665" s="1">
        <v>1.002632771606301</v>
      </c>
      <c r="H665" s="1">
        <v>7.9501807824391504</v>
      </c>
      <c r="I665" s="1">
        <v>9.1582385068059782E-2</v>
      </c>
      <c r="K665" s="1">
        <v>0.99996109691068813</v>
      </c>
      <c r="L665" s="1">
        <v>1.6768665086006769</v>
      </c>
      <c r="M665" s="1">
        <v>0.58349089418085121</v>
      </c>
      <c r="O665" s="1">
        <v>7.5036906583373086E-3</v>
      </c>
      <c r="P665" s="1">
        <v>0.66434669092436416</v>
      </c>
      <c r="R665" s="1">
        <v>0.23458746595380653</v>
      </c>
      <c r="S665" s="2">
        <f t="shared" si="132"/>
        <v>1.2308544661112133</v>
      </c>
      <c r="T665" s="4">
        <f t="shared" si="133"/>
        <v>1.5150027167459199</v>
      </c>
      <c r="U665" s="1">
        <f t="shared" si="124"/>
        <v>1.4057716679002059</v>
      </c>
      <c r="V665" s="6">
        <f>2*sigma/alpha*corel*(B665/12-1/alpha*(1-EXP(-alpha*Output!B665/12)))</f>
        <v>4.0407547832514057</v>
      </c>
      <c r="W665" s="5">
        <f t="shared" si="134"/>
        <v>-0.109231048845714</v>
      </c>
      <c r="X665" s="1">
        <f t="shared" si="135"/>
        <v>40.140067866734768</v>
      </c>
      <c r="Y665" s="3">
        <f t="shared" si="125"/>
        <v>2.1053799975237708E-2</v>
      </c>
      <c r="Z665" s="1">
        <f t="shared" si="126"/>
        <v>0.16672796701862488</v>
      </c>
      <c r="AA665" s="8">
        <f t="shared" si="131"/>
        <v>54.416666666667119</v>
      </c>
      <c r="AB665" s="1">
        <v>54.5</v>
      </c>
      <c r="AC665" s="1">
        <v>7.5425517649999997E-3</v>
      </c>
      <c r="AD665" s="8">
        <f t="shared" si="127"/>
        <v>0.38861106662691108</v>
      </c>
      <c r="AE665" s="3">
        <f t="shared" si="128"/>
        <v>5.1522492484598953E-3</v>
      </c>
      <c r="AF665" s="11">
        <f t="shared" si="129"/>
        <v>54.416666666667119</v>
      </c>
      <c r="AG665" s="1">
        <f t="shared" si="130"/>
        <v>0.16672796701862488</v>
      </c>
    </row>
    <row r="666" spans="2:33" ht="15" x14ac:dyDescent="0.25">
      <c r="B666" s="1">
        <v>655</v>
      </c>
      <c r="C666" s="1">
        <v>1.0011524509460017</v>
      </c>
      <c r="D666" s="1">
        <v>1.2858820656768701</v>
      </c>
      <c r="E666" s="1">
        <v>0.77626379923196154</v>
      </c>
      <c r="G666" s="1">
        <v>1.0021958110054989</v>
      </c>
      <c r="H666" s="1">
        <v>7.8385198934595319</v>
      </c>
      <c r="I666" s="1">
        <v>9.2841955697964718E-2</v>
      </c>
      <c r="K666" s="1">
        <v>0.99996207410522098</v>
      </c>
      <c r="L666" s="1">
        <v>1.6891438634112632</v>
      </c>
      <c r="M666" s="1">
        <v>0.57924334722871673</v>
      </c>
      <c r="O666" s="1">
        <v>7.5055272468419736E-3</v>
      </c>
      <c r="P666" s="1">
        <v>0.66386484589893768</v>
      </c>
      <c r="R666" s="1">
        <v>0.23471610745393393</v>
      </c>
      <c r="S666" s="2">
        <f t="shared" si="132"/>
        <v>1.2325178854763272</v>
      </c>
      <c r="T666" s="4">
        <f t="shared" si="133"/>
        <v>1.5191003380190369</v>
      </c>
      <c r="U666" s="1">
        <f t="shared" si="124"/>
        <v>1.4098707783846791</v>
      </c>
      <c r="V666" s="6">
        <f>2*sigma/alpha*corel*(B666/12-1/alpha*(1-EXP(-alpha*Output!B666/12)))</f>
        <v>4.0499958943217056</v>
      </c>
      <c r="W666" s="5">
        <f t="shared" si="134"/>
        <v>-0.10922955963435776</v>
      </c>
      <c r="X666" s="1">
        <f t="shared" si="135"/>
        <v>40.250920597524114</v>
      </c>
      <c r="Y666" s="3">
        <f t="shared" si="125"/>
        <v>2.1017087896828136E-2</v>
      </c>
      <c r="Z666" s="1">
        <f t="shared" si="126"/>
        <v>0.16682579502994035</v>
      </c>
      <c r="AA666" s="8">
        <f t="shared" si="131"/>
        <v>54.500000000000455</v>
      </c>
      <c r="AB666" s="1">
        <v>54.58</v>
      </c>
      <c r="AC666" s="1">
        <v>7.5424007630000003E-3</v>
      </c>
      <c r="AD666" s="8">
        <f t="shared" si="127"/>
        <v>0.36873516158026676</v>
      </c>
      <c r="AE666" s="3">
        <f t="shared" si="128"/>
        <v>4.8888301373368262E-3</v>
      </c>
      <c r="AF666" s="11">
        <f t="shared" si="129"/>
        <v>54.500000000000455</v>
      </c>
      <c r="AG666" s="1">
        <f t="shared" si="130"/>
        <v>0.16682579502994035</v>
      </c>
    </row>
    <row r="667" spans="2:33" ht="15" x14ac:dyDescent="0.25">
      <c r="B667" s="1">
        <v>656</v>
      </c>
      <c r="C667" s="1">
        <v>1.0011513020373299</v>
      </c>
      <c r="D667" s="1">
        <v>1.2820502248095924</v>
      </c>
      <c r="E667" s="1">
        <v>0.77858115160432984</v>
      </c>
      <c r="G667" s="1">
        <v>1.0020398682050704</v>
      </c>
      <c r="H667" s="1">
        <v>7.6339677290652004</v>
      </c>
      <c r="I667" s="1">
        <v>9.5283437102606311E-2</v>
      </c>
      <c r="K667" s="1">
        <v>0.99994833608806599</v>
      </c>
      <c r="L667" s="1">
        <v>1.6883855142302424</v>
      </c>
      <c r="M667" s="1">
        <v>0.57944670046785884</v>
      </c>
      <c r="O667" s="1">
        <v>7.5074150756610442E-3</v>
      </c>
      <c r="P667" s="1">
        <v>0.66338128906668281</v>
      </c>
      <c r="R667" s="1">
        <v>0.23483057432442778</v>
      </c>
      <c r="S667" s="2">
        <f t="shared" si="132"/>
        <v>1.2341316920634109</v>
      </c>
      <c r="T667" s="4">
        <f t="shared" si="133"/>
        <v>1.5230810333552975</v>
      </c>
      <c r="U667" s="1">
        <f t="shared" si="124"/>
        <v>1.4139733601166657</v>
      </c>
      <c r="V667" s="6">
        <f>2*sigma/alpha*corel*(B667/12-1/alpha*(1-EXP(-alpha*Output!B667/12)))</f>
        <v>4.0592409173870454</v>
      </c>
      <c r="W667" s="5">
        <f t="shared" si="134"/>
        <v>-0.1091076732386318</v>
      </c>
      <c r="X667" s="1">
        <f t="shared" si="135"/>
        <v>40.335648040236705</v>
      </c>
      <c r="Y667" s="3">
        <f t="shared" si="125"/>
        <v>2.0961533021264998E-2</v>
      </c>
      <c r="Z667" s="1">
        <f t="shared" si="126"/>
        <v>0.16691686078714738</v>
      </c>
      <c r="AA667" s="8">
        <f t="shared" si="131"/>
        <v>54.58333333333379</v>
      </c>
      <c r="AB667" s="1">
        <v>54.67</v>
      </c>
      <c r="AC667" s="1">
        <v>7.5422502220000003E-3</v>
      </c>
      <c r="AD667" s="8">
        <f t="shared" si="127"/>
        <v>0.3483514633895613</v>
      </c>
      <c r="AE667" s="3">
        <f t="shared" si="128"/>
        <v>4.6186675479614079E-3</v>
      </c>
      <c r="AF667" s="11">
        <f t="shared" si="129"/>
        <v>54.58333333333379</v>
      </c>
      <c r="AG667" s="1">
        <f t="shared" si="130"/>
        <v>0.16691686078714738</v>
      </c>
    </row>
    <row r="668" spans="2:33" ht="15" x14ac:dyDescent="0.25">
      <c r="B668" s="1">
        <v>657</v>
      </c>
      <c r="C668" s="1">
        <v>1.0011541014755423</v>
      </c>
      <c r="D668" s="1">
        <v>1.2846657063069156</v>
      </c>
      <c r="E668" s="1">
        <v>0.77699324637026768</v>
      </c>
      <c r="G668" s="1">
        <v>1.0021784119011006</v>
      </c>
      <c r="H668" s="1">
        <v>7.77410876560673</v>
      </c>
      <c r="I668" s="1">
        <v>9.3520433096674502E-2</v>
      </c>
      <c r="K668" s="1">
        <v>0.99993485839199492</v>
      </c>
      <c r="L668" s="1">
        <v>1.7001733710741098</v>
      </c>
      <c r="M668" s="1">
        <v>0.57543663093288155</v>
      </c>
      <c r="O668" s="1">
        <v>7.5093207265745253E-3</v>
      </c>
      <c r="P668" s="1">
        <v>0.66289722905385207</v>
      </c>
      <c r="R668" s="1">
        <v>0.23495057326253338</v>
      </c>
      <c r="S668" s="2">
        <f t="shared" si="132"/>
        <v>1.235770450328592</v>
      </c>
      <c r="T668" s="4">
        <f t="shared" si="133"/>
        <v>1.5271286059053311</v>
      </c>
      <c r="U668" s="1">
        <f t="shared" si="124"/>
        <v>1.4180794030064385</v>
      </c>
      <c r="V668" s="6">
        <f>2*sigma/alpha*corel*(B668/12-1/alpha*(1-EXP(-alpha*Output!B668/12)))</f>
        <v>4.0684898394291533</v>
      </c>
      <c r="W668" s="5">
        <f t="shared" si="134"/>
        <v>-0.10904920289889253</v>
      </c>
      <c r="X668" s="1">
        <f t="shared" si="135"/>
        <v>40.434385008395722</v>
      </c>
      <c r="Y668" s="3">
        <f t="shared" si="125"/>
        <v>2.0916108684285176E-2</v>
      </c>
      <c r="Z668" s="1">
        <f t="shared" si="126"/>
        <v>0.16701125688171897</v>
      </c>
      <c r="AA668" s="8">
        <f t="shared" si="131"/>
        <v>54.666666666667126</v>
      </c>
      <c r="AB668" s="1">
        <v>54.75</v>
      </c>
      <c r="AC668" s="1">
        <v>7.5421001399999998E-3</v>
      </c>
      <c r="AD668" s="8">
        <f t="shared" si="127"/>
        <v>0.32779413425474552</v>
      </c>
      <c r="AE668" s="3">
        <f t="shared" si="128"/>
        <v>4.3461917525633052E-3</v>
      </c>
      <c r="AF668" s="11">
        <f t="shared" si="129"/>
        <v>54.666666666667126</v>
      </c>
      <c r="AG668" s="1">
        <f t="shared" si="130"/>
        <v>0.16701125688171897</v>
      </c>
    </row>
    <row r="669" spans="2:33" ht="15" x14ac:dyDescent="0.25">
      <c r="B669" s="1">
        <v>658</v>
      </c>
      <c r="C669" s="1">
        <v>1.0011590989232604</v>
      </c>
      <c r="D669" s="1">
        <v>1.2813167979394233</v>
      </c>
      <c r="E669" s="1">
        <v>0.7790212467698574</v>
      </c>
      <c r="G669" s="1">
        <v>1.0024402960107899</v>
      </c>
      <c r="H669" s="1">
        <v>7.582951558436446</v>
      </c>
      <c r="I669" s="1">
        <v>9.5831486639579355E-2</v>
      </c>
      <c r="K669" s="1">
        <v>0.99993146510055353</v>
      </c>
      <c r="L669" s="1">
        <v>1.7079283906305156</v>
      </c>
      <c r="M669" s="1">
        <v>0.57279427294852481</v>
      </c>
      <c r="O669" s="1">
        <v>7.5112575176412592E-3</v>
      </c>
      <c r="P669" s="1">
        <v>0.66241218078273933</v>
      </c>
      <c r="R669" s="1">
        <v>0.23506362113575671</v>
      </c>
      <c r="S669" s="2">
        <f t="shared" si="132"/>
        <v>1.2373861947789353</v>
      </c>
      <c r="T669" s="4">
        <f t="shared" si="133"/>
        <v>1.5311245950294932</v>
      </c>
      <c r="U669" s="1">
        <f t="shared" si="124"/>
        <v>1.422188896988128</v>
      </c>
      <c r="V669" s="6">
        <f>2*sigma/alpha*corel*(B669/12-1/alpha*(1-EXP(-alpha*Output!B669/12)))</f>
        <v>4.077742647473074</v>
      </c>
      <c r="W669" s="5">
        <f t="shared" si="134"/>
        <v>-0.10893569804136516</v>
      </c>
      <c r="X669" s="1">
        <f t="shared" si="135"/>
        <v>40.521214869426807</v>
      </c>
      <c r="Y669" s="3">
        <f t="shared" si="125"/>
        <v>2.086217291074639E-2</v>
      </c>
      <c r="Z669" s="1">
        <f t="shared" si="126"/>
        <v>0.167102498168504</v>
      </c>
      <c r="AA669" s="8">
        <f t="shared" si="131"/>
        <v>54.750000000000462</v>
      </c>
      <c r="AB669" s="1">
        <v>54.83</v>
      </c>
      <c r="AC669" s="1">
        <v>7.5419505140000001E-3</v>
      </c>
      <c r="AD669" s="8">
        <f t="shared" si="127"/>
        <v>0.30692996358740871</v>
      </c>
      <c r="AE669" s="3">
        <f t="shared" si="128"/>
        <v>4.0696364026475591E-3</v>
      </c>
      <c r="AF669" s="11">
        <f t="shared" si="129"/>
        <v>54.750000000000462</v>
      </c>
      <c r="AG669" s="1">
        <f t="shared" si="130"/>
        <v>0.167102498168504</v>
      </c>
    </row>
    <row r="670" spans="2:33" ht="15" x14ac:dyDescent="0.25">
      <c r="B670" s="1">
        <v>659</v>
      </c>
      <c r="C670" s="1">
        <v>1.0011662797331604</v>
      </c>
      <c r="D670" s="1">
        <v>1.2818817735411987</v>
      </c>
      <c r="E670" s="1">
        <v>0.77867511431698755</v>
      </c>
      <c r="G670" s="1">
        <v>1.0029549287456754</v>
      </c>
      <c r="H670" s="1">
        <v>7.607376316942303</v>
      </c>
      <c r="I670" s="1">
        <v>9.5477489339192576E-2</v>
      </c>
      <c r="K670" s="1">
        <v>0.99993595932883483</v>
      </c>
      <c r="L670" s="1">
        <v>1.7162716622913785</v>
      </c>
      <c r="M670" s="1">
        <v>0.56999398900272924</v>
      </c>
      <c r="O670" s="1">
        <v>7.5131793945787256E-3</v>
      </c>
      <c r="P670" s="1">
        <v>0.66192781589827421</v>
      </c>
      <c r="R670" s="1">
        <v>0.23521640731697088</v>
      </c>
      <c r="S670" s="2">
        <f t="shared" si="132"/>
        <v>1.2391590394149896</v>
      </c>
      <c r="T670" s="4">
        <f t="shared" si="133"/>
        <v>1.5355151249638799</v>
      </c>
      <c r="U670" s="1">
        <f t="shared" si="124"/>
        <v>1.4263018320197176</v>
      </c>
      <c r="V670" s="6">
        <f>2*sigma/alpha*corel*(B670/12-1/alpha*(1-EXP(-alpha*Output!B670/12)))</f>
        <v>4.0869993285870336</v>
      </c>
      <c r="W670" s="5">
        <f t="shared" si="134"/>
        <v>-0.10921329294416227</v>
      </c>
      <c r="X670" s="1">
        <f t="shared" si="135"/>
        <v>40.694083528605177</v>
      </c>
      <c r="Y670" s="3">
        <f t="shared" si="125"/>
        <v>2.0869730979834137E-2</v>
      </c>
      <c r="Z670" s="1">
        <f t="shared" si="126"/>
        <v>0.16721489676128451</v>
      </c>
      <c r="AA670" s="8">
        <f t="shared" si="131"/>
        <v>54.833333333333798</v>
      </c>
      <c r="AB670" s="1">
        <v>54.92</v>
      </c>
      <c r="AC670" s="1">
        <v>7.5418013440000002E-3</v>
      </c>
      <c r="AD670" s="8">
        <f t="shared" si="127"/>
        <v>0.28621949421274612</v>
      </c>
      <c r="AE670" s="3">
        <f t="shared" si="128"/>
        <v>3.7951078417154619E-3</v>
      </c>
      <c r="AF670" s="11">
        <f t="shared" si="129"/>
        <v>54.833333333333798</v>
      </c>
      <c r="AG670" s="1">
        <f t="shared" si="130"/>
        <v>0.16721489676128451</v>
      </c>
    </row>
    <row r="671" spans="2:33" ht="15" x14ac:dyDescent="0.25">
      <c r="B671" s="1">
        <v>660</v>
      </c>
      <c r="C671" s="1">
        <v>1.0011717503998434</v>
      </c>
      <c r="D671" s="1">
        <v>1.2826551820102439</v>
      </c>
      <c r="E671" s="1">
        <v>0.77820280340027204</v>
      </c>
      <c r="G671" s="1">
        <v>1.0032726663897182</v>
      </c>
      <c r="H671" s="1">
        <v>7.6533154213433781</v>
      </c>
      <c r="I671" s="1">
        <v>9.4858370386963653E-2</v>
      </c>
      <c r="K671" s="1">
        <v>0.99993573640552103</v>
      </c>
      <c r="L671" s="1">
        <v>1.728802487075904</v>
      </c>
      <c r="M671" s="1">
        <v>0.56582404795662467</v>
      </c>
      <c r="O671" s="1">
        <v>7.5150140834005699E-3</v>
      </c>
      <c r="P671" s="1">
        <v>0.66144676517789869</v>
      </c>
      <c r="R671" s="1">
        <v>0.2353728010008056</v>
      </c>
      <c r="S671" s="2">
        <f t="shared" si="132"/>
        <v>1.240940363700531</v>
      </c>
      <c r="T671" s="4">
        <f t="shared" si="133"/>
        <v>1.5399329862612061</v>
      </c>
      <c r="U671" s="1">
        <f t="shared" si="124"/>
        <v>1.4304181980830211</v>
      </c>
      <c r="V671" s="6">
        <f>2*sigma/alpha*corel*(B671/12-1/alpha*(1-EXP(-alpha*Output!B671/12)))</f>
        <v>4.0962598698822941</v>
      </c>
      <c r="W671" s="5">
        <f t="shared" si="134"/>
        <v>-0.10951478817818505</v>
      </c>
      <c r="X671" s="1">
        <f t="shared" si="135"/>
        <v>40.872598320808819</v>
      </c>
      <c r="Y671" s="3">
        <f t="shared" si="125"/>
        <v>2.0880983885952744E-2</v>
      </c>
      <c r="Z671" s="1">
        <f t="shared" si="126"/>
        <v>0.16732836450639671</v>
      </c>
      <c r="AA671" s="8">
        <f t="shared" si="131"/>
        <v>54.916666666667133</v>
      </c>
      <c r="AB671" s="1">
        <v>55</v>
      </c>
      <c r="AC671" s="1">
        <v>7.5416526269999999E-3</v>
      </c>
      <c r="AD671" s="8">
        <f t="shared" si="127"/>
        <v>0.26638543599430065</v>
      </c>
      <c r="AE671" s="3">
        <f t="shared" si="128"/>
        <v>3.5321891522901703E-3</v>
      </c>
      <c r="AF671" s="11">
        <f t="shared" si="129"/>
        <v>54.916666666667133</v>
      </c>
      <c r="AG671" s="1">
        <f t="shared" si="130"/>
        <v>0.16732836450639671</v>
      </c>
    </row>
    <row r="672" spans="2:33" ht="15" x14ac:dyDescent="0.25">
      <c r="B672" s="1">
        <v>661</v>
      </c>
      <c r="C672" s="1">
        <v>1.0011726682145821</v>
      </c>
      <c r="D672" s="1">
        <v>1.2844282796640478</v>
      </c>
      <c r="E672" s="1">
        <v>0.77712573842719235</v>
      </c>
      <c r="G672" s="1">
        <v>1.0032404095259368</v>
      </c>
      <c r="H672" s="1">
        <v>7.7493616241686336</v>
      </c>
      <c r="I672" s="1">
        <v>9.36372658026636E-2</v>
      </c>
      <c r="K672" s="1">
        <v>0.99991947860848529</v>
      </c>
      <c r="L672" s="1">
        <v>1.7413592680903158</v>
      </c>
      <c r="M672" s="1">
        <v>0.56172704736437795</v>
      </c>
      <c r="O672" s="1">
        <v>7.5168858362440489E-3</v>
      </c>
      <c r="P672" s="1">
        <v>0.66096451251308175</v>
      </c>
      <c r="R672" s="1">
        <v>0.2355255145653932</v>
      </c>
      <c r="S672" s="2">
        <f t="shared" si="132"/>
        <v>1.2427123220139016</v>
      </c>
      <c r="T672" s="4">
        <f t="shared" si="133"/>
        <v>1.5443339152851829</v>
      </c>
      <c r="U672" s="1">
        <f t="shared" si="124"/>
        <v>1.4345379851836713</v>
      </c>
      <c r="V672" s="6">
        <f>2*sigma/alpha*corel*(B672/12-1/alpha*(1-EXP(-alpha*Output!B672/12)))</f>
        <v>4.1055242585130038</v>
      </c>
      <c r="W672" s="5">
        <f t="shared" si="134"/>
        <v>-0.10979593010151167</v>
      </c>
      <c r="X672" s="1">
        <f t="shared" si="135"/>
        <v>41.047032702938495</v>
      </c>
      <c r="Y672" s="3">
        <f t="shared" si="125"/>
        <v>2.0889000574965032E-2</v>
      </c>
      <c r="Z672" s="1">
        <f t="shared" si="126"/>
        <v>0.16744049446962728</v>
      </c>
      <c r="AA672" s="8">
        <f t="shared" si="131"/>
        <v>55.000000000000469</v>
      </c>
      <c r="AB672" s="1">
        <v>55.08</v>
      </c>
      <c r="AC672" s="1">
        <v>7.5415043600000004E-3</v>
      </c>
      <c r="AD672" s="8">
        <f t="shared" si="127"/>
        <v>0.24618523755951494</v>
      </c>
      <c r="AE672" s="3">
        <f t="shared" si="128"/>
        <v>3.2644048959949807E-3</v>
      </c>
      <c r="AF672" s="11">
        <f t="shared" si="129"/>
        <v>55.000000000000469</v>
      </c>
      <c r="AG672" s="1">
        <f t="shared" si="130"/>
        <v>0.16744049446962728</v>
      </c>
    </row>
    <row r="673" spans="2:33" ht="15" x14ac:dyDescent="0.25">
      <c r="B673" s="1">
        <v>662</v>
      </c>
      <c r="C673" s="1">
        <v>1.0011736855798852</v>
      </c>
      <c r="D673" s="1">
        <v>1.2841487634451905</v>
      </c>
      <c r="E673" s="1">
        <v>0.77729209829455592</v>
      </c>
      <c r="G673" s="1">
        <v>1.003223630546463</v>
      </c>
      <c r="H673" s="1">
        <v>7.7341627649287199</v>
      </c>
      <c r="I673" s="1">
        <v>9.3775787866421628E-2</v>
      </c>
      <c r="K673" s="1">
        <v>0.9999217953938272</v>
      </c>
      <c r="L673" s="1">
        <v>1.7609571205563652</v>
      </c>
      <c r="M673" s="1">
        <v>0.55546194502287982</v>
      </c>
      <c r="O673" s="1">
        <v>7.5187492024341232E-3</v>
      </c>
      <c r="P673" s="1">
        <v>0.66048271099070199</v>
      </c>
      <c r="R673" s="1">
        <v>0.23567244274221877</v>
      </c>
      <c r="S673" s="2">
        <f t="shared" si="132"/>
        <v>1.244462547374557</v>
      </c>
      <c r="T673" s="4">
        <f t="shared" si="133"/>
        <v>1.5486870318179715</v>
      </c>
      <c r="U673" s="1">
        <f t="shared" si="124"/>
        <v>1.438661183351102</v>
      </c>
      <c r="V673" s="6">
        <f>2*sigma/alpha*corel*(B673/12-1/alpha*(1-EXP(-alpha*Output!B673/12)))</f>
        <v>4.1147924816760604</v>
      </c>
      <c r="W673" s="5">
        <f t="shared" si="134"/>
        <v>-0.11002584846686947</v>
      </c>
      <c r="X673" s="1">
        <f t="shared" si="135"/>
        <v>41.210554395613691</v>
      </c>
      <c r="Y673" s="3">
        <f t="shared" si="125"/>
        <v>2.0888993084967687E-2</v>
      </c>
      <c r="Z673" s="1">
        <f t="shared" si="126"/>
        <v>0.16754962461817491</v>
      </c>
      <c r="AA673" s="8">
        <f t="shared" si="131"/>
        <v>55.083333333333805</v>
      </c>
      <c r="AB673" s="1">
        <v>55.17</v>
      </c>
      <c r="AC673" s="1">
        <v>7.5413565409999999E-3</v>
      </c>
      <c r="AD673" s="8">
        <f t="shared" si="127"/>
        <v>0.22607338565876733</v>
      </c>
      <c r="AE673" s="3">
        <f t="shared" si="128"/>
        <v>2.9977814260561337E-3</v>
      </c>
      <c r="AF673" s="11">
        <f t="shared" si="129"/>
        <v>55.083333333333805</v>
      </c>
      <c r="AG673" s="1">
        <f t="shared" si="130"/>
        <v>0.16754962461817491</v>
      </c>
    </row>
    <row r="674" spans="2:33" ht="15" x14ac:dyDescent="0.25">
      <c r="B674" s="1">
        <v>663</v>
      </c>
      <c r="C674" s="1">
        <v>1.0011822068780749</v>
      </c>
      <c r="D674" s="1">
        <v>1.2919508118816758</v>
      </c>
      <c r="E674" s="1">
        <v>0.77259527536447092</v>
      </c>
      <c r="G674" s="1">
        <v>1.0038607729004447</v>
      </c>
      <c r="H674" s="1">
        <v>8.1692858280971006</v>
      </c>
      <c r="I674" s="1">
        <v>8.8737933997850085E-2</v>
      </c>
      <c r="K674" s="1">
        <v>0.99991283159823385</v>
      </c>
      <c r="L674" s="1">
        <v>1.7658775149925723</v>
      </c>
      <c r="M674" s="1">
        <v>0.55390368161580328</v>
      </c>
      <c r="O674" s="1">
        <v>7.5204851591681304E-3</v>
      </c>
      <c r="P674" s="1">
        <v>0.66000570171026185</v>
      </c>
      <c r="R674" s="1">
        <v>0.23582166797732468</v>
      </c>
      <c r="S674" s="2">
        <f t="shared" si="132"/>
        <v>1.2462124318350678</v>
      </c>
      <c r="T674" s="4">
        <f t="shared" si="133"/>
        <v>1.5530454252602734</v>
      </c>
      <c r="U674" s="1">
        <f t="shared" si="124"/>
        <v>1.4427877826385327</v>
      </c>
      <c r="V674" s="6">
        <f>2*sigma/alpha*corel*(B674/12-1/alpha*(1-EXP(-alpha*Output!B674/12)))</f>
        <v>4.1240645266109732</v>
      </c>
      <c r="W674" s="5">
        <f t="shared" si="134"/>
        <v>-0.11025764262174076</v>
      </c>
      <c r="X674" s="1">
        <f t="shared" si="135"/>
        <v>41.374847239055697</v>
      </c>
      <c r="Y674" s="3">
        <f t="shared" si="125"/>
        <v>2.088926483318515E-2</v>
      </c>
      <c r="Z674" s="1">
        <f t="shared" si="126"/>
        <v>0.16765863968708683</v>
      </c>
      <c r="AA674" s="8">
        <f t="shared" si="131"/>
        <v>55.16666666666714</v>
      </c>
      <c r="AB674" s="1">
        <v>55.25</v>
      </c>
      <c r="AC674" s="1">
        <v>7.5412091700000003E-3</v>
      </c>
      <c r="AD674" s="8">
        <f t="shared" si="127"/>
        <v>0.20724010831869866</v>
      </c>
      <c r="AE674" s="3">
        <f t="shared" si="128"/>
        <v>2.7481018447695258E-3</v>
      </c>
      <c r="AF674" s="11">
        <f t="shared" si="129"/>
        <v>55.16666666666714</v>
      </c>
      <c r="AG674" s="1">
        <f t="shared" si="130"/>
        <v>0.16765863968708683</v>
      </c>
    </row>
    <row r="675" spans="2:33" ht="15" x14ac:dyDescent="0.25">
      <c r="B675" s="1">
        <v>664</v>
      </c>
      <c r="C675" s="1">
        <v>1.0011848654591247</v>
      </c>
      <c r="D675" s="1">
        <v>1.2951016433588611</v>
      </c>
      <c r="E675" s="1">
        <v>0.77071286229993841</v>
      </c>
      <c r="G675" s="1">
        <v>1.0039381156972154</v>
      </c>
      <c r="H675" s="1">
        <v>8.3515330843320452</v>
      </c>
      <c r="I675" s="1">
        <v>8.6759406493526578E-2</v>
      </c>
      <c r="K675" s="1">
        <v>0.99991781000202795</v>
      </c>
      <c r="L675" s="1">
        <v>1.7724678172720765</v>
      </c>
      <c r="M675" s="1">
        <v>0.55184578835213438</v>
      </c>
      <c r="O675" s="1">
        <v>7.5223262352268521E-3</v>
      </c>
      <c r="P675" s="1">
        <v>0.65952500990716512</v>
      </c>
      <c r="R675" s="1">
        <v>0.23597145574926859</v>
      </c>
      <c r="S675" s="2">
        <f t="shared" si="132"/>
        <v>1.2479757193092953</v>
      </c>
      <c r="T675" s="4">
        <f t="shared" si="133"/>
        <v>1.5574433959855529</v>
      </c>
      <c r="U675" s="1">
        <f t="shared" si="124"/>
        <v>1.4469177731229506</v>
      </c>
      <c r="V675" s="6">
        <f>2*sigma/alpha*corel*(B675/12-1/alpha*(1-EXP(-alpha*Output!B675/12)))</f>
        <v>4.1333403805997078</v>
      </c>
      <c r="W675" s="5">
        <f t="shared" si="134"/>
        <v>-0.11052562286260237</v>
      </c>
      <c r="X675" s="1">
        <f t="shared" si="135"/>
        <v>41.547507228818795</v>
      </c>
      <c r="Y675" s="3">
        <f t="shared" si="125"/>
        <v>2.089513738711498E-2</v>
      </c>
      <c r="Z675" s="1">
        <f t="shared" si="126"/>
        <v>0.16776938754531254</v>
      </c>
      <c r="AA675" s="8">
        <f t="shared" si="131"/>
        <v>55.250000000000476</v>
      </c>
      <c r="AB675" s="1">
        <v>55.33</v>
      </c>
      <c r="AC675" s="1">
        <v>7.5410622429999997E-3</v>
      </c>
      <c r="AD675" s="8">
        <f t="shared" si="127"/>
        <v>0.18736007773147678</v>
      </c>
      <c r="AE675" s="3">
        <f t="shared" si="128"/>
        <v>2.4845316441379859E-3</v>
      </c>
      <c r="AF675" s="11">
        <f t="shared" si="129"/>
        <v>55.250000000000476</v>
      </c>
      <c r="AG675" s="1">
        <f t="shared" si="130"/>
        <v>0.16776938754531254</v>
      </c>
    </row>
    <row r="676" spans="2:33" ht="15" x14ac:dyDescent="0.25">
      <c r="B676" s="1">
        <v>665</v>
      </c>
      <c r="C676" s="1">
        <v>1.0011857781733566</v>
      </c>
      <c r="D676" s="1">
        <v>1.2983819141421218</v>
      </c>
      <c r="E676" s="1">
        <v>0.76876293486696545</v>
      </c>
      <c r="G676" s="1">
        <v>1.0039061291116917</v>
      </c>
      <c r="H676" s="1">
        <v>8.5368925250864027</v>
      </c>
      <c r="I676" s="1">
        <v>8.483446710788127E-2</v>
      </c>
      <c r="K676" s="1">
        <v>0.99991756911990604</v>
      </c>
      <c r="L676" s="1">
        <v>1.770202863424555</v>
      </c>
      <c r="M676" s="1">
        <v>0.55250949336533228</v>
      </c>
      <c r="O676" s="1">
        <v>7.5241832735858955E-3</v>
      </c>
      <c r="P676" s="1">
        <v>0.65904388299810901</v>
      </c>
      <c r="R676" s="1">
        <v>0.23607261079524597</v>
      </c>
      <c r="S676" s="2">
        <f t="shared" si="132"/>
        <v>1.249549329255353</v>
      </c>
      <c r="T676" s="4">
        <f t="shared" si="133"/>
        <v>1.5613735262425026</v>
      </c>
      <c r="U676" s="1">
        <f t="shared" si="124"/>
        <v>1.4510511449050942</v>
      </c>
      <c r="V676" s="6">
        <f>2*sigma/alpha*corel*(B676/12-1/alpha*(1-EXP(-alpha*Output!B676/12)))</f>
        <v>4.1426200309665564</v>
      </c>
      <c r="W676" s="5">
        <f t="shared" si="134"/>
        <v>-0.11032238133740835</v>
      </c>
      <c r="X676" s="1">
        <f t="shared" si="135"/>
        <v>41.616095250757539</v>
      </c>
      <c r="Y676" s="3">
        <f t="shared" si="125"/>
        <v>2.0827973940041877E-2</v>
      </c>
      <c r="Z676" s="1">
        <f t="shared" si="126"/>
        <v>0.16785458401784731</v>
      </c>
      <c r="AA676" s="8">
        <f t="shared" si="131"/>
        <v>55.333333333333812</v>
      </c>
      <c r="AB676" s="1">
        <v>55.42</v>
      </c>
      <c r="AC676" s="1">
        <v>7.540915758E-3</v>
      </c>
      <c r="AD676" s="8">
        <f t="shared" si="127"/>
        <v>0.1673248441410452</v>
      </c>
      <c r="AE676" s="3">
        <f t="shared" si="128"/>
        <v>2.2188928972390891E-3</v>
      </c>
      <c r="AF676" s="11">
        <f t="shared" si="129"/>
        <v>55.333333333333812</v>
      </c>
      <c r="AG676" s="1">
        <f t="shared" si="130"/>
        <v>0.16785458401784731</v>
      </c>
    </row>
    <row r="677" spans="2:33" ht="15" x14ac:dyDescent="0.25">
      <c r="B677" s="1">
        <v>666</v>
      </c>
      <c r="C677" s="1">
        <v>1.0011887353648139</v>
      </c>
      <c r="D677" s="1">
        <v>1.2975231708870871</v>
      </c>
      <c r="E677" s="1">
        <v>0.76926894609620133</v>
      </c>
      <c r="G677" s="1">
        <v>1.0040317075986709</v>
      </c>
      <c r="H677" s="1">
        <v>8.4845730388608747</v>
      </c>
      <c r="I677" s="1">
        <v>8.5316204639975857E-2</v>
      </c>
      <c r="K677" s="1">
        <v>0.99991501667293003</v>
      </c>
      <c r="L677" s="1">
        <v>1.780674869020697</v>
      </c>
      <c r="M677" s="1">
        <v>0.54924189852058158</v>
      </c>
      <c r="O677" s="1">
        <v>7.526092156962926E-3</v>
      </c>
      <c r="P677" s="1">
        <v>0.65856100829898079</v>
      </c>
      <c r="R677" s="1">
        <v>0.2361957692857467</v>
      </c>
      <c r="S677" s="2">
        <f t="shared" si="132"/>
        <v>1.2512164880142473</v>
      </c>
      <c r="T677" s="4">
        <f t="shared" si="133"/>
        <v>1.5655426998787072</v>
      </c>
      <c r="U677" s="1">
        <f t="shared" si="124"/>
        <v>1.455187888109438</v>
      </c>
      <c r="V677" s="6">
        <f>2*sigma/alpha*corel*(B677/12-1/alpha*(1-EXP(-alpha*Output!B677/12)))</f>
        <v>4.1519034650779938</v>
      </c>
      <c r="W677" s="5">
        <f t="shared" si="134"/>
        <v>-0.1103548117692692</v>
      </c>
      <c r="X677" s="1">
        <f t="shared" si="135"/>
        <v>41.737070596104417</v>
      </c>
      <c r="Y677" s="3">
        <f t="shared" si="125"/>
        <v>2.0797476953130389E-2</v>
      </c>
      <c r="Z677" s="1">
        <f t="shared" si="126"/>
        <v>0.16795230446287757</v>
      </c>
      <c r="AA677" s="8">
        <f t="shared" si="131"/>
        <v>55.416666666667147</v>
      </c>
      <c r="AB677" s="1">
        <v>55.5</v>
      </c>
      <c r="AC677" s="1">
        <v>7.5407697139999999E-3</v>
      </c>
      <c r="AD677" s="8">
        <f t="shared" si="127"/>
        <v>0.14677557037073852</v>
      </c>
      <c r="AE677" s="3">
        <f t="shared" si="128"/>
        <v>1.9464269025248014E-3</v>
      </c>
      <c r="AF677" s="11">
        <f t="shared" si="129"/>
        <v>55.416666666667147</v>
      </c>
      <c r="AG677" s="1">
        <f t="shared" si="130"/>
        <v>0.16795230446287757</v>
      </c>
    </row>
    <row r="678" spans="2:33" ht="15" x14ac:dyDescent="0.25">
      <c r="B678" s="1">
        <v>667</v>
      </c>
      <c r="C678" s="1">
        <v>1.0011881361517123</v>
      </c>
      <c r="D678" s="1">
        <v>1.2961377736017505</v>
      </c>
      <c r="E678" s="1">
        <v>0.77008840330152717</v>
      </c>
      <c r="G678" s="1">
        <v>1.0038087398190809</v>
      </c>
      <c r="H678" s="1">
        <v>8.4020499659071142</v>
      </c>
      <c r="I678" s="1">
        <v>8.6112387005751551E-2</v>
      </c>
      <c r="K678" s="1">
        <v>0.99992557765787604</v>
      </c>
      <c r="L678" s="1">
        <v>1.78064253053307</v>
      </c>
      <c r="M678" s="1">
        <v>0.54924283142426145</v>
      </c>
      <c r="O678" s="1">
        <v>7.5280801450809433E-3</v>
      </c>
      <c r="P678" s="1">
        <v>0.65807538452994929</v>
      </c>
      <c r="R678" s="1">
        <v>0.2363452677522942</v>
      </c>
      <c r="S678" s="2">
        <f t="shared" si="132"/>
        <v>1.2529971523715446</v>
      </c>
      <c r="T678" s="4">
        <f t="shared" si="133"/>
        <v>1.5700018638511999</v>
      </c>
      <c r="U678" s="1">
        <f t="shared" si="124"/>
        <v>1.4593279928841696</v>
      </c>
      <c r="V678" s="6">
        <f>2*sigma/alpha*corel*(B678/12-1/alpha*(1-EXP(-alpha*Output!B678/12)))</f>
        <v>4.1611906703425348</v>
      </c>
      <c r="W678" s="5">
        <f t="shared" si="134"/>
        <v>-0.1106738709670303</v>
      </c>
      <c r="X678" s="1">
        <f t="shared" si="135"/>
        <v>41.921998439948823</v>
      </c>
      <c r="Y678" s="3">
        <f t="shared" si="125"/>
        <v>2.0811357844264623E-2</v>
      </c>
      <c r="Z678" s="1">
        <f t="shared" si="126"/>
        <v>0.16806519745034837</v>
      </c>
      <c r="AA678" s="8">
        <f t="shared" si="131"/>
        <v>55.500000000000483</v>
      </c>
      <c r="AB678" s="1">
        <v>55.58</v>
      </c>
      <c r="AC678" s="1">
        <v>7.5406241090000001E-3</v>
      </c>
      <c r="AD678" s="8">
        <f t="shared" si="127"/>
        <v>0.12543963919056828</v>
      </c>
      <c r="AE678" s="3">
        <f t="shared" si="128"/>
        <v>1.6635179976794185E-3</v>
      </c>
      <c r="AF678" s="11">
        <f t="shared" si="129"/>
        <v>55.500000000000483</v>
      </c>
      <c r="AG678" s="1">
        <f t="shared" si="130"/>
        <v>0.16806519745034837</v>
      </c>
    </row>
    <row r="679" spans="2:33" ht="15" x14ac:dyDescent="0.25">
      <c r="B679" s="1">
        <v>668</v>
      </c>
      <c r="C679" s="1">
        <v>1.0011835987552051</v>
      </c>
      <c r="D679" s="1">
        <v>1.2968041496562666</v>
      </c>
      <c r="E679" s="1">
        <v>0.76968989484514949</v>
      </c>
      <c r="G679" s="1">
        <v>1.0032863417638149</v>
      </c>
      <c r="H679" s="1">
        <v>8.4422073844316774</v>
      </c>
      <c r="I679" s="1">
        <v>8.566121641298198E-2</v>
      </c>
      <c r="K679" s="1">
        <v>0.99993375934742701</v>
      </c>
      <c r="L679" s="1">
        <v>1.7814457954756719</v>
      </c>
      <c r="M679" s="1">
        <v>0.54896863027601372</v>
      </c>
      <c r="O679" s="1">
        <v>7.5301728084846394E-3</v>
      </c>
      <c r="P679" s="1">
        <v>0.65758606926497953</v>
      </c>
      <c r="R679" s="1">
        <v>0.23646182599277635</v>
      </c>
      <c r="S679" s="2">
        <f t="shared" si="132"/>
        <v>1.2546580679378827</v>
      </c>
      <c r="T679" s="4">
        <f t="shared" si="133"/>
        <v>1.5741668674416207</v>
      </c>
      <c r="U679" s="1">
        <f t="shared" si="124"/>
        <v>1.4634714494011756</v>
      </c>
      <c r="V679" s="6">
        <f>2*sigma/alpha*corel*(B679/12-1/alpha*(1-EXP(-alpha*Output!B679/12)))</f>
        <v>4.1704816342105966</v>
      </c>
      <c r="W679" s="5">
        <f t="shared" si="134"/>
        <v>-0.11069541804044514</v>
      </c>
      <c r="X679" s="1">
        <f t="shared" si="135"/>
        <v>42.041096811627</v>
      </c>
      <c r="Y679" s="3">
        <f t="shared" si="125"/>
        <v>2.077930218686181E-2</v>
      </c>
      <c r="Z679" s="1">
        <f t="shared" si="126"/>
        <v>0.16816196573692921</v>
      </c>
      <c r="AA679" s="8">
        <f t="shared" si="131"/>
        <v>55.583333333333819</v>
      </c>
      <c r="AB679" s="1">
        <v>55.67</v>
      </c>
      <c r="AC679" s="1">
        <v>7.5404789400000003E-3</v>
      </c>
      <c r="AD679" s="8">
        <f t="shared" si="127"/>
        <v>0.10306131515360958</v>
      </c>
      <c r="AE679" s="3">
        <f t="shared" si="128"/>
        <v>1.3667741263343356E-3</v>
      </c>
      <c r="AF679" s="11">
        <f t="shared" si="129"/>
        <v>55.583333333333819</v>
      </c>
      <c r="AG679" s="1">
        <f t="shared" si="130"/>
        <v>0.16816196573692921</v>
      </c>
    </row>
    <row r="680" spans="2:33" ht="15" x14ac:dyDescent="0.25">
      <c r="B680" s="1">
        <v>669</v>
      </c>
      <c r="C680" s="1">
        <v>1.0011892327356231</v>
      </c>
      <c r="D680" s="1">
        <v>1.2994992559080136</v>
      </c>
      <c r="E680" s="1">
        <v>0.76809080198246926</v>
      </c>
      <c r="G680" s="1">
        <v>1.0036469876901277</v>
      </c>
      <c r="H680" s="1">
        <v>8.5913151131203094</v>
      </c>
      <c r="I680" s="1">
        <v>8.4133696254636195E-2</v>
      </c>
      <c r="K680" s="1">
        <v>0.99992633054209124</v>
      </c>
      <c r="L680" s="1">
        <v>1.7910954090417106</v>
      </c>
      <c r="M680" s="1">
        <v>0.54598558188914859</v>
      </c>
      <c r="O680" s="1">
        <v>7.5323579028851633E-3</v>
      </c>
      <c r="P680" s="1">
        <v>0.6570935026223732</v>
      </c>
      <c r="R680" s="1">
        <v>0.23658419260471741</v>
      </c>
      <c r="S680" s="2">
        <f t="shared" si="132"/>
        <v>1.2563521656964924</v>
      </c>
      <c r="T680" s="4">
        <f t="shared" si="133"/>
        <v>1.5784207642502668</v>
      </c>
      <c r="U680" s="1">
        <f t="shared" si="124"/>
        <v>1.4676182478560245</v>
      </c>
      <c r="V680" s="6">
        <f>2*sigma/alpha*corel*(B680/12-1/alpha*(1-EXP(-alpha*Output!B680/12)))</f>
        <v>4.1797763441743587</v>
      </c>
      <c r="W680" s="5">
        <f t="shared" si="134"/>
        <v>-0.11080251639424232</v>
      </c>
      <c r="X680" s="1">
        <f t="shared" si="135"/>
        <v>42.179491443235605</v>
      </c>
      <c r="Y680" s="3">
        <f t="shared" si="125"/>
        <v>2.0760517093821606E-2</v>
      </c>
      <c r="Z680" s="1">
        <f t="shared" si="126"/>
        <v>0.16826312750046568</v>
      </c>
      <c r="AA680" s="8">
        <f t="shared" si="131"/>
        <v>55.666666666667155</v>
      </c>
      <c r="AB680" s="1">
        <v>55.75</v>
      </c>
      <c r="AC680" s="1">
        <v>7.5403342060000001E-3</v>
      </c>
      <c r="AD680" s="8">
        <f t="shared" si="127"/>
        <v>7.9763031148368663E-2</v>
      </c>
      <c r="AE680" s="3">
        <f t="shared" si="128"/>
        <v>1.0578182474312555E-3</v>
      </c>
      <c r="AF680" s="11">
        <f t="shared" si="129"/>
        <v>55.666666666667155</v>
      </c>
      <c r="AG680" s="1">
        <f t="shared" si="130"/>
        <v>0.16826312750046568</v>
      </c>
    </row>
    <row r="681" spans="2:33" ht="15" x14ac:dyDescent="0.25">
      <c r="B681" s="1">
        <v>670</v>
      </c>
      <c r="C681" s="1">
        <v>1.0011898726588824</v>
      </c>
      <c r="D681" s="1">
        <v>1.3016093203241663</v>
      </c>
      <c r="E681" s="1">
        <v>0.76684284689086324</v>
      </c>
      <c r="G681" s="1">
        <v>1.0036071778354061</v>
      </c>
      <c r="H681" s="1">
        <v>8.7194831998805338</v>
      </c>
      <c r="I681" s="1">
        <v>8.2856814889040481E-2</v>
      </c>
      <c r="K681" s="1">
        <v>0.99992732531568163</v>
      </c>
      <c r="L681" s="1">
        <v>1.7929264179809512</v>
      </c>
      <c r="M681" s="1">
        <v>0.54542400604227159</v>
      </c>
      <c r="O681" s="1">
        <v>7.5345177220662125E-3</v>
      </c>
      <c r="P681" s="1">
        <v>0.65660199241147765</v>
      </c>
      <c r="R681" s="1">
        <v>0.23670228951785749</v>
      </c>
      <c r="S681" s="2">
        <f t="shared" si="132"/>
        <v>1.2580287931634755</v>
      </c>
      <c r="T681" s="4">
        <f t="shared" si="133"/>
        <v>1.5826364444283505</v>
      </c>
      <c r="U681" s="1">
        <f t="shared" si="124"/>
        <v>1.4717683784679423</v>
      </c>
      <c r="V681" s="6">
        <f>2*sigma/alpha*corel*(B681/12-1/alpha*(1-EXP(-alpha*Output!B681/12)))</f>
        <v>4.1890747877676251</v>
      </c>
      <c r="W681" s="5">
        <f t="shared" si="134"/>
        <v>-0.11086806596040821</v>
      </c>
      <c r="X681" s="1">
        <f t="shared" si="135"/>
        <v>42.308882308668203</v>
      </c>
      <c r="Y681" s="3">
        <f t="shared" si="125"/>
        <v>2.0735400390194565E-2</v>
      </c>
      <c r="Z681" s="1">
        <f t="shared" si="126"/>
        <v>0.16836189403453453</v>
      </c>
      <c r="AA681" s="8">
        <f t="shared" si="131"/>
        <v>55.75000000000049</v>
      </c>
      <c r="AB681" s="1">
        <v>55.83</v>
      </c>
      <c r="AC681" s="1">
        <v>7.5401899050000004E-3</v>
      </c>
      <c r="AD681" s="8">
        <f t="shared" si="127"/>
        <v>5.6721829337878782E-2</v>
      </c>
      <c r="AE681" s="3">
        <f t="shared" si="128"/>
        <v>7.5225995701070844E-4</v>
      </c>
      <c r="AF681" s="11">
        <f t="shared" si="129"/>
        <v>55.75000000000049</v>
      </c>
      <c r="AG681" s="1">
        <f t="shared" si="130"/>
        <v>0.16836189403453453</v>
      </c>
    </row>
    <row r="682" spans="2:33" ht="15" x14ac:dyDescent="0.25">
      <c r="B682" s="1">
        <v>671</v>
      </c>
      <c r="C682" s="1">
        <v>1.0011901399999543</v>
      </c>
      <c r="D682" s="1">
        <v>1.3014196053470954</v>
      </c>
      <c r="E682" s="1">
        <v>0.76695184136079686</v>
      </c>
      <c r="G682" s="1">
        <v>1.0034991265039437</v>
      </c>
      <c r="H682" s="1">
        <v>8.7030128615695546</v>
      </c>
      <c r="I682" s="1">
        <v>8.2973367137138779E-2</v>
      </c>
      <c r="K682" s="1">
        <v>0.99992404250339562</v>
      </c>
      <c r="L682" s="1">
        <v>1.7877165449832313</v>
      </c>
      <c r="M682" s="1">
        <v>0.5470197577929633</v>
      </c>
      <c r="O682" s="1">
        <v>7.5366712875548462E-3</v>
      </c>
      <c r="P682" s="1">
        <v>0.65611084310582013</v>
      </c>
      <c r="R682" s="1">
        <v>0.23683690927976192</v>
      </c>
      <c r="S682" s="2">
        <f t="shared" si="132"/>
        <v>1.2597725847277219</v>
      </c>
      <c r="T682" s="4">
        <f t="shared" si="133"/>
        <v>1.5870269652315654</v>
      </c>
      <c r="U682" s="1">
        <f t="shared" si="124"/>
        <v>1.4759218314797971</v>
      </c>
      <c r="V682" s="6">
        <f>2*sigma/alpha*corel*(B682/12-1/alpha*(1-EXP(-alpha*Output!B682/12)))</f>
        <v>4.198376952565682</v>
      </c>
      <c r="W682" s="5">
        <f t="shared" si="134"/>
        <v>-0.11110513375176834</v>
      </c>
      <c r="X682" s="1">
        <f t="shared" si="135"/>
        <v>42.476883951646883</v>
      </c>
      <c r="Y682" s="3">
        <f t="shared" si="125"/>
        <v>2.0736682189437347E-2</v>
      </c>
      <c r="Z682" s="1">
        <f t="shared" si="126"/>
        <v>0.16846958882491447</v>
      </c>
      <c r="AA682" s="8">
        <f t="shared" si="131"/>
        <v>55.833333333333826</v>
      </c>
      <c r="AB682" s="1">
        <v>55.92</v>
      </c>
      <c r="AC682" s="1">
        <v>7.5400460339999998E-3</v>
      </c>
      <c r="AD682" s="8">
        <f t="shared" si="127"/>
        <v>3.3747464451535161E-2</v>
      </c>
      <c r="AE682" s="3">
        <f t="shared" si="128"/>
        <v>4.4757637154148924E-4</v>
      </c>
      <c r="AF682" s="11">
        <f t="shared" si="129"/>
        <v>55.833333333333826</v>
      </c>
      <c r="AG682" s="1">
        <f t="shared" si="130"/>
        <v>0.16846958882491447</v>
      </c>
    </row>
    <row r="683" spans="2:33" ht="15" x14ac:dyDescent="0.25">
      <c r="B683" s="1">
        <v>672</v>
      </c>
      <c r="C683" s="1">
        <v>1.0011961643896439</v>
      </c>
      <c r="D683" s="1">
        <v>1.2971588033823689</v>
      </c>
      <c r="E683" s="1">
        <v>0.76946825713781752</v>
      </c>
      <c r="G683" s="1">
        <v>1.0038615170617042</v>
      </c>
      <c r="H683" s="1">
        <v>8.4440489176048565</v>
      </c>
      <c r="I683" s="1">
        <v>8.5476544610556593E-2</v>
      </c>
      <c r="K683" s="1">
        <v>0.99993480697378556</v>
      </c>
      <c r="L683" s="1">
        <v>1.7891947480506218</v>
      </c>
      <c r="M683" s="1">
        <v>0.54652224460800192</v>
      </c>
      <c r="O683" s="1">
        <v>7.5387818129042106E-3</v>
      </c>
      <c r="P683" s="1">
        <v>0.65562140607614894</v>
      </c>
      <c r="R683" s="1">
        <v>0.23695633283189504</v>
      </c>
      <c r="S683" s="2">
        <f t="shared" si="132"/>
        <v>1.2614537008236664</v>
      </c>
      <c r="T683" s="4">
        <f t="shared" si="133"/>
        <v>1.591265439321724</v>
      </c>
      <c r="U683" s="1">
        <f t="shared" si="124"/>
        <v>1.4800785971580814</v>
      </c>
      <c r="V683" s="6">
        <f>2*sigma/alpha*corel*(B683/12-1/alpha*(1-EXP(-alpha*Output!B683/12)))</f>
        <v>4.2076828261851649</v>
      </c>
      <c r="W683" s="5">
        <f t="shared" si="134"/>
        <v>-0.11118684216364261</v>
      </c>
      <c r="X683" s="1">
        <f t="shared" si="135"/>
        <v>42.610447410429529</v>
      </c>
      <c r="Y683" s="3">
        <f t="shared" si="125"/>
        <v>2.0714151896107418E-2</v>
      </c>
      <c r="Z683" s="1">
        <f t="shared" si="126"/>
        <v>0.16856884134857847</v>
      </c>
      <c r="AA683" s="8">
        <f t="shared" si="131"/>
        <v>55.916666666667162</v>
      </c>
      <c r="AB683" s="1">
        <v>56</v>
      </c>
      <c r="AC683" s="1">
        <v>7.539902593E-3</v>
      </c>
      <c r="AD683" s="8">
        <f t="shared" si="127"/>
        <v>1.1207800957894684E-2</v>
      </c>
      <c r="AE683" s="3">
        <f t="shared" si="128"/>
        <v>1.4864649535791005E-4</v>
      </c>
      <c r="AF683" s="11">
        <f t="shared" si="129"/>
        <v>55.916666666667162</v>
      </c>
      <c r="AG683" s="1">
        <f t="shared" si="130"/>
        <v>0.16856884134857847</v>
      </c>
    </row>
    <row r="684" spans="2:33" ht="15" x14ac:dyDescent="0.25">
      <c r="B684" s="1">
        <v>673</v>
      </c>
      <c r="C684" s="1">
        <v>1.0011988218556416</v>
      </c>
      <c r="D684" s="1">
        <v>1.2958650876291746</v>
      </c>
      <c r="E684" s="1">
        <v>0.77023363709909853</v>
      </c>
      <c r="G684" s="1">
        <v>1.0039655548008708</v>
      </c>
      <c r="H684" s="1">
        <v>8.3704929616873489</v>
      </c>
      <c r="I684" s="1">
        <v>8.618585984651482E-2</v>
      </c>
      <c r="K684" s="1">
        <v>0.99995177897689536</v>
      </c>
      <c r="L684" s="1">
        <v>1.7875013086289993</v>
      </c>
      <c r="M684" s="1">
        <v>0.54703145008872023</v>
      </c>
      <c r="O684" s="1">
        <v>7.540955328069001E-3</v>
      </c>
      <c r="P684" s="1">
        <v>0.65512978933760302</v>
      </c>
      <c r="R684" s="1">
        <v>0.23707007333216973</v>
      </c>
      <c r="S684" s="2">
        <f t="shared" si="132"/>
        <v>1.2631195898635748</v>
      </c>
      <c r="T684" s="4">
        <f t="shared" si="133"/>
        <v>1.5954710982971252</v>
      </c>
      <c r="U684" s="1">
        <f t="shared" si="124"/>
        <v>1.4842386657928865</v>
      </c>
      <c r="V684" s="6">
        <f>2*sigma/alpha*corel*(B684/12-1/alpha*(1-EXP(-alpha*Output!B684/12)))</f>
        <v>4.2169923962839171</v>
      </c>
      <c r="W684" s="5">
        <f t="shared" si="134"/>
        <v>-0.11123243250423864</v>
      </c>
      <c r="X684" s="1">
        <f t="shared" si="135"/>
        <v>42.736167228767243</v>
      </c>
      <c r="Y684" s="3">
        <f t="shared" si="125"/>
        <v>2.0686164472405115E-2</v>
      </c>
      <c r="Z684" s="1">
        <f t="shared" si="126"/>
        <v>0.16866600624768638</v>
      </c>
      <c r="AA684" s="8">
        <f t="shared" si="131"/>
        <v>56.000000000000497</v>
      </c>
      <c r="AB684" s="1">
        <v>56.08</v>
      </c>
      <c r="AC684" s="1">
        <v>7.5397595780000003E-3</v>
      </c>
      <c r="AD684" s="8">
        <f t="shared" si="127"/>
        <v>-1.1957500690006756E-2</v>
      </c>
      <c r="AE684" s="3">
        <f t="shared" si="128"/>
        <v>-1.5859259922421302E-4</v>
      </c>
      <c r="AF684" s="11">
        <f t="shared" si="129"/>
        <v>56.000000000000497</v>
      </c>
      <c r="AG684" s="1">
        <f t="shared" si="130"/>
        <v>0.16866600624768638</v>
      </c>
    </row>
    <row r="685" spans="2:33" ht="15" x14ac:dyDescent="0.25">
      <c r="B685" s="1">
        <v>674</v>
      </c>
      <c r="C685" s="1">
        <v>1.001195840937025</v>
      </c>
      <c r="D685" s="1">
        <v>1.2943560514157932</v>
      </c>
      <c r="E685" s="1">
        <v>0.77112880103665593</v>
      </c>
      <c r="G685" s="1">
        <v>1.0036705717269891</v>
      </c>
      <c r="H685" s="1">
        <v>8.2806761825176185</v>
      </c>
      <c r="I685" s="1">
        <v>8.707843329791691E-2</v>
      </c>
      <c r="K685" s="1">
        <v>0.99995210195411377</v>
      </c>
      <c r="L685" s="1">
        <v>1.7967262168893323</v>
      </c>
      <c r="M685" s="1">
        <v>0.54420194550588941</v>
      </c>
      <c r="O685" s="1">
        <v>7.5431655583785466E-3</v>
      </c>
      <c r="P685" s="1">
        <v>0.65463695412040557</v>
      </c>
      <c r="R685" s="1">
        <v>0.2371842752997475</v>
      </c>
      <c r="S685" s="2">
        <f t="shared" si="132"/>
        <v>1.2647924333452256</v>
      </c>
      <c r="T685" s="4">
        <f t="shared" si="133"/>
        <v>1.599699899447337</v>
      </c>
      <c r="U685" s="1">
        <f t="shared" si="124"/>
        <v>1.4884020276978887</v>
      </c>
      <c r="V685" s="6">
        <f>2*sigma/alpha*corel*(B685/12-1/alpha*(1-EXP(-alpha*Output!B685/12)))</f>
        <v>4.2263056505608532</v>
      </c>
      <c r="W685" s="5">
        <f t="shared" si="134"/>
        <v>-0.11129787174944838</v>
      </c>
      <c r="X685" s="1">
        <f t="shared" si="135"/>
        <v>42.866581305005326</v>
      </c>
      <c r="Y685" s="3">
        <f t="shared" si="125"/>
        <v>2.0661292791067647E-2</v>
      </c>
      <c r="Z685" s="1">
        <f t="shared" si="126"/>
        <v>0.16876404785299229</v>
      </c>
      <c r="AA685" s="8">
        <f t="shared" si="131"/>
        <v>56.083333333333833</v>
      </c>
      <c r="AB685" s="1">
        <v>56.17</v>
      </c>
      <c r="AC685" s="1">
        <v>7.5396169880000002E-3</v>
      </c>
      <c r="AD685" s="8">
        <f t="shared" si="127"/>
        <v>-3.5485703785463965E-2</v>
      </c>
      <c r="AE685" s="3">
        <f t="shared" si="128"/>
        <v>-4.7065658430584412E-4</v>
      </c>
      <c r="AF685" s="11">
        <f t="shared" si="129"/>
        <v>56.083333333333833</v>
      </c>
      <c r="AG685" s="1">
        <f t="shared" si="130"/>
        <v>0.16876404785299229</v>
      </c>
    </row>
    <row r="686" spans="2:33" ht="15" x14ac:dyDescent="0.25">
      <c r="B686" s="1">
        <v>675</v>
      </c>
      <c r="C686" s="1">
        <v>1.0011987356388952</v>
      </c>
      <c r="D686" s="1">
        <v>1.2909797249314332</v>
      </c>
      <c r="E686" s="1">
        <v>0.77314272015540486</v>
      </c>
      <c r="G686" s="1">
        <v>1.0037572440215436</v>
      </c>
      <c r="H686" s="1">
        <v>8.0873277164406208</v>
      </c>
      <c r="I686" s="1">
        <v>8.911703299905846E-2</v>
      </c>
      <c r="K686" s="1">
        <v>0.99994662507902143</v>
      </c>
      <c r="L686" s="1">
        <v>1.8020599075500412</v>
      </c>
      <c r="M686" s="1">
        <v>0.54256372043187839</v>
      </c>
      <c r="O686" s="1">
        <v>7.5452988932847541E-3</v>
      </c>
      <c r="P686" s="1">
        <v>0.65414707810031925</v>
      </c>
      <c r="R686" s="1">
        <v>0.23733247612429875</v>
      </c>
      <c r="S686" s="2">
        <f t="shared" si="132"/>
        <v>1.2665962790747642</v>
      </c>
      <c r="T686" s="4">
        <f t="shared" si="133"/>
        <v>1.604266134166038</v>
      </c>
      <c r="U686" s="1">
        <f t="shared" si="124"/>
        <v>1.4925686732103243</v>
      </c>
      <c r="V686" s="6">
        <f>2*sigma/alpha*corel*(B686/12-1/alpha*(1-EXP(-alpha*Output!B686/12)))</f>
        <v>4.2356225767558264</v>
      </c>
      <c r="W686" s="5">
        <f t="shared" si="134"/>
        <v>-0.11169746095571376</v>
      </c>
      <c r="X686" s="1">
        <f t="shared" si="135"/>
        <v>43.072427327759257</v>
      </c>
      <c r="Y686" s="3">
        <f t="shared" si="125"/>
        <v>2.068743249771229E-2</v>
      </c>
      <c r="Z686" s="1">
        <f t="shared" si="126"/>
        <v>0.16887950387663522</v>
      </c>
      <c r="AA686" s="8">
        <f t="shared" si="131"/>
        <v>56.166666666667169</v>
      </c>
      <c r="AB686" s="1">
        <v>56.25</v>
      </c>
      <c r="AC686" s="1">
        <v>7.5394748209999998E-3</v>
      </c>
      <c r="AD686" s="8">
        <f t="shared" si="127"/>
        <v>-5.8240722847543308E-2</v>
      </c>
      <c r="AE686" s="3">
        <f t="shared" si="128"/>
        <v>-7.7247718482092542E-4</v>
      </c>
      <c r="AF686" s="11">
        <f t="shared" si="129"/>
        <v>56.166666666667169</v>
      </c>
      <c r="AG686" s="1">
        <f t="shared" si="130"/>
        <v>0.16887950387663522</v>
      </c>
    </row>
    <row r="687" spans="2:33" ht="15" x14ac:dyDescent="0.25">
      <c r="B687" s="1">
        <v>676</v>
      </c>
      <c r="C687" s="1">
        <v>1.001200574968854</v>
      </c>
      <c r="D687" s="1">
        <v>1.284863350294573</v>
      </c>
      <c r="E687" s="1">
        <v>0.77682028740431641</v>
      </c>
      <c r="G687" s="1">
        <v>1.003831464125903</v>
      </c>
      <c r="H687" s="1">
        <v>7.7471784863018414</v>
      </c>
      <c r="I687" s="1">
        <v>9.2984711887860977E-2</v>
      </c>
      <c r="K687" s="1">
        <v>0.99995689721566583</v>
      </c>
      <c r="L687" s="1">
        <v>1.8137453510617012</v>
      </c>
      <c r="M687" s="1">
        <v>0.53905310040240906</v>
      </c>
      <c r="O687" s="1">
        <v>7.5474273592558757E-3</v>
      </c>
      <c r="P687" s="1">
        <v>0.65365751553846441</v>
      </c>
      <c r="R687" s="1">
        <v>0.23743092994658666</v>
      </c>
      <c r="S687" s="2">
        <f t="shared" si="132"/>
        <v>1.2682022307863432</v>
      </c>
      <c r="T687" s="4">
        <f t="shared" si="133"/>
        <v>1.6083368981714572</v>
      </c>
      <c r="U687" s="1">
        <f t="shared" si="124"/>
        <v>1.4967385926909706</v>
      </c>
      <c r="V687" s="6">
        <f>2*sigma/alpha*corel*(B687/12-1/alpha*(1-EXP(-alpha*Output!B687/12)))</f>
        <v>4.2449431626494842</v>
      </c>
      <c r="W687" s="5">
        <f t="shared" si="134"/>
        <v>-0.11159830548048655</v>
      </c>
      <c r="X687" s="1">
        <f t="shared" si="135"/>
        <v>43.166360622394237</v>
      </c>
      <c r="Y687" s="3">
        <f t="shared" si="125"/>
        <v>2.0637585753440879E-2</v>
      </c>
      <c r="Z687" s="1">
        <f t="shared" si="126"/>
        <v>0.16896851523031825</v>
      </c>
      <c r="AA687" s="8">
        <f t="shared" si="131"/>
        <v>56.250000000000504</v>
      </c>
      <c r="AB687" s="1">
        <v>56.33</v>
      </c>
      <c r="AC687" s="1">
        <v>7.5393330760000002E-3</v>
      </c>
      <c r="AD687" s="8">
        <f t="shared" si="127"/>
        <v>-8.094283255875509E-2</v>
      </c>
      <c r="AE687" s="3">
        <f t="shared" si="128"/>
        <v>-1.0736073302878852E-3</v>
      </c>
      <c r="AF687" s="11">
        <f t="shared" si="129"/>
        <v>56.250000000000504</v>
      </c>
      <c r="AG687" s="1">
        <f t="shared" si="130"/>
        <v>0.16896851523031825</v>
      </c>
    </row>
    <row r="688" spans="2:33" ht="15" x14ac:dyDescent="0.25">
      <c r="B688" s="1">
        <v>677</v>
      </c>
      <c r="C688" s="1">
        <v>1.0011981636518008</v>
      </c>
      <c r="D688" s="1">
        <v>1.2887938416326827</v>
      </c>
      <c r="E688" s="1">
        <v>0.77444834120426687</v>
      </c>
      <c r="G688" s="1">
        <v>1.0035424437878129</v>
      </c>
      <c r="H688" s="1">
        <v>7.9540533717690893</v>
      </c>
      <c r="I688" s="1">
        <v>9.05223790400944E-2</v>
      </c>
      <c r="K688" s="1">
        <v>0.99994808015561298</v>
      </c>
      <c r="L688" s="1">
        <v>1.8347817109382747</v>
      </c>
      <c r="M688" s="1">
        <v>0.53285288930661701</v>
      </c>
      <c r="O688" s="1">
        <v>7.5496114621937845E-3</v>
      </c>
      <c r="P688" s="1">
        <v>0.65316603746180579</v>
      </c>
      <c r="R688" s="1">
        <v>0.23751808207935987</v>
      </c>
      <c r="S688" s="2">
        <f t="shared" si="132"/>
        <v>1.2697695579018842</v>
      </c>
      <c r="T688" s="4">
        <f t="shared" si="133"/>
        <v>1.6123147301743463</v>
      </c>
      <c r="U688" s="1">
        <f t="shared" si="124"/>
        <v>1.5009117765241249</v>
      </c>
      <c r="V688" s="6">
        <f>2*sigma/alpha*corel*(B688/12-1/alpha*(1-EXP(-alpha*Output!B688/12)))</f>
        <v>4.2542673960631419</v>
      </c>
      <c r="W688" s="5">
        <f t="shared" si="134"/>
        <v>-0.11140295365022146</v>
      </c>
      <c r="X688" s="1">
        <f t="shared" si="135"/>
        <v>43.238724284272507</v>
      </c>
      <c r="Y688" s="3">
        <f t="shared" si="125"/>
        <v>2.0573251021376734E-2</v>
      </c>
      <c r="Z688" s="1">
        <f t="shared" si="126"/>
        <v>0.16905234504431171</v>
      </c>
      <c r="AA688" s="8">
        <f t="shared" si="131"/>
        <v>56.33333333333384</v>
      </c>
      <c r="AB688" s="1">
        <v>56.42</v>
      </c>
      <c r="AC688" s="1">
        <v>7.5391917500000002E-3</v>
      </c>
      <c r="AD688" s="8">
        <f t="shared" si="127"/>
        <v>-0.10419712193784209</v>
      </c>
      <c r="AE688" s="3">
        <f t="shared" si="128"/>
        <v>-1.3820728453795075E-3</v>
      </c>
      <c r="AF688" s="11">
        <f t="shared" si="129"/>
        <v>56.33333333333384</v>
      </c>
      <c r="AG688" s="1">
        <f t="shared" si="130"/>
        <v>0.16905234504431171</v>
      </c>
    </row>
    <row r="689" spans="2:33" ht="15" x14ac:dyDescent="0.25">
      <c r="B689" s="1">
        <v>678</v>
      </c>
      <c r="C689" s="1">
        <v>1.0012045215825265</v>
      </c>
      <c r="D689" s="1">
        <v>1.2875282579475866</v>
      </c>
      <c r="E689" s="1">
        <v>0.77520673998475931</v>
      </c>
      <c r="G689" s="1">
        <v>1.0039533784117078</v>
      </c>
      <c r="H689" s="1">
        <v>7.8789128627940492</v>
      </c>
      <c r="I689" s="1">
        <v>9.1341367474870525E-2</v>
      </c>
      <c r="K689" s="1">
        <v>0.99993649448631827</v>
      </c>
      <c r="L689" s="1">
        <v>1.8316706455526401</v>
      </c>
      <c r="M689" s="1">
        <v>0.53375206661549257</v>
      </c>
      <c r="O689" s="1">
        <v>7.5518101452628356E-3</v>
      </c>
      <c r="P689" s="1">
        <v>0.65267415367896942</v>
      </c>
      <c r="R689" s="1">
        <v>0.23761999216387264</v>
      </c>
      <c r="S689" s="2">
        <f t="shared" si="132"/>
        <v>1.271399101548836</v>
      </c>
      <c r="T689" s="4">
        <f t="shared" si="133"/>
        <v>1.6164556754191872</v>
      </c>
      <c r="U689" s="1">
        <f t="shared" si="124"/>
        <v>1.5050882151175822</v>
      </c>
      <c r="V689" s="6">
        <f>2*sigma/alpha*corel*(B689/12-1/alpha*(1-EXP(-alpha*Output!B689/12)))</f>
        <v>4.2635952648586404</v>
      </c>
      <c r="W689" s="5">
        <f t="shared" si="134"/>
        <v>-0.11136746030160505</v>
      </c>
      <c r="X689" s="1">
        <f t="shared" si="135"/>
        <v>43.347290610687764</v>
      </c>
      <c r="Y689" s="3">
        <f t="shared" si="125"/>
        <v>2.0533368735856677E-2</v>
      </c>
      <c r="Z689" s="1">
        <f t="shared" si="126"/>
        <v>0.16914442043168748</v>
      </c>
      <c r="AA689" s="8">
        <f t="shared" si="131"/>
        <v>56.416666666667176</v>
      </c>
      <c r="AB689" s="1">
        <v>56.5</v>
      </c>
      <c r="AC689" s="1">
        <v>7.5390508420000004E-3</v>
      </c>
      <c r="AD689" s="8">
        <f t="shared" si="127"/>
        <v>-0.12759303262835192</v>
      </c>
      <c r="AE689" s="3">
        <f t="shared" si="128"/>
        <v>-1.6924283348446465E-3</v>
      </c>
      <c r="AF689" s="11">
        <f t="shared" si="129"/>
        <v>56.416666666667176</v>
      </c>
      <c r="AG689" s="1">
        <f t="shared" si="130"/>
        <v>0.16914442043168748</v>
      </c>
    </row>
    <row r="690" spans="2:33" ht="15" x14ac:dyDescent="0.25">
      <c r="B690" s="1">
        <v>679</v>
      </c>
      <c r="C690" s="1">
        <v>1.0012115244516948</v>
      </c>
      <c r="D690" s="1">
        <v>1.2916800820113656</v>
      </c>
      <c r="E690" s="1">
        <v>0.77271216241422291</v>
      </c>
      <c r="G690" s="1">
        <v>1.0044545040506927</v>
      </c>
      <c r="H690" s="1">
        <v>8.1083118797169718</v>
      </c>
      <c r="I690" s="1">
        <v>8.8714111260665154E-2</v>
      </c>
      <c r="K690" s="1">
        <v>0.99992939351959675</v>
      </c>
      <c r="L690" s="1">
        <v>1.8146976837136601</v>
      </c>
      <c r="M690" s="1">
        <v>0.53872586175646731</v>
      </c>
      <c r="O690" s="1">
        <v>7.5538750810076744E-3</v>
      </c>
      <c r="P690" s="1">
        <v>0.65218733698158049</v>
      </c>
      <c r="R690" s="1">
        <v>0.23769222687815808</v>
      </c>
      <c r="S690" s="2">
        <f t="shared" si="132"/>
        <v>1.2728987592052532</v>
      </c>
      <c r="T690" s="4">
        <f t="shared" si="133"/>
        <v>1.6202712511862731</v>
      </c>
      <c r="U690" s="1">
        <f t="shared" si="124"/>
        <v>1.5092678989026163</v>
      </c>
      <c r="V690" s="6">
        <f>2*sigma/alpha*corel*(B690/12-1/alpha*(1-EXP(-alpha*Output!B690/12)))</f>
        <v>4.2729267569382152</v>
      </c>
      <c r="W690" s="5">
        <f t="shared" si="134"/>
        <v>-0.11100335228365688</v>
      </c>
      <c r="X690" s="1">
        <f t="shared" si="135"/>
        <v>43.381661803692879</v>
      </c>
      <c r="Y690" s="3">
        <f t="shared" si="125"/>
        <v>2.0443731225541342E-2</v>
      </c>
      <c r="Z690" s="1">
        <f t="shared" si="126"/>
        <v>0.16921918499044239</v>
      </c>
      <c r="AA690" s="8">
        <f t="shared" si="131"/>
        <v>56.500000000000512</v>
      </c>
      <c r="AB690" s="1">
        <v>56.58</v>
      </c>
      <c r="AC690" s="1">
        <v>7.5389103490000001E-3</v>
      </c>
      <c r="AD690" s="8">
        <f t="shared" si="127"/>
        <v>-0.14964732007674217</v>
      </c>
      <c r="AE690" s="3">
        <f t="shared" si="128"/>
        <v>-1.984999332119557E-3</v>
      </c>
      <c r="AF690" s="11">
        <f t="shared" si="129"/>
        <v>56.500000000000512</v>
      </c>
      <c r="AG690" s="1">
        <f t="shared" si="130"/>
        <v>0.16921918499044239</v>
      </c>
    </row>
    <row r="691" spans="2:33" ht="15" x14ac:dyDescent="0.25">
      <c r="B691" s="1">
        <v>680</v>
      </c>
      <c r="C691" s="1">
        <v>1.0012131114878067</v>
      </c>
      <c r="D691" s="1">
        <v>1.2928254047971361</v>
      </c>
      <c r="E691" s="1">
        <v>0.77202476561287381</v>
      </c>
      <c r="G691" s="1">
        <v>1.0044756489612521</v>
      </c>
      <c r="H691" s="1">
        <v>8.1705540928260856</v>
      </c>
      <c r="I691" s="1">
        <v>8.7995605586956543E-2</v>
      </c>
      <c r="K691" s="1">
        <v>0.99993020427874535</v>
      </c>
      <c r="L691" s="1">
        <v>1.8218352242549463</v>
      </c>
      <c r="M691" s="1">
        <v>0.53659544908577239</v>
      </c>
      <c r="O691" s="1">
        <v>7.555927497019505E-3</v>
      </c>
      <c r="P691" s="1">
        <v>0.65170112145459957</v>
      </c>
      <c r="R691" s="1">
        <v>0.23781272861952765</v>
      </c>
      <c r="S691" s="2">
        <f t="shared" si="132"/>
        <v>1.2745929805578931</v>
      </c>
      <c r="T691" s="4">
        <f t="shared" si="133"/>
        <v>1.6245872660874536</v>
      </c>
      <c r="U691" s="1">
        <f t="shared" si="124"/>
        <v>1.5134508183339515</v>
      </c>
      <c r="V691" s="6">
        <f>2*sigma/alpha*corel*(B691/12-1/alpha*(1-EXP(-alpha*Output!B691/12)))</f>
        <v>4.2822618602443576</v>
      </c>
      <c r="W691" s="5">
        <f t="shared" si="134"/>
        <v>-0.11113644775350218</v>
      </c>
      <c r="X691" s="1">
        <f t="shared" si="135"/>
        <v>43.528694797163965</v>
      </c>
      <c r="Y691" s="3">
        <f t="shared" si="125"/>
        <v>2.0429700946123078E-2</v>
      </c>
      <c r="Z691" s="1">
        <f t="shared" si="126"/>
        <v>0.16931977748804811</v>
      </c>
      <c r="AA691" s="8">
        <f t="shared" si="131"/>
        <v>56.583333333333847</v>
      </c>
      <c r="AB691" s="1">
        <v>56.67</v>
      </c>
      <c r="AC691" s="1">
        <v>7.53877027E-3</v>
      </c>
      <c r="AD691" s="8">
        <f t="shared" si="127"/>
        <v>-0.17157227019505039</v>
      </c>
      <c r="AE691" s="3">
        <f t="shared" si="128"/>
        <v>-2.2758654800479868E-3</v>
      </c>
      <c r="AF691" s="11">
        <f t="shared" si="129"/>
        <v>56.583333333333847</v>
      </c>
      <c r="AG691" s="1">
        <f t="shared" si="130"/>
        <v>0.16931977748804811</v>
      </c>
    </row>
    <row r="692" spans="2:33" ht="15" x14ac:dyDescent="0.25">
      <c r="B692" s="1">
        <v>681</v>
      </c>
      <c r="C692" s="1">
        <v>1.0012120484453952</v>
      </c>
      <c r="D692" s="1">
        <v>1.2924564309763156</v>
      </c>
      <c r="E692" s="1">
        <v>0.77224231461840387</v>
      </c>
      <c r="G692" s="1">
        <v>1.0042820659707132</v>
      </c>
      <c r="H692" s="1">
        <v>8.1481768764046212</v>
      </c>
      <c r="I692" s="1">
        <v>8.8194476545478878E-2</v>
      </c>
      <c r="K692" s="1">
        <v>0.9999272333339031</v>
      </c>
      <c r="L692" s="1">
        <v>1.8306426659926933</v>
      </c>
      <c r="M692" s="1">
        <v>0.53401096925336444</v>
      </c>
      <c r="O692" s="1">
        <v>7.5579254732038321E-3</v>
      </c>
      <c r="P692" s="1">
        <v>0.65121705755399439</v>
      </c>
      <c r="R692" s="1">
        <v>0.2379323398539234</v>
      </c>
      <c r="S692" s="2">
        <f t="shared" si="132"/>
        <v>1.2762804070795359</v>
      </c>
      <c r="T692" s="4">
        <f t="shared" si="133"/>
        <v>1.6288916774951059</v>
      </c>
      <c r="U692" s="1">
        <f t="shared" si="124"/>
        <v>1.5176369638897484</v>
      </c>
      <c r="V692" s="6">
        <f>2*sigma/alpha*corel*(B692/12-1/alpha*(1-EXP(-alpha*Output!B692/12)))</f>
        <v>4.2916005627596885</v>
      </c>
      <c r="W692" s="5">
        <f t="shared" si="134"/>
        <v>-0.11125471360535744</v>
      </c>
      <c r="X692" s="1">
        <f t="shared" si="135"/>
        <v>43.672655378695417</v>
      </c>
      <c r="Y692" s="3">
        <f t="shared" si="125"/>
        <v>2.0413466297316551E-2</v>
      </c>
      <c r="Z692" s="1">
        <f t="shared" si="126"/>
        <v>0.16941941166339797</v>
      </c>
      <c r="AA692" s="8">
        <f t="shared" si="131"/>
        <v>56.666666666667183</v>
      </c>
      <c r="AB692" s="1">
        <v>56.75</v>
      </c>
      <c r="AC692" s="1">
        <v>7.5386306029999999E-3</v>
      </c>
      <c r="AD692" s="8">
        <f t="shared" si="127"/>
        <v>-0.19294870203832165</v>
      </c>
      <c r="AE692" s="3">
        <f t="shared" si="128"/>
        <v>-2.55946619750194E-3</v>
      </c>
      <c r="AF692" s="11">
        <f t="shared" si="129"/>
        <v>56.666666666667183</v>
      </c>
      <c r="AG692" s="1">
        <f t="shared" si="130"/>
        <v>0.16941941166339797</v>
      </c>
    </row>
    <row r="693" spans="2:33" ht="15" x14ac:dyDescent="0.25">
      <c r="B693" s="1">
        <v>682</v>
      </c>
      <c r="C693" s="1">
        <v>1.0012050012489773</v>
      </c>
      <c r="D693" s="1">
        <v>1.2959069247839721</v>
      </c>
      <c r="E693" s="1">
        <v>0.77018328817129611</v>
      </c>
      <c r="G693" s="1">
        <v>1.0035800552696312</v>
      </c>
      <c r="H693" s="1">
        <v>8.3380483513725316</v>
      </c>
      <c r="I693" s="1">
        <v>8.6144343266106815E-2</v>
      </c>
      <c r="K693" s="1">
        <v>0.99992215865612877</v>
      </c>
      <c r="L693" s="1">
        <v>1.8286189369856805</v>
      </c>
      <c r="M693" s="1">
        <v>0.53456994095959454</v>
      </c>
      <c r="O693" s="1">
        <v>7.5598747092508398E-3</v>
      </c>
      <c r="P693" s="1">
        <v>0.65073493908507829</v>
      </c>
      <c r="R693" s="1">
        <v>0.23807482865091292</v>
      </c>
      <c r="S693" s="2">
        <f t="shared" si="132"/>
        <v>1.2780573768918624</v>
      </c>
      <c r="T693" s="4">
        <f t="shared" si="133"/>
        <v>1.6334306586277079</v>
      </c>
      <c r="U693" s="1">
        <f t="shared" si="124"/>
        <v>1.5218263260715754</v>
      </c>
      <c r="V693" s="6">
        <f>2*sigma/alpha*corel*(B693/12-1/alpha*(1-EXP(-alpha*Output!B693/12)))</f>
        <v>4.3009428525068145</v>
      </c>
      <c r="W693" s="5">
        <f t="shared" si="134"/>
        <v>-0.11160433255613245</v>
      </c>
      <c r="X693" s="1">
        <f t="shared" si="135"/>
        <v>43.869494354956899</v>
      </c>
      <c r="Y693" s="3">
        <f t="shared" si="125"/>
        <v>2.0432218678925477E-2</v>
      </c>
      <c r="Z693" s="1">
        <f t="shared" si="126"/>
        <v>0.16953086857877547</v>
      </c>
      <c r="AA693" s="8">
        <f t="shared" si="131"/>
        <v>56.750000000000519</v>
      </c>
      <c r="AB693" s="1">
        <v>56.83</v>
      </c>
      <c r="AC693" s="1">
        <v>7.5384913459999999E-3</v>
      </c>
      <c r="AD693" s="8">
        <f t="shared" si="127"/>
        <v>-0.21383363250839815</v>
      </c>
      <c r="AE693" s="3">
        <f t="shared" si="128"/>
        <v>-2.8365573785776176E-3</v>
      </c>
      <c r="AF693" s="11">
        <f t="shared" si="129"/>
        <v>56.750000000000519</v>
      </c>
      <c r="AG693" s="1">
        <f t="shared" si="130"/>
        <v>0.16953086857877547</v>
      </c>
    </row>
    <row r="694" spans="2:33" ht="15" x14ac:dyDescent="0.25">
      <c r="B694" s="1">
        <v>683</v>
      </c>
      <c r="C694" s="1">
        <v>1.001204650307447</v>
      </c>
      <c r="D694" s="1">
        <v>1.2956294970057551</v>
      </c>
      <c r="E694" s="1">
        <v>0.77034535321853415</v>
      </c>
      <c r="G694" s="1">
        <v>1.0034507646177702</v>
      </c>
      <c r="H694" s="1">
        <v>8.3174627216282637</v>
      </c>
      <c r="I694" s="1">
        <v>8.6315670337736933E-2</v>
      </c>
      <c r="K694" s="1">
        <v>0.99991757176885965</v>
      </c>
      <c r="L694" s="1">
        <v>1.8118591882883914</v>
      </c>
      <c r="M694" s="1">
        <v>0.53950381493641442</v>
      </c>
      <c r="O694" s="1">
        <v>7.5617737266825422E-3</v>
      </c>
      <c r="P694" s="1">
        <v>0.65025482490087949</v>
      </c>
      <c r="R694" s="1">
        <v>0.23817760705128588</v>
      </c>
      <c r="S694" s="2">
        <f t="shared" si="132"/>
        <v>1.2796713521362804</v>
      </c>
      <c r="T694" s="4">
        <f t="shared" si="133"/>
        <v>1.637558769478296</v>
      </c>
      <c r="U694" s="1">
        <f t="shared" si="124"/>
        <v>1.5260188954043863</v>
      </c>
      <c r="V694" s="6">
        <f>2*sigma/alpha*corel*(B694/12-1/alpha*(1-EXP(-alpha*Output!B694/12)))</f>
        <v>4.3102887175482056</v>
      </c>
      <c r="W694" s="5">
        <f t="shared" si="134"/>
        <v>-0.11153987407390975</v>
      </c>
      <c r="X694" s="1">
        <f t="shared" si="135"/>
        <v>43.972500159450142</v>
      </c>
      <c r="Y694" s="3">
        <f t="shared" si="125"/>
        <v>2.0388471397080454E-2</v>
      </c>
      <c r="Z694" s="1">
        <f t="shared" si="126"/>
        <v>0.16962064828509316</v>
      </c>
      <c r="AA694" s="8">
        <f t="shared" si="131"/>
        <v>56.833333333333854</v>
      </c>
      <c r="AB694" s="1">
        <v>56.92</v>
      </c>
      <c r="AC694" s="1">
        <v>7.5383524979999996E-3</v>
      </c>
      <c r="AD694" s="8">
        <f t="shared" si="127"/>
        <v>-0.23421228682542553</v>
      </c>
      <c r="AE694" s="3">
        <f t="shared" si="128"/>
        <v>-3.1069426229081805E-3</v>
      </c>
      <c r="AF694" s="11">
        <f t="shared" si="129"/>
        <v>56.833333333333854</v>
      </c>
      <c r="AG694" s="1">
        <f t="shared" si="130"/>
        <v>0.16962064828509316</v>
      </c>
    </row>
    <row r="695" spans="2:33" ht="15" x14ac:dyDescent="0.25">
      <c r="B695" s="1">
        <v>684</v>
      </c>
      <c r="C695" s="1">
        <v>1.0012066472664407</v>
      </c>
      <c r="D695" s="1">
        <v>1.2929381310062285</v>
      </c>
      <c r="E695" s="1">
        <v>0.77194603464364298</v>
      </c>
      <c r="G695" s="1">
        <v>1.0035100859656214</v>
      </c>
      <c r="H695" s="1">
        <v>8.1590822112945638</v>
      </c>
      <c r="I695" s="1">
        <v>8.7948520220929735E-2</v>
      </c>
      <c r="K695" s="1">
        <v>0.99993664211380351</v>
      </c>
      <c r="L695" s="1">
        <v>1.808133544798449</v>
      </c>
      <c r="M695" s="1">
        <v>0.54060727902800043</v>
      </c>
      <c r="O695" s="1">
        <v>7.5636911353749352E-3</v>
      </c>
      <c r="P695" s="1">
        <v>0.64977417813086225</v>
      </c>
      <c r="R695" s="1">
        <v>0.23831376353236708</v>
      </c>
      <c r="S695" s="2">
        <f t="shared" si="132"/>
        <v>1.2814235180876372</v>
      </c>
      <c r="T695" s="4">
        <f t="shared" si="133"/>
        <v>1.6420462327080971</v>
      </c>
      <c r="U695" s="1">
        <f t="shared" si="124"/>
        <v>1.5302146624365025</v>
      </c>
      <c r="V695" s="6">
        <f>2*sigma/alpha*corel*(B695/12-1/alpha*(1-EXP(-alpha*Output!B695/12)))</f>
        <v>4.3196381459860547</v>
      </c>
      <c r="W695" s="5">
        <f t="shared" si="134"/>
        <v>-0.11183157027159463</v>
      </c>
      <c r="X695" s="1">
        <f t="shared" si="135"/>
        <v>44.156871734181415</v>
      </c>
      <c r="Y695" s="3">
        <f t="shared" si="125"/>
        <v>2.0398469875759079E-2</v>
      </c>
      <c r="Z695" s="1">
        <f t="shared" si="126"/>
        <v>0.16972869128111989</v>
      </c>
      <c r="AA695" s="8">
        <f t="shared" si="131"/>
        <v>56.91666666666719</v>
      </c>
      <c r="AB695" s="1">
        <v>57</v>
      </c>
      <c r="AC695" s="1">
        <v>7.5382140560000003E-3</v>
      </c>
      <c r="AD695" s="8">
        <f t="shared" si="127"/>
        <v>-0.25477079374934886</v>
      </c>
      <c r="AE695" s="3">
        <f t="shared" si="128"/>
        <v>-3.3797235241226063E-3</v>
      </c>
      <c r="AF695" s="11">
        <f t="shared" si="129"/>
        <v>56.91666666666719</v>
      </c>
      <c r="AG695" s="1">
        <f t="shared" si="130"/>
        <v>0.16972869128111989</v>
      </c>
    </row>
    <row r="696" spans="2:33" ht="15" x14ac:dyDescent="0.25">
      <c r="B696" s="1">
        <v>685</v>
      </c>
      <c r="C696" s="1">
        <v>1.0012082807775982</v>
      </c>
      <c r="D696" s="1">
        <v>1.2957809293821689</v>
      </c>
      <c r="E696" s="1">
        <v>0.77024961280455384</v>
      </c>
      <c r="G696" s="1">
        <v>1.0035175561077598</v>
      </c>
      <c r="H696" s="1">
        <v>8.314574787859101</v>
      </c>
      <c r="I696" s="1">
        <v>8.6261922875345232E-2</v>
      </c>
      <c r="K696" s="1">
        <v>0.99992378625153489</v>
      </c>
      <c r="L696" s="1">
        <v>1.794445808031653</v>
      </c>
      <c r="M696" s="1">
        <v>0.54468409907719606</v>
      </c>
      <c r="O696" s="1">
        <v>7.5656135897394896E-3</v>
      </c>
      <c r="P696" s="1">
        <v>0.64929349213338672</v>
      </c>
      <c r="R696" s="1">
        <v>0.23844246369119704</v>
      </c>
      <c r="S696" s="2">
        <f t="shared" si="132"/>
        <v>1.2831478904352809</v>
      </c>
      <c r="T696" s="4">
        <f t="shared" si="133"/>
        <v>1.6464685087285116</v>
      </c>
      <c r="U696" s="1">
        <f t="shared" si="124"/>
        <v>1.5344136177395811</v>
      </c>
      <c r="V696" s="6">
        <f>2*sigma/alpha*corel*(B696/12-1/alpha*(1-EXP(-alpha*Output!B696/12)))</f>
        <v>4.3289911259621476</v>
      </c>
      <c r="W696" s="5">
        <f t="shared" si="134"/>
        <v>-0.11205489098893051</v>
      </c>
      <c r="X696" s="1">
        <f t="shared" si="135"/>
        <v>44.326030944464819</v>
      </c>
      <c r="Y696" s="3">
        <f t="shared" si="125"/>
        <v>2.0398148363946801E-2</v>
      </c>
      <c r="Z696" s="1">
        <f t="shared" si="126"/>
        <v>0.16983298839898175</v>
      </c>
      <c r="AA696" s="8">
        <f t="shared" si="131"/>
        <v>57.000000000000526</v>
      </c>
      <c r="AB696" s="1">
        <v>57.08</v>
      </c>
      <c r="AC696" s="1">
        <v>7.5380760189999998E-3</v>
      </c>
      <c r="AD696" s="8">
        <f t="shared" si="127"/>
        <v>-0.27537570739489747</v>
      </c>
      <c r="AE696" s="3">
        <f t="shared" si="128"/>
        <v>-3.6531298795714293E-3</v>
      </c>
      <c r="AF696" s="11">
        <f t="shared" si="129"/>
        <v>57.000000000000526</v>
      </c>
      <c r="AG696" s="1">
        <f t="shared" si="130"/>
        <v>0.16983298839898175</v>
      </c>
    </row>
    <row r="697" spans="2:33" ht="15" x14ac:dyDescent="0.25">
      <c r="B697" s="1">
        <v>686</v>
      </c>
      <c r="C697" s="1">
        <v>1.0012096280121929</v>
      </c>
      <c r="D697" s="1">
        <v>1.2938122334133204</v>
      </c>
      <c r="E697" s="1">
        <v>0.77141877658420421</v>
      </c>
      <c r="G697" s="1">
        <v>1.0035273589827869</v>
      </c>
      <c r="H697" s="1">
        <v>8.1956224219109579</v>
      </c>
      <c r="I697" s="1">
        <v>8.747149882842907E-2</v>
      </c>
      <c r="K697" s="1">
        <v>0.99992650954580464</v>
      </c>
      <c r="L697" s="1">
        <v>1.8087221232712325</v>
      </c>
      <c r="M697" s="1">
        <v>0.54036888370213654</v>
      </c>
      <c r="O697" s="1">
        <v>7.5676301158328178E-3</v>
      </c>
      <c r="P697" s="1">
        <v>0.64880946469368306</v>
      </c>
      <c r="R697" s="1">
        <v>0.2385069952822369</v>
      </c>
      <c r="S697" s="2">
        <f t="shared" si="132"/>
        <v>1.2846230983316984</v>
      </c>
      <c r="T697" s="4">
        <f t="shared" si="133"/>
        <v>1.6502565047673325</v>
      </c>
      <c r="U697" s="1">
        <f t="shared" ref="U697:U731" si="136">sigma*sigma/alpha/alpha*(B697/12+2/alpha*EXP(-alpha*B697/12)-1/2/alpha*EXP(-2*alpha*B697/12)-3/2/alpha)</f>
        <v>1.5386157519085977</v>
      </c>
      <c r="V697" s="6">
        <f>2*sigma/alpha*corel*(B697/12-1/alpha*(1-EXP(-alpha*Output!B697/12)))</f>
        <v>4.3383476456577306</v>
      </c>
      <c r="W697" s="5">
        <f t="shared" si="134"/>
        <v>-0.11164075285873487</v>
      </c>
      <c r="X697" s="1">
        <f t="shared" si="135"/>
        <v>44.349779114948014</v>
      </c>
      <c r="Y697" s="3">
        <f t="shared" si="125"/>
        <v>2.0302174955875919E-2</v>
      </c>
      <c r="Z697" s="1">
        <f t="shared" si="126"/>
        <v>0.16990426929536817</v>
      </c>
      <c r="AA697" s="8">
        <f t="shared" si="131"/>
        <v>57.083333333333862</v>
      </c>
      <c r="AB697" s="1">
        <v>57.17</v>
      </c>
      <c r="AC697" s="1">
        <v>7.5379383849999999E-3</v>
      </c>
      <c r="AD697" s="8">
        <f t="shared" si="127"/>
        <v>-0.29691730832817964</v>
      </c>
      <c r="AE697" s="3">
        <f t="shared" si="128"/>
        <v>-3.9389723444678924E-3</v>
      </c>
      <c r="AF697" s="11">
        <f t="shared" si="129"/>
        <v>57.083333333333862</v>
      </c>
      <c r="AG697" s="1">
        <f t="shared" si="130"/>
        <v>0.16990426929536817</v>
      </c>
    </row>
    <row r="698" spans="2:33" ht="15" x14ac:dyDescent="0.25">
      <c r="B698" s="1">
        <v>687</v>
      </c>
      <c r="C698" s="1">
        <v>1.0012121807220109</v>
      </c>
      <c r="D698" s="1">
        <v>1.291965966090997</v>
      </c>
      <c r="E698" s="1">
        <v>0.77251828826275692</v>
      </c>
      <c r="G698" s="1">
        <v>1.0035557493790186</v>
      </c>
      <c r="H698" s="1">
        <v>8.096582887445976</v>
      </c>
      <c r="I698" s="1">
        <v>8.84985333603132E-2</v>
      </c>
      <c r="K698" s="1">
        <v>0.99990853060070339</v>
      </c>
      <c r="L698" s="1">
        <v>1.8096551893008646</v>
      </c>
      <c r="M698" s="1">
        <v>0.54007932345945731</v>
      </c>
      <c r="O698" s="1">
        <v>7.5696800446556339E-3</v>
      </c>
      <c r="P698" s="1">
        <v>0.64832434039072584</v>
      </c>
      <c r="R698" s="1">
        <v>0.23862354043952116</v>
      </c>
      <c r="S698" s="2">
        <f t="shared" si="132"/>
        <v>1.286313566627945</v>
      </c>
      <c r="T698" s="4">
        <f t="shared" si="133"/>
        <v>1.6546025916911049</v>
      </c>
      <c r="U698" s="1">
        <f t="shared" si="136"/>
        <v>1.54282105556182</v>
      </c>
      <c r="V698" s="6">
        <f>2*sigma/alpha*corel*(B698/12-1/alpha*(1-EXP(-alpha*Output!B698/12)))</f>
        <v>4.3477076932933851</v>
      </c>
      <c r="W698" s="5">
        <f t="shared" si="134"/>
        <v>-0.11178153612928488</v>
      </c>
      <c r="X698" s="1">
        <f t="shared" si="135"/>
        <v>44.500533959928724</v>
      </c>
      <c r="Y698" s="3">
        <f t="shared" si="125"/>
        <v>2.0289645071078159E-2</v>
      </c>
      <c r="Z698" s="1">
        <f t="shared" si="126"/>
        <v>0.17000398616909471</v>
      </c>
      <c r="AA698" s="8">
        <f t="shared" si="131"/>
        <v>57.166666666667197</v>
      </c>
      <c r="AB698" s="1">
        <v>57.25</v>
      </c>
      <c r="AC698" s="1">
        <v>7.537801153E-3</v>
      </c>
      <c r="AD698" s="8">
        <f t="shared" si="127"/>
        <v>-0.31878891655633818</v>
      </c>
      <c r="AE698" s="3">
        <f t="shared" si="128"/>
        <v>-4.2292030538569206E-3</v>
      </c>
      <c r="AF698" s="11">
        <f t="shared" si="129"/>
        <v>57.166666666667197</v>
      </c>
      <c r="AG698" s="1">
        <f t="shared" si="130"/>
        <v>0.17000398616909471</v>
      </c>
    </row>
    <row r="699" spans="2:33" ht="15" x14ac:dyDescent="0.25">
      <c r="B699" s="1">
        <v>688</v>
      </c>
      <c r="C699" s="1">
        <v>1.0012114292887766</v>
      </c>
      <c r="D699" s="1">
        <v>1.2899803137013268</v>
      </c>
      <c r="E699" s="1">
        <v>0.77370453418536256</v>
      </c>
      <c r="G699" s="1">
        <v>1.0033682750118964</v>
      </c>
      <c r="H699" s="1">
        <v>7.988661008140137</v>
      </c>
      <c r="I699" s="1">
        <v>8.9650594628804481E-2</v>
      </c>
      <c r="K699" s="1">
        <v>0.9999133281042305</v>
      </c>
      <c r="L699" s="1">
        <v>1.803142923363954</v>
      </c>
      <c r="M699" s="1">
        <v>0.54200030385734133</v>
      </c>
      <c r="O699" s="1">
        <v>7.5717215795903878E-3</v>
      </c>
      <c r="P699" s="1">
        <v>0.64783966925731673</v>
      </c>
      <c r="R699" s="1">
        <v>0.23870151353682487</v>
      </c>
      <c r="S699" s="2">
        <f t="shared" si="132"/>
        <v>1.28784861536135</v>
      </c>
      <c r="T699" s="4">
        <f t="shared" si="133"/>
        <v>1.6585540560881464</v>
      </c>
      <c r="U699" s="1">
        <f t="shared" si="136"/>
        <v>1.5470295193407835</v>
      </c>
      <c r="V699" s="6">
        <f>2*sigma/alpha*corel*(B699/12-1/alpha*(1-EXP(-alpha*Output!B699/12)))</f>
        <v>4.3570712571288883</v>
      </c>
      <c r="W699" s="5">
        <f t="shared" si="134"/>
        <v>-0.11152453674736296</v>
      </c>
      <c r="X699" s="1">
        <f t="shared" si="135"/>
        <v>44.560363700427281</v>
      </c>
      <c r="Y699" s="3">
        <f t="shared" si="125"/>
        <v>2.0217590339539813E-2</v>
      </c>
      <c r="Z699" s="1">
        <f t="shared" si="126"/>
        <v>0.17008312209076504</v>
      </c>
      <c r="AA699" s="8">
        <f t="shared" si="131"/>
        <v>57.250000000000533</v>
      </c>
      <c r="AB699" s="1">
        <v>57.33</v>
      </c>
      <c r="AC699" s="1">
        <v>7.5376643199999999E-3</v>
      </c>
      <c r="AD699" s="8">
        <f t="shared" si="127"/>
        <v>-0.34057259590387912</v>
      </c>
      <c r="AE699" s="3">
        <f t="shared" si="128"/>
        <v>-4.5182775651102375E-3</v>
      </c>
      <c r="AF699" s="11">
        <f t="shared" si="129"/>
        <v>57.250000000000533</v>
      </c>
      <c r="AG699" s="1">
        <f t="shared" si="130"/>
        <v>0.17008312209076504</v>
      </c>
    </row>
    <row r="700" spans="2:33" ht="15" x14ac:dyDescent="0.25">
      <c r="B700" s="1">
        <v>689</v>
      </c>
      <c r="C700" s="1">
        <v>1.0012150569706721</v>
      </c>
      <c r="D700" s="1">
        <v>1.2857381213732673</v>
      </c>
      <c r="E700" s="1">
        <v>0.7762544156222686</v>
      </c>
      <c r="G700" s="1">
        <v>1.0034914538819062</v>
      </c>
      <c r="H700" s="1">
        <v>7.7514792489791287</v>
      </c>
      <c r="I700" s="1">
        <v>9.2348937675637455E-2</v>
      </c>
      <c r="K700" s="1">
        <v>0.99990555998190367</v>
      </c>
      <c r="L700" s="1">
        <v>1.7980610810123396</v>
      </c>
      <c r="M700" s="1">
        <v>0.54351939013617767</v>
      </c>
      <c r="O700" s="1">
        <v>7.5738171072804901E-3</v>
      </c>
      <c r="P700" s="1">
        <v>0.64735313333336031</v>
      </c>
      <c r="R700" s="1">
        <v>0.23877733060066744</v>
      </c>
      <c r="S700" s="2">
        <f t="shared" si="132"/>
        <v>1.289381478265484</v>
      </c>
      <c r="T700" s="4">
        <f t="shared" si="133"/>
        <v>1.6625045964940848</v>
      </c>
      <c r="U700" s="1">
        <f t="shared" si="136"/>
        <v>1.5512411339102665</v>
      </c>
      <c r="V700" s="6">
        <f>2*sigma/alpha*corel*(B700/12-1/alpha*(1-EXP(-alpha*Output!B700/12)))</f>
        <v>4.3664383254630845</v>
      </c>
      <c r="W700" s="5">
        <f t="shared" si="134"/>
        <v>-0.11126346258381825</v>
      </c>
      <c r="X700" s="1">
        <f t="shared" si="135"/>
        <v>44.619292223489794</v>
      </c>
      <c r="Y700" s="3">
        <f t="shared" si="125"/>
        <v>2.0145100602185301E-2</v>
      </c>
      <c r="Z700" s="1">
        <f t="shared" si="126"/>
        <v>0.17016194437048321</v>
      </c>
      <c r="AA700" s="8">
        <f t="shared" si="131"/>
        <v>57.333333333333869</v>
      </c>
      <c r="AB700" s="1">
        <v>57.42</v>
      </c>
      <c r="AC700" s="1">
        <v>7.5375278840000004E-3</v>
      </c>
      <c r="AD700" s="8">
        <f t="shared" si="127"/>
        <v>-0.36289223280489696</v>
      </c>
      <c r="AE700" s="3">
        <f t="shared" si="128"/>
        <v>-4.8144728402957238E-3</v>
      </c>
      <c r="AF700" s="11">
        <f t="shared" si="129"/>
        <v>57.333333333333869</v>
      </c>
      <c r="AG700" s="1">
        <f t="shared" si="130"/>
        <v>0.17016194437048321</v>
      </c>
    </row>
    <row r="701" spans="2:33" ht="15" x14ac:dyDescent="0.25">
      <c r="B701" s="1">
        <v>690</v>
      </c>
      <c r="C701" s="1">
        <v>1.0012156647709447</v>
      </c>
      <c r="D701" s="1">
        <v>1.2873124693003339</v>
      </c>
      <c r="E701" s="1">
        <v>0.7753021808142917</v>
      </c>
      <c r="G701" s="1">
        <v>1.0034116938851585</v>
      </c>
      <c r="H701" s="1">
        <v>7.8284140556037949</v>
      </c>
      <c r="I701" s="1">
        <v>9.1397018378582578E-2</v>
      </c>
      <c r="K701" s="1">
        <v>0.99992156778115626</v>
      </c>
      <c r="L701" s="1">
        <v>1.8075206803595454</v>
      </c>
      <c r="M701" s="1">
        <v>0.54067197383284271</v>
      </c>
      <c r="O701" s="1">
        <v>7.5759164835208677E-3</v>
      </c>
      <c r="P701" s="1">
        <v>0.64686659373672195</v>
      </c>
      <c r="R701" s="1">
        <v>0.23889709485236638</v>
      </c>
      <c r="S701" s="2">
        <f t="shared" si="132"/>
        <v>1.2910947922866172</v>
      </c>
      <c r="T701" s="4">
        <f t="shared" si="133"/>
        <v>1.6669257626696232</v>
      </c>
      <c r="U701" s="1">
        <f t="shared" si="136"/>
        <v>1.5554558899582669</v>
      </c>
      <c r="V701" s="6">
        <f>2*sigma/alpha*corel*(B701/12-1/alpha*(1-EXP(-alpha*Output!B701/12)))</f>
        <v>4.3758088866337612</v>
      </c>
      <c r="W701" s="5">
        <f t="shared" si="134"/>
        <v>-0.11146987271135633</v>
      </c>
      <c r="X701" s="1">
        <f t="shared" si="135"/>
        <v>44.785774135954952</v>
      </c>
      <c r="Y701" s="3">
        <f t="shared" si="125"/>
        <v>2.0142682989405074E-2</v>
      </c>
      <c r="Z701" s="1">
        <f t="shared" si="126"/>
        <v>0.17026453906735697</v>
      </c>
      <c r="AA701" s="8">
        <f t="shared" si="131"/>
        <v>57.416666666667204</v>
      </c>
      <c r="AB701" s="1">
        <v>57.5</v>
      </c>
      <c r="AC701" s="1">
        <v>7.5373918449999997E-3</v>
      </c>
      <c r="AD701" s="8">
        <f t="shared" si="127"/>
        <v>-0.38524638520867971</v>
      </c>
      <c r="AE701" s="3">
        <f t="shared" si="128"/>
        <v>-5.1111364929798172E-3</v>
      </c>
      <c r="AF701" s="11">
        <f t="shared" si="129"/>
        <v>57.416666666667204</v>
      </c>
      <c r="AG701" s="1">
        <f t="shared" si="130"/>
        <v>0.17026453906735697</v>
      </c>
    </row>
    <row r="702" spans="2:33" ht="15" x14ac:dyDescent="0.25">
      <c r="B702" s="1">
        <v>691</v>
      </c>
      <c r="C702" s="1">
        <v>1.0012184191474993</v>
      </c>
      <c r="D702" s="1">
        <v>1.2882168950496169</v>
      </c>
      <c r="E702" s="1">
        <v>0.77475496176898684</v>
      </c>
      <c r="G702" s="1">
        <v>1.0035519443208021</v>
      </c>
      <c r="H702" s="1">
        <v>7.8775590138060698</v>
      </c>
      <c r="I702" s="1">
        <v>9.0782778898706062E-2</v>
      </c>
      <c r="K702" s="1">
        <v>0.9999134080262575</v>
      </c>
      <c r="L702" s="1">
        <v>1.8087293525793107</v>
      </c>
      <c r="M702" s="1">
        <v>0.54027623556618731</v>
      </c>
      <c r="O702" s="1">
        <v>7.5779650741427777E-3</v>
      </c>
      <c r="P702" s="1">
        <v>0.64638208392941499</v>
      </c>
      <c r="R702" s="1">
        <v>0.23897076546096208</v>
      </c>
      <c r="S702" s="2">
        <f t="shared" si="132"/>
        <v>1.2926177146850144</v>
      </c>
      <c r="T702" s="4">
        <f t="shared" si="133"/>
        <v>1.6708605563175094</v>
      </c>
      <c r="U702" s="1">
        <f t="shared" si="136"/>
        <v>1.5596737781959744</v>
      </c>
      <c r="V702" s="6">
        <f>2*sigma/alpha*corel*(B702/12-1/alpha*(1-EXP(-alpha*Output!B702/12)))</f>
        <v>4.3851829290175139</v>
      </c>
      <c r="W702" s="5">
        <f t="shared" si="134"/>
        <v>-0.11118677812153499</v>
      </c>
      <c r="X702" s="1">
        <f t="shared" si="135"/>
        <v>44.839850548273517</v>
      </c>
      <c r="Y702" s="3">
        <f t="shared" si="125"/>
        <v>2.0067208643322738E-2</v>
      </c>
      <c r="Z702" s="1">
        <f t="shared" si="126"/>
        <v>0.17034198459592489</v>
      </c>
      <c r="AA702" s="8">
        <f t="shared" si="131"/>
        <v>57.50000000000054</v>
      </c>
      <c r="AB702" s="1">
        <v>57.58</v>
      </c>
      <c r="AC702" s="1">
        <v>7.5372562000000001E-3</v>
      </c>
      <c r="AD702" s="8">
        <f t="shared" si="127"/>
        <v>-0.40708874142777673</v>
      </c>
      <c r="AE702" s="3">
        <f t="shared" si="128"/>
        <v>-5.4010203531064359E-3</v>
      </c>
      <c r="AF702" s="11">
        <f t="shared" si="129"/>
        <v>57.50000000000054</v>
      </c>
      <c r="AG702" s="1">
        <f t="shared" si="130"/>
        <v>0.17034198459592489</v>
      </c>
    </row>
    <row r="703" spans="2:33" ht="15" x14ac:dyDescent="0.25">
      <c r="B703" s="1">
        <v>692</v>
      </c>
      <c r="C703" s="1">
        <v>1.0012224347341496</v>
      </c>
      <c r="D703" s="1">
        <v>1.2827900857733567</v>
      </c>
      <c r="E703" s="1">
        <v>0.77802962769478889</v>
      </c>
      <c r="G703" s="1">
        <v>1.0037122026029059</v>
      </c>
      <c r="H703" s="1">
        <v>7.5756517766475939</v>
      </c>
      <c r="I703" s="1">
        <v>9.4354899007320372E-2</v>
      </c>
      <c r="K703" s="1">
        <v>0.99992489231617443</v>
      </c>
      <c r="L703" s="1">
        <v>1.825947110835896</v>
      </c>
      <c r="M703" s="1">
        <v>0.53518490947591024</v>
      </c>
      <c r="O703" s="1">
        <v>7.5800281529535699E-3</v>
      </c>
      <c r="P703" s="1">
        <v>0.64589717685696579</v>
      </c>
      <c r="R703" s="1">
        <v>0.23908171375559997</v>
      </c>
      <c r="S703" s="2">
        <f t="shared" si="132"/>
        <v>1.2942952523063183</v>
      </c>
      <c r="T703" s="4">
        <f t="shared" si="133"/>
        <v>1.675200200142676</v>
      </c>
      <c r="U703" s="1">
        <f t="shared" si="136"/>
        <v>1.5638947893577484</v>
      </c>
      <c r="V703" s="6">
        <f>2*sigma/alpha*corel*(B703/12-1/alpha*(1-EXP(-alpha*Output!B703/12)))</f>
        <v>4.3945604410296149</v>
      </c>
      <c r="W703" s="5">
        <f t="shared" si="134"/>
        <v>-0.11130541078492762</v>
      </c>
      <c r="X703" s="1">
        <f t="shared" si="135"/>
        <v>44.986609557585709</v>
      </c>
      <c r="Y703" s="3">
        <f t="shared" si="125"/>
        <v>2.005183831700948E-2</v>
      </c>
      <c r="Z703" s="1">
        <f t="shared" si="126"/>
        <v>0.17043976781649642</v>
      </c>
      <c r="AA703" s="8">
        <f t="shared" si="131"/>
        <v>57.583333333333876</v>
      </c>
      <c r="AB703" s="1">
        <v>57.67</v>
      </c>
      <c r="AC703" s="1">
        <v>7.5371209480000001E-3</v>
      </c>
      <c r="AD703" s="8">
        <f t="shared" si="127"/>
        <v>-0.42907204953569755</v>
      </c>
      <c r="AE703" s="3">
        <f t="shared" si="128"/>
        <v>-5.6927844530550251E-3</v>
      </c>
      <c r="AF703" s="11">
        <f t="shared" si="129"/>
        <v>57.583333333333876</v>
      </c>
      <c r="AG703" s="1">
        <f t="shared" si="130"/>
        <v>0.17043976781649642</v>
      </c>
    </row>
    <row r="704" spans="2:33" ht="15" x14ac:dyDescent="0.25">
      <c r="B704" s="1">
        <v>693</v>
      </c>
      <c r="C704" s="1">
        <v>1.001222351097576</v>
      </c>
      <c r="D704" s="1">
        <v>1.2861818377820033</v>
      </c>
      <c r="E704" s="1">
        <v>0.77597499865837394</v>
      </c>
      <c r="G704" s="1">
        <v>1.0035814399495617</v>
      </c>
      <c r="H704" s="1">
        <v>7.760591860579054</v>
      </c>
      <c r="I704" s="1">
        <v>9.2061687633110678E-2</v>
      </c>
      <c r="K704" s="1">
        <v>0.99992294618348854</v>
      </c>
      <c r="L704" s="1">
        <v>1.839690411503911</v>
      </c>
      <c r="M704" s="1">
        <v>0.5311476433467186</v>
      </c>
      <c r="O704" s="1">
        <v>7.5819691838083297E-3</v>
      </c>
      <c r="P704" s="1">
        <v>0.64541696068903098</v>
      </c>
      <c r="R704" s="1">
        <v>0.23920205989528009</v>
      </c>
      <c r="S704" s="2">
        <f t="shared" si="132"/>
        <v>1.2960013471490008</v>
      </c>
      <c r="T704" s="4">
        <f t="shared" si="133"/>
        <v>1.6796194918120251</v>
      </c>
      <c r="U704" s="1">
        <f t="shared" si="136"/>
        <v>1.5681189142010901</v>
      </c>
      <c r="V704" s="6">
        <f>2*sigma/alpha*corel*(B704/12-1/alpha*(1-EXP(-alpha*Output!B704/12)))</f>
        <v>4.4039414111238919</v>
      </c>
      <c r="W704" s="5">
        <f t="shared" si="134"/>
        <v>-0.11150057761093501</v>
      </c>
      <c r="X704" s="1">
        <f t="shared" si="135"/>
        <v>45.151333380737888</v>
      </c>
      <c r="Y704" s="3">
        <f t="shared" si="125"/>
        <v>2.0047902841396036E-2</v>
      </c>
      <c r="Z704" s="1">
        <f t="shared" si="126"/>
        <v>0.17054125660536582</v>
      </c>
      <c r="AA704" s="8">
        <f t="shared" si="131"/>
        <v>57.666666666667211</v>
      </c>
      <c r="AB704" s="1">
        <v>57.75</v>
      </c>
      <c r="AC704" s="1">
        <v>7.5369860869999999E-3</v>
      </c>
      <c r="AD704" s="8">
        <f t="shared" si="127"/>
        <v>-0.44983096808329759</v>
      </c>
      <c r="AE704" s="3">
        <f t="shared" si="128"/>
        <v>-5.9683136321450614E-3</v>
      </c>
      <c r="AF704" s="11">
        <f t="shared" si="129"/>
        <v>57.666666666667211</v>
      </c>
      <c r="AG704" s="1">
        <f t="shared" si="130"/>
        <v>0.17054125660536582</v>
      </c>
    </row>
    <row r="705" spans="2:33" ht="15" x14ac:dyDescent="0.25">
      <c r="B705" s="1">
        <v>694</v>
      </c>
      <c r="C705" s="1">
        <v>1.0012255021171443</v>
      </c>
      <c r="D705" s="1">
        <v>1.2878423589177859</v>
      </c>
      <c r="E705" s="1">
        <v>0.77497155958681629</v>
      </c>
      <c r="G705" s="1">
        <v>1.0037794008094305</v>
      </c>
      <c r="H705" s="1">
        <v>7.8516296109518962</v>
      </c>
      <c r="I705" s="1">
        <v>9.0950122347243284E-2</v>
      </c>
      <c r="K705" s="1">
        <v>0.99991606352022977</v>
      </c>
      <c r="L705" s="1">
        <v>1.844676526693882</v>
      </c>
      <c r="M705" s="1">
        <v>0.52968809551405049</v>
      </c>
      <c r="O705" s="1">
        <v>7.583908537489777E-3</v>
      </c>
      <c r="P705" s="1">
        <v>0.64493695547178853</v>
      </c>
      <c r="R705" s="1">
        <v>0.2393302156183261</v>
      </c>
      <c r="S705" s="2">
        <f t="shared" si="132"/>
        <v>1.2977409554014583</v>
      </c>
      <c r="T705" s="4">
        <f t="shared" si="133"/>
        <v>1.6841315873262896</v>
      </c>
      <c r="U705" s="1">
        <f t="shared" si="136"/>
        <v>1.5723461435066159</v>
      </c>
      <c r="V705" s="6">
        <f>2*sigma/alpha*corel*(B705/12-1/alpha*(1-EXP(-alpha*Output!B705/12)))</f>
        <v>4.4133258277925966</v>
      </c>
      <c r="W705" s="5">
        <f t="shared" si="134"/>
        <v>-0.1117854438196737</v>
      </c>
      <c r="X705" s="1">
        <f t="shared" si="135"/>
        <v>45.337144199212389</v>
      </c>
      <c r="Y705" s="3">
        <f t="shared" si="125"/>
        <v>2.0057295021294771E-2</v>
      </c>
      <c r="Z705" s="1">
        <f t="shared" si="126"/>
        <v>0.17064709462741329</v>
      </c>
      <c r="AA705" s="8">
        <f t="shared" si="131"/>
        <v>57.750000000000547</v>
      </c>
      <c r="AB705" s="1">
        <v>57.83</v>
      </c>
      <c r="AC705" s="1">
        <v>7.5368516150000004E-3</v>
      </c>
      <c r="AD705" s="8">
        <f t="shared" si="127"/>
        <v>-0.47056922489776587</v>
      </c>
      <c r="AE705" s="3">
        <f t="shared" si="128"/>
        <v>-6.2435782065979528E-3</v>
      </c>
      <c r="AF705" s="11">
        <f t="shared" si="129"/>
        <v>57.750000000000547</v>
      </c>
      <c r="AG705" s="1">
        <f t="shared" si="130"/>
        <v>0.17064709462741329</v>
      </c>
    </row>
    <row r="706" spans="2:33" ht="15" x14ac:dyDescent="0.25">
      <c r="B706" s="1">
        <v>695</v>
      </c>
      <c r="C706" s="1">
        <v>1.0012358561171086</v>
      </c>
      <c r="D706" s="1">
        <v>1.2877376287006312</v>
      </c>
      <c r="E706" s="1">
        <v>0.77503167255891381</v>
      </c>
      <c r="G706" s="1">
        <v>1.004564759269494</v>
      </c>
      <c r="H706" s="1">
        <v>7.8424930692962551</v>
      </c>
      <c r="I706" s="1">
        <v>9.1011917064995174E-2</v>
      </c>
      <c r="K706" s="1">
        <v>0.99992007602578303</v>
      </c>
      <c r="L706" s="1">
        <v>1.8423271698707995</v>
      </c>
      <c r="M706" s="1">
        <v>0.53037271155013244</v>
      </c>
      <c r="O706" s="1">
        <v>7.5856543772723052E-3</v>
      </c>
      <c r="P706" s="1">
        <v>0.64446432184516578</v>
      </c>
      <c r="R706" s="1">
        <v>0.23946184162872056</v>
      </c>
      <c r="S706" s="2">
        <f t="shared" si="132"/>
        <v>1.2994782611714226</v>
      </c>
      <c r="T706" s="4">
        <f t="shared" si="133"/>
        <v>1.688643751257104</v>
      </c>
      <c r="U706" s="1">
        <f t="shared" si="136"/>
        <v>1.5765764680780339</v>
      </c>
      <c r="V706" s="6">
        <f>2*sigma/alpha*corel*(B706/12-1/alpha*(1-EXP(-alpha*Output!B706/12)))</f>
        <v>4.4227136795662707</v>
      </c>
      <c r="W706" s="5">
        <f t="shared" si="134"/>
        <v>-0.11206728317907011</v>
      </c>
      <c r="X706" s="1">
        <f t="shared" si="135"/>
        <v>45.522650227907192</v>
      </c>
      <c r="Y706" s="3">
        <f t="shared" si="125"/>
        <v>2.0066191422299186E-2</v>
      </c>
      <c r="Z706" s="1">
        <f t="shared" si="126"/>
        <v>0.17075256621973872</v>
      </c>
      <c r="AA706" s="8">
        <f t="shared" si="131"/>
        <v>57.833333333333883</v>
      </c>
      <c r="AB706" s="1">
        <v>57.92</v>
      </c>
      <c r="AC706" s="1">
        <v>7.5367175299999997E-3</v>
      </c>
      <c r="AD706" s="8">
        <f t="shared" si="127"/>
        <v>-0.48936847272305561</v>
      </c>
      <c r="AE706" s="3">
        <f t="shared" si="128"/>
        <v>-6.4931247691732931E-3</v>
      </c>
      <c r="AF706" s="11">
        <f t="shared" si="129"/>
        <v>57.833333333333883</v>
      </c>
      <c r="AG706" s="1">
        <f t="shared" si="130"/>
        <v>0.17075256621973872</v>
      </c>
    </row>
    <row r="707" spans="2:33" ht="15" x14ac:dyDescent="0.25">
      <c r="B707" s="1">
        <v>696</v>
      </c>
      <c r="C707" s="1">
        <v>1.0012416820287604</v>
      </c>
      <c r="D707" s="1">
        <v>1.2901098403986986</v>
      </c>
      <c r="E707" s="1">
        <v>0.77360365665928066</v>
      </c>
      <c r="G707" s="1">
        <v>1.0049455235991431</v>
      </c>
      <c r="H707" s="1">
        <v>7.9778422268582139</v>
      </c>
      <c r="I707" s="1">
        <v>8.9424449418168572E-2</v>
      </c>
      <c r="K707" s="1">
        <v>0.9999184544742088</v>
      </c>
      <c r="L707" s="1">
        <v>1.8333291640141125</v>
      </c>
      <c r="M707" s="1">
        <v>0.53295828778508159</v>
      </c>
      <c r="O707" s="1">
        <v>7.5874076006223557E-3</v>
      </c>
      <c r="P707" s="1">
        <v>0.64399157141000296</v>
      </c>
      <c r="R707" s="1">
        <v>0.2395677837077867</v>
      </c>
      <c r="S707" s="2">
        <f t="shared" si="132"/>
        <v>1.3011131358956496</v>
      </c>
      <c r="T707" s="4">
        <f t="shared" si="133"/>
        <v>1.692895392400211</v>
      </c>
      <c r="U707" s="1">
        <f t="shared" si="136"/>
        <v>1.5808098787421159</v>
      </c>
      <c r="V707" s="6">
        <f>2*sigma/alpha*corel*(B707/12-1/alpha*(1-EXP(-alpha*Output!B707/12)))</f>
        <v>4.4321049550136298</v>
      </c>
      <c r="W707" s="5">
        <f t="shared" si="134"/>
        <v>-0.11208551365809516</v>
      </c>
      <c r="X707" s="1">
        <f t="shared" si="135"/>
        <v>45.647393500934449</v>
      </c>
      <c r="Y707" s="3">
        <f t="shared" si="125"/>
        <v>2.0036039017227905E-2</v>
      </c>
      <c r="Z707" s="1">
        <f t="shared" si="126"/>
        <v>0.17084452462138516</v>
      </c>
      <c r="AA707" s="8">
        <f t="shared" si="131"/>
        <v>57.916666666667219</v>
      </c>
      <c r="AB707" s="1">
        <v>58</v>
      </c>
      <c r="AC707" s="1">
        <v>7.5365838310000001E-3</v>
      </c>
      <c r="AD707" s="8">
        <f t="shared" si="127"/>
        <v>-0.50823769622355619</v>
      </c>
      <c r="AE707" s="3">
        <f t="shared" si="128"/>
        <v>-6.7436083459065047E-3</v>
      </c>
      <c r="AF707" s="11">
        <f t="shared" si="129"/>
        <v>57.916666666667219</v>
      </c>
      <c r="AG707" s="1">
        <f t="shared" si="130"/>
        <v>0.17084452462138516</v>
      </c>
    </row>
    <row r="708" spans="2:33" ht="15" x14ac:dyDescent="0.25">
      <c r="B708" s="1">
        <v>697</v>
      </c>
      <c r="C708" s="1">
        <v>1.0012391977948707</v>
      </c>
      <c r="D708" s="1">
        <v>1.2895307944208771</v>
      </c>
      <c r="E708" s="1">
        <v>0.77394811459052981</v>
      </c>
      <c r="G708" s="1">
        <v>1.004603390160332</v>
      </c>
      <c r="H708" s="1">
        <v>7.9349181579766297</v>
      </c>
      <c r="I708" s="1">
        <v>8.9864585770592836E-2</v>
      </c>
      <c r="K708" s="1">
        <v>0.99991463549150128</v>
      </c>
      <c r="L708" s="1">
        <v>1.8345370978735522</v>
      </c>
      <c r="M708" s="1">
        <v>0.53255997863062032</v>
      </c>
      <c r="O708" s="1">
        <v>7.5891782354454602E-3</v>
      </c>
      <c r="P708" s="1">
        <v>0.64351832892384386</v>
      </c>
      <c r="R708" s="1">
        <v>0.23962905762750181</v>
      </c>
      <c r="S708" s="2">
        <f t="shared" si="132"/>
        <v>1.3025685877132303</v>
      </c>
      <c r="T708" s="4">
        <f t="shared" si="133"/>
        <v>1.6966849256972392</v>
      </c>
      <c r="U708" s="1">
        <f t="shared" si="136"/>
        <v>1.5850463663486702</v>
      </c>
      <c r="V708" s="6">
        <f>2*sigma/alpha*corel*(B708/12-1/alpha*(1-EXP(-alpha*Output!B708/12)))</f>
        <v>4.4414996427414266</v>
      </c>
      <c r="W708" s="5">
        <f t="shared" si="134"/>
        <v>-0.11163855934856892</v>
      </c>
      <c r="X708" s="1">
        <f t="shared" si="135"/>
        <v>45.664277698456402</v>
      </c>
      <c r="Y708" s="3">
        <f t="shared" si="125"/>
        <v>1.9937175671596634E-2</v>
      </c>
      <c r="Z708" s="1">
        <f t="shared" si="126"/>
        <v>0.17091289662559414</v>
      </c>
      <c r="AA708" s="8">
        <f t="shared" si="131"/>
        <v>58.000000000000554</v>
      </c>
      <c r="AB708" s="1">
        <v>58.08</v>
      </c>
      <c r="AC708" s="1">
        <v>7.5364505170000002E-3</v>
      </c>
      <c r="AD708" s="8">
        <f t="shared" si="127"/>
        <v>-0.52727718445460048</v>
      </c>
      <c r="AE708" s="3">
        <f t="shared" si="128"/>
        <v>-6.9963596691203552E-3</v>
      </c>
      <c r="AF708" s="11">
        <f t="shared" si="129"/>
        <v>58.000000000000554</v>
      </c>
      <c r="AG708" s="1">
        <f t="shared" si="130"/>
        <v>0.17091289662559414</v>
      </c>
    </row>
    <row r="709" spans="2:33" ht="15" x14ac:dyDescent="0.25">
      <c r="B709" s="1">
        <v>698</v>
      </c>
      <c r="C709" s="1">
        <v>1.0012411537584893</v>
      </c>
      <c r="D709" s="1">
        <v>1.2869859681856175</v>
      </c>
      <c r="E709" s="1">
        <v>0.77547555595812734</v>
      </c>
      <c r="G709" s="1">
        <v>1.0046682831163354</v>
      </c>
      <c r="H709" s="1">
        <v>7.7990716686228252</v>
      </c>
      <c r="I709" s="1">
        <v>9.1385528058819498E-2</v>
      </c>
      <c r="K709" s="1">
        <v>0.99990434474964185</v>
      </c>
      <c r="L709" s="1">
        <v>1.8161423530970335</v>
      </c>
      <c r="M709" s="1">
        <v>0.53795038990205013</v>
      </c>
      <c r="O709" s="1">
        <v>7.5909636815505999E-3</v>
      </c>
      <c r="P709" s="1">
        <v>0.64304469043942547</v>
      </c>
      <c r="R709" s="1">
        <v>0.2396891434309936</v>
      </c>
      <c r="S709" s="2">
        <f t="shared" si="132"/>
        <v>1.3040219015811656</v>
      </c>
      <c r="T709" s="4">
        <f t="shared" si="133"/>
        <v>1.7004731198033591</v>
      </c>
      <c r="U709" s="1">
        <f t="shared" si="136"/>
        <v>1.5892859217705149</v>
      </c>
      <c r="V709" s="6">
        <f>2*sigma/alpha*corel*(B709/12-1/alpha*(1-EXP(-alpha*Output!B709/12)))</f>
        <v>4.4508977313943268</v>
      </c>
      <c r="W709" s="5">
        <f t="shared" si="134"/>
        <v>-0.11118719803284427</v>
      </c>
      <c r="X709" s="1">
        <f t="shared" si="135"/>
        <v>45.6800453576396</v>
      </c>
      <c r="Y709" s="3">
        <f t="shared" si="125"/>
        <v>1.9837854357527732E-2</v>
      </c>
      <c r="Z709" s="1">
        <f t="shared" si="126"/>
        <v>0.17098097817106095</v>
      </c>
      <c r="AA709" s="8">
        <f t="shared" si="131"/>
        <v>58.08333333333389</v>
      </c>
      <c r="AB709" s="1">
        <v>58.17</v>
      </c>
      <c r="AC709" s="1">
        <v>7.5363175849999997E-3</v>
      </c>
      <c r="AD709" s="8">
        <f t="shared" si="127"/>
        <v>-0.54646096550600187</v>
      </c>
      <c r="AE709" s="3">
        <f t="shared" si="128"/>
        <v>-7.2510341999606947E-3</v>
      </c>
      <c r="AF709" s="11">
        <f t="shared" si="129"/>
        <v>58.08333333333389</v>
      </c>
      <c r="AG709" s="1">
        <f t="shared" si="130"/>
        <v>0.17098097817106095</v>
      </c>
    </row>
    <row r="710" spans="2:33" ht="15" x14ac:dyDescent="0.25">
      <c r="B710" s="1">
        <v>699</v>
      </c>
      <c r="C710" s="1">
        <v>1.0012349356887256</v>
      </c>
      <c r="D710" s="1">
        <v>1.2900274689769702</v>
      </c>
      <c r="E710" s="1">
        <v>0.77364429075658336</v>
      </c>
      <c r="G710" s="1">
        <v>1.0040459919295945</v>
      </c>
      <c r="H710" s="1">
        <v>7.9712275300584636</v>
      </c>
      <c r="I710" s="1">
        <v>8.9368493628658299E-2</v>
      </c>
      <c r="K710" s="1">
        <v>0.99990924468056919</v>
      </c>
      <c r="L710" s="1">
        <v>1.8075570211636409</v>
      </c>
      <c r="M710" s="1">
        <v>0.54047936260984331</v>
      </c>
      <c r="O710" s="1">
        <v>7.5927098749851776E-3</v>
      </c>
      <c r="P710" s="1">
        <v>0.64257267856703892</v>
      </c>
      <c r="R710" s="1">
        <v>0.23978766930652698</v>
      </c>
      <c r="S710" s="2">
        <f t="shared" si="132"/>
        <v>1.3056303058982952</v>
      </c>
      <c r="T710" s="4">
        <f t="shared" si="133"/>
        <v>1.704670495680076</v>
      </c>
      <c r="U710" s="1">
        <f t="shared" si="136"/>
        <v>1.5935285359034537</v>
      </c>
      <c r="V710" s="6">
        <f>2*sigma/alpha*corel*(B710/12-1/alpha*(1-EXP(-alpha*Output!B710/12)))</f>
        <v>4.4602992096547904</v>
      </c>
      <c r="W710" s="5">
        <f t="shared" si="134"/>
        <v>-0.11114195977662233</v>
      </c>
      <c r="X710" s="1">
        <f t="shared" si="135"/>
        <v>45.79034566760015</v>
      </c>
      <c r="Y710" s="3">
        <f t="shared" si="125"/>
        <v>1.9798774248111418E-2</v>
      </c>
      <c r="Z710" s="1">
        <f t="shared" si="126"/>
        <v>0.17106937054765858</v>
      </c>
      <c r="AA710" s="8">
        <f t="shared" si="131"/>
        <v>58.166666666667226</v>
      </c>
      <c r="AB710" s="1">
        <v>58.25</v>
      </c>
      <c r="AC710" s="1">
        <v>7.5361850339999998E-3</v>
      </c>
      <c r="AD710" s="8">
        <f t="shared" si="127"/>
        <v>-0.56524840985177838</v>
      </c>
      <c r="AE710" s="3">
        <f t="shared" si="128"/>
        <v>-7.5004582199298796E-3</v>
      </c>
      <c r="AF710" s="11">
        <f t="shared" si="129"/>
        <v>58.166666666667226</v>
      </c>
      <c r="AG710" s="1">
        <f t="shared" si="130"/>
        <v>0.17106937054765858</v>
      </c>
    </row>
    <row r="711" spans="2:33" ht="15" x14ac:dyDescent="0.25">
      <c r="B711" s="1">
        <v>700</v>
      </c>
      <c r="C711" s="1">
        <v>1.0012359492895488</v>
      </c>
      <c r="D711" s="1">
        <v>1.2908548177070904</v>
      </c>
      <c r="E711" s="1">
        <v>0.77314551217689076</v>
      </c>
      <c r="G711" s="1">
        <v>1.0040241167342627</v>
      </c>
      <c r="H711" s="1">
        <v>8.0188364312843952</v>
      </c>
      <c r="I711" s="1">
        <v>8.8794812287522021E-2</v>
      </c>
      <c r="K711" s="1">
        <v>0.99988690556815873</v>
      </c>
      <c r="L711" s="1">
        <v>1.8058465003951274</v>
      </c>
      <c r="M711" s="1">
        <v>0.54098950363651965</v>
      </c>
      <c r="O711" s="1">
        <v>7.5944166820462004E-3</v>
      </c>
      <c r="P711" s="1">
        <v>0.64210230154486447</v>
      </c>
      <c r="R711" s="1">
        <v>0.23991638395942944</v>
      </c>
      <c r="S711" s="2">
        <f t="shared" si="132"/>
        <v>1.3073603651019108</v>
      </c>
      <c r="T711" s="4">
        <f t="shared" si="133"/>
        <v>1.7091911242394016</v>
      </c>
      <c r="U711" s="1">
        <f t="shared" si="136"/>
        <v>1.5977741996662433</v>
      </c>
      <c r="V711" s="6">
        <f>2*sigma/alpha*corel*(B711/12-1/alpha*(1-EXP(-alpha*Output!B711/12)))</f>
        <v>4.469704066242933</v>
      </c>
      <c r="W711" s="5">
        <f t="shared" si="134"/>
        <v>-0.11141692457315822</v>
      </c>
      <c r="X711" s="1">
        <f t="shared" si="135"/>
        <v>45.975536840192191</v>
      </c>
      <c r="Y711" s="3">
        <f t="shared" si="125"/>
        <v>1.9807047676960409E-2</v>
      </c>
      <c r="Z711" s="1">
        <f t="shared" si="126"/>
        <v>0.1711736523904174</v>
      </c>
      <c r="AA711" s="8">
        <f t="shared" si="131"/>
        <v>58.250000000000561</v>
      </c>
      <c r="AB711" s="1">
        <v>58.33</v>
      </c>
      <c r="AC711" s="1">
        <v>7.5360528619999997E-3</v>
      </c>
      <c r="AD711" s="8">
        <f t="shared" si="127"/>
        <v>-0.58363820046200732</v>
      </c>
      <c r="AE711" s="3">
        <f t="shared" si="128"/>
        <v>-7.7446139398113911E-3</v>
      </c>
      <c r="AF711" s="11">
        <f t="shared" si="129"/>
        <v>58.250000000000561</v>
      </c>
      <c r="AG711" s="1">
        <f t="shared" si="130"/>
        <v>0.1711736523904174</v>
      </c>
    </row>
    <row r="712" spans="2:33" ht="15" x14ac:dyDescent="0.25">
      <c r="B712" s="1">
        <v>701</v>
      </c>
      <c r="C712" s="1">
        <v>1.0012380142487243</v>
      </c>
      <c r="D712" s="1">
        <v>1.2842742108091763</v>
      </c>
      <c r="E712" s="1">
        <v>0.77710415591861981</v>
      </c>
      <c r="G712" s="1">
        <v>1.0040367514138333</v>
      </c>
      <c r="H712" s="1">
        <v>7.6581807218200826</v>
      </c>
      <c r="I712" s="1">
        <v>9.2931434306824406E-2</v>
      </c>
      <c r="K712" s="1">
        <v>0.99988279564662141</v>
      </c>
      <c r="L712" s="1">
        <v>1.8134180176245183</v>
      </c>
      <c r="M712" s="1">
        <v>0.53870375636472223</v>
      </c>
      <c r="O712" s="1">
        <v>7.596119794303165E-3</v>
      </c>
      <c r="P712" s="1">
        <v>0.64163222481375515</v>
      </c>
      <c r="R712" s="1">
        <v>0.24005165770331643</v>
      </c>
      <c r="S712" s="2">
        <f t="shared" si="132"/>
        <v>1.3091188188803085</v>
      </c>
      <c r="T712" s="4">
        <f t="shared" si="133"/>
        <v>1.713792081946574</v>
      </c>
      <c r="U712" s="1">
        <f t="shared" si="136"/>
        <v>1.6020229040005707</v>
      </c>
      <c r="V712" s="6">
        <f>2*sigma/alpha*corel*(B712/12-1/alpha*(1-EXP(-alpha*Output!B712/12)))</f>
        <v>4.4791122899164098</v>
      </c>
      <c r="W712" s="5">
        <f t="shared" si="134"/>
        <v>-0.11176917794600327</v>
      </c>
      <c r="X712" s="1">
        <f t="shared" si="135"/>
        <v>46.179178152396325</v>
      </c>
      <c r="Y712" s="3">
        <f t="shared" si="125"/>
        <v>1.9826653727349527E-2</v>
      </c>
      <c r="Z712" s="1">
        <f t="shared" si="126"/>
        <v>0.1712815877064584</v>
      </c>
      <c r="AA712" s="8">
        <f t="shared" si="131"/>
        <v>58.333333333333897</v>
      </c>
      <c r="AB712" s="1">
        <v>58.42</v>
      </c>
      <c r="AC712" s="1">
        <v>7.5359210679999998E-3</v>
      </c>
      <c r="AD712" s="8">
        <f t="shared" si="127"/>
        <v>-0.60198726303165206</v>
      </c>
      <c r="AE712" s="3">
        <f t="shared" si="128"/>
        <v>-7.9882373713796983E-3</v>
      </c>
      <c r="AF712" s="11">
        <f t="shared" si="129"/>
        <v>58.333333333333897</v>
      </c>
      <c r="AG712" s="1">
        <f t="shared" si="130"/>
        <v>0.1712815877064584</v>
      </c>
    </row>
    <row r="713" spans="2:33" ht="15" x14ac:dyDescent="0.25">
      <c r="B713" s="1">
        <v>702</v>
      </c>
      <c r="C713" s="1">
        <v>1.0012396179527054</v>
      </c>
      <c r="D713" s="1">
        <v>1.2884303435649023</v>
      </c>
      <c r="E713" s="1">
        <v>0.77459448582018076</v>
      </c>
      <c r="G713" s="1">
        <v>1.0040905154918911</v>
      </c>
      <c r="H713" s="1">
        <v>7.8752864497590256</v>
      </c>
      <c r="I713" s="1">
        <v>9.0325670167144601E-2</v>
      </c>
      <c r="K713" s="1">
        <v>0.99988648896245635</v>
      </c>
      <c r="L713" s="1">
        <v>1.8016429257220796</v>
      </c>
      <c r="M713" s="1">
        <v>0.54219773543280625</v>
      </c>
      <c r="O713" s="1">
        <v>7.597861443719307E-3</v>
      </c>
      <c r="P713" s="1">
        <v>0.64116086477595424</v>
      </c>
      <c r="R713" s="1">
        <v>0.24017075296295573</v>
      </c>
      <c r="S713" s="2">
        <f t="shared" si="132"/>
        <v>1.3108163574688303</v>
      </c>
      <c r="T713" s="4">
        <f t="shared" si="133"/>
        <v>1.7182395230078522</v>
      </c>
      <c r="U713" s="1">
        <f t="shared" si="136"/>
        <v>1.6062746398710215</v>
      </c>
      <c r="V713" s="6">
        <f>2*sigma/alpha*corel*(B713/12-1/alpha*(1-EXP(-alpha*Output!B713/12)))</f>
        <v>4.4885238694702903</v>
      </c>
      <c r="W713" s="5">
        <f t="shared" si="134"/>
        <v>-0.11196488313683073</v>
      </c>
      <c r="X713" s="1">
        <f t="shared" si="135"/>
        <v>46.346629180822944</v>
      </c>
      <c r="Y713" s="3">
        <f t="shared" si="125"/>
        <v>1.9823179459042384E-2</v>
      </c>
      <c r="Z713" s="1">
        <f t="shared" si="126"/>
        <v>0.17138149193513283</v>
      </c>
      <c r="AA713" s="8">
        <f t="shared" si="131"/>
        <v>58.416666666667233</v>
      </c>
      <c r="AB713" s="1">
        <v>58.5</v>
      </c>
      <c r="AC713" s="1">
        <v>7.5357896500000002E-3</v>
      </c>
      <c r="AD713" s="8">
        <f t="shared" si="127"/>
        <v>-0.62071793719306778</v>
      </c>
      <c r="AE713" s="3">
        <f t="shared" si="128"/>
        <v>-8.2369329031506035E-3</v>
      </c>
      <c r="AF713" s="11">
        <f t="shared" si="129"/>
        <v>58.416666666667233</v>
      </c>
      <c r="AG713" s="1">
        <f t="shared" si="130"/>
        <v>0.17138149193513283</v>
      </c>
    </row>
    <row r="714" spans="2:33" ht="15" x14ac:dyDescent="0.25">
      <c r="B714" s="1">
        <v>703</v>
      </c>
      <c r="C714" s="1">
        <v>1.0012394892006626</v>
      </c>
      <c r="D714" s="1">
        <v>1.2834343748300034</v>
      </c>
      <c r="E714" s="1">
        <v>0.77760676127296346</v>
      </c>
      <c r="G714" s="1">
        <v>1.0039387006288141</v>
      </c>
      <c r="H714" s="1">
        <v>7.6043128195963821</v>
      </c>
      <c r="I714" s="1">
        <v>9.3498980798620165E-2</v>
      </c>
      <c r="K714" s="1">
        <v>0.99988719336503784</v>
      </c>
      <c r="L714" s="1">
        <v>1.7989737442712521</v>
      </c>
      <c r="M714" s="1">
        <v>0.54300680653672151</v>
      </c>
      <c r="O714" s="1">
        <v>7.5996392580806177E-3</v>
      </c>
      <c r="P714" s="1">
        <v>0.64068830763149853</v>
      </c>
      <c r="R714" s="1">
        <v>0.24026051345664887</v>
      </c>
      <c r="S714" s="2">
        <f t="shared" si="132"/>
        <v>1.312398462612044</v>
      </c>
      <c r="T714" s="4">
        <f t="shared" si="133"/>
        <v>1.7223897246664566</v>
      </c>
      <c r="U714" s="1">
        <f t="shared" si="136"/>
        <v>1.6105293982650544</v>
      </c>
      <c r="V714" s="6">
        <f>2*sigma/alpha*corel*(B714/12-1/alpha*(1-EXP(-alpha*Output!B714/12)))</f>
        <v>4.4979387937369291</v>
      </c>
      <c r="W714" s="5">
        <f t="shared" si="134"/>
        <v>-0.1118603264014022</v>
      </c>
      <c r="X714" s="1">
        <f t="shared" si="135"/>
        <v>46.444056545598869</v>
      </c>
      <c r="Y714" s="3">
        <f t="shared" si="125"/>
        <v>1.9775665836371598E-2</v>
      </c>
      <c r="Z714" s="1">
        <f t="shared" si="126"/>
        <v>0.17146625932873752</v>
      </c>
      <c r="AA714" s="8">
        <f t="shared" si="131"/>
        <v>58.500000000000568</v>
      </c>
      <c r="AB714" s="1">
        <v>58.58</v>
      </c>
      <c r="AC714" s="1">
        <v>7.5356586070000004E-3</v>
      </c>
      <c r="AD714" s="8">
        <f t="shared" si="127"/>
        <v>-0.63980651080617312</v>
      </c>
      <c r="AE714" s="3">
        <f t="shared" si="128"/>
        <v>-8.4903860985932403E-3</v>
      </c>
      <c r="AF714" s="11">
        <f t="shared" si="129"/>
        <v>58.500000000000568</v>
      </c>
      <c r="AG714" s="1">
        <f t="shared" si="130"/>
        <v>0.17146625932873752</v>
      </c>
    </row>
    <row r="715" spans="2:33" ht="15" x14ac:dyDescent="0.25">
      <c r="B715" s="1">
        <v>704</v>
      </c>
      <c r="C715" s="1">
        <v>1.0012376288277851</v>
      </c>
      <c r="D715" s="1">
        <v>1.2801129805809619</v>
      </c>
      <c r="E715" s="1">
        <v>0.77962138160323213</v>
      </c>
      <c r="G715" s="1">
        <v>1.0036602578370393</v>
      </c>
      <c r="H715" s="1">
        <v>7.4243071851280948</v>
      </c>
      <c r="I715" s="1">
        <v>9.5719454582088942E-2</v>
      </c>
      <c r="K715" s="1">
        <v>0.99990026148771249</v>
      </c>
      <c r="L715" s="1">
        <v>1.7880879205327751</v>
      </c>
      <c r="M715" s="1">
        <v>0.54627499151378067</v>
      </c>
      <c r="O715" s="1">
        <v>7.6013375212078717E-3</v>
      </c>
      <c r="P715" s="1">
        <v>0.64021889697832357</v>
      </c>
      <c r="R715" s="1">
        <v>0.24038885767308482</v>
      </c>
      <c r="S715" s="2">
        <f t="shared" si="132"/>
        <v>1.3141333173082239</v>
      </c>
      <c r="T715" s="4">
        <f t="shared" si="133"/>
        <v>1.7269463756595171</v>
      </c>
      <c r="U715" s="1">
        <f t="shared" si="136"/>
        <v>1.6147871701929719</v>
      </c>
      <c r="V715" s="6">
        <f>2*sigma/alpha*corel*(B715/12-1/alpha*(1-EXP(-alpha*Output!B715/12)))</f>
        <v>4.507357051585843</v>
      </c>
      <c r="W715" s="5">
        <f t="shared" si="134"/>
        <v>-0.11215920546654523</v>
      </c>
      <c r="X715" s="1">
        <f t="shared" si="135"/>
        <v>46.636294473296573</v>
      </c>
      <c r="Y715" s="3">
        <f t="shared" si="125"/>
        <v>1.9787387048042813E-2</v>
      </c>
      <c r="Z715" s="1">
        <f t="shared" si="126"/>
        <v>0.17157093561772568</v>
      </c>
      <c r="AA715" s="8">
        <f t="shared" si="131"/>
        <v>58.583333333333904</v>
      </c>
      <c r="AB715" s="1">
        <v>58.67</v>
      </c>
      <c r="AC715" s="1">
        <v>7.5355279359999999E-3</v>
      </c>
      <c r="AD715" s="8">
        <f t="shared" si="127"/>
        <v>-0.65809585207871746</v>
      </c>
      <c r="AE715" s="3">
        <f t="shared" si="128"/>
        <v>-8.7332414884264513E-3</v>
      </c>
      <c r="AF715" s="11">
        <f t="shared" si="129"/>
        <v>58.583333333333904</v>
      </c>
      <c r="AG715" s="1">
        <f t="shared" si="130"/>
        <v>0.17157093561772568</v>
      </c>
    </row>
    <row r="716" spans="2:33" ht="15" x14ac:dyDescent="0.25">
      <c r="B716" s="1">
        <v>705</v>
      </c>
      <c r="C716" s="1">
        <v>1.0012410050777172</v>
      </c>
      <c r="D716" s="1">
        <v>1.2798146418770051</v>
      </c>
      <c r="E716" s="1">
        <v>0.77980014942958775</v>
      </c>
      <c r="G716" s="1">
        <v>1.0038320755434822</v>
      </c>
      <c r="H716" s="1">
        <v>7.4059554561114895</v>
      </c>
      <c r="I716" s="1">
        <v>9.5910100878413798E-2</v>
      </c>
      <c r="K716" s="1">
        <v>0.99989463371462606</v>
      </c>
      <c r="L716" s="1">
        <v>1.7894331365675369</v>
      </c>
      <c r="M716" s="1">
        <v>0.54585837604264553</v>
      </c>
      <c r="O716" s="1">
        <v>7.6029650623039898E-3</v>
      </c>
      <c r="P716" s="1">
        <v>0.63975230728293053</v>
      </c>
      <c r="R716" s="1">
        <v>0.24048004155534447</v>
      </c>
      <c r="S716" s="2">
        <f t="shared" si="132"/>
        <v>1.3157099820197524</v>
      </c>
      <c r="T716" s="4">
        <f t="shared" si="133"/>
        <v>1.7310927567864172</v>
      </c>
      <c r="U716" s="1">
        <f t="shared" si="136"/>
        <v>1.6190479466878926</v>
      </c>
      <c r="V716" s="6">
        <f>2*sigma/alpha*corel*(B716/12-1/alpha*(1-EXP(-alpha*Output!B716/12)))</f>
        <v>4.516778631923593</v>
      </c>
      <c r="W716" s="5">
        <f t="shared" si="134"/>
        <v>-0.11204481009852452</v>
      </c>
      <c r="X716" s="1">
        <f t="shared" si="135"/>
        <v>46.731819582954827</v>
      </c>
      <c r="Y716" s="3">
        <f t="shared" si="125"/>
        <v>1.9738629111669213E-2</v>
      </c>
      <c r="Z716" s="1">
        <f t="shared" si="126"/>
        <v>0.17165491145362485</v>
      </c>
      <c r="AA716" s="8">
        <f t="shared" si="131"/>
        <v>58.66666666666724</v>
      </c>
      <c r="AB716" s="1">
        <v>58.75</v>
      </c>
      <c r="AC716" s="1">
        <v>7.5353976360000002E-3</v>
      </c>
      <c r="AD716" s="8">
        <f t="shared" si="127"/>
        <v>-0.67567426303989653</v>
      </c>
      <c r="AE716" s="3">
        <f t="shared" si="128"/>
        <v>-8.9666703162669913E-3</v>
      </c>
      <c r="AF716" s="11">
        <f t="shared" si="129"/>
        <v>58.66666666666724</v>
      </c>
      <c r="AG716" s="1">
        <f t="shared" si="130"/>
        <v>0.17165491145362485</v>
      </c>
    </row>
    <row r="717" spans="2:33" ht="15" x14ac:dyDescent="0.25">
      <c r="B717" s="1">
        <v>706</v>
      </c>
      <c r="C717" s="1">
        <v>1.0012468939463532</v>
      </c>
      <c r="D717" s="1">
        <v>1.2787589640073886</v>
      </c>
      <c r="E717" s="1">
        <v>0.78044093593198183</v>
      </c>
      <c r="G717" s="1">
        <v>1.0042134152349227</v>
      </c>
      <c r="H717" s="1">
        <v>7.3424810069212176</v>
      </c>
      <c r="I717" s="1">
        <v>9.6692303174249788E-2</v>
      </c>
      <c r="K717" s="1">
        <v>0.99990548411092883</v>
      </c>
      <c r="L717" s="1">
        <v>1.7768150398050986</v>
      </c>
      <c r="M717" s="1">
        <v>0.54970690324371752</v>
      </c>
      <c r="O717" s="1">
        <v>7.6045767108235719E-3</v>
      </c>
      <c r="P717" s="1">
        <v>0.63928648196712412</v>
      </c>
      <c r="R717" s="1">
        <v>0.24062077784288011</v>
      </c>
      <c r="S717" s="2">
        <f t="shared" si="132"/>
        <v>1.3174910569217977</v>
      </c>
      <c r="T717" s="4">
        <f t="shared" si="133"/>
        <v>1.7357826850689155</v>
      </c>
      <c r="U717" s="1">
        <f t="shared" si="136"/>
        <v>1.6233117188057209</v>
      </c>
      <c r="V717" s="6">
        <f>2*sigma/alpha*corel*(B717/12-1/alpha*(1-EXP(-alpha*Output!B717/12)))</f>
        <v>4.5262035236936518</v>
      </c>
      <c r="W717" s="5">
        <f t="shared" si="134"/>
        <v>-0.11247096626319464</v>
      </c>
      <c r="X717" s="1">
        <f t="shared" si="135"/>
        <v>46.954685731835298</v>
      </c>
      <c r="Y717" s="3">
        <f t="shared" ref="Y717:Y731" si="137">(-V717+SQRT(X717))/2/B717*12</f>
        <v>1.9768941051551994E-2</v>
      </c>
      <c r="Z717" s="1">
        <f t="shared" ref="Z717:Z731" si="138">S717/SQRT(B717/12)</f>
        <v>0.17176550414669736</v>
      </c>
      <c r="AA717" s="8">
        <f t="shared" si="131"/>
        <v>58.750000000000576</v>
      </c>
      <c r="AB717" s="1">
        <v>58.83</v>
      </c>
      <c r="AC717" s="1">
        <v>7.5352677059999998E-3</v>
      </c>
      <c r="AD717" s="8">
        <f t="shared" ref="AD717:AD731" si="139">(AC717-O717)*10000</f>
        <v>-0.6930900482357214</v>
      </c>
      <c r="AE717" s="3">
        <f t="shared" ref="AE717:AE731" si="140">AD717/AC717/10000</f>
        <v>-9.1979485703453448E-3</v>
      </c>
      <c r="AF717" s="11">
        <f t="shared" ref="AF717:AF731" si="141">AA717</f>
        <v>58.750000000000576</v>
      </c>
      <c r="AG717" s="1">
        <f t="shared" ref="AG717:AG731" si="142">Z717</f>
        <v>0.17176550414669736</v>
      </c>
    </row>
    <row r="718" spans="2:33" ht="15" x14ac:dyDescent="0.25">
      <c r="B718" s="1">
        <v>707</v>
      </c>
      <c r="C718" s="1">
        <v>1.0012473439032541</v>
      </c>
      <c r="D718" s="1">
        <v>1.2804221476530604</v>
      </c>
      <c r="E718" s="1">
        <v>0.77942421806500928</v>
      </c>
      <c r="G718" s="1">
        <v>1.0041534724678345</v>
      </c>
      <c r="H718" s="1">
        <v>7.4282914652431478</v>
      </c>
      <c r="I718" s="1">
        <v>9.5528969391878285E-2</v>
      </c>
      <c r="K718" s="1">
        <v>0.99990910101067099</v>
      </c>
      <c r="L718" s="1">
        <v>1.7731359845025887</v>
      </c>
      <c r="M718" s="1">
        <v>0.55084488920530839</v>
      </c>
      <c r="O718" s="1">
        <v>7.6062651128287039E-3</v>
      </c>
      <c r="P718" s="1">
        <v>0.63881793546277932</v>
      </c>
      <c r="R718" s="1">
        <v>0.24073004084291935</v>
      </c>
      <c r="S718" s="2">
        <f t="shared" si="132"/>
        <v>1.3191515141149062</v>
      </c>
      <c r="T718" s="4">
        <f t="shared" si="133"/>
        <v>1.7401607171916496</v>
      </c>
      <c r="U718" s="1">
        <f t="shared" si="136"/>
        <v>1.6275784776251179</v>
      </c>
      <c r="V718" s="6">
        <f>2*sigma/alpha*corel*(B718/12-1/alpha*(1-EXP(-alpha*Output!B718/12)))</f>
        <v>4.5356317158762884</v>
      </c>
      <c r="W718" s="5">
        <f t="shared" si="134"/>
        <v>-0.11258223956653168</v>
      </c>
      <c r="X718" s="1">
        <f t="shared" si="135"/>
        <v>47.103836186575521</v>
      </c>
      <c r="Y718" s="3">
        <f t="shared" si="137"/>
        <v>1.9753253793238282E-2</v>
      </c>
      <c r="Z718" s="1">
        <f t="shared" si="138"/>
        <v>0.17186031220533474</v>
      </c>
      <c r="AA718" s="8">
        <f t="shared" ref="AA718:AA731" si="143">AA717+1/12</f>
        <v>58.833333333333911</v>
      </c>
      <c r="AB718" s="1">
        <v>58.92</v>
      </c>
      <c r="AC718" s="1">
        <v>7.5351381439999997E-3</v>
      </c>
      <c r="AD718" s="8">
        <f t="shared" si="139"/>
        <v>-0.7112696882870424</v>
      </c>
      <c r="AE718" s="3">
        <f t="shared" si="140"/>
        <v>-9.4393715774594624E-3</v>
      </c>
      <c r="AF718" s="11">
        <f t="shared" si="141"/>
        <v>58.833333333333911</v>
      </c>
      <c r="AG718" s="1">
        <f t="shared" si="142"/>
        <v>0.17186031220533474</v>
      </c>
    </row>
    <row r="719" spans="2:33" ht="15" x14ac:dyDescent="0.25">
      <c r="B719" s="1">
        <v>708</v>
      </c>
      <c r="C719" s="1">
        <v>1.0012411959921117</v>
      </c>
      <c r="D719" s="1">
        <v>1.2773359806781668</v>
      </c>
      <c r="E719" s="1">
        <v>0.78130439499004689</v>
      </c>
      <c r="G719" s="1">
        <v>1.0035387075611109</v>
      </c>
      <c r="H719" s="1">
        <v>7.2682554493418134</v>
      </c>
      <c r="I719" s="1">
        <v>9.7585015527416052E-2</v>
      </c>
      <c r="K719" s="1">
        <v>0.99989429978566902</v>
      </c>
      <c r="L719" s="1">
        <v>1.7798519118192149</v>
      </c>
      <c r="M719" s="1">
        <v>0.54875105571874883</v>
      </c>
      <c r="O719" s="1">
        <v>7.6080600227403164E-3</v>
      </c>
      <c r="P719" s="1">
        <v>0.63834554137962674</v>
      </c>
      <c r="R719" s="1">
        <v>0.24081204733518746</v>
      </c>
      <c r="S719" s="2">
        <f t="shared" si="132"/>
        <v>1.3207113597017088</v>
      </c>
      <c r="T719" s="4">
        <f t="shared" si="133"/>
        <v>1.7442784956451365</v>
      </c>
      <c r="U719" s="1">
        <f t="shared" si="136"/>
        <v>1.6318482142474764</v>
      </c>
      <c r="V719" s="6">
        <f>2*sigma/alpha*corel*(B719/12-1/alpha*(1-EXP(-alpha*Output!B719/12)))</f>
        <v>4.545063197488445</v>
      </c>
      <c r="W719" s="5">
        <f t="shared" si="134"/>
        <v>-0.11243028139766009</v>
      </c>
      <c r="X719" s="1">
        <f t="shared" si="135"/>
        <v>47.191145879011671</v>
      </c>
      <c r="Y719" s="3">
        <f t="shared" si="137"/>
        <v>1.9699305115663746E-2</v>
      </c>
      <c r="Z719" s="1">
        <f t="shared" si="138"/>
        <v>0.17194197363956862</v>
      </c>
      <c r="AA719" s="8">
        <f t="shared" si="143"/>
        <v>58.916666666667247</v>
      </c>
      <c r="AB719" s="1">
        <v>59</v>
      </c>
      <c r="AC719" s="1">
        <v>7.5350089490000003E-3</v>
      </c>
      <c r="AD719" s="8">
        <f t="shared" si="139"/>
        <v>-0.7305107374031613</v>
      </c>
      <c r="AE719" s="3">
        <f t="shared" si="140"/>
        <v>-9.6948887831129933E-3</v>
      </c>
      <c r="AF719" s="11">
        <f t="shared" si="141"/>
        <v>58.916666666667247</v>
      </c>
      <c r="AG719" s="1">
        <f t="shared" si="142"/>
        <v>0.17194197363956862</v>
      </c>
    </row>
    <row r="720" spans="2:33" ht="15" x14ac:dyDescent="0.25">
      <c r="B720" s="1">
        <v>709</v>
      </c>
      <c r="C720" s="1">
        <v>1.0012451792575188</v>
      </c>
      <c r="D720" s="1">
        <v>1.2787502221355358</v>
      </c>
      <c r="E720" s="1">
        <v>0.780437318441906</v>
      </c>
      <c r="G720" s="1">
        <v>1.0037544908417881</v>
      </c>
      <c r="H720" s="1">
        <v>7.3416468355471372</v>
      </c>
      <c r="I720" s="1">
        <v>9.6562636823680117E-2</v>
      </c>
      <c r="K720" s="1">
        <v>0.99989784289929107</v>
      </c>
      <c r="L720" s="1">
        <v>1.7777456108294749</v>
      </c>
      <c r="M720" s="1">
        <v>0.54938654982021806</v>
      </c>
      <c r="O720" s="1">
        <v>7.6098544340451853E-3</v>
      </c>
      <c r="P720" s="1">
        <v>0.63787332459363799</v>
      </c>
      <c r="R720" s="1">
        <v>0.24091733571697171</v>
      </c>
      <c r="S720" s="2">
        <f t="shared" si="132"/>
        <v>1.3223690037948674</v>
      </c>
      <c r="T720" s="4">
        <f t="shared" si="133"/>
        <v>1.7486597821974301</v>
      </c>
      <c r="U720" s="1">
        <f t="shared" si="136"/>
        <v>1.6361209197968853</v>
      </c>
      <c r="V720" s="6">
        <f>2*sigma/alpha*corel*(B720/12-1/alpha*(1-EXP(-alpha*Output!B720/12)))</f>
        <v>4.5544979575836084</v>
      </c>
      <c r="W720" s="5">
        <f t="shared" si="134"/>
        <v>-0.11253886240054478</v>
      </c>
      <c r="X720" s="1">
        <f t="shared" si="135"/>
        <v>47.340136126295342</v>
      </c>
      <c r="Y720" s="3">
        <f t="shared" si="137"/>
        <v>1.9683375735667117E-2</v>
      </c>
      <c r="Z720" s="1">
        <f t="shared" si="138"/>
        <v>0.17203632880671921</v>
      </c>
      <c r="AA720" s="8">
        <f t="shared" si="143"/>
        <v>59.000000000000583</v>
      </c>
      <c r="AB720" s="1">
        <v>59.08</v>
      </c>
      <c r="AC720" s="1">
        <v>7.5348801189999998E-3</v>
      </c>
      <c r="AD720" s="8">
        <f t="shared" si="139"/>
        <v>-0.74974315045185469</v>
      </c>
      <c r="AE720" s="3">
        <f t="shared" si="140"/>
        <v>-9.9502996545531991E-3</v>
      </c>
      <c r="AF720" s="11">
        <f t="shared" si="141"/>
        <v>59.000000000000583</v>
      </c>
      <c r="AG720" s="1">
        <f t="shared" si="142"/>
        <v>0.17203632880671921</v>
      </c>
    </row>
    <row r="721" spans="2:33" ht="15" x14ac:dyDescent="0.25">
      <c r="B721" s="1">
        <v>710</v>
      </c>
      <c r="C721" s="1">
        <v>1.0012493932276589</v>
      </c>
      <c r="D721" s="1">
        <v>1.2767910052359233</v>
      </c>
      <c r="E721" s="1">
        <v>0.78163189200982031</v>
      </c>
      <c r="G721" s="1">
        <v>1.003999760184018</v>
      </c>
      <c r="H721" s="1">
        <v>7.2325441094051843</v>
      </c>
      <c r="I721" s="1">
        <v>9.7971735390918649E-2</v>
      </c>
      <c r="K721" s="1">
        <v>0.9998835343394511</v>
      </c>
      <c r="L721" s="1">
        <v>1.790983818752075</v>
      </c>
      <c r="M721" s="1">
        <v>0.54529681446257439</v>
      </c>
      <c r="O721" s="1">
        <v>7.6114977162515651E-3</v>
      </c>
      <c r="P721" s="1">
        <v>0.6374069660471221</v>
      </c>
      <c r="R721" s="1">
        <v>0.24106678043966245</v>
      </c>
      <c r="S721" s="2">
        <f t="shared" si="132"/>
        <v>1.3241964505433217</v>
      </c>
      <c r="T721" s="4">
        <f t="shared" si="133"/>
        <v>1.7534962396315319</v>
      </c>
      <c r="U721" s="1">
        <f t="shared" si="136"/>
        <v>1.6403965854201039</v>
      </c>
      <c r="V721" s="6">
        <f>2*sigma/alpha*corel*(B721/12-1/alpha*(1-EXP(-alpha*Output!B721/12)))</f>
        <v>4.5639359852516961</v>
      </c>
      <c r="W721" s="5">
        <f t="shared" si="134"/>
        <v>-0.11309965421142798</v>
      </c>
      <c r="X721" s="1">
        <f t="shared" si="135"/>
        <v>47.596429840846653</v>
      </c>
      <c r="Y721" s="3">
        <f t="shared" si="137"/>
        <v>1.9733075491284932E-2</v>
      </c>
      <c r="Z721" s="1">
        <f t="shared" si="138"/>
        <v>0.1721527117497324</v>
      </c>
      <c r="AA721" s="8">
        <f t="shared" si="143"/>
        <v>59.083333333333918</v>
      </c>
      <c r="AB721" s="1">
        <v>59.17</v>
      </c>
      <c r="AC721" s="1">
        <v>7.5347516520000001E-3</v>
      </c>
      <c r="AD721" s="8">
        <f t="shared" si="139"/>
        <v>-0.76746064251564938</v>
      </c>
      <c r="AE721" s="3">
        <f t="shared" si="140"/>
        <v>-1.0185612983168956E-2</v>
      </c>
      <c r="AF721" s="11">
        <f t="shared" si="141"/>
        <v>59.083333333333918</v>
      </c>
      <c r="AG721" s="1">
        <f t="shared" si="142"/>
        <v>0.1721527117497324</v>
      </c>
    </row>
    <row r="722" spans="2:33" ht="15" x14ac:dyDescent="0.25">
      <c r="B722" s="1">
        <v>711</v>
      </c>
      <c r="C722" s="1">
        <v>1.0012490410564043</v>
      </c>
      <c r="D722" s="1">
        <v>1.2750734605593419</v>
      </c>
      <c r="E722" s="1">
        <v>0.78268175894475078</v>
      </c>
      <c r="G722" s="1">
        <v>1.0038053297296163</v>
      </c>
      <c r="H722" s="1">
        <v>7.1423447202045365</v>
      </c>
      <c r="I722" s="1">
        <v>9.9160879184328296E-2</v>
      </c>
      <c r="K722" s="1">
        <v>0.99988316388327969</v>
      </c>
      <c r="L722" s="1">
        <v>1.8023854320806243</v>
      </c>
      <c r="M722" s="1">
        <v>0.54183564101692483</v>
      </c>
      <c r="O722" s="1">
        <v>7.6131214213029123E-3</v>
      </c>
      <c r="P722" s="1">
        <v>0.63694151283419376</v>
      </c>
      <c r="R722" s="1">
        <v>0.24116168545159081</v>
      </c>
      <c r="S722" s="2">
        <f t="shared" si="132"/>
        <v>1.325797869318414</v>
      </c>
      <c r="T722" s="4">
        <f t="shared" si="133"/>
        <v>1.7577399902892465</v>
      </c>
      <c r="U722" s="1">
        <f t="shared" si="136"/>
        <v>1.6446752022865319</v>
      </c>
      <c r="V722" s="6">
        <f>2*sigma/alpha*corel*(B722/12-1/alpha*(1-EXP(-alpha*Output!B722/12)))</f>
        <v>4.5733772696189323</v>
      </c>
      <c r="W722" s="5">
        <f t="shared" si="134"/>
        <v>-0.11306478800271469</v>
      </c>
      <c r="X722" s="1">
        <f t="shared" si="135"/>
        <v>47.712134406910501</v>
      </c>
      <c r="Y722" s="3">
        <f t="shared" si="137"/>
        <v>1.9696369699377225E-2</v>
      </c>
      <c r="Z722" s="1">
        <f t="shared" si="138"/>
        <v>0.17223965201544267</v>
      </c>
      <c r="AA722" s="8">
        <f t="shared" si="143"/>
        <v>59.166666666667254</v>
      </c>
      <c r="AB722" s="1">
        <v>59.25</v>
      </c>
      <c r="AC722" s="1">
        <v>7.5346235469999998E-3</v>
      </c>
      <c r="AD722" s="8">
        <f t="shared" si="139"/>
        <v>-0.78497874302912474</v>
      </c>
      <c r="AE722" s="3">
        <f t="shared" si="140"/>
        <v>-1.0418287498141476E-2</v>
      </c>
      <c r="AF722" s="11">
        <f t="shared" si="141"/>
        <v>59.166666666667254</v>
      </c>
      <c r="AG722" s="1">
        <f t="shared" si="142"/>
        <v>0.17223965201544267</v>
      </c>
    </row>
    <row r="723" spans="2:33" ht="15" x14ac:dyDescent="0.25">
      <c r="B723" s="1">
        <v>712</v>
      </c>
      <c r="C723" s="1">
        <v>1.0012518936658161</v>
      </c>
      <c r="D723" s="1">
        <v>1.2753988129117633</v>
      </c>
      <c r="E723" s="1">
        <v>0.78247909097446045</v>
      </c>
      <c r="G723" s="1">
        <v>1.0039676459521052</v>
      </c>
      <c r="H723" s="1">
        <v>7.1628874261655211</v>
      </c>
      <c r="I723" s="1">
        <v>9.882852927269789E-2</v>
      </c>
      <c r="K723" s="1">
        <v>0.99987172110829703</v>
      </c>
      <c r="L723" s="1">
        <v>1.7885327875358152</v>
      </c>
      <c r="M723" s="1">
        <v>0.54598783440379739</v>
      </c>
      <c r="O723" s="1">
        <v>7.6147183239648249E-3</v>
      </c>
      <c r="P723" s="1">
        <v>0.63647723944028822</v>
      </c>
      <c r="R723" s="1">
        <v>0.24126682432638721</v>
      </c>
      <c r="S723" s="2">
        <f t="shared" si="132"/>
        <v>1.3274406824350022</v>
      </c>
      <c r="T723" s="4">
        <f t="shared" si="133"/>
        <v>1.7620987653835045</v>
      </c>
      <c r="U723" s="1">
        <f t="shared" si="136"/>
        <v>1.6489567615881779</v>
      </c>
      <c r="V723" s="6">
        <f>2*sigma/alpha*corel*(B723/12-1/alpha*(1-EXP(-alpha*Output!B723/12)))</f>
        <v>4.5828217998477259</v>
      </c>
      <c r="W723" s="5">
        <f t="shared" si="134"/>
        <v>-0.11314200379532657</v>
      </c>
      <c r="X723" s="1">
        <f t="shared" si="135"/>
        <v>47.854624549917062</v>
      </c>
      <c r="Y723" s="3">
        <f t="shared" si="137"/>
        <v>1.9675971110679265E-2</v>
      </c>
      <c r="Z723" s="1">
        <f t="shared" si="138"/>
        <v>0.17233192913270132</v>
      </c>
      <c r="AA723" s="8">
        <f t="shared" si="143"/>
        <v>59.25000000000059</v>
      </c>
      <c r="AB723" s="1">
        <v>59.33</v>
      </c>
      <c r="AC723" s="1">
        <v>7.5344958019999998E-3</v>
      </c>
      <c r="AD723" s="8">
        <f t="shared" si="139"/>
        <v>-0.80222521964825111</v>
      </c>
      <c r="AE723" s="3">
        <f t="shared" si="140"/>
        <v>-1.0647364345671331E-2</v>
      </c>
      <c r="AF723" s="11">
        <f t="shared" si="141"/>
        <v>59.25000000000059</v>
      </c>
      <c r="AG723" s="1">
        <f t="shared" si="142"/>
        <v>0.17233192913270132</v>
      </c>
    </row>
    <row r="724" spans="2:33" ht="15" x14ac:dyDescent="0.25">
      <c r="B724" s="1">
        <v>713</v>
      </c>
      <c r="C724" s="1">
        <v>1.0012548400152508</v>
      </c>
      <c r="D724" s="1">
        <v>1.2733437005768344</v>
      </c>
      <c r="E724" s="1">
        <v>0.78373895698804041</v>
      </c>
      <c r="G724" s="1">
        <v>1.0040927590755213</v>
      </c>
      <c r="H724" s="1">
        <v>7.0598688802026421</v>
      </c>
      <c r="I724" s="1">
        <v>0.10022200879608253</v>
      </c>
      <c r="K724" s="1">
        <v>0.99987295091218797</v>
      </c>
      <c r="L724" s="1">
        <v>1.7902673672702829</v>
      </c>
      <c r="M724" s="1">
        <v>0.54547419466775604</v>
      </c>
      <c r="O724" s="1">
        <v>7.6164166910983166E-3</v>
      </c>
      <c r="P724" s="1">
        <v>0.63600930087641461</v>
      </c>
      <c r="R724" s="1">
        <v>0.24136518140665761</v>
      </c>
      <c r="S724" s="2">
        <f t="shared" si="132"/>
        <v>1.3290669466550915</v>
      </c>
      <c r="T724" s="4">
        <f t="shared" si="133"/>
        <v>1.766418948691088</v>
      </c>
      <c r="U724" s="1">
        <f t="shared" si="136"/>
        <v>1.6532412545396302</v>
      </c>
      <c r="V724" s="6">
        <f>2*sigma/alpha*corel*(B724/12-1/alpha*(1-EXP(-alpha*Output!B724/12)))</f>
        <v>4.592269565136549</v>
      </c>
      <c r="W724" s="5">
        <f t="shared" si="134"/>
        <v>-0.11317769415145773</v>
      </c>
      <c r="X724" s="1">
        <f t="shared" si="135"/>
        <v>47.987505068875883</v>
      </c>
      <c r="Y724" s="3">
        <f t="shared" si="137"/>
        <v>1.9649636991305761E-2</v>
      </c>
      <c r="Z724" s="1">
        <f t="shared" si="138"/>
        <v>0.17242201474903512</v>
      </c>
      <c r="AA724" s="8">
        <f t="shared" si="143"/>
        <v>59.333333333333925</v>
      </c>
      <c r="AB724" s="1">
        <v>59.42</v>
      </c>
      <c r="AC724" s="1">
        <v>7.5343684170000001E-3</v>
      </c>
      <c r="AD724" s="8">
        <f t="shared" si="139"/>
        <v>-0.82048274098316454</v>
      </c>
      <c r="AE724" s="3">
        <f t="shared" si="140"/>
        <v>-1.0889867545259495E-2</v>
      </c>
      <c r="AF724" s="11">
        <f t="shared" si="141"/>
        <v>59.333333333333925</v>
      </c>
      <c r="AG724" s="1">
        <f t="shared" si="142"/>
        <v>0.17242201474903512</v>
      </c>
    </row>
    <row r="725" spans="2:33" ht="15" x14ac:dyDescent="0.25">
      <c r="B725" s="1">
        <v>714</v>
      </c>
      <c r="C725" s="1">
        <v>1.0012569482981433</v>
      </c>
      <c r="D725" s="1">
        <v>1.2742328840803576</v>
      </c>
      <c r="E725" s="1">
        <v>0.78318903177344723</v>
      </c>
      <c r="G725" s="1">
        <v>1.0041556285084552</v>
      </c>
      <c r="H725" s="1">
        <v>7.1061672552408144</v>
      </c>
      <c r="I725" s="1">
        <v>9.9520738855129395E-2</v>
      </c>
      <c r="K725" s="1">
        <v>0.99985923473464577</v>
      </c>
      <c r="L725" s="1">
        <v>1.7838575287560832</v>
      </c>
      <c r="M725" s="1">
        <v>0.54738369247335306</v>
      </c>
      <c r="O725" s="1">
        <v>7.618028689296891E-3</v>
      </c>
      <c r="P725" s="1">
        <v>0.63554479246972706</v>
      </c>
      <c r="R725" s="1">
        <v>0.24146998029034386</v>
      </c>
      <c r="S725" s="2">
        <f t="shared" si="132"/>
        <v>1.3307130994530818</v>
      </c>
      <c r="T725" s="4">
        <f t="shared" si="133"/>
        <v>1.7707973530560275</v>
      </c>
      <c r="U725" s="1">
        <f t="shared" si="136"/>
        <v>1.6575286723780271</v>
      </c>
      <c r="V725" s="6">
        <f>2*sigma/alpha*corel*(B725/12-1/alpha*(1-EXP(-alpha*Output!B725/12)))</f>
        <v>4.6017205547198223</v>
      </c>
      <c r="W725" s="5">
        <f t="shared" si="134"/>
        <v>-0.11326868067800033</v>
      </c>
      <c r="X725" s="1">
        <f t="shared" si="135"/>
        <v>48.133778065094987</v>
      </c>
      <c r="Y725" s="3">
        <f t="shared" si="137"/>
        <v>1.9631349228603018E-2</v>
      </c>
      <c r="Z725" s="1">
        <f t="shared" si="138"/>
        <v>0.17251463720902585</v>
      </c>
      <c r="AA725" s="8">
        <f t="shared" si="143"/>
        <v>59.416666666667261</v>
      </c>
      <c r="AB725" s="1">
        <v>59.5</v>
      </c>
      <c r="AC725" s="1">
        <v>7.5342413879999999E-3</v>
      </c>
      <c r="AD725" s="8">
        <f t="shared" si="139"/>
        <v>-0.83787301296891181</v>
      </c>
      <c r="AE725" s="3">
        <f t="shared" si="140"/>
        <v>-1.1120867647052241E-2</v>
      </c>
      <c r="AF725" s="11">
        <f t="shared" si="141"/>
        <v>59.416666666667261</v>
      </c>
      <c r="AG725" s="1">
        <f t="shared" si="142"/>
        <v>0.17251463720902585</v>
      </c>
    </row>
    <row r="726" spans="2:33" ht="15" x14ac:dyDescent="0.25">
      <c r="B726" s="1">
        <v>715</v>
      </c>
      <c r="C726" s="1">
        <v>1.0012573634795616</v>
      </c>
      <c r="D726" s="1">
        <v>1.2772742428742874</v>
      </c>
      <c r="E726" s="1">
        <v>0.78132114178336931</v>
      </c>
      <c r="G726" s="1">
        <v>1.0041147159115107</v>
      </c>
      <c r="H726" s="1">
        <v>7.2553878373131395</v>
      </c>
      <c r="I726" s="1">
        <v>9.7426625598870359E-2</v>
      </c>
      <c r="K726" s="1">
        <v>0.99984956278802173</v>
      </c>
      <c r="L726" s="1">
        <v>1.7918924705261776</v>
      </c>
      <c r="M726" s="1">
        <v>0.54490965937634261</v>
      </c>
      <c r="O726" s="1">
        <v>7.6196254584597993E-3</v>
      </c>
      <c r="P726" s="1">
        <v>0.63508102896142726</v>
      </c>
      <c r="R726" s="1">
        <v>0.24157574014117189</v>
      </c>
      <c r="S726" s="2">
        <f t="shared" si="132"/>
        <v>1.3323633908134045</v>
      </c>
      <c r="T726" s="4">
        <f t="shared" si="133"/>
        <v>1.7751922051797928</v>
      </c>
      <c r="U726" s="1">
        <f t="shared" si="136"/>
        <v>1.6618190063630243</v>
      </c>
      <c r="V726" s="6">
        <f>2*sigma/alpha*corel*(B726/12-1/alpha*(1-EXP(-alpha*Output!B726/12)))</f>
        <v>4.6111747578677917</v>
      </c>
      <c r="W726" s="5">
        <f t="shared" si="134"/>
        <v>-0.11337319881676855</v>
      </c>
      <c r="X726" s="1">
        <f t="shared" si="135"/>
        <v>48.283545032260257</v>
      </c>
      <c r="Y726" s="3">
        <f t="shared" si="137"/>
        <v>1.961506104821412E-2</v>
      </c>
      <c r="Z726" s="1">
        <f t="shared" si="138"/>
        <v>0.1726077507280861</v>
      </c>
      <c r="AA726" s="8">
        <f t="shared" si="143"/>
        <v>59.500000000000597</v>
      </c>
      <c r="AB726" s="1">
        <v>59.58</v>
      </c>
      <c r="AC726" s="1">
        <v>7.5341147160000004E-3</v>
      </c>
      <c r="AD726" s="8">
        <f t="shared" si="139"/>
        <v>-0.8551074245979895</v>
      </c>
      <c r="AE726" s="3">
        <f t="shared" si="140"/>
        <v>-1.134980627228864E-2</v>
      </c>
      <c r="AF726" s="11">
        <f t="shared" si="141"/>
        <v>59.500000000000597</v>
      </c>
      <c r="AG726" s="1">
        <f t="shared" si="142"/>
        <v>0.1726077507280861</v>
      </c>
    </row>
    <row r="727" spans="2:33" ht="15" x14ac:dyDescent="0.25">
      <c r="B727" s="1">
        <v>716</v>
      </c>
      <c r="C727" s="1">
        <v>1.0012588971542833</v>
      </c>
      <c r="D727" s="1">
        <v>1.2754672485552714</v>
      </c>
      <c r="E727" s="1">
        <v>0.78242504189229256</v>
      </c>
      <c r="G727" s="1">
        <v>1.004141134189835</v>
      </c>
      <c r="H727" s="1">
        <v>7.1589855949361727</v>
      </c>
      <c r="I727" s="1">
        <v>9.8690665962475416E-2</v>
      </c>
      <c r="K727" s="1">
        <v>0.99985540925945227</v>
      </c>
      <c r="L727" s="1">
        <v>1.7965794847835486</v>
      </c>
      <c r="M727" s="1">
        <v>0.54347682653047313</v>
      </c>
      <c r="O727" s="1">
        <v>7.6211900084027697E-3</v>
      </c>
      <c r="P727" s="1">
        <v>0.63461865497473813</v>
      </c>
      <c r="R727" s="1">
        <v>0.24166446811511821</v>
      </c>
      <c r="S727" s="2">
        <f t="shared" ref="S727:S730" si="144">optim_vol_implied(P727,R727)</f>
        <v>1.333941194590375</v>
      </c>
      <c r="T727" s="4">
        <f t="shared" ref="T727:T730" si="145">S727*S727</f>
        <v>1.7793991106251965</v>
      </c>
      <c r="U727" s="1">
        <f t="shared" si="136"/>
        <v>1.6661122477767645</v>
      </c>
      <c r="V727" s="6">
        <f>2*sigma/alpha*corel*(B727/12-1/alpha*(1-EXP(-alpha*Output!B727/12)))</f>
        <v>4.6206321638864045</v>
      </c>
      <c r="W727" s="5">
        <f t="shared" ref="W727:W730" si="146">U727-T727</f>
        <v>-0.11328686284843204</v>
      </c>
      <c r="X727" s="1">
        <f t="shared" ref="X727:X730" si="147">V727*V727-4*W727*B727/12</f>
        <v>48.388039527100673</v>
      </c>
      <c r="Y727" s="3">
        <f t="shared" si="137"/>
        <v>1.9571388576710848E-2</v>
      </c>
      <c r="Z727" s="1">
        <f t="shared" si="138"/>
        <v>0.17269143424904468</v>
      </c>
      <c r="AA727" s="8">
        <f t="shared" si="143"/>
        <v>59.583333333333933</v>
      </c>
      <c r="AB727" s="1">
        <v>59.67</v>
      </c>
      <c r="AC727" s="1">
        <v>7.5339883980000003E-3</v>
      </c>
      <c r="AD727" s="8">
        <f t="shared" si="139"/>
        <v>-0.87201610402769425</v>
      </c>
      <c r="AE727" s="3">
        <f t="shared" si="140"/>
        <v>-1.1574428549149116E-2</v>
      </c>
      <c r="AF727" s="11">
        <f t="shared" si="141"/>
        <v>59.583333333333933</v>
      </c>
      <c r="AG727" s="1">
        <f t="shared" si="142"/>
        <v>0.17269143424904468</v>
      </c>
    </row>
    <row r="728" spans="2:33" ht="15" x14ac:dyDescent="0.25">
      <c r="B728" s="1">
        <v>717</v>
      </c>
      <c r="C728" s="1">
        <v>1.0012603017858994</v>
      </c>
      <c r="D728" s="1">
        <v>1.2754171744292613</v>
      </c>
      <c r="E728" s="1">
        <v>0.7824527354351497</v>
      </c>
      <c r="G728" s="1">
        <v>1.00419605031954</v>
      </c>
      <c r="H728" s="1">
        <v>7.1605811465693332</v>
      </c>
      <c r="I728" s="1">
        <v>9.8620811208761733E-2</v>
      </c>
      <c r="K728" s="1">
        <v>0.99985898381014249</v>
      </c>
      <c r="L728" s="1">
        <v>1.7997318323646467</v>
      </c>
      <c r="M728" s="1">
        <v>0.54251047244239692</v>
      </c>
      <c r="O728" s="1">
        <v>7.6227360175644965E-3</v>
      </c>
      <c r="P728" s="1">
        <v>0.6341571547865098</v>
      </c>
      <c r="R728" s="1">
        <v>0.24176126501853135</v>
      </c>
      <c r="S728" s="2">
        <f t="shared" si="144"/>
        <v>1.3355523072417996</v>
      </c>
      <c r="T728" s="4">
        <f t="shared" si="145"/>
        <v>1.7836999653788943</v>
      </c>
      <c r="U728" s="1">
        <f t="shared" si="136"/>
        <v>1.6704083879238496</v>
      </c>
      <c r="V728" s="6">
        <f>2*sigma/alpha*corel*(B728/12-1/alpha*(1-EXP(-alpha*Output!B728/12)))</f>
        <v>4.6300927621172026</v>
      </c>
      <c r="W728" s="5">
        <f t="shared" si="146"/>
        <v>-0.1132915774550447</v>
      </c>
      <c r="X728" s="1">
        <f t="shared" si="147"/>
        <v>48.514445997565787</v>
      </c>
      <c r="Y728" s="3">
        <f t="shared" si="137"/>
        <v>1.9540907627082712E-2</v>
      </c>
      <c r="Z728" s="1">
        <f t="shared" si="138"/>
        <v>0.17277939427443087</v>
      </c>
      <c r="AA728" s="8">
        <f t="shared" si="143"/>
        <v>59.666666666667268</v>
      </c>
      <c r="AB728" s="1">
        <v>59.75</v>
      </c>
      <c r="AC728" s="1">
        <v>7.5338624319999997E-3</v>
      </c>
      <c r="AD728" s="8">
        <f t="shared" si="139"/>
        <v>-0.88873585564496793</v>
      </c>
      <c r="AE728" s="3">
        <f t="shared" si="140"/>
        <v>-1.1796550091890077E-2</v>
      </c>
      <c r="AF728" s="11">
        <f t="shared" si="141"/>
        <v>59.666666666667268</v>
      </c>
      <c r="AG728" s="1">
        <f t="shared" si="142"/>
        <v>0.17277939427443087</v>
      </c>
    </row>
    <row r="729" spans="2:33" ht="15" x14ac:dyDescent="0.25">
      <c r="B729" s="1">
        <v>718</v>
      </c>
      <c r="C729" s="1">
        <v>1.0012614291941619</v>
      </c>
      <c r="D729" s="1">
        <v>1.2730124535448297</v>
      </c>
      <c r="E729" s="1">
        <v>0.78392775392632419</v>
      </c>
      <c r="G729" s="1">
        <v>1.0041930012536326</v>
      </c>
      <c r="H729" s="1">
        <v>7.03952701335069</v>
      </c>
      <c r="I729" s="1">
        <v>0.10026806466725617</v>
      </c>
      <c r="K729" s="1">
        <v>0.99986567692637673</v>
      </c>
      <c r="L729" s="1">
        <v>1.8009216513708435</v>
      </c>
      <c r="M729" s="1">
        <v>0.54215095610775088</v>
      </c>
      <c r="O729" s="1">
        <v>7.6243265846884858E-3</v>
      </c>
      <c r="P729" s="1">
        <v>0.63369413745853975</v>
      </c>
      <c r="R729" s="1">
        <v>0.24185329494684951</v>
      </c>
      <c r="S729" s="2">
        <f t="shared" si="144"/>
        <v>1.3371495210096069</v>
      </c>
      <c r="T729" s="4">
        <f t="shared" si="145"/>
        <v>1.7879688415362212</v>
      </c>
      <c r="U729" s="1">
        <f t="shared" si="136"/>
        <v>1.6747074181313044</v>
      </c>
      <c r="V729" s="6">
        <f>2*sigma/alpha*corel*(B729/12-1/alpha*(1-EXP(-alpha*Output!B729/12)))</f>
        <v>4.6395565419371927</v>
      </c>
      <c r="W729" s="5">
        <f t="shared" si="146"/>
        <v>-0.11326142340491674</v>
      </c>
      <c r="X729" s="1">
        <f t="shared" si="147"/>
        <v>48.632718907408943</v>
      </c>
      <c r="Y729" s="3">
        <f t="shared" si="137"/>
        <v>1.950551322339612E-2</v>
      </c>
      <c r="Z729" s="1">
        <f t="shared" si="138"/>
        <v>0.17286551883552914</v>
      </c>
      <c r="AA729" s="8">
        <f t="shared" si="143"/>
        <v>59.750000000000604</v>
      </c>
      <c r="AB729" s="1">
        <v>59.83</v>
      </c>
      <c r="AC729" s="1">
        <v>7.5337368180000003E-3</v>
      </c>
      <c r="AD729" s="8">
        <f t="shared" si="139"/>
        <v>-0.90589766688485562</v>
      </c>
      <c r="AE729" s="3">
        <f t="shared" si="140"/>
        <v>-1.2024546234750825E-2</v>
      </c>
      <c r="AF729" s="11">
        <f t="shared" si="141"/>
        <v>59.750000000000604</v>
      </c>
      <c r="AG729" s="1">
        <f t="shared" si="142"/>
        <v>0.17286551883552914</v>
      </c>
    </row>
    <row r="730" spans="2:33" ht="15" x14ac:dyDescent="0.25">
      <c r="B730" s="1">
        <v>719</v>
      </c>
      <c r="C730" s="1">
        <v>1.001263182721768</v>
      </c>
      <c r="D730" s="1">
        <v>1.2773727958522798</v>
      </c>
      <c r="E730" s="1">
        <v>0.78124876943887112</v>
      </c>
      <c r="G730" s="1">
        <v>1.0043083811292415</v>
      </c>
      <c r="H730" s="1">
        <v>7.2525981984653098</v>
      </c>
      <c r="I730" s="1">
        <v>9.7275117392925131E-2</v>
      </c>
      <c r="K730" s="1">
        <v>0.99985458311612141</v>
      </c>
      <c r="L730" s="1">
        <v>1.7852372825952079</v>
      </c>
      <c r="M730" s="1">
        <v>0.54690083989262506</v>
      </c>
      <c r="O730" s="1">
        <v>7.6260086431814457E-3</v>
      </c>
      <c r="P730" s="1">
        <v>0.63322781905295389</v>
      </c>
      <c r="R730" s="1">
        <v>0.24195671181507947</v>
      </c>
      <c r="S730" s="2">
        <f t="shared" si="144"/>
        <v>1.3388049661750696</v>
      </c>
      <c r="T730" s="4">
        <f t="shared" si="145"/>
        <v>1.7923987374550292</v>
      </c>
      <c r="U730" s="1">
        <f t="shared" si="136"/>
        <v>1.6790093297485491</v>
      </c>
      <c r="V730" s="6">
        <f>2*sigma/alpha*corel*(B730/12-1/alpha*(1-EXP(-alpha*Output!B730/12)))</f>
        <v>4.6490234927587313</v>
      </c>
      <c r="W730" s="5">
        <f t="shared" si="146"/>
        <v>-0.11338940770648009</v>
      </c>
      <c r="X730" s="1">
        <f t="shared" si="147"/>
        <v>48.789080816542324</v>
      </c>
      <c r="Y730" s="3">
        <f t="shared" si="137"/>
        <v>1.9492861784687447E-2</v>
      </c>
      <c r="Z730" s="1">
        <f t="shared" si="138"/>
        <v>0.17295913016827977</v>
      </c>
      <c r="AA730" s="8">
        <f t="shared" si="143"/>
        <v>59.83333333333394</v>
      </c>
      <c r="AB730" s="1">
        <v>59.92</v>
      </c>
      <c r="AC730" s="1">
        <v>7.5336115540000003E-3</v>
      </c>
      <c r="AD730" s="8">
        <f t="shared" si="139"/>
        <v>-0.92397089181445358</v>
      </c>
      <c r="AE730" s="3">
        <f t="shared" si="140"/>
        <v>-1.226464737651449E-2</v>
      </c>
      <c r="AF730" s="11">
        <f t="shared" si="141"/>
        <v>59.83333333333394</v>
      </c>
      <c r="AG730" s="1">
        <f t="shared" si="142"/>
        <v>0.17295913016827977</v>
      </c>
    </row>
    <row r="731" spans="2:33" ht="15" x14ac:dyDescent="0.25">
      <c r="B731" s="1">
        <v>720</v>
      </c>
      <c r="C731" s="1">
        <v>1.0012674449192069</v>
      </c>
      <c r="D731" s="1">
        <v>1.2806080420196031</v>
      </c>
      <c r="E731" s="1">
        <v>0.77927204853747489</v>
      </c>
      <c r="G731" s="1">
        <v>1.0046239102045373</v>
      </c>
      <c r="H731" s="1">
        <v>7.4199438760221241</v>
      </c>
      <c r="I731" s="1">
        <v>9.503509836142135E-2</v>
      </c>
      <c r="K731" s="1">
        <v>0.99987213183274015</v>
      </c>
      <c r="L731" s="1">
        <v>1.7936367120005401</v>
      </c>
      <c r="M731" s="1">
        <v>0.54429668832816958</v>
      </c>
      <c r="O731" s="1">
        <v>7.627756468041114E-3</v>
      </c>
      <c r="P731" s="1">
        <v>0.63275916954688982</v>
      </c>
      <c r="R731" s="1">
        <v>0.24206529949164399</v>
      </c>
      <c r="S731" s="2">
        <f>optim_vol_implied(P731,R731)</f>
        <v>1.3404902790788806</v>
      </c>
      <c r="T731" s="4">
        <f>S731*S731</f>
        <v>1.7969141883049753</v>
      </c>
      <c r="U731" s="1">
        <f t="shared" si="136"/>
        <v>1.6833141141473673</v>
      </c>
      <c r="V731" s="6">
        <f>2*sigma/alpha*corel*(B731/12-1/alpha*(1-EXP(-alpha*Output!B731/12)))</f>
        <v>4.658493604029414</v>
      </c>
      <c r="W731" s="5">
        <f>U731-T731</f>
        <v>-0.11360007415760798</v>
      </c>
      <c r="X731" s="1">
        <f>V731*V731-4*W731*B731/12</f>
        <v>48.965580456608876</v>
      </c>
      <c r="Y731" s="3">
        <f t="shared" si="137"/>
        <v>1.9492061877178654E-2</v>
      </c>
      <c r="Z731" s="1">
        <f t="shared" si="138"/>
        <v>0.17305655088751457</v>
      </c>
      <c r="AA731" s="8">
        <f t="shared" si="143"/>
        <v>59.916666666667275</v>
      </c>
      <c r="AB731" s="1">
        <v>60</v>
      </c>
      <c r="AC731" s="1">
        <v>7.5334866390000003E-3</v>
      </c>
      <c r="AD731" s="8">
        <f t="shared" si="139"/>
        <v>-0.94269829041113662</v>
      </c>
      <c r="AE731" s="3">
        <f t="shared" si="140"/>
        <v>-1.2513439468132792E-2</v>
      </c>
      <c r="AF731" s="11">
        <f t="shared" si="141"/>
        <v>59.916666666667275</v>
      </c>
      <c r="AG731" s="1">
        <f t="shared" si="142"/>
        <v>0.17305655088751457</v>
      </c>
    </row>
    <row r="732" spans="2:33" x14ac:dyDescent="0.2">
      <c r="AC732" s="1">
        <v>7.5333620699999998E-3</v>
      </c>
    </row>
    <row r="733" spans="2:33" x14ac:dyDescent="0.2">
      <c r="AC733" s="1">
        <v>7.5332378469999996E-3</v>
      </c>
    </row>
    <row r="734" spans="2:33" x14ac:dyDescent="0.2">
      <c r="AC734" s="1">
        <v>7.5331139679999997E-3</v>
      </c>
    </row>
    <row r="735" spans="2:33" x14ac:dyDescent="0.2">
      <c r="AC735" s="1">
        <v>7.5329904319999998E-3</v>
      </c>
    </row>
    <row r="736" spans="2:33" x14ac:dyDescent="0.2">
      <c r="AC736" s="1">
        <v>7.5328672369999999E-3</v>
      </c>
    </row>
    <row r="737" spans="29:29" x14ac:dyDescent="0.2">
      <c r="AC737" s="1">
        <v>7.5327443820000003E-3</v>
      </c>
    </row>
    <row r="738" spans="29:29" x14ac:dyDescent="0.2">
      <c r="AC738" s="1">
        <v>7.5326218650000002E-3</v>
      </c>
    </row>
    <row r="739" spans="29:29" x14ac:dyDescent="0.2">
      <c r="AC739" s="1">
        <v>7.5324996850000001E-3</v>
      </c>
    </row>
    <row r="740" spans="29:29" x14ac:dyDescent="0.2">
      <c r="AC740" s="1">
        <v>7.5323778419999999E-3</v>
      </c>
    </row>
    <row r="741" spans="29:29" x14ac:dyDescent="0.2">
      <c r="AC741" s="1">
        <v>7.5322563319999997E-3</v>
      </c>
    </row>
    <row r="742" spans="29:29" x14ac:dyDescent="0.2">
      <c r="AC742" s="1">
        <v>7.5321351550000004E-3</v>
      </c>
    </row>
    <row r="743" spans="29:29" x14ac:dyDescent="0.2">
      <c r="AC743" s="1">
        <v>7.5320143099999997E-3</v>
      </c>
    </row>
    <row r="744" spans="29:29" x14ac:dyDescent="0.2">
      <c r="AC744" s="1">
        <v>7.5318937950000003E-3</v>
      </c>
    </row>
    <row r="745" spans="29:29" x14ac:dyDescent="0.2">
      <c r="AC745" s="1">
        <v>7.531773609E-3</v>
      </c>
    </row>
    <row r="746" spans="29:29" x14ac:dyDescent="0.2">
      <c r="AC746" s="1">
        <v>7.5316537499999997E-3</v>
      </c>
    </row>
    <row r="747" spans="29:29" x14ac:dyDescent="0.2">
      <c r="AC747" s="1">
        <v>7.5315342180000003E-3</v>
      </c>
    </row>
    <row r="748" spans="29:29" x14ac:dyDescent="0.2">
      <c r="AC748" s="1">
        <v>7.5314150099999996E-3</v>
      </c>
    </row>
    <row r="749" spans="29:29" x14ac:dyDescent="0.2">
      <c r="AC749" s="1">
        <v>7.5312961260000002E-3</v>
      </c>
    </row>
    <row r="750" spans="29:29" x14ac:dyDescent="0.2">
      <c r="AC750" s="1">
        <v>7.5311775640000004E-3</v>
      </c>
    </row>
    <row r="751" spans="29:29" x14ac:dyDescent="0.2">
      <c r="AC751" s="1">
        <v>7.5310593229999997E-3</v>
      </c>
    </row>
    <row r="752" spans="29:29" x14ac:dyDescent="0.2">
      <c r="AC752" s="1">
        <v>7.5309414020000003E-3</v>
      </c>
    </row>
    <row r="753" spans="29:29" x14ac:dyDescent="0.2">
      <c r="AC753" s="1">
        <v>7.5308237989999997E-3</v>
      </c>
    </row>
    <row r="754" spans="29:29" x14ac:dyDescent="0.2">
      <c r="AC754" s="1">
        <v>7.530706513E-3</v>
      </c>
    </row>
    <row r="755" spans="29:29" x14ac:dyDescent="0.2">
      <c r="AC755" s="1">
        <v>7.5305895420000003E-3</v>
      </c>
    </row>
    <row r="756" spans="29:29" x14ac:dyDescent="0.2">
      <c r="AC756" s="1">
        <v>7.5304728859999998E-3</v>
      </c>
    </row>
    <row r="757" spans="29:29" x14ac:dyDescent="0.2">
      <c r="AC757" s="1">
        <v>7.5303565430000002E-3</v>
      </c>
    </row>
    <row r="758" spans="29:29" x14ac:dyDescent="0.2">
      <c r="AC758" s="1">
        <v>7.5302405120000002E-3</v>
      </c>
    </row>
    <row r="759" spans="29:29" x14ac:dyDescent="0.2">
      <c r="AC759" s="1">
        <v>7.5301247920000003E-3</v>
      </c>
    </row>
    <row r="760" spans="29:29" x14ac:dyDescent="0.2">
      <c r="AC760" s="1">
        <v>7.5300093809999996E-3</v>
      </c>
    </row>
    <row r="761" spans="29:29" x14ac:dyDescent="0.2">
      <c r="AC761" s="1">
        <v>7.5298942789999998E-3</v>
      </c>
    </row>
    <row r="762" spans="29:29" x14ac:dyDescent="0.2">
      <c r="AC762" s="1">
        <v>7.5297794829999997E-3</v>
      </c>
    </row>
    <row r="763" spans="29:29" x14ac:dyDescent="0.2">
      <c r="AC763" s="1">
        <v>7.5296649930000001E-3</v>
      </c>
    </row>
    <row r="764" spans="29:29" x14ac:dyDescent="0.2">
      <c r="AC764" s="1">
        <v>7.5295508079999997E-3</v>
      </c>
    </row>
    <row r="765" spans="29:29" x14ac:dyDescent="0.2">
      <c r="AC765" s="1">
        <v>7.5294369260000002E-3</v>
      </c>
    </row>
    <row r="766" spans="29:29" x14ac:dyDescent="0.2">
      <c r="AC766" s="1">
        <v>7.5293233459999996E-3</v>
      </c>
    </row>
    <row r="767" spans="29:29" x14ac:dyDescent="0.2">
      <c r="AC767" s="1">
        <v>7.5292100669999999E-3</v>
      </c>
    </row>
    <row r="768" spans="29:29" x14ac:dyDescent="0.2">
      <c r="AC768" s="1">
        <v>7.5290970870000003E-3</v>
      </c>
    </row>
    <row r="769" spans="29:29" x14ac:dyDescent="0.2">
      <c r="AC769" s="1">
        <v>7.528984406E-3</v>
      </c>
    </row>
    <row r="770" spans="29:29" x14ac:dyDescent="0.2">
      <c r="AC770" s="1">
        <v>7.5288720230000002E-3</v>
      </c>
    </row>
    <row r="771" spans="29:29" x14ac:dyDescent="0.2">
      <c r="AC771" s="1">
        <v>7.5287599349999996E-3</v>
      </c>
    </row>
    <row r="772" spans="29:29" x14ac:dyDescent="0.2">
      <c r="AC772" s="1">
        <v>7.5286481429999996E-3</v>
      </c>
    </row>
    <row r="773" spans="29:29" x14ac:dyDescent="0.2">
      <c r="AC773" s="1">
        <v>7.5285366439999998E-3</v>
      </c>
    </row>
    <row r="774" spans="29:29" x14ac:dyDescent="0.2">
      <c r="AC774" s="1">
        <v>7.528425438E-3</v>
      </c>
    </row>
    <row r="775" spans="29:29" x14ac:dyDescent="0.2">
      <c r="AC775" s="1">
        <v>7.528314524E-3</v>
      </c>
    </row>
    <row r="776" spans="29:29" x14ac:dyDescent="0.2">
      <c r="AC776" s="1">
        <v>7.5282038990000001E-3</v>
      </c>
    </row>
    <row r="777" spans="29:29" x14ac:dyDescent="0.2">
      <c r="AC777" s="1">
        <v>7.5280935650000004E-3</v>
      </c>
    </row>
    <row r="778" spans="29:29" x14ac:dyDescent="0.2">
      <c r="AC778" s="1">
        <v>7.5279835179999999E-3</v>
      </c>
    </row>
    <row r="779" spans="29:29" x14ac:dyDescent="0.2">
      <c r="AC779" s="1">
        <v>7.5278737579999996E-3</v>
      </c>
    </row>
    <row r="780" spans="29:29" x14ac:dyDescent="0.2">
      <c r="AC780" s="1">
        <v>7.5277642839999999E-3</v>
      </c>
    </row>
    <row r="781" spans="29:29" x14ac:dyDescent="0.2">
      <c r="AC781" s="1">
        <v>7.5276550950000003E-3</v>
      </c>
    </row>
    <row r="782" spans="29:29" x14ac:dyDescent="0.2">
      <c r="AC782" s="1">
        <v>7.5275461890000001E-3</v>
      </c>
    </row>
    <row r="783" spans="29:29" x14ac:dyDescent="0.2">
      <c r="AC783" s="1">
        <v>7.527437566E-3</v>
      </c>
    </row>
    <row r="784" spans="29:29" x14ac:dyDescent="0.2">
      <c r="AC784" s="1">
        <v>7.5273292240000001E-3</v>
      </c>
    </row>
    <row r="785" spans="29:29" x14ac:dyDescent="0.2">
      <c r="AC785" s="1">
        <v>7.5272211630000004E-3</v>
      </c>
    </row>
    <row r="786" spans="29:29" x14ac:dyDescent="0.2">
      <c r="AC786" s="1">
        <v>7.527113381E-3</v>
      </c>
    </row>
    <row r="787" spans="29:29" x14ac:dyDescent="0.2">
      <c r="AC787" s="1">
        <v>7.5270058770000002E-3</v>
      </c>
    </row>
    <row r="788" spans="29:29" x14ac:dyDescent="0.2">
      <c r="AC788" s="1">
        <v>7.5268986499999998E-3</v>
      </c>
    </row>
    <row r="789" spans="29:29" x14ac:dyDescent="0.2">
      <c r="AC789" s="1">
        <v>7.5267916989999999E-3</v>
      </c>
    </row>
    <row r="790" spans="29:29" x14ac:dyDescent="0.2">
      <c r="AC790" s="1">
        <v>7.5266850230000003E-3</v>
      </c>
    </row>
    <row r="791" spans="29:29" x14ac:dyDescent="0.2">
      <c r="AC791" s="1">
        <v>7.5265786209999996E-3</v>
      </c>
    </row>
    <row r="792" spans="29:29" x14ac:dyDescent="0.2">
      <c r="AC792" s="1">
        <v>7.5264724910000004E-3</v>
      </c>
    </row>
    <row r="793" spans="29:29" x14ac:dyDescent="0.2">
      <c r="AC793" s="1">
        <v>7.5263666339999997E-3</v>
      </c>
    </row>
    <row r="794" spans="29:29" x14ac:dyDescent="0.2">
      <c r="AC794" s="1">
        <v>7.5262610469999996E-3</v>
      </c>
    </row>
    <row r="795" spans="29:29" x14ac:dyDescent="0.2">
      <c r="AC795" s="1">
        <v>7.5261557300000002E-3</v>
      </c>
    </row>
    <row r="796" spans="29:29" x14ac:dyDescent="0.2">
      <c r="AC796" s="1">
        <v>7.5260506820000002E-3</v>
      </c>
    </row>
    <row r="797" spans="29:29" x14ac:dyDescent="0.2">
      <c r="AC797" s="1">
        <v>7.5259459010000003E-3</v>
      </c>
    </row>
    <row r="798" spans="29:29" x14ac:dyDescent="0.2">
      <c r="AC798" s="1">
        <v>7.5258413869999999E-3</v>
      </c>
    </row>
    <row r="799" spans="29:29" x14ac:dyDescent="0.2">
      <c r="AC799" s="1">
        <v>7.5257371390000001E-3</v>
      </c>
    </row>
    <row r="800" spans="29:29" x14ac:dyDescent="0.2">
      <c r="AC800" s="1">
        <v>7.5256331550000001E-3</v>
      </c>
    </row>
    <row r="801" spans="29:29" x14ac:dyDescent="0.2">
      <c r="AC801" s="1">
        <v>7.525529435E-3</v>
      </c>
    </row>
    <row r="802" spans="29:29" x14ac:dyDescent="0.2">
      <c r="AC802" s="1">
        <v>7.5254259769999996E-3</v>
      </c>
    </row>
    <row r="803" spans="29:29" x14ac:dyDescent="0.2">
      <c r="AC803" s="1">
        <v>7.525322781E-3</v>
      </c>
    </row>
    <row r="804" spans="29:29" x14ac:dyDescent="0.2">
      <c r="AC804" s="1">
        <v>7.5252198459999997E-3</v>
      </c>
    </row>
    <row r="805" spans="29:29" x14ac:dyDescent="0.2">
      <c r="AC805" s="1">
        <v>7.5251171699999998E-3</v>
      </c>
    </row>
    <row r="806" spans="29:29" x14ac:dyDescent="0.2">
      <c r="AC806" s="1">
        <v>7.525014753E-3</v>
      </c>
    </row>
    <row r="807" spans="29:29" x14ac:dyDescent="0.2">
      <c r="AC807" s="1">
        <v>7.5249125929999997E-3</v>
      </c>
    </row>
    <row r="808" spans="29:29" x14ac:dyDescent="0.2">
      <c r="AC808" s="1">
        <v>7.5248106910000001E-3</v>
      </c>
    </row>
    <row r="809" spans="29:29" x14ac:dyDescent="0.2">
      <c r="AC809" s="1">
        <v>7.5247090439999999E-3</v>
      </c>
    </row>
    <row r="810" spans="29:29" x14ac:dyDescent="0.2">
      <c r="AC810" s="1">
        <v>7.5246076510000004E-3</v>
      </c>
    </row>
    <row r="811" spans="29:29" x14ac:dyDescent="0.2">
      <c r="AC811" s="1">
        <v>7.5245065130000004E-3</v>
      </c>
    </row>
    <row r="812" spans="29:29" x14ac:dyDescent="0.2">
      <c r="AC812" s="1">
        <v>7.5244056270000002E-3</v>
      </c>
    </row>
    <row r="813" spans="29:29" x14ac:dyDescent="0.2">
      <c r="AC813" s="1">
        <v>7.5243049929999998E-3</v>
      </c>
    </row>
    <row r="814" spans="29:29" x14ac:dyDescent="0.2">
      <c r="AC814" s="1">
        <v>7.5242046110000002E-3</v>
      </c>
    </row>
    <row r="815" spans="29:29" x14ac:dyDescent="0.2">
      <c r="AC815" s="1">
        <v>7.524104478E-3</v>
      </c>
    </row>
    <row r="816" spans="29:29" x14ac:dyDescent="0.2">
      <c r="AC816" s="1">
        <v>7.5240045940000002E-3</v>
      </c>
    </row>
    <row r="817" spans="29:29" x14ac:dyDescent="0.2">
      <c r="AC817" s="1">
        <v>7.5239049589999997E-3</v>
      </c>
    </row>
    <row r="818" spans="29:29" x14ac:dyDescent="0.2">
      <c r="AC818" s="1">
        <v>7.5238055709999996E-3</v>
      </c>
    </row>
    <row r="819" spans="29:29" x14ac:dyDescent="0.2">
      <c r="AC819" s="1">
        <v>7.5237064290000003E-3</v>
      </c>
    </row>
    <row r="820" spans="29:29" x14ac:dyDescent="0.2">
      <c r="AC820" s="1">
        <v>7.5236075320000003E-3</v>
      </c>
    </row>
    <row r="821" spans="29:29" x14ac:dyDescent="0.2">
      <c r="AC821" s="1">
        <v>7.5235088799999999E-3</v>
      </c>
    </row>
    <row r="822" spans="29:29" x14ac:dyDescent="0.2">
      <c r="AC822" s="1">
        <v>7.5234104720000002E-3</v>
      </c>
    </row>
    <row r="823" spans="29:29" x14ac:dyDescent="0.2">
      <c r="AC823" s="1">
        <v>7.5233123060000004E-3</v>
      </c>
    </row>
    <row r="824" spans="29:29" x14ac:dyDescent="0.2">
      <c r="AC824" s="1">
        <v>7.5232143819999996E-3</v>
      </c>
    </row>
    <row r="825" spans="29:29" x14ac:dyDescent="0.2">
      <c r="AC825" s="1">
        <v>7.5231166990000001E-3</v>
      </c>
    </row>
    <row r="826" spans="29:29" x14ac:dyDescent="0.2">
      <c r="AC826" s="1">
        <v>7.5230192560000004E-3</v>
      </c>
    </row>
    <row r="827" spans="29:29" x14ac:dyDescent="0.2">
      <c r="AC827" s="1">
        <v>7.5229220520000003E-3</v>
      </c>
    </row>
    <row r="828" spans="29:29" x14ac:dyDescent="0.2">
      <c r="AC828" s="1">
        <v>7.5228250870000004E-3</v>
      </c>
    </row>
    <row r="829" spans="29:29" x14ac:dyDescent="0.2">
      <c r="AC829" s="1">
        <v>7.5227283579999997E-3</v>
      </c>
    </row>
    <row r="830" spans="29:29" x14ac:dyDescent="0.2">
      <c r="AC830" s="1">
        <v>7.5226318669999997E-3</v>
      </c>
    </row>
    <row r="831" spans="29:29" x14ac:dyDescent="0.2">
      <c r="AC831" s="1">
        <v>7.5225356110000001E-3</v>
      </c>
    </row>
    <row r="832" spans="29:29" x14ac:dyDescent="0.2">
      <c r="AC832" s="1">
        <v>7.5224395890000004E-3</v>
      </c>
    </row>
    <row r="833" spans="29:29" x14ac:dyDescent="0.2">
      <c r="AC833" s="1">
        <v>7.5223438020000002E-3</v>
      </c>
    </row>
    <row r="834" spans="29:29" x14ac:dyDescent="0.2">
      <c r="AC834" s="1">
        <v>7.5222482480000004E-3</v>
      </c>
    </row>
    <row r="835" spans="29:29" x14ac:dyDescent="0.2">
      <c r="AC835" s="1">
        <v>7.5221529259999996E-3</v>
      </c>
    </row>
    <row r="836" spans="29:29" x14ac:dyDescent="0.2">
      <c r="AC836" s="1">
        <v>7.5220578350000001E-3</v>
      </c>
    </row>
    <row r="837" spans="29:29" x14ac:dyDescent="0.2">
      <c r="AC837" s="1">
        <v>7.5219629750000001E-3</v>
      </c>
    </row>
    <row r="838" spans="29:29" x14ac:dyDescent="0.2">
      <c r="AC838" s="1">
        <v>7.5218683439999996E-3</v>
      </c>
    </row>
    <row r="839" spans="29:29" x14ac:dyDescent="0.2">
      <c r="AC839" s="1">
        <v>7.521773943E-3</v>
      </c>
    </row>
    <row r="840" spans="29:29" x14ac:dyDescent="0.2">
      <c r="AC840" s="1">
        <v>7.5216797689999998E-3</v>
      </c>
    </row>
    <row r="841" spans="29:29" x14ac:dyDescent="0.2">
      <c r="AC841" s="1">
        <v>7.5215858229999997E-3</v>
      </c>
    </row>
    <row r="842" spans="29:29" x14ac:dyDescent="0.2">
      <c r="AC842" s="1">
        <v>7.5214921030000003E-3</v>
      </c>
    </row>
    <row r="843" spans="29:29" x14ac:dyDescent="0.2">
      <c r="AC843" s="1">
        <v>7.5213986079999996E-3</v>
      </c>
    </row>
    <row r="844" spans="29:29" x14ac:dyDescent="0.2">
      <c r="AC844" s="1">
        <v>7.5213053389999998E-3</v>
      </c>
    </row>
    <row r="845" spans="29:29" x14ac:dyDescent="0.2">
      <c r="AC845" s="1">
        <v>7.5212122930000003E-3</v>
      </c>
    </row>
    <row r="846" spans="29:29" x14ac:dyDescent="0.2">
      <c r="AC846" s="1">
        <v>7.5211194699999996E-3</v>
      </c>
    </row>
    <row r="847" spans="29:29" x14ac:dyDescent="0.2">
      <c r="AC847" s="1">
        <v>7.5210268700000001E-3</v>
      </c>
    </row>
    <row r="848" spans="29:29" x14ac:dyDescent="0.2">
      <c r="AC848" s="1">
        <v>7.5209344910000002E-3</v>
      </c>
    </row>
    <row r="849" spans="29:29" x14ac:dyDescent="0.2">
      <c r="AC849" s="1">
        <v>7.5208423329999998E-3</v>
      </c>
    </row>
    <row r="850" spans="29:29" x14ac:dyDescent="0.2">
      <c r="AC850" s="1">
        <v>7.5207503950000002E-3</v>
      </c>
    </row>
    <row r="851" spans="29:29" x14ac:dyDescent="0.2">
      <c r="AC851" s="1">
        <v>7.5206586760000003E-3</v>
      </c>
    </row>
    <row r="852" spans="29:29" x14ac:dyDescent="0.2">
      <c r="AC852" s="1">
        <v>7.5205671759999999E-3</v>
      </c>
    </row>
    <row r="853" spans="29:29" x14ac:dyDescent="0.2">
      <c r="AC853" s="1">
        <v>7.5204758929999999E-3</v>
      </c>
    </row>
    <row r="854" spans="29:29" x14ac:dyDescent="0.2">
      <c r="AC854" s="1">
        <v>7.5203848270000003E-3</v>
      </c>
    </row>
    <row r="855" spans="29:29" x14ac:dyDescent="0.2">
      <c r="AC855" s="1">
        <v>7.5202939769999999E-3</v>
      </c>
    </row>
    <row r="856" spans="29:29" x14ac:dyDescent="0.2">
      <c r="AC856" s="1">
        <v>7.5202033430000004E-3</v>
      </c>
    </row>
    <row r="857" spans="29:29" x14ac:dyDescent="0.2">
      <c r="AC857" s="1">
        <v>7.5201129219999996E-3</v>
      </c>
    </row>
    <row r="858" spans="29:29" x14ac:dyDescent="0.2">
      <c r="AC858" s="1">
        <v>7.5200227160000001E-3</v>
      </c>
    </row>
    <row r="859" spans="29:29" x14ac:dyDescent="0.2">
      <c r="AC859" s="1">
        <v>7.5199327230000002E-3</v>
      </c>
    </row>
    <row r="860" spans="29:29" x14ac:dyDescent="0.2">
      <c r="AC860" s="1">
        <v>7.5198429420000002E-3</v>
      </c>
    </row>
    <row r="861" spans="29:29" x14ac:dyDescent="0.2">
      <c r="AC861" s="1">
        <v>7.5197533719999999E-3</v>
      </c>
    </row>
    <row r="862" spans="29:29" x14ac:dyDescent="0.2">
      <c r="AC862" s="1">
        <v>7.5196640130000001E-3</v>
      </c>
    </row>
    <row r="863" spans="29:29" x14ac:dyDescent="0.2">
      <c r="AC863" s="1">
        <v>7.5195748640000002E-3</v>
      </c>
    </row>
    <row r="864" spans="29:29" x14ac:dyDescent="0.2">
      <c r="AC864" s="1">
        <v>7.5194859249999996E-3</v>
      </c>
    </row>
    <row r="865" spans="29:29" x14ac:dyDescent="0.2">
      <c r="AC865" s="1">
        <v>7.5193971939999998E-3</v>
      </c>
    </row>
    <row r="866" spans="29:29" x14ac:dyDescent="0.2">
      <c r="AC866" s="1">
        <v>7.5193086710000001E-3</v>
      </c>
    </row>
    <row r="867" spans="29:29" x14ac:dyDescent="0.2">
      <c r="AC867" s="1">
        <v>7.519220355E-3</v>
      </c>
    </row>
    <row r="868" spans="29:29" x14ac:dyDescent="0.2">
      <c r="AC868" s="1">
        <v>7.5191322449999999E-3</v>
      </c>
    </row>
    <row r="869" spans="29:29" x14ac:dyDescent="0.2">
      <c r="AC869" s="1">
        <v>7.5190443409999998E-3</v>
      </c>
    </row>
    <row r="870" spans="29:29" x14ac:dyDescent="0.2">
      <c r="AC870" s="1">
        <v>7.5189566409999999E-3</v>
      </c>
    </row>
    <row r="871" spans="29:29" x14ac:dyDescent="0.2">
      <c r="AC871" s="1">
        <v>7.5188691460000004E-3</v>
      </c>
    </row>
    <row r="872" spans="29:29" x14ac:dyDescent="0.2">
      <c r="AC872" s="1">
        <v>7.518781855E-3</v>
      </c>
    </row>
    <row r="873" spans="29:29" x14ac:dyDescent="0.2">
      <c r="AC873" s="1">
        <v>7.5186947659999998E-3</v>
      </c>
    </row>
    <row r="874" spans="29:29" x14ac:dyDescent="0.2">
      <c r="AC874" s="1">
        <v>7.5186078789999996E-3</v>
      </c>
    </row>
    <row r="875" spans="29:29" x14ac:dyDescent="0.2">
      <c r="AC875" s="1">
        <v>7.5185211940000003E-3</v>
      </c>
    </row>
    <row r="876" spans="29:29" x14ac:dyDescent="0.2">
      <c r="AC876" s="1">
        <v>7.5184347099999998E-3</v>
      </c>
    </row>
    <row r="877" spans="29:29" x14ac:dyDescent="0.2">
      <c r="AC877" s="1">
        <v>7.5183484249999998E-3</v>
      </c>
    </row>
    <row r="878" spans="29:29" x14ac:dyDescent="0.2">
      <c r="AC878" s="1">
        <v>7.5182623390000003E-3</v>
      </c>
    </row>
    <row r="879" spans="29:29" x14ac:dyDescent="0.2">
      <c r="AC879" s="1">
        <v>7.518176453E-3</v>
      </c>
    </row>
    <row r="880" spans="29:29" x14ac:dyDescent="0.2">
      <c r="AC880" s="1">
        <v>7.5180907640000003E-3</v>
      </c>
    </row>
    <row r="881" spans="29:29" x14ac:dyDescent="0.2">
      <c r="AC881" s="1">
        <v>7.5180052720000001E-3</v>
      </c>
    </row>
    <row r="882" spans="29:29" x14ac:dyDescent="0.2">
      <c r="AC882" s="1">
        <v>7.5179199769999996E-3</v>
      </c>
    </row>
    <row r="883" spans="29:29" x14ac:dyDescent="0.2">
      <c r="AC883" s="1">
        <v>7.5178348780000001E-3</v>
      </c>
    </row>
    <row r="884" spans="29:29" x14ac:dyDescent="0.2">
      <c r="AC884" s="1">
        <v>7.5177499740000002E-3</v>
      </c>
    </row>
    <row r="885" spans="29:29" x14ac:dyDescent="0.2">
      <c r="AC885" s="1">
        <v>7.5176652639999996E-3</v>
      </c>
    </row>
    <row r="886" spans="29:29" x14ac:dyDescent="0.2">
      <c r="AC886" s="1">
        <v>7.5175807479999999E-3</v>
      </c>
    </row>
    <row r="887" spans="29:29" x14ac:dyDescent="0.2">
      <c r="AC887" s="1">
        <v>7.5174964260000003E-3</v>
      </c>
    </row>
    <row r="888" spans="29:29" x14ac:dyDescent="0.2">
      <c r="AC888" s="1">
        <v>7.5174122959999999E-3</v>
      </c>
    </row>
    <row r="889" spans="29:29" x14ac:dyDescent="0.2">
      <c r="AC889" s="1">
        <v>7.5173283579999996E-3</v>
      </c>
    </row>
    <row r="890" spans="29:29" x14ac:dyDescent="0.2">
      <c r="AC890" s="1">
        <v>7.5172446109999999E-3</v>
      </c>
    </row>
    <row r="891" spans="29:29" x14ac:dyDescent="0.2">
      <c r="AC891" s="1">
        <v>7.5171610540000003E-3</v>
      </c>
    </row>
    <row r="892" spans="29:29" x14ac:dyDescent="0.2">
      <c r="AC892" s="1">
        <v>7.5170776880000003E-3</v>
      </c>
    </row>
    <row r="893" spans="29:29" x14ac:dyDescent="0.2">
      <c r="AC893" s="1">
        <v>7.5169945110000001E-3</v>
      </c>
    </row>
    <row r="894" spans="29:29" x14ac:dyDescent="0.2">
      <c r="AC894" s="1">
        <v>7.5169115219999999E-3</v>
      </c>
    </row>
    <row r="895" spans="29:29" x14ac:dyDescent="0.2">
      <c r="AC895" s="1">
        <v>7.5168287209999999E-3</v>
      </c>
    </row>
    <row r="896" spans="29:29" x14ac:dyDescent="0.2">
      <c r="AC896" s="1">
        <v>7.5167461079999999E-3</v>
      </c>
    </row>
    <row r="897" spans="29:29" x14ac:dyDescent="0.2">
      <c r="AC897" s="1">
        <v>7.5166636810000001E-3</v>
      </c>
    </row>
    <row r="898" spans="29:29" x14ac:dyDescent="0.2">
      <c r="AC898" s="1">
        <v>7.516581441E-3</v>
      </c>
    </row>
    <row r="899" spans="29:29" x14ac:dyDescent="0.2">
      <c r="AC899" s="1">
        <v>7.5164993859999996E-3</v>
      </c>
    </row>
    <row r="900" spans="29:29" x14ac:dyDescent="0.2">
      <c r="AC900" s="1">
        <v>7.5164175159999997E-3</v>
      </c>
    </row>
    <row r="901" spans="29:29" x14ac:dyDescent="0.2">
      <c r="AC901" s="1">
        <v>7.51633583E-3</v>
      </c>
    </row>
    <row r="902" spans="29:29" x14ac:dyDescent="0.2">
      <c r="AC902" s="1">
        <v>7.516254327E-3</v>
      </c>
    </row>
    <row r="903" spans="29:29" x14ac:dyDescent="0.2">
      <c r="AC903" s="1">
        <v>7.5161730080000001E-3</v>
      </c>
    </row>
    <row r="904" spans="29:29" x14ac:dyDescent="0.2">
      <c r="AC904" s="1">
        <v>7.5160918699999999E-3</v>
      </c>
    </row>
    <row r="905" spans="29:29" x14ac:dyDescent="0.2">
      <c r="AC905" s="1">
        <v>7.5160109150000003E-3</v>
      </c>
    </row>
    <row r="906" spans="29:29" x14ac:dyDescent="0.2">
      <c r="AC906" s="1">
        <v>7.5159301410000004E-3</v>
      </c>
    </row>
    <row r="907" spans="29:29" x14ac:dyDescent="0.2">
      <c r="AC907" s="1">
        <v>7.5158495469999998E-3</v>
      </c>
    </row>
    <row r="908" spans="29:29" x14ac:dyDescent="0.2">
      <c r="AC908" s="1">
        <v>7.5157691330000002E-3</v>
      </c>
    </row>
    <row r="909" spans="29:29" x14ac:dyDescent="0.2">
      <c r="AC909" s="1">
        <v>7.5156888980000003E-3</v>
      </c>
    </row>
    <row r="910" spans="29:29" x14ac:dyDescent="0.2">
      <c r="AC910" s="1">
        <v>7.5156088420000001E-3</v>
      </c>
    </row>
    <row r="911" spans="29:29" x14ac:dyDescent="0.2">
      <c r="AC911" s="1">
        <v>7.5155289640000001E-3</v>
      </c>
    </row>
    <row r="912" spans="29:29" x14ac:dyDescent="0.2">
      <c r="AC912" s="1">
        <v>7.5154492640000002E-3</v>
      </c>
    </row>
    <row r="913" spans="29:29" x14ac:dyDescent="0.2">
      <c r="AC913" s="1">
        <v>7.5153697410000001E-3</v>
      </c>
    </row>
    <row r="914" spans="29:29" x14ac:dyDescent="0.2">
      <c r="AC914" s="1">
        <v>7.5152903940000002E-3</v>
      </c>
    </row>
    <row r="915" spans="29:29" x14ac:dyDescent="0.2">
      <c r="AC915" s="1">
        <v>7.5152112219999999E-3</v>
      </c>
    </row>
    <row r="916" spans="29:29" x14ac:dyDescent="0.2">
      <c r="AC916" s="1">
        <v>7.5151322259999999E-3</v>
      </c>
    </row>
    <row r="917" spans="29:29" x14ac:dyDescent="0.2">
      <c r="AC917" s="1">
        <v>7.515053404E-3</v>
      </c>
    </row>
    <row r="918" spans="29:29" x14ac:dyDescent="0.2">
      <c r="AC918" s="1">
        <v>7.5149747569999998E-3</v>
      </c>
    </row>
    <row r="919" spans="29:29" x14ac:dyDescent="0.2">
      <c r="AC919" s="1">
        <v>7.5148962830000002E-3</v>
      </c>
    </row>
    <row r="920" spans="29:29" x14ac:dyDescent="0.2">
      <c r="AC920" s="1">
        <v>7.514817981E-3</v>
      </c>
    </row>
    <row r="921" spans="29:29" x14ac:dyDescent="0.2">
      <c r="AC921" s="1">
        <v>7.5147398520000004E-3</v>
      </c>
    </row>
    <row r="922" spans="29:29" x14ac:dyDescent="0.2">
      <c r="AC922" s="1">
        <v>7.5146618950000001E-3</v>
      </c>
    </row>
    <row r="923" spans="29:29" x14ac:dyDescent="0.2">
      <c r="AC923" s="1">
        <v>7.5145841090000004E-3</v>
      </c>
    </row>
    <row r="924" spans="29:29" x14ac:dyDescent="0.2">
      <c r="AC924" s="1">
        <v>7.5145064940000004E-3</v>
      </c>
    </row>
    <row r="925" spans="29:29" x14ac:dyDescent="0.2">
      <c r="AC925" s="1">
        <v>7.5144290480000002E-3</v>
      </c>
    </row>
    <row r="926" spans="29:29" x14ac:dyDescent="0.2">
      <c r="AC926" s="1">
        <v>7.5143517720000002E-3</v>
      </c>
    </row>
    <row r="927" spans="29:29" x14ac:dyDescent="0.2">
      <c r="AC927" s="1">
        <v>7.514274665E-3</v>
      </c>
    </row>
    <row r="928" spans="29:29" x14ac:dyDescent="0.2">
      <c r="AC928" s="1">
        <v>7.5141977259999999E-3</v>
      </c>
    </row>
    <row r="929" spans="29:29" x14ac:dyDescent="0.2">
      <c r="AC929" s="1">
        <v>7.5141209550000001E-3</v>
      </c>
    </row>
    <row r="930" spans="29:29" x14ac:dyDescent="0.2">
      <c r="AC930" s="1">
        <v>7.5140443520000004E-3</v>
      </c>
    </row>
    <row r="931" spans="29:29" x14ac:dyDescent="0.2">
      <c r="AC931" s="1">
        <v>7.5139679150000001E-3</v>
      </c>
    </row>
    <row r="932" spans="29:29" x14ac:dyDescent="0.2">
      <c r="AC932" s="1">
        <v>7.513891644E-3</v>
      </c>
    </row>
    <row r="933" spans="29:29" x14ac:dyDescent="0.2">
      <c r="AC933" s="1">
        <v>7.5138155390000001E-3</v>
      </c>
    </row>
    <row r="934" spans="29:29" x14ac:dyDescent="0.2">
      <c r="AC934" s="1">
        <v>7.513739599E-3</v>
      </c>
    </row>
    <row r="935" spans="29:29" x14ac:dyDescent="0.2">
      <c r="AC935" s="1">
        <v>7.513663823E-3</v>
      </c>
    </row>
    <row r="936" spans="29:29" x14ac:dyDescent="0.2">
      <c r="AC936" s="1">
        <v>7.5135882119999999E-3</v>
      </c>
    </row>
    <row r="937" spans="29:29" x14ac:dyDescent="0.2">
      <c r="AC937" s="1">
        <v>7.5135127640000004E-3</v>
      </c>
    </row>
    <row r="938" spans="29:29" x14ac:dyDescent="0.2">
      <c r="AC938" s="1">
        <v>7.5134374780000002E-3</v>
      </c>
    </row>
    <row r="939" spans="29:29" x14ac:dyDescent="0.2">
      <c r="AC939" s="1">
        <v>7.5133623560000003E-3</v>
      </c>
    </row>
    <row r="940" spans="29:29" x14ac:dyDescent="0.2">
      <c r="AC940" s="1">
        <v>7.5132873950000002E-3</v>
      </c>
    </row>
    <row r="941" spans="29:29" x14ac:dyDescent="0.2">
      <c r="AC941" s="1">
        <v>7.5132125960000002E-3</v>
      </c>
    </row>
    <row r="942" spans="29:29" x14ac:dyDescent="0.2">
      <c r="AC942" s="1">
        <v>7.5131379569999997E-3</v>
      </c>
    </row>
    <row r="943" spans="29:29" x14ac:dyDescent="0.2">
      <c r="AC943" s="1">
        <v>7.5130634789999998E-3</v>
      </c>
    </row>
    <row r="944" spans="29:29" x14ac:dyDescent="0.2">
      <c r="AC944" s="1">
        <v>7.5129891610000001E-3</v>
      </c>
    </row>
    <row r="945" spans="29:29" x14ac:dyDescent="0.2">
      <c r="AC945" s="1">
        <v>7.5129150020000002E-3</v>
      </c>
    </row>
    <row r="946" spans="29:29" x14ac:dyDescent="0.2">
      <c r="AC946" s="1">
        <v>7.5128410020000001E-3</v>
      </c>
    </row>
    <row r="947" spans="29:29" x14ac:dyDescent="0.2">
      <c r="AC947" s="1">
        <v>7.5127671600000003E-3</v>
      </c>
    </row>
    <row r="948" spans="29:29" x14ac:dyDescent="0.2">
      <c r="AC948" s="1">
        <v>7.5126934759999998E-3</v>
      </c>
    </row>
    <row r="949" spans="29:29" x14ac:dyDescent="0.2">
      <c r="AC949" s="1">
        <v>7.512619949E-3</v>
      </c>
    </row>
    <row r="950" spans="29:29" x14ac:dyDescent="0.2">
      <c r="AC950" s="1">
        <v>7.512546579E-3</v>
      </c>
    </row>
    <row r="951" spans="29:29" x14ac:dyDescent="0.2">
      <c r="AC951" s="1">
        <v>7.5124733650000003E-3</v>
      </c>
    </row>
    <row r="952" spans="29:29" x14ac:dyDescent="0.2">
      <c r="AC952" s="1">
        <v>7.5124003069999999E-3</v>
      </c>
    </row>
    <row r="953" spans="29:29" x14ac:dyDescent="0.2">
      <c r="AC953" s="1">
        <v>7.5123274049999997E-3</v>
      </c>
    </row>
    <row r="954" spans="29:29" x14ac:dyDescent="0.2">
      <c r="AC954" s="1">
        <v>7.5122546569999999E-3</v>
      </c>
    </row>
    <row r="955" spans="29:29" x14ac:dyDescent="0.2">
      <c r="AC955" s="1">
        <v>7.5121820630000002E-3</v>
      </c>
    </row>
    <row r="956" spans="29:29" x14ac:dyDescent="0.2">
      <c r="AC956" s="1">
        <v>7.5121096240000004E-3</v>
      </c>
    </row>
    <row r="957" spans="29:29" x14ac:dyDescent="0.2">
      <c r="AC957" s="1">
        <v>7.512037337E-3</v>
      </c>
    </row>
    <row r="958" spans="29:29" x14ac:dyDescent="0.2">
      <c r="AC958" s="1">
        <v>7.5119652030000003E-3</v>
      </c>
    </row>
    <row r="959" spans="29:29" x14ac:dyDescent="0.2">
      <c r="AC959" s="1">
        <v>7.5118932220000004E-3</v>
      </c>
    </row>
    <row r="960" spans="29:29" x14ac:dyDescent="0.2">
      <c r="AC960" s="1">
        <v>7.5118213929999999E-3</v>
      </c>
    </row>
    <row r="961" spans="29:29" x14ac:dyDescent="0.2">
      <c r="AC961" s="1">
        <v>7.511749715E-3</v>
      </c>
    </row>
    <row r="962" spans="29:29" x14ac:dyDescent="0.2">
      <c r="AC962" s="1">
        <v>7.511678188E-3</v>
      </c>
    </row>
    <row r="963" spans="29:29" x14ac:dyDescent="0.2">
      <c r="AC963" s="1">
        <v>7.5116068110000003E-3</v>
      </c>
    </row>
    <row r="964" spans="29:29" x14ac:dyDescent="0.2">
      <c r="AC964" s="1">
        <v>7.511535584E-3</v>
      </c>
    </row>
    <row r="965" spans="29:29" x14ac:dyDescent="0.2">
      <c r="AC965" s="1">
        <v>7.511464507E-3</v>
      </c>
    </row>
    <row r="966" spans="29:29" x14ac:dyDescent="0.2">
      <c r="AC966" s="1">
        <v>7.5113935789999997E-3</v>
      </c>
    </row>
    <row r="967" spans="29:29" x14ac:dyDescent="0.2">
      <c r="AC967" s="1">
        <v>7.5113227989999998E-3</v>
      </c>
    </row>
    <row r="968" spans="29:29" x14ac:dyDescent="0.2">
      <c r="AC968" s="1">
        <v>7.5112521670000001E-3</v>
      </c>
    </row>
    <row r="969" spans="29:29" x14ac:dyDescent="0.2">
      <c r="AC969" s="1">
        <v>7.5111816829999999E-3</v>
      </c>
    </row>
    <row r="970" spans="29:29" x14ac:dyDescent="0.2">
      <c r="AC970" s="1">
        <v>7.5111113460000004E-3</v>
      </c>
    </row>
    <row r="971" spans="29:29" x14ac:dyDescent="0.2">
      <c r="AC971" s="1">
        <v>7.5110411559999998E-3</v>
      </c>
    </row>
    <row r="972" spans="29:29" x14ac:dyDescent="0.2">
      <c r="AC972" s="1">
        <v>7.5109711120000004E-3</v>
      </c>
    </row>
    <row r="973" spans="29:29" x14ac:dyDescent="0.2">
      <c r="AC973" s="1">
        <v>7.5109012140000004E-3</v>
      </c>
    </row>
    <row r="974" spans="29:29" x14ac:dyDescent="0.2">
      <c r="AC974" s="1">
        <v>7.5108314610000003E-3</v>
      </c>
    </row>
    <row r="975" spans="29:29" x14ac:dyDescent="0.2">
      <c r="AC975" s="1">
        <v>7.510761853E-3</v>
      </c>
    </row>
    <row r="976" spans="29:29" x14ac:dyDescent="0.2">
      <c r="AC976" s="1">
        <v>7.5106923900000004E-3</v>
      </c>
    </row>
    <row r="977" spans="29:29" x14ac:dyDescent="0.2">
      <c r="AC977" s="1">
        <v>7.5106230699999998E-3</v>
      </c>
    </row>
    <row r="978" spans="29:29" x14ac:dyDescent="0.2">
      <c r="AC978" s="1">
        <v>7.5105538939999996E-3</v>
      </c>
    </row>
    <row r="979" spans="29:29" x14ac:dyDescent="0.2">
      <c r="AC979" s="1">
        <v>7.510484861E-3</v>
      </c>
    </row>
    <row r="980" spans="29:29" x14ac:dyDescent="0.2">
      <c r="AC980" s="1">
        <v>7.5104159710000003E-3</v>
      </c>
    </row>
    <row r="981" spans="29:29" x14ac:dyDescent="0.2">
      <c r="AC981" s="1">
        <v>7.5103472230000001E-3</v>
      </c>
    </row>
    <row r="982" spans="29:29" x14ac:dyDescent="0.2">
      <c r="AC982" s="1">
        <v>7.5102786159999997E-3</v>
      </c>
    </row>
    <row r="983" spans="29:29" x14ac:dyDescent="0.2">
      <c r="AC983" s="1">
        <v>7.5102101509999996E-3</v>
      </c>
    </row>
    <row r="984" spans="29:29" x14ac:dyDescent="0.2">
      <c r="AC984" s="1">
        <v>7.5101418270000003E-3</v>
      </c>
    </row>
    <row r="985" spans="29:29" x14ac:dyDescent="0.2">
      <c r="AC985" s="1">
        <v>7.5100736430000004E-3</v>
      </c>
    </row>
    <row r="986" spans="29:29" x14ac:dyDescent="0.2">
      <c r="AC986" s="1">
        <v>7.5100056000000004E-3</v>
      </c>
    </row>
    <row r="987" spans="29:29" x14ac:dyDescent="0.2">
      <c r="AC987" s="1">
        <v>7.5099376949999998E-3</v>
      </c>
    </row>
    <row r="988" spans="29:29" x14ac:dyDescent="0.2">
      <c r="AC988" s="1">
        <v>7.5098699300000004E-3</v>
      </c>
    </row>
    <row r="989" spans="29:29" x14ac:dyDescent="0.2">
      <c r="AC989" s="1">
        <v>7.509802304E-3</v>
      </c>
    </row>
    <row r="990" spans="29:29" x14ac:dyDescent="0.2">
      <c r="AC990" s="1">
        <v>7.5097348159999999E-3</v>
      </c>
    </row>
    <row r="991" spans="29:29" x14ac:dyDescent="0.2">
      <c r="AC991" s="1">
        <v>7.5096674660000001E-3</v>
      </c>
    </row>
    <row r="992" spans="29:29" x14ac:dyDescent="0.2">
      <c r="AC992" s="1">
        <v>7.5096002530000002E-3</v>
      </c>
    </row>
    <row r="993" spans="29:29" x14ac:dyDescent="0.2">
      <c r="AC993" s="1">
        <v>7.5095331779999998E-3</v>
      </c>
    </row>
    <row r="994" spans="29:29" x14ac:dyDescent="0.2">
      <c r="AC994" s="1">
        <v>7.5094662389999997E-3</v>
      </c>
    </row>
    <row r="995" spans="29:29" x14ac:dyDescent="0.2">
      <c r="AC995" s="1">
        <v>7.5093994359999999E-3</v>
      </c>
    </row>
    <row r="996" spans="29:29" x14ac:dyDescent="0.2">
      <c r="AC996" s="1">
        <v>7.5093327689999996E-3</v>
      </c>
    </row>
    <row r="997" spans="29:29" x14ac:dyDescent="0.2">
      <c r="AC997" s="1">
        <v>7.509266237E-3</v>
      </c>
    </row>
    <row r="998" spans="29:29" x14ac:dyDescent="0.2">
      <c r="AC998" s="1">
        <v>7.5091998409999999E-3</v>
      </c>
    </row>
    <row r="999" spans="29:29" x14ac:dyDescent="0.2">
      <c r="AC999" s="1">
        <v>7.5091335790000002E-3</v>
      </c>
    </row>
    <row r="1000" spans="29:29" x14ac:dyDescent="0.2">
      <c r="AC1000" s="1">
        <v>7.5090674509999998E-3</v>
      </c>
    </row>
    <row r="1001" spans="29:29" x14ac:dyDescent="0.2">
      <c r="AC1001" s="1">
        <v>7.5090014560000003E-3</v>
      </c>
    </row>
    <row r="1002" spans="29:29" x14ac:dyDescent="0.2">
      <c r="AC1002" s="1">
        <v>7.5089355950000002E-3</v>
      </c>
    </row>
    <row r="1003" spans="29:29" x14ac:dyDescent="0.2">
      <c r="AC1003" s="1">
        <v>7.5088698670000001E-3</v>
      </c>
    </row>
    <row r="1004" spans="29:29" x14ac:dyDescent="0.2">
      <c r="AC1004" s="1">
        <v>7.5088042719999998E-3</v>
      </c>
    </row>
    <row r="1005" spans="29:29" x14ac:dyDescent="0.2">
      <c r="AC1005" s="1">
        <v>7.5087388080000003E-3</v>
      </c>
    </row>
    <row r="1006" spans="29:29" x14ac:dyDescent="0.2">
      <c r="AC1006" s="1">
        <v>7.5086734769999998E-3</v>
      </c>
    </row>
    <row r="1007" spans="29:29" x14ac:dyDescent="0.2">
      <c r="AC1007" s="1">
        <v>7.5086082759999997E-3</v>
      </c>
    </row>
    <row r="1008" spans="29:29" x14ac:dyDescent="0.2">
      <c r="AC1008" s="1">
        <v>7.5085432069999999E-3</v>
      </c>
    </row>
    <row r="1009" spans="29:29" x14ac:dyDescent="0.2">
      <c r="AC1009" s="1">
        <v>7.5084782679999997E-3</v>
      </c>
    </row>
    <row r="1010" spans="29:29" x14ac:dyDescent="0.2">
      <c r="AC1010" s="1">
        <v>7.5084134589999997E-3</v>
      </c>
    </row>
    <row r="1011" spans="29:29" x14ac:dyDescent="0.2">
      <c r="AC1011" s="1">
        <v>7.5083487800000001E-3</v>
      </c>
    </row>
    <row r="1012" spans="29:29" x14ac:dyDescent="0.2">
      <c r="AC1012" s="1">
        <v>7.508284231E-3</v>
      </c>
    </row>
    <row r="1013" spans="29:29" x14ac:dyDescent="0.2">
      <c r="AC1013" s="1">
        <v>7.5082198100000002E-3</v>
      </c>
    </row>
    <row r="1014" spans="29:29" x14ac:dyDescent="0.2">
      <c r="AC1014" s="1">
        <v>7.5081555180000004E-3</v>
      </c>
    </row>
    <row r="1015" spans="29:29" x14ac:dyDescent="0.2">
      <c r="AC1015" s="1">
        <v>7.508091354E-3</v>
      </c>
    </row>
    <row r="1016" spans="29:29" x14ac:dyDescent="0.2">
      <c r="AC1016" s="1">
        <v>7.508027318E-3</v>
      </c>
    </row>
    <row r="1017" spans="29:29" x14ac:dyDescent="0.2">
      <c r="AC1017" s="1">
        <v>7.5079634100000004E-3</v>
      </c>
    </row>
    <row r="1018" spans="29:29" x14ac:dyDescent="0.2">
      <c r="AC1018" s="1">
        <v>7.5078996280000003E-3</v>
      </c>
    </row>
    <row r="1019" spans="29:29" x14ac:dyDescent="0.2">
      <c r="AC1019" s="1">
        <v>7.507835973E-3</v>
      </c>
    </row>
    <row r="1020" spans="29:29" x14ac:dyDescent="0.2">
      <c r="AC1020" s="1">
        <v>7.5077724449999998E-3</v>
      </c>
    </row>
    <row r="1021" spans="29:29" x14ac:dyDescent="0.2">
      <c r="AC1021" s="1">
        <v>7.5077090420000003E-3</v>
      </c>
    </row>
    <row r="1022" spans="29:29" x14ac:dyDescent="0.2">
      <c r="AC1022" s="1">
        <v>7.5076457650000003E-3</v>
      </c>
    </row>
    <row r="1023" spans="29:29" x14ac:dyDescent="0.2">
      <c r="AC1023" s="1">
        <v>7.5075826130000002E-3</v>
      </c>
    </row>
    <row r="1024" spans="29:29" x14ac:dyDescent="0.2">
      <c r="AC1024" s="1">
        <v>7.5075195860000001E-3</v>
      </c>
    </row>
    <row r="1025" spans="29:29" x14ac:dyDescent="0.2">
      <c r="AC1025" s="1">
        <v>7.5074566830000003E-3</v>
      </c>
    </row>
    <row r="1026" spans="29:29" x14ac:dyDescent="0.2">
      <c r="AC1026" s="1">
        <v>7.5073939049999996E-3</v>
      </c>
    </row>
    <row r="1027" spans="29:29" x14ac:dyDescent="0.2">
      <c r="AC1027" s="1">
        <v>7.5073312499999998E-3</v>
      </c>
    </row>
    <row r="1028" spans="29:29" x14ac:dyDescent="0.2">
      <c r="AC1028" s="1">
        <v>7.5072687179999998E-3</v>
      </c>
    </row>
    <row r="1029" spans="29:29" x14ac:dyDescent="0.2">
      <c r="AC1029" s="1">
        <v>7.5072063100000003E-3</v>
      </c>
    </row>
    <row r="1030" spans="29:29" x14ac:dyDescent="0.2">
      <c r="AC1030" s="1">
        <v>7.5071440240000002E-3</v>
      </c>
    </row>
    <row r="1031" spans="29:29" x14ac:dyDescent="0.2">
      <c r="AC1031" s="1">
        <v>7.5070818599999997E-3</v>
      </c>
    </row>
    <row r="1032" spans="29:29" x14ac:dyDescent="0.2">
      <c r="AC1032" s="1">
        <v>7.5070198180000004E-3</v>
      </c>
    </row>
    <row r="1033" spans="29:29" x14ac:dyDescent="0.2">
      <c r="AC1033" s="1">
        <v>7.5069578979999997E-3</v>
      </c>
    </row>
    <row r="1034" spans="29:29" x14ac:dyDescent="0.2">
      <c r="AC1034" s="1">
        <v>7.5068960989999999E-3</v>
      </c>
    </row>
    <row r="1035" spans="29:29" x14ac:dyDescent="0.2">
      <c r="AC1035" s="1">
        <v>7.506834421E-3</v>
      </c>
    </row>
    <row r="1036" spans="29:29" x14ac:dyDescent="0.2">
      <c r="AC1036" s="1">
        <v>7.5067728629999997E-3</v>
      </c>
    </row>
    <row r="1037" spans="29:29" x14ac:dyDescent="0.2">
      <c r="AC1037" s="1">
        <v>7.5067114249999997E-3</v>
      </c>
    </row>
    <row r="1038" spans="29:29" x14ac:dyDescent="0.2">
      <c r="AC1038" s="1">
        <v>7.5066501079999997E-3</v>
      </c>
    </row>
    <row r="1039" spans="29:29" x14ac:dyDescent="0.2">
      <c r="AC1039" s="1">
        <v>7.5065889090000001E-3</v>
      </c>
    </row>
    <row r="1040" spans="29:29" x14ac:dyDescent="0.2">
      <c r="AC1040" s="1">
        <v>7.50652783E-3</v>
      </c>
    </row>
    <row r="1041" spans="29:29" x14ac:dyDescent="0.2">
      <c r="AC1041" s="1">
        <v>7.5064668690000003E-3</v>
      </c>
    </row>
    <row r="1042" spans="29:29" x14ac:dyDescent="0.2">
      <c r="AC1042" s="1">
        <v>7.5064060269999996E-3</v>
      </c>
    </row>
    <row r="1043" spans="29:29" x14ac:dyDescent="0.2">
      <c r="AC1043" s="1">
        <v>7.5063453019999999E-3</v>
      </c>
    </row>
    <row r="1044" spans="29:29" x14ac:dyDescent="0.2">
      <c r="AC1044" s="1">
        <v>7.506284696E-3</v>
      </c>
    </row>
    <row r="1045" spans="29:29" x14ac:dyDescent="0.2">
      <c r="AC1045" s="1">
        <v>7.5062242059999998E-3</v>
      </c>
    </row>
    <row r="1046" spans="29:29" x14ac:dyDescent="0.2">
      <c r="AC1046" s="1">
        <v>7.5061638339999999E-3</v>
      </c>
    </row>
    <row r="1047" spans="29:29" x14ac:dyDescent="0.2">
      <c r="AC1047" s="1">
        <v>7.5061035789999999E-3</v>
      </c>
    </row>
    <row r="1048" spans="29:29" x14ac:dyDescent="0.2">
      <c r="AC1048" s="1">
        <v>7.506043439E-3</v>
      </c>
    </row>
    <row r="1049" spans="29:29" x14ac:dyDescent="0.2">
      <c r="AC1049" s="1">
        <v>7.505983416E-3</v>
      </c>
    </row>
    <row r="1050" spans="29:29" x14ac:dyDescent="0.2">
      <c r="AC1050" s="1">
        <v>7.505923508E-3</v>
      </c>
    </row>
    <row r="1051" spans="29:29" x14ac:dyDescent="0.2">
      <c r="AC1051" s="1">
        <v>7.5058637160000004E-3</v>
      </c>
    </row>
    <row r="1052" spans="29:29" x14ac:dyDescent="0.2">
      <c r="AC1052" s="1">
        <v>7.5058040389999999E-3</v>
      </c>
    </row>
    <row r="1053" spans="29:29" x14ac:dyDescent="0.2">
      <c r="AC1053" s="1">
        <v>7.5057444759999998E-3</v>
      </c>
    </row>
    <row r="1054" spans="29:29" x14ac:dyDescent="0.2">
      <c r="AC1054" s="1">
        <v>7.5056850279999997E-3</v>
      </c>
    </row>
    <row r="1055" spans="29:29" x14ac:dyDescent="0.2">
      <c r="AC1055" s="1">
        <v>7.505625694E-3</v>
      </c>
    </row>
    <row r="1056" spans="29:29" x14ac:dyDescent="0.2">
      <c r="AC1056" s="1">
        <v>7.5055664730000003E-3</v>
      </c>
    </row>
    <row r="1057" spans="29:29" x14ac:dyDescent="0.2">
      <c r="AC1057" s="1">
        <v>7.5055073660000001E-3</v>
      </c>
    </row>
    <row r="1058" spans="29:29" x14ac:dyDescent="0.2">
      <c r="AC1058" s="1">
        <v>7.5054483710000003E-3</v>
      </c>
    </row>
    <row r="1059" spans="29:29" x14ac:dyDescent="0.2">
      <c r="AC1059" s="1">
        <v>7.5053894900000001E-3</v>
      </c>
    </row>
    <row r="1060" spans="29:29" x14ac:dyDescent="0.2">
      <c r="AC1060" s="1">
        <v>7.5053307210000003E-3</v>
      </c>
    </row>
    <row r="1061" spans="29:29" x14ac:dyDescent="0.2">
      <c r="AC1061" s="1">
        <v>7.5052720629999996E-3</v>
      </c>
    </row>
    <row r="1062" spans="29:29" x14ac:dyDescent="0.2">
      <c r="AC1062" s="1">
        <v>7.5052135179999998E-3</v>
      </c>
    </row>
    <row r="1063" spans="29:29" x14ac:dyDescent="0.2">
      <c r="AC1063" s="1">
        <v>7.505155084E-3</v>
      </c>
    </row>
    <row r="1064" spans="29:29" x14ac:dyDescent="0.2">
      <c r="AC1064" s="1">
        <v>7.5050967610000002E-3</v>
      </c>
    </row>
    <row r="1065" spans="29:29" x14ac:dyDescent="0.2">
      <c r="AC1065" s="1">
        <v>7.5050385490000003E-3</v>
      </c>
    </row>
    <row r="1066" spans="29:29" x14ac:dyDescent="0.2">
      <c r="AC1066" s="1">
        <v>7.504980447E-3</v>
      </c>
    </row>
    <row r="1067" spans="29:29" x14ac:dyDescent="0.2">
      <c r="AC1067" s="1">
        <v>7.5049224559999997E-3</v>
      </c>
    </row>
    <row r="1068" spans="29:29" x14ac:dyDescent="0.2">
      <c r="AC1068" s="1">
        <v>7.5048645740000003E-3</v>
      </c>
    </row>
    <row r="1069" spans="29:29" x14ac:dyDescent="0.2">
      <c r="AC1069" s="1">
        <v>7.5048068020000004E-3</v>
      </c>
    </row>
    <row r="1070" spans="29:29" x14ac:dyDescent="0.2">
      <c r="AC1070" s="1">
        <v>7.5047491389999997E-3</v>
      </c>
    </row>
    <row r="1071" spans="29:29" x14ac:dyDescent="0.2">
      <c r="AC1071" s="1">
        <v>7.5046915849999998E-3</v>
      </c>
    </row>
    <row r="1072" spans="29:29" x14ac:dyDescent="0.2">
      <c r="AC1072" s="1">
        <v>7.5046341390000004E-3</v>
      </c>
    </row>
    <row r="1073" spans="29:29" x14ac:dyDescent="0.2">
      <c r="AC1073" s="1">
        <v>7.504576802E-3</v>
      </c>
    </row>
    <row r="1074" spans="29:29" x14ac:dyDescent="0.2">
      <c r="AC1074" s="1">
        <v>7.5045195730000002E-3</v>
      </c>
    </row>
    <row r="1075" spans="29:29" x14ac:dyDescent="0.2">
      <c r="AC1075" s="1">
        <v>7.5044624510000003E-3</v>
      </c>
    </row>
    <row r="1076" spans="29:29" x14ac:dyDescent="0.2">
      <c r="AC1076" s="1">
        <v>7.504405437E-3</v>
      </c>
    </row>
    <row r="1077" spans="29:29" x14ac:dyDescent="0.2">
      <c r="AC1077" s="1">
        <v>7.5043485299999997E-3</v>
      </c>
    </row>
    <row r="1078" spans="29:29" x14ac:dyDescent="0.2">
      <c r="AC1078" s="1">
        <v>7.5042917300000003E-3</v>
      </c>
    </row>
    <row r="1079" spans="29:29" x14ac:dyDescent="0.2">
      <c r="AC1079" s="1">
        <v>7.5042350359999996E-3</v>
      </c>
    </row>
    <row r="1080" spans="29:29" x14ac:dyDescent="0.2">
      <c r="AC1080" s="1">
        <v>7.5041784480000002E-3</v>
      </c>
    </row>
    <row r="1081" spans="29:29" x14ac:dyDescent="0.2">
      <c r="AC1081" s="1">
        <v>7.5041219660000004E-3</v>
      </c>
    </row>
    <row r="1082" spans="29:29" x14ac:dyDescent="0.2">
      <c r="AC1082" s="1">
        <v>7.5040655900000001E-3</v>
      </c>
    </row>
    <row r="1083" spans="29:29" x14ac:dyDescent="0.2">
      <c r="AC1083" s="1">
        <v>7.5040093189999999E-3</v>
      </c>
    </row>
    <row r="1084" spans="29:29" x14ac:dyDescent="0.2">
      <c r="AC1084" s="1">
        <v>7.5039531529999997E-3</v>
      </c>
    </row>
    <row r="1085" spans="29:29" x14ac:dyDescent="0.2">
      <c r="AC1085" s="1">
        <v>7.5038970920000003E-3</v>
      </c>
    </row>
    <row r="1086" spans="29:29" x14ac:dyDescent="0.2">
      <c r="AC1086" s="1">
        <v>7.5038411349999997E-3</v>
      </c>
    </row>
    <row r="1087" spans="29:29" x14ac:dyDescent="0.2">
      <c r="AC1087" s="1">
        <v>7.503785283E-3</v>
      </c>
    </row>
    <row r="1088" spans="29:29" x14ac:dyDescent="0.2">
      <c r="AC1088" s="1">
        <v>7.5037295340000002E-3</v>
      </c>
    </row>
    <row r="1089" spans="29:29" x14ac:dyDescent="0.2">
      <c r="AC1089" s="1">
        <v>7.5036738879999997E-3</v>
      </c>
    </row>
    <row r="1090" spans="29:29" x14ac:dyDescent="0.2">
      <c r="AC1090" s="1">
        <v>7.5036183459999996E-3</v>
      </c>
    </row>
    <row r="1091" spans="29:29" x14ac:dyDescent="0.2">
      <c r="AC1091" s="1">
        <v>7.5035629070000004E-3</v>
      </c>
    </row>
    <row r="1092" spans="29:29" x14ac:dyDescent="0.2">
      <c r="AC1092" s="1">
        <v>7.5035075699999999E-3</v>
      </c>
    </row>
    <row r="1093" spans="29:29" x14ac:dyDescent="0.2">
      <c r="AC1093" s="1">
        <v>7.5034523360000003E-3</v>
      </c>
    </row>
    <row r="1094" spans="29:29" x14ac:dyDescent="0.2">
      <c r="AC1094" s="1">
        <v>7.5033972040000002E-3</v>
      </c>
    </row>
    <row r="1095" spans="29:29" x14ac:dyDescent="0.2">
      <c r="AC1095" s="1">
        <v>7.5033421739999998E-3</v>
      </c>
    </row>
    <row r="1096" spans="29:29" x14ac:dyDescent="0.2">
      <c r="AC1096" s="1">
        <v>7.5032872450000003E-3</v>
      </c>
    </row>
    <row r="1097" spans="29:29" x14ac:dyDescent="0.2">
      <c r="AC1097" s="1">
        <v>7.5032324180000004E-3</v>
      </c>
    </row>
    <row r="1098" spans="29:29" x14ac:dyDescent="0.2">
      <c r="AC1098" s="1">
        <v>7.503177691E-3</v>
      </c>
    </row>
    <row r="1099" spans="29:29" x14ac:dyDescent="0.2">
      <c r="AC1099" s="1">
        <v>7.5031230660000002E-3</v>
      </c>
    </row>
    <row r="1100" spans="29:29" x14ac:dyDescent="0.2">
      <c r="AC1100" s="1">
        <v>7.5030685400000003E-3</v>
      </c>
    </row>
    <row r="1101" spans="29:29" x14ac:dyDescent="0.2">
      <c r="AC1101" s="1">
        <v>7.5030141149999997E-3</v>
      </c>
    </row>
    <row r="1102" spans="29:29" x14ac:dyDescent="0.2">
      <c r="AC1102" s="1">
        <v>7.5029597900000003E-3</v>
      </c>
    </row>
    <row r="1103" spans="29:29" x14ac:dyDescent="0.2">
      <c r="AC1103" s="1">
        <v>7.5029055640000002E-3</v>
      </c>
    </row>
    <row r="1104" spans="29:29" x14ac:dyDescent="0.2">
      <c r="AC1104" s="1">
        <v>7.502851437E-3</v>
      </c>
    </row>
    <row r="1105" spans="29:29" x14ac:dyDescent="0.2">
      <c r="AC1105" s="1">
        <v>7.5027974100000004E-3</v>
      </c>
    </row>
    <row r="1106" spans="29:29" x14ac:dyDescent="0.2">
      <c r="AC1106" s="1">
        <v>7.5027434810000003E-3</v>
      </c>
    </row>
    <row r="1107" spans="29:29" x14ac:dyDescent="0.2">
      <c r="AC1107" s="1">
        <v>7.5026896510000003E-3</v>
      </c>
    </row>
    <row r="1108" spans="29:29" x14ac:dyDescent="0.2">
      <c r="AC1108" s="1">
        <v>7.5026359189999999E-3</v>
      </c>
    </row>
    <row r="1109" spans="29:29" x14ac:dyDescent="0.2">
      <c r="AC1109" s="1">
        <v>7.502582285E-3</v>
      </c>
    </row>
    <row r="1110" spans="29:29" x14ac:dyDescent="0.2">
      <c r="AC1110" s="1">
        <v>7.5025287489999997E-3</v>
      </c>
    </row>
    <row r="1111" spans="29:29" x14ac:dyDescent="0.2">
      <c r="AC1111" s="1">
        <v>7.5024753100000003E-3</v>
      </c>
    </row>
    <row r="1112" spans="29:29" x14ac:dyDescent="0.2">
      <c r="AC1112" s="1">
        <v>7.5024219689999996E-3</v>
      </c>
    </row>
    <row r="1113" spans="29:29" x14ac:dyDescent="0.2">
      <c r="AC1113" s="1">
        <v>7.5023687240000003E-3</v>
      </c>
    </row>
    <row r="1114" spans="29:29" x14ac:dyDescent="0.2">
      <c r="AC1114" s="1">
        <v>7.5023155760000002E-3</v>
      </c>
    </row>
    <row r="1115" spans="29:29" x14ac:dyDescent="0.2">
      <c r="AC1115" s="1">
        <v>7.5022625239999996E-3</v>
      </c>
    </row>
    <row r="1116" spans="29:29" x14ac:dyDescent="0.2">
      <c r="AC1116" s="1">
        <v>7.502209569E-3</v>
      </c>
    </row>
    <row r="1117" spans="29:29" x14ac:dyDescent="0.2">
      <c r="AC1117" s="1">
        <v>7.5021567089999996E-3</v>
      </c>
    </row>
    <row r="1118" spans="29:29" x14ac:dyDescent="0.2">
      <c r="AC1118" s="1">
        <v>7.5021039449999997E-3</v>
      </c>
    </row>
    <row r="1119" spans="29:29" x14ac:dyDescent="0.2">
      <c r="AC1119" s="1">
        <v>7.5020512759999998E-3</v>
      </c>
    </row>
    <row r="1120" spans="29:29" x14ac:dyDescent="0.2">
      <c r="AC1120" s="1">
        <v>7.501998702E-3</v>
      </c>
    </row>
    <row r="1121" spans="29:29" x14ac:dyDescent="0.2">
      <c r="AC1121" s="1">
        <v>7.5019462230000002E-3</v>
      </c>
    </row>
    <row r="1122" spans="29:29" x14ac:dyDescent="0.2">
      <c r="AC1122" s="1">
        <v>7.5018938389999996E-3</v>
      </c>
    </row>
    <row r="1123" spans="29:29" x14ac:dyDescent="0.2">
      <c r="AC1123" s="1">
        <v>7.5018415490000004E-3</v>
      </c>
    </row>
    <row r="1124" spans="29:29" x14ac:dyDescent="0.2">
      <c r="AC1124" s="1">
        <v>7.5017893529999999E-3</v>
      </c>
    </row>
    <row r="1125" spans="29:29" x14ac:dyDescent="0.2">
      <c r="AC1125" s="1">
        <v>7.5017372500000004E-3</v>
      </c>
    </row>
    <row r="1126" spans="29:29" x14ac:dyDescent="0.2">
      <c r="AC1126" s="1">
        <v>7.501685242E-3</v>
      </c>
    </row>
    <row r="1127" spans="29:29" x14ac:dyDescent="0.2">
      <c r="AC1127" s="1">
        <v>7.5016333260000002E-3</v>
      </c>
    </row>
    <row r="1128" spans="29:29" x14ac:dyDescent="0.2">
      <c r="AC1128" s="1">
        <v>7.5015815039999999E-3</v>
      </c>
    </row>
    <row r="1129" spans="29:29" x14ac:dyDescent="0.2">
      <c r="AC1129" s="1">
        <v>7.5015297740000002E-3</v>
      </c>
    </row>
    <row r="1130" spans="29:29" x14ac:dyDescent="0.2">
      <c r="AC1130" s="1">
        <v>7.5014781369999997E-3</v>
      </c>
    </row>
    <row r="1131" spans="29:29" x14ac:dyDescent="0.2">
      <c r="AC1131" s="1">
        <v>7.5014265930000001E-3</v>
      </c>
    </row>
    <row r="1132" spans="29:29" x14ac:dyDescent="0.2">
      <c r="AC1132" s="1">
        <v>7.5013751399999997E-3</v>
      </c>
    </row>
    <row r="1133" spans="29:29" x14ac:dyDescent="0.2">
      <c r="AC1133" s="1">
        <v>7.5013237789999998E-3</v>
      </c>
    </row>
    <row r="1134" spans="29:29" x14ac:dyDescent="0.2">
      <c r="AC1134" s="1">
        <v>7.5012725100000004E-3</v>
      </c>
    </row>
    <row r="1135" spans="29:29" x14ac:dyDescent="0.2">
      <c r="AC1135" s="1">
        <v>7.5012213320000002E-3</v>
      </c>
    </row>
    <row r="1136" spans="29:29" x14ac:dyDescent="0.2">
      <c r="AC1136" s="1">
        <v>7.501170245E-3</v>
      </c>
    </row>
    <row r="1137" spans="29:29" x14ac:dyDescent="0.2">
      <c r="AC1137" s="1">
        <v>7.501119249E-3</v>
      </c>
    </row>
    <row r="1138" spans="29:29" x14ac:dyDescent="0.2">
      <c r="AC1138" s="1">
        <v>7.5010683430000004E-3</v>
      </c>
    </row>
    <row r="1139" spans="29:29" x14ac:dyDescent="0.2">
      <c r="AC1139" s="1">
        <v>7.5010175280000001E-3</v>
      </c>
    </row>
    <row r="1140" spans="29:29" x14ac:dyDescent="0.2">
      <c r="AC1140" s="1">
        <v>7.5009668030000002E-3</v>
      </c>
    </row>
    <row r="1141" spans="29:29" x14ac:dyDescent="0.2">
      <c r="AC1141" s="1">
        <v>7.5009161669999996E-3</v>
      </c>
    </row>
    <row r="1142" spans="29:29" x14ac:dyDescent="0.2">
      <c r="AC1142" s="1">
        <v>7.5008656219999999E-3</v>
      </c>
    </row>
    <row r="1143" spans="29:29" x14ac:dyDescent="0.2">
      <c r="AC1143" s="1">
        <v>7.5008151660000003E-3</v>
      </c>
    </row>
    <row r="1144" spans="29:29" x14ac:dyDescent="0.2">
      <c r="AC1144" s="1">
        <v>7.5007647980000003E-3</v>
      </c>
    </row>
    <row r="1145" spans="29:29" x14ac:dyDescent="0.2">
      <c r="AC1145" s="1">
        <v>7.50071452E-3</v>
      </c>
    </row>
    <row r="1146" spans="29:29" x14ac:dyDescent="0.2">
      <c r="AC1146" s="1">
        <v>7.5006643309999997E-3</v>
      </c>
    </row>
    <row r="1147" spans="29:29" x14ac:dyDescent="0.2">
      <c r="AC1147" s="1">
        <v>7.50061423E-3</v>
      </c>
    </row>
    <row r="1148" spans="29:29" x14ac:dyDescent="0.2">
      <c r="AC1148" s="1">
        <v>7.5005642169999999E-3</v>
      </c>
    </row>
    <row r="1149" spans="29:29" x14ac:dyDescent="0.2">
      <c r="AC1149" s="1">
        <v>7.5005142920000004E-3</v>
      </c>
    </row>
    <row r="1150" spans="29:29" x14ac:dyDescent="0.2">
      <c r="AC1150" s="1">
        <v>7.5004644549999996E-3</v>
      </c>
    </row>
    <row r="1151" spans="29:29" x14ac:dyDescent="0.2">
      <c r="AC1151" s="1">
        <v>7.5004147049999997E-3</v>
      </c>
    </row>
    <row r="1152" spans="29:29" x14ac:dyDescent="0.2">
      <c r="AC1152" s="1">
        <v>7.5003650430000004E-3</v>
      </c>
    </row>
    <row r="1153" spans="29:29" x14ac:dyDescent="0.2">
      <c r="AC1153" s="1">
        <v>7.5003154680000003E-3</v>
      </c>
    </row>
    <row r="1154" spans="29:29" x14ac:dyDescent="0.2">
      <c r="AC1154" s="1">
        <v>7.5002659789999999E-3</v>
      </c>
    </row>
    <row r="1155" spans="29:29" x14ac:dyDescent="0.2">
      <c r="AC1155" s="1">
        <v>7.5002165770000004E-3</v>
      </c>
    </row>
    <row r="1156" spans="29:29" x14ac:dyDescent="0.2">
      <c r="AC1156" s="1">
        <v>7.5001672620000001E-3</v>
      </c>
    </row>
    <row r="1157" spans="29:29" x14ac:dyDescent="0.2">
      <c r="AC1157" s="1">
        <v>7.5001180319999999E-3</v>
      </c>
    </row>
    <row r="1158" spans="29:29" x14ac:dyDescent="0.2">
      <c r="AC1158" s="1">
        <v>7.5000688889999998E-3</v>
      </c>
    </row>
    <row r="1159" spans="29:29" x14ac:dyDescent="0.2">
      <c r="AC1159" s="1">
        <v>7.5000198309999998E-3</v>
      </c>
    </row>
    <row r="1160" spans="29:29" x14ac:dyDescent="0.2">
      <c r="AC1160" s="1">
        <v>7.4999708590000004E-3</v>
      </c>
    </row>
    <row r="1161" spans="29:29" x14ac:dyDescent="0.2">
      <c r="AC1161" s="1">
        <v>7.4999219720000001E-3</v>
      </c>
    </row>
    <row r="1162" spans="29:29" x14ac:dyDescent="0.2">
      <c r="AC1162" s="1">
        <v>7.49987317E-3</v>
      </c>
    </row>
    <row r="1163" spans="29:29" x14ac:dyDescent="0.2">
      <c r="AC1163" s="1">
        <v>7.4998244529999999E-3</v>
      </c>
    </row>
    <row r="1164" spans="29:29" x14ac:dyDescent="0.2">
      <c r="AC1164" s="1">
        <v>7.4997758200000004E-3</v>
      </c>
    </row>
    <row r="1165" spans="29:29" x14ac:dyDescent="0.2">
      <c r="AC1165" s="1">
        <v>7.4997272720000001E-3</v>
      </c>
    </row>
    <row r="1166" spans="29:29" x14ac:dyDescent="0.2">
      <c r="AC1166" s="1">
        <v>7.4996788080000003E-3</v>
      </c>
    </row>
    <row r="1167" spans="29:29" x14ac:dyDescent="0.2">
      <c r="AC1167" s="1">
        <v>7.4996304269999998E-3</v>
      </c>
    </row>
    <row r="1168" spans="29:29" x14ac:dyDescent="0.2">
      <c r="AC1168" s="1">
        <v>7.4995821310000002E-3</v>
      </c>
    </row>
    <row r="1169" spans="29:29" x14ac:dyDescent="0.2">
      <c r="AC1169" s="1">
        <v>7.4995339179999999E-3</v>
      </c>
    </row>
    <row r="1170" spans="29:29" x14ac:dyDescent="0.2">
      <c r="AC1170" s="1">
        <v>7.4994857879999996E-3</v>
      </c>
    </row>
    <row r="1171" spans="29:29" x14ac:dyDescent="0.2">
      <c r="AC1171" s="1">
        <v>7.4994377419999999E-3</v>
      </c>
    </row>
    <row r="1172" spans="29:29" x14ac:dyDescent="0.2">
      <c r="AC1172" s="1">
        <v>7.4993897779999999E-3</v>
      </c>
    </row>
    <row r="1173" spans="29:29" x14ac:dyDescent="0.2">
      <c r="AC1173" s="1">
        <v>7.499341897E-3</v>
      </c>
    </row>
    <row r="1174" spans="29:29" x14ac:dyDescent="0.2">
      <c r="AC1174" s="1">
        <v>7.4992940979999997E-3</v>
      </c>
    </row>
    <row r="1175" spans="29:29" x14ac:dyDescent="0.2">
      <c r="AC1175" s="1">
        <v>7.499246381E-3</v>
      </c>
    </row>
    <row r="1176" spans="29:29" x14ac:dyDescent="0.2">
      <c r="AC1176" s="1">
        <v>7.4991987470000004E-3</v>
      </c>
    </row>
    <row r="1177" spans="29:29" x14ac:dyDescent="0.2">
      <c r="AC1177" s="1">
        <v>7.499151194E-3</v>
      </c>
    </row>
    <row r="1178" spans="29:29" x14ac:dyDescent="0.2">
      <c r="AC1178" s="1">
        <v>7.4991037219999997E-3</v>
      </c>
    </row>
    <row r="1179" spans="29:29" x14ac:dyDescent="0.2">
      <c r="AC1179" s="1">
        <v>7.499056332E-3</v>
      </c>
    </row>
    <row r="1180" spans="29:29" x14ac:dyDescent="0.2">
      <c r="AC1180" s="1">
        <v>7.499009024E-3</v>
      </c>
    </row>
    <row r="1181" spans="29:29" x14ac:dyDescent="0.2">
      <c r="AC1181" s="1">
        <v>7.4989617959999996E-3</v>
      </c>
    </row>
    <row r="1182" spans="29:29" x14ac:dyDescent="0.2">
      <c r="AC1182" s="1">
        <v>7.4989146490000002E-3</v>
      </c>
    </row>
    <row r="1183" spans="29:29" x14ac:dyDescent="0.2">
      <c r="AC1183" s="1">
        <v>7.498867583E-3</v>
      </c>
    </row>
    <row r="1184" spans="29:29" x14ac:dyDescent="0.2">
      <c r="AC1184" s="1">
        <v>7.4988205969999996E-3</v>
      </c>
    </row>
    <row r="1185" spans="29:29" x14ac:dyDescent="0.2">
      <c r="AC1185" s="1">
        <v>7.4987736909999997E-3</v>
      </c>
    </row>
    <row r="1186" spans="29:29" x14ac:dyDescent="0.2">
      <c r="AC1186" s="1">
        <v>7.4987268639999998E-3</v>
      </c>
    </row>
    <row r="1187" spans="29:29" x14ac:dyDescent="0.2">
      <c r="AC1187" s="1">
        <v>7.4986801180000002E-3</v>
      </c>
    </row>
    <row r="1188" spans="29:29" x14ac:dyDescent="0.2">
      <c r="AC1188" s="1">
        <v>7.4986334500000001E-3</v>
      </c>
    </row>
    <row r="1189" spans="29:29" x14ac:dyDescent="0.2">
      <c r="AC1189" s="1">
        <v>7.4985868619999998E-3</v>
      </c>
    </row>
    <row r="1190" spans="29:29" x14ac:dyDescent="0.2">
      <c r="AC1190" s="1">
        <v>7.498540352E-3</v>
      </c>
    </row>
    <row r="1191" spans="29:29" x14ac:dyDescent="0.2">
      <c r="AC1191" s="1">
        <v>7.498493922E-3</v>
      </c>
    </row>
    <row r="1192" spans="29:29" x14ac:dyDescent="0.2">
      <c r="AC1192" s="1">
        <v>7.498447571E-3</v>
      </c>
    </row>
    <row r="1193" spans="29:29" x14ac:dyDescent="0.2">
      <c r="AC1193" s="1">
        <v>7.4984012990000001E-3</v>
      </c>
    </row>
    <row r="1194" spans="29:29" x14ac:dyDescent="0.2">
      <c r="AC1194" s="1">
        <v>7.498355107E-3</v>
      </c>
    </row>
    <row r="1195" spans="29:29" x14ac:dyDescent="0.2">
      <c r="AC1195" s="1">
        <v>7.4983089939999999E-3</v>
      </c>
    </row>
    <row r="1196" spans="29:29" x14ac:dyDescent="0.2">
      <c r="AC1196" s="1">
        <v>7.4982629590000004E-3</v>
      </c>
    </row>
    <row r="1197" spans="29:29" x14ac:dyDescent="0.2">
      <c r="AC1197" s="1">
        <v>7.4982170010000002E-3</v>
      </c>
    </row>
    <row r="1198" spans="29:29" x14ac:dyDescent="0.2">
      <c r="AC1198" s="1">
        <v>7.4981711180000001E-3</v>
      </c>
    </row>
    <row r="1199" spans="29:29" x14ac:dyDescent="0.2">
      <c r="AC1199" s="1">
        <v>7.4981253100000001E-3</v>
      </c>
    </row>
    <row r="1200" spans="29:29" x14ac:dyDescent="0.2">
      <c r="AC1200" s="1">
        <v>7.4980795750000002E-3</v>
      </c>
    </row>
    <row r="1201" spans="29:29" x14ac:dyDescent="0.2">
      <c r="AC1201" s="1">
        <v>7.4980339120000001E-3</v>
      </c>
    </row>
    <row r="1202" spans="29:29" x14ac:dyDescent="0.2">
      <c r="AC1202" s="1">
        <v>7.4979883240000001E-3</v>
      </c>
    </row>
    <row r="1203" spans="29:29" x14ac:dyDescent="0.2">
      <c r="AC1203" s="1">
        <v>7.4979428170000003E-3</v>
      </c>
    </row>
    <row r="1204" spans="29:29" x14ac:dyDescent="0.2">
      <c r="AC1204" s="1">
        <v>7.4978973929999996E-3</v>
      </c>
    </row>
    <row r="1205" spans="29:29" x14ac:dyDescent="0.2">
      <c r="AC1205" s="1">
        <v>7.4978520559999999E-3</v>
      </c>
    </row>
    <row r="1206" spans="29:29" x14ac:dyDescent="0.2">
      <c r="AC1206" s="1">
        <v>7.4978068120000003E-3</v>
      </c>
    </row>
    <row r="1207" spans="29:29" x14ac:dyDescent="0.2">
      <c r="AC1207" s="1">
        <v>7.4977616600000003E-3</v>
      </c>
    </row>
    <row r="1208" spans="29:29" x14ac:dyDescent="0.2">
      <c r="AC1208" s="1">
        <v>7.4977165869999996E-3</v>
      </c>
    </row>
    <row r="1209" spans="29:29" x14ac:dyDescent="0.2">
      <c r="AC1209" s="1">
        <v>7.4976715789999999E-3</v>
      </c>
    </row>
    <row r="1210" spans="29:29" x14ac:dyDescent="0.2">
      <c r="AC1210" s="1">
        <v>7.4976266180000004E-3</v>
      </c>
    </row>
    <row r="1211" spans="29:29" x14ac:dyDescent="0.2">
      <c r="AC1211" s="1">
        <v>7.497581689E-3</v>
      </c>
    </row>
    <row r="1212" spans="29:29" x14ac:dyDescent="0.2">
      <c r="AC1212" s="1">
        <v>7.4975367769999999E-3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7:I60"/>
  <sheetViews>
    <sheetView workbookViewId="0">
      <selection activeCell="C7" sqref="C7:I60"/>
    </sheetView>
  </sheetViews>
  <sheetFormatPr defaultColWidth="11" defaultRowHeight="14.25" x14ac:dyDescent="0.2"/>
  <sheetData>
    <row r="7" spans="3:9" x14ac:dyDescent="0.2">
      <c r="D7">
        <v>0.25</v>
      </c>
      <c r="E7">
        <v>3.2600000000000003E-3</v>
      </c>
    </row>
    <row r="8" spans="3:9" x14ac:dyDescent="0.2">
      <c r="D8">
        <v>0.5</v>
      </c>
      <c r="E8">
        <v>3.2600000000000003E-3</v>
      </c>
    </row>
    <row r="9" spans="3:9" x14ac:dyDescent="0.2">
      <c r="D9">
        <v>0.75</v>
      </c>
      <c r="E9">
        <v>3.2600000000000003E-3</v>
      </c>
    </row>
    <row r="10" spans="3:9" x14ac:dyDescent="0.2">
      <c r="C10">
        <f>D10*12</f>
        <v>12</v>
      </c>
      <c r="D10">
        <v>1</v>
      </c>
      <c r="E10">
        <v>3.2600000000000003E-3</v>
      </c>
      <c r="F10" s="9">
        <f>E10</f>
        <v>3.2600000000000003E-3</v>
      </c>
      <c r="G10">
        <f>EXP(-E10*D10)</f>
        <v>0.99674530803037364</v>
      </c>
      <c r="H10">
        <f>VLOOKUP(C10,Output!B12:O731,14,FALSE)</f>
        <v>4.9959559243672818E-4</v>
      </c>
      <c r="I10" s="10">
        <f>(H10-F10)*10000</f>
        <v>-27.604044075632725</v>
      </c>
    </row>
    <row r="11" spans="3:9" x14ac:dyDescent="0.2">
      <c r="C11">
        <f t="shared" ref="C11:C60" si="0">D11*12</f>
        <v>24</v>
      </c>
      <c r="D11">
        <v>2</v>
      </c>
      <c r="E11">
        <v>3.7499999999999999E-3</v>
      </c>
      <c r="F11" s="9">
        <f>-LN(G11)/D11</f>
        <v>3.7438920976589152E-3</v>
      </c>
      <c r="G11">
        <f>(1-E11*SUM($G$10:G10))/(1+E11)</f>
        <v>0.99254017942205341</v>
      </c>
      <c r="H11">
        <f>VLOOKUP(C11,Output!B13:O732,14,FALSE)</f>
        <v>4.9770544571274783E-4</v>
      </c>
      <c r="I11" s="10">
        <f t="shared" ref="I11:I60" si="1">(H11-F11)*10000</f>
        <v>-32.461866519461672</v>
      </c>
    </row>
    <row r="12" spans="3:9" x14ac:dyDescent="0.2">
      <c r="C12">
        <f t="shared" si="0"/>
        <v>36</v>
      </c>
      <c r="D12">
        <v>3</v>
      </c>
      <c r="E12">
        <v>4.6899999999999997E-3</v>
      </c>
      <c r="F12" s="9">
        <f t="shared" ref="F12:F60" si="2">-LN(G12)/D12</f>
        <v>4.6841932897120813E-3</v>
      </c>
      <c r="G12">
        <f>(1-E12*SUM($G$10:G11))/(1+E12)</f>
        <v>0.98604569674610876</v>
      </c>
      <c r="H12">
        <f>VLOOKUP(C12,Output!B14:O733,14,FALSE)</f>
        <v>4.9683885268416686E-4</v>
      </c>
      <c r="I12" s="10">
        <f t="shared" si="1"/>
        <v>-41.873544370279149</v>
      </c>
    </row>
    <row r="13" spans="3:9" x14ac:dyDescent="0.2">
      <c r="C13">
        <f t="shared" si="0"/>
        <v>48</v>
      </c>
      <c r="D13">
        <v>4</v>
      </c>
      <c r="E13">
        <v>6.0400000000000002E-3</v>
      </c>
      <c r="F13" s="9">
        <f t="shared" si="2"/>
        <v>6.0390680432491134E-3</v>
      </c>
      <c r="G13">
        <f>(1-E13*SUM($G$10:G12))/(1+E13)</f>
        <v>0.97613315538889189</v>
      </c>
      <c r="H13">
        <f>VLOOKUP(C13,Output!B15:O734,14,FALSE)</f>
        <v>4.9502341117598631E-4</v>
      </c>
      <c r="I13" s="10">
        <f t="shared" si="1"/>
        <v>-55.440446320731269</v>
      </c>
    </row>
    <row r="14" spans="3:9" x14ac:dyDescent="0.2">
      <c r="C14">
        <f t="shared" si="0"/>
        <v>60</v>
      </c>
      <c r="D14">
        <v>5</v>
      </c>
      <c r="E14">
        <v>7.6600000000000001E-3</v>
      </c>
      <c r="F14" s="9">
        <f t="shared" si="2"/>
        <v>7.6733138183242263E-3</v>
      </c>
      <c r="G14">
        <f>(1-E14*SUM($G$10:G13))/(1+E14)</f>
        <v>0.96236010475632683</v>
      </c>
      <c r="H14">
        <f>VLOOKUP(C14,Output!B16:O735,14,FALSE)</f>
        <v>4.9344596409322053E-4</v>
      </c>
      <c r="I14" s="10">
        <f t="shared" si="1"/>
        <v>-71.798678542310057</v>
      </c>
    </row>
    <row r="15" spans="3:9" x14ac:dyDescent="0.2">
      <c r="C15">
        <f t="shared" si="0"/>
        <v>72</v>
      </c>
      <c r="D15">
        <v>6</v>
      </c>
      <c r="E15">
        <v>9.4799999999999988E-3</v>
      </c>
      <c r="F15" s="9">
        <f t="shared" si="2"/>
        <v>9.5230517818933134E-3</v>
      </c>
      <c r="G15">
        <f>(1-E15*SUM($G$10:G14))/(1+E15)</f>
        <v>0.94446343094228846</v>
      </c>
      <c r="H15">
        <f>VLOOKUP(C15,Output!B17:O736,14,FALSE)</f>
        <v>4.9197575624927833E-4</v>
      </c>
      <c r="I15" s="10">
        <f t="shared" si="1"/>
        <v>-90.310760256440346</v>
      </c>
    </row>
    <row r="16" spans="3:9" x14ac:dyDescent="0.2">
      <c r="C16">
        <f t="shared" si="0"/>
        <v>84</v>
      </c>
      <c r="D16">
        <v>7</v>
      </c>
      <c r="E16">
        <v>1.1240000000000002E-2</v>
      </c>
      <c r="F16" s="9">
        <f t="shared" si="2"/>
        <v>1.1327501412923532E-2</v>
      </c>
      <c r="G16">
        <f>(1-E16*SUM($G$10:G15))/(1+E16)</f>
        <v>0.92376967315551684</v>
      </c>
      <c r="H16">
        <f>VLOOKUP(C16,Output!B18:O737,14,FALSE)</f>
        <v>4.917119061483182E-4</v>
      </c>
      <c r="I16" s="10">
        <f t="shared" si="1"/>
        <v>-108.35789506775214</v>
      </c>
    </row>
    <row r="17" spans="3:9" x14ac:dyDescent="0.2">
      <c r="C17">
        <f t="shared" si="0"/>
        <v>96</v>
      </c>
      <c r="D17">
        <v>8</v>
      </c>
      <c r="E17">
        <v>1.2880000000000001E-2</v>
      </c>
      <c r="F17" s="9">
        <f t="shared" si="2"/>
        <v>1.3025470076147527E-2</v>
      </c>
      <c r="G17">
        <f>(1-E17*SUM($G$10:G16))/(1+E17)</f>
        <v>0.9010416819130328</v>
      </c>
      <c r="H17">
        <f>VLOOKUP(C17,Output!B19:O738,14,FALSE)</f>
        <v>6.5332430041982448E-4</v>
      </c>
      <c r="I17" s="10">
        <f t="shared" si="1"/>
        <v>-123.72145775727702</v>
      </c>
    </row>
    <row r="18" spans="3:9" x14ac:dyDescent="0.2">
      <c r="C18">
        <f t="shared" si="0"/>
        <v>108</v>
      </c>
      <c r="D18">
        <v>9</v>
      </c>
      <c r="E18">
        <v>1.4339999999999999E-2</v>
      </c>
      <c r="F18" s="9">
        <f t="shared" si="2"/>
        <v>1.4552149118111408E-2</v>
      </c>
      <c r="G18">
        <f>(1-E18*SUM($G$10:G17))/(1+E18)</f>
        <v>0.87724466849056049</v>
      </c>
      <c r="H18">
        <f>VLOOKUP(C18,Output!B20:O739,14,FALSE)</f>
        <v>1.6821571163003171E-3</v>
      </c>
      <c r="I18" s="10">
        <f t="shared" si="1"/>
        <v>-128.6999200181109</v>
      </c>
    </row>
    <row r="19" spans="3:9" x14ac:dyDescent="0.2">
      <c r="C19">
        <f t="shared" si="0"/>
        <v>120</v>
      </c>
      <c r="D19">
        <v>10</v>
      </c>
      <c r="E19">
        <v>1.5650000000000001E-2</v>
      </c>
      <c r="F19" s="9">
        <f t="shared" si="2"/>
        <v>1.5936381702367195E-2</v>
      </c>
      <c r="G19">
        <f>(1-E19*SUM($G$10:G18))/(1+E19)</f>
        <v>0.85268608081826747</v>
      </c>
      <c r="H19">
        <f>VLOOKUP(C19,Output!B21:O740,14,FALSE)</f>
        <v>2.5916952017028946E-3</v>
      </c>
      <c r="I19" s="10">
        <f t="shared" si="1"/>
        <v>-133.44686500664301</v>
      </c>
    </row>
    <row r="20" spans="3:9" x14ac:dyDescent="0.2">
      <c r="C20">
        <f t="shared" si="0"/>
        <v>132</v>
      </c>
      <c r="D20">
        <v>11</v>
      </c>
      <c r="E20">
        <v>1.6754999999999999E-2</v>
      </c>
      <c r="F20" s="9">
        <f t="shared" si="2"/>
        <v>1.7113945668038248E-2</v>
      </c>
      <c r="G20">
        <f>(1-E20*SUM($G$10:G19))/(1+E20)</f>
        <v>0.82840476092149951</v>
      </c>
      <c r="H20">
        <f>VLOOKUP(C20,Output!B22:O741,14,FALSE)</f>
        <v>3.3033564444471769E-3</v>
      </c>
      <c r="I20" s="10">
        <f t="shared" si="1"/>
        <v>-138.10589223591072</v>
      </c>
    </row>
    <row r="21" spans="3:9" x14ac:dyDescent="0.2">
      <c r="C21">
        <f t="shared" si="0"/>
        <v>144</v>
      </c>
      <c r="D21">
        <v>12</v>
      </c>
      <c r="E21">
        <v>1.7860000000000001E-2</v>
      </c>
      <c r="F21" s="9">
        <f t="shared" si="2"/>
        <v>1.8309241070101043E-2</v>
      </c>
      <c r="G21">
        <f>(1-E21*SUM($G$10:G20))/(1+E21)</f>
        <v>0.80275084543370723</v>
      </c>
      <c r="H21">
        <f>VLOOKUP(C21,Output!B23:O742,14,FALSE)</f>
        <v>4.0160591539010479E-3</v>
      </c>
      <c r="I21" s="10">
        <f t="shared" si="1"/>
        <v>-142.93181916199995</v>
      </c>
    </row>
    <row r="22" spans="3:9" x14ac:dyDescent="0.2">
      <c r="C22">
        <f t="shared" si="0"/>
        <v>156</v>
      </c>
      <c r="D22">
        <v>13</v>
      </c>
      <c r="E22">
        <v>1.8579999999999999E-2</v>
      </c>
      <c r="F22" s="9">
        <f t="shared" si="2"/>
        <v>1.9082729764711179E-2</v>
      </c>
      <c r="G22">
        <f>(1-E22*SUM($G$10:G21))/(1+E22)</f>
        <v>0.78030103851614396</v>
      </c>
      <c r="H22">
        <f>VLOOKUP(C22,Output!B24:O743,14,FALSE)</f>
        <v>4.5045785651667237E-3</v>
      </c>
      <c r="I22" s="10">
        <f t="shared" si="1"/>
        <v>-145.78151199544456</v>
      </c>
    </row>
    <row r="23" spans="3:9" x14ac:dyDescent="0.2">
      <c r="C23">
        <f t="shared" si="0"/>
        <v>168</v>
      </c>
      <c r="D23">
        <v>14</v>
      </c>
      <c r="E23">
        <v>1.9299999999999998E-2</v>
      </c>
      <c r="F23" s="9">
        <f t="shared" si="2"/>
        <v>1.9868733008692182E-2</v>
      </c>
      <c r="G23">
        <f>(1-E23*SUM($G$10:G22))/(1+E23)</f>
        <v>0.75717395089422046</v>
      </c>
      <c r="H23">
        <f>VLOOKUP(C23,Output!B25:O744,14,FALSE)</f>
        <v>4.997399380548404E-3</v>
      </c>
      <c r="I23" s="10">
        <f t="shared" si="1"/>
        <v>-148.71333628143776</v>
      </c>
    </row>
    <row r="24" spans="3:9" x14ac:dyDescent="0.2">
      <c r="C24">
        <f t="shared" si="0"/>
        <v>180</v>
      </c>
      <c r="D24">
        <v>15</v>
      </c>
      <c r="E24">
        <v>2.0019999999999996E-2</v>
      </c>
      <c r="F24" s="9">
        <f t="shared" si="2"/>
        <v>2.0668039792999846E-2</v>
      </c>
      <c r="G24">
        <f>(1-E24*SUM($G$10:G23))/(1+E24)</f>
        <v>0.73343184964992036</v>
      </c>
      <c r="H24">
        <f>VLOOKUP(C24,Output!B26:O745,14,FALSE)</f>
        <v>5.4962004193338252E-3</v>
      </c>
      <c r="I24" s="10">
        <f t="shared" si="1"/>
        <v>-151.7183937366602</v>
      </c>
    </row>
    <row r="25" spans="3:9" x14ac:dyDescent="0.2">
      <c r="C25">
        <f t="shared" si="0"/>
        <v>192</v>
      </c>
      <c r="D25">
        <v>16</v>
      </c>
      <c r="E25">
        <v>2.0341999999999996E-2</v>
      </c>
      <c r="F25" s="9">
        <f t="shared" si="2"/>
        <v>2.1001335381862166E-2</v>
      </c>
      <c r="G25">
        <f>(1-E25*SUM($G$10:G24))/(1+E25)</f>
        <v>0.71460783726343202</v>
      </c>
      <c r="H25">
        <f>VLOOKUP(C25,Output!B27:O746,14,FALSE)</f>
        <v>5.7901585950559586E-3</v>
      </c>
      <c r="I25" s="10">
        <f t="shared" si="1"/>
        <v>-152.11176786806206</v>
      </c>
    </row>
    <row r="26" spans="3:9" x14ac:dyDescent="0.2">
      <c r="C26">
        <f t="shared" si="0"/>
        <v>204</v>
      </c>
      <c r="D26">
        <v>17</v>
      </c>
      <c r="E26">
        <v>2.0663999999999995E-2</v>
      </c>
      <c r="F26" s="9">
        <f t="shared" si="2"/>
        <v>2.1342150985537139E-2</v>
      </c>
      <c r="G26">
        <f>(1-E26*SUM($G$10:G25))/(1+E26)</f>
        <v>0.69571403887955074</v>
      </c>
      <c r="H26">
        <f>VLOOKUP(C26,Output!B28:O747,14,FALSE)</f>
        <v>6.0859207431212467E-3</v>
      </c>
      <c r="I26" s="10">
        <f t="shared" si="1"/>
        <v>-152.56230242415893</v>
      </c>
    </row>
    <row r="27" spans="3:9" x14ac:dyDescent="0.2">
      <c r="C27">
        <f t="shared" si="0"/>
        <v>216</v>
      </c>
      <c r="D27">
        <v>18</v>
      </c>
      <c r="E27">
        <v>2.0985999999999998E-2</v>
      </c>
      <c r="F27" s="9">
        <f t="shared" si="2"/>
        <v>2.1690230271210923E-2</v>
      </c>
      <c r="G27">
        <f>(1-E27*SUM($G$10:G26))/(1+E27)</f>
        <v>0.6767697651824387</v>
      </c>
      <c r="H27">
        <f>VLOOKUP(C27,Output!B29:O748,14,FALSE)</f>
        <v>6.3860427048427508E-3</v>
      </c>
      <c r="I27" s="10">
        <f t="shared" si="1"/>
        <v>-153.04187566368171</v>
      </c>
    </row>
    <row r="28" spans="3:9" x14ac:dyDescent="0.2">
      <c r="C28">
        <f t="shared" si="0"/>
        <v>228</v>
      </c>
      <c r="D28">
        <v>19</v>
      </c>
      <c r="E28">
        <v>2.1307999999999997E-2</v>
      </c>
      <c r="F28" s="9">
        <f t="shared" si="2"/>
        <v>2.2045446599763815E-2</v>
      </c>
      <c r="G28">
        <f>(1-E28*SUM($G$10:G27))/(1+E28)</f>
        <v>0.65779398762474828</v>
      </c>
      <c r="H28">
        <f>VLOOKUP(C28,Output!B30:O749,14,FALSE)</f>
        <v>6.6862486014234255E-3</v>
      </c>
      <c r="I28" s="10">
        <f t="shared" si="1"/>
        <v>-153.59197998340389</v>
      </c>
    </row>
    <row r="29" spans="3:9" x14ac:dyDescent="0.2">
      <c r="C29">
        <f t="shared" si="0"/>
        <v>240</v>
      </c>
      <c r="D29">
        <v>20</v>
      </c>
      <c r="E29">
        <v>2.1629999999999996E-2</v>
      </c>
      <c r="F29" s="9">
        <f t="shared" si="2"/>
        <v>2.2407777063625286E-2</v>
      </c>
      <c r="G29">
        <f>(1-E29*SUM($G$10:G28))/(1+E29)</f>
        <v>0.63880531571248977</v>
      </c>
      <c r="H29">
        <f>VLOOKUP(C29,Output!B31:O750,14,FALSE)</f>
        <v>6.9838517337974639E-3</v>
      </c>
      <c r="I29" s="10">
        <f t="shared" si="1"/>
        <v>-154.23925329827821</v>
      </c>
    </row>
    <row r="30" spans="3:9" x14ac:dyDescent="0.2">
      <c r="C30">
        <f t="shared" si="0"/>
        <v>252</v>
      </c>
      <c r="D30">
        <v>21</v>
      </c>
      <c r="E30">
        <v>2.1727999999999997E-2</v>
      </c>
      <c r="F30" s="9">
        <f t="shared" si="2"/>
        <v>2.2486472527058207E-2</v>
      </c>
      <c r="G30">
        <f>(1-E30*SUM($G$10:G29))/(1+E30)</f>
        <v>0.62361884468494067</v>
      </c>
      <c r="H30">
        <f>VLOOKUP(C30,Output!B32:O751,14,FALSE)</f>
        <v>7.1063900533897568E-3</v>
      </c>
      <c r="I30" s="10">
        <f t="shared" si="1"/>
        <v>-153.80082473668449</v>
      </c>
    </row>
    <row r="31" spans="3:9" x14ac:dyDescent="0.2">
      <c r="C31">
        <f t="shared" si="0"/>
        <v>264</v>
      </c>
      <c r="D31">
        <v>22</v>
      </c>
      <c r="E31">
        <v>2.1825999999999998E-2</v>
      </c>
      <c r="F31" s="9">
        <f t="shared" si="2"/>
        <v>2.2569683001636535E-2</v>
      </c>
      <c r="G31">
        <f>(1-E31*SUM($G$10:G30))/(1+E31)</f>
        <v>0.60863713515601181</v>
      </c>
      <c r="H31">
        <f>VLOOKUP(C31,Output!B33:O752,14,FALSE)</f>
        <v>7.2266804638094111E-3</v>
      </c>
      <c r="I31" s="10">
        <f t="shared" si="1"/>
        <v>-153.43002537827124</v>
      </c>
    </row>
    <row r="32" spans="3:9" x14ac:dyDescent="0.2">
      <c r="C32">
        <f t="shared" si="0"/>
        <v>276</v>
      </c>
      <c r="D32">
        <v>23</v>
      </c>
      <c r="E32">
        <v>2.1923999999999999E-2</v>
      </c>
      <c r="F32" s="9">
        <f t="shared" si="2"/>
        <v>2.2657021821020341E-2</v>
      </c>
      <c r="G32">
        <f>(1-E32*SUM($G$10:G31))/(1+E32)</f>
        <v>0.59386010437151171</v>
      </c>
      <c r="H32">
        <f>VLOOKUP(C32,Output!B34:O753,14,FALSE)</f>
        <v>7.3486558812192807E-3</v>
      </c>
      <c r="I32" s="10">
        <f t="shared" si="1"/>
        <v>-153.08365939801061</v>
      </c>
    </row>
    <row r="33" spans="3:9" x14ac:dyDescent="0.2">
      <c r="C33">
        <f t="shared" si="0"/>
        <v>288</v>
      </c>
      <c r="D33">
        <v>24</v>
      </c>
      <c r="E33">
        <v>2.2022E-2</v>
      </c>
      <c r="F33" s="9">
        <f t="shared" si="2"/>
        <v>2.2748175774442391E-2</v>
      </c>
      <c r="G33">
        <f>(1-E33*SUM($G$10:G32))/(1+E33)</f>
        <v>0.57928759285516762</v>
      </c>
      <c r="H33">
        <f>VLOOKUP(C33,Output!B35:O754,14,FALSE)</f>
        <v>7.4752149531713153E-3</v>
      </c>
      <c r="I33" s="10">
        <f t="shared" si="1"/>
        <v>-152.72960821271076</v>
      </c>
    </row>
    <row r="34" spans="3:9" x14ac:dyDescent="0.2">
      <c r="C34">
        <f t="shared" si="0"/>
        <v>300</v>
      </c>
      <c r="D34">
        <v>25</v>
      </c>
      <c r="E34">
        <v>2.2120000000000001E-2</v>
      </c>
      <c r="F34" s="9">
        <f t="shared" si="2"/>
        <v>2.2842890912289859E-2</v>
      </c>
      <c r="G34">
        <f>(1-E34*SUM($G$10:G33))/(1+E34)</f>
        <v>0.56491936614544325</v>
      </c>
      <c r="H34">
        <f>VLOOKUP(C34,Output!B36:O755,14,FALSE)</f>
        <v>7.6035111308804457E-3</v>
      </c>
      <c r="I34" s="10">
        <f t="shared" si="1"/>
        <v>-152.39379781409414</v>
      </c>
    </row>
    <row r="35" spans="3:9" x14ac:dyDescent="0.2">
      <c r="C35">
        <f t="shared" si="0"/>
        <v>312</v>
      </c>
      <c r="D35">
        <v>26</v>
      </c>
      <c r="E35">
        <v>2.2162000000000001E-2</v>
      </c>
      <c r="F35" s="9">
        <f t="shared" si="2"/>
        <v>2.2863679691028559E-2</v>
      </c>
      <c r="G35">
        <f>(1-E35*SUM($G$10:G34))/(1+E35)</f>
        <v>0.55186287856142091</v>
      </c>
      <c r="H35">
        <f>VLOOKUP(C35,Output!B37:O756,14,FALSE)</f>
        <v>7.5926816409291938E-3</v>
      </c>
      <c r="I35" s="10">
        <f t="shared" si="1"/>
        <v>-152.70998050099365</v>
      </c>
    </row>
    <row r="36" spans="3:9" x14ac:dyDescent="0.2">
      <c r="C36">
        <f t="shared" si="0"/>
        <v>324</v>
      </c>
      <c r="D36">
        <v>27</v>
      </c>
      <c r="E36">
        <v>2.2204000000000002E-2</v>
      </c>
      <c r="F36" s="9">
        <f t="shared" si="2"/>
        <v>2.2887291559662189E-2</v>
      </c>
      <c r="G36">
        <f>(1-E36*SUM($G$10:G35))/(1+E36)</f>
        <v>0.53904465043296379</v>
      </c>
      <c r="H36">
        <f>VLOOKUP(C36,Output!B38:O757,14,FALSE)</f>
        <v>7.5804657893487294E-3</v>
      </c>
      <c r="I36" s="10">
        <f t="shared" si="1"/>
        <v>-153.06825770313458</v>
      </c>
    </row>
    <row r="37" spans="3:9" x14ac:dyDescent="0.2">
      <c r="C37">
        <f t="shared" si="0"/>
        <v>336</v>
      </c>
      <c r="D37">
        <v>28</v>
      </c>
      <c r="E37">
        <v>2.2245999999999998E-2</v>
      </c>
      <c r="F37" s="9">
        <f t="shared" si="2"/>
        <v>2.2913495659668711E-2</v>
      </c>
      <c r="G37">
        <f>(1-E37*SUM($G$10:G36))/(1+E37)</f>
        <v>0.52646107673436904</v>
      </c>
      <c r="H37">
        <f>VLOOKUP(C37,Output!B39:O758,14,FALSE)</f>
        <v>7.5692935483094616E-3</v>
      </c>
      <c r="I37" s="10">
        <f t="shared" si="1"/>
        <v>-153.44202111359249</v>
      </c>
    </row>
    <row r="38" spans="3:9" x14ac:dyDescent="0.2">
      <c r="C38">
        <f t="shared" si="0"/>
        <v>348</v>
      </c>
      <c r="D38">
        <v>29</v>
      </c>
      <c r="E38">
        <v>2.2287999999999999E-2</v>
      </c>
      <c r="F38" s="9">
        <f t="shared" si="2"/>
        <v>2.2942095394329093E-2</v>
      </c>
      <c r="G38">
        <f>(1-E38*SUM($G$10:G37))/(1+E38)</f>
        <v>0.51410859247451246</v>
      </c>
      <c r="H38">
        <f>VLOOKUP(C38,Output!B40:O759,14,FALSE)</f>
        <v>7.5613019179007254E-3</v>
      </c>
      <c r="I38" s="10">
        <f t="shared" si="1"/>
        <v>-153.80793476428369</v>
      </c>
    </row>
    <row r="39" spans="3:9" x14ac:dyDescent="0.2">
      <c r="C39">
        <f t="shared" si="0"/>
        <v>360</v>
      </c>
      <c r="D39">
        <v>30</v>
      </c>
      <c r="E39">
        <v>2.2329999999999999E-2</v>
      </c>
      <c r="F39" s="9">
        <f t="shared" si="2"/>
        <v>2.2972922820359665E-2</v>
      </c>
      <c r="G39">
        <f>(1-E39*SUM($G$10:G38))/(1+E39)</f>
        <v>0.50198367255469734</v>
      </c>
      <c r="H39">
        <f>VLOOKUP(C39,Output!B41:O760,14,FALSE)</f>
        <v>7.5535379815800307E-3</v>
      </c>
      <c r="I39" s="10">
        <f t="shared" si="1"/>
        <v>-154.19384838779635</v>
      </c>
    </row>
    <row r="40" spans="3:9" x14ac:dyDescent="0.2">
      <c r="C40">
        <f t="shared" si="0"/>
        <v>372</v>
      </c>
      <c r="D40">
        <v>31</v>
      </c>
      <c r="E40">
        <v>2.24263E-2</v>
      </c>
      <c r="F40" s="9">
        <f t="shared" si="2"/>
        <v>2.308560941461477E-2</v>
      </c>
      <c r="G40">
        <f>(1-E40*SUM($G$10:G39))/(1+E40)</f>
        <v>0.48887233762010601</v>
      </c>
      <c r="H40">
        <f>VLOOKUP(C40,Output!B42:O761,14,FALSE)</f>
        <v>7.5489040664158836E-3</v>
      </c>
      <c r="I40" s="10">
        <f t="shared" si="1"/>
        <v>-155.36705348198885</v>
      </c>
    </row>
    <row r="41" spans="3:9" x14ac:dyDescent="0.2">
      <c r="C41">
        <f t="shared" si="0"/>
        <v>384</v>
      </c>
      <c r="D41">
        <v>32</v>
      </c>
      <c r="E41">
        <v>2.25226E-2</v>
      </c>
      <c r="F41" s="9">
        <f t="shared" si="2"/>
        <v>2.3200820597778841E-2</v>
      </c>
      <c r="G41">
        <f>(1-E41*SUM($G$10:G40))/(1+E41)</f>
        <v>0.47595771671410653</v>
      </c>
      <c r="H41">
        <f>VLOOKUP(C41,Output!B43:O762,14,FALSE)</f>
        <v>7.5467379540228845E-3</v>
      </c>
      <c r="I41" s="10">
        <f t="shared" si="1"/>
        <v>-156.54082643755959</v>
      </c>
    </row>
    <row r="42" spans="3:9" x14ac:dyDescent="0.2">
      <c r="C42">
        <f t="shared" si="0"/>
        <v>396</v>
      </c>
      <c r="D42">
        <v>33</v>
      </c>
      <c r="E42">
        <v>2.2618900000000001E-2</v>
      </c>
      <c r="F42" s="9">
        <f t="shared" si="2"/>
        <v>2.3318543264644227E-2</v>
      </c>
      <c r="G42">
        <f>(1-E42*SUM($G$10:G41))/(1+E42)</f>
        <v>0.46323910730620438</v>
      </c>
      <c r="H42">
        <f>VLOOKUP(C42,Output!B44:O763,14,FALSE)</f>
        <v>7.5450473179786938E-3</v>
      </c>
      <c r="I42" s="10">
        <f t="shared" si="1"/>
        <v>-157.73495946665534</v>
      </c>
    </row>
    <row r="43" spans="3:9" x14ac:dyDescent="0.2">
      <c r="C43">
        <f t="shared" si="0"/>
        <v>408</v>
      </c>
      <c r="D43">
        <v>34</v>
      </c>
      <c r="E43">
        <v>2.2715200000000001E-2</v>
      </c>
      <c r="F43" s="9">
        <f t="shared" si="2"/>
        <v>2.3438776684320515E-2</v>
      </c>
      <c r="G43">
        <f>(1-E43*SUM($G$10:G42))/(1+E43)</f>
        <v>0.45071574864294273</v>
      </c>
      <c r="H43">
        <f>VLOOKUP(C43,Output!B45:O764,14,FALSE)</f>
        <v>7.5431602117505157E-3</v>
      </c>
      <c r="I43" s="10">
        <f t="shared" si="1"/>
        <v>-158.95616472569998</v>
      </c>
    </row>
    <row r="44" spans="3:9" x14ac:dyDescent="0.2">
      <c r="C44">
        <f t="shared" si="0"/>
        <v>420</v>
      </c>
      <c r="D44">
        <v>35</v>
      </c>
      <c r="E44">
        <v>2.2811499999999998E-2</v>
      </c>
      <c r="F44" s="9">
        <f t="shared" si="2"/>
        <v>2.3561531425792703E-2</v>
      </c>
      <c r="G44">
        <f>(1-E44*SUM($G$10:G43))/(1+E44)</f>
        <v>0.43838682340456769</v>
      </c>
      <c r="H44">
        <f>VLOOKUP(C44,Output!B46:O765,14,FALSE)</f>
        <v>7.5402052380153638E-3</v>
      </c>
      <c r="I44" s="10">
        <f t="shared" si="1"/>
        <v>-160.21326187777339</v>
      </c>
    </row>
    <row r="45" spans="3:9" x14ac:dyDescent="0.2">
      <c r="C45">
        <f t="shared" si="0"/>
        <v>432</v>
      </c>
      <c r="D45">
        <v>36</v>
      </c>
      <c r="E45">
        <v>2.2907799999999999E-2</v>
      </c>
      <c r="F45" s="9">
        <f t="shared" si="2"/>
        <v>2.3686828518886219E-2</v>
      </c>
      <c r="G45">
        <f>(1-E45*SUM($G$10:G44))/(1+E45)</f>
        <v>0.42625145935654413</v>
      </c>
      <c r="H45">
        <f>VLOOKUP(C45,Output!B47:O766,14,FALSE)</f>
        <v>7.5332252265695567E-3</v>
      </c>
      <c r="I45" s="10">
        <f t="shared" si="1"/>
        <v>-161.53603292316663</v>
      </c>
    </row>
    <row r="46" spans="3:9" x14ac:dyDescent="0.2">
      <c r="C46">
        <f t="shared" si="0"/>
        <v>444</v>
      </c>
      <c r="D46">
        <v>37</v>
      </c>
      <c r="E46">
        <v>2.30041E-2</v>
      </c>
      <c r="F46" s="9">
        <f t="shared" si="2"/>
        <v>2.3814698811679167E-2</v>
      </c>
      <c r="G46">
        <f>(1-E46*SUM($G$10:G45))/(1+E46)</f>
        <v>0.41430873099495141</v>
      </c>
      <c r="H46">
        <f>VLOOKUP(C46,Output!B48:O767,14,FALSE)</f>
        <v>7.5243671284597503E-3</v>
      </c>
      <c r="I46" s="10">
        <f t="shared" si="1"/>
        <v>-162.90331683219418</v>
      </c>
    </row>
    <row r="47" spans="3:9" x14ac:dyDescent="0.2">
      <c r="C47">
        <f t="shared" si="0"/>
        <v>456</v>
      </c>
      <c r="D47">
        <v>38</v>
      </c>
      <c r="E47">
        <v>2.31004E-2</v>
      </c>
      <c r="F47" s="9">
        <f t="shared" si="2"/>
        <v>2.3945182494260354E-2</v>
      </c>
      <c r="G47">
        <f>(1-E47*SUM($G$10:G46))/(1+E47)</f>
        <v>0.4025576611848114</v>
      </c>
      <c r="H47">
        <f>VLOOKUP(C47,Output!B49:O768,14,FALSE)</f>
        <v>7.5135420144374528E-3</v>
      </c>
      <c r="I47" s="10">
        <f t="shared" si="1"/>
        <v>-164.316404798229</v>
      </c>
    </row>
    <row r="48" spans="3:9" x14ac:dyDescent="0.2">
      <c r="C48">
        <f t="shared" si="0"/>
        <v>468</v>
      </c>
      <c r="D48">
        <v>39</v>
      </c>
      <c r="E48">
        <v>2.3196700000000001E-2</v>
      </c>
      <c r="F48" s="9">
        <f t="shared" si="2"/>
        <v>2.4078328765635173E-2</v>
      </c>
      <c r="G48">
        <f>(1-E48*SUM($G$10:G47))/(1+E48)</f>
        <v>0.39099722279042992</v>
      </c>
      <c r="H48">
        <f>VLOOKUP(C48,Output!B50:O769,14,FALSE)</f>
        <v>7.4994997069512195E-3</v>
      </c>
      <c r="I48" s="10">
        <f t="shared" si="1"/>
        <v>-165.78829058683954</v>
      </c>
    </row>
    <row r="49" spans="3:9" x14ac:dyDescent="0.2">
      <c r="C49">
        <f t="shared" si="0"/>
        <v>480</v>
      </c>
      <c r="D49">
        <v>40</v>
      </c>
      <c r="E49">
        <v>2.3293000000000001E-2</v>
      </c>
      <c r="F49" s="9">
        <f t="shared" si="2"/>
        <v>2.4214195626033143E-2</v>
      </c>
      <c r="G49">
        <f>(1-E49*SUM($G$10:G48))/(1+E49)</f>
        <v>0.37962634029686187</v>
      </c>
      <c r="H49">
        <f>VLOOKUP(C49,Output!B51:O770,14,FALSE)</f>
        <v>7.4835962880588774E-3</v>
      </c>
      <c r="I49" s="10">
        <f t="shared" si="1"/>
        <v>-167.30599337974266</v>
      </c>
    </row>
    <row r="50" spans="3:9" x14ac:dyDescent="0.2">
      <c r="C50">
        <f t="shared" si="0"/>
        <v>492</v>
      </c>
      <c r="D50">
        <v>41</v>
      </c>
      <c r="E50">
        <v>2.3350700000000002E-2</v>
      </c>
      <c r="F50" s="9">
        <f t="shared" si="2"/>
        <v>2.4285520691831944E-2</v>
      </c>
      <c r="G50">
        <f>(1-E50*SUM($G$10:G49))/(1+E50)</f>
        <v>0.36946238320444202</v>
      </c>
      <c r="H50">
        <f>VLOOKUP(C50,Output!B52:O771,14,FALSE)</f>
        <v>7.4697675414996442E-3</v>
      </c>
      <c r="I50" s="10">
        <f t="shared" si="1"/>
        <v>-168.15753150332299</v>
      </c>
    </row>
    <row r="51" spans="3:9" x14ac:dyDescent="0.2">
      <c r="C51">
        <f t="shared" si="0"/>
        <v>504</v>
      </c>
      <c r="D51">
        <v>42</v>
      </c>
      <c r="E51">
        <v>2.3408399999999999E-2</v>
      </c>
      <c r="F51" s="9">
        <f t="shared" si="2"/>
        <v>2.4358833758027082E-2</v>
      </c>
      <c r="G51">
        <f>(1-E51*SUM($G$10:G50))/(1+E51)</f>
        <v>0.35948924535308036</v>
      </c>
      <c r="H51">
        <f>VLOOKUP(C51,Output!B53:O772,14,FALSE)</f>
        <v>7.4564927902545115E-3</v>
      </c>
      <c r="I51" s="10">
        <f t="shared" si="1"/>
        <v>-169.02340967772571</v>
      </c>
    </row>
    <row r="52" spans="3:9" x14ac:dyDescent="0.2">
      <c r="C52">
        <f t="shared" si="0"/>
        <v>516</v>
      </c>
      <c r="D52">
        <v>43</v>
      </c>
      <c r="E52">
        <v>2.34661E-2</v>
      </c>
      <c r="F52" s="9">
        <f t="shared" si="2"/>
        <v>2.4434128253459763E-2</v>
      </c>
      <c r="G52">
        <f>(1-E52*SUM($G$10:G51))/(1+E52)</f>
        <v>0.34970423839459341</v>
      </c>
      <c r="H52">
        <f>VLOOKUP(C52,Output!B54:O773,14,FALSE)</f>
        <v>7.4433740357193181E-3</v>
      </c>
      <c r="I52" s="10">
        <f t="shared" si="1"/>
        <v>-169.90754217740445</v>
      </c>
    </row>
    <row r="53" spans="3:9" x14ac:dyDescent="0.2">
      <c r="C53">
        <f t="shared" si="0"/>
        <v>528</v>
      </c>
      <c r="D53">
        <v>44</v>
      </c>
      <c r="E53">
        <v>2.3523800000000001E-2</v>
      </c>
      <c r="F53" s="9">
        <f t="shared" si="2"/>
        <v>2.4511404253808967E-2</v>
      </c>
      <c r="G53">
        <f>(1-E53*SUM($G$10:G52))/(1+E53)</f>
        <v>0.34010469334483717</v>
      </c>
      <c r="H53">
        <f>VLOOKUP(C53,Output!B55:O774,14,FALSE)</f>
        <v>7.4314750975496956E-3</v>
      </c>
      <c r="I53" s="10">
        <f t="shared" si="1"/>
        <v>-170.79929156259271</v>
      </c>
    </row>
    <row r="54" spans="3:9" x14ac:dyDescent="0.2">
      <c r="C54">
        <f t="shared" si="0"/>
        <v>540</v>
      </c>
      <c r="D54">
        <v>45</v>
      </c>
      <c r="E54">
        <v>2.3581499999999998E-2</v>
      </c>
      <c r="F54" s="9">
        <f t="shared" si="2"/>
        <v>2.4590668101920871E-2</v>
      </c>
      <c r="G54">
        <f>(1-E54*SUM($G$10:G53))/(1+E54)</f>
        <v>0.33068796088985614</v>
      </c>
      <c r="H54">
        <f>VLOOKUP(C54,Output!B56:O775,14,FALSE)</f>
        <v>7.4239120625716401E-3</v>
      </c>
      <c r="I54" s="10">
        <f t="shared" si="1"/>
        <v>-171.66756039349229</v>
      </c>
    </row>
    <row r="55" spans="3:9" x14ac:dyDescent="0.2">
      <c r="C55">
        <f t="shared" si="0"/>
        <v>552</v>
      </c>
      <c r="D55">
        <v>46</v>
      </c>
      <c r="E55">
        <v>2.3639199999999999E-2</v>
      </c>
      <c r="F55" s="9">
        <f t="shared" si="2"/>
        <v>2.4671932104538746E-2</v>
      </c>
      <c r="G55">
        <f>(1-E55*SUM($G$10:G54))/(1+E55)</f>
        <v>0.32145141167830987</v>
      </c>
      <c r="H55">
        <f>VLOOKUP(C55,Output!B57:O776,14,FALSE)</f>
        <v>7.4171881919102428E-3</v>
      </c>
      <c r="I55" s="10">
        <f t="shared" si="1"/>
        <v>-172.54743912628504</v>
      </c>
    </row>
    <row r="56" spans="3:9" x14ac:dyDescent="0.2">
      <c r="C56">
        <f t="shared" si="0"/>
        <v>564</v>
      </c>
      <c r="D56">
        <v>47</v>
      </c>
      <c r="E56">
        <v>2.36969E-2</v>
      </c>
      <c r="F56" s="9">
        <f t="shared" si="2"/>
        <v>2.4755214296507906E-2</v>
      </c>
      <c r="G56">
        <f>(1-E56*SUM($G$10:G55))/(1+E56)</f>
        <v>0.31239243660038024</v>
      </c>
      <c r="H56">
        <f>VLOOKUP(C56,Output!B58:O777,14,FALSE)</f>
        <v>7.4146537642931064E-3</v>
      </c>
      <c r="I56" s="10">
        <f t="shared" si="1"/>
        <v>-173.40560532214798</v>
      </c>
    </row>
    <row r="57" spans="3:9" x14ac:dyDescent="0.2">
      <c r="C57">
        <f t="shared" si="0"/>
        <v>576</v>
      </c>
      <c r="D57">
        <v>48</v>
      </c>
      <c r="E57">
        <v>2.3754600000000001E-2</v>
      </c>
      <c r="F57" s="9">
        <f t="shared" si="2"/>
        <v>2.4840538265283593E-2</v>
      </c>
      <c r="G57">
        <f>(1-E57*SUM($G$10:G56))/(1+E57)</f>
        <v>0.3035084470533605</v>
      </c>
      <c r="H57">
        <f>VLOOKUP(C57,Output!B59:O778,14,FALSE)</f>
        <v>7.4161776295522397E-3</v>
      </c>
      <c r="I57" s="10">
        <f t="shared" si="1"/>
        <v>-174.24360635731352</v>
      </c>
    </row>
    <row r="58" spans="3:9" x14ac:dyDescent="0.2">
      <c r="C58">
        <f t="shared" si="0"/>
        <v>588</v>
      </c>
      <c r="D58">
        <v>49</v>
      </c>
      <c r="E58">
        <v>2.3812299999999998E-2</v>
      </c>
      <c r="F58" s="9">
        <f t="shared" si="2"/>
        <v>2.4927933030033878E-2</v>
      </c>
      <c r="G58">
        <f>(1-E58*SUM($G$10:G57))/(1+E58)</f>
        <v>0.29479687519413433</v>
      </c>
      <c r="H58">
        <f>VLOOKUP(C58,Output!B60:O779,14,FALSE)</f>
        <v>7.4204526707852807E-3</v>
      </c>
      <c r="I58" s="10">
        <f t="shared" si="1"/>
        <v>-175.07480359248595</v>
      </c>
    </row>
    <row r="59" spans="3:9" x14ac:dyDescent="0.2">
      <c r="C59">
        <f t="shared" si="0"/>
        <v>600</v>
      </c>
      <c r="D59">
        <v>50</v>
      </c>
      <c r="E59">
        <v>2.3869999999999999E-2</v>
      </c>
      <c r="F59" s="9">
        <f t="shared" si="2"/>
        <v>2.5017432970868683E-2</v>
      </c>
      <c r="G59">
        <f>(1-E59*SUM($G$10:G58))/(1+E59)</f>
        <v>0.28625517417874802</v>
      </c>
      <c r="H59">
        <f>VLOOKUP(C59,Output!B61:O780,14,FALSE)</f>
        <v>7.4260912443683338E-3</v>
      </c>
      <c r="I59" s="10">
        <f t="shared" si="1"/>
        <v>-175.91341726500349</v>
      </c>
    </row>
    <row r="60" spans="3:9" x14ac:dyDescent="0.2">
      <c r="C60">
        <f t="shared" si="0"/>
        <v>612</v>
      </c>
      <c r="D60">
        <v>51</v>
      </c>
      <c r="E60">
        <v>2.3869999999999999E-2</v>
      </c>
      <c r="F60" s="9">
        <f t="shared" si="2"/>
        <v>2.4989435568167066E-2</v>
      </c>
      <c r="G60">
        <f>(1-E60*SUM($G$10:G59))/(1+E60)</f>
        <v>0.2795815622869583</v>
      </c>
      <c r="H60">
        <f>VLOOKUP(C60,Output!B62:O781,14,FALSE)</f>
        <v>7.4364146038612515E-3</v>
      </c>
      <c r="I60" s="10">
        <f t="shared" si="1"/>
        <v>-175.53020964305816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Feuil1</vt:lpstr>
      <vt:lpstr>Output</vt:lpstr>
      <vt:lpstr>Feuil2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2015-09-29T10:14:24Z</dcterms:modified>
</cp:coreProperties>
</file>