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0" yWindow="90" windowWidth="18120" windowHeight="11280" tabRatio="720" activeTab="1"/>
  </bookViews>
  <sheets>
    <sheet name="Feuil1" sheetId="1" r:id="rId1"/>
    <sheet name="Output" sheetId="9" r:id="rId2"/>
    <sheet name="Feuil2" sheetId="10" r:id="rId3"/>
  </sheets>
  <functionGroups builtInGroupCount="17"/>
  <definedNames>
    <definedName name="alpha">Feuil1!$F$8</definedName>
    <definedName name="corel">Feuil1!$F$10</definedName>
    <definedName name="dir">Feuil1!$F$5</definedName>
    <definedName name="name">Feuil1!$F$6</definedName>
    <definedName name="scn">Feuil1!$F$7</definedName>
    <definedName name="sigma">Feuil1!$F$9</definedName>
  </definedNames>
  <calcPr calcId="145621" calcMode="manual"/>
</workbook>
</file>

<file path=xl/calcChain.xml><?xml version="1.0" encoding="utf-8"?>
<calcChain xmlns="http://schemas.openxmlformats.org/spreadsheetml/2006/main">
  <c r="Y13" i="10" l="1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Y229" i="10"/>
  <c r="Y230" i="10"/>
  <c r="Y231" i="10"/>
  <c r="Y232" i="10"/>
  <c r="Y233" i="10"/>
  <c r="Y234" i="10"/>
  <c r="Y235" i="10"/>
  <c r="Y236" i="10"/>
  <c r="Y237" i="10"/>
  <c r="Y238" i="10"/>
  <c r="Y239" i="10"/>
  <c r="Y240" i="10"/>
  <c r="Y241" i="10"/>
  <c r="Y242" i="10"/>
  <c r="Y243" i="10"/>
  <c r="Y244" i="10"/>
  <c r="Y245" i="10"/>
  <c r="Y246" i="10"/>
  <c r="Y247" i="10"/>
  <c r="Y248" i="10"/>
  <c r="Y249" i="10"/>
  <c r="Y250" i="10"/>
  <c r="Y251" i="10"/>
  <c r="Y252" i="10"/>
  <c r="Y253" i="10"/>
  <c r="Y254" i="10"/>
  <c r="Y255" i="10"/>
  <c r="Y256" i="10"/>
  <c r="Y257" i="10"/>
  <c r="Y258" i="10"/>
  <c r="Y259" i="10"/>
  <c r="Y260" i="10"/>
  <c r="Y261" i="10"/>
  <c r="Y262" i="10"/>
  <c r="Y263" i="10"/>
  <c r="Y264" i="10"/>
  <c r="Y265" i="10"/>
  <c r="Y266" i="10"/>
  <c r="Y267" i="10"/>
  <c r="Y268" i="10"/>
  <c r="Y269" i="10"/>
  <c r="Y270" i="10"/>
  <c r="Y271" i="10"/>
  <c r="Y272" i="10"/>
  <c r="Y273" i="10"/>
  <c r="Y274" i="10"/>
  <c r="Y275" i="10"/>
  <c r="Y276" i="10"/>
  <c r="Y277" i="10"/>
  <c r="Y278" i="10"/>
  <c r="Y279" i="10"/>
  <c r="Y280" i="10"/>
  <c r="Y281" i="10"/>
  <c r="Y282" i="10"/>
  <c r="Y283" i="10"/>
  <c r="Y284" i="10"/>
  <c r="Y285" i="10"/>
  <c r="Y286" i="10"/>
  <c r="Y287" i="10"/>
  <c r="Y288" i="10"/>
  <c r="Y289" i="10"/>
  <c r="Y290" i="10"/>
  <c r="Y291" i="10"/>
  <c r="Y292" i="10"/>
  <c r="Y293" i="10"/>
  <c r="Y294" i="10"/>
  <c r="Y295" i="10"/>
  <c r="Y296" i="10"/>
  <c r="Y297" i="10"/>
  <c r="Y298" i="10"/>
  <c r="Y299" i="10"/>
  <c r="Y300" i="10"/>
  <c r="Y301" i="10"/>
  <c r="Y302" i="10"/>
  <c r="Y303" i="10"/>
  <c r="Y304" i="10"/>
  <c r="Y305" i="10"/>
  <c r="Y306" i="10"/>
  <c r="Y307" i="10"/>
  <c r="Y308" i="10"/>
  <c r="Y309" i="10"/>
  <c r="Y310" i="10"/>
  <c r="Y311" i="10"/>
  <c r="Y312" i="10"/>
  <c r="Y313" i="10"/>
  <c r="Y314" i="10"/>
  <c r="Y315" i="10"/>
  <c r="Y316" i="10"/>
  <c r="Y317" i="10"/>
  <c r="Y318" i="10"/>
  <c r="Y319" i="10"/>
  <c r="Y320" i="10"/>
  <c r="Y321" i="10"/>
  <c r="Y322" i="10"/>
  <c r="Y323" i="10"/>
  <c r="Y324" i="10"/>
  <c r="Y325" i="10"/>
  <c r="Y326" i="10"/>
  <c r="Y327" i="10"/>
  <c r="Y328" i="10"/>
  <c r="Y329" i="10"/>
  <c r="Y330" i="10"/>
  <c r="Y331" i="10"/>
  <c r="Y332" i="10"/>
  <c r="Y333" i="10"/>
  <c r="Y334" i="10"/>
  <c r="Y335" i="10"/>
  <c r="Y336" i="10"/>
  <c r="Y337" i="10"/>
  <c r="Y338" i="10"/>
  <c r="Y339" i="10"/>
  <c r="Y340" i="10"/>
  <c r="Y341" i="10"/>
  <c r="Y342" i="10"/>
  <c r="Y343" i="10"/>
  <c r="Y344" i="10"/>
  <c r="Y345" i="10"/>
  <c r="Y346" i="10"/>
  <c r="Y347" i="10"/>
  <c r="Y348" i="10"/>
  <c r="Y349" i="10"/>
  <c r="Y350" i="10"/>
  <c r="Y351" i="10"/>
  <c r="Y352" i="10"/>
  <c r="Y353" i="10"/>
  <c r="Y354" i="10"/>
  <c r="Y355" i="10"/>
  <c r="Y356" i="10"/>
  <c r="Y357" i="10"/>
  <c r="Y358" i="10"/>
  <c r="Y359" i="10"/>
  <c r="Y360" i="10"/>
  <c r="Y361" i="10"/>
  <c r="Y362" i="10"/>
  <c r="Y363" i="10"/>
  <c r="Y364" i="10"/>
  <c r="Y365" i="10"/>
  <c r="Y366" i="10"/>
  <c r="Y367" i="10"/>
  <c r="Y368" i="10"/>
  <c r="Y369" i="10"/>
  <c r="Y370" i="10"/>
  <c r="Y371" i="10"/>
  <c r="Y372" i="10"/>
  <c r="Y373" i="10"/>
  <c r="Y374" i="10"/>
  <c r="Y375" i="10"/>
  <c r="Y376" i="10"/>
  <c r="Y377" i="10"/>
  <c r="Y378" i="10"/>
  <c r="Y379" i="10"/>
  <c r="Y380" i="10"/>
  <c r="Y381" i="10"/>
  <c r="Y382" i="10"/>
  <c r="Y383" i="10"/>
  <c r="Y384" i="10"/>
  <c r="Y385" i="10"/>
  <c r="Y386" i="10"/>
  <c r="Y387" i="10"/>
  <c r="Y388" i="10"/>
  <c r="Y389" i="10"/>
  <c r="Y390" i="10"/>
  <c r="Y391" i="10"/>
  <c r="Y392" i="10"/>
  <c r="Y393" i="10"/>
  <c r="Y394" i="10"/>
  <c r="Y395" i="10"/>
  <c r="Y396" i="10"/>
  <c r="Y397" i="10"/>
  <c r="Y398" i="10"/>
  <c r="Y399" i="10"/>
  <c r="Y400" i="10"/>
  <c r="Y401" i="10"/>
  <c r="Y402" i="10"/>
  <c r="Y403" i="10"/>
  <c r="Y404" i="10"/>
  <c r="Y405" i="10"/>
  <c r="Y406" i="10"/>
  <c r="Y407" i="10"/>
  <c r="Y408" i="10"/>
  <c r="Y409" i="10"/>
  <c r="Y410" i="10"/>
  <c r="Y411" i="10"/>
  <c r="Y412" i="10"/>
  <c r="Y413" i="10"/>
  <c r="Y414" i="10"/>
  <c r="Y415" i="10"/>
  <c r="Y416" i="10"/>
  <c r="Y417" i="10"/>
  <c r="Y418" i="10"/>
  <c r="Y419" i="10"/>
  <c r="Y420" i="10"/>
  <c r="Y421" i="10"/>
  <c r="Y422" i="10"/>
  <c r="Y423" i="10"/>
  <c r="Y424" i="10"/>
  <c r="Y425" i="10"/>
  <c r="Y426" i="10"/>
  <c r="Y427" i="10"/>
  <c r="Y428" i="10"/>
  <c r="Y429" i="10"/>
  <c r="Y430" i="10"/>
  <c r="Y431" i="10"/>
  <c r="Y432" i="10"/>
  <c r="Y433" i="10"/>
  <c r="Y434" i="10"/>
  <c r="Y435" i="10"/>
  <c r="Y436" i="10"/>
  <c r="Y437" i="10"/>
  <c r="Y438" i="10"/>
  <c r="Y439" i="10"/>
  <c r="Y440" i="10"/>
  <c r="Y441" i="10"/>
  <c r="Y442" i="10"/>
  <c r="Y443" i="10"/>
  <c r="Y444" i="10"/>
  <c r="Y445" i="10"/>
  <c r="Y446" i="10"/>
  <c r="Y447" i="10"/>
  <c r="Y448" i="10"/>
  <c r="Y449" i="10"/>
  <c r="Y450" i="10"/>
  <c r="Y451" i="10"/>
  <c r="Y452" i="10"/>
  <c r="Y453" i="10"/>
  <c r="Y454" i="10"/>
  <c r="Y455" i="10"/>
  <c r="Y456" i="10"/>
  <c r="Y457" i="10"/>
  <c r="Y458" i="10"/>
  <c r="Y459" i="10"/>
  <c r="Y460" i="10"/>
  <c r="Y461" i="10"/>
  <c r="Y462" i="10"/>
  <c r="Y463" i="10"/>
  <c r="Y464" i="10"/>
  <c r="Y465" i="10"/>
  <c r="Y466" i="10"/>
  <c r="Y467" i="10"/>
  <c r="Y468" i="10"/>
  <c r="Y469" i="10"/>
  <c r="Y470" i="10"/>
  <c r="Y471" i="10"/>
  <c r="Y472" i="10"/>
  <c r="Y473" i="10"/>
  <c r="Y474" i="10"/>
  <c r="Y475" i="10"/>
  <c r="Y476" i="10"/>
  <c r="Y477" i="10"/>
  <c r="Y478" i="10"/>
  <c r="Y479" i="10"/>
  <c r="Y480" i="10"/>
  <c r="Y481" i="10"/>
  <c r="Y482" i="10"/>
  <c r="Y483" i="10"/>
  <c r="Y484" i="10"/>
  <c r="Y485" i="10"/>
  <c r="Y486" i="10"/>
  <c r="Y487" i="10"/>
  <c r="Y488" i="10"/>
  <c r="Y489" i="10"/>
  <c r="Y490" i="10"/>
  <c r="Y491" i="10"/>
  <c r="Y492" i="10"/>
  <c r="Y493" i="10"/>
  <c r="Y494" i="10"/>
  <c r="Y495" i="10"/>
  <c r="Y496" i="10"/>
  <c r="Y497" i="10"/>
  <c r="Y498" i="10"/>
  <c r="Y499" i="10"/>
  <c r="Y500" i="10"/>
  <c r="Y501" i="10"/>
  <c r="Y502" i="10"/>
  <c r="Y503" i="10"/>
  <c r="Y504" i="10"/>
  <c r="Y505" i="10"/>
  <c r="Y506" i="10"/>
  <c r="Y507" i="10"/>
  <c r="Y508" i="10"/>
  <c r="Y509" i="10"/>
  <c r="Y510" i="10"/>
  <c r="Y511" i="10"/>
  <c r="Y512" i="10"/>
  <c r="Y513" i="10"/>
  <c r="Y514" i="10"/>
  <c r="Y515" i="10"/>
  <c r="Y516" i="10"/>
  <c r="Y517" i="10"/>
  <c r="Y518" i="10"/>
  <c r="Y519" i="10"/>
  <c r="Y520" i="10"/>
  <c r="Y521" i="10"/>
  <c r="Y522" i="10"/>
  <c r="Y523" i="10"/>
  <c r="Y524" i="10"/>
  <c r="Y525" i="10"/>
  <c r="Y526" i="10"/>
  <c r="Y527" i="10"/>
  <c r="Y528" i="10"/>
  <c r="Y529" i="10"/>
  <c r="Y530" i="10"/>
  <c r="Y531" i="10"/>
  <c r="Y532" i="10"/>
  <c r="Y533" i="10"/>
  <c r="Y534" i="10"/>
  <c r="Y535" i="10"/>
  <c r="Y536" i="10"/>
  <c r="Y537" i="10"/>
  <c r="Y538" i="10"/>
  <c r="Y539" i="10"/>
  <c r="Y540" i="10"/>
  <c r="Y541" i="10"/>
  <c r="Y542" i="10"/>
  <c r="Y543" i="10"/>
  <c r="Y544" i="10"/>
  <c r="Y545" i="10"/>
  <c r="Y546" i="10"/>
  <c r="Y547" i="10"/>
  <c r="Y548" i="10"/>
  <c r="Y549" i="10"/>
  <c r="Y550" i="10"/>
  <c r="Y551" i="10"/>
  <c r="Y552" i="10"/>
  <c r="Y553" i="10"/>
  <c r="Y554" i="10"/>
  <c r="Y555" i="10"/>
  <c r="Y556" i="10"/>
  <c r="Y557" i="10"/>
  <c r="Y558" i="10"/>
  <c r="Y559" i="10"/>
  <c r="Y560" i="10"/>
  <c r="Y561" i="10"/>
  <c r="Y562" i="10"/>
  <c r="Y563" i="10"/>
  <c r="Y564" i="10"/>
  <c r="Y565" i="10"/>
  <c r="Y566" i="10"/>
  <c r="Y567" i="10"/>
  <c r="Y568" i="10"/>
  <c r="Y569" i="10"/>
  <c r="Y570" i="10"/>
  <c r="Y571" i="10"/>
  <c r="Y572" i="10"/>
  <c r="Y573" i="10"/>
  <c r="Y574" i="10"/>
  <c r="Y575" i="10"/>
  <c r="Y576" i="10"/>
  <c r="Y577" i="10"/>
  <c r="Y578" i="10"/>
  <c r="Y579" i="10"/>
  <c r="Y580" i="10"/>
  <c r="Y581" i="10"/>
  <c r="Y582" i="10"/>
  <c r="Y583" i="10"/>
  <c r="Y584" i="10"/>
  <c r="Y585" i="10"/>
  <c r="Y586" i="10"/>
  <c r="Y587" i="10"/>
  <c r="Y588" i="10"/>
  <c r="Y589" i="10"/>
  <c r="Y590" i="10"/>
  <c r="Y591" i="10"/>
  <c r="Y592" i="10"/>
  <c r="Y593" i="10"/>
  <c r="Y594" i="10"/>
  <c r="Y595" i="10"/>
  <c r="Y596" i="10"/>
  <c r="Y597" i="10"/>
  <c r="Y598" i="10"/>
  <c r="Y599" i="10"/>
  <c r="Y600" i="10"/>
  <c r="Y601" i="10"/>
  <c r="Y602" i="10"/>
  <c r="Y603" i="10"/>
  <c r="Y604" i="10"/>
  <c r="Y605" i="10"/>
  <c r="Y606" i="10"/>
  <c r="Y607" i="10"/>
  <c r="Y608" i="10"/>
  <c r="Y609" i="10"/>
  <c r="Y610" i="10"/>
  <c r="Y611" i="10"/>
  <c r="Y612" i="10"/>
  <c r="Y613" i="10"/>
  <c r="Y614" i="10"/>
  <c r="Y615" i="10"/>
  <c r="Y616" i="10"/>
  <c r="Y617" i="10"/>
  <c r="Y618" i="10"/>
  <c r="Y619" i="10"/>
  <c r="Y620" i="10"/>
  <c r="Y621" i="10"/>
  <c r="Y622" i="10"/>
  <c r="Y623" i="10"/>
  <c r="Y624" i="10"/>
  <c r="Y625" i="10"/>
  <c r="Y626" i="10"/>
  <c r="Y627" i="10"/>
  <c r="Y628" i="10"/>
  <c r="Y629" i="10"/>
  <c r="Y630" i="10"/>
  <c r="Y631" i="10"/>
  <c r="Y632" i="10"/>
  <c r="Y633" i="10"/>
  <c r="Y634" i="10"/>
  <c r="Y635" i="10"/>
  <c r="Y636" i="10"/>
  <c r="Y637" i="10"/>
  <c r="Y638" i="10"/>
  <c r="Y639" i="10"/>
  <c r="Y640" i="10"/>
  <c r="Y641" i="10"/>
  <c r="Y642" i="10"/>
  <c r="Y643" i="10"/>
  <c r="Y644" i="10"/>
  <c r="Y645" i="10"/>
  <c r="Y646" i="10"/>
  <c r="Y647" i="10"/>
  <c r="Y648" i="10"/>
  <c r="Y649" i="10"/>
  <c r="Y650" i="10"/>
  <c r="Y651" i="10"/>
  <c r="Y652" i="10"/>
  <c r="Y653" i="10"/>
  <c r="Y654" i="10"/>
  <c r="Y655" i="10"/>
  <c r="Y656" i="10"/>
  <c r="Y657" i="10"/>
  <c r="Y658" i="10"/>
  <c r="Y659" i="10"/>
  <c r="Y660" i="10"/>
  <c r="Y661" i="10"/>
  <c r="Y662" i="10"/>
  <c r="Y663" i="10"/>
  <c r="Y664" i="10"/>
  <c r="Y665" i="10"/>
  <c r="Y666" i="10"/>
  <c r="Y667" i="10"/>
  <c r="Y668" i="10"/>
  <c r="Y669" i="10"/>
  <c r="Y670" i="10"/>
  <c r="Y671" i="10"/>
  <c r="Y672" i="10"/>
  <c r="Y673" i="10"/>
  <c r="Y674" i="10"/>
  <c r="Y675" i="10"/>
  <c r="Y676" i="10"/>
  <c r="Y677" i="10"/>
  <c r="Y678" i="10"/>
  <c r="Y679" i="10"/>
  <c r="Y680" i="10"/>
  <c r="Y681" i="10"/>
  <c r="Y682" i="10"/>
  <c r="Y683" i="10"/>
  <c r="Y684" i="10"/>
  <c r="Y685" i="10"/>
  <c r="Y686" i="10"/>
  <c r="Y687" i="10"/>
  <c r="Y688" i="10"/>
  <c r="Y689" i="10"/>
  <c r="Y690" i="10"/>
  <c r="Y691" i="10"/>
  <c r="Y692" i="10"/>
  <c r="Y693" i="10"/>
  <c r="Y694" i="10"/>
  <c r="Y695" i="10"/>
  <c r="Y696" i="10"/>
  <c r="Y697" i="10"/>
  <c r="Y698" i="10"/>
  <c r="Y699" i="10"/>
  <c r="Y700" i="10"/>
  <c r="Y701" i="10"/>
  <c r="Y702" i="10"/>
  <c r="Y703" i="10"/>
  <c r="Y704" i="10"/>
  <c r="Y705" i="10"/>
  <c r="Y706" i="10"/>
  <c r="Y707" i="10"/>
  <c r="Y708" i="10"/>
  <c r="Y709" i="10"/>
  <c r="Y710" i="10"/>
  <c r="Y711" i="10"/>
  <c r="Y712" i="10"/>
  <c r="Y713" i="10"/>
  <c r="Y714" i="10"/>
  <c r="Y715" i="10"/>
  <c r="Y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12" i="10"/>
  <c r="F42" i="10"/>
  <c r="U23" i="10"/>
  <c r="U43" i="10"/>
  <c r="U55" i="10"/>
  <c r="U75" i="10"/>
  <c r="U87" i="10"/>
  <c r="U95" i="10"/>
  <c r="U103" i="10"/>
  <c r="U111" i="10"/>
  <c r="U123" i="10"/>
  <c r="U139" i="10"/>
  <c r="U151" i="10"/>
  <c r="U159" i="10"/>
  <c r="U167" i="10"/>
  <c r="U175" i="10"/>
  <c r="U187" i="10"/>
  <c r="U203" i="10"/>
  <c r="U215" i="10"/>
  <c r="U223" i="10"/>
  <c r="U231" i="10"/>
  <c r="U239" i="10"/>
  <c r="U251" i="10"/>
  <c r="U267" i="10"/>
  <c r="U279" i="10"/>
  <c r="U287" i="10"/>
  <c r="U295" i="10"/>
  <c r="U303" i="10"/>
  <c r="U315" i="10"/>
  <c r="U331" i="10"/>
  <c r="U343" i="10"/>
  <c r="U351" i="10"/>
  <c r="U363" i="10"/>
  <c r="U367" i="10"/>
  <c r="U379" i="10"/>
  <c r="U383" i="10"/>
  <c r="U395" i="10"/>
  <c r="U399" i="10"/>
  <c r="U411" i="10"/>
  <c r="U415" i="10"/>
  <c r="U427" i="10"/>
  <c r="U431" i="10"/>
  <c r="U443" i="10"/>
  <c r="U447" i="10"/>
  <c r="U459" i="10"/>
  <c r="U463" i="10"/>
  <c r="U475" i="10"/>
  <c r="U479" i="10"/>
  <c r="U491" i="10"/>
  <c r="U495" i="10"/>
  <c r="U507" i="10"/>
  <c r="U511" i="10"/>
  <c r="U523" i="10"/>
  <c r="U527" i="10"/>
  <c r="U539" i="10"/>
  <c r="U543" i="10"/>
  <c r="U555" i="10"/>
  <c r="U559" i="10"/>
  <c r="U571" i="10"/>
  <c r="U575" i="10"/>
  <c r="U587" i="10"/>
  <c r="U591" i="10"/>
  <c r="U603" i="10"/>
  <c r="U607" i="10"/>
  <c r="U619" i="10"/>
  <c r="U623" i="10"/>
  <c r="U635" i="10"/>
  <c r="U639" i="10"/>
  <c r="U651" i="10"/>
  <c r="U655" i="10"/>
  <c r="U667" i="10"/>
  <c r="U671" i="10"/>
  <c r="U683" i="10"/>
  <c r="U687" i="10"/>
  <c r="U699" i="10"/>
  <c r="U703" i="10"/>
  <c r="U715" i="10"/>
  <c r="U719" i="10"/>
  <c r="U731" i="10"/>
  <c r="U729" i="10"/>
  <c r="U725" i="10"/>
  <c r="U713" i="10"/>
  <c r="U709" i="10"/>
  <c r="U697" i="10"/>
  <c r="U693" i="10"/>
  <c r="U681" i="10"/>
  <c r="U677" i="10"/>
  <c r="U665" i="10"/>
  <c r="U661" i="10"/>
  <c r="U649" i="10"/>
  <c r="U645" i="10"/>
  <c r="U633" i="10"/>
  <c r="U629" i="10"/>
  <c r="U617" i="10"/>
  <c r="U613" i="10"/>
  <c r="U601" i="10"/>
  <c r="U597" i="10"/>
  <c r="U585" i="10"/>
  <c r="U581" i="10"/>
  <c r="U569" i="10"/>
  <c r="U565" i="10"/>
  <c r="U553" i="10"/>
  <c r="U549" i="10"/>
  <c r="U537" i="10"/>
  <c r="U533" i="10"/>
  <c r="U521" i="10"/>
  <c r="U517" i="10"/>
  <c r="U505" i="10"/>
  <c r="U501" i="10"/>
  <c r="U489" i="10"/>
  <c r="U485" i="10"/>
  <c r="U473" i="10"/>
  <c r="U469" i="10"/>
  <c r="U457" i="10"/>
  <c r="U453" i="10"/>
  <c r="U441" i="10"/>
  <c r="U437" i="10"/>
  <c r="U425" i="10"/>
  <c r="U421" i="10"/>
  <c r="U409" i="10"/>
  <c r="U405" i="10"/>
  <c r="U393" i="10"/>
  <c r="U389" i="10"/>
  <c r="U377" i="10"/>
  <c r="U373" i="10"/>
  <c r="U361" i="10"/>
  <c r="U357" i="10"/>
  <c r="U730" i="10"/>
  <c r="U728" i="10"/>
  <c r="U727" i="10"/>
  <c r="U726" i="10"/>
  <c r="U724" i="10"/>
  <c r="U723" i="10"/>
  <c r="U722" i="10"/>
  <c r="U720" i="10"/>
  <c r="U718" i="10"/>
  <c r="U716" i="10"/>
  <c r="U714" i="10"/>
  <c r="U712" i="10"/>
  <c r="U711" i="10"/>
  <c r="U710" i="10"/>
  <c r="U708" i="10"/>
  <c r="U707" i="10"/>
  <c r="U706" i="10"/>
  <c r="U704" i="10"/>
  <c r="U702" i="10"/>
  <c r="U700" i="10"/>
  <c r="U698" i="10"/>
  <c r="U696" i="10"/>
  <c r="U695" i="10"/>
  <c r="U694" i="10"/>
  <c r="U692" i="10"/>
  <c r="U691" i="10"/>
  <c r="U690" i="10"/>
  <c r="U688" i="10"/>
  <c r="U686" i="10"/>
  <c r="U684" i="10"/>
  <c r="U682" i="10"/>
  <c r="U680" i="10"/>
  <c r="U679" i="10"/>
  <c r="U678" i="10"/>
  <c r="U676" i="10"/>
  <c r="U675" i="10"/>
  <c r="U674" i="10"/>
  <c r="U672" i="10"/>
  <c r="U670" i="10"/>
  <c r="U668" i="10"/>
  <c r="U666" i="10"/>
  <c r="U664" i="10"/>
  <c r="U663" i="10"/>
  <c r="U662" i="10"/>
  <c r="U660" i="10"/>
  <c r="U659" i="10"/>
  <c r="U658" i="10"/>
  <c r="U656" i="10"/>
  <c r="U654" i="10"/>
  <c r="U652" i="10"/>
  <c r="U650" i="10"/>
  <c r="U648" i="10"/>
  <c r="U647" i="10"/>
  <c r="U646" i="10"/>
  <c r="U644" i="10"/>
  <c r="U643" i="10"/>
  <c r="U642" i="10"/>
  <c r="U640" i="10"/>
  <c r="U638" i="10"/>
  <c r="U636" i="10"/>
  <c r="U634" i="10"/>
  <c r="U632" i="10"/>
  <c r="U631" i="10"/>
  <c r="U630" i="10"/>
  <c r="U628" i="10"/>
  <c r="U627" i="10"/>
  <c r="U626" i="10"/>
  <c r="U624" i="10"/>
  <c r="U622" i="10"/>
  <c r="U620" i="10"/>
  <c r="U618" i="10"/>
  <c r="U616" i="10"/>
  <c r="U615" i="10"/>
  <c r="U614" i="10"/>
  <c r="U612" i="10"/>
  <c r="U611" i="10"/>
  <c r="U610" i="10"/>
  <c r="U608" i="10"/>
  <c r="U606" i="10"/>
  <c r="U604" i="10"/>
  <c r="U602" i="10"/>
  <c r="U600" i="10"/>
  <c r="U599" i="10"/>
  <c r="U598" i="10"/>
  <c r="U596" i="10"/>
  <c r="U595" i="10"/>
  <c r="U594" i="10"/>
  <c r="U592" i="10"/>
  <c r="U590" i="10"/>
  <c r="U588" i="10"/>
  <c r="U586" i="10"/>
  <c r="U584" i="10"/>
  <c r="U583" i="10"/>
  <c r="U582" i="10"/>
  <c r="U580" i="10"/>
  <c r="U579" i="10"/>
  <c r="U578" i="10"/>
  <c r="U576" i="10"/>
  <c r="U574" i="10"/>
  <c r="U572" i="10"/>
  <c r="U570" i="10"/>
  <c r="U568" i="10"/>
  <c r="U567" i="10"/>
  <c r="U566" i="10"/>
  <c r="U564" i="10"/>
  <c r="U563" i="10"/>
  <c r="U562" i="10"/>
  <c r="U560" i="10"/>
  <c r="U558" i="10"/>
  <c r="U556" i="10"/>
  <c r="U554" i="10"/>
  <c r="U552" i="10"/>
  <c r="U551" i="10"/>
  <c r="U550" i="10"/>
  <c r="U548" i="10"/>
  <c r="U547" i="10"/>
  <c r="U546" i="10"/>
  <c r="U544" i="10"/>
  <c r="U542" i="10"/>
  <c r="U540" i="10"/>
  <c r="U538" i="10"/>
  <c r="U536" i="10"/>
  <c r="U535" i="10"/>
  <c r="U534" i="10"/>
  <c r="U532" i="10"/>
  <c r="U531" i="10"/>
  <c r="U530" i="10"/>
  <c r="U528" i="10"/>
  <c r="U526" i="10"/>
  <c r="U524" i="10"/>
  <c r="U522" i="10"/>
  <c r="U520" i="10"/>
  <c r="U519" i="10"/>
  <c r="U518" i="10"/>
  <c r="U516" i="10"/>
  <c r="U515" i="10"/>
  <c r="U514" i="10"/>
  <c r="U512" i="10"/>
  <c r="U510" i="10"/>
  <c r="U508" i="10"/>
  <c r="U506" i="10"/>
  <c r="U504" i="10"/>
  <c r="U503" i="10"/>
  <c r="U502" i="10"/>
  <c r="U500" i="10"/>
  <c r="U499" i="10"/>
  <c r="U498" i="10"/>
  <c r="U496" i="10"/>
  <c r="U494" i="10"/>
  <c r="U492" i="10"/>
  <c r="U490" i="10"/>
  <c r="U488" i="10"/>
  <c r="U487" i="10"/>
  <c r="U486" i="10"/>
  <c r="U484" i="10"/>
  <c r="U483" i="10"/>
  <c r="U482" i="10"/>
  <c r="U480" i="10"/>
  <c r="U478" i="10"/>
  <c r="U476" i="10"/>
  <c r="U474" i="10"/>
  <c r="U472" i="10"/>
  <c r="U471" i="10"/>
  <c r="U470" i="10"/>
  <c r="U468" i="10"/>
  <c r="U467" i="10"/>
  <c r="U466" i="10"/>
  <c r="U464" i="10"/>
  <c r="U462" i="10"/>
  <c r="U460" i="10"/>
  <c r="U458" i="10"/>
  <c r="U456" i="10"/>
  <c r="U455" i="10"/>
  <c r="U454" i="10"/>
  <c r="U452" i="10"/>
  <c r="U451" i="10"/>
  <c r="U450" i="10"/>
  <c r="U448" i="10"/>
  <c r="U446" i="10"/>
  <c r="U444" i="10"/>
  <c r="U442" i="10"/>
  <c r="U440" i="10"/>
  <c r="U439" i="10"/>
  <c r="U438" i="10"/>
  <c r="U436" i="10"/>
  <c r="U435" i="10"/>
  <c r="U434" i="10"/>
  <c r="U432" i="10"/>
  <c r="U430" i="10"/>
  <c r="U428" i="10"/>
  <c r="U426" i="10"/>
  <c r="U424" i="10"/>
  <c r="U423" i="10"/>
  <c r="U422" i="10"/>
  <c r="U420" i="10"/>
  <c r="U419" i="10"/>
  <c r="U418" i="10"/>
  <c r="U416" i="10"/>
  <c r="U414" i="10"/>
  <c r="U412" i="10"/>
  <c r="U410" i="10"/>
  <c r="U408" i="10"/>
  <c r="U407" i="10"/>
  <c r="U406" i="10"/>
  <c r="U404" i="10"/>
  <c r="U403" i="10"/>
  <c r="U402" i="10"/>
  <c r="U400" i="10"/>
  <c r="U398" i="10"/>
  <c r="U396" i="10"/>
  <c r="U394" i="10"/>
  <c r="U392" i="10"/>
  <c r="U391" i="10"/>
  <c r="U390" i="10"/>
  <c r="U388" i="10"/>
  <c r="U387" i="10"/>
  <c r="U386" i="10"/>
  <c r="U384" i="10"/>
  <c r="U382" i="10"/>
  <c r="U380" i="10"/>
  <c r="U378" i="10"/>
  <c r="U376" i="10"/>
  <c r="U375" i="10"/>
  <c r="U374" i="10"/>
  <c r="U372" i="10"/>
  <c r="U371" i="10"/>
  <c r="U370" i="10"/>
  <c r="U368" i="10"/>
  <c r="U366" i="10"/>
  <c r="U364" i="10"/>
  <c r="U362" i="10"/>
  <c r="U360" i="10"/>
  <c r="U359" i="10"/>
  <c r="U358" i="10"/>
  <c r="U356" i="10"/>
  <c r="U355" i="10"/>
  <c r="U354" i="10"/>
  <c r="U352" i="10"/>
  <c r="U350" i="10"/>
  <c r="U348" i="10"/>
  <c r="U347" i="10"/>
  <c r="U346" i="10"/>
  <c r="U344" i="10"/>
  <c r="U342" i="10"/>
  <c r="U340" i="10"/>
  <c r="U339" i="10"/>
  <c r="U338" i="10"/>
  <c r="U336" i="10"/>
  <c r="U335" i="10"/>
  <c r="U334" i="10"/>
  <c r="U332" i="10"/>
  <c r="U330" i="10"/>
  <c r="U328" i="10"/>
  <c r="U327" i="10"/>
  <c r="U326" i="10"/>
  <c r="U324" i="10"/>
  <c r="U323" i="10"/>
  <c r="U322" i="10"/>
  <c r="U320" i="10"/>
  <c r="U319" i="10"/>
  <c r="U318" i="10"/>
  <c r="U316" i="10"/>
  <c r="U314" i="10"/>
  <c r="U312" i="10"/>
  <c r="U311" i="10"/>
  <c r="U310" i="10"/>
  <c r="U308" i="10"/>
  <c r="U307" i="10"/>
  <c r="U306" i="10"/>
  <c r="U304" i="10"/>
  <c r="U302" i="10"/>
  <c r="U300" i="10"/>
  <c r="U299" i="10"/>
  <c r="U298" i="10"/>
  <c r="U296" i="10"/>
  <c r="U294" i="10"/>
  <c r="U292" i="10"/>
  <c r="U291" i="10"/>
  <c r="U290" i="10"/>
  <c r="U288" i="10"/>
  <c r="U286" i="10"/>
  <c r="U284" i="10"/>
  <c r="U283" i="10"/>
  <c r="U282" i="10"/>
  <c r="U280" i="10"/>
  <c r="U278" i="10"/>
  <c r="U276" i="10"/>
  <c r="U275" i="10"/>
  <c r="U274" i="10"/>
  <c r="U272" i="10"/>
  <c r="U271" i="10"/>
  <c r="U270" i="10"/>
  <c r="U268" i="10"/>
  <c r="U266" i="10"/>
  <c r="U264" i="10"/>
  <c r="U263" i="10"/>
  <c r="U262" i="10"/>
  <c r="U260" i="10"/>
  <c r="U259" i="10"/>
  <c r="U258" i="10"/>
  <c r="U256" i="10"/>
  <c r="U255" i="10"/>
  <c r="U254" i="10"/>
  <c r="U252" i="10"/>
  <c r="U250" i="10"/>
  <c r="U248" i="10"/>
  <c r="U247" i="10"/>
  <c r="U246" i="10"/>
  <c r="U244" i="10"/>
  <c r="U243" i="10"/>
  <c r="U242" i="10"/>
  <c r="U240" i="10"/>
  <c r="U238" i="10"/>
  <c r="U236" i="10"/>
  <c r="U235" i="10"/>
  <c r="U234" i="10"/>
  <c r="U232" i="10"/>
  <c r="U230" i="10"/>
  <c r="U228" i="10"/>
  <c r="U227" i="10"/>
  <c r="U226" i="10"/>
  <c r="U224" i="10"/>
  <c r="U222" i="10"/>
  <c r="U220" i="10"/>
  <c r="U219" i="10"/>
  <c r="U218" i="10"/>
  <c r="U216" i="10"/>
  <c r="U214" i="10"/>
  <c r="U212" i="10"/>
  <c r="U211" i="10"/>
  <c r="U210" i="10"/>
  <c r="U208" i="10"/>
  <c r="U207" i="10"/>
  <c r="U206" i="10"/>
  <c r="U204" i="10"/>
  <c r="U202" i="10"/>
  <c r="U200" i="10"/>
  <c r="U199" i="10"/>
  <c r="U198" i="10"/>
  <c r="U196" i="10"/>
  <c r="U195" i="10"/>
  <c r="U194" i="10"/>
  <c r="U192" i="10"/>
  <c r="U191" i="10"/>
  <c r="U190" i="10"/>
  <c r="U188" i="10"/>
  <c r="U186" i="10"/>
  <c r="U184" i="10"/>
  <c r="U183" i="10"/>
  <c r="U182" i="10"/>
  <c r="U180" i="10"/>
  <c r="U179" i="10"/>
  <c r="U178" i="10"/>
  <c r="U176" i="10"/>
  <c r="U174" i="10"/>
  <c r="U172" i="10"/>
  <c r="U171" i="10"/>
  <c r="U170" i="10"/>
  <c r="U168" i="10"/>
  <c r="U166" i="10"/>
  <c r="U164" i="10"/>
  <c r="U163" i="10"/>
  <c r="U162" i="10"/>
  <c r="U160" i="10"/>
  <c r="U158" i="10"/>
  <c r="U156" i="10"/>
  <c r="U155" i="10"/>
  <c r="U154" i="10"/>
  <c r="U152" i="10"/>
  <c r="U150" i="10"/>
  <c r="U148" i="10"/>
  <c r="U147" i="10"/>
  <c r="U146" i="10"/>
  <c r="U144" i="10"/>
  <c r="U143" i="10"/>
  <c r="U142" i="10"/>
  <c r="U140" i="10"/>
  <c r="U138" i="10"/>
  <c r="U136" i="10"/>
  <c r="U135" i="10"/>
  <c r="U134" i="10"/>
  <c r="U132" i="10"/>
  <c r="U131" i="10"/>
  <c r="U130" i="10"/>
  <c r="U128" i="10"/>
  <c r="U127" i="10"/>
  <c r="U126" i="10"/>
  <c r="U124" i="10"/>
  <c r="U122" i="10"/>
  <c r="U120" i="10"/>
  <c r="U119" i="10"/>
  <c r="U118" i="10"/>
  <c r="U116" i="10"/>
  <c r="U115" i="10"/>
  <c r="U114" i="10"/>
  <c r="U112" i="10"/>
  <c r="U110" i="10"/>
  <c r="U108" i="10"/>
  <c r="U107" i="10"/>
  <c r="U106" i="10"/>
  <c r="U104" i="10"/>
  <c r="U102" i="10"/>
  <c r="U100" i="10"/>
  <c r="U99" i="10"/>
  <c r="U98" i="10"/>
  <c r="U96" i="10"/>
  <c r="U94" i="10"/>
  <c r="U92" i="10"/>
  <c r="U91" i="10"/>
  <c r="U90" i="10"/>
  <c r="U88" i="10"/>
  <c r="U86" i="10"/>
  <c r="U84" i="10"/>
  <c r="U83" i="10"/>
  <c r="U82" i="10"/>
  <c r="U80" i="10"/>
  <c r="U79" i="10"/>
  <c r="U78" i="10"/>
  <c r="U76" i="10"/>
  <c r="U74" i="10"/>
  <c r="U72" i="10"/>
  <c r="U71" i="10"/>
  <c r="U70" i="10"/>
  <c r="U68" i="10"/>
  <c r="U67" i="10"/>
  <c r="U66" i="10"/>
  <c r="U64" i="10"/>
  <c r="U63" i="10"/>
  <c r="U62" i="10"/>
  <c r="U60" i="10"/>
  <c r="U59" i="10"/>
  <c r="U58" i="10"/>
  <c r="U56" i="10"/>
  <c r="U54" i="10"/>
  <c r="U52" i="10"/>
  <c r="U51" i="10"/>
  <c r="U50" i="10"/>
  <c r="U48" i="10"/>
  <c r="U47" i="10"/>
  <c r="U46" i="10"/>
  <c r="U44" i="10"/>
  <c r="U42" i="10"/>
  <c r="U40" i="10"/>
  <c r="U39" i="10"/>
  <c r="U38" i="10"/>
  <c r="U36" i="10"/>
  <c r="U35" i="10"/>
  <c r="U34" i="10"/>
  <c r="U32" i="10"/>
  <c r="U31" i="10"/>
  <c r="U30" i="10"/>
  <c r="U28" i="10"/>
  <c r="U27" i="10"/>
  <c r="U26" i="10"/>
  <c r="U24" i="10"/>
  <c r="U22" i="10"/>
  <c r="U20" i="10"/>
  <c r="U19" i="10"/>
  <c r="U18" i="10"/>
  <c r="U16" i="10"/>
  <c r="U15" i="10"/>
  <c r="U14" i="10"/>
  <c r="U12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501" i="10"/>
  <c r="Q502" i="10"/>
  <c r="Q503" i="10"/>
  <c r="Q504" i="10"/>
  <c r="Q505" i="10"/>
  <c r="Q506" i="10"/>
  <c r="Q507" i="10"/>
  <c r="Q508" i="10"/>
  <c r="Q509" i="10"/>
  <c r="Q510" i="10"/>
  <c r="Q511" i="10"/>
  <c r="Q512" i="10"/>
  <c r="Q513" i="10"/>
  <c r="Q514" i="10"/>
  <c r="Q515" i="10"/>
  <c r="Q516" i="10"/>
  <c r="Q517" i="10"/>
  <c r="Q518" i="10"/>
  <c r="Q519" i="10"/>
  <c r="Q520" i="10"/>
  <c r="Q521" i="10"/>
  <c r="Q522" i="10"/>
  <c r="Q523" i="10"/>
  <c r="Q524" i="10"/>
  <c r="Q525" i="10"/>
  <c r="Q526" i="10"/>
  <c r="Q527" i="10"/>
  <c r="Q528" i="10"/>
  <c r="Q529" i="10"/>
  <c r="Q530" i="10"/>
  <c r="Q531" i="10"/>
  <c r="Q532" i="10"/>
  <c r="Q533" i="10"/>
  <c r="Q534" i="10"/>
  <c r="Q535" i="10"/>
  <c r="Q536" i="10"/>
  <c r="Q537" i="10"/>
  <c r="Q538" i="10"/>
  <c r="Q539" i="10"/>
  <c r="Q540" i="10"/>
  <c r="Q541" i="10"/>
  <c r="Q542" i="10"/>
  <c r="Q543" i="10"/>
  <c r="Q544" i="10"/>
  <c r="Q545" i="10"/>
  <c r="Q546" i="10"/>
  <c r="Q547" i="10"/>
  <c r="Q548" i="10"/>
  <c r="Q549" i="10"/>
  <c r="Q550" i="10"/>
  <c r="Q551" i="10"/>
  <c r="Q552" i="10"/>
  <c r="Q553" i="10"/>
  <c r="Q554" i="10"/>
  <c r="Q555" i="10"/>
  <c r="Q556" i="10"/>
  <c r="Q557" i="10"/>
  <c r="Q558" i="10"/>
  <c r="Q559" i="10"/>
  <c r="Q560" i="10"/>
  <c r="Q561" i="10"/>
  <c r="Q562" i="10"/>
  <c r="Q563" i="10"/>
  <c r="Q564" i="10"/>
  <c r="Q565" i="10"/>
  <c r="Q566" i="10"/>
  <c r="Q567" i="10"/>
  <c r="Q568" i="10"/>
  <c r="Q569" i="10"/>
  <c r="Q570" i="10"/>
  <c r="Q571" i="10"/>
  <c r="Q572" i="10"/>
  <c r="Q573" i="10"/>
  <c r="Q574" i="10"/>
  <c r="Q575" i="10"/>
  <c r="Q576" i="10"/>
  <c r="Q577" i="10"/>
  <c r="Q578" i="10"/>
  <c r="Q579" i="10"/>
  <c r="Q580" i="10"/>
  <c r="Q581" i="10"/>
  <c r="Q582" i="10"/>
  <c r="Q583" i="10"/>
  <c r="Q584" i="10"/>
  <c r="Q585" i="10"/>
  <c r="Q586" i="10"/>
  <c r="Q587" i="10"/>
  <c r="Q588" i="10"/>
  <c r="Q589" i="10"/>
  <c r="Q590" i="10"/>
  <c r="Q591" i="10"/>
  <c r="Q592" i="10"/>
  <c r="Q593" i="10"/>
  <c r="Q594" i="10"/>
  <c r="Q595" i="10"/>
  <c r="Q596" i="10"/>
  <c r="Q597" i="10"/>
  <c r="Q598" i="10"/>
  <c r="Q599" i="10"/>
  <c r="Q600" i="10"/>
  <c r="Q601" i="10"/>
  <c r="Q602" i="10"/>
  <c r="Q603" i="10"/>
  <c r="Q604" i="10"/>
  <c r="Q605" i="10"/>
  <c r="Q606" i="10"/>
  <c r="Q607" i="10"/>
  <c r="Q608" i="10"/>
  <c r="Q609" i="10"/>
  <c r="Q610" i="10"/>
  <c r="Q611" i="10"/>
  <c r="Q612" i="10"/>
  <c r="Q613" i="10"/>
  <c r="Q614" i="10"/>
  <c r="Q615" i="10"/>
  <c r="Q616" i="10"/>
  <c r="Q617" i="10"/>
  <c r="Q618" i="10"/>
  <c r="Q619" i="10"/>
  <c r="Q620" i="10"/>
  <c r="Q621" i="10"/>
  <c r="Q622" i="10"/>
  <c r="Q623" i="10"/>
  <c r="Q624" i="10"/>
  <c r="Q625" i="10"/>
  <c r="Q626" i="10"/>
  <c r="Q627" i="10"/>
  <c r="Q628" i="10"/>
  <c r="Q629" i="10"/>
  <c r="Q630" i="10"/>
  <c r="Q631" i="10"/>
  <c r="Q632" i="10"/>
  <c r="Q633" i="10"/>
  <c r="Q634" i="10"/>
  <c r="Q635" i="10"/>
  <c r="Q636" i="10"/>
  <c r="Q637" i="10"/>
  <c r="Q638" i="10"/>
  <c r="Q639" i="10"/>
  <c r="Q640" i="10"/>
  <c r="Q641" i="10"/>
  <c r="Q642" i="10"/>
  <c r="Q643" i="10"/>
  <c r="Q644" i="10"/>
  <c r="Q645" i="10"/>
  <c r="Q646" i="10"/>
  <c r="Q647" i="10"/>
  <c r="Q648" i="10"/>
  <c r="Q649" i="10"/>
  <c r="Q650" i="10"/>
  <c r="Q651" i="10"/>
  <c r="Q652" i="10"/>
  <c r="Q653" i="10"/>
  <c r="Q654" i="10"/>
  <c r="Q655" i="10"/>
  <c r="Q656" i="10"/>
  <c r="Q657" i="10"/>
  <c r="Q658" i="10"/>
  <c r="Q659" i="10"/>
  <c r="Q660" i="10"/>
  <c r="Q661" i="10"/>
  <c r="Q662" i="10"/>
  <c r="Q663" i="10"/>
  <c r="Q664" i="10"/>
  <c r="Q665" i="10"/>
  <c r="Q666" i="10"/>
  <c r="Q667" i="10"/>
  <c r="Q668" i="10"/>
  <c r="Q669" i="10"/>
  <c r="Q670" i="10"/>
  <c r="Q671" i="10"/>
  <c r="Q672" i="10"/>
  <c r="Q673" i="10"/>
  <c r="Q674" i="10"/>
  <c r="Q675" i="10"/>
  <c r="Q676" i="10"/>
  <c r="Q677" i="10"/>
  <c r="Q678" i="10"/>
  <c r="Q679" i="10"/>
  <c r="Q680" i="10"/>
  <c r="Q681" i="10"/>
  <c r="Q682" i="10"/>
  <c r="Q683" i="10"/>
  <c r="Q684" i="10"/>
  <c r="Q685" i="10"/>
  <c r="Q686" i="10"/>
  <c r="Q687" i="10"/>
  <c r="Q688" i="10"/>
  <c r="Q689" i="10"/>
  <c r="Q690" i="10"/>
  <c r="Q691" i="10"/>
  <c r="Q692" i="10"/>
  <c r="Q693" i="10"/>
  <c r="Q694" i="10"/>
  <c r="Q695" i="10"/>
  <c r="Q696" i="10"/>
  <c r="Q697" i="10"/>
  <c r="Q698" i="10"/>
  <c r="Q699" i="10"/>
  <c r="Q700" i="10"/>
  <c r="Q701" i="10"/>
  <c r="Q702" i="10"/>
  <c r="Q703" i="10"/>
  <c r="Q704" i="10"/>
  <c r="Q705" i="10"/>
  <c r="Q706" i="10"/>
  <c r="Q707" i="10"/>
  <c r="Q708" i="10"/>
  <c r="Q709" i="10"/>
  <c r="Q710" i="10"/>
  <c r="Q711" i="10"/>
  <c r="Q712" i="10"/>
  <c r="Q713" i="10"/>
  <c r="Q714" i="10"/>
  <c r="Q715" i="10"/>
  <c r="Q716" i="10"/>
  <c r="Q717" i="10"/>
  <c r="Q718" i="10"/>
  <c r="Q719" i="10"/>
  <c r="Q720" i="10"/>
  <c r="Q721" i="10"/>
  <c r="Q722" i="10"/>
  <c r="Q723" i="10"/>
  <c r="Q724" i="10"/>
  <c r="Q725" i="10"/>
  <c r="Q726" i="10"/>
  <c r="Q727" i="10"/>
  <c r="Q728" i="10"/>
  <c r="Q729" i="10"/>
  <c r="Q730" i="10"/>
  <c r="Q731" i="10"/>
  <c r="Q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M493" i="10"/>
  <c r="M494" i="10"/>
  <c r="M495" i="10"/>
  <c r="M496" i="10"/>
  <c r="M497" i="10"/>
  <c r="M498" i="10"/>
  <c r="M499" i="10"/>
  <c r="M500" i="10"/>
  <c r="M501" i="10"/>
  <c r="M502" i="10"/>
  <c r="M503" i="10"/>
  <c r="M504" i="10"/>
  <c r="M505" i="10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M660" i="10"/>
  <c r="M661" i="10"/>
  <c r="M662" i="10"/>
  <c r="M663" i="10"/>
  <c r="M664" i="10"/>
  <c r="M665" i="10"/>
  <c r="M666" i="10"/>
  <c r="M667" i="10"/>
  <c r="M668" i="10"/>
  <c r="M669" i="10"/>
  <c r="M670" i="10"/>
  <c r="M671" i="10"/>
  <c r="M672" i="10"/>
  <c r="M673" i="10"/>
  <c r="M674" i="10"/>
  <c r="M675" i="10"/>
  <c r="M676" i="10"/>
  <c r="M677" i="10"/>
  <c r="M678" i="10"/>
  <c r="M679" i="10"/>
  <c r="M680" i="10"/>
  <c r="M681" i="10"/>
  <c r="M682" i="10"/>
  <c r="M683" i="10"/>
  <c r="M684" i="10"/>
  <c r="M685" i="10"/>
  <c r="M686" i="10"/>
  <c r="M687" i="10"/>
  <c r="M688" i="10"/>
  <c r="M689" i="10"/>
  <c r="M690" i="10"/>
  <c r="M691" i="10"/>
  <c r="M692" i="10"/>
  <c r="M693" i="10"/>
  <c r="M694" i="10"/>
  <c r="M695" i="10"/>
  <c r="M696" i="10"/>
  <c r="M697" i="10"/>
  <c r="M698" i="10"/>
  <c r="M699" i="10"/>
  <c r="M700" i="10"/>
  <c r="M701" i="10"/>
  <c r="M702" i="10"/>
  <c r="M703" i="10"/>
  <c r="M704" i="10"/>
  <c r="M705" i="10"/>
  <c r="M706" i="10"/>
  <c r="M707" i="10"/>
  <c r="M708" i="10"/>
  <c r="M709" i="10"/>
  <c r="M710" i="10"/>
  <c r="M711" i="10"/>
  <c r="M712" i="10"/>
  <c r="M713" i="10"/>
  <c r="M714" i="10"/>
  <c r="M715" i="10"/>
  <c r="M716" i="10"/>
  <c r="M717" i="10"/>
  <c r="M718" i="10"/>
  <c r="M719" i="10"/>
  <c r="M720" i="10"/>
  <c r="M721" i="10"/>
  <c r="M722" i="10"/>
  <c r="M723" i="10"/>
  <c r="M724" i="10"/>
  <c r="M725" i="10"/>
  <c r="M726" i="10"/>
  <c r="M727" i="10"/>
  <c r="M728" i="10"/>
  <c r="M729" i="10"/>
  <c r="M730" i="10"/>
  <c r="M731" i="10"/>
  <c r="M11" i="10"/>
  <c r="U353" i="10" l="1"/>
  <c r="U365" i="10"/>
  <c r="U369" i="10"/>
  <c r="U381" i="10"/>
  <c r="U385" i="10"/>
  <c r="U397" i="10"/>
  <c r="U401" i="10"/>
  <c r="U413" i="10"/>
  <c r="U417" i="10"/>
  <c r="U429" i="10"/>
  <c r="U433" i="10"/>
  <c r="U445" i="10"/>
  <c r="U449" i="10"/>
  <c r="U461" i="10"/>
  <c r="U465" i="10"/>
  <c r="U477" i="10"/>
  <c r="U481" i="10"/>
  <c r="U493" i="10"/>
  <c r="U497" i="10"/>
  <c r="U509" i="10"/>
  <c r="U513" i="10"/>
  <c r="U525" i="10"/>
  <c r="U529" i="10"/>
  <c r="U541" i="10"/>
  <c r="U545" i="10"/>
  <c r="U557" i="10"/>
  <c r="U561" i="10"/>
  <c r="U573" i="10"/>
  <c r="U577" i="10"/>
  <c r="U589" i="10"/>
  <c r="U593" i="10"/>
  <c r="U605" i="10"/>
  <c r="U609" i="10"/>
  <c r="U621" i="10"/>
  <c r="U625" i="10"/>
  <c r="U637" i="10"/>
  <c r="U641" i="10"/>
  <c r="U653" i="10"/>
  <c r="U657" i="10"/>
  <c r="U669" i="10"/>
  <c r="U673" i="10"/>
  <c r="U685" i="10"/>
  <c r="U689" i="10"/>
  <c r="U701" i="10"/>
  <c r="U705" i="10"/>
  <c r="U717" i="10"/>
  <c r="U721" i="10"/>
  <c r="U13" i="10"/>
  <c r="U17" i="10"/>
  <c r="U21" i="10"/>
  <c r="U25" i="10"/>
  <c r="U29" i="10"/>
  <c r="U33" i="10"/>
  <c r="U37" i="10"/>
  <c r="U41" i="10"/>
  <c r="U45" i="10"/>
  <c r="U49" i="10"/>
  <c r="U53" i="10"/>
  <c r="U57" i="10"/>
  <c r="U61" i="10"/>
  <c r="U65" i="10"/>
  <c r="U69" i="10"/>
  <c r="U73" i="10"/>
  <c r="U77" i="10"/>
  <c r="U81" i="10"/>
  <c r="U85" i="10"/>
  <c r="U89" i="10"/>
  <c r="U93" i="10"/>
  <c r="U97" i="10"/>
  <c r="U101" i="10"/>
  <c r="U105" i="10"/>
  <c r="U109" i="10"/>
  <c r="U113" i="10"/>
  <c r="U117" i="10"/>
  <c r="U121" i="10"/>
  <c r="U125" i="10"/>
  <c r="U129" i="10"/>
  <c r="U133" i="10"/>
  <c r="U137" i="10"/>
  <c r="U141" i="10"/>
  <c r="U145" i="10"/>
  <c r="U149" i="10"/>
  <c r="U153" i="10"/>
  <c r="U157" i="10"/>
  <c r="U161" i="10"/>
  <c r="U165" i="10"/>
  <c r="U169" i="10"/>
  <c r="U173" i="10"/>
  <c r="U177" i="10"/>
  <c r="U181" i="10"/>
  <c r="U185" i="10"/>
  <c r="U189" i="10"/>
  <c r="U193" i="10"/>
  <c r="U197" i="10"/>
  <c r="U201" i="10"/>
  <c r="U205" i="10"/>
  <c r="U209" i="10"/>
  <c r="U213" i="10"/>
  <c r="U217" i="10"/>
  <c r="U221" i="10"/>
  <c r="U225" i="10"/>
  <c r="U229" i="10"/>
  <c r="U233" i="10"/>
  <c r="U237" i="10"/>
  <c r="U241" i="10"/>
  <c r="U245" i="10"/>
  <c r="U249" i="10"/>
  <c r="U253" i="10"/>
  <c r="U257" i="10"/>
  <c r="U261" i="10"/>
  <c r="U265" i="10"/>
  <c r="U269" i="10"/>
  <c r="U273" i="10"/>
  <c r="U277" i="10"/>
  <c r="U281" i="10"/>
  <c r="U285" i="10"/>
  <c r="U289" i="10"/>
  <c r="U293" i="10"/>
  <c r="U297" i="10"/>
  <c r="U301" i="10"/>
  <c r="U305" i="10"/>
  <c r="U309" i="10"/>
  <c r="U313" i="10"/>
  <c r="U317" i="10"/>
  <c r="U321" i="10"/>
  <c r="U325" i="10"/>
  <c r="U329" i="10"/>
  <c r="U333" i="10"/>
  <c r="U337" i="10"/>
  <c r="U341" i="10"/>
  <c r="U345" i="10"/>
  <c r="U349" i="10"/>
  <c r="AF12" i="9"/>
  <c r="AA13" i="9"/>
  <c r="C11" i="10"/>
  <c r="H11" i="10" s="1"/>
  <c r="C12" i="10"/>
  <c r="H12" i="10" s="1"/>
  <c r="C13" i="10"/>
  <c r="H13" i="10" s="1"/>
  <c r="C14" i="10"/>
  <c r="H14" i="10" s="1"/>
  <c r="C15" i="10"/>
  <c r="H15" i="10" s="1"/>
  <c r="C16" i="10"/>
  <c r="H16" i="10" s="1"/>
  <c r="C17" i="10"/>
  <c r="H17" i="10" s="1"/>
  <c r="C18" i="10"/>
  <c r="H18" i="10" s="1"/>
  <c r="C19" i="10"/>
  <c r="H19" i="10" s="1"/>
  <c r="C20" i="10"/>
  <c r="H20" i="10" s="1"/>
  <c r="C21" i="10"/>
  <c r="H21" i="10" s="1"/>
  <c r="C22" i="10"/>
  <c r="H22" i="10" s="1"/>
  <c r="C23" i="10"/>
  <c r="H23" i="10" s="1"/>
  <c r="C24" i="10"/>
  <c r="H24" i="10" s="1"/>
  <c r="C25" i="10"/>
  <c r="H25" i="10" s="1"/>
  <c r="C26" i="10"/>
  <c r="H26" i="10" s="1"/>
  <c r="C27" i="10"/>
  <c r="H27" i="10" s="1"/>
  <c r="C28" i="10"/>
  <c r="H28" i="10" s="1"/>
  <c r="C29" i="10"/>
  <c r="H29" i="10" s="1"/>
  <c r="C30" i="10"/>
  <c r="H30" i="10" s="1"/>
  <c r="C31" i="10"/>
  <c r="H31" i="10" s="1"/>
  <c r="C32" i="10"/>
  <c r="H32" i="10" s="1"/>
  <c r="C33" i="10"/>
  <c r="H33" i="10" s="1"/>
  <c r="C34" i="10"/>
  <c r="H34" i="10" s="1"/>
  <c r="C35" i="10"/>
  <c r="H35" i="10" s="1"/>
  <c r="C36" i="10"/>
  <c r="H36" i="10" s="1"/>
  <c r="C37" i="10"/>
  <c r="H37" i="10" s="1"/>
  <c r="C38" i="10"/>
  <c r="H38" i="10" s="1"/>
  <c r="C39" i="10"/>
  <c r="H39" i="10" s="1"/>
  <c r="C40" i="10"/>
  <c r="H40" i="10" s="1"/>
  <c r="C41" i="10"/>
  <c r="H41" i="10" s="1"/>
  <c r="C42" i="10"/>
  <c r="H42" i="10" s="1"/>
  <c r="C43" i="10"/>
  <c r="H43" i="10" s="1"/>
  <c r="C44" i="10"/>
  <c r="H44" i="10" s="1"/>
  <c r="C45" i="10"/>
  <c r="H45" i="10" s="1"/>
  <c r="C46" i="10"/>
  <c r="H46" i="10" s="1"/>
  <c r="C47" i="10"/>
  <c r="H47" i="10" s="1"/>
  <c r="C48" i="10"/>
  <c r="H48" i="10" s="1"/>
  <c r="C49" i="10"/>
  <c r="H49" i="10" s="1"/>
  <c r="C50" i="10"/>
  <c r="H50" i="10" s="1"/>
  <c r="C51" i="10"/>
  <c r="H51" i="10" s="1"/>
  <c r="C52" i="10"/>
  <c r="H52" i="10" s="1"/>
  <c r="C53" i="10"/>
  <c r="H53" i="10" s="1"/>
  <c r="C54" i="10"/>
  <c r="H54" i="10" s="1"/>
  <c r="C55" i="10"/>
  <c r="H55" i="10" s="1"/>
  <c r="C56" i="10"/>
  <c r="H56" i="10" s="1"/>
  <c r="C57" i="10"/>
  <c r="H57" i="10" s="1"/>
  <c r="C58" i="10"/>
  <c r="H58" i="10" s="1"/>
  <c r="C59" i="10"/>
  <c r="H59" i="10" s="1"/>
  <c r="C60" i="10"/>
  <c r="H60" i="10" s="1"/>
  <c r="C10" i="10"/>
  <c r="H10" i="10" s="1"/>
  <c r="G10" i="10"/>
  <c r="F10" i="10"/>
  <c r="AD13" i="9"/>
  <c r="AE13" i="9" s="1"/>
  <c r="AD14" i="9"/>
  <c r="AE14" i="9" s="1"/>
  <c r="AD15" i="9"/>
  <c r="AE15" i="9" s="1"/>
  <c r="AD16" i="9"/>
  <c r="AE16" i="9" s="1"/>
  <c r="AD17" i="9"/>
  <c r="AE17" i="9" s="1"/>
  <c r="AD18" i="9"/>
  <c r="AE18" i="9" s="1"/>
  <c r="AD19" i="9"/>
  <c r="AE19" i="9" s="1"/>
  <c r="AD20" i="9"/>
  <c r="AE20" i="9" s="1"/>
  <c r="AD21" i="9"/>
  <c r="AE21" i="9" s="1"/>
  <c r="AD22" i="9"/>
  <c r="AE22" i="9" s="1"/>
  <c r="AD23" i="9"/>
  <c r="AE23" i="9" s="1"/>
  <c r="AD24" i="9"/>
  <c r="AE24" i="9" s="1"/>
  <c r="AD25" i="9"/>
  <c r="AE25" i="9" s="1"/>
  <c r="AD26" i="9"/>
  <c r="AE26" i="9" s="1"/>
  <c r="AD27" i="9"/>
  <c r="AE27" i="9" s="1"/>
  <c r="AD28" i="9"/>
  <c r="AE28" i="9" s="1"/>
  <c r="AD29" i="9"/>
  <c r="AE29" i="9" s="1"/>
  <c r="AD30" i="9"/>
  <c r="AE30" i="9" s="1"/>
  <c r="AD31" i="9"/>
  <c r="AE31" i="9" s="1"/>
  <c r="AD32" i="9"/>
  <c r="AE32" i="9" s="1"/>
  <c r="AD33" i="9"/>
  <c r="AE33" i="9" s="1"/>
  <c r="AD34" i="9"/>
  <c r="AE34" i="9" s="1"/>
  <c r="AD35" i="9"/>
  <c r="AE35" i="9" s="1"/>
  <c r="AD36" i="9"/>
  <c r="AE36" i="9" s="1"/>
  <c r="AD37" i="9"/>
  <c r="AE37" i="9" s="1"/>
  <c r="AD38" i="9"/>
  <c r="AE38" i="9" s="1"/>
  <c r="AD39" i="9"/>
  <c r="AE39" i="9" s="1"/>
  <c r="AD40" i="9"/>
  <c r="AE40" i="9" s="1"/>
  <c r="AD41" i="9"/>
  <c r="AE41" i="9" s="1"/>
  <c r="AD42" i="9"/>
  <c r="AE42" i="9" s="1"/>
  <c r="AD43" i="9"/>
  <c r="AE43" i="9" s="1"/>
  <c r="AD44" i="9"/>
  <c r="AE44" i="9" s="1"/>
  <c r="AD45" i="9"/>
  <c r="AE45" i="9" s="1"/>
  <c r="AD46" i="9"/>
  <c r="AE46" i="9" s="1"/>
  <c r="AD47" i="9"/>
  <c r="AE47" i="9" s="1"/>
  <c r="AD48" i="9"/>
  <c r="AE48" i="9" s="1"/>
  <c r="AD49" i="9"/>
  <c r="AE49" i="9" s="1"/>
  <c r="AD50" i="9"/>
  <c r="AE50" i="9" s="1"/>
  <c r="AD51" i="9"/>
  <c r="AE51" i="9" s="1"/>
  <c r="AD52" i="9"/>
  <c r="AE52" i="9" s="1"/>
  <c r="AD53" i="9"/>
  <c r="AE53" i="9" s="1"/>
  <c r="AD54" i="9"/>
  <c r="AE54" i="9" s="1"/>
  <c r="AD55" i="9"/>
  <c r="AE55" i="9" s="1"/>
  <c r="AD56" i="9"/>
  <c r="AE56" i="9" s="1"/>
  <c r="AD57" i="9"/>
  <c r="AE57" i="9" s="1"/>
  <c r="AD58" i="9"/>
  <c r="AE58" i="9" s="1"/>
  <c r="AD59" i="9"/>
  <c r="AE59" i="9" s="1"/>
  <c r="AD60" i="9"/>
  <c r="AE60" i="9" s="1"/>
  <c r="AD61" i="9"/>
  <c r="AE61" i="9" s="1"/>
  <c r="AD62" i="9"/>
  <c r="AE62" i="9" s="1"/>
  <c r="AD63" i="9"/>
  <c r="AE63" i="9" s="1"/>
  <c r="AD64" i="9"/>
  <c r="AE64" i="9" s="1"/>
  <c r="AD65" i="9"/>
  <c r="AE65" i="9" s="1"/>
  <c r="AD66" i="9"/>
  <c r="AE66" i="9" s="1"/>
  <c r="AD67" i="9"/>
  <c r="AE67" i="9" s="1"/>
  <c r="AD68" i="9"/>
  <c r="AE68" i="9" s="1"/>
  <c r="AD69" i="9"/>
  <c r="AE69" i="9" s="1"/>
  <c r="AD70" i="9"/>
  <c r="AE70" i="9" s="1"/>
  <c r="AD71" i="9"/>
  <c r="AE71" i="9" s="1"/>
  <c r="AD72" i="9"/>
  <c r="AE72" i="9" s="1"/>
  <c r="AD73" i="9"/>
  <c r="AE73" i="9" s="1"/>
  <c r="AD74" i="9"/>
  <c r="AE74" i="9" s="1"/>
  <c r="AD75" i="9"/>
  <c r="AE75" i="9" s="1"/>
  <c r="AD76" i="9"/>
  <c r="AE76" i="9" s="1"/>
  <c r="AD77" i="9"/>
  <c r="AE77" i="9" s="1"/>
  <c r="AD78" i="9"/>
  <c r="AE78" i="9" s="1"/>
  <c r="AD79" i="9"/>
  <c r="AE79" i="9" s="1"/>
  <c r="AD80" i="9"/>
  <c r="AE80" i="9" s="1"/>
  <c r="AD81" i="9"/>
  <c r="AE81" i="9" s="1"/>
  <c r="AD82" i="9"/>
  <c r="AE82" i="9" s="1"/>
  <c r="AD83" i="9"/>
  <c r="AE83" i="9" s="1"/>
  <c r="AD84" i="9"/>
  <c r="AE84" i="9" s="1"/>
  <c r="AD85" i="9"/>
  <c r="AE85" i="9" s="1"/>
  <c r="AD86" i="9"/>
  <c r="AE86" i="9" s="1"/>
  <c r="AD87" i="9"/>
  <c r="AE87" i="9" s="1"/>
  <c r="AD88" i="9"/>
  <c r="AE88" i="9" s="1"/>
  <c r="AD89" i="9"/>
  <c r="AE89" i="9" s="1"/>
  <c r="AD90" i="9"/>
  <c r="AE90" i="9" s="1"/>
  <c r="AD91" i="9"/>
  <c r="AE91" i="9" s="1"/>
  <c r="AD92" i="9"/>
  <c r="AE92" i="9" s="1"/>
  <c r="AD93" i="9"/>
  <c r="AE93" i="9" s="1"/>
  <c r="AD94" i="9"/>
  <c r="AE94" i="9" s="1"/>
  <c r="AD95" i="9"/>
  <c r="AE95" i="9" s="1"/>
  <c r="AD96" i="9"/>
  <c r="AE96" i="9" s="1"/>
  <c r="AD97" i="9"/>
  <c r="AE97" i="9" s="1"/>
  <c r="AD98" i="9"/>
  <c r="AE98" i="9" s="1"/>
  <c r="AD99" i="9"/>
  <c r="AE99" i="9" s="1"/>
  <c r="AD100" i="9"/>
  <c r="AE100" i="9" s="1"/>
  <c r="AD101" i="9"/>
  <c r="AE101" i="9" s="1"/>
  <c r="AD102" i="9"/>
  <c r="AE102" i="9" s="1"/>
  <c r="AD103" i="9"/>
  <c r="AE103" i="9" s="1"/>
  <c r="AD104" i="9"/>
  <c r="AE104" i="9" s="1"/>
  <c r="AD105" i="9"/>
  <c r="AE105" i="9" s="1"/>
  <c r="AD106" i="9"/>
  <c r="AE106" i="9" s="1"/>
  <c r="AD107" i="9"/>
  <c r="AE107" i="9" s="1"/>
  <c r="AD108" i="9"/>
  <c r="AE108" i="9" s="1"/>
  <c r="AD109" i="9"/>
  <c r="AE109" i="9" s="1"/>
  <c r="AD110" i="9"/>
  <c r="AE110" i="9" s="1"/>
  <c r="AD111" i="9"/>
  <c r="AE111" i="9" s="1"/>
  <c r="AD112" i="9"/>
  <c r="AE112" i="9" s="1"/>
  <c r="AD113" i="9"/>
  <c r="AE113" i="9" s="1"/>
  <c r="AD114" i="9"/>
  <c r="AE114" i="9" s="1"/>
  <c r="AD115" i="9"/>
  <c r="AE115" i="9" s="1"/>
  <c r="AD116" i="9"/>
  <c r="AE116" i="9" s="1"/>
  <c r="AD117" i="9"/>
  <c r="AE117" i="9" s="1"/>
  <c r="AD118" i="9"/>
  <c r="AE118" i="9" s="1"/>
  <c r="AD119" i="9"/>
  <c r="AE119" i="9" s="1"/>
  <c r="AD120" i="9"/>
  <c r="AE120" i="9" s="1"/>
  <c r="AD121" i="9"/>
  <c r="AE121" i="9" s="1"/>
  <c r="AD122" i="9"/>
  <c r="AE122" i="9" s="1"/>
  <c r="AD123" i="9"/>
  <c r="AE123" i="9" s="1"/>
  <c r="AD124" i="9"/>
  <c r="AE124" i="9" s="1"/>
  <c r="AD125" i="9"/>
  <c r="AE125" i="9" s="1"/>
  <c r="AD126" i="9"/>
  <c r="AE126" i="9" s="1"/>
  <c r="AD127" i="9"/>
  <c r="AE127" i="9" s="1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4" i="9"/>
  <c r="AE134" i="9" s="1"/>
  <c r="AD135" i="9"/>
  <c r="AE135" i="9" s="1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3" i="9"/>
  <c r="AE143" i="9" s="1"/>
  <c r="AD144" i="9"/>
  <c r="AE144" i="9" s="1"/>
  <c r="AD145" i="9"/>
  <c r="AE145" i="9" s="1"/>
  <c r="AD146" i="9"/>
  <c r="AE146" i="9" s="1"/>
  <c r="AD147" i="9"/>
  <c r="AE147" i="9" s="1"/>
  <c r="AD148" i="9"/>
  <c r="AE148" i="9" s="1"/>
  <c r="AD149" i="9"/>
  <c r="AE149" i="9" s="1"/>
  <c r="AD150" i="9"/>
  <c r="AE150" i="9" s="1"/>
  <c r="AD151" i="9"/>
  <c r="AE151" i="9" s="1"/>
  <c r="AD152" i="9"/>
  <c r="AE152" i="9" s="1"/>
  <c r="AD153" i="9"/>
  <c r="AE153" i="9" s="1"/>
  <c r="AD154" i="9"/>
  <c r="AE154" i="9" s="1"/>
  <c r="AD155" i="9"/>
  <c r="AE155" i="9" s="1"/>
  <c r="AD156" i="9"/>
  <c r="AE156" i="9" s="1"/>
  <c r="AD157" i="9"/>
  <c r="AE157" i="9" s="1"/>
  <c r="AD158" i="9"/>
  <c r="AE158" i="9" s="1"/>
  <c r="AD159" i="9"/>
  <c r="AE159" i="9" s="1"/>
  <c r="AD160" i="9"/>
  <c r="AE160" i="9" s="1"/>
  <c r="AD161" i="9"/>
  <c r="AE161" i="9" s="1"/>
  <c r="AD162" i="9"/>
  <c r="AE162" i="9" s="1"/>
  <c r="AD163" i="9"/>
  <c r="AE163" i="9" s="1"/>
  <c r="AD164" i="9"/>
  <c r="AE164" i="9" s="1"/>
  <c r="AD165" i="9"/>
  <c r="AE165" i="9" s="1"/>
  <c r="AD166" i="9"/>
  <c r="AE166" i="9" s="1"/>
  <c r="AD167" i="9"/>
  <c r="AE167" i="9" s="1"/>
  <c r="AD168" i="9"/>
  <c r="AE168" i="9" s="1"/>
  <c r="AD169" i="9"/>
  <c r="AE169" i="9" s="1"/>
  <c r="AD170" i="9"/>
  <c r="AE170" i="9" s="1"/>
  <c r="AD171" i="9"/>
  <c r="AE171" i="9" s="1"/>
  <c r="AD172" i="9"/>
  <c r="AE172" i="9" s="1"/>
  <c r="AD173" i="9"/>
  <c r="AE173" i="9" s="1"/>
  <c r="AD174" i="9"/>
  <c r="AE174" i="9" s="1"/>
  <c r="AD175" i="9"/>
  <c r="AE175" i="9" s="1"/>
  <c r="AD176" i="9"/>
  <c r="AE176" i="9" s="1"/>
  <c r="AD177" i="9"/>
  <c r="AE177" i="9" s="1"/>
  <c r="AD178" i="9"/>
  <c r="AE178" i="9" s="1"/>
  <c r="AD179" i="9"/>
  <c r="AE179" i="9" s="1"/>
  <c r="AD180" i="9"/>
  <c r="AE180" i="9" s="1"/>
  <c r="AD181" i="9"/>
  <c r="AE181" i="9" s="1"/>
  <c r="AD182" i="9"/>
  <c r="AE182" i="9" s="1"/>
  <c r="AD183" i="9"/>
  <c r="AE183" i="9" s="1"/>
  <c r="AD184" i="9"/>
  <c r="AE184" i="9" s="1"/>
  <c r="AD185" i="9"/>
  <c r="AE185" i="9" s="1"/>
  <c r="AD186" i="9"/>
  <c r="AE186" i="9" s="1"/>
  <c r="AD187" i="9"/>
  <c r="AE187" i="9" s="1"/>
  <c r="AD188" i="9"/>
  <c r="AE188" i="9" s="1"/>
  <c r="AD189" i="9"/>
  <c r="AE189" i="9" s="1"/>
  <c r="AD190" i="9"/>
  <c r="AE190" i="9" s="1"/>
  <c r="AD191" i="9"/>
  <c r="AE191" i="9" s="1"/>
  <c r="AD192" i="9"/>
  <c r="AE192" i="9" s="1"/>
  <c r="AD193" i="9"/>
  <c r="AE193" i="9" s="1"/>
  <c r="AD194" i="9"/>
  <c r="AE194" i="9" s="1"/>
  <c r="AD195" i="9"/>
  <c r="AE195" i="9" s="1"/>
  <c r="AD196" i="9"/>
  <c r="AE196" i="9" s="1"/>
  <c r="AD197" i="9"/>
  <c r="AE197" i="9" s="1"/>
  <c r="AD198" i="9"/>
  <c r="AE198" i="9" s="1"/>
  <c r="AD199" i="9"/>
  <c r="AE199" i="9" s="1"/>
  <c r="AD200" i="9"/>
  <c r="AE200" i="9" s="1"/>
  <c r="AD201" i="9"/>
  <c r="AE201" i="9" s="1"/>
  <c r="AD202" i="9"/>
  <c r="AE202" i="9" s="1"/>
  <c r="AD203" i="9"/>
  <c r="AE203" i="9" s="1"/>
  <c r="AD204" i="9"/>
  <c r="AE204" i="9" s="1"/>
  <c r="AD205" i="9"/>
  <c r="AE205" i="9" s="1"/>
  <c r="AD206" i="9"/>
  <c r="AE206" i="9" s="1"/>
  <c r="AD207" i="9"/>
  <c r="AE207" i="9" s="1"/>
  <c r="AD208" i="9"/>
  <c r="AE208" i="9" s="1"/>
  <c r="AD209" i="9"/>
  <c r="AE209" i="9" s="1"/>
  <c r="AD210" i="9"/>
  <c r="AE210" i="9" s="1"/>
  <c r="AD211" i="9"/>
  <c r="AE211" i="9" s="1"/>
  <c r="AD212" i="9"/>
  <c r="AE212" i="9" s="1"/>
  <c r="AD213" i="9"/>
  <c r="AE213" i="9" s="1"/>
  <c r="AD214" i="9"/>
  <c r="AE214" i="9" s="1"/>
  <c r="AD215" i="9"/>
  <c r="AE215" i="9" s="1"/>
  <c r="AD216" i="9"/>
  <c r="AE216" i="9" s="1"/>
  <c r="AD217" i="9"/>
  <c r="AE217" i="9" s="1"/>
  <c r="AD218" i="9"/>
  <c r="AE218" i="9" s="1"/>
  <c r="AD219" i="9"/>
  <c r="AE219" i="9" s="1"/>
  <c r="AD220" i="9"/>
  <c r="AE220" i="9" s="1"/>
  <c r="AD221" i="9"/>
  <c r="AE221" i="9" s="1"/>
  <c r="AD222" i="9"/>
  <c r="AE222" i="9" s="1"/>
  <c r="AD223" i="9"/>
  <c r="AE223" i="9" s="1"/>
  <c r="AD224" i="9"/>
  <c r="AE224" i="9" s="1"/>
  <c r="AD225" i="9"/>
  <c r="AE225" i="9" s="1"/>
  <c r="AD226" i="9"/>
  <c r="AE226" i="9" s="1"/>
  <c r="AD227" i="9"/>
  <c r="AE227" i="9" s="1"/>
  <c r="AD228" i="9"/>
  <c r="AE228" i="9" s="1"/>
  <c r="AD229" i="9"/>
  <c r="AE229" i="9" s="1"/>
  <c r="AD230" i="9"/>
  <c r="AE230" i="9" s="1"/>
  <c r="AD231" i="9"/>
  <c r="AE231" i="9" s="1"/>
  <c r="AD232" i="9"/>
  <c r="AE232" i="9" s="1"/>
  <c r="AD233" i="9"/>
  <c r="AE233" i="9" s="1"/>
  <c r="AD234" i="9"/>
  <c r="AE234" i="9" s="1"/>
  <c r="AD235" i="9"/>
  <c r="AE235" i="9" s="1"/>
  <c r="AD236" i="9"/>
  <c r="AE236" i="9" s="1"/>
  <c r="AD237" i="9"/>
  <c r="AE237" i="9" s="1"/>
  <c r="AD238" i="9"/>
  <c r="AE238" i="9" s="1"/>
  <c r="AD239" i="9"/>
  <c r="AE239" i="9" s="1"/>
  <c r="AD240" i="9"/>
  <c r="AE240" i="9" s="1"/>
  <c r="AD241" i="9"/>
  <c r="AE241" i="9" s="1"/>
  <c r="AD242" i="9"/>
  <c r="AE242" i="9" s="1"/>
  <c r="AD243" i="9"/>
  <c r="AE243" i="9" s="1"/>
  <c r="AD244" i="9"/>
  <c r="AE244" i="9" s="1"/>
  <c r="AD245" i="9"/>
  <c r="AE245" i="9" s="1"/>
  <c r="AD246" i="9"/>
  <c r="AE246" i="9" s="1"/>
  <c r="AD247" i="9"/>
  <c r="AE247" i="9" s="1"/>
  <c r="AD248" i="9"/>
  <c r="AE248" i="9" s="1"/>
  <c r="AD249" i="9"/>
  <c r="AE249" i="9" s="1"/>
  <c r="AD250" i="9"/>
  <c r="AE250" i="9" s="1"/>
  <c r="AD251" i="9"/>
  <c r="AE251" i="9" s="1"/>
  <c r="AD252" i="9"/>
  <c r="AE252" i="9" s="1"/>
  <c r="AD253" i="9"/>
  <c r="AE253" i="9" s="1"/>
  <c r="AD254" i="9"/>
  <c r="AE254" i="9" s="1"/>
  <c r="AD255" i="9"/>
  <c r="AE255" i="9" s="1"/>
  <c r="AD256" i="9"/>
  <c r="AE256" i="9" s="1"/>
  <c r="AD257" i="9"/>
  <c r="AE257" i="9" s="1"/>
  <c r="AD258" i="9"/>
  <c r="AE258" i="9" s="1"/>
  <c r="AD259" i="9"/>
  <c r="AE259" i="9" s="1"/>
  <c r="AD260" i="9"/>
  <c r="AE260" i="9" s="1"/>
  <c r="AD261" i="9"/>
  <c r="AE261" i="9" s="1"/>
  <c r="AD262" i="9"/>
  <c r="AE262" i="9" s="1"/>
  <c r="AD263" i="9"/>
  <c r="AE263" i="9" s="1"/>
  <c r="AD264" i="9"/>
  <c r="AE264" i="9" s="1"/>
  <c r="AD265" i="9"/>
  <c r="AE265" i="9" s="1"/>
  <c r="AD266" i="9"/>
  <c r="AE266" i="9" s="1"/>
  <c r="AD267" i="9"/>
  <c r="AE267" i="9" s="1"/>
  <c r="AD268" i="9"/>
  <c r="AE268" i="9" s="1"/>
  <c r="AD269" i="9"/>
  <c r="AE269" i="9" s="1"/>
  <c r="AD270" i="9"/>
  <c r="AE270" i="9" s="1"/>
  <c r="AD271" i="9"/>
  <c r="AE271" i="9" s="1"/>
  <c r="AD272" i="9"/>
  <c r="AE272" i="9" s="1"/>
  <c r="AD273" i="9"/>
  <c r="AE273" i="9" s="1"/>
  <c r="AD274" i="9"/>
  <c r="AE274" i="9" s="1"/>
  <c r="AD275" i="9"/>
  <c r="AE275" i="9" s="1"/>
  <c r="AD276" i="9"/>
  <c r="AE276" i="9" s="1"/>
  <c r="AD277" i="9"/>
  <c r="AE277" i="9" s="1"/>
  <c r="AD278" i="9"/>
  <c r="AE278" i="9" s="1"/>
  <c r="AD279" i="9"/>
  <c r="AE279" i="9" s="1"/>
  <c r="AD280" i="9"/>
  <c r="AE280" i="9" s="1"/>
  <c r="AD281" i="9"/>
  <c r="AE281" i="9" s="1"/>
  <c r="AD282" i="9"/>
  <c r="AE282" i="9" s="1"/>
  <c r="AD283" i="9"/>
  <c r="AE283" i="9" s="1"/>
  <c r="AD284" i="9"/>
  <c r="AE284" i="9" s="1"/>
  <c r="AD285" i="9"/>
  <c r="AE285" i="9" s="1"/>
  <c r="AD286" i="9"/>
  <c r="AE286" i="9" s="1"/>
  <c r="AD287" i="9"/>
  <c r="AE287" i="9" s="1"/>
  <c r="AD288" i="9"/>
  <c r="AE288" i="9" s="1"/>
  <c r="AD289" i="9"/>
  <c r="AE289" i="9" s="1"/>
  <c r="AD290" i="9"/>
  <c r="AE290" i="9" s="1"/>
  <c r="AD291" i="9"/>
  <c r="AE291" i="9" s="1"/>
  <c r="AD292" i="9"/>
  <c r="AE292" i="9" s="1"/>
  <c r="AD293" i="9"/>
  <c r="AE293" i="9" s="1"/>
  <c r="AD294" i="9"/>
  <c r="AE294" i="9" s="1"/>
  <c r="AD295" i="9"/>
  <c r="AE295" i="9" s="1"/>
  <c r="AD296" i="9"/>
  <c r="AE296" i="9" s="1"/>
  <c r="AD297" i="9"/>
  <c r="AE297" i="9" s="1"/>
  <c r="AD298" i="9"/>
  <c r="AE298" i="9" s="1"/>
  <c r="AD299" i="9"/>
  <c r="AE299" i="9" s="1"/>
  <c r="AD300" i="9"/>
  <c r="AE300" i="9" s="1"/>
  <c r="AD301" i="9"/>
  <c r="AE301" i="9" s="1"/>
  <c r="AD302" i="9"/>
  <c r="AE302" i="9" s="1"/>
  <c r="AD303" i="9"/>
  <c r="AE303" i="9" s="1"/>
  <c r="AD304" i="9"/>
  <c r="AE304" i="9" s="1"/>
  <c r="AD305" i="9"/>
  <c r="AE305" i="9" s="1"/>
  <c r="AD306" i="9"/>
  <c r="AE306" i="9" s="1"/>
  <c r="AD307" i="9"/>
  <c r="AE307" i="9" s="1"/>
  <c r="AD308" i="9"/>
  <c r="AE308" i="9" s="1"/>
  <c r="AD309" i="9"/>
  <c r="AE309" i="9" s="1"/>
  <c r="AD310" i="9"/>
  <c r="AE310" i="9" s="1"/>
  <c r="AD311" i="9"/>
  <c r="AE311" i="9" s="1"/>
  <c r="AD312" i="9"/>
  <c r="AE312" i="9" s="1"/>
  <c r="AD313" i="9"/>
  <c r="AE313" i="9" s="1"/>
  <c r="AD314" i="9"/>
  <c r="AE314" i="9" s="1"/>
  <c r="AD315" i="9"/>
  <c r="AE315" i="9" s="1"/>
  <c r="AD316" i="9"/>
  <c r="AE316" i="9" s="1"/>
  <c r="AD317" i="9"/>
  <c r="AE317" i="9" s="1"/>
  <c r="AD318" i="9"/>
  <c r="AE318" i="9" s="1"/>
  <c r="AD319" i="9"/>
  <c r="AE319" i="9" s="1"/>
  <c r="AD320" i="9"/>
  <c r="AE320" i="9" s="1"/>
  <c r="AD321" i="9"/>
  <c r="AE321" i="9" s="1"/>
  <c r="AD322" i="9"/>
  <c r="AE322" i="9" s="1"/>
  <c r="AD323" i="9"/>
  <c r="AE323" i="9" s="1"/>
  <c r="AD324" i="9"/>
  <c r="AE324" i="9" s="1"/>
  <c r="AD325" i="9"/>
  <c r="AE325" i="9" s="1"/>
  <c r="AD326" i="9"/>
  <c r="AE326" i="9" s="1"/>
  <c r="AD327" i="9"/>
  <c r="AE327" i="9" s="1"/>
  <c r="AD328" i="9"/>
  <c r="AE328" i="9" s="1"/>
  <c r="AD329" i="9"/>
  <c r="AE329" i="9" s="1"/>
  <c r="AD330" i="9"/>
  <c r="AE330" i="9" s="1"/>
  <c r="AD331" i="9"/>
  <c r="AE331" i="9" s="1"/>
  <c r="AD332" i="9"/>
  <c r="AE332" i="9" s="1"/>
  <c r="AD333" i="9"/>
  <c r="AE333" i="9" s="1"/>
  <c r="AD334" i="9"/>
  <c r="AE334" i="9" s="1"/>
  <c r="AD335" i="9"/>
  <c r="AE335" i="9" s="1"/>
  <c r="AD336" i="9"/>
  <c r="AE336" i="9" s="1"/>
  <c r="AD337" i="9"/>
  <c r="AE337" i="9" s="1"/>
  <c r="AD338" i="9"/>
  <c r="AE338" i="9" s="1"/>
  <c r="AD339" i="9"/>
  <c r="AE339" i="9" s="1"/>
  <c r="AD340" i="9"/>
  <c r="AE340" i="9" s="1"/>
  <c r="AD341" i="9"/>
  <c r="AE341" i="9" s="1"/>
  <c r="AD342" i="9"/>
  <c r="AE342" i="9" s="1"/>
  <c r="AD343" i="9"/>
  <c r="AE343" i="9" s="1"/>
  <c r="AD344" i="9"/>
  <c r="AE344" i="9" s="1"/>
  <c r="AD345" i="9"/>
  <c r="AE345" i="9" s="1"/>
  <c r="AD346" i="9"/>
  <c r="AE346" i="9" s="1"/>
  <c r="AD347" i="9"/>
  <c r="AE347" i="9" s="1"/>
  <c r="AD348" i="9"/>
  <c r="AE348" i="9" s="1"/>
  <c r="AD349" i="9"/>
  <c r="AE349" i="9" s="1"/>
  <c r="AD350" i="9"/>
  <c r="AE350" i="9" s="1"/>
  <c r="AD351" i="9"/>
  <c r="AE351" i="9" s="1"/>
  <c r="AD352" i="9"/>
  <c r="AE352" i="9" s="1"/>
  <c r="AD353" i="9"/>
  <c r="AE353" i="9" s="1"/>
  <c r="AD354" i="9"/>
  <c r="AE354" i="9" s="1"/>
  <c r="AD355" i="9"/>
  <c r="AE355" i="9" s="1"/>
  <c r="AD356" i="9"/>
  <c r="AE356" i="9" s="1"/>
  <c r="AD357" i="9"/>
  <c r="AE357" i="9" s="1"/>
  <c r="AD358" i="9"/>
  <c r="AE358" i="9" s="1"/>
  <c r="AD359" i="9"/>
  <c r="AE359" i="9" s="1"/>
  <c r="AD360" i="9"/>
  <c r="AE360" i="9" s="1"/>
  <c r="AD361" i="9"/>
  <c r="AE361" i="9" s="1"/>
  <c r="AD362" i="9"/>
  <c r="AE362" i="9" s="1"/>
  <c r="AD363" i="9"/>
  <c r="AE363" i="9" s="1"/>
  <c r="AD364" i="9"/>
  <c r="AE364" i="9" s="1"/>
  <c r="AD365" i="9"/>
  <c r="AE365" i="9" s="1"/>
  <c r="AD366" i="9"/>
  <c r="AE366" i="9" s="1"/>
  <c r="AD367" i="9"/>
  <c r="AE367" i="9" s="1"/>
  <c r="AD368" i="9"/>
  <c r="AE368" i="9" s="1"/>
  <c r="AD369" i="9"/>
  <c r="AE369" i="9" s="1"/>
  <c r="AD370" i="9"/>
  <c r="AE370" i="9" s="1"/>
  <c r="AD371" i="9"/>
  <c r="AE371" i="9" s="1"/>
  <c r="AD372" i="9"/>
  <c r="AE372" i="9" s="1"/>
  <c r="AD373" i="9"/>
  <c r="AE373" i="9" s="1"/>
  <c r="AD374" i="9"/>
  <c r="AE374" i="9" s="1"/>
  <c r="AD375" i="9"/>
  <c r="AE375" i="9" s="1"/>
  <c r="AD376" i="9"/>
  <c r="AE376" i="9" s="1"/>
  <c r="AD377" i="9"/>
  <c r="AE377" i="9" s="1"/>
  <c r="AD378" i="9"/>
  <c r="AE378" i="9" s="1"/>
  <c r="AD379" i="9"/>
  <c r="AE379" i="9" s="1"/>
  <c r="AD380" i="9"/>
  <c r="AE380" i="9" s="1"/>
  <c r="AD381" i="9"/>
  <c r="AE381" i="9" s="1"/>
  <c r="AD382" i="9"/>
  <c r="AE382" i="9" s="1"/>
  <c r="AD383" i="9"/>
  <c r="AE383" i="9" s="1"/>
  <c r="AD384" i="9"/>
  <c r="AE384" i="9" s="1"/>
  <c r="AD385" i="9"/>
  <c r="AE385" i="9" s="1"/>
  <c r="AD386" i="9"/>
  <c r="AE386" i="9" s="1"/>
  <c r="AD387" i="9"/>
  <c r="AE387" i="9" s="1"/>
  <c r="AD388" i="9"/>
  <c r="AE388" i="9" s="1"/>
  <c r="AD389" i="9"/>
  <c r="AE389" i="9" s="1"/>
  <c r="AD390" i="9"/>
  <c r="AE390" i="9" s="1"/>
  <c r="AD391" i="9"/>
  <c r="AE391" i="9" s="1"/>
  <c r="AD392" i="9"/>
  <c r="AE392" i="9" s="1"/>
  <c r="AD393" i="9"/>
  <c r="AE393" i="9" s="1"/>
  <c r="AD394" i="9"/>
  <c r="AE394" i="9" s="1"/>
  <c r="AD395" i="9"/>
  <c r="AE395" i="9" s="1"/>
  <c r="AD396" i="9"/>
  <c r="AE396" i="9" s="1"/>
  <c r="AD397" i="9"/>
  <c r="AE397" i="9" s="1"/>
  <c r="AD398" i="9"/>
  <c r="AE398" i="9" s="1"/>
  <c r="AD399" i="9"/>
  <c r="AE399" i="9" s="1"/>
  <c r="AD400" i="9"/>
  <c r="AE400" i="9" s="1"/>
  <c r="AD401" i="9"/>
  <c r="AE401" i="9" s="1"/>
  <c r="AD402" i="9"/>
  <c r="AE402" i="9" s="1"/>
  <c r="AD403" i="9"/>
  <c r="AE403" i="9" s="1"/>
  <c r="AD404" i="9"/>
  <c r="AE404" i="9" s="1"/>
  <c r="AD405" i="9"/>
  <c r="AE405" i="9" s="1"/>
  <c r="AD406" i="9"/>
  <c r="AE406" i="9" s="1"/>
  <c r="AD407" i="9"/>
  <c r="AE407" i="9" s="1"/>
  <c r="AD408" i="9"/>
  <c r="AE408" i="9" s="1"/>
  <c r="AD409" i="9"/>
  <c r="AE409" i="9" s="1"/>
  <c r="AD410" i="9"/>
  <c r="AE410" i="9" s="1"/>
  <c r="AD411" i="9"/>
  <c r="AE411" i="9" s="1"/>
  <c r="AD412" i="9"/>
  <c r="AE412" i="9" s="1"/>
  <c r="AD413" i="9"/>
  <c r="AE413" i="9" s="1"/>
  <c r="AD414" i="9"/>
  <c r="AE414" i="9" s="1"/>
  <c r="AD415" i="9"/>
  <c r="AE415" i="9" s="1"/>
  <c r="AD416" i="9"/>
  <c r="AE416" i="9" s="1"/>
  <c r="AD417" i="9"/>
  <c r="AE417" i="9" s="1"/>
  <c r="AD418" i="9"/>
  <c r="AE418" i="9" s="1"/>
  <c r="AD419" i="9"/>
  <c r="AE419" i="9" s="1"/>
  <c r="AD420" i="9"/>
  <c r="AE420" i="9" s="1"/>
  <c r="AD421" i="9"/>
  <c r="AE421" i="9" s="1"/>
  <c r="AD422" i="9"/>
  <c r="AE422" i="9" s="1"/>
  <c r="AD423" i="9"/>
  <c r="AE423" i="9" s="1"/>
  <c r="AD424" i="9"/>
  <c r="AE424" i="9" s="1"/>
  <c r="AD425" i="9"/>
  <c r="AE425" i="9" s="1"/>
  <c r="AD426" i="9"/>
  <c r="AE426" i="9" s="1"/>
  <c r="AD427" i="9"/>
  <c r="AE427" i="9" s="1"/>
  <c r="AD428" i="9"/>
  <c r="AE428" i="9" s="1"/>
  <c r="AD429" i="9"/>
  <c r="AE429" i="9" s="1"/>
  <c r="AD430" i="9"/>
  <c r="AE430" i="9" s="1"/>
  <c r="AD431" i="9"/>
  <c r="AE431" i="9" s="1"/>
  <c r="AD432" i="9"/>
  <c r="AE432" i="9" s="1"/>
  <c r="AD433" i="9"/>
  <c r="AE433" i="9" s="1"/>
  <c r="AD434" i="9"/>
  <c r="AE434" i="9" s="1"/>
  <c r="AD435" i="9"/>
  <c r="AE435" i="9" s="1"/>
  <c r="AD436" i="9"/>
  <c r="AE436" i="9" s="1"/>
  <c r="AD437" i="9"/>
  <c r="AE437" i="9" s="1"/>
  <c r="AD438" i="9"/>
  <c r="AE438" i="9" s="1"/>
  <c r="AD439" i="9"/>
  <c r="AE439" i="9" s="1"/>
  <c r="AD440" i="9"/>
  <c r="AE440" i="9" s="1"/>
  <c r="AD441" i="9"/>
  <c r="AE441" i="9" s="1"/>
  <c r="AD442" i="9"/>
  <c r="AE442" i="9" s="1"/>
  <c r="AD443" i="9"/>
  <c r="AE443" i="9" s="1"/>
  <c r="AD444" i="9"/>
  <c r="AE444" i="9" s="1"/>
  <c r="AD445" i="9"/>
  <c r="AE445" i="9" s="1"/>
  <c r="AD446" i="9"/>
  <c r="AE446" i="9" s="1"/>
  <c r="AD447" i="9"/>
  <c r="AE447" i="9" s="1"/>
  <c r="AD448" i="9"/>
  <c r="AE448" i="9" s="1"/>
  <c r="AD449" i="9"/>
  <c r="AE449" i="9" s="1"/>
  <c r="AD450" i="9"/>
  <c r="AE450" i="9" s="1"/>
  <c r="AD451" i="9"/>
  <c r="AE451" i="9" s="1"/>
  <c r="AD452" i="9"/>
  <c r="AE452" i="9" s="1"/>
  <c r="AD453" i="9"/>
  <c r="AE453" i="9" s="1"/>
  <c r="AD454" i="9"/>
  <c r="AE454" i="9" s="1"/>
  <c r="AD455" i="9"/>
  <c r="AE455" i="9" s="1"/>
  <c r="AD456" i="9"/>
  <c r="AE456" i="9" s="1"/>
  <c r="AD457" i="9"/>
  <c r="AE457" i="9" s="1"/>
  <c r="AD458" i="9"/>
  <c r="AE458" i="9" s="1"/>
  <c r="AD459" i="9"/>
  <c r="AE459" i="9" s="1"/>
  <c r="AD460" i="9"/>
  <c r="AE460" i="9" s="1"/>
  <c r="AD461" i="9"/>
  <c r="AE461" i="9" s="1"/>
  <c r="AD462" i="9"/>
  <c r="AE462" i="9" s="1"/>
  <c r="AD463" i="9"/>
  <c r="AE463" i="9" s="1"/>
  <c r="AD464" i="9"/>
  <c r="AE464" i="9" s="1"/>
  <c r="AD465" i="9"/>
  <c r="AE465" i="9" s="1"/>
  <c r="AD466" i="9"/>
  <c r="AE466" i="9" s="1"/>
  <c r="AD467" i="9"/>
  <c r="AE467" i="9" s="1"/>
  <c r="AD468" i="9"/>
  <c r="AE468" i="9" s="1"/>
  <c r="AD469" i="9"/>
  <c r="AE469" i="9" s="1"/>
  <c r="AD470" i="9"/>
  <c r="AE470" i="9" s="1"/>
  <c r="AD471" i="9"/>
  <c r="AE471" i="9" s="1"/>
  <c r="AD472" i="9"/>
  <c r="AE472" i="9" s="1"/>
  <c r="AD473" i="9"/>
  <c r="AE473" i="9" s="1"/>
  <c r="AD474" i="9"/>
  <c r="AE474" i="9" s="1"/>
  <c r="AD475" i="9"/>
  <c r="AE475" i="9" s="1"/>
  <c r="AD476" i="9"/>
  <c r="AE476" i="9" s="1"/>
  <c r="AD477" i="9"/>
  <c r="AE477" i="9" s="1"/>
  <c r="AD478" i="9"/>
  <c r="AE478" i="9" s="1"/>
  <c r="AD479" i="9"/>
  <c r="AE479" i="9" s="1"/>
  <c r="AD480" i="9"/>
  <c r="AE480" i="9" s="1"/>
  <c r="AD481" i="9"/>
  <c r="AE481" i="9" s="1"/>
  <c r="AD482" i="9"/>
  <c r="AE482" i="9" s="1"/>
  <c r="AD483" i="9"/>
  <c r="AE483" i="9" s="1"/>
  <c r="AD484" i="9"/>
  <c r="AE484" i="9" s="1"/>
  <c r="AD485" i="9"/>
  <c r="AE485" i="9" s="1"/>
  <c r="AD486" i="9"/>
  <c r="AE486" i="9" s="1"/>
  <c r="AD487" i="9"/>
  <c r="AE487" i="9" s="1"/>
  <c r="AD488" i="9"/>
  <c r="AE488" i="9" s="1"/>
  <c r="AD489" i="9"/>
  <c r="AE489" i="9" s="1"/>
  <c r="AD490" i="9"/>
  <c r="AE490" i="9" s="1"/>
  <c r="AD491" i="9"/>
  <c r="AE491" i="9" s="1"/>
  <c r="AD492" i="9"/>
  <c r="AE492" i="9" s="1"/>
  <c r="AD493" i="9"/>
  <c r="AE493" i="9" s="1"/>
  <c r="AD494" i="9"/>
  <c r="AE494" i="9" s="1"/>
  <c r="AD495" i="9"/>
  <c r="AE495" i="9" s="1"/>
  <c r="AD496" i="9"/>
  <c r="AE496" i="9" s="1"/>
  <c r="AD497" i="9"/>
  <c r="AE497" i="9" s="1"/>
  <c r="AD498" i="9"/>
  <c r="AE498" i="9" s="1"/>
  <c r="AD499" i="9"/>
  <c r="AE499" i="9" s="1"/>
  <c r="AD500" i="9"/>
  <c r="AE500" i="9" s="1"/>
  <c r="AD501" i="9"/>
  <c r="AE501" i="9" s="1"/>
  <c r="AD502" i="9"/>
  <c r="AE502" i="9" s="1"/>
  <c r="AD503" i="9"/>
  <c r="AE503" i="9" s="1"/>
  <c r="AD504" i="9"/>
  <c r="AE504" i="9" s="1"/>
  <c r="AD505" i="9"/>
  <c r="AE505" i="9" s="1"/>
  <c r="AD506" i="9"/>
  <c r="AE506" i="9" s="1"/>
  <c r="AD507" i="9"/>
  <c r="AE507" i="9" s="1"/>
  <c r="AD508" i="9"/>
  <c r="AE508" i="9" s="1"/>
  <c r="AD509" i="9"/>
  <c r="AE509" i="9" s="1"/>
  <c r="AD510" i="9"/>
  <c r="AE510" i="9" s="1"/>
  <c r="AD511" i="9"/>
  <c r="AE511" i="9" s="1"/>
  <c r="AD512" i="9"/>
  <c r="AE512" i="9" s="1"/>
  <c r="AD513" i="9"/>
  <c r="AE513" i="9" s="1"/>
  <c r="AD514" i="9"/>
  <c r="AE514" i="9" s="1"/>
  <c r="AD515" i="9"/>
  <c r="AE515" i="9" s="1"/>
  <c r="AD516" i="9"/>
  <c r="AE516" i="9" s="1"/>
  <c r="AD517" i="9"/>
  <c r="AE517" i="9" s="1"/>
  <c r="AD518" i="9"/>
  <c r="AE518" i="9" s="1"/>
  <c r="AD519" i="9"/>
  <c r="AE519" i="9" s="1"/>
  <c r="AD520" i="9"/>
  <c r="AE520" i="9" s="1"/>
  <c r="AD521" i="9"/>
  <c r="AE521" i="9" s="1"/>
  <c r="AD522" i="9"/>
  <c r="AE522" i="9" s="1"/>
  <c r="AD523" i="9"/>
  <c r="AE523" i="9" s="1"/>
  <c r="AD524" i="9"/>
  <c r="AE524" i="9" s="1"/>
  <c r="AD525" i="9"/>
  <c r="AE525" i="9" s="1"/>
  <c r="AD526" i="9"/>
  <c r="AE526" i="9" s="1"/>
  <c r="AD527" i="9"/>
  <c r="AE527" i="9" s="1"/>
  <c r="AD528" i="9"/>
  <c r="AE528" i="9" s="1"/>
  <c r="AD529" i="9"/>
  <c r="AE529" i="9" s="1"/>
  <c r="AD530" i="9"/>
  <c r="AE530" i="9" s="1"/>
  <c r="AD531" i="9"/>
  <c r="AE531" i="9" s="1"/>
  <c r="AD532" i="9"/>
  <c r="AE532" i="9" s="1"/>
  <c r="AD533" i="9"/>
  <c r="AE533" i="9" s="1"/>
  <c r="AD534" i="9"/>
  <c r="AE534" i="9" s="1"/>
  <c r="AD535" i="9"/>
  <c r="AE535" i="9" s="1"/>
  <c r="AD536" i="9"/>
  <c r="AE536" i="9" s="1"/>
  <c r="AD537" i="9"/>
  <c r="AE537" i="9" s="1"/>
  <c r="AD538" i="9"/>
  <c r="AE538" i="9" s="1"/>
  <c r="AD539" i="9"/>
  <c r="AE539" i="9" s="1"/>
  <c r="AD540" i="9"/>
  <c r="AE540" i="9" s="1"/>
  <c r="AD541" i="9"/>
  <c r="AE541" i="9" s="1"/>
  <c r="AD542" i="9"/>
  <c r="AE542" i="9" s="1"/>
  <c r="AD543" i="9"/>
  <c r="AE543" i="9" s="1"/>
  <c r="AD544" i="9"/>
  <c r="AE544" i="9" s="1"/>
  <c r="AD545" i="9"/>
  <c r="AE545" i="9" s="1"/>
  <c r="AD546" i="9"/>
  <c r="AE546" i="9" s="1"/>
  <c r="AD547" i="9"/>
  <c r="AE547" i="9" s="1"/>
  <c r="AD548" i="9"/>
  <c r="AE548" i="9" s="1"/>
  <c r="AD549" i="9"/>
  <c r="AE549" i="9" s="1"/>
  <c r="AD550" i="9"/>
  <c r="AE550" i="9" s="1"/>
  <c r="AD551" i="9"/>
  <c r="AE551" i="9" s="1"/>
  <c r="AD552" i="9"/>
  <c r="AE552" i="9" s="1"/>
  <c r="AD553" i="9"/>
  <c r="AE553" i="9" s="1"/>
  <c r="AD554" i="9"/>
  <c r="AE554" i="9" s="1"/>
  <c r="AD555" i="9"/>
  <c r="AE555" i="9" s="1"/>
  <c r="AD556" i="9"/>
  <c r="AE556" i="9" s="1"/>
  <c r="AD557" i="9"/>
  <c r="AE557" i="9" s="1"/>
  <c r="AD558" i="9"/>
  <c r="AE558" i="9" s="1"/>
  <c r="AD559" i="9"/>
  <c r="AE559" i="9" s="1"/>
  <c r="AD560" i="9"/>
  <c r="AE560" i="9" s="1"/>
  <c r="AD561" i="9"/>
  <c r="AE561" i="9" s="1"/>
  <c r="AD562" i="9"/>
  <c r="AE562" i="9" s="1"/>
  <c r="AD563" i="9"/>
  <c r="AE563" i="9" s="1"/>
  <c r="AD564" i="9"/>
  <c r="AE564" i="9" s="1"/>
  <c r="AD565" i="9"/>
  <c r="AE565" i="9" s="1"/>
  <c r="AD566" i="9"/>
  <c r="AE566" i="9" s="1"/>
  <c r="AD567" i="9"/>
  <c r="AE567" i="9" s="1"/>
  <c r="AD568" i="9"/>
  <c r="AE568" i="9" s="1"/>
  <c r="AD569" i="9"/>
  <c r="AE569" i="9" s="1"/>
  <c r="AD570" i="9"/>
  <c r="AE570" i="9" s="1"/>
  <c r="AD571" i="9"/>
  <c r="AE571" i="9" s="1"/>
  <c r="AD572" i="9"/>
  <c r="AE572" i="9" s="1"/>
  <c r="AD573" i="9"/>
  <c r="AE573" i="9" s="1"/>
  <c r="AD574" i="9"/>
  <c r="AE574" i="9" s="1"/>
  <c r="AD575" i="9"/>
  <c r="AE575" i="9" s="1"/>
  <c r="AD576" i="9"/>
  <c r="AE576" i="9" s="1"/>
  <c r="AD577" i="9"/>
  <c r="AE577" i="9" s="1"/>
  <c r="AD578" i="9"/>
  <c r="AE578" i="9" s="1"/>
  <c r="AD579" i="9"/>
  <c r="AE579" i="9" s="1"/>
  <c r="AD580" i="9"/>
  <c r="AE580" i="9" s="1"/>
  <c r="AD581" i="9"/>
  <c r="AE581" i="9" s="1"/>
  <c r="AD582" i="9"/>
  <c r="AE582" i="9" s="1"/>
  <c r="AD583" i="9"/>
  <c r="AE583" i="9" s="1"/>
  <c r="AD584" i="9"/>
  <c r="AE584" i="9" s="1"/>
  <c r="AD585" i="9"/>
  <c r="AE585" i="9" s="1"/>
  <c r="AD586" i="9"/>
  <c r="AE586" i="9" s="1"/>
  <c r="AD587" i="9"/>
  <c r="AE587" i="9" s="1"/>
  <c r="AD588" i="9"/>
  <c r="AE588" i="9" s="1"/>
  <c r="AD589" i="9"/>
  <c r="AE589" i="9" s="1"/>
  <c r="AD590" i="9"/>
  <c r="AE590" i="9" s="1"/>
  <c r="AD591" i="9"/>
  <c r="AE591" i="9" s="1"/>
  <c r="AD592" i="9"/>
  <c r="AE592" i="9" s="1"/>
  <c r="AD593" i="9"/>
  <c r="AE593" i="9" s="1"/>
  <c r="AD594" i="9"/>
  <c r="AE594" i="9" s="1"/>
  <c r="AD595" i="9"/>
  <c r="AE595" i="9" s="1"/>
  <c r="AD596" i="9"/>
  <c r="AE596" i="9" s="1"/>
  <c r="AD597" i="9"/>
  <c r="AE597" i="9" s="1"/>
  <c r="AD598" i="9"/>
  <c r="AE598" i="9" s="1"/>
  <c r="AD599" i="9"/>
  <c r="AE599" i="9" s="1"/>
  <c r="AD600" i="9"/>
  <c r="AE600" i="9" s="1"/>
  <c r="AD601" i="9"/>
  <c r="AE601" i="9" s="1"/>
  <c r="AD602" i="9"/>
  <c r="AE602" i="9" s="1"/>
  <c r="AD603" i="9"/>
  <c r="AE603" i="9" s="1"/>
  <c r="AD604" i="9"/>
  <c r="AE604" i="9" s="1"/>
  <c r="AD605" i="9"/>
  <c r="AE605" i="9" s="1"/>
  <c r="AD606" i="9"/>
  <c r="AE606" i="9" s="1"/>
  <c r="AD607" i="9"/>
  <c r="AE607" i="9" s="1"/>
  <c r="AD608" i="9"/>
  <c r="AE608" i="9" s="1"/>
  <c r="AD609" i="9"/>
  <c r="AE609" i="9" s="1"/>
  <c r="AD610" i="9"/>
  <c r="AE610" i="9" s="1"/>
  <c r="AD611" i="9"/>
  <c r="AE611" i="9" s="1"/>
  <c r="AD612" i="9"/>
  <c r="AE612" i="9" s="1"/>
  <c r="AD613" i="9"/>
  <c r="AE613" i="9" s="1"/>
  <c r="AD614" i="9"/>
  <c r="AE614" i="9" s="1"/>
  <c r="AD615" i="9"/>
  <c r="AE615" i="9" s="1"/>
  <c r="AD616" i="9"/>
  <c r="AE616" i="9" s="1"/>
  <c r="AD617" i="9"/>
  <c r="AE617" i="9" s="1"/>
  <c r="AD618" i="9"/>
  <c r="AE618" i="9" s="1"/>
  <c r="AD619" i="9"/>
  <c r="AE619" i="9" s="1"/>
  <c r="AD620" i="9"/>
  <c r="AE620" i="9" s="1"/>
  <c r="AD621" i="9"/>
  <c r="AE621" i="9" s="1"/>
  <c r="AD622" i="9"/>
  <c r="AE622" i="9" s="1"/>
  <c r="AD623" i="9"/>
  <c r="AE623" i="9" s="1"/>
  <c r="AD624" i="9"/>
  <c r="AE624" i="9" s="1"/>
  <c r="AD625" i="9"/>
  <c r="AE625" i="9" s="1"/>
  <c r="AD626" i="9"/>
  <c r="AE626" i="9" s="1"/>
  <c r="AD627" i="9"/>
  <c r="AE627" i="9" s="1"/>
  <c r="AD628" i="9"/>
  <c r="AE628" i="9" s="1"/>
  <c r="AD629" i="9"/>
  <c r="AE629" i="9" s="1"/>
  <c r="AD630" i="9"/>
  <c r="AE630" i="9" s="1"/>
  <c r="AD631" i="9"/>
  <c r="AE631" i="9" s="1"/>
  <c r="AD632" i="9"/>
  <c r="AE632" i="9" s="1"/>
  <c r="AD633" i="9"/>
  <c r="AE633" i="9" s="1"/>
  <c r="AD634" i="9"/>
  <c r="AE634" i="9" s="1"/>
  <c r="AD635" i="9"/>
  <c r="AE635" i="9" s="1"/>
  <c r="AD636" i="9"/>
  <c r="AE636" i="9" s="1"/>
  <c r="AD637" i="9"/>
  <c r="AE637" i="9" s="1"/>
  <c r="AD638" i="9"/>
  <c r="AE638" i="9" s="1"/>
  <c r="AD639" i="9"/>
  <c r="AE639" i="9" s="1"/>
  <c r="AD640" i="9"/>
  <c r="AE640" i="9" s="1"/>
  <c r="AD641" i="9"/>
  <c r="AE641" i="9" s="1"/>
  <c r="AD642" i="9"/>
  <c r="AE642" i="9" s="1"/>
  <c r="AD643" i="9"/>
  <c r="AE643" i="9" s="1"/>
  <c r="AD644" i="9"/>
  <c r="AE644" i="9" s="1"/>
  <c r="AD645" i="9"/>
  <c r="AE645" i="9" s="1"/>
  <c r="AD646" i="9"/>
  <c r="AE646" i="9" s="1"/>
  <c r="AD647" i="9"/>
  <c r="AE647" i="9" s="1"/>
  <c r="AD648" i="9"/>
  <c r="AE648" i="9" s="1"/>
  <c r="AD649" i="9"/>
  <c r="AE649" i="9" s="1"/>
  <c r="AD650" i="9"/>
  <c r="AE650" i="9" s="1"/>
  <c r="AD651" i="9"/>
  <c r="AE651" i="9" s="1"/>
  <c r="AD652" i="9"/>
  <c r="AE652" i="9" s="1"/>
  <c r="AD653" i="9"/>
  <c r="AE653" i="9" s="1"/>
  <c r="AD654" i="9"/>
  <c r="AE654" i="9" s="1"/>
  <c r="AD655" i="9"/>
  <c r="AE655" i="9" s="1"/>
  <c r="AD656" i="9"/>
  <c r="AE656" i="9" s="1"/>
  <c r="AD657" i="9"/>
  <c r="AE657" i="9" s="1"/>
  <c r="AD658" i="9"/>
  <c r="AE658" i="9" s="1"/>
  <c r="AD659" i="9"/>
  <c r="AE659" i="9" s="1"/>
  <c r="AD660" i="9"/>
  <c r="AE660" i="9" s="1"/>
  <c r="AD661" i="9"/>
  <c r="AE661" i="9" s="1"/>
  <c r="AD662" i="9"/>
  <c r="AE662" i="9" s="1"/>
  <c r="AD663" i="9"/>
  <c r="AE663" i="9" s="1"/>
  <c r="AD664" i="9"/>
  <c r="AE664" i="9" s="1"/>
  <c r="AD665" i="9"/>
  <c r="AE665" i="9" s="1"/>
  <c r="AD666" i="9"/>
  <c r="AE666" i="9" s="1"/>
  <c r="AD667" i="9"/>
  <c r="AE667" i="9" s="1"/>
  <c r="AD668" i="9"/>
  <c r="AE668" i="9" s="1"/>
  <c r="AD669" i="9"/>
  <c r="AE669" i="9" s="1"/>
  <c r="AD670" i="9"/>
  <c r="AE670" i="9" s="1"/>
  <c r="AD671" i="9"/>
  <c r="AE671" i="9" s="1"/>
  <c r="AD672" i="9"/>
  <c r="AE672" i="9" s="1"/>
  <c r="AD673" i="9"/>
  <c r="AE673" i="9" s="1"/>
  <c r="AD674" i="9"/>
  <c r="AE674" i="9" s="1"/>
  <c r="AD675" i="9"/>
  <c r="AE675" i="9" s="1"/>
  <c r="AD676" i="9"/>
  <c r="AE676" i="9" s="1"/>
  <c r="AD677" i="9"/>
  <c r="AE677" i="9" s="1"/>
  <c r="AD678" i="9"/>
  <c r="AE678" i="9" s="1"/>
  <c r="AD679" i="9"/>
  <c r="AE679" i="9" s="1"/>
  <c r="AD680" i="9"/>
  <c r="AE680" i="9" s="1"/>
  <c r="AD681" i="9"/>
  <c r="AE681" i="9" s="1"/>
  <c r="AD682" i="9"/>
  <c r="AE682" i="9" s="1"/>
  <c r="AD683" i="9"/>
  <c r="AE683" i="9" s="1"/>
  <c r="AD684" i="9"/>
  <c r="AE684" i="9" s="1"/>
  <c r="AD685" i="9"/>
  <c r="AE685" i="9" s="1"/>
  <c r="AD686" i="9"/>
  <c r="AE686" i="9" s="1"/>
  <c r="AD687" i="9"/>
  <c r="AE687" i="9" s="1"/>
  <c r="AD688" i="9"/>
  <c r="AE688" i="9" s="1"/>
  <c r="AD689" i="9"/>
  <c r="AE689" i="9" s="1"/>
  <c r="AD690" i="9"/>
  <c r="AE690" i="9" s="1"/>
  <c r="AD691" i="9"/>
  <c r="AE691" i="9" s="1"/>
  <c r="AD692" i="9"/>
  <c r="AE692" i="9" s="1"/>
  <c r="AD693" i="9"/>
  <c r="AE693" i="9" s="1"/>
  <c r="AD694" i="9"/>
  <c r="AE694" i="9" s="1"/>
  <c r="AD695" i="9"/>
  <c r="AE695" i="9" s="1"/>
  <c r="AD696" i="9"/>
  <c r="AE696" i="9" s="1"/>
  <c r="AD697" i="9"/>
  <c r="AE697" i="9" s="1"/>
  <c r="AD698" i="9"/>
  <c r="AE698" i="9" s="1"/>
  <c r="AD699" i="9"/>
  <c r="AE699" i="9" s="1"/>
  <c r="AD700" i="9"/>
  <c r="AE700" i="9" s="1"/>
  <c r="AD701" i="9"/>
  <c r="AE701" i="9" s="1"/>
  <c r="AD702" i="9"/>
  <c r="AE702" i="9" s="1"/>
  <c r="AD703" i="9"/>
  <c r="AE703" i="9" s="1"/>
  <c r="AD704" i="9"/>
  <c r="AE704" i="9" s="1"/>
  <c r="AD705" i="9"/>
  <c r="AE705" i="9" s="1"/>
  <c r="AD706" i="9"/>
  <c r="AE706" i="9" s="1"/>
  <c r="AD707" i="9"/>
  <c r="AE707" i="9" s="1"/>
  <c r="AD708" i="9"/>
  <c r="AE708" i="9" s="1"/>
  <c r="AD709" i="9"/>
  <c r="AE709" i="9" s="1"/>
  <c r="AD710" i="9"/>
  <c r="AE710" i="9" s="1"/>
  <c r="AD711" i="9"/>
  <c r="AE711" i="9" s="1"/>
  <c r="AD712" i="9"/>
  <c r="AE712" i="9" s="1"/>
  <c r="AD713" i="9"/>
  <c r="AE713" i="9" s="1"/>
  <c r="AD714" i="9"/>
  <c r="AE714" i="9" s="1"/>
  <c r="AD715" i="9"/>
  <c r="AE715" i="9" s="1"/>
  <c r="AD716" i="9"/>
  <c r="AE716" i="9" s="1"/>
  <c r="AD717" i="9"/>
  <c r="AE717" i="9" s="1"/>
  <c r="AD718" i="9"/>
  <c r="AE718" i="9" s="1"/>
  <c r="AD719" i="9"/>
  <c r="AE719" i="9" s="1"/>
  <c r="AD720" i="9"/>
  <c r="AE720" i="9" s="1"/>
  <c r="AD721" i="9"/>
  <c r="AE721" i="9" s="1"/>
  <c r="AD722" i="9"/>
  <c r="AE722" i="9" s="1"/>
  <c r="AD723" i="9"/>
  <c r="AE723" i="9" s="1"/>
  <c r="AD724" i="9"/>
  <c r="AE724" i="9" s="1"/>
  <c r="AD725" i="9"/>
  <c r="AE725" i="9" s="1"/>
  <c r="AD726" i="9"/>
  <c r="AE726" i="9" s="1"/>
  <c r="AD727" i="9"/>
  <c r="AE727" i="9" s="1"/>
  <c r="AD728" i="9"/>
  <c r="AE728" i="9" s="1"/>
  <c r="AD729" i="9"/>
  <c r="AE729" i="9" s="1"/>
  <c r="AD730" i="9"/>
  <c r="AE730" i="9" s="1"/>
  <c r="AD731" i="9"/>
  <c r="AE731" i="9" s="1"/>
  <c r="AD12" i="9"/>
  <c r="AE12" i="9" s="1"/>
  <c r="V6" i="9"/>
  <c r="U6" i="9"/>
  <c r="T6" i="9"/>
  <c r="U87" i="9"/>
  <c r="V87" i="9"/>
  <c r="U88" i="9"/>
  <c r="V88" i="9"/>
  <c r="U89" i="9"/>
  <c r="V89" i="9"/>
  <c r="U90" i="9"/>
  <c r="V90" i="9"/>
  <c r="U91" i="9"/>
  <c r="V91" i="9"/>
  <c r="U92" i="9"/>
  <c r="V92" i="9"/>
  <c r="U93" i="9"/>
  <c r="V93" i="9"/>
  <c r="U94" i="9"/>
  <c r="V94" i="9"/>
  <c r="U95" i="9"/>
  <c r="V95" i="9"/>
  <c r="U96" i="9"/>
  <c r="V96" i="9"/>
  <c r="U97" i="9"/>
  <c r="V97" i="9"/>
  <c r="U98" i="9"/>
  <c r="V98" i="9"/>
  <c r="U99" i="9"/>
  <c r="V99" i="9"/>
  <c r="U100" i="9"/>
  <c r="V100" i="9"/>
  <c r="U101" i="9"/>
  <c r="V101" i="9"/>
  <c r="U102" i="9"/>
  <c r="V102" i="9"/>
  <c r="U103" i="9"/>
  <c r="V103" i="9"/>
  <c r="U104" i="9"/>
  <c r="V104" i="9"/>
  <c r="U105" i="9"/>
  <c r="V105" i="9"/>
  <c r="U106" i="9"/>
  <c r="V106" i="9"/>
  <c r="U107" i="9"/>
  <c r="V107" i="9"/>
  <c r="U108" i="9"/>
  <c r="V108" i="9"/>
  <c r="U109" i="9"/>
  <c r="V109" i="9"/>
  <c r="U110" i="9"/>
  <c r="V110" i="9"/>
  <c r="U111" i="9"/>
  <c r="V111" i="9"/>
  <c r="U112" i="9"/>
  <c r="V112" i="9"/>
  <c r="U113" i="9"/>
  <c r="V113" i="9"/>
  <c r="U114" i="9"/>
  <c r="V114" i="9"/>
  <c r="U115" i="9"/>
  <c r="V115" i="9"/>
  <c r="U116" i="9"/>
  <c r="V116" i="9"/>
  <c r="U117" i="9"/>
  <c r="V117" i="9"/>
  <c r="U118" i="9"/>
  <c r="V118" i="9"/>
  <c r="U119" i="9"/>
  <c r="V119" i="9"/>
  <c r="U120" i="9"/>
  <c r="V120" i="9"/>
  <c r="U121" i="9"/>
  <c r="V121" i="9"/>
  <c r="U122" i="9"/>
  <c r="V122" i="9"/>
  <c r="U123" i="9"/>
  <c r="V123" i="9"/>
  <c r="U124" i="9"/>
  <c r="V124" i="9"/>
  <c r="U125" i="9"/>
  <c r="V125" i="9"/>
  <c r="U126" i="9"/>
  <c r="V126" i="9"/>
  <c r="U127" i="9"/>
  <c r="V127" i="9"/>
  <c r="U128" i="9"/>
  <c r="V128" i="9"/>
  <c r="U129" i="9"/>
  <c r="V129" i="9"/>
  <c r="U130" i="9"/>
  <c r="V130" i="9"/>
  <c r="U131" i="9"/>
  <c r="V131" i="9"/>
  <c r="U132" i="9"/>
  <c r="V132" i="9"/>
  <c r="U133" i="9"/>
  <c r="V133" i="9"/>
  <c r="U134" i="9"/>
  <c r="V134" i="9"/>
  <c r="U135" i="9"/>
  <c r="V135" i="9"/>
  <c r="U136" i="9"/>
  <c r="V136" i="9"/>
  <c r="U137" i="9"/>
  <c r="V137" i="9"/>
  <c r="U138" i="9"/>
  <c r="V138" i="9"/>
  <c r="U139" i="9"/>
  <c r="V139" i="9"/>
  <c r="U140" i="9"/>
  <c r="V140" i="9"/>
  <c r="U141" i="9"/>
  <c r="V141" i="9"/>
  <c r="U142" i="9"/>
  <c r="V142" i="9"/>
  <c r="U143" i="9"/>
  <c r="V143" i="9"/>
  <c r="U144" i="9"/>
  <c r="V144" i="9"/>
  <c r="U145" i="9"/>
  <c r="V145" i="9"/>
  <c r="U146" i="9"/>
  <c r="V146" i="9"/>
  <c r="U147" i="9"/>
  <c r="V147" i="9"/>
  <c r="U148" i="9"/>
  <c r="V148" i="9"/>
  <c r="U149" i="9"/>
  <c r="V149" i="9"/>
  <c r="U150" i="9"/>
  <c r="V150" i="9"/>
  <c r="U151" i="9"/>
  <c r="V151" i="9"/>
  <c r="U152" i="9"/>
  <c r="V152" i="9"/>
  <c r="U153" i="9"/>
  <c r="V153" i="9"/>
  <c r="U154" i="9"/>
  <c r="V154" i="9"/>
  <c r="U155" i="9"/>
  <c r="V155" i="9"/>
  <c r="U156" i="9"/>
  <c r="V156" i="9"/>
  <c r="U157" i="9"/>
  <c r="V157" i="9"/>
  <c r="U158" i="9"/>
  <c r="V158" i="9"/>
  <c r="U159" i="9"/>
  <c r="V159" i="9"/>
  <c r="U160" i="9"/>
  <c r="V160" i="9"/>
  <c r="U161" i="9"/>
  <c r="V161" i="9"/>
  <c r="U162" i="9"/>
  <c r="V162" i="9"/>
  <c r="U163" i="9"/>
  <c r="V163" i="9"/>
  <c r="U164" i="9"/>
  <c r="V164" i="9"/>
  <c r="U165" i="9"/>
  <c r="V165" i="9"/>
  <c r="U166" i="9"/>
  <c r="V166" i="9"/>
  <c r="U167" i="9"/>
  <c r="V167" i="9"/>
  <c r="U168" i="9"/>
  <c r="V168" i="9"/>
  <c r="U169" i="9"/>
  <c r="V169" i="9"/>
  <c r="U170" i="9"/>
  <c r="V170" i="9"/>
  <c r="U171" i="9"/>
  <c r="V171" i="9"/>
  <c r="U172" i="9"/>
  <c r="V172" i="9"/>
  <c r="U173" i="9"/>
  <c r="V173" i="9"/>
  <c r="U174" i="9"/>
  <c r="V174" i="9"/>
  <c r="U175" i="9"/>
  <c r="V175" i="9"/>
  <c r="U176" i="9"/>
  <c r="V176" i="9"/>
  <c r="U177" i="9"/>
  <c r="V177" i="9"/>
  <c r="U178" i="9"/>
  <c r="V178" i="9"/>
  <c r="U179" i="9"/>
  <c r="V179" i="9"/>
  <c r="U180" i="9"/>
  <c r="V180" i="9"/>
  <c r="U181" i="9"/>
  <c r="V181" i="9"/>
  <c r="U182" i="9"/>
  <c r="V182" i="9"/>
  <c r="U183" i="9"/>
  <c r="V183" i="9"/>
  <c r="U184" i="9"/>
  <c r="V184" i="9"/>
  <c r="U185" i="9"/>
  <c r="V185" i="9"/>
  <c r="U186" i="9"/>
  <c r="V186" i="9"/>
  <c r="U187" i="9"/>
  <c r="V187" i="9"/>
  <c r="U188" i="9"/>
  <c r="V188" i="9"/>
  <c r="U189" i="9"/>
  <c r="V189" i="9"/>
  <c r="U190" i="9"/>
  <c r="V190" i="9"/>
  <c r="U191" i="9"/>
  <c r="V191" i="9"/>
  <c r="U192" i="9"/>
  <c r="V192" i="9"/>
  <c r="U193" i="9"/>
  <c r="V193" i="9"/>
  <c r="U194" i="9"/>
  <c r="V194" i="9"/>
  <c r="U195" i="9"/>
  <c r="V195" i="9"/>
  <c r="U196" i="9"/>
  <c r="V196" i="9"/>
  <c r="U197" i="9"/>
  <c r="V197" i="9"/>
  <c r="U198" i="9"/>
  <c r="V198" i="9"/>
  <c r="U199" i="9"/>
  <c r="V199" i="9"/>
  <c r="U200" i="9"/>
  <c r="V200" i="9"/>
  <c r="U201" i="9"/>
  <c r="V201" i="9"/>
  <c r="U202" i="9"/>
  <c r="V202" i="9"/>
  <c r="U203" i="9"/>
  <c r="V203" i="9"/>
  <c r="U204" i="9"/>
  <c r="V204" i="9"/>
  <c r="U205" i="9"/>
  <c r="V205" i="9"/>
  <c r="U206" i="9"/>
  <c r="V206" i="9"/>
  <c r="U207" i="9"/>
  <c r="V207" i="9"/>
  <c r="U208" i="9"/>
  <c r="V208" i="9"/>
  <c r="U209" i="9"/>
  <c r="V209" i="9"/>
  <c r="U210" i="9"/>
  <c r="V210" i="9"/>
  <c r="U211" i="9"/>
  <c r="V211" i="9"/>
  <c r="U212" i="9"/>
  <c r="V212" i="9"/>
  <c r="U213" i="9"/>
  <c r="V213" i="9"/>
  <c r="U214" i="9"/>
  <c r="V214" i="9"/>
  <c r="U215" i="9"/>
  <c r="V215" i="9"/>
  <c r="U216" i="9"/>
  <c r="V216" i="9"/>
  <c r="U217" i="9"/>
  <c r="V217" i="9"/>
  <c r="U218" i="9"/>
  <c r="V218" i="9"/>
  <c r="U219" i="9"/>
  <c r="V219" i="9"/>
  <c r="U220" i="9"/>
  <c r="V220" i="9"/>
  <c r="U221" i="9"/>
  <c r="V221" i="9"/>
  <c r="U222" i="9"/>
  <c r="V222" i="9"/>
  <c r="U223" i="9"/>
  <c r="V223" i="9"/>
  <c r="U224" i="9"/>
  <c r="V224" i="9"/>
  <c r="U225" i="9"/>
  <c r="V225" i="9"/>
  <c r="U226" i="9"/>
  <c r="V226" i="9"/>
  <c r="U227" i="9"/>
  <c r="V227" i="9"/>
  <c r="U228" i="9"/>
  <c r="V228" i="9"/>
  <c r="U229" i="9"/>
  <c r="V229" i="9"/>
  <c r="U230" i="9"/>
  <c r="V230" i="9"/>
  <c r="U231" i="9"/>
  <c r="V231" i="9"/>
  <c r="U232" i="9"/>
  <c r="V232" i="9"/>
  <c r="U233" i="9"/>
  <c r="V233" i="9"/>
  <c r="U234" i="9"/>
  <c r="V234" i="9"/>
  <c r="U235" i="9"/>
  <c r="V235" i="9"/>
  <c r="U236" i="9"/>
  <c r="V236" i="9"/>
  <c r="U237" i="9"/>
  <c r="V237" i="9"/>
  <c r="U238" i="9"/>
  <c r="V238" i="9"/>
  <c r="U239" i="9"/>
  <c r="V239" i="9"/>
  <c r="U240" i="9"/>
  <c r="V240" i="9"/>
  <c r="U241" i="9"/>
  <c r="V241" i="9"/>
  <c r="U242" i="9"/>
  <c r="V242" i="9"/>
  <c r="U243" i="9"/>
  <c r="V243" i="9"/>
  <c r="U244" i="9"/>
  <c r="V244" i="9"/>
  <c r="U245" i="9"/>
  <c r="V245" i="9"/>
  <c r="U246" i="9"/>
  <c r="V246" i="9"/>
  <c r="U247" i="9"/>
  <c r="V247" i="9"/>
  <c r="U248" i="9"/>
  <c r="V248" i="9"/>
  <c r="U249" i="9"/>
  <c r="V249" i="9"/>
  <c r="U250" i="9"/>
  <c r="V250" i="9"/>
  <c r="U251" i="9"/>
  <c r="V251" i="9"/>
  <c r="U252" i="9"/>
  <c r="V252" i="9"/>
  <c r="U253" i="9"/>
  <c r="V253" i="9"/>
  <c r="U254" i="9"/>
  <c r="V254" i="9"/>
  <c r="U255" i="9"/>
  <c r="V255" i="9"/>
  <c r="U256" i="9"/>
  <c r="V256" i="9"/>
  <c r="U257" i="9"/>
  <c r="V257" i="9"/>
  <c r="U258" i="9"/>
  <c r="V258" i="9"/>
  <c r="U259" i="9"/>
  <c r="V259" i="9"/>
  <c r="U260" i="9"/>
  <c r="V260" i="9"/>
  <c r="U261" i="9"/>
  <c r="V261" i="9"/>
  <c r="U262" i="9"/>
  <c r="V262" i="9"/>
  <c r="U263" i="9"/>
  <c r="V263" i="9"/>
  <c r="U264" i="9"/>
  <c r="V264" i="9"/>
  <c r="U265" i="9"/>
  <c r="V265" i="9"/>
  <c r="U266" i="9"/>
  <c r="V266" i="9"/>
  <c r="U267" i="9"/>
  <c r="V267" i="9"/>
  <c r="U268" i="9"/>
  <c r="V268" i="9"/>
  <c r="U269" i="9"/>
  <c r="V269" i="9"/>
  <c r="U270" i="9"/>
  <c r="V270" i="9"/>
  <c r="U271" i="9"/>
  <c r="V271" i="9"/>
  <c r="U272" i="9"/>
  <c r="V272" i="9"/>
  <c r="U273" i="9"/>
  <c r="V273" i="9"/>
  <c r="U274" i="9"/>
  <c r="V274" i="9"/>
  <c r="U275" i="9"/>
  <c r="V275" i="9"/>
  <c r="U276" i="9"/>
  <c r="V276" i="9"/>
  <c r="U277" i="9"/>
  <c r="V277" i="9"/>
  <c r="U278" i="9"/>
  <c r="V278" i="9"/>
  <c r="U279" i="9"/>
  <c r="V279" i="9"/>
  <c r="U280" i="9"/>
  <c r="V280" i="9"/>
  <c r="U281" i="9"/>
  <c r="V281" i="9"/>
  <c r="U282" i="9"/>
  <c r="V282" i="9"/>
  <c r="U283" i="9"/>
  <c r="V283" i="9"/>
  <c r="U284" i="9"/>
  <c r="V284" i="9"/>
  <c r="U285" i="9"/>
  <c r="V285" i="9"/>
  <c r="U286" i="9"/>
  <c r="V286" i="9"/>
  <c r="U287" i="9"/>
  <c r="V287" i="9"/>
  <c r="U288" i="9"/>
  <c r="V288" i="9"/>
  <c r="U289" i="9"/>
  <c r="V289" i="9"/>
  <c r="U290" i="9"/>
  <c r="V290" i="9"/>
  <c r="U291" i="9"/>
  <c r="V291" i="9"/>
  <c r="U292" i="9"/>
  <c r="V292" i="9"/>
  <c r="U293" i="9"/>
  <c r="V293" i="9"/>
  <c r="U294" i="9"/>
  <c r="V294" i="9"/>
  <c r="U295" i="9"/>
  <c r="V295" i="9"/>
  <c r="U296" i="9"/>
  <c r="V296" i="9"/>
  <c r="U297" i="9"/>
  <c r="V297" i="9"/>
  <c r="U298" i="9"/>
  <c r="V298" i="9"/>
  <c r="U299" i="9"/>
  <c r="V299" i="9"/>
  <c r="U300" i="9"/>
  <c r="V300" i="9"/>
  <c r="U301" i="9"/>
  <c r="V301" i="9"/>
  <c r="U302" i="9"/>
  <c r="V302" i="9"/>
  <c r="U303" i="9"/>
  <c r="V303" i="9"/>
  <c r="U304" i="9"/>
  <c r="V304" i="9"/>
  <c r="U305" i="9"/>
  <c r="V305" i="9"/>
  <c r="U306" i="9"/>
  <c r="V306" i="9"/>
  <c r="U307" i="9"/>
  <c r="V307" i="9"/>
  <c r="U308" i="9"/>
  <c r="V308" i="9"/>
  <c r="U309" i="9"/>
  <c r="V309" i="9"/>
  <c r="U310" i="9"/>
  <c r="V310" i="9"/>
  <c r="U311" i="9"/>
  <c r="V311" i="9"/>
  <c r="U312" i="9"/>
  <c r="V312" i="9"/>
  <c r="U313" i="9"/>
  <c r="V313" i="9"/>
  <c r="U314" i="9"/>
  <c r="V314" i="9"/>
  <c r="U315" i="9"/>
  <c r="V315" i="9"/>
  <c r="U316" i="9"/>
  <c r="V316" i="9"/>
  <c r="U317" i="9"/>
  <c r="V317" i="9"/>
  <c r="U318" i="9"/>
  <c r="V318" i="9"/>
  <c r="U319" i="9"/>
  <c r="V319" i="9"/>
  <c r="U320" i="9"/>
  <c r="V320" i="9"/>
  <c r="U321" i="9"/>
  <c r="V321" i="9"/>
  <c r="U322" i="9"/>
  <c r="V322" i="9"/>
  <c r="U323" i="9"/>
  <c r="V323" i="9"/>
  <c r="U324" i="9"/>
  <c r="V324" i="9"/>
  <c r="U325" i="9"/>
  <c r="V325" i="9"/>
  <c r="U326" i="9"/>
  <c r="V326" i="9"/>
  <c r="U327" i="9"/>
  <c r="V327" i="9"/>
  <c r="U328" i="9"/>
  <c r="V328" i="9"/>
  <c r="U329" i="9"/>
  <c r="V329" i="9"/>
  <c r="U330" i="9"/>
  <c r="V330" i="9"/>
  <c r="U331" i="9"/>
  <c r="V331" i="9"/>
  <c r="U332" i="9"/>
  <c r="V332" i="9"/>
  <c r="U333" i="9"/>
  <c r="V333" i="9"/>
  <c r="U334" i="9"/>
  <c r="V334" i="9"/>
  <c r="U335" i="9"/>
  <c r="V335" i="9"/>
  <c r="U336" i="9"/>
  <c r="V336" i="9"/>
  <c r="U337" i="9"/>
  <c r="V337" i="9"/>
  <c r="U338" i="9"/>
  <c r="V338" i="9"/>
  <c r="U339" i="9"/>
  <c r="V339" i="9"/>
  <c r="U340" i="9"/>
  <c r="V340" i="9"/>
  <c r="U341" i="9"/>
  <c r="V341" i="9"/>
  <c r="U342" i="9"/>
  <c r="V342" i="9"/>
  <c r="U343" i="9"/>
  <c r="V343" i="9"/>
  <c r="U344" i="9"/>
  <c r="V344" i="9"/>
  <c r="U345" i="9"/>
  <c r="V345" i="9"/>
  <c r="U346" i="9"/>
  <c r="V346" i="9"/>
  <c r="U347" i="9"/>
  <c r="V347" i="9"/>
  <c r="U348" i="9"/>
  <c r="V348" i="9"/>
  <c r="U349" i="9"/>
  <c r="V349" i="9"/>
  <c r="U350" i="9"/>
  <c r="V350" i="9"/>
  <c r="U351" i="9"/>
  <c r="V351" i="9"/>
  <c r="U352" i="9"/>
  <c r="V352" i="9"/>
  <c r="U353" i="9"/>
  <c r="V353" i="9"/>
  <c r="U354" i="9"/>
  <c r="V354" i="9"/>
  <c r="U355" i="9"/>
  <c r="V355" i="9"/>
  <c r="U356" i="9"/>
  <c r="V356" i="9"/>
  <c r="U357" i="9"/>
  <c r="V357" i="9"/>
  <c r="U358" i="9"/>
  <c r="V358" i="9"/>
  <c r="U359" i="9"/>
  <c r="V359" i="9"/>
  <c r="U360" i="9"/>
  <c r="V360" i="9"/>
  <c r="U361" i="9"/>
  <c r="V361" i="9"/>
  <c r="U362" i="9"/>
  <c r="V362" i="9"/>
  <c r="U363" i="9"/>
  <c r="V363" i="9"/>
  <c r="U364" i="9"/>
  <c r="V364" i="9"/>
  <c r="U365" i="9"/>
  <c r="V365" i="9"/>
  <c r="U366" i="9"/>
  <c r="V366" i="9"/>
  <c r="U367" i="9"/>
  <c r="V367" i="9"/>
  <c r="U368" i="9"/>
  <c r="V368" i="9"/>
  <c r="U369" i="9"/>
  <c r="V369" i="9"/>
  <c r="U370" i="9"/>
  <c r="V370" i="9"/>
  <c r="U371" i="9"/>
  <c r="V371" i="9"/>
  <c r="U372" i="9"/>
  <c r="V372" i="9"/>
  <c r="U373" i="9"/>
  <c r="V373" i="9"/>
  <c r="U374" i="9"/>
  <c r="V374" i="9"/>
  <c r="U375" i="9"/>
  <c r="V375" i="9"/>
  <c r="U376" i="9"/>
  <c r="V376" i="9"/>
  <c r="U377" i="9"/>
  <c r="V377" i="9"/>
  <c r="U378" i="9"/>
  <c r="V378" i="9"/>
  <c r="U379" i="9"/>
  <c r="V379" i="9"/>
  <c r="U380" i="9"/>
  <c r="V380" i="9"/>
  <c r="U381" i="9"/>
  <c r="V381" i="9"/>
  <c r="U382" i="9"/>
  <c r="V382" i="9"/>
  <c r="U383" i="9"/>
  <c r="V383" i="9"/>
  <c r="U384" i="9"/>
  <c r="V384" i="9"/>
  <c r="U385" i="9"/>
  <c r="V385" i="9"/>
  <c r="U386" i="9"/>
  <c r="V386" i="9"/>
  <c r="U387" i="9"/>
  <c r="V387" i="9"/>
  <c r="U388" i="9"/>
  <c r="V388" i="9"/>
  <c r="U389" i="9"/>
  <c r="V389" i="9"/>
  <c r="U390" i="9"/>
  <c r="V390" i="9"/>
  <c r="U391" i="9"/>
  <c r="V391" i="9"/>
  <c r="U392" i="9"/>
  <c r="V392" i="9"/>
  <c r="U393" i="9"/>
  <c r="V393" i="9"/>
  <c r="U394" i="9"/>
  <c r="V394" i="9"/>
  <c r="U395" i="9"/>
  <c r="V395" i="9"/>
  <c r="U396" i="9"/>
  <c r="V396" i="9"/>
  <c r="U397" i="9"/>
  <c r="V397" i="9"/>
  <c r="U398" i="9"/>
  <c r="V398" i="9"/>
  <c r="U399" i="9"/>
  <c r="V399" i="9"/>
  <c r="U400" i="9"/>
  <c r="V400" i="9"/>
  <c r="U401" i="9"/>
  <c r="V401" i="9"/>
  <c r="U402" i="9"/>
  <c r="V402" i="9"/>
  <c r="U403" i="9"/>
  <c r="V403" i="9"/>
  <c r="U404" i="9"/>
  <c r="V404" i="9"/>
  <c r="U405" i="9"/>
  <c r="V405" i="9"/>
  <c r="U406" i="9"/>
  <c r="V406" i="9"/>
  <c r="U407" i="9"/>
  <c r="V407" i="9"/>
  <c r="U408" i="9"/>
  <c r="V408" i="9"/>
  <c r="U409" i="9"/>
  <c r="V409" i="9"/>
  <c r="U410" i="9"/>
  <c r="V410" i="9"/>
  <c r="U411" i="9"/>
  <c r="V411" i="9"/>
  <c r="U412" i="9"/>
  <c r="V412" i="9"/>
  <c r="U413" i="9"/>
  <c r="V413" i="9"/>
  <c r="U414" i="9"/>
  <c r="V414" i="9"/>
  <c r="U415" i="9"/>
  <c r="V415" i="9"/>
  <c r="U416" i="9"/>
  <c r="V416" i="9"/>
  <c r="U417" i="9"/>
  <c r="V417" i="9"/>
  <c r="U418" i="9"/>
  <c r="V418" i="9"/>
  <c r="U419" i="9"/>
  <c r="V419" i="9"/>
  <c r="U420" i="9"/>
  <c r="V420" i="9"/>
  <c r="U421" i="9"/>
  <c r="V421" i="9"/>
  <c r="U422" i="9"/>
  <c r="V422" i="9"/>
  <c r="U423" i="9"/>
  <c r="V423" i="9"/>
  <c r="U424" i="9"/>
  <c r="V424" i="9"/>
  <c r="U425" i="9"/>
  <c r="V425" i="9"/>
  <c r="U426" i="9"/>
  <c r="V426" i="9"/>
  <c r="U427" i="9"/>
  <c r="V427" i="9"/>
  <c r="U428" i="9"/>
  <c r="V428" i="9"/>
  <c r="U429" i="9"/>
  <c r="V429" i="9"/>
  <c r="U430" i="9"/>
  <c r="V430" i="9"/>
  <c r="U431" i="9"/>
  <c r="V431" i="9"/>
  <c r="U432" i="9"/>
  <c r="V432" i="9"/>
  <c r="U433" i="9"/>
  <c r="V433" i="9"/>
  <c r="U434" i="9"/>
  <c r="V434" i="9"/>
  <c r="U435" i="9"/>
  <c r="V435" i="9"/>
  <c r="U436" i="9"/>
  <c r="V436" i="9"/>
  <c r="U437" i="9"/>
  <c r="V437" i="9"/>
  <c r="U438" i="9"/>
  <c r="V438" i="9"/>
  <c r="U439" i="9"/>
  <c r="V439" i="9"/>
  <c r="U440" i="9"/>
  <c r="V440" i="9"/>
  <c r="U441" i="9"/>
  <c r="V441" i="9"/>
  <c r="U442" i="9"/>
  <c r="V442" i="9"/>
  <c r="U443" i="9"/>
  <c r="V443" i="9"/>
  <c r="U444" i="9"/>
  <c r="V444" i="9"/>
  <c r="U445" i="9"/>
  <c r="V445" i="9"/>
  <c r="U446" i="9"/>
  <c r="V446" i="9"/>
  <c r="U447" i="9"/>
  <c r="V447" i="9"/>
  <c r="U448" i="9"/>
  <c r="V448" i="9"/>
  <c r="U449" i="9"/>
  <c r="V449" i="9"/>
  <c r="U450" i="9"/>
  <c r="V450" i="9"/>
  <c r="U451" i="9"/>
  <c r="V451" i="9"/>
  <c r="U452" i="9"/>
  <c r="V452" i="9"/>
  <c r="U453" i="9"/>
  <c r="V453" i="9"/>
  <c r="U454" i="9"/>
  <c r="V454" i="9"/>
  <c r="U455" i="9"/>
  <c r="V455" i="9"/>
  <c r="U456" i="9"/>
  <c r="V456" i="9"/>
  <c r="U457" i="9"/>
  <c r="V457" i="9"/>
  <c r="U458" i="9"/>
  <c r="V458" i="9"/>
  <c r="U459" i="9"/>
  <c r="V459" i="9"/>
  <c r="U460" i="9"/>
  <c r="V460" i="9"/>
  <c r="U461" i="9"/>
  <c r="V461" i="9"/>
  <c r="U462" i="9"/>
  <c r="V462" i="9"/>
  <c r="U463" i="9"/>
  <c r="V463" i="9"/>
  <c r="U464" i="9"/>
  <c r="V464" i="9"/>
  <c r="U465" i="9"/>
  <c r="V465" i="9"/>
  <c r="U466" i="9"/>
  <c r="V466" i="9"/>
  <c r="U467" i="9"/>
  <c r="V467" i="9"/>
  <c r="U468" i="9"/>
  <c r="V468" i="9"/>
  <c r="U469" i="9"/>
  <c r="V469" i="9"/>
  <c r="U470" i="9"/>
  <c r="V470" i="9"/>
  <c r="U471" i="9"/>
  <c r="V471" i="9"/>
  <c r="U472" i="9"/>
  <c r="V472" i="9"/>
  <c r="U473" i="9"/>
  <c r="V473" i="9"/>
  <c r="U474" i="9"/>
  <c r="V474" i="9"/>
  <c r="U475" i="9"/>
  <c r="V475" i="9"/>
  <c r="U476" i="9"/>
  <c r="V476" i="9"/>
  <c r="U477" i="9"/>
  <c r="V477" i="9"/>
  <c r="U478" i="9"/>
  <c r="V478" i="9"/>
  <c r="U479" i="9"/>
  <c r="V479" i="9"/>
  <c r="U480" i="9"/>
  <c r="V480" i="9"/>
  <c r="U481" i="9"/>
  <c r="V481" i="9"/>
  <c r="U482" i="9"/>
  <c r="V482" i="9"/>
  <c r="U483" i="9"/>
  <c r="V483" i="9"/>
  <c r="U484" i="9"/>
  <c r="V484" i="9"/>
  <c r="U485" i="9"/>
  <c r="V485" i="9"/>
  <c r="U486" i="9"/>
  <c r="V486" i="9"/>
  <c r="U487" i="9"/>
  <c r="V487" i="9"/>
  <c r="U488" i="9"/>
  <c r="V488" i="9"/>
  <c r="U489" i="9"/>
  <c r="V489" i="9"/>
  <c r="U490" i="9"/>
  <c r="V490" i="9"/>
  <c r="U491" i="9"/>
  <c r="V491" i="9"/>
  <c r="U492" i="9"/>
  <c r="V492" i="9"/>
  <c r="U493" i="9"/>
  <c r="V493" i="9"/>
  <c r="U494" i="9"/>
  <c r="V494" i="9"/>
  <c r="U495" i="9"/>
  <c r="V495" i="9"/>
  <c r="U496" i="9"/>
  <c r="V496" i="9"/>
  <c r="U497" i="9"/>
  <c r="V497" i="9"/>
  <c r="U498" i="9"/>
  <c r="V498" i="9"/>
  <c r="U499" i="9"/>
  <c r="V499" i="9"/>
  <c r="U500" i="9"/>
  <c r="V500" i="9"/>
  <c r="U501" i="9"/>
  <c r="V501" i="9"/>
  <c r="U502" i="9"/>
  <c r="V502" i="9"/>
  <c r="U503" i="9"/>
  <c r="V503" i="9"/>
  <c r="U504" i="9"/>
  <c r="V504" i="9"/>
  <c r="U505" i="9"/>
  <c r="V505" i="9"/>
  <c r="U506" i="9"/>
  <c r="V506" i="9"/>
  <c r="U507" i="9"/>
  <c r="V507" i="9"/>
  <c r="U508" i="9"/>
  <c r="V508" i="9"/>
  <c r="U509" i="9"/>
  <c r="V509" i="9"/>
  <c r="U510" i="9"/>
  <c r="V510" i="9"/>
  <c r="U511" i="9"/>
  <c r="V511" i="9"/>
  <c r="U512" i="9"/>
  <c r="V512" i="9"/>
  <c r="U513" i="9"/>
  <c r="V513" i="9"/>
  <c r="U514" i="9"/>
  <c r="V514" i="9"/>
  <c r="U515" i="9"/>
  <c r="V515" i="9"/>
  <c r="U516" i="9"/>
  <c r="V516" i="9"/>
  <c r="U517" i="9"/>
  <c r="V517" i="9"/>
  <c r="U518" i="9"/>
  <c r="V518" i="9"/>
  <c r="U519" i="9"/>
  <c r="V519" i="9"/>
  <c r="U520" i="9"/>
  <c r="V520" i="9"/>
  <c r="U521" i="9"/>
  <c r="V521" i="9"/>
  <c r="U522" i="9"/>
  <c r="V522" i="9"/>
  <c r="U523" i="9"/>
  <c r="V523" i="9"/>
  <c r="U524" i="9"/>
  <c r="V524" i="9"/>
  <c r="U525" i="9"/>
  <c r="V525" i="9"/>
  <c r="U526" i="9"/>
  <c r="V526" i="9"/>
  <c r="U527" i="9"/>
  <c r="V527" i="9"/>
  <c r="U528" i="9"/>
  <c r="V528" i="9"/>
  <c r="U529" i="9"/>
  <c r="V529" i="9"/>
  <c r="U530" i="9"/>
  <c r="V530" i="9"/>
  <c r="U531" i="9"/>
  <c r="V531" i="9"/>
  <c r="U532" i="9"/>
  <c r="V532" i="9"/>
  <c r="U533" i="9"/>
  <c r="V533" i="9"/>
  <c r="U534" i="9"/>
  <c r="V534" i="9"/>
  <c r="U535" i="9"/>
  <c r="V535" i="9"/>
  <c r="U536" i="9"/>
  <c r="V536" i="9"/>
  <c r="U537" i="9"/>
  <c r="V537" i="9"/>
  <c r="U538" i="9"/>
  <c r="V538" i="9"/>
  <c r="U539" i="9"/>
  <c r="V539" i="9"/>
  <c r="U540" i="9"/>
  <c r="V540" i="9"/>
  <c r="U541" i="9"/>
  <c r="V541" i="9"/>
  <c r="U542" i="9"/>
  <c r="V542" i="9"/>
  <c r="U543" i="9"/>
  <c r="V543" i="9"/>
  <c r="U544" i="9"/>
  <c r="V544" i="9"/>
  <c r="U545" i="9"/>
  <c r="V545" i="9"/>
  <c r="U546" i="9"/>
  <c r="V546" i="9"/>
  <c r="U547" i="9"/>
  <c r="V547" i="9"/>
  <c r="U548" i="9"/>
  <c r="V548" i="9"/>
  <c r="U549" i="9"/>
  <c r="V549" i="9"/>
  <c r="U550" i="9"/>
  <c r="V550" i="9"/>
  <c r="U551" i="9"/>
  <c r="V551" i="9"/>
  <c r="U552" i="9"/>
  <c r="V552" i="9"/>
  <c r="U553" i="9"/>
  <c r="V553" i="9"/>
  <c r="U554" i="9"/>
  <c r="V554" i="9"/>
  <c r="U555" i="9"/>
  <c r="V555" i="9"/>
  <c r="U556" i="9"/>
  <c r="V556" i="9"/>
  <c r="U557" i="9"/>
  <c r="V557" i="9"/>
  <c r="U558" i="9"/>
  <c r="V558" i="9"/>
  <c r="U559" i="9"/>
  <c r="V559" i="9"/>
  <c r="U560" i="9"/>
  <c r="V560" i="9"/>
  <c r="U561" i="9"/>
  <c r="V561" i="9"/>
  <c r="U562" i="9"/>
  <c r="V562" i="9"/>
  <c r="U563" i="9"/>
  <c r="V563" i="9"/>
  <c r="U564" i="9"/>
  <c r="V564" i="9"/>
  <c r="U565" i="9"/>
  <c r="V565" i="9"/>
  <c r="U566" i="9"/>
  <c r="V566" i="9"/>
  <c r="U567" i="9"/>
  <c r="V567" i="9"/>
  <c r="U568" i="9"/>
  <c r="V568" i="9"/>
  <c r="U569" i="9"/>
  <c r="V569" i="9"/>
  <c r="U570" i="9"/>
  <c r="V570" i="9"/>
  <c r="U571" i="9"/>
  <c r="V571" i="9"/>
  <c r="U572" i="9"/>
  <c r="V572" i="9"/>
  <c r="U573" i="9"/>
  <c r="V573" i="9"/>
  <c r="U574" i="9"/>
  <c r="V574" i="9"/>
  <c r="U575" i="9"/>
  <c r="V575" i="9"/>
  <c r="U576" i="9"/>
  <c r="V576" i="9"/>
  <c r="U577" i="9"/>
  <c r="V577" i="9"/>
  <c r="U578" i="9"/>
  <c r="V578" i="9"/>
  <c r="U579" i="9"/>
  <c r="V579" i="9"/>
  <c r="U580" i="9"/>
  <c r="V580" i="9"/>
  <c r="U581" i="9"/>
  <c r="V581" i="9"/>
  <c r="U582" i="9"/>
  <c r="V582" i="9"/>
  <c r="U583" i="9"/>
  <c r="V583" i="9"/>
  <c r="U584" i="9"/>
  <c r="V584" i="9"/>
  <c r="U585" i="9"/>
  <c r="V585" i="9"/>
  <c r="U586" i="9"/>
  <c r="V586" i="9"/>
  <c r="U587" i="9"/>
  <c r="V587" i="9"/>
  <c r="U588" i="9"/>
  <c r="V588" i="9"/>
  <c r="U589" i="9"/>
  <c r="V589" i="9"/>
  <c r="U590" i="9"/>
  <c r="V590" i="9"/>
  <c r="U591" i="9"/>
  <c r="V591" i="9"/>
  <c r="U592" i="9"/>
  <c r="V592" i="9"/>
  <c r="U593" i="9"/>
  <c r="V593" i="9"/>
  <c r="U594" i="9"/>
  <c r="V594" i="9"/>
  <c r="U595" i="9"/>
  <c r="V595" i="9"/>
  <c r="U596" i="9"/>
  <c r="V596" i="9"/>
  <c r="U597" i="9"/>
  <c r="V597" i="9"/>
  <c r="U598" i="9"/>
  <c r="V598" i="9"/>
  <c r="U599" i="9"/>
  <c r="V599" i="9"/>
  <c r="U600" i="9"/>
  <c r="V600" i="9"/>
  <c r="U601" i="9"/>
  <c r="V601" i="9"/>
  <c r="U602" i="9"/>
  <c r="V602" i="9"/>
  <c r="U603" i="9"/>
  <c r="V603" i="9"/>
  <c r="U604" i="9"/>
  <c r="V604" i="9"/>
  <c r="U605" i="9"/>
  <c r="V605" i="9"/>
  <c r="U606" i="9"/>
  <c r="V606" i="9"/>
  <c r="U607" i="9"/>
  <c r="V607" i="9"/>
  <c r="U608" i="9"/>
  <c r="V608" i="9"/>
  <c r="U609" i="9"/>
  <c r="V609" i="9"/>
  <c r="U610" i="9"/>
  <c r="V610" i="9"/>
  <c r="U611" i="9"/>
  <c r="V611" i="9"/>
  <c r="U612" i="9"/>
  <c r="V612" i="9"/>
  <c r="U613" i="9"/>
  <c r="V613" i="9"/>
  <c r="U614" i="9"/>
  <c r="V614" i="9"/>
  <c r="U615" i="9"/>
  <c r="V615" i="9"/>
  <c r="U616" i="9"/>
  <c r="V616" i="9"/>
  <c r="U617" i="9"/>
  <c r="V617" i="9"/>
  <c r="U618" i="9"/>
  <c r="V618" i="9"/>
  <c r="U619" i="9"/>
  <c r="V619" i="9"/>
  <c r="U620" i="9"/>
  <c r="V620" i="9"/>
  <c r="U621" i="9"/>
  <c r="V621" i="9"/>
  <c r="U622" i="9"/>
  <c r="V622" i="9"/>
  <c r="U623" i="9"/>
  <c r="V623" i="9"/>
  <c r="U624" i="9"/>
  <c r="V624" i="9"/>
  <c r="U625" i="9"/>
  <c r="V625" i="9"/>
  <c r="U626" i="9"/>
  <c r="V626" i="9"/>
  <c r="U627" i="9"/>
  <c r="V627" i="9"/>
  <c r="U628" i="9"/>
  <c r="V628" i="9"/>
  <c r="U629" i="9"/>
  <c r="V629" i="9"/>
  <c r="U630" i="9"/>
  <c r="V630" i="9"/>
  <c r="U631" i="9"/>
  <c r="V631" i="9"/>
  <c r="U632" i="9"/>
  <c r="V632" i="9"/>
  <c r="U633" i="9"/>
  <c r="V633" i="9"/>
  <c r="U634" i="9"/>
  <c r="V634" i="9"/>
  <c r="U635" i="9"/>
  <c r="V635" i="9"/>
  <c r="U636" i="9"/>
  <c r="V636" i="9"/>
  <c r="U637" i="9"/>
  <c r="V637" i="9"/>
  <c r="U638" i="9"/>
  <c r="V638" i="9"/>
  <c r="U639" i="9"/>
  <c r="V639" i="9"/>
  <c r="U640" i="9"/>
  <c r="V640" i="9"/>
  <c r="U641" i="9"/>
  <c r="V641" i="9"/>
  <c r="U642" i="9"/>
  <c r="V642" i="9"/>
  <c r="U643" i="9"/>
  <c r="V643" i="9"/>
  <c r="U644" i="9"/>
  <c r="V644" i="9"/>
  <c r="U645" i="9"/>
  <c r="V645" i="9"/>
  <c r="U646" i="9"/>
  <c r="V646" i="9"/>
  <c r="U647" i="9"/>
  <c r="V647" i="9"/>
  <c r="U648" i="9"/>
  <c r="V648" i="9"/>
  <c r="U649" i="9"/>
  <c r="V649" i="9"/>
  <c r="U650" i="9"/>
  <c r="V650" i="9"/>
  <c r="U651" i="9"/>
  <c r="V651" i="9"/>
  <c r="U652" i="9"/>
  <c r="V652" i="9"/>
  <c r="U653" i="9"/>
  <c r="V653" i="9"/>
  <c r="U654" i="9"/>
  <c r="V654" i="9"/>
  <c r="U655" i="9"/>
  <c r="V655" i="9"/>
  <c r="U656" i="9"/>
  <c r="V656" i="9"/>
  <c r="U657" i="9"/>
  <c r="V657" i="9"/>
  <c r="U658" i="9"/>
  <c r="V658" i="9"/>
  <c r="U659" i="9"/>
  <c r="V659" i="9"/>
  <c r="U660" i="9"/>
  <c r="V660" i="9"/>
  <c r="U661" i="9"/>
  <c r="V661" i="9"/>
  <c r="U662" i="9"/>
  <c r="V662" i="9"/>
  <c r="U663" i="9"/>
  <c r="V663" i="9"/>
  <c r="U664" i="9"/>
  <c r="V664" i="9"/>
  <c r="U665" i="9"/>
  <c r="V665" i="9"/>
  <c r="U666" i="9"/>
  <c r="V666" i="9"/>
  <c r="U667" i="9"/>
  <c r="V667" i="9"/>
  <c r="U668" i="9"/>
  <c r="V668" i="9"/>
  <c r="U669" i="9"/>
  <c r="V669" i="9"/>
  <c r="U670" i="9"/>
  <c r="V670" i="9"/>
  <c r="U671" i="9"/>
  <c r="V671" i="9"/>
  <c r="U672" i="9"/>
  <c r="V672" i="9"/>
  <c r="U673" i="9"/>
  <c r="V673" i="9"/>
  <c r="U674" i="9"/>
  <c r="V674" i="9"/>
  <c r="U675" i="9"/>
  <c r="V675" i="9"/>
  <c r="U676" i="9"/>
  <c r="V676" i="9"/>
  <c r="U677" i="9"/>
  <c r="V677" i="9"/>
  <c r="U678" i="9"/>
  <c r="V678" i="9"/>
  <c r="U679" i="9"/>
  <c r="V679" i="9"/>
  <c r="U680" i="9"/>
  <c r="V680" i="9"/>
  <c r="U681" i="9"/>
  <c r="V681" i="9"/>
  <c r="U682" i="9"/>
  <c r="V682" i="9"/>
  <c r="U683" i="9"/>
  <c r="V683" i="9"/>
  <c r="U684" i="9"/>
  <c r="V684" i="9"/>
  <c r="U685" i="9"/>
  <c r="V685" i="9"/>
  <c r="U686" i="9"/>
  <c r="V686" i="9"/>
  <c r="U687" i="9"/>
  <c r="V687" i="9"/>
  <c r="U688" i="9"/>
  <c r="V688" i="9"/>
  <c r="U689" i="9"/>
  <c r="V689" i="9"/>
  <c r="U690" i="9"/>
  <c r="V690" i="9"/>
  <c r="U691" i="9"/>
  <c r="V691" i="9"/>
  <c r="U692" i="9"/>
  <c r="V692" i="9"/>
  <c r="U693" i="9"/>
  <c r="V693" i="9"/>
  <c r="U694" i="9"/>
  <c r="V694" i="9"/>
  <c r="U695" i="9"/>
  <c r="V695" i="9"/>
  <c r="U696" i="9"/>
  <c r="V696" i="9"/>
  <c r="U697" i="9"/>
  <c r="V697" i="9"/>
  <c r="U698" i="9"/>
  <c r="V698" i="9"/>
  <c r="U699" i="9"/>
  <c r="V699" i="9"/>
  <c r="U700" i="9"/>
  <c r="V700" i="9"/>
  <c r="U701" i="9"/>
  <c r="V701" i="9"/>
  <c r="U702" i="9"/>
  <c r="V702" i="9"/>
  <c r="U703" i="9"/>
  <c r="V703" i="9"/>
  <c r="U704" i="9"/>
  <c r="V704" i="9"/>
  <c r="U705" i="9"/>
  <c r="V705" i="9"/>
  <c r="U706" i="9"/>
  <c r="V706" i="9"/>
  <c r="U707" i="9"/>
  <c r="V707" i="9"/>
  <c r="U708" i="9"/>
  <c r="V708" i="9"/>
  <c r="U709" i="9"/>
  <c r="V709" i="9"/>
  <c r="U710" i="9"/>
  <c r="V710" i="9"/>
  <c r="U711" i="9"/>
  <c r="V711" i="9"/>
  <c r="U712" i="9"/>
  <c r="V712" i="9"/>
  <c r="U713" i="9"/>
  <c r="V713" i="9"/>
  <c r="U714" i="9"/>
  <c r="V714" i="9"/>
  <c r="U715" i="9"/>
  <c r="V715" i="9"/>
  <c r="U716" i="9"/>
  <c r="V716" i="9"/>
  <c r="U717" i="9"/>
  <c r="V717" i="9"/>
  <c r="U718" i="9"/>
  <c r="V718" i="9"/>
  <c r="U719" i="9"/>
  <c r="V719" i="9"/>
  <c r="U720" i="9"/>
  <c r="V720" i="9"/>
  <c r="U721" i="9"/>
  <c r="V721" i="9"/>
  <c r="U722" i="9"/>
  <c r="V722" i="9"/>
  <c r="U723" i="9"/>
  <c r="V723" i="9"/>
  <c r="U724" i="9"/>
  <c r="V724" i="9"/>
  <c r="U725" i="9"/>
  <c r="V725" i="9"/>
  <c r="U726" i="9"/>
  <c r="V726" i="9"/>
  <c r="U727" i="9"/>
  <c r="V727" i="9"/>
  <c r="U728" i="9"/>
  <c r="V728" i="9"/>
  <c r="U729" i="9"/>
  <c r="V729" i="9"/>
  <c r="U730" i="9"/>
  <c r="V730" i="9"/>
  <c r="AA14" i="9" l="1"/>
  <c r="AF13" i="9"/>
  <c r="W6" i="9"/>
  <c r="I10" i="10"/>
  <c r="G11" i="10"/>
  <c r="X6" i="9"/>
  <c r="Y6" i="9" s="1"/>
  <c r="V731" i="9"/>
  <c r="U731" i="9"/>
  <c r="V86" i="9"/>
  <c r="U86" i="9"/>
  <c r="V85" i="9"/>
  <c r="U85" i="9"/>
  <c r="V84" i="9"/>
  <c r="U84" i="9"/>
  <c r="V83" i="9"/>
  <c r="U83" i="9"/>
  <c r="V82" i="9"/>
  <c r="U82" i="9"/>
  <c r="V81" i="9"/>
  <c r="U81" i="9"/>
  <c r="V80" i="9"/>
  <c r="U80" i="9"/>
  <c r="V79" i="9"/>
  <c r="U79" i="9"/>
  <c r="V78" i="9"/>
  <c r="U78" i="9"/>
  <c r="V77" i="9"/>
  <c r="U77" i="9"/>
  <c r="V76" i="9"/>
  <c r="U76" i="9"/>
  <c r="V75" i="9"/>
  <c r="U75" i="9"/>
  <c r="V74" i="9"/>
  <c r="U74" i="9"/>
  <c r="V73" i="9"/>
  <c r="U73" i="9"/>
  <c r="V72" i="9"/>
  <c r="U72" i="9"/>
  <c r="V71" i="9"/>
  <c r="U71" i="9"/>
  <c r="V70" i="9"/>
  <c r="U70" i="9"/>
  <c r="V69" i="9"/>
  <c r="U69" i="9"/>
  <c r="V68" i="9"/>
  <c r="U68" i="9"/>
  <c r="V67" i="9"/>
  <c r="U67" i="9"/>
  <c r="V66" i="9"/>
  <c r="U66" i="9"/>
  <c r="V65" i="9"/>
  <c r="U65" i="9"/>
  <c r="V64" i="9"/>
  <c r="U64" i="9"/>
  <c r="V63" i="9"/>
  <c r="U63" i="9"/>
  <c r="V62" i="9"/>
  <c r="U62" i="9"/>
  <c r="V61" i="9"/>
  <c r="U61" i="9"/>
  <c r="V60" i="9"/>
  <c r="U60" i="9"/>
  <c r="V59" i="9"/>
  <c r="U59" i="9"/>
  <c r="V58" i="9"/>
  <c r="U58" i="9"/>
  <c r="V57" i="9"/>
  <c r="U57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V12" i="9"/>
  <c r="U12" i="9"/>
  <c r="S256" i="9"/>
  <c r="S512" i="9"/>
  <c r="S597" i="9"/>
  <c r="S273" i="9"/>
  <c r="S610" i="9"/>
  <c r="S683" i="9"/>
  <c r="S142" i="9"/>
  <c r="S483" i="9"/>
  <c r="S276" i="9"/>
  <c r="S207" i="9"/>
  <c r="S182" i="9"/>
  <c r="S630" i="9"/>
  <c r="S503" i="9"/>
  <c r="S393" i="9"/>
  <c r="S101" i="9"/>
  <c r="S697" i="9"/>
  <c r="S260" i="9"/>
  <c r="S90" i="9"/>
  <c r="S161" i="9"/>
  <c r="S614" i="9"/>
  <c r="S439" i="9"/>
  <c r="S371" i="9"/>
  <c r="S724" i="9"/>
  <c r="S673" i="9"/>
  <c r="S500" i="9"/>
  <c r="S481" i="9"/>
  <c r="S238" i="9"/>
  <c r="S485" i="9"/>
  <c r="S460" i="9"/>
  <c r="S433" i="9"/>
  <c r="S190" i="9"/>
  <c r="S410" i="9"/>
  <c r="S336" i="9"/>
  <c r="S592" i="9"/>
  <c r="S119" i="9"/>
  <c r="S379" i="9"/>
  <c r="S690" i="9"/>
  <c r="S413" i="9"/>
  <c r="S249" i="9"/>
  <c r="S100" i="9"/>
  <c r="S380" i="9"/>
  <c r="S490" i="9"/>
  <c r="S326" i="9"/>
  <c r="S114" i="9"/>
  <c r="S727" i="9"/>
  <c r="S537" i="9"/>
  <c r="S245" i="9"/>
  <c r="S359" i="9"/>
  <c r="S364" i="9"/>
  <c r="S447" i="9"/>
  <c r="S305" i="9"/>
  <c r="S718" i="9"/>
  <c r="S699" i="9"/>
  <c r="S515" i="9"/>
  <c r="S213" i="9"/>
  <c r="S327" i="9"/>
  <c r="S458" i="9"/>
  <c r="S726" i="9"/>
  <c r="S521" i="9"/>
  <c r="S333" i="9"/>
  <c r="S362" i="9"/>
  <c r="S686" i="9"/>
  <c r="S473" i="9"/>
  <c r="S96" i="9"/>
  <c r="S181" i="9"/>
  <c r="S401" i="9"/>
  <c r="S477" i="9"/>
  <c r="S88" i="9"/>
  <c r="S543" i="9"/>
  <c r="S247" i="9"/>
  <c r="S563" i="9"/>
  <c r="S418" i="9"/>
  <c r="S501" i="9"/>
  <c r="S162" i="9"/>
  <c r="S542" i="9"/>
  <c r="S370" i="9"/>
  <c r="S290" i="9"/>
  <c r="S434" i="9"/>
  <c r="S730" i="9"/>
  <c r="S717" i="9"/>
  <c r="S159" i="9"/>
  <c r="S618" i="9"/>
  <c r="S382" i="9"/>
  <c r="S681" i="9"/>
  <c r="S568" i="9"/>
  <c r="S577" i="9"/>
  <c r="S329" i="9"/>
  <c r="S625" i="9"/>
  <c r="S85" i="9"/>
  <c r="S62" i="9"/>
  <c r="S52" i="9"/>
  <c r="S14" i="9"/>
  <c r="S22" i="9"/>
  <c r="S47" i="9"/>
  <c r="S13" i="9"/>
  <c r="S240" i="9"/>
  <c r="S559" i="9"/>
  <c r="S593" i="9"/>
  <c r="S121" i="9"/>
  <c r="S252" i="9"/>
  <c r="S155" i="9"/>
  <c r="S423" i="9"/>
  <c r="S720" i="9"/>
  <c r="S236" i="9"/>
  <c r="S134" i="9"/>
  <c r="S365" i="9"/>
  <c r="S708" i="9"/>
  <c r="S456" i="9"/>
  <c r="S179" i="9"/>
  <c r="S420" i="9"/>
  <c r="S131" i="9"/>
  <c r="S136" i="9"/>
  <c r="S705" i="9"/>
  <c r="S594" i="9"/>
  <c r="S632" i="9"/>
  <c r="S541" i="9"/>
  <c r="S621" i="9"/>
  <c r="S450" i="9"/>
  <c r="S604" i="9"/>
  <c r="S482" i="9"/>
  <c r="S23" i="9"/>
  <c r="S86" i="9"/>
  <c r="S416" i="9"/>
  <c r="S337" i="9"/>
  <c r="S547" i="9"/>
  <c r="S694" i="9"/>
  <c r="S237" i="9"/>
  <c r="S320" i="9"/>
  <c r="S576" i="9"/>
  <c r="S729" i="9"/>
  <c r="S358" i="9"/>
  <c r="S674" i="9"/>
  <c r="S349" i="9"/>
  <c r="S227" i="9"/>
  <c r="S569" i="9"/>
  <c r="S360" i="9"/>
  <c r="S426" i="9"/>
  <c r="S299" i="9"/>
  <c r="S714" i="9"/>
  <c r="S687" i="9"/>
  <c r="S510" i="9"/>
  <c r="S202" i="9"/>
  <c r="S311" i="9"/>
  <c r="S344" i="9"/>
  <c r="S383" i="9"/>
  <c r="S278" i="9"/>
  <c r="S698" i="9"/>
  <c r="S659" i="9"/>
  <c r="S489" i="9"/>
  <c r="S175" i="9"/>
  <c r="S258" i="9"/>
  <c r="S341" i="9"/>
  <c r="S682" i="9"/>
  <c r="S467" i="9"/>
  <c r="S205" i="9"/>
  <c r="S250" i="9"/>
  <c r="S646" i="9"/>
  <c r="S414" i="9"/>
  <c r="S144" i="9"/>
  <c r="S400" i="9"/>
  <c r="S309" i="9"/>
  <c r="S123" i="9"/>
  <c r="S465" i="9"/>
  <c r="S226" i="9"/>
  <c r="S615" i="9"/>
  <c r="S334" i="9"/>
  <c r="S124" i="9"/>
  <c r="S468" i="9"/>
  <c r="S677" i="9"/>
  <c r="S438" i="9"/>
  <c r="S567" i="9"/>
  <c r="S195" i="9"/>
  <c r="S624" i="9"/>
  <c r="S421" i="9"/>
  <c r="S108" i="9"/>
  <c r="S452" i="9"/>
  <c r="S645" i="9"/>
  <c r="S417" i="9"/>
  <c r="S509" i="9"/>
  <c r="S174" i="9"/>
  <c r="S612" i="9"/>
  <c r="S389" i="9"/>
  <c r="S200" i="9"/>
  <c r="S317" i="9"/>
  <c r="S146" i="9"/>
  <c r="S680" i="9"/>
  <c r="S164" i="9"/>
  <c r="S103" i="9"/>
  <c r="S663" i="9"/>
  <c r="S652" i="9"/>
  <c r="S224" i="9"/>
  <c r="S522" i="9"/>
  <c r="S571" i="9"/>
  <c r="S99" i="9"/>
  <c r="S232" i="9"/>
  <c r="S129" i="9"/>
  <c r="S338" i="9"/>
  <c r="S704" i="9"/>
  <c r="S216" i="9"/>
  <c r="S107" i="9"/>
  <c r="S231" i="9"/>
  <c r="S692" i="9"/>
  <c r="S412" i="9"/>
  <c r="S126" i="9"/>
  <c r="S376" i="9"/>
  <c r="S715" i="9"/>
  <c r="S514" i="9"/>
  <c r="S613" i="9"/>
  <c r="S429" i="9"/>
  <c r="S600" i="9"/>
  <c r="S455" i="9"/>
  <c r="S533" i="9"/>
  <c r="S199" i="9"/>
  <c r="S558" i="9"/>
  <c r="S407" i="9"/>
  <c r="S731" i="9"/>
  <c r="S45" i="9"/>
  <c r="S25" i="9"/>
  <c r="S34" i="9"/>
  <c r="S17" i="9"/>
  <c r="S77" i="9"/>
  <c r="S51" i="9"/>
  <c r="S368" i="9"/>
  <c r="S306" i="9"/>
  <c r="S722" i="9"/>
  <c r="S291" i="9"/>
  <c r="S424" i="9"/>
  <c r="S385" i="9"/>
  <c r="S137" i="9"/>
  <c r="S335" i="9"/>
  <c r="S408" i="9"/>
  <c r="S363" i="9"/>
  <c r="S115" i="9"/>
  <c r="S303" i="9"/>
  <c r="S653" i="9"/>
  <c r="S616" i="9"/>
  <c r="S575" i="9"/>
  <c r="S585" i="9"/>
  <c r="S308" i="9"/>
  <c r="S225" i="9"/>
  <c r="S599" i="9"/>
  <c r="S133" i="9"/>
  <c r="S268" i="9"/>
  <c r="S177" i="9"/>
  <c r="S493" i="9"/>
  <c r="S95" i="9"/>
  <c r="S18" i="9"/>
  <c r="S57" i="9"/>
  <c r="S71" i="9"/>
  <c r="S544" i="9"/>
  <c r="S658" i="9"/>
  <c r="S340" i="9"/>
  <c r="S655" i="9"/>
  <c r="S324" i="9"/>
  <c r="S128" i="9"/>
  <c r="S271" i="9"/>
  <c r="S443" i="9"/>
  <c r="S583" i="9"/>
  <c r="S104" i="9"/>
  <c r="S637" i="9"/>
  <c r="S466" i="9"/>
  <c r="S608" i="9"/>
  <c r="S525" i="9"/>
  <c r="S605" i="9"/>
  <c r="S391" i="9"/>
  <c r="S595" i="9"/>
  <c r="S156" i="9"/>
  <c r="S651" i="9"/>
  <c r="S120" i="9"/>
  <c r="S546" i="9"/>
  <c r="S208" i="9"/>
  <c r="S479" i="9"/>
  <c r="S550" i="9"/>
  <c r="S719" i="9"/>
  <c r="S212" i="9"/>
  <c r="S97" i="9"/>
  <c r="S210" i="9"/>
  <c r="S688" i="9"/>
  <c r="S196" i="9"/>
  <c r="S285" i="9"/>
  <c r="S125" i="9"/>
  <c r="S676" i="9"/>
  <c r="S372" i="9"/>
  <c r="S707" i="9"/>
  <c r="S332" i="9"/>
  <c r="S647" i="9"/>
  <c r="S352" i="9"/>
  <c r="S706" i="9"/>
  <c r="S404" i="9"/>
  <c r="S110" i="9"/>
  <c r="S388" i="9"/>
  <c r="S89" i="9"/>
  <c r="S565" i="9"/>
  <c r="S469" i="9"/>
  <c r="S264" i="9"/>
  <c r="S461" i="9"/>
  <c r="S228" i="9"/>
  <c r="S322" i="9"/>
  <c r="S27" i="9"/>
  <c r="S33" i="9"/>
  <c r="S69" i="9"/>
  <c r="S53" i="9"/>
  <c r="S496" i="9"/>
  <c r="S643" i="9"/>
  <c r="S596" i="9"/>
  <c r="S366" i="9"/>
  <c r="S580" i="9"/>
  <c r="S345" i="9"/>
  <c r="S427" i="9"/>
  <c r="S374" i="9"/>
  <c r="S476" i="9"/>
  <c r="S211" i="9"/>
  <c r="S440" i="9"/>
  <c r="S158" i="9"/>
  <c r="S58" i="9"/>
  <c r="S55" i="9"/>
  <c r="S253" i="9"/>
  <c r="S478" i="9"/>
  <c r="S678" i="9"/>
  <c r="S189" i="9"/>
  <c r="S709" i="9"/>
  <c r="S657" i="9"/>
  <c r="S566" i="9"/>
  <c r="S617" i="9"/>
  <c r="S518" i="9"/>
  <c r="S538" i="9"/>
  <c r="S61" i="9"/>
  <c r="S79" i="9"/>
  <c r="S446" i="9"/>
  <c r="S31" i="9"/>
  <c r="S304" i="9"/>
  <c r="S141" i="9"/>
  <c r="S87" i="9"/>
  <c r="S551" i="9"/>
  <c r="S384" i="9"/>
  <c r="S102" i="9"/>
  <c r="S135" i="9"/>
  <c r="S313" i="9"/>
  <c r="S444" i="9"/>
  <c r="S411" i="9"/>
  <c r="S169" i="9"/>
  <c r="S378" i="9"/>
  <c r="S428" i="9"/>
  <c r="S390" i="9"/>
  <c r="S147" i="9"/>
  <c r="S346" i="9"/>
  <c r="S98" i="9"/>
  <c r="S648" i="9"/>
  <c r="S669" i="9"/>
  <c r="S620" i="9"/>
  <c r="S464" i="9"/>
  <c r="S209" i="9"/>
  <c r="S557" i="9"/>
  <c r="S419" i="9"/>
  <c r="S552" i="9"/>
  <c r="S555" i="9"/>
  <c r="S307" i="9"/>
  <c r="S601" i="9"/>
  <c r="S536" i="9"/>
  <c r="S534" i="9"/>
  <c r="S286" i="9"/>
  <c r="S570" i="9"/>
  <c r="S310" i="9"/>
  <c r="S223" i="9"/>
  <c r="S262" i="9"/>
  <c r="S165" i="9"/>
  <c r="S215" i="9"/>
  <c r="S270" i="9"/>
  <c r="S353" i="9"/>
  <c r="S293" i="9"/>
  <c r="S331" i="9"/>
  <c r="S255" i="9"/>
  <c r="S579" i="9"/>
  <c r="S531" i="9"/>
  <c r="S171" i="9"/>
  <c r="S728" i="9"/>
  <c r="S118" i="9"/>
  <c r="S700" i="9"/>
  <c r="S46" i="9"/>
  <c r="S75" i="9"/>
  <c r="S32" i="9"/>
  <c r="S288" i="9"/>
  <c r="S251" i="9"/>
  <c r="S462" i="9"/>
  <c r="S606" i="9"/>
  <c r="S665" i="9"/>
  <c r="S587" i="9"/>
  <c r="S641" i="9"/>
  <c r="S399" i="9"/>
  <c r="S325" i="9"/>
  <c r="S454" i="9"/>
  <c r="S442" i="9"/>
  <c r="S406" i="9"/>
  <c r="S367" i="9"/>
  <c r="S78" i="9"/>
  <c r="S560" i="9"/>
  <c r="S373" i="9"/>
  <c r="S330" i="9"/>
  <c r="S457" i="9"/>
  <c r="S638" i="9"/>
  <c r="S602" i="9"/>
  <c r="S564" i="9"/>
  <c r="S323" i="9"/>
  <c r="S524" i="9"/>
  <c r="S275" i="9"/>
  <c r="S21" i="9"/>
  <c r="S37" i="9"/>
  <c r="S29" i="9"/>
  <c r="S82" i="9"/>
  <c r="S60" i="9"/>
  <c r="S402" i="9"/>
  <c r="S656" i="9"/>
  <c r="S644" i="9"/>
  <c r="S397" i="9"/>
  <c r="S553" i="9"/>
  <c r="S499" i="9"/>
  <c r="S20" i="9"/>
  <c r="S167" i="9"/>
  <c r="S241" i="9"/>
  <c r="S219" i="9"/>
  <c r="S350" i="9"/>
  <c r="S520" i="9"/>
  <c r="S713" i="9"/>
  <c r="S36" i="9"/>
  <c r="S12" i="9"/>
  <c r="S486" i="9"/>
  <c r="S148" i="9"/>
  <c r="S619" i="9"/>
  <c r="S132" i="9"/>
  <c r="S578" i="9"/>
  <c r="S244" i="9"/>
  <c r="S204" i="9"/>
  <c r="S343" i="9"/>
  <c r="S702" i="9"/>
  <c r="S274" i="9"/>
  <c r="S607" i="9"/>
  <c r="S81" i="9"/>
  <c r="S377" i="9"/>
  <c r="S506" i="9"/>
  <c r="S474" i="9"/>
  <c r="S716" i="9"/>
  <c r="S266" i="9"/>
  <c r="S191" i="9"/>
  <c r="S83" i="9"/>
  <c r="S316" i="9"/>
  <c r="S282" i="9"/>
  <c r="S598" i="9"/>
  <c r="S183" i="9"/>
  <c r="S484" i="9"/>
  <c r="S68" i="9"/>
  <c r="S448" i="9"/>
  <c r="S187" i="9"/>
  <c r="S487" i="9"/>
  <c r="S398" i="9"/>
  <c r="S532" i="9"/>
  <c r="S523" i="9"/>
  <c r="S281" i="9"/>
  <c r="S549" i="9"/>
  <c r="S516" i="9"/>
  <c r="S502" i="9"/>
  <c r="S259" i="9"/>
  <c r="S437" i="9"/>
  <c r="S263" i="9"/>
  <c r="S157" i="9"/>
  <c r="S328" i="9"/>
  <c r="S292" i="9"/>
  <c r="S272" i="9"/>
  <c r="S626" i="9"/>
  <c r="S296" i="9"/>
  <c r="S573" i="9"/>
  <c r="S280" i="9"/>
  <c r="S519" i="9"/>
  <c r="S540" i="9"/>
  <c r="S504" i="9"/>
  <c r="S480" i="9"/>
  <c r="S572" i="9"/>
  <c r="S556" i="9"/>
  <c r="S369" i="9"/>
  <c r="S436" i="9"/>
  <c r="S396" i="9"/>
  <c r="S19" i="9"/>
  <c r="S15" i="9"/>
  <c r="S229" i="9"/>
  <c r="S586" i="9"/>
  <c r="S554" i="9"/>
  <c r="S530" i="9"/>
  <c r="S287" i="9"/>
  <c r="S197" i="9"/>
  <c r="S64" i="9"/>
  <c r="S206" i="9"/>
  <c r="S627" i="9"/>
  <c r="S588" i="9"/>
  <c r="S279" i="9"/>
  <c r="S711" i="9"/>
  <c r="S30" i="9"/>
  <c r="S151" i="9"/>
  <c r="S166" i="9"/>
  <c r="S631" i="9"/>
  <c r="S342" i="9"/>
  <c r="S710" i="9"/>
  <c r="S80" i="9"/>
  <c r="S526" i="9"/>
  <c r="S300" i="9"/>
  <c r="S649" i="9"/>
  <c r="S664" i="9"/>
  <c r="S49" i="9"/>
  <c r="S176" i="9"/>
  <c r="S639" i="9"/>
  <c r="S470" i="9"/>
  <c r="S472" i="9"/>
  <c r="S628" i="9"/>
  <c r="S712" i="9"/>
  <c r="S348" i="9"/>
  <c r="S494" i="9"/>
  <c r="S235" i="9"/>
  <c r="S394" i="9"/>
  <c r="S497" i="9"/>
  <c r="S233" i="9"/>
  <c r="S445" i="9"/>
  <c r="S289" i="9"/>
  <c r="S66" i="9"/>
  <c r="S670" i="9"/>
  <c r="S430" i="9"/>
  <c r="S180" i="9"/>
  <c r="S459" i="9"/>
  <c r="S40" i="9"/>
  <c r="S529" i="9"/>
  <c r="S691" i="9"/>
  <c r="S257" i="9"/>
  <c r="S528" i="9"/>
  <c r="S261" i="9"/>
  <c r="S218" i="9"/>
  <c r="S539" i="9"/>
  <c r="S230" i="9"/>
  <c r="S561" i="9"/>
  <c r="S395" i="9"/>
  <c r="S347" i="9"/>
  <c r="S76" i="9"/>
  <c r="S375" i="9"/>
  <c r="S269" i="9"/>
  <c r="S662" i="9"/>
  <c r="S67" i="9"/>
  <c r="S149" i="9"/>
  <c r="S696" i="9"/>
  <c r="S56" i="9"/>
  <c r="S168" i="9"/>
  <c r="S94" i="9"/>
  <c r="S432" i="9"/>
  <c r="S589" i="9"/>
  <c r="S140" i="9"/>
  <c r="S351" i="9"/>
  <c r="S685" i="9"/>
  <c r="S91" i="9"/>
  <c r="S186" i="9"/>
  <c r="S507" i="9"/>
  <c r="S198" i="9"/>
  <c r="S24" i="9"/>
  <c r="S109" i="9"/>
  <c r="S217" i="9"/>
  <c r="S695" i="9"/>
  <c r="S672" i="9"/>
  <c r="S660" i="9"/>
  <c r="S635" i="9"/>
  <c r="S562" i="9"/>
  <c r="S629" i="9"/>
  <c r="S163" i="9"/>
  <c r="S214" i="9"/>
  <c r="S122" i="9"/>
  <c r="S193" i="9"/>
  <c r="S106" i="9"/>
  <c r="S297" i="9"/>
  <c r="S243" i="9"/>
  <c r="S603" i="9"/>
  <c r="S339" i="9"/>
  <c r="S318" i="9"/>
  <c r="S321" i="9"/>
  <c r="S153" i="9"/>
  <c r="S105" i="9"/>
  <c r="S16" i="9"/>
  <c r="S48" i="9"/>
  <c r="S535" i="9"/>
  <c r="S590" i="9"/>
  <c r="S574" i="9"/>
  <c r="S354" i="9"/>
  <c r="S435" i="9"/>
  <c r="S387" i="9"/>
  <c r="S160" i="9"/>
  <c r="S170" i="9"/>
  <c r="S239" i="9"/>
  <c r="S220" i="9"/>
  <c r="S184" i="9"/>
  <c r="S44" i="9"/>
  <c r="S41" i="9"/>
  <c r="S59" i="9"/>
  <c r="S671" i="9"/>
  <c r="S248" i="9"/>
  <c r="S386" i="9"/>
  <c r="S54" i="9"/>
  <c r="S315" i="9"/>
  <c r="S623" i="9"/>
  <c r="S127" i="9"/>
  <c r="S591" i="9"/>
  <c r="S611" i="9"/>
  <c r="S65" i="9"/>
  <c r="S145" i="9"/>
  <c r="S488" i="9"/>
  <c r="S640" i="9"/>
  <c r="S449" i="9"/>
  <c r="S139" i="9"/>
  <c r="S194" i="9"/>
  <c r="S283" i="9"/>
  <c r="S312" i="9"/>
  <c r="S63" i="9"/>
  <c r="S667" i="9"/>
  <c r="S492" i="9"/>
  <c r="S111" i="9"/>
  <c r="S178" i="9"/>
  <c r="S73" i="9"/>
  <c r="S661" i="9"/>
  <c r="S173" i="9"/>
  <c r="S548" i="9"/>
  <c r="S265" i="9"/>
  <c r="S453" i="9"/>
  <c r="S192" i="9"/>
  <c r="S188" i="9"/>
  <c r="S172" i="9"/>
  <c r="S517" i="9"/>
  <c r="S154" i="9"/>
  <c r="S117" i="9"/>
  <c r="S294" i="9"/>
  <c r="S505" i="9"/>
  <c r="S650" i="9"/>
  <c r="S725" i="9"/>
  <c r="S634" i="9"/>
  <c r="S701" i="9"/>
  <c r="S581" i="9"/>
  <c r="S495" i="9"/>
  <c r="S441" i="9"/>
  <c r="S633" i="9"/>
  <c r="S609" i="9"/>
  <c r="S234" i="9"/>
  <c r="S357" i="9"/>
  <c r="S277" i="9"/>
  <c r="S39" i="9"/>
  <c r="S112" i="9"/>
  <c r="S92" i="9"/>
  <c r="S471" i="9"/>
  <c r="S116" i="9"/>
  <c r="S221" i="9"/>
  <c r="S130" i="9"/>
  <c r="S689" i="9"/>
  <c r="S693" i="9"/>
  <c r="S246" i="9"/>
  <c r="S409" i="9"/>
  <c r="S113" i="9"/>
  <c r="S242" i="9"/>
  <c r="S74" i="9"/>
  <c r="S666" i="9"/>
  <c r="S72" i="9"/>
  <c r="S152" i="9"/>
  <c r="S392" i="9"/>
  <c r="S415" i="9"/>
  <c r="S38" i="9"/>
  <c r="S185" i="9"/>
  <c r="S143" i="9"/>
  <c r="S584" i="9"/>
  <c r="S703" i="9"/>
  <c r="S636" i="9"/>
  <c r="S84" i="9"/>
  <c r="S301" i="9"/>
  <c r="S721" i="9"/>
  <c r="S463" i="9"/>
  <c r="S201" i="9"/>
  <c r="S381" i="9"/>
  <c r="S684" i="9"/>
  <c r="S675" i="9"/>
  <c r="S298" i="9"/>
  <c r="S70" i="9"/>
  <c r="S508" i="9"/>
  <c r="S475" i="9"/>
  <c r="S150" i="9"/>
  <c r="S356" i="9"/>
  <c r="S43" i="9"/>
  <c r="S642" i="9"/>
  <c r="S654" i="9"/>
  <c r="S302" i="9"/>
  <c r="S527" i="9"/>
  <c r="S35" i="9"/>
  <c r="S93" i="9"/>
  <c r="S203" i="9"/>
  <c r="S723" i="9"/>
  <c r="S425" i="9"/>
  <c r="S403" i="9"/>
  <c r="S491" i="9"/>
  <c r="S582" i="9"/>
  <c r="S314" i="9"/>
  <c r="S50" i="9"/>
  <c r="S422" i="9"/>
  <c r="S498" i="9"/>
  <c r="S622" i="9"/>
  <c r="S267" i="9"/>
  <c r="S361" i="9"/>
  <c r="S668" i="9"/>
  <c r="S28" i="9"/>
  <c r="S284" i="9"/>
  <c r="S295" i="9"/>
  <c r="S319" i="9"/>
  <c r="S545" i="9"/>
  <c r="S26" i="9"/>
  <c r="S355" i="9"/>
  <c r="S222" i="9"/>
  <c r="S431" i="9"/>
  <c r="S405" i="9"/>
  <c r="S138" i="9"/>
  <c r="S254" i="9"/>
  <c r="S511" i="9"/>
  <c r="S679" i="9"/>
  <c r="S451" i="9"/>
  <c r="S513" i="9"/>
  <c r="S42" i="9"/>
  <c r="Z482" i="9" l="1"/>
  <c r="AG482" i="9" s="1"/>
  <c r="T482" i="9"/>
  <c r="W482" i="9" s="1"/>
  <c r="X482" i="9" s="1"/>
  <c r="Y482" i="9" s="1"/>
  <c r="Z407" i="9"/>
  <c r="AG407" i="9" s="1"/>
  <c r="T407" i="9"/>
  <c r="W407" i="9" s="1"/>
  <c r="X407" i="9" s="1"/>
  <c r="Y407" i="9" s="1"/>
  <c r="Z295" i="9"/>
  <c r="AG295" i="9" s="1"/>
  <c r="T295" i="9"/>
  <c r="W295" i="9" s="1"/>
  <c r="X295" i="9" s="1"/>
  <c r="Y295" i="9" s="1"/>
  <c r="Z151" i="9"/>
  <c r="AG151" i="9" s="1"/>
  <c r="T151" i="9"/>
  <c r="W151" i="9" s="1"/>
  <c r="X151" i="9" s="1"/>
  <c r="Y151" i="9" s="1"/>
  <c r="Z689" i="9"/>
  <c r="AG689" i="9" s="1"/>
  <c r="T689" i="9"/>
  <c r="W689" i="9" s="1"/>
  <c r="X689" i="9" s="1"/>
  <c r="Y689" i="9" s="1"/>
  <c r="T625" i="9"/>
  <c r="W625" i="9" s="1"/>
  <c r="X625" i="9" s="1"/>
  <c r="Y625" i="9" s="1"/>
  <c r="Z625" i="9"/>
  <c r="AG625" i="9" s="1"/>
  <c r="Z538" i="9"/>
  <c r="AG538" i="9" s="1"/>
  <c r="T538" i="9"/>
  <c r="W538" i="9" s="1"/>
  <c r="X538" i="9" s="1"/>
  <c r="Y538" i="9" s="1"/>
  <c r="T453" i="9"/>
  <c r="W453" i="9" s="1"/>
  <c r="X453" i="9" s="1"/>
  <c r="Y453" i="9" s="1"/>
  <c r="Z453" i="9"/>
  <c r="AG453" i="9" s="1"/>
  <c r="Z367" i="9"/>
  <c r="AG367" i="9" s="1"/>
  <c r="T367" i="9"/>
  <c r="W367" i="9" s="1"/>
  <c r="X367" i="9" s="1"/>
  <c r="Y367" i="9" s="1"/>
  <c r="Z277" i="9"/>
  <c r="AG277" i="9" s="1"/>
  <c r="T277" i="9"/>
  <c r="W277" i="9" s="1"/>
  <c r="X277" i="9" s="1"/>
  <c r="Y277" i="9" s="1"/>
  <c r="T191" i="9"/>
  <c r="W191" i="9" s="1"/>
  <c r="X191" i="9" s="1"/>
  <c r="Y191" i="9" s="1"/>
  <c r="Z191" i="9"/>
  <c r="AG191" i="9" s="1"/>
  <c r="Z138" i="9"/>
  <c r="AG138" i="9" s="1"/>
  <c r="T138" i="9"/>
  <c r="W138" i="9" s="1"/>
  <c r="X138" i="9" s="1"/>
  <c r="Y138" i="9" s="1"/>
  <c r="Z95" i="9"/>
  <c r="AG95" i="9" s="1"/>
  <c r="T95" i="9"/>
  <c r="W95" i="9" s="1"/>
  <c r="X95" i="9" s="1"/>
  <c r="Y95" i="9" s="1"/>
  <c r="Z700" i="9"/>
  <c r="AG700" i="9" s="1"/>
  <c r="T700" i="9"/>
  <c r="W700" i="9" s="1"/>
  <c r="X700" i="9" s="1"/>
  <c r="Y700" i="9" s="1"/>
  <c r="Z668" i="9"/>
  <c r="AG668" i="9" s="1"/>
  <c r="T668" i="9"/>
  <c r="W668" i="9" s="1"/>
  <c r="X668" i="9" s="1"/>
  <c r="Y668" i="9" s="1"/>
  <c r="Z636" i="9"/>
  <c r="AG636" i="9" s="1"/>
  <c r="T636" i="9"/>
  <c r="W636" i="9" s="1"/>
  <c r="X636" i="9" s="1"/>
  <c r="Y636" i="9" s="1"/>
  <c r="Z604" i="9"/>
  <c r="AG604" i="9" s="1"/>
  <c r="T604" i="9"/>
  <c r="W604" i="9" s="1"/>
  <c r="X604" i="9" s="1"/>
  <c r="Y604" i="9" s="1"/>
  <c r="Z558" i="9"/>
  <c r="AG558" i="9" s="1"/>
  <c r="T558" i="9"/>
  <c r="W558" i="9" s="1"/>
  <c r="X558" i="9" s="1"/>
  <c r="Y558" i="9" s="1"/>
  <c r="Z499" i="9"/>
  <c r="AG499" i="9" s="1"/>
  <c r="T499" i="9"/>
  <c r="W499" i="9" s="1"/>
  <c r="X499" i="9" s="1"/>
  <c r="Y499" i="9" s="1"/>
  <c r="Z446" i="9"/>
  <c r="AG446" i="9" s="1"/>
  <c r="T446" i="9"/>
  <c r="W446" i="9" s="1"/>
  <c r="X446" i="9" s="1"/>
  <c r="Y446" i="9" s="1"/>
  <c r="T387" i="9"/>
  <c r="W387" i="9" s="1"/>
  <c r="X387" i="9" s="1"/>
  <c r="Y387" i="9" s="1"/>
  <c r="Z387" i="9"/>
  <c r="AG387" i="9" s="1"/>
  <c r="Z329" i="9"/>
  <c r="AG329" i="9" s="1"/>
  <c r="T329" i="9"/>
  <c r="W329" i="9" s="1"/>
  <c r="X329" i="9" s="1"/>
  <c r="Y329" i="9" s="1"/>
  <c r="Z275" i="9"/>
  <c r="AG275" i="9" s="1"/>
  <c r="T275" i="9"/>
  <c r="W275" i="9" s="1"/>
  <c r="X275" i="9" s="1"/>
  <c r="Y275" i="9" s="1"/>
  <c r="T217" i="9"/>
  <c r="W217" i="9" s="1"/>
  <c r="X217" i="9" s="1"/>
  <c r="Y217" i="9" s="1"/>
  <c r="Z217" i="9"/>
  <c r="AG217" i="9" s="1"/>
  <c r="Z158" i="9"/>
  <c r="AG158" i="9" s="1"/>
  <c r="T158" i="9"/>
  <c r="W158" i="9" s="1"/>
  <c r="X158" i="9" s="1"/>
  <c r="Y158" i="9" s="1"/>
  <c r="Z105" i="9"/>
  <c r="AG105" i="9" s="1"/>
  <c r="T105" i="9"/>
  <c r="W105" i="9" s="1"/>
  <c r="X105" i="9" s="1"/>
  <c r="Y105" i="9" s="1"/>
  <c r="Z679" i="9"/>
  <c r="AG679" i="9" s="1"/>
  <c r="T679" i="9"/>
  <c r="W679" i="9" s="1"/>
  <c r="X679" i="9" s="1"/>
  <c r="Y679" i="9" s="1"/>
  <c r="Z607" i="9"/>
  <c r="AG607" i="9" s="1"/>
  <c r="T607" i="9"/>
  <c r="W607" i="9" s="1"/>
  <c r="X607" i="9" s="1"/>
  <c r="Y607" i="9" s="1"/>
  <c r="Z493" i="9"/>
  <c r="AG493" i="9" s="1"/>
  <c r="T493" i="9"/>
  <c r="W493" i="9" s="1"/>
  <c r="X493" i="9" s="1"/>
  <c r="Y493" i="9" s="1"/>
  <c r="Z322" i="9"/>
  <c r="AG322" i="9" s="1"/>
  <c r="T322" i="9"/>
  <c r="W322" i="9" s="1"/>
  <c r="X322" i="9" s="1"/>
  <c r="Y322" i="9" s="1"/>
  <c r="Z711" i="9"/>
  <c r="AG711" i="9" s="1"/>
  <c r="T711" i="9"/>
  <c r="W711" i="9" s="1"/>
  <c r="X711" i="9" s="1"/>
  <c r="Y711" i="9" s="1"/>
  <c r="Z611" i="9"/>
  <c r="AG611" i="9" s="1"/>
  <c r="T611" i="9"/>
  <c r="W611" i="9" s="1"/>
  <c r="X611" i="9" s="1"/>
  <c r="Y611" i="9" s="1"/>
  <c r="T450" i="9"/>
  <c r="W450" i="9" s="1"/>
  <c r="X450" i="9" s="1"/>
  <c r="Y450" i="9" s="1"/>
  <c r="Z450" i="9"/>
  <c r="AG450" i="9" s="1"/>
  <c r="Z199" i="9"/>
  <c r="AG199" i="9" s="1"/>
  <c r="T199" i="9"/>
  <c r="W199" i="9" s="1"/>
  <c r="X199" i="9" s="1"/>
  <c r="Y199" i="9" s="1"/>
  <c r="Z710" i="9"/>
  <c r="AG710" i="9" s="1"/>
  <c r="T710" i="9"/>
  <c r="W710" i="9" s="1"/>
  <c r="X710" i="9" s="1"/>
  <c r="Y710" i="9" s="1"/>
  <c r="Z666" i="9"/>
  <c r="AG666" i="9" s="1"/>
  <c r="T666" i="9"/>
  <c r="W666" i="9" s="1"/>
  <c r="X666" i="9" s="1"/>
  <c r="Y666" i="9" s="1"/>
  <c r="T622" i="9"/>
  <c r="W622" i="9" s="1"/>
  <c r="X622" i="9" s="1"/>
  <c r="Y622" i="9" s="1"/>
  <c r="Z622" i="9"/>
  <c r="AG622" i="9" s="1"/>
  <c r="Z577" i="9"/>
  <c r="AG577" i="9" s="1"/>
  <c r="T577" i="9"/>
  <c r="W577" i="9" s="1"/>
  <c r="X577" i="9" s="1"/>
  <c r="Y577" i="9" s="1"/>
  <c r="Z518" i="9"/>
  <c r="AG518" i="9" s="1"/>
  <c r="T518" i="9"/>
  <c r="W518" i="9" s="1"/>
  <c r="X518" i="9" s="1"/>
  <c r="Y518" i="9" s="1"/>
  <c r="Z459" i="9"/>
  <c r="AG459" i="9" s="1"/>
  <c r="T459" i="9"/>
  <c r="W459" i="9" s="1"/>
  <c r="X459" i="9" s="1"/>
  <c r="Y459" i="9" s="1"/>
  <c r="Z406" i="9"/>
  <c r="AG406" i="9" s="1"/>
  <c r="T406" i="9"/>
  <c r="W406" i="9" s="1"/>
  <c r="X406" i="9" s="1"/>
  <c r="Y406" i="9" s="1"/>
  <c r="T347" i="9"/>
  <c r="W347" i="9" s="1"/>
  <c r="X347" i="9" s="1"/>
  <c r="Y347" i="9" s="1"/>
  <c r="Z347" i="9"/>
  <c r="AG347" i="9" s="1"/>
  <c r="T289" i="9"/>
  <c r="W289" i="9" s="1"/>
  <c r="X289" i="9" s="1"/>
  <c r="Y289" i="9" s="1"/>
  <c r="Z289" i="9"/>
  <c r="AG289" i="9" s="1"/>
  <c r="T235" i="9"/>
  <c r="W235" i="9" s="1"/>
  <c r="X235" i="9" s="1"/>
  <c r="Y235" i="9" s="1"/>
  <c r="Z235" i="9"/>
  <c r="AG235" i="9" s="1"/>
  <c r="Z177" i="9"/>
  <c r="AG177" i="9" s="1"/>
  <c r="T177" i="9"/>
  <c r="W177" i="9" s="1"/>
  <c r="X177" i="9" s="1"/>
  <c r="Y177" i="9" s="1"/>
  <c r="Z118" i="9"/>
  <c r="AG118" i="9" s="1"/>
  <c r="T118" i="9"/>
  <c r="W118" i="9" s="1"/>
  <c r="X118" i="9" s="1"/>
  <c r="Y118" i="9" s="1"/>
  <c r="Z242" i="9"/>
  <c r="AG242" i="9" s="1"/>
  <c r="T242" i="9"/>
  <c r="W242" i="9" s="1"/>
  <c r="X242" i="9" s="1"/>
  <c r="Y242" i="9" s="1"/>
  <c r="T713" i="9"/>
  <c r="W713" i="9" s="1"/>
  <c r="X713" i="9" s="1"/>
  <c r="Y713" i="9" s="1"/>
  <c r="Z713" i="9"/>
  <c r="AG713" i="9" s="1"/>
  <c r="Z621" i="9"/>
  <c r="AG621" i="9" s="1"/>
  <c r="T621" i="9"/>
  <c r="W621" i="9" s="1"/>
  <c r="X621" i="9" s="1"/>
  <c r="Y621" i="9" s="1"/>
  <c r="Z533" i="9"/>
  <c r="AG533" i="9" s="1"/>
  <c r="T533" i="9"/>
  <c r="W533" i="9" s="1"/>
  <c r="X533" i="9" s="1"/>
  <c r="Y533" i="9" s="1"/>
  <c r="Z415" i="9"/>
  <c r="AG415" i="9" s="1"/>
  <c r="T415" i="9"/>
  <c r="W415" i="9" s="1"/>
  <c r="X415" i="9" s="1"/>
  <c r="Y415" i="9" s="1"/>
  <c r="Z298" i="9"/>
  <c r="AG298" i="9" s="1"/>
  <c r="T298" i="9"/>
  <c r="W298" i="9" s="1"/>
  <c r="X298" i="9" s="1"/>
  <c r="Y298" i="9" s="1"/>
  <c r="Z197" i="9"/>
  <c r="AG197" i="9" s="1"/>
  <c r="T197" i="9"/>
  <c r="W197" i="9" s="1"/>
  <c r="X197" i="9" s="1"/>
  <c r="Y197" i="9" s="1"/>
  <c r="Z568" i="9"/>
  <c r="AG568" i="9" s="1"/>
  <c r="T568" i="9"/>
  <c r="W568" i="9" s="1"/>
  <c r="X568" i="9" s="1"/>
  <c r="Y568" i="9" s="1"/>
  <c r="Z524" i="9"/>
  <c r="AG524" i="9" s="1"/>
  <c r="T524" i="9"/>
  <c r="W524" i="9" s="1"/>
  <c r="X524" i="9" s="1"/>
  <c r="Y524" i="9" s="1"/>
  <c r="Z484" i="9"/>
  <c r="AG484" i="9" s="1"/>
  <c r="T484" i="9"/>
  <c r="W484" i="9" s="1"/>
  <c r="X484" i="9" s="1"/>
  <c r="Y484" i="9" s="1"/>
  <c r="Z440" i="9"/>
  <c r="AG440" i="9" s="1"/>
  <c r="T440" i="9"/>
  <c r="W440" i="9" s="1"/>
  <c r="X440" i="9" s="1"/>
  <c r="Y440" i="9" s="1"/>
  <c r="Z396" i="9"/>
  <c r="AG396" i="9" s="1"/>
  <c r="T396" i="9"/>
  <c r="W396" i="9" s="1"/>
  <c r="X396" i="9" s="1"/>
  <c r="Y396" i="9" s="1"/>
  <c r="Z356" i="9"/>
  <c r="AG356" i="9" s="1"/>
  <c r="T356" i="9"/>
  <c r="W356" i="9" s="1"/>
  <c r="X356" i="9" s="1"/>
  <c r="Y356" i="9" s="1"/>
  <c r="Z312" i="9"/>
  <c r="AG312" i="9" s="1"/>
  <c r="T312" i="9"/>
  <c r="W312" i="9" s="1"/>
  <c r="X312" i="9" s="1"/>
  <c r="Y312" i="9" s="1"/>
  <c r="Z268" i="9"/>
  <c r="AG268" i="9" s="1"/>
  <c r="T268" i="9"/>
  <c r="W268" i="9" s="1"/>
  <c r="X268" i="9" s="1"/>
  <c r="Y268" i="9" s="1"/>
  <c r="Z228" i="9"/>
  <c r="AG228" i="9" s="1"/>
  <c r="T228" i="9"/>
  <c r="W228" i="9" s="1"/>
  <c r="X228" i="9" s="1"/>
  <c r="Y228" i="9" s="1"/>
  <c r="Z184" i="9"/>
  <c r="AG184" i="9" s="1"/>
  <c r="T184" i="9"/>
  <c r="W184" i="9" s="1"/>
  <c r="X184" i="9" s="1"/>
  <c r="Y184" i="9" s="1"/>
  <c r="T140" i="9"/>
  <c r="W140" i="9" s="1"/>
  <c r="X140" i="9" s="1"/>
  <c r="Y140" i="9" s="1"/>
  <c r="Z140" i="9"/>
  <c r="AG140" i="9" s="1"/>
  <c r="T541" i="9"/>
  <c r="W541" i="9" s="1"/>
  <c r="X541" i="9" s="1"/>
  <c r="Y541" i="9" s="1"/>
  <c r="Z541" i="9"/>
  <c r="AG541" i="9" s="1"/>
  <c r="Z455" i="9"/>
  <c r="AG455" i="9" s="1"/>
  <c r="T455" i="9"/>
  <c r="W455" i="9" s="1"/>
  <c r="X455" i="9" s="1"/>
  <c r="Y455" i="9" s="1"/>
  <c r="Z386" i="9"/>
  <c r="AG386" i="9" s="1"/>
  <c r="T386" i="9"/>
  <c r="W386" i="9" s="1"/>
  <c r="X386" i="9" s="1"/>
  <c r="Y386" i="9" s="1"/>
  <c r="Z274" i="9"/>
  <c r="AG274" i="9" s="1"/>
  <c r="T274" i="9"/>
  <c r="W274" i="9" s="1"/>
  <c r="X274" i="9" s="1"/>
  <c r="Y274" i="9" s="1"/>
  <c r="Z130" i="9"/>
  <c r="AG130" i="9" s="1"/>
  <c r="T130" i="9"/>
  <c r="W130" i="9" s="1"/>
  <c r="X130" i="9" s="1"/>
  <c r="Y130" i="9" s="1"/>
  <c r="T681" i="9"/>
  <c r="W681" i="9" s="1"/>
  <c r="X681" i="9" s="1"/>
  <c r="Y681" i="9" s="1"/>
  <c r="Z681" i="9"/>
  <c r="AG681" i="9" s="1"/>
  <c r="Z617" i="9"/>
  <c r="AG617" i="9" s="1"/>
  <c r="T617" i="9"/>
  <c r="W617" i="9" s="1"/>
  <c r="X617" i="9" s="1"/>
  <c r="Y617" i="9" s="1"/>
  <c r="Z527" i="9"/>
  <c r="AG527" i="9" s="1"/>
  <c r="T527" i="9"/>
  <c r="W527" i="9" s="1"/>
  <c r="X527" i="9" s="1"/>
  <c r="Y527" i="9" s="1"/>
  <c r="T442" i="9"/>
  <c r="W442" i="9" s="1"/>
  <c r="X442" i="9" s="1"/>
  <c r="Y442" i="9" s="1"/>
  <c r="Z442" i="9"/>
  <c r="AG442" i="9" s="1"/>
  <c r="T357" i="9"/>
  <c r="W357" i="9" s="1"/>
  <c r="X357" i="9" s="1"/>
  <c r="Y357" i="9" s="1"/>
  <c r="Z357" i="9"/>
  <c r="AG357" i="9" s="1"/>
  <c r="Z266" i="9"/>
  <c r="AG266" i="9" s="1"/>
  <c r="T266" i="9"/>
  <c r="W266" i="9" s="1"/>
  <c r="X266" i="9" s="1"/>
  <c r="Y266" i="9" s="1"/>
  <c r="Z186" i="9"/>
  <c r="AG186" i="9" s="1"/>
  <c r="T186" i="9"/>
  <c r="W186" i="9" s="1"/>
  <c r="X186" i="9" s="1"/>
  <c r="Y186" i="9" s="1"/>
  <c r="Z133" i="9"/>
  <c r="AG133" i="9" s="1"/>
  <c r="T133" i="9"/>
  <c r="W133" i="9" s="1"/>
  <c r="X133" i="9" s="1"/>
  <c r="Y133" i="9" s="1"/>
  <c r="Z728" i="9"/>
  <c r="AG728" i="9" s="1"/>
  <c r="T728" i="9"/>
  <c r="W728" i="9" s="1"/>
  <c r="X728" i="9" s="1"/>
  <c r="Y728" i="9" s="1"/>
  <c r="Z696" i="9"/>
  <c r="AG696" i="9" s="1"/>
  <c r="T696" i="9"/>
  <c r="W696" i="9" s="1"/>
  <c r="X696" i="9" s="1"/>
  <c r="Y696" i="9" s="1"/>
  <c r="Z664" i="9"/>
  <c r="AG664" i="9" s="1"/>
  <c r="T664" i="9"/>
  <c r="W664" i="9" s="1"/>
  <c r="X664" i="9" s="1"/>
  <c r="Y664" i="9" s="1"/>
  <c r="Z632" i="9"/>
  <c r="AG632" i="9" s="1"/>
  <c r="T632" i="9"/>
  <c r="W632" i="9" s="1"/>
  <c r="X632" i="9" s="1"/>
  <c r="Y632" i="9" s="1"/>
  <c r="Z600" i="9"/>
  <c r="AG600" i="9" s="1"/>
  <c r="T600" i="9"/>
  <c r="W600" i="9" s="1"/>
  <c r="X600" i="9" s="1"/>
  <c r="Y600" i="9" s="1"/>
  <c r="T553" i="9"/>
  <c r="W553" i="9" s="1"/>
  <c r="X553" i="9" s="1"/>
  <c r="Y553" i="9" s="1"/>
  <c r="Z553" i="9"/>
  <c r="AG553" i="9" s="1"/>
  <c r="T494" i="9"/>
  <c r="W494" i="9" s="1"/>
  <c r="X494" i="9" s="1"/>
  <c r="Y494" i="9" s="1"/>
  <c r="Z494" i="9"/>
  <c r="AG494" i="9" s="1"/>
  <c r="Z435" i="9"/>
  <c r="AG435" i="9" s="1"/>
  <c r="T435" i="9"/>
  <c r="W435" i="9" s="1"/>
  <c r="X435" i="9" s="1"/>
  <c r="Y435" i="9" s="1"/>
  <c r="Z382" i="9"/>
  <c r="AG382" i="9" s="1"/>
  <c r="T382" i="9"/>
  <c r="W382" i="9" s="1"/>
  <c r="X382" i="9" s="1"/>
  <c r="Y382" i="9" s="1"/>
  <c r="Z323" i="9"/>
  <c r="AG323" i="9" s="1"/>
  <c r="T323" i="9"/>
  <c r="W323" i="9" s="1"/>
  <c r="X323" i="9" s="1"/>
  <c r="Y323" i="9" s="1"/>
  <c r="Z265" i="9"/>
  <c r="AG265" i="9" s="1"/>
  <c r="T265" i="9"/>
  <c r="W265" i="9" s="1"/>
  <c r="X265" i="9" s="1"/>
  <c r="Y265" i="9" s="1"/>
  <c r="Z211" i="9"/>
  <c r="AG211" i="9" s="1"/>
  <c r="T211" i="9"/>
  <c r="W211" i="9" s="1"/>
  <c r="X211" i="9" s="1"/>
  <c r="Y211" i="9" s="1"/>
  <c r="Z153" i="9"/>
  <c r="AG153" i="9" s="1"/>
  <c r="T153" i="9"/>
  <c r="W153" i="9" s="1"/>
  <c r="X153" i="9" s="1"/>
  <c r="Y153" i="9" s="1"/>
  <c r="Z94" i="9"/>
  <c r="AG94" i="9" s="1"/>
  <c r="T94" i="9"/>
  <c r="W94" i="9" s="1"/>
  <c r="X94" i="9" s="1"/>
  <c r="Y94" i="9" s="1"/>
  <c r="Z675" i="9"/>
  <c r="AG675" i="9" s="1"/>
  <c r="T675" i="9"/>
  <c r="W675" i="9" s="1"/>
  <c r="X675" i="9" s="1"/>
  <c r="Y675" i="9" s="1"/>
  <c r="Z599" i="9"/>
  <c r="AG599" i="9" s="1"/>
  <c r="T599" i="9"/>
  <c r="W599" i="9" s="1"/>
  <c r="X599" i="9" s="1"/>
  <c r="Y599" i="9" s="1"/>
  <c r="T461" i="9"/>
  <c r="W461" i="9" s="1"/>
  <c r="X461" i="9" s="1"/>
  <c r="Y461" i="9" s="1"/>
  <c r="Z461" i="9"/>
  <c r="AG461" i="9" s="1"/>
  <c r="T279" i="9"/>
  <c r="W279" i="9" s="1"/>
  <c r="X279" i="9" s="1"/>
  <c r="Y279" i="9" s="1"/>
  <c r="Z279" i="9"/>
  <c r="AG279" i="9" s="1"/>
  <c r="Z703" i="9"/>
  <c r="AG703" i="9" s="1"/>
  <c r="T703" i="9"/>
  <c r="W703" i="9" s="1"/>
  <c r="X703" i="9" s="1"/>
  <c r="Y703" i="9" s="1"/>
  <c r="Z594" i="9"/>
  <c r="AG594" i="9" s="1"/>
  <c r="T594" i="9"/>
  <c r="W594" i="9" s="1"/>
  <c r="X594" i="9" s="1"/>
  <c r="Y594" i="9" s="1"/>
  <c r="Z429" i="9"/>
  <c r="AG429" i="9" s="1"/>
  <c r="T429" i="9"/>
  <c r="W429" i="9" s="1"/>
  <c r="X429" i="9" s="1"/>
  <c r="Y429" i="9" s="1"/>
  <c r="Z178" i="9"/>
  <c r="AG178" i="9" s="1"/>
  <c r="T178" i="9"/>
  <c r="W178" i="9" s="1"/>
  <c r="X178" i="9" s="1"/>
  <c r="Y178" i="9" s="1"/>
  <c r="Z702" i="9"/>
  <c r="AG702" i="9" s="1"/>
  <c r="T702" i="9"/>
  <c r="W702" i="9" s="1"/>
  <c r="X702" i="9" s="1"/>
  <c r="Y702" i="9" s="1"/>
  <c r="Z662" i="9"/>
  <c r="AG662" i="9" s="1"/>
  <c r="T662" i="9"/>
  <c r="W662" i="9" s="1"/>
  <c r="X662" i="9" s="1"/>
  <c r="Y662" i="9" s="1"/>
  <c r="Z618" i="9"/>
  <c r="AG618" i="9" s="1"/>
  <c r="T618" i="9"/>
  <c r="W618" i="9" s="1"/>
  <c r="X618" i="9" s="1"/>
  <c r="Y618" i="9" s="1"/>
  <c r="Z566" i="9"/>
  <c r="AG566" i="9" s="1"/>
  <c r="T566" i="9"/>
  <c r="W566" i="9" s="1"/>
  <c r="X566" i="9" s="1"/>
  <c r="Y566" i="9" s="1"/>
  <c r="Z513" i="9"/>
  <c r="AG513" i="9" s="1"/>
  <c r="T513" i="9"/>
  <c r="W513" i="9" s="1"/>
  <c r="X513" i="9" s="1"/>
  <c r="Y513" i="9" s="1"/>
  <c r="Z454" i="9"/>
  <c r="AG454" i="9" s="1"/>
  <c r="T454" i="9"/>
  <c r="W454" i="9" s="1"/>
  <c r="X454" i="9" s="1"/>
  <c r="Y454" i="9" s="1"/>
  <c r="Z395" i="9"/>
  <c r="AG395" i="9" s="1"/>
  <c r="T395" i="9"/>
  <c r="W395" i="9" s="1"/>
  <c r="X395" i="9" s="1"/>
  <c r="Y395" i="9" s="1"/>
  <c r="Z342" i="9"/>
  <c r="AG342" i="9" s="1"/>
  <c r="T342" i="9"/>
  <c r="W342" i="9" s="1"/>
  <c r="X342" i="9" s="1"/>
  <c r="Y342" i="9" s="1"/>
  <c r="T283" i="9"/>
  <c r="W283" i="9" s="1"/>
  <c r="X283" i="9" s="1"/>
  <c r="Y283" i="9" s="1"/>
  <c r="Z283" i="9"/>
  <c r="AG283" i="9" s="1"/>
  <c r="Z225" i="9"/>
  <c r="AG225" i="9" s="1"/>
  <c r="T225" i="9"/>
  <c r="W225" i="9" s="1"/>
  <c r="X225" i="9" s="1"/>
  <c r="Y225" i="9" s="1"/>
  <c r="Z171" i="9"/>
  <c r="AG171" i="9" s="1"/>
  <c r="T171" i="9"/>
  <c r="W171" i="9" s="1"/>
  <c r="X171" i="9" s="1"/>
  <c r="Y171" i="9" s="1"/>
  <c r="Z113" i="9"/>
  <c r="AG113" i="9" s="1"/>
  <c r="T113" i="9"/>
  <c r="W113" i="9" s="1"/>
  <c r="X113" i="9" s="1"/>
  <c r="Y113" i="9" s="1"/>
  <c r="Z183" i="9"/>
  <c r="AG183" i="9" s="1"/>
  <c r="T183" i="9"/>
  <c r="W183" i="9" s="1"/>
  <c r="X183" i="9" s="1"/>
  <c r="Y183" i="9" s="1"/>
  <c r="Z705" i="9"/>
  <c r="AG705" i="9" s="1"/>
  <c r="T705" i="9"/>
  <c r="W705" i="9" s="1"/>
  <c r="X705" i="9" s="1"/>
  <c r="Y705" i="9" s="1"/>
  <c r="T613" i="9"/>
  <c r="W613" i="9" s="1"/>
  <c r="X613" i="9" s="1"/>
  <c r="Y613" i="9" s="1"/>
  <c r="Z613" i="9"/>
  <c r="AG613" i="9" s="1"/>
  <c r="Z511" i="9"/>
  <c r="AG511" i="9" s="1"/>
  <c r="T511" i="9"/>
  <c r="W511" i="9" s="1"/>
  <c r="X511" i="9" s="1"/>
  <c r="Y511" i="9" s="1"/>
  <c r="T405" i="9"/>
  <c r="W405" i="9" s="1"/>
  <c r="X405" i="9" s="1"/>
  <c r="Y405" i="9" s="1"/>
  <c r="Z405" i="9"/>
  <c r="AG405" i="9" s="1"/>
  <c r="Z287" i="9"/>
  <c r="AG287" i="9" s="1"/>
  <c r="T287" i="9"/>
  <c r="W287" i="9" s="1"/>
  <c r="X287" i="9" s="1"/>
  <c r="Y287" i="9" s="1"/>
  <c r="T159" i="9"/>
  <c r="W159" i="9" s="1"/>
  <c r="X159" i="9" s="1"/>
  <c r="Y159" i="9" s="1"/>
  <c r="Z159" i="9"/>
  <c r="AG159" i="9" s="1"/>
  <c r="Z564" i="9"/>
  <c r="AG564" i="9" s="1"/>
  <c r="T564" i="9"/>
  <c r="W564" i="9" s="1"/>
  <c r="X564" i="9" s="1"/>
  <c r="Y564" i="9" s="1"/>
  <c r="Z520" i="9"/>
  <c r="AG520" i="9" s="1"/>
  <c r="T520" i="9"/>
  <c r="W520" i="9" s="1"/>
  <c r="X520" i="9" s="1"/>
  <c r="Y520" i="9" s="1"/>
  <c r="Z476" i="9"/>
  <c r="AG476" i="9" s="1"/>
  <c r="T476" i="9"/>
  <c r="W476" i="9" s="1"/>
  <c r="X476" i="9" s="1"/>
  <c r="Y476" i="9" s="1"/>
  <c r="T436" i="9"/>
  <c r="W436" i="9" s="1"/>
  <c r="X436" i="9" s="1"/>
  <c r="Y436" i="9" s="1"/>
  <c r="Z436" i="9"/>
  <c r="AG436" i="9" s="1"/>
  <c r="Z392" i="9"/>
  <c r="AG392" i="9" s="1"/>
  <c r="T392" i="9"/>
  <c r="W392" i="9" s="1"/>
  <c r="X392" i="9" s="1"/>
  <c r="Y392" i="9" s="1"/>
  <c r="Z348" i="9"/>
  <c r="AG348" i="9" s="1"/>
  <c r="T348" i="9"/>
  <c r="W348" i="9" s="1"/>
  <c r="X348" i="9" s="1"/>
  <c r="Y348" i="9" s="1"/>
  <c r="Z308" i="9"/>
  <c r="AG308" i="9" s="1"/>
  <c r="T308" i="9"/>
  <c r="W308" i="9" s="1"/>
  <c r="X308" i="9" s="1"/>
  <c r="Y308" i="9" s="1"/>
  <c r="Z264" i="9"/>
  <c r="AG264" i="9" s="1"/>
  <c r="T264" i="9"/>
  <c r="W264" i="9" s="1"/>
  <c r="X264" i="9" s="1"/>
  <c r="Y264" i="9" s="1"/>
  <c r="Z220" i="9"/>
  <c r="AG220" i="9" s="1"/>
  <c r="T220" i="9"/>
  <c r="W220" i="9" s="1"/>
  <c r="X220" i="9" s="1"/>
  <c r="Y220" i="9" s="1"/>
  <c r="Z180" i="9"/>
  <c r="AG180" i="9" s="1"/>
  <c r="T180" i="9"/>
  <c r="W180" i="9" s="1"/>
  <c r="X180" i="9" s="1"/>
  <c r="Y180" i="9" s="1"/>
  <c r="Z136" i="9"/>
  <c r="AG136" i="9" s="1"/>
  <c r="T136" i="9"/>
  <c r="W136" i="9" s="1"/>
  <c r="X136" i="9" s="1"/>
  <c r="Y136" i="9" s="1"/>
  <c r="Z514" i="9"/>
  <c r="AG514" i="9" s="1"/>
  <c r="T514" i="9"/>
  <c r="W514" i="9" s="1"/>
  <c r="X514" i="9" s="1"/>
  <c r="Y514" i="9" s="1"/>
  <c r="Z445" i="9"/>
  <c r="AG445" i="9" s="1"/>
  <c r="T445" i="9"/>
  <c r="W445" i="9" s="1"/>
  <c r="X445" i="9" s="1"/>
  <c r="Y445" i="9" s="1"/>
  <c r="Z343" i="9"/>
  <c r="AG343" i="9" s="1"/>
  <c r="T343" i="9"/>
  <c r="W343" i="9" s="1"/>
  <c r="X343" i="9" s="1"/>
  <c r="Y343" i="9" s="1"/>
  <c r="Z221" i="9"/>
  <c r="AG221" i="9" s="1"/>
  <c r="T221" i="9"/>
  <c r="W221" i="9" s="1"/>
  <c r="X221" i="9" s="1"/>
  <c r="Y221" i="9" s="1"/>
  <c r="Z717" i="9"/>
  <c r="AG717" i="9" s="1"/>
  <c r="T717" i="9"/>
  <c r="W717" i="9" s="1"/>
  <c r="X717" i="9" s="1"/>
  <c r="Y717" i="9" s="1"/>
  <c r="T657" i="9"/>
  <c r="W657" i="9" s="1"/>
  <c r="X657" i="9" s="1"/>
  <c r="Y657" i="9" s="1"/>
  <c r="Z657" i="9"/>
  <c r="AG657" i="9" s="1"/>
  <c r="Z591" i="9"/>
  <c r="AG591" i="9" s="1"/>
  <c r="T591" i="9"/>
  <c r="W591" i="9" s="1"/>
  <c r="X591" i="9" s="1"/>
  <c r="Y591" i="9" s="1"/>
  <c r="Z495" i="9"/>
  <c r="AG495" i="9" s="1"/>
  <c r="T495" i="9"/>
  <c r="W495" i="9" s="1"/>
  <c r="X495" i="9" s="1"/>
  <c r="Y495" i="9" s="1"/>
  <c r="Z410" i="9"/>
  <c r="AG410" i="9" s="1"/>
  <c r="T410" i="9"/>
  <c r="W410" i="9" s="1"/>
  <c r="X410" i="9" s="1"/>
  <c r="Y410" i="9" s="1"/>
  <c r="T325" i="9"/>
  <c r="W325" i="9" s="1"/>
  <c r="X325" i="9" s="1"/>
  <c r="Y325" i="9" s="1"/>
  <c r="Z325" i="9"/>
  <c r="AG325" i="9" s="1"/>
  <c r="Z234" i="9"/>
  <c r="AG234" i="9" s="1"/>
  <c r="T234" i="9"/>
  <c r="W234" i="9" s="1"/>
  <c r="X234" i="9" s="1"/>
  <c r="Y234" i="9" s="1"/>
  <c r="T165" i="9"/>
  <c r="W165" i="9" s="1"/>
  <c r="X165" i="9" s="1"/>
  <c r="Y165" i="9" s="1"/>
  <c r="Z165" i="9"/>
  <c r="AG165" i="9" s="1"/>
  <c r="Z117" i="9"/>
  <c r="AG117" i="9" s="1"/>
  <c r="T117" i="9"/>
  <c r="W117" i="9" s="1"/>
  <c r="X117" i="9" s="1"/>
  <c r="Y117" i="9" s="1"/>
  <c r="Z716" i="9"/>
  <c r="AG716" i="9" s="1"/>
  <c r="T716" i="9"/>
  <c r="W716" i="9" s="1"/>
  <c r="X716" i="9" s="1"/>
  <c r="Y716" i="9" s="1"/>
  <c r="Z684" i="9"/>
  <c r="AG684" i="9" s="1"/>
  <c r="T684" i="9"/>
  <c r="W684" i="9" s="1"/>
  <c r="X684" i="9" s="1"/>
  <c r="Y684" i="9" s="1"/>
  <c r="Z652" i="9"/>
  <c r="AG652" i="9" s="1"/>
  <c r="T652" i="9"/>
  <c r="W652" i="9" s="1"/>
  <c r="X652" i="9" s="1"/>
  <c r="Y652" i="9" s="1"/>
  <c r="Z620" i="9"/>
  <c r="AG620" i="9" s="1"/>
  <c r="T620" i="9"/>
  <c r="W620" i="9" s="1"/>
  <c r="X620" i="9" s="1"/>
  <c r="Y620" i="9" s="1"/>
  <c r="T585" i="9"/>
  <c r="W585" i="9" s="1"/>
  <c r="X585" i="9" s="1"/>
  <c r="Y585" i="9" s="1"/>
  <c r="Z585" i="9"/>
  <c r="AG585" i="9" s="1"/>
  <c r="Z531" i="9"/>
  <c r="AG531" i="9" s="1"/>
  <c r="T531" i="9"/>
  <c r="W531" i="9" s="1"/>
  <c r="X531" i="9" s="1"/>
  <c r="Y531" i="9" s="1"/>
  <c r="Z473" i="9"/>
  <c r="AG473" i="9" s="1"/>
  <c r="T473" i="9"/>
  <c r="W473" i="9" s="1"/>
  <c r="X473" i="9" s="1"/>
  <c r="Y473" i="9" s="1"/>
  <c r="Z414" i="9"/>
  <c r="AG414" i="9" s="1"/>
  <c r="T414" i="9"/>
  <c r="W414" i="9" s="1"/>
  <c r="X414" i="9" s="1"/>
  <c r="Y414" i="9" s="1"/>
  <c r="Z361" i="9"/>
  <c r="AG361" i="9" s="1"/>
  <c r="T361" i="9"/>
  <c r="W361" i="9" s="1"/>
  <c r="X361" i="9" s="1"/>
  <c r="Y361" i="9" s="1"/>
  <c r="Z302" i="9"/>
  <c r="AG302" i="9" s="1"/>
  <c r="T302" i="9"/>
  <c r="W302" i="9" s="1"/>
  <c r="X302" i="9" s="1"/>
  <c r="Y302" i="9" s="1"/>
  <c r="Z243" i="9"/>
  <c r="AG243" i="9" s="1"/>
  <c r="T243" i="9"/>
  <c r="W243" i="9" s="1"/>
  <c r="X243" i="9" s="1"/>
  <c r="Y243" i="9" s="1"/>
  <c r="Z190" i="9"/>
  <c r="AG190" i="9" s="1"/>
  <c r="T190" i="9"/>
  <c r="W190" i="9" s="1"/>
  <c r="X190" i="9" s="1"/>
  <c r="Y190" i="9" s="1"/>
  <c r="Z131" i="9"/>
  <c r="AG131" i="9" s="1"/>
  <c r="T131" i="9"/>
  <c r="W131" i="9" s="1"/>
  <c r="X131" i="9" s="1"/>
  <c r="Y131" i="9" s="1"/>
  <c r="Z715" i="9"/>
  <c r="AG715" i="9" s="1"/>
  <c r="T715" i="9"/>
  <c r="W715" i="9" s="1"/>
  <c r="X715" i="9" s="1"/>
  <c r="Y715" i="9" s="1"/>
  <c r="Z647" i="9"/>
  <c r="AG647" i="9" s="1"/>
  <c r="T647" i="9"/>
  <c r="W647" i="9" s="1"/>
  <c r="X647" i="9" s="1"/>
  <c r="Y647" i="9" s="1"/>
  <c r="Z562" i="9"/>
  <c r="AG562" i="9" s="1"/>
  <c r="T562" i="9"/>
  <c r="W562" i="9" s="1"/>
  <c r="X562" i="9" s="1"/>
  <c r="Y562" i="9" s="1"/>
  <c r="T397" i="9"/>
  <c r="W397" i="9" s="1"/>
  <c r="X397" i="9" s="1"/>
  <c r="Y397" i="9" s="1"/>
  <c r="Z397" i="9"/>
  <c r="AG397" i="9" s="1"/>
  <c r="Z194" i="9"/>
  <c r="AG194" i="9" s="1"/>
  <c r="T194" i="9"/>
  <c r="W194" i="9" s="1"/>
  <c r="X194" i="9" s="1"/>
  <c r="Y194" i="9" s="1"/>
  <c r="Z663" i="9"/>
  <c r="AG663" i="9" s="1"/>
  <c r="T663" i="9"/>
  <c r="W663" i="9" s="1"/>
  <c r="X663" i="9" s="1"/>
  <c r="Y663" i="9" s="1"/>
  <c r="Z546" i="9"/>
  <c r="AG546" i="9" s="1"/>
  <c r="T546" i="9"/>
  <c r="W546" i="9" s="1"/>
  <c r="X546" i="9" s="1"/>
  <c r="Y546" i="9" s="1"/>
  <c r="Z354" i="9"/>
  <c r="AG354" i="9" s="1"/>
  <c r="T354" i="9"/>
  <c r="W354" i="9" s="1"/>
  <c r="X354" i="9" s="1"/>
  <c r="Y354" i="9" s="1"/>
  <c r="Z730" i="9"/>
  <c r="AG730" i="9" s="1"/>
  <c r="T730" i="9"/>
  <c r="W730" i="9" s="1"/>
  <c r="X730" i="9" s="1"/>
  <c r="Y730" i="9" s="1"/>
  <c r="Z686" i="9"/>
  <c r="AG686" i="9" s="1"/>
  <c r="T686" i="9"/>
  <c r="W686" i="9" s="1"/>
  <c r="X686" i="9" s="1"/>
  <c r="Y686" i="9" s="1"/>
  <c r="Z646" i="9"/>
  <c r="AG646" i="9" s="1"/>
  <c r="T646" i="9"/>
  <c r="W646" i="9" s="1"/>
  <c r="X646" i="9" s="1"/>
  <c r="Y646" i="9" s="1"/>
  <c r="Z602" i="9"/>
  <c r="AG602" i="9" s="1"/>
  <c r="T602" i="9"/>
  <c r="W602" i="9" s="1"/>
  <c r="X602" i="9" s="1"/>
  <c r="Y602" i="9" s="1"/>
  <c r="Z545" i="9"/>
  <c r="AG545" i="9" s="1"/>
  <c r="T545" i="9"/>
  <c r="W545" i="9" s="1"/>
  <c r="X545" i="9" s="1"/>
  <c r="Y545" i="9" s="1"/>
  <c r="Z491" i="9"/>
  <c r="AG491" i="9" s="1"/>
  <c r="T491" i="9"/>
  <c r="W491" i="9" s="1"/>
  <c r="X491" i="9" s="1"/>
  <c r="Y491" i="9" s="1"/>
  <c r="Z433" i="9"/>
  <c r="AG433" i="9" s="1"/>
  <c r="T433" i="9"/>
  <c r="W433" i="9" s="1"/>
  <c r="X433" i="9" s="1"/>
  <c r="Y433" i="9" s="1"/>
  <c r="Z374" i="9"/>
  <c r="AG374" i="9" s="1"/>
  <c r="T374" i="9"/>
  <c r="W374" i="9" s="1"/>
  <c r="X374" i="9" s="1"/>
  <c r="Y374" i="9" s="1"/>
  <c r="T321" i="9"/>
  <c r="W321" i="9" s="1"/>
  <c r="X321" i="9" s="1"/>
  <c r="Y321" i="9" s="1"/>
  <c r="Z321" i="9"/>
  <c r="AG321" i="9" s="1"/>
  <c r="Z262" i="9"/>
  <c r="AG262" i="9" s="1"/>
  <c r="T262" i="9"/>
  <c r="W262" i="9" s="1"/>
  <c r="X262" i="9" s="1"/>
  <c r="Y262" i="9" s="1"/>
  <c r="Z203" i="9"/>
  <c r="AG203" i="9" s="1"/>
  <c r="T203" i="9"/>
  <c r="W203" i="9" s="1"/>
  <c r="X203" i="9" s="1"/>
  <c r="Y203" i="9" s="1"/>
  <c r="Z150" i="9"/>
  <c r="AG150" i="9" s="1"/>
  <c r="T150" i="9"/>
  <c r="W150" i="9" s="1"/>
  <c r="X150" i="9" s="1"/>
  <c r="Y150" i="9" s="1"/>
  <c r="Z91" i="9"/>
  <c r="AG91" i="9" s="1"/>
  <c r="T91" i="9"/>
  <c r="W91" i="9" s="1"/>
  <c r="X91" i="9" s="1"/>
  <c r="Y91" i="9" s="1"/>
  <c r="T103" i="9"/>
  <c r="W103" i="9" s="1"/>
  <c r="X103" i="9" s="1"/>
  <c r="Y103" i="9" s="1"/>
  <c r="Z103" i="9"/>
  <c r="AG103" i="9" s="1"/>
  <c r="T669" i="9"/>
  <c r="W669" i="9" s="1"/>
  <c r="X669" i="9" s="1"/>
  <c r="Y669" i="9" s="1"/>
  <c r="Z669" i="9"/>
  <c r="AG669" i="9" s="1"/>
  <c r="Z575" i="9"/>
  <c r="AG575" i="9" s="1"/>
  <c r="T575" i="9"/>
  <c r="W575" i="9" s="1"/>
  <c r="X575" i="9" s="1"/>
  <c r="Y575" i="9" s="1"/>
  <c r="T469" i="9"/>
  <c r="W469" i="9" s="1"/>
  <c r="X469" i="9" s="1"/>
  <c r="Y469" i="9" s="1"/>
  <c r="Z469" i="9"/>
  <c r="AG469" i="9" s="1"/>
  <c r="Z362" i="9"/>
  <c r="AG362" i="9" s="1"/>
  <c r="T362" i="9"/>
  <c r="W362" i="9" s="1"/>
  <c r="X362" i="9" s="1"/>
  <c r="Y362" i="9" s="1"/>
  <c r="Z250" i="9"/>
  <c r="AG250" i="9" s="1"/>
  <c r="T250" i="9"/>
  <c r="W250" i="9" s="1"/>
  <c r="X250" i="9" s="1"/>
  <c r="Y250" i="9" s="1"/>
  <c r="Z588" i="9"/>
  <c r="AG588" i="9" s="1"/>
  <c r="T588" i="9"/>
  <c r="W588" i="9" s="1"/>
  <c r="X588" i="9" s="1"/>
  <c r="Y588" i="9" s="1"/>
  <c r="Z548" i="9"/>
  <c r="AG548" i="9" s="1"/>
  <c r="T548" i="9"/>
  <c r="W548" i="9" s="1"/>
  <c r="X548" i="9" s="1"/>
  <c r="Y548" i="9" s="1"/>
  <c r="Z504" i="9"/>
  <c r="AG504" i="9" s="1"/>
  <c r="T504" i="9"/>
  <c r="W504" i="9" s="1"/>
  <c r="X504" i="9" s="1"/>
  <c r="Y504" i="9" s="1"/>
  <c r="Z460" i="9"/>
  <c r="AG460" i="9" s="1"/>
  <c r="T460" i="9"/>
  <c r="W460" i="9" s="1"/>
  <c r="X460" i="9" s="1"/>
  <c r="Y460" i="9" s="1"/>
  <c r="Z420" i="9"/>
  <c r="AG420" i="9" s="1"/>
  <c r="T420" i="9"/>
  <c r="W420" i="9" s="1"/>
  <c r="X420" i="9" s="1"/>
  <c r="Y420" i="9" s="1"/>
  <c r="Z376" i="9"/>
  <c r="AG376" i="9" s="1"/>
  <c r="T376" i="9"/>
  <c r="W376" i="9" s="1"/>
  <c r="X376" i="9" s="1"/>
  <c r="Y376" i="9" s="1"/>
  <c r="Z332" i="9"/>
  <c r="AG332" i="9" s="1"/>
  <c r="T332" i="9"/>
  <c r="W332" i="9" s="1"/>
  <c r="X332" i="9" s="1"/>
  <c r="Y332" i="9" s="1"/>
  <c r="Z292" i="9"/>
  <c r="AG292" i="9" s="1"/>
  <c r="T292" i="9"/>
  <c r="W292" i="9" s="1"/>
  <c r="X292" i="9" s="1"/>
  <c r="Y292" i="9" s="1"/>
  <c r="Z248" i="9"/>
  <c r="AG248" i="9" s="1"/>
  <c r="T248" i="9"/>
  <c r="W248" i="9" s="1"/>
  <c r="X248" i="9" s="1"/>
  <c r="Y248" i="9" s="1"/>
  <c r="Z204" i="9"/>
  <c r="AG204" i="9" s="1"/>
  <c r="T204" i="9"/>
  <c r="W204" i="9" s="1"/>
  <c r="X204" i="9" s="1"/>
  <c r="Y204" i="9" s="1"/>
  <c r="Z164" i="9"/>
  <c r="AG164" i="9" s="1"/>
  <c r="T164" i="9"/>
  <c r="W164" i="9" s="1"/>
  <c r="X164" i="9" s="1"/>
  <c r="Y164" i="9" s="1"/>
  <c r="Z120" i="9"/>
  <c r="AG120" i="9" s="1"/>
  <c r="T120" i="9"/>
  <c r="W120" i="9" s="1"/>
  <c r="X120" i="9" s="1"/>
  <c r="Y120" i="9" s="1"/>
  <c r="Z498" i="9"/>
  <c r="AG498" i="9" s="1"/>
  <c r="T498" i="9"/>
  <c r="W498" i="9" s="1"/>
  <c r="X498" i="9" s="1"/>
  <c r="Y498" i="9" s="1"/>
  <c r="Z434" i="9"/>
  <c r="AG434" i="9" s="1"/>
  <c r="T434" i="9"/>
  <c r="W434" i="9" s="1"/>
  <c r="X434" i="9" s="1"/>
  <c r="Y434" i="9" s="1"/>
  <c r="Z333" i="9"/>
  <c r="AG333" i="9" s="1"/>
  <c r="T333" i="9"/>
  <c r="W333" i="9" s="1"/>
  <c r="X333" i="9" s="1"/>
  <c r="Y333" i="9" s="1"/>
  <c r="Z205" i="9"/>
  <c r="AG205" i="9" s="1"/>
  <c r="T205" i="9"/>
  <c r="W205" i="9" s="1"/>
  <c r="X205" i="9" s="1"/>
  <c r="Y205" i="9" s="1"/>
  <c r="T709" i="9"/>
  <c r="W709" i="9" s="1"/>
  <c r="X709" i="9" s="1"/>
  <c r="Y709" i="9" s="1"/>
  <c r="Z709" i="9"/>
  <c r="AG709" i="9" s="1"/>
  <c r="T649" i="9"/>
  <c r="W649" i="9" s="1"/>
  <c r="X649" i="9" s="1"/>
  <c r="Y649" i="9" s="1"/>
  <c r="Z649" i="9"/>
  <c r="AG649" i="9" s="1"/>
  <c r="T581" i="9"/>
  <c r="W581" i="9" s="1"/>
  <c r="X581" i="9" s="1"/>
  <c r="Y581" i="9" s="1"/>
  <c r="Z581" i="9"/>
  <c r="AG581" i="9" s="1"/>
  <c r="T485" i="9"/>
  <c r="W485" i="9" s="1"/>
  <c r="X485" i="9" s="1"/>
  <c r="Y485" i="9" s="1"/>
  <c r="Z485" i="9"/>
  <c r="AG485" i="9" s="1"/>
  <c r="Z399" i="9"/>
  <c r="AG399" i="9" s="1"/>
  <c r="T399" i="9"/>
  <c r="W399" i="9" s="1"/>
  <c r="X399" i="9" s="1"/>
  <c r="Y399" i="9" s="1"/>
  <c r="Z314" i="9"/>
  <c r="AG314" i="9" s="1"/>
  <c r="T314" i="9"/>
  <c r="W314" i="9" s="1"/>
  <c r="X314" i="9" s="1"/>
  <c r="Y314" i="9" s="1"/>
  <c r="Z223" i="9"/>
  <c r="AG223" i="9" s="1"/>
  <c r="T223" i="9"/>
  <c r="W223" i="9" s="1"/>
  <c r="X223" i="9" s="1"/>
  <c r="Y223" i="9" s="1"/>
  <c r="T154" i="9"/>
  <c r="W154" i="9" s="1"/>
  <c r="X154" i="9" s="1"/>
  <c r="Y154" i="9" s="1"/>
  <c r="Z154" i="9"/>
  <c r="AG154" i="9" s="1"/>
  <c r="T111" i="9"/>
  <c r="W111" i="9" s="1"/>
  <c r="X111" i="9" s="1"/>
  <c r="Y111" i="9" s="1"/>
  <c r="Z111" i="9"/>
  <c r="AG111" i="9" s="1"/>
  <c r="Z712" i="9"/>
  <c r="AG712" i="9" s="1"/>
  <c r="T712" i="9"/>
  <c r="W712" i="9" s="1"/>
  <c r="X712" i="9" s="1"/>
  <c r="Y712" i="9" s="1"/>
  <c r="Z680" i="9"/>
  <c r="AG680" i="9" s="1"/>
  <c r="T680" i="9"/>
  <c r="W680" i="9" s="1"/>
  <c r="X680" i="9" s="1"/>
  <c r="Y680" i="9" s="1"/>
  <c r="Z648" i="9"/>
  <c r="AG648" i="9" s="1"/>
  <c r="T648" i="9"/>
  <c r="W648" i="9" s="1"/>
  <c r="X648" i="9" s="1"/>
  <c r="Y648" i="9" s="1"/>
  <c r="Z616" i="9"/>
  <c r="AG616" i="9" s="1"/>
  <c r="T616" i="9"/>
  <c r="W616" i="9" s="1"/>
  <c r="X616" i="9" s="1"/>
  <c r="Y616" i="9" s="1"/>
  <c r="Z579" i="9"/>
  <c r="AG579" i="9" s="1"/>
  <c r="T579" i="9"/>
  <c r="W579" i="9" s="1"/>
  <c r="X579" i="9" s="1"/>
  <c r="Y579" i="9" s="1"/>
  <c r="T521" i="9"/>
  <c r="W521" i="9" s="1"/>
  <c r="X521" i="9" s="1"/>
  <c r="Y521" i="9" s="1"/>
  <c r="Z521" i="9"/>
  <c r="AG521" i="9" s="1"/>
  <c r="Z467" i="9"/>
  <c r="AG467" i="9" s="1"/>
  <c r="T467" i="9"/>
  <c r="W467" i="9" s="1"/>
  <c r="X467" i="9" s="1"/>
  <c r="Y467" i="9" s="1"/>
  <c r="Z409" i="9"/>
  <c r="AG409" i="9" s="1"/>
  <c r="T409" i="9"/>
  <c r="W409" i="9" s="1"/>
  <c r="X409" i="9" s="1"/>
  <c r="Y409" i="9" s="1"/>
  <c r="Z350" i="9"/>
  <c r="AG350" i="9" s="1"/>
  <c r="T350" i="9"/>
  <c r="W350" i="9" s="1"/>
  <c r="X350" i="9" s="1"/>
  <c r="Y350" i="9" s="1"/>
  <c r="Z297" i="9"/>
  <c r="AG297" i="9" s="1"/>
  <c r="T297" i="9"/>
  <c r="W297" i="9" s="1"/>
  <c r="X297" i="9" s="1"/>
  <c r="Y297" i="9" s="1"/>
  <c r="Z238" i="9"/>
  <c r="AG238" i="9" s="1"/>
  <c r="T238" i="9"/>
  <c r="W238" i="9" s="1"/>
  <c r="X238" i="9" s="1"/>
  <c r="Y238" i="9" s="1"/>
  <c r="Z179" i="9"/>
  <c r="AG179" i="9" s="1"/>
  <c r="T179" i="9"/>
  <c r="W179" i="9" s="1"/>
  <c r="X179" i="9" s="1"/>
  <c r="Y179" i="9" s="1"/>
  <c r="T126" i="9"/>
  <c r="W126" i="9" s="1"/>
  <c r="X126" i="9" s="1"/>
  <c r="Y126" i="9" s="1"/>
  <c r="Z126" i="9"/>
  <c r="AG126" i="9" s="1"/>
  <c r="Z707" i="9"/>
  <c r="AG707" i="9" s="1"/>
  <c r="T707" i="9"/>
  <c r="W707" i="9" s="1"/>
  <c r="X707" i="9" s="1"/>
  <c r="Y707" i="9" s="1"/>
  <c r="Z635" i="9"/>
  <c r="AG635" i="9" s="1"/>
  <c r="T635" i="9"/>
  <c r="W635" i="9" s="1"/>
  <c r="X635" i="9" s="1"/>
  <c r="Y635" i="9" s="1"/>
  <c r="Z551" i="9"/>
  <c r="AG551" i="9" s="1"/>
  <c r="T551" i="9"/>
  <c r="W551" i="9" s="1"/>
  <c r="X551" i="9" s="1"/>
  <c r="Y551" i="9" s="1"/>
  <c r="T381" i="9"/>
  <c r="W381" i="9" s="1"/>
  <c r="X381" i="9" s="1"/>
  <c r="Y381" i="9" s="1"/>
  <c r="Z381" i="9"/>
  <c r="AG381" i="9" s="1"/>
  <c r="T146" i="9"/>
  <c r="W146" i="9" s="1"/>
  <c r="X146" i="9" s="1"/>
  <c r="Y146" i="9" s="1"/>
  <c r="Z146" i="9"/>
  <c r="AG146" i="9" s="1"/>
  <c r="Z651" i="9"/>
  <c r="AG651" i="9" s="1"/>
  <c r="T651" i="9"/>
  <c r="W651" i="9" s="1"/>
  <c r="X651" i="9" s="1"/>
  <c r="Y651" i="9" s="1"/>
  <c r="Z530" i="9"/>
  <c r="AG530" i="9" s="1"/>
  <c r="T530" i="9"/>
  <c r="W530" i="9" s="1"/>
  <c r="X530" i="9" s="1"/>
  <c r="Y530" i="9" s="1"/>
  <c r="Z290" i="9"/>
  <c r="AG290" i="9" s="1"/>
  <c r="T290" i="9"/>
  <c r="W290" i="9" s="1"/>
  <c r="X290" i="9" s="1"/>
  <c r="Y290" i="9" s="1"/>
  <c r="Z726" i="9"/>
  <c r="AG726" i="9" s="1"/>
  <c r="T726" i="9"/>
  <c r="W726" i="9" s="1"/>
  <c r="X726" i="9" s="1"/>
  <c r="Y726" i="9" s="1"/>
  <c r="Z682" i="9"/>
  <c r="AG682" i="9" s="1"/>
  <c r="T682" i="9"/>
  <c r="W682" i="9" s="1"/>
  <c r="X682" i="9" s="1"/>
  <c r="Y682" i="9" s="1"/>
  <c r="T638" i="9"/>
  <c r="W638" i="9" s="1"/>
  <c r="X638" i="9" s="1"/>
  <c r="Y638" i="9" s="1"/>
  <c r="Z638" i="9"/>
  <c r="AG638" i="9" s="1"/>
  <c r="Z598" i="9"/>
  <c r="AG598" i="9" s="1"/>
  <c r="T598" i="9"/>
  <c r="W598" i="9" s="1"/>
  <c r="X598" i="9" s="1"/>
  <c r="Y598" i="9" s="1"/>
  <c r="Z539" i="9"/>
  <c r="AG539" i="9" s="1"/>
  <c r="T539" i="9"/>
  <c r="W539" i="9" s="1"/>
  <c r="X539" i="9" s="1"/>
  <c r="Y539" i="9" s="1"/>
  <c r="Z481" i="9"/>
  <c r="AG481" i="9" s="1"/>
  <c r="T481" i="9"/>
  <c r="W481" i="9" s="1"/>
  <c r="X481" i="9" s="1"/>
  <c r="Y481" i="9" s="1"/>
  <c r="Z427" i="9"/>
  <c r="AG427" i="9" s="1"/>
  <c r="T427" i="9"/>
  <c r="W427" i="9" s="1"/>
  <c r="X427" i="9" s="1"/>
  <c r="Y427" i="9" s="1"/>
  <c r="Z369" i="9"/>
  <c r="AG369" i="9" s="1"/>
  <c r="T369" i="9"/>
  <c r="W369" i="9" s="1"/>
  <c r="X369" i="9" s="1"/>
  <c r="Y369" i="9" s="1"/>
  <c r="Z310" i="9"/>
  <c r="AG310" i="9" s="1"/>
  <c r="T310" i="9"/>
  <c r="W310" i="9" s="1"/>
  <c r="X310" i="9" s="1"/>
  <c r="Y310" i="9" s="1"/>
  <c r="Z257" i="9"/>
  <c r="AG257" i="9" s="1"/>
  <c r="T257" i="9"/>
  <c r="W257" i="9" s="1"/>
  <c r="X257" i="9" s="1"/>
  <c r="Y257" i="9" s="1"/>
  <c r="Z198" i="9"/>
  <c r="AG198" i="9" s="1"/>
  <c r="T198" i="9"/>
  <c r="W198" i="9" s="1"/>
  <c r="X198" i="9" s="1"/>
  <c r="Y198" i="9" s="1"/>
  <c r="Z139" i="9"/>
  <c r="AG139" i="9" s="1"/>
  <c r="T139" i="9"/>
  <c r="W139" i="9" s="1"/>
  <c r="X139" i="9" s="1"/>
  <c r="Y139" i="9" s="1"/>
  <c r="T317" i="9"/>
  <c r="W317" i="9" s="1"/>
  <c r="X317" i="9" s="1"/>
  <c r="Y317" i="9" s="1"/>
  <c r="Z317" i="9"/>
  <c r="AG317" i="9" s="1"/>
  <c r="T98" i="9"/>
  <c r="W98" i="9" s="1"/>
  <c r="X98" i="9" s="1"/>
  <c r="Y98" i="9" s="1"/>
  <c r="Z98" i="9"/>
  <c r="AG98" i="9" s="1"/>
  <c r="Z653" i="9"/>
  <c r="AG653" i="9" s="1"/>
  <c r="T653" i="9"/>
  <c r="W653" i="9" s="1"/>
  <c r="X653" i="9" s="1"/>
  <c r="Y653" i="9" s="1"/>
  <c r="T565" i="9"/>
  <c r="W565" i="9" s="1"/>
  <c r="X565" i="9" s="1"/>
  <c r="Y565" i="9" s="1"/>
  <c r="Z565" i="9"/>
  <c r="AG565" i="9" s="1"/>
  <c r="Z458" i="9"/>
  <c r="AG458" i="9" s="1"/>
  <c r="T458" i="9"/>
  <c r="W458" i="9" s="1"/>
  <c r="X458" i="9" s="1"/>
  <c r="Y458" i="9" s="1"/>
  <c r="Z341" i="9"/>
  <c r="AG341" i="9" s="1"/>
  <c r="T341" i="9"/>
  <c r="W341" i="9" s="1"/>
  <c r="X341" i="9" s="1"/>
  <c r="Y341" i="9" s="1"/>
  <c r="Z239" i="9"/>
  <c r="AG239" i="9" s="1"/>
  <c r="T239" i="9"/>
  <c r="W239" i="9" s="1"/>
  <c r="X239" i="9" s="1"/>
  <c r="Y239" i="9" s="1"/>
  <c r="Z584" i="9"/>
  <c r="AG584" i="9" s="1"/>
  <c r="T584" i="9"/>
  <c r="W584" i="9" s="1"/>
  <c r="X584" i="9" s="1"/>
  <c r="Y584" i="9" s="1"/>
  <c r="Z540" i="9"/>
  <c r="AG540" i="9" s="1"/>
  <c r="T540" i="9"/>
  <c r="W540" i="9" s="1"/>
  <c r="X540" i="9" s="1"/>
  <c r="Y540" i="9" s="1"/>
  <c r="Z500" i="9"/>
  <c r="AG500" i="9" s="1"/>
  <c r="T500" i="9"/>
  <c r="W500" i="9" s="1"/>
  <c r="X500" i="9" s="1"/>
  <c r="Y500" i="9" s="1"/>
  <c r="Z456" i="9"/>
  <c r="AG456" i="9" s="1"/>
  <c r="T456" i="9"/>
  <c r="W456" i="9" s="1"/>
  <c r="X456" i="9" s="1"/>
  <c r="Y456" i="9" s="1"/>
  <c r="Z412" i="9"/>
  <c r="AG412" i="9" s="1"/>
  <c r="T412" i="9"/>
  <c r="W412" i="9" s="1"/>
  <c r="X412" i="9" s="1"/>
  <c r="Y412" i="9" s="1"/>
  <c r="Z372" i="9"/>
  <c r="AG372" i="9" s="1"/>
  <c r="T372" i="9"/>
  <c r="W372" i="9" s="1"/>
  <c r="X372" i="9" s="1"/>
  <c r="Y372" i="9" s="1"/>
  <c r="Z328" i="9"/>
  <c r="AG328" i="9" s="1"/>
  <c r="T328" i="9"/>
  <c r="W328" i="9" s="1"/>
  <c r="X328" i="9" s="1"/>
  <c r="Y328" i="9" s="1"/>
  <c r="Z284" i="9"/>
  <c r="AG284" i="9" s="1"/>
  <c r="T284" i="9"/>
  <c r="W284" i="9" s="1"/>
  <c r="X284" i="9" s="1"/>
  <c r="Y284" i="9" s="1"/>
  <c r="Z244" i="9"/>
  <c r="AG244" i="9" s="1"/>
  <c r="T244" i="9"/>
  <c r="W244" i="9" s="1"/>
  <c r="X244" i="9" s="1"/>
  <c r="Y244" i="9" s="1"/>
  <c r="Z200" i="9"/>
  <c r="AG200" i="9" s="1"/>
  <c r="T200" i="9"/>
  <c r="W200" i="9" s="1"/>
  <c r="X200" i="9" s="1"/>
  <c r="Y200" i="9" s="1"/>
  <c r="Z156" i="9"/>
  <c r="AG156" i="9" s="1"/>
  <c r="T156" i="9"/>
  <c r="W156" i="9" s="1"/>
  <c r="X156" i="9" s="1"/>
  <c r="Y156" i="9" s="1"/>
  <c r="T116" i="9"/>
  <c r="W116" i="9" s="1"/>
  <c r="X116" i="9" s="1"/>
  <c r="Y116" i="9" s="1"/>
  <c r="Z116" i="9"/>
  <c r="AG116" i="9" s="1"/>
  <c r="Z370" i="9"/>
  <c r="AG370" i="9" s="1"/>
  <c r="T370" i="9"/>
  <c r="W370" i="9" s="1"/>
  <c r="X370" i="9" s="1"/>
  <c r="Y370" i="9" s="1"/>
  <c r="Z327" i="9"/>
  <c r="AG327" i="9" s="1"/>
  <c r="T327" i="9"/>
  <c r="W327" i="9" s="1"/>
  <c r="X327" i="9" s="1"/>
  <c r="Y327" i="9" s="1"/>
  <c r="Z258" i="9"/>
  <c r="AG258" i="9" s="1"/>
  <c r="T258" i="9"/>
  <c r="W258" i="9" s="1"/>
  <c r="X258" i="9" s="1"/>
  <c r="Y258" i="9" s="1"/>
  <c r="Z189" i="9"/>
  <c r="AG189" i="9" s="1"/>
  <c r="T189" i="9"/>
  <c r="W189" i="9" s="1"/>
  <c r="X189" i="9" s="1"/>
  <c r="Y189" i="9" s="1"/>
  <c r="Z109" i="9"/>
  <c r="AG109" i="9" s="1"/>
  <c r="T109" i="9"/>
  <c r="W109" i="9" s="1"/>
  <c r="X109" i="9" s="1"/>
  <c r="Y109" i="9" s="1"/>
  <c r="T701" i="9"/>
  <c r="W701" i="9" s="1"/>
  <c r="X701" i="9" s="1"/>
  <c r="Y701" i="9" s="1"/>
  <c r="Z701" i="9"/>
  <c r="AG701" i="9" s="1"/>
  <c r="Z673" i="9"/>
  <c r="AG673" i="9" s="1"/>
  <c r="T673" i="9"/>
  <c r="W673" i="9" s="1"/>
  <c r="X673" i="9" s="1"/>
  <c r="Y673" i="9" s="1"/>
  <c r="Z641" i="9"/>
  <c r="AG641" i="9" s="1"/>
  <c r="T641" i="9"/>
  <c r="W641" i="9" s="1"/>
  <c r="X641" i="9" s="1"/>
  <c r="Y641" i="9" s="1"/>
  <c r="Z609" i="9"/>
  <c r="AG609" i="9" s="1"/>
  <c r="T609" i="9"/>
  <c r="W609" i="9" s="1"/>
  <c r="X609" i="9" s="1"/>
  <c r="Y609" i="9" s="1"/>
  <c r="Z570" i="9"/>
  <c r="AG570" i="9" s="1"/>
  <c r="T570" i="9"/>
  <c r="W570" i="9" s="1"/>
  <c r="X570" i="9" s="1"/>
  <c r="Y570" i="9" s="1"/>
  <c r="T517" i="9"/>
  <c r="W517" i="9" s="1"/>
  <c r="X517" i="9" s="1"/>
  <c r="Y517" i="9" s="1"/>
  <c r="Z517" i="9"/>
  <c r="AG517" i="9" s="1"/>
  <c r="T474" i="9"/>
  <c r="W474" i="9" s="1"/>
  <c r="X474" i="9" s="1"/>
  <c r="Y474" i="9" s="1"/>
  <c r="Z474" i="9"/>
  <c r="AG474" i="9" s="1"/>
  <c r="Z431" i="9"/>
  <c r="AG431" i="9" s="1"/>
  <c r="T431" i="9"/>
  <c r="W431" i="9" s="1"/>
  <c r="X431" i="9" s="1"/>
  <c r="Y431" i="9" s="1"/>
  <c r="T389" i="9"/>
  <c r="W389" i="9" s="1"/>
  <c r="X389" i="9" s="1"/>
  <c r="Y389" i="9" s="1"/>
  <c r="Z389" i="9"/>
  <c r="AG389" i="9" s="1"/>
  <c r="Z346" i="9"/>
  <c r="AG346" i="9" s="1"/>
  <c r="T346" i="9"/>
  <c r="W346" i="9" s="1"/>
  <c r="X346" i="9" s="1"/>
  <c r="Y346" i="9" s="1"/>
  <c r="Z303" i="9"/>
  <c r="AG303" i="9" s="1"/>
  <c r="T303" i="9"/>
  <c r="W303" i="9" s="1"/>
  <c r="X303" i="9" s="1"/>
  <c r="Y303" i="9" s="1"/>
  <c r="Z255" i="9"/>
  <c r="AG255" i="9" s="1"/>
  <c r="T255" i="9"/>
  <c r="W255" i="9" s="1"/>
  <c r="X255" i="9" s="1"/>
  <c r="Y255" i="9" s="1"/>
  <c r="T213" i="9"/>
  <c r="W213" i="9" s="1"/>
  <c r="X213" i="9" s="1"/>
  <c r="Y213" i="9" s="1"/>
  <c r="Z213" i="9"/>
  <c r="AG213" i="9" s="1"/>
  <c r="Z175" i="9"/>
  <c r="AG175" i="9" s="1"/>
  <c r="T175" i="9"/>
  <c r="W175" i="9" s="1"/>
  <c r="X175" i="9" s="1"/>
  <c r="Y175" i="9" s="1"/>
  <c r="Z149" i="9"/>
  <c r="AG149" i="9" s="1"/>
  <c r="T149" i="9"/>
  <c r="W149" i="9" s="1"/>
  <c r="X149" i="9" s="1"/>
  <c r="Y149" i="9" s="1"/>
  <c r="Z127" i="9"/>
  <c r="AG127" i="9" s="1"/>
  <c r="T127" i="9"/>
  <c r="W127" i="9" s="1"/>
  <c r="X127" i="9" s="1"/>
  <c r="Y127" i="9" s="1"/>
  <c r="Z106" i="9"/>
  <c r="AG106" i="9" s="1"/>
  <c r="T106" i="9"/>
  <c r="W106" i="9" s="1"/>
  <c r="X106" i="9" s="1"/>
  <c r="Y106" i="9" s="1"/>
  <c r="Z724" i="9"/>
  <c r="AG724" i="9" s="1"/>
  <c r="T724" i="9"/>
  <c r="W724" i="9" s="1"/>
  <c r="X724" i="9" s="1"/>
  <c r="Y724" i="9" s="1"/>
  <c r="Z708" i="9"/>
  <c r="AG708" i="9" s="1"/>
  <c r="T708" i="9"/>
  <c r="W708" i="9" s="1"/>
  <c r="X708" i="9" s="1"/>
  <c r="Y708" i="9" s="1"/>
  <c r="Z692" i="9"/>
  <c r="AG692" i="9" s="1"/>
  <c r="T692" i="9"/>
  <c r="W692" i="9" s="1"/>
  <c r="X692" i="9" s="1"/>
  <c r="Y692" i="9" s="1"/>
  <c r="Z676" i="9"/>
  <c r="AG676" i="9" s="1"/>
  <c r="T676" i="9"/>
  <c r="W676" i="9" s="1"/>
  <c r="X676" i="9" s="1"/>
  <c r="Y676" i="9" s="1"/>
  <c r="Z660" i="9"/>
  <c r="AG660" i="9" s="1"/>
  <c r="T660" i="9"/>
  <c r="W660" i="9" s="1"/>
  <c r="X660" i="9" s="1"/>
  <c r="Y660" i="9" s="1"/>
  <c r="Z644" i="9"/>
  <c r="AG644" i="9" s="1"/>
  <c r="T644" i="9"/>
  <c r="W644" i="9" s="1"/>
  <c r="X644" i="9" s="1"/>
  <c r="Y644" i="9" s="1"/>
  <c r="Z628" i="9"/>
  <c r="AG628" i="9" s="1"/>
  <c r="T628" i="9"/>
  <c r="W628" i="9" s="1"/>
  <c r="X628" i="9" s="1"/>
  <c r="Y628" i="9" s="1"/>
  <c r="Z612" i="9"/>
  <c r="AG612" i="9" s="1"/>
  <c r="T612" i="9"/>
  <c r="W612" i="9" s="1"/>
  <c r="X612" i="9" s="1"/>
  <c r="Y612" i="9" s="1"/>
  <c r="Z595" i="9"/>
  <c r="AG595" i="9" s="1"/>
  <c r="T595" i="9"/>
  <c r="W595" i="9" s="1"/>
  <c r="X595" i="9" s="1"/>
  <c r="Y595" i="9" s="1"/>
  <c r="Z574" i="9"/>
  <c r="AG574" i="9" s="1"/>
  <c r="T574" i="9"/>
  <c r="W574" i="9" s="1"/>
  <c r="X574" i="9" s="1"/>
  <c r="Y574" i="9" s="1"/>
  <c r="Z542" i="9"/>
  <c r="AG542" i="9" s="1"/>
  <c r="T542" i="9"/>
  <c r="W542" i="9" s="1"/>
  <c r="X542" i="9" s="1"/>
  <c r="Y542" i="9" s="1"/>
  <c r="Z515" i="9"/>
  <c r="AG515" i="9" s="1"/>
  <c r="T515" i="9"/>
  <c r="W515" i="9" s="1"/>
  <c r="X515" i="9" s="1"/>
  <c r="Y515" i="9" s="1"/>
  <c r="Z489" i="9"/>
  <c r="AG489" i="9" s="1"/>
  <c r="T489" i="9"/>
  <c r="W489" i="9" s="1"/>
  <c r="X489" i="9" s="1"/>
  <c r="Y489" i="9" s="1"/>
  <c r="Z457" i="9"/>
  <c r="AG457" i="9" s="1"/>
  <c r="T457" i="9"/>
  <c r="W457" i="9" s="1"/>
  <c r="X457" i="9" s="1"/>
  <c r="Y457" i="9" s="1"/>
  <c r="Z430" i="9"/>
  <c r="AG430" i="9" s="1"/>
  <c r="T430" i="9"/>
  <c r="W430" i="9" s="1"/>
  <c r="X430" i="9" s="1"/>
  <c r="Y430" i="9" s="1"/>
  <c r="Z403" i="9"/>
  <c r="AG403" i="9" s="1"/>
  <c r="T403" i="9"/>
  <c r="W403" i="9" s="1"/>
  <c r="X403" i="9" s="1"/>
  <c r="Y403" i="9" s="1"/>
  <c r="Z371" i="9"/>
  <c r="AG371" i="9" s="1"/>
  <c r="T371" i="9"/>
  <c r="W371" i="9" s="1"/>
  <c r="X371" i="9" s="1"/>
  <c r="Y371" i="9" s="1"/>
  <c r="Z345" i="9"/>
  <c r="AG345" i="9" s="1"/>
  <c r="T345" i="9"/>
  <c r="W345" i="9" s="1"/>
  <c r="X345" i="9" s="1"/>
  <c r="Y345" i="9" s="1"/>
  <c r="Z318" i="9"/>
  <c r="AG318" i="9" s="1"/>
  <c r="T318" i="9"/>
  <c r="W318" i="9" s="1"/>
  <c r="X318" i="9" s="1"/>
  <c r="Y318" i="9" s="1"/>
  <c r="Z286" i="9"/>
  <c r="AG286" i="9" s="1"/>
  <c r="T286" i="9"/>
  <c r="W286" i="9" s="1"/>
  <c r="X286" i="9" s="1"/>
  <c r="Y286" i="9" s="1"/>
  <c r="Z259" i="9"/>
  <c r="AG259" i="9" s="1"/>
  <c r="T259" i="9"/>
  <c r="W259" i="9" s="1"/>
  <c r="X259" i="9" s="1"/>
  <c r="Y259" i="9" s="1"/>
  <c r="Z233" i="9"/>
  <c r="AG233" i="9" s="1"/>
  <c r="T233" i="9"/>
  <c r="W233" i="9" s="1"/>
  <c r="X233" i="9" s="1"/>
  <c r="Y233" i="9" s="1"/>
  <c r="T201" i="9"/>
  <c r="W201" i="9" s="1"/>
  <c r="X201" i="9" s="1"/>
  <c r="Y201" i="9" s="1"/>
  <c r="Z201" i="9"/>
  <c r="AG201" i="9" s="1"/>
  <c r="Z174" i="9"/>
  <c r="AG174" i="9" s="1"/>
  <c r="T174" i="9"/>
  <c r="W174" i="9" s="1"/>
  <c r="X174" i="9" s="1"/>
  <c r="Y174" i="9" s="1"/>
  <c r="Z147" i="9"/>
  <c r="AG147" i="9" s="1"/>
  <c r="T147" i="9"/>
  <c r="W147" i="9" s="1"/>
  <c r="X147" i="9" s="1"/>
  <c r="Y147" i="9" s="1"/>
  <c r="Z115" i="9"/>
  <c r="AG115" i="9" s="1"/>
  <c r="T115" i="9"/>
  <c r="W115" i="9" s="1"/>
  <c r="X115" i="9" s="1"/>
  <c r="Y115" i="9" s="1"/>
  <c r="Z89" i="9"/>
  <c r="AG89" i="9" s="1"/>
  <c r="T89" i="9"/>
  <c r="W89" i="9" s="1"/>
  <c r="X89" i="9" s="1"/>
  <c r="Y89" i="9" s="1"/>
  <c r="Z699" i="9"/>
  <c r="AG699" i="9" s="1"/>
  <c r="T699" i="9"/>
  <c r="W699" i="9" s="1"/>
  <c r="X699" i="9" s="1"/>
  <c r="Y699" i="9" s="1"/>
  <c r="Z659" i="9"/>
  <c r="AG659" i="9" s="1"/>
  <c r="T659" i="9"/>
  <c r="W659" i="9" s="1"/>
  <c r="X659" i="9" s="1"/>
  <c r="Y659" i="9" s="1"/>
  <c r="Z627" i="9"/>
  <c r="AG627" i="9" s="1"/>
  <c r="T627" i="9"/>
  <c r="W627" i="9" s="1"/>
  <c r="X627" i="9" s="1"/>
  <c r="Y627" i="9" s="1"/>
  <c r="Z589" i="9"/>
  <c r="AG589" i="9" s="1"/>
  <c r="T589" i="9"/>
  <c r="W589" i="9" s="1"/>
  <c r="X589" i="9" s="1"/>
  <c r="Y589" i="9" s="1"/>
  <c r="Z519" i="9"/>
  <c r="AG519" i="9" s="1"/>
  <c r="T519" i="9"/>
  <c r="W519" i="9" s="1"/>
  <c r="X519" i="9" s="1"/>
  <c r="Y519" i="9" s="1"/>
  <c r="Z439" i="9"/>
  <c r="AG439" i="9" s="1"/>
  <c r="T439" i="9"/>
  <c r="W439" i="9" s="1"/>
  <c r="X439" i="9" s="1"/>
  <c r="Y439" i="9" s="1"/>
  <c r="T365" i="9"/>
  <c r="W365" i="9" s="1"/>
  <c r="X365" i="9" s="1"/>
  <c r="Y365" i="9" s="1"/>
  <c r="Z365" i="9"/>
  <c r="AG365" i="9" s="1"/>
  <c r="Z231" i="9"/>
  <c r="AG231" i="9" s="1"/>
  <c r="T231" i="9"/>
  <c r="W231" i="9" s="1"/>
  <c r="X231" i="9" s="1"/>
  <c r="Y231" i="9" s="1"/>
  <c r="Z125" i="9"/>
  <c r="AG125" i="9" s="1"/>
  <c r="T125" i="9"/>
  <c r="W125" i="9" s="1"/>
  <c r="X125" i="9" s="1"/>
  <c r="Y125" i="9" s="1"/>
  <c r="Z691" i="9"/>
  <c r="AG691" i="9" s="1"/>
  <c r="T691" i="9"/>
  <c r="W691" i="9" s="1"/>
  <c r="X691" i="9" s="1"/>
  <c r="Y691" i="9" s="1"/>
  <c r="Z631" i="9"/>
  <c r="AG631" i="9" s="1"/>
  <c r="T631" i="9"/>
  <c r="W631" i="9" s="1"/>
  <c r="X631" i="9" s="1"/>
  <c r="Y631" i="9" s="1"/>
  <c r="Z578" i="9"/>
  <c r="AG578" i="9" s="1"/>
  <c r="T578" i="9"/>
  <c r="W578" i="9" s="1"/>
  <c r="X578" i="9" s="1"/>
  <c r="Y578" i="9" s="1"/>
  <c r="T509" i="9"/>
  <c r="W509" i="9" s="1"/>
  <c r="X509" i="9" s="1"/>
  <c r="Y509" i="9" s="1"/>
  <c r="Z509" i="9"/>
  <c r="AG509" i="9" s="1"/>
  <c r="Z391" i="9"/>
  <c r="AG391" i="9" s="1"/>
  <c r="T391" i="9"/>
  <c r="W391" i="9" s="1"/>
  <c r="X391" i="9" s="1"/>
  <c r="Y391" i="9" s="1"/>
  <c r="Z269" i="9"/>
  <c r="AG269" i="9" s="1"/>
  <c r="T269" i="9"/>
  <c r="W269" i="9" s="1"/>
  <c r="X269" i="9" s="1"/>
  <c r="Y269" i="9" s="1"/>
  <c r="Z162" i="9"/>
  <c r="AG162" i="9" s="1"/>
  <c r="T162" i="9"/>
  <c r="W162" i="9" s="1"/>
  <c r="X162" i="9" s="1"/>
  <c r="Y162" i="9" s="1"/>
  <c r="Z718" i="9"/>
  <c r="AG718" i="9" s="1"/>
  <c r="T718" i="9"/>
  <c r="W718" i="9" s="1"/>
  <c r="X718" i="9" s="1"/>
  <c r="Y718" i="9" s="1"/>
  <c r="Z698" i="9"/>
  <c r="AG698" i="9" s="1"/>
  <c r="T698" i="9"/>
  <c r="W698" i="9" s="1"/>
  <c r="X698" i="9" s="1"/>
  <c r="Y698" i="9" s="1"/>
  <c r="Z678" i="9"/>
  <c r="AG678" i="9" s="1"/>
  <c r="T678" i="9"/>
  <c r="W678" i="9" s="1"/>
  <c r="X678" i="9" s="1"/>
  <c r="Y678" i="9" s="1"/>
  <c r="Z654" i="9"/>
  <c r="AG654" i="9" s="1"/>
  <c r="T654" i="9"/>
  <c r="W654" i="9" s="1"/>
  <c r="X654" i="9" s="1"/>
  <c r="Y654" i="9" s="1"/>
  <c r="Z634" i="9"/>
  <c r="AG634" i="9" s="1"/>
  <c r="T634" i="9"/>
  <c r="W634" i="9" s="1"/>
  <c r="X634" i="9" s="1"/>
  <c r="Y634" i="9" s="1"/>
  <c r="Z614" i="9"/>
  <c r="AG614" i="9" s="1"/>
  <c r="T614" i="9"/>
  <c r="W614" i="9" s="1"/>
  <c r="X614" i="9" s="1"/>
  <c r="Y614" i="9" s="1"/>
  <c r="Z587" i="9"/>
  <c r="AG587" i="9" s="1"/>
  <c r="T587" i="9"/>
  <c r="W587" i="9" s="1"/>
  <c r="X587" i="9" s="1"/>
  <c r="Y587" i="9" s="1"/>
  <c r="Z561" i="9"/>
  <c r="AG561" i="9" s="1"/>
  <c r="T561" i="9"/>
  <c r="W561" i="9" s="1"/>
  <c r="X561" i="9" s="1"/>
  <c r="Y561" i="9" s="1"/>
  <c r="Z534" i="9"/>
  <c r="AG534" i="9" s="1"/>
  <c r="T534" i="9"/>
  <c r="W534" i="9" s="1"/>
  <c r="X534" i="9" s="1"/>
  <c r="Y534" i="9" s="1"/>
  <c r="Z502" i="9"/>
  <c r="AG502" i="9" s="1"/>
  <c r="T502" i="9"/>
  <c r="W502" i="9" s="1"/>
  <c r="X502" i="9" s="1"/>
  <c r="Y502" i="9" s="1"/>
  <c r="Z475" i="9"/>
  <c r="AG475" i="9" s="1"/>
  <c r="T475" i="9"/>
  <c r="W475" i="9" s="1"/>
  <c r="X475" i="9" s="1"/>
  <c r="Y475" i="9" s="1"/>
  <c r="Z449" i="9"/>
  <c r="AG449" i="9" s="1"/>
  <c r="T449" i="9"/>
  <c r="W449" i="9" s="1"/>
  <c r="X449" i="9" s="1"/>
  <c r="Y449" i="9" s="1"/>
  <c r="Z417" i="9"/>
  <c r="AG417" i="9" s="1"/>
  <c r="T417" i="9"/>
  <c r="W417" i="9" s="1"/>
  <c r="X417" i="9" s="1"/>
  <c r="Y417" i="9" s="1"/>
  <c r="Z390" i="9"/>
  <c r="AG390" i="9" s="1"/>
  <c r="T390" i="9"/>
  <c r="W390" i="9" s="1"/>
  <c r="X390" i="9" s="1"/>
  <c r="Y390" i="9" s="1"/>
  <c r="Z363" i="9"/>
  <c r="AG363" i="9" s="1"/>
  <c r="T363" i="9"/>
  <c r="W363" i="9" s="1"/>
  <c r="X363" i="9" s="1"/>
  <c r="Y363" i="9" s="1"/>
  <c r="Z331" i="9"/>
  <c r="AG331" i="9" s="1"/>
  <c r="T331" i="9"/>
  <c r="W331" i="9" s="1"/>
  <c r="X331" i="9" s="1"/>
  <c r="Y331" i="9" s="1"/>
  <c r="Z305" i="9"/>
  <c r="AG305" i="9" s="1"/>
  <c r="T305" i="9"/>
  <c r="W305" i="9" s="1"/>
  <c r="X305" i="9" s="1"/>
  <c r="Y305" i="9" s="1"/>
  <c r="Z278" i="9"/>
  <c r="AG278" i="9" s="1"/>
  <c r="T278" i="9"/>
  <c r="W278" i="9" s="1"/>
  <c r="X278" i="9" s="1"/>
  <c r="Y278" i="9" s="1"/>
  <c r="Z246" i="9"/>
  <c r="AG246" i="9" s="1"/>
  <c r="T246" i="9"/>
  <c r="W246" i="9" s="1"/>
  <c r="X246" i="9" s="1"/>
  <c r="Y246" i="9" s="1"/>
  <c r="T219" i="9"/>
  <c r="W219" i="9" s="1"/>
  <c r="X219" i="9" s="1"/>
  <c r="Y219" i="9" s="1"/>
  <c r="Z219" i="9"/>
  <c r="AG219" i="9" s="1"/>
  <c r="T193" i="9"/>
  <c r="W193" i="9" s="1"/>
  <c r="X193" i="9" s="1"/>
  <c r="Y193" i="9" s="1"/>
  <c r="Z193" i="9"/>
  <c r="AG193" i="9" s="1"/>
  <c r="Z161" i="9"/>
  <c r="AG161" i="9" s="1"/>
  <c r="T161" i="9"/>
  <c r="W161" i="9" s="1"/>
  <c r="X161" i="9" s="1"/>
  <c r="Y161" i="9" s="1"/>
  <c r="Z134" i="9"/>
  <c r="AG134" i="9" s="1"/>
  <c r="T134" i="9"/>
  <c r="W134" i="9" s="1"/>
  <c r="X134" i="9" s="1"/>
  <c r="Y134" i="9" s="1"/>
  <c r="Z107" i="9"/>
  <c r="AG107" i="9" s="1"/>
  <c r="T107" i="9"/>
  <c r="W107" i="9" s="1"/>
  <c r="X107" i="9" s="1"/>
  <c r="Y107" i="9" s="1"/>
  <c r="Z285" i="9"/>
  <c r="AG285" i="9" s="1"/>
  <c r="T285" i="9"/>
  <c r="W285" i="9" s="1"/>
  <c r="X285" i="9" s="1"/>
  <c r="Y285" i="9" s="1"/>
  <c r="Z157" i="9"/>
  <c r="AG157" i="9" s="1"/>
  <c r="T157" i="9"/>
  <c r="W157" i="9" s="1"/>
  <c r="X157" i="9" s="1"/>
  <c r="Y157" i="9" s="1"/>
  <c r="Z87" i="9"/>
  <c r="AG87" i="9" s="1"/>
  <c r="T87" i="9"/>
  <c r="W87" i="9" s="1"/>
  <c r="X87" i="9" s="1"/>
  <c r="Y87" i="9" s="1"/>
  <c r="Z685" i="9"/>
  <c r="AG685" i="9" s="1"/>
  <c r="T685" i="9"/>
  <c r="W685" i="9" s="1"/>
  <c r="X685" i="9" s="1"/>
  <c r="Y685" i="9" s="1"/>
  <c r="T645" i="9"/>
  <c r="W645" i="9" s="1"/>
  <c r="X645" i="9" s="1"/>
  <c r="Y645" i="9" s="1"/>
  <c r="Z645" i="9"/>
  <c r="AG645" i="9" s="1"/>
  <c r="Z605" i="9"/>
  <c r="AG605" i="9" s="1"/>
  <c r="T605" i="9"/>
  <c r="W605" i="9" s="1"/>
  <c r="X605" i="9" s="1"/>
  <c r="Y605" i="9" s="1"/>
  <c r="Z554" i="9"/>
  <c r="AG554" i="9" s="1"/>
  <c r="T554" i="9"/>
  <c r="W554" i="9" s="1"/>
  <c r="X554" i="9" s="1"/>
  <c r="Y554" i="9" s="1"/>
  <c r="T501" i="9"/>
  <c r="W501" i="9" s="1"/>
  <c r="X501" i="9" s="1"/>
  <c r="Y501" i="9" s="1"/>
  <c r="Z501" i="9"/>
  <c r="AG501" i="9" s="1"/>
  <c r="Z447" i="9"/>
  <c r="AG447" i="9" s="1"/>
  <c r="T447" i="9"/>
  <c r="W447" i="9" s="1"/>
  <c r="X447" i="9" s="1"/>
  <c r="Y447" i="9" s="1"/>
  <c r="Z383" i="9"/>
  <c r="AG383" i="9" s="1"/>
  <c r="T383" i="9"/>
  <c r="W383" i="9" s="1"/>
  <c r="X383" i="9" s="1"/>
  <c r="Y383" i="9" s="1"/>
  <c r="Z330" i="9"/>
  <c r="AG330" i="9" s="1"/>
  <c r="T330" i="9"/>
  <c r="W330" i="9" s="1"/>
  <c r="X330" i="9" s="1"/>
  <c r="Y330" i="9" s="1"/>
  <c r="Z282" i="9"/>
  <c r="AG282" i="9" s="1"/>
  <c r="T282" i="9"/>
  <c r="W282" i="9" s="1"/>
  <c r="X282" i="9" s="1"/>
  <c r="Y282" i="9" s="1"/>
  <c r="Z218" i="9"/>
  <c r="AG218" i="9" s="1"/>
  <c r="T218" i="9"/>
  <c r="W218" i="9" s="1"/>
  <c r="X218" i="9" s="1"/>
  <c r="Y218" i="9" s="1"/>
  <c r="Z90" i="9"/>
  <c r="AG90" i="9" s="1"/>
  <c r="T90" i="9"/>
  <c r="W90" i="9" s="1"/>
  <c r="X90" i="9" s="1"/>
  <c r="Y90" i="9" s="1"/>
  <c r="Z580" i="9"/>
  <c r="AG580" i="9" s="1"/>
  <c r="T580" i="9"/>
  <c r="W580" i="9" s="1"/>
  <c r="X580" i="9" s="1"/>
  <c r="Y580" i="9" s="1"/>
  <c r="Z556" i="9"/>
  <c r="AG556" i="9" s="1"/>
  <c r="T556" i="9"/>
  <c r="W556" i="9" s="1"/>
  <c r="X556" i="9" s="1"/>
  <c r="Y556" i="9" s="1"/>
  <c r="Z536" i="9"/>
  <c r="AG536" i="9" s="1"/>
  <c r="T536" i="9"/>
  <c r="W536" i="9" s="1"/>
  <c r="X536" i="9" s="1"/>
  <c r="Y536" i="9" s="1"/>
  <c r="Z516" i="9"/>
  <c r="AG516" i="9" s="1"/>
  <c r="T516" i="9"/>
  <c r="W516" i="9" s="1"/>
  <c r="X516" i="9" s="1"/>
  <c r="Y516" i="9" s="1"/>
  <c r="Z492" i="9"/>
  <c r="AG492" i="9" s="1"/>
  <c r="T492" i="9"/>
  <c r="W492" i="9" s="1"/>
  <c r="X492" i="9" s="1"/>
  <c r="Y492" i="9" s="1"/>
  <c r="T472" i="9"/>
  <c r="W472" i="9" s="1"/>
  <c r="X472" i="9" s="1"/>
  <c r="Y472" i="9" s="1"/>
  <c r="Z472" i="9"/>
  <c r="AG472" i="9" s="1"/>
  <c r="Z452" i="9"/>
  <c r="AG452" i="9" s="1"/>
  <c r="T452" i="9"/>
  <c r="W452" i="9" s="1"/>
  <c r="X452" i="9" s="1"/>
  <c r="Y452" i="9" s="1"/>
  <c r="Z428" i="9"/>
  <c r="AG428" i="9" s="1"/>
  <c r="T428" i="9"/>
  <c r="W428" i="9" s="1"/>
  <c r="X428" i="9" s="1"/>
  <c r="Y428" i="9" s="1"/>
  <c r="Z408" i="9"/>
  <c r="AG408" i="9" s="1"/>
  <c r="T408" i="9"/>
  <c r="W408" i="9" s="1"/>
  <c r="X408" i="9" s="1"/>
  <c r="Y408" i="9" s="1"/>
  <c r="Z388" i="9"/>
  <c r="AG388" i="9" s="1"/>
  <c r="T388" i="9"/>
  <c r="W388" i="9" s="1"/>
  <c r="X388" i="9" s="1"/>
  <c r="Y388" i="9" s="1"/>
  <c r="T364" i="9"/>
  <c r="W364" i="9" s="1"/>
  <c r="X364" i="9" s="1"/>
  <c r="Y364" i="9" s="1"/>
  <c r="Z364" i="9"/>
  <c r="AG364" i="9" s="1"/>
  <c r="Z344" i="9"/>
  <c r="AG344" i="9" s="1"/>
  <c r="T344" i="9"/>
  <c r="W344" i="9" s="1"/>
  <c r="X344" i="9" s="1"/>
  <c r="Y344" i="9" s="1"/>
  <c r="Z324" i="9"/>
  <c r="AG324" i="9" s="1"/>
  <c r="T324" i="9"/>
  <c r="W324" i="9" s="1"/>
  <c r="X324" i="9" s="1"/>
  <c r="Y324" i="9" s="1"/>
  <c r="T300" i="9"/>
  <c r="W300" i="9" s="1"/>
  <c r="X300" i="9" s="1"/>
  <c r="Y300" i="9" s="1"/>
  <c r="Z300" i="9"/>
  <c r="AG300" i="9" s="1"/>
  <c r="Z280" i="9"/>
  <c r="AG280" i="9" s="1"/>
  <c r="T280" i="9"/>
  <c r="W280" i="9" s="1"/>
  <c r="X280" i="9" s="1"/>
  <c r="Y280" i="9" s="1"/>
  <c r="Z260" i="9"/>
  <c r="AG260" i="9" s="1"/>
  <c r="T260" i="9"/>
  <c r="W260" i="9" s="1"/>
  <c r="X260" i="9" s="1"/>
  <c r="Y260" i="9" s="1"/>
  <c r="Z236" i="9"/>
  <c r="AG236" i="9" s="1"/>
  <c r="T236" i="9"/>
  <c r="W236" i="9" s="1"/>
  <c r="X236" i="9" s="1"/>
  <c r="Y236" i="9" s="1"/>
  <c r="Z216" i="9"/>
  <c r="AG216" i="9" s="1"/>
  <c r="T216" i="9"/>
  <c r="W216" i="9" s="1"/>
  <c r="X216" i="9" s="1"/>
  <c r="Y216" i="9" s="1"/>
  <c r="Z196" i="9"/>
  <c r="AG196" i="9" s="1"/>
  <c r="T196" i="9"/>
  <c r="W196" i="9" s="1"/>
  <c r="X196" i="9" s="1"/>
  <c r="Y196" i="9" s="1"/>
  <c r="Z172" i="9"/>
  <c r="AG172" i="9" s="1"/>
  <c r="T172" i="9"/>
  <c r="W172" i="9" s="1"/>
  <c r="X172" i="9" s="1"/>
  <c r="Y172" i="9" s="1"/>
  <c r="T152" i="9"/>
  <c r="W152" i="9" s="1"/>
  <c r="X152" i="9" s="1"/>
  <c r="Y152" i="9" s="1"/>
  <c r="Z152" i="9"/>
  <c r="AG152" i="9" s="1"/>
  <c r="T132" i="9"/>
  <c r="W132" i="9" s="1"/>
  <c r="X132" i="9" s="1"/>
  <c r="Y132" i="9" s="1"/>
  <c r="Z132" i="9"/>
  <c r="AG132" i="9" s="1"/>
  <c r="Z108" i="9"/>
  <c r="AG108" i="9" s="1"/>
  <c r="T108" i="9"/>
  <c r="W108" i="9" s="1"/>
  <c r="X108" i="9" s="1"/>
  <c r="Y108" i="9" s="1"/>
  <c r="Z525" i="9"/>
  <c r="AG525" i="9" s="1"/>
  <c r="T525" i="9"/>
  <c r="W525" i="9" s="1"/>
  <c r="X525" i="9" s="1"/>
  <c r="Y525" i="9" s="1"/>
  <c r="Z471" i="9"/>
  <c r="AG471" i="9" s="1"/>
  <c r="T471" i="9"/>
  <c r="W471" i="9" s="1"/>
  <c r="X471" i="9" s="1"/>
  <c r="Y471" i="9" s="1"/>
  <c r="T418" i="9"/>
  <c r="W418" i="9" s="1"/>
  <c r="X418" i="9" s="1"/>
  <c r="Y418" i="9" s="1"/>
  <c r="Z418" i="9"/>
  <c r="AG418" i="9" s="1"/>
  <c r="T359" i="9"/>
  <c r="W359" i="9" s="1"/>
  <c r="X359" i="9" s="1"/>
  <c r="Y359" i="9" s="1"/>
  <c r="Z359" i="9"/>
  <c r="AG359" i="9" s="1"/>
  <c r="T311" i="9"/>
  <c r="W311" i="9" s="1"/>
  <c r="X311" i="9" s="1"/>
  <c r="Y311" i="9" s="1"/>
  <c r="Z311" i="9"/>
  <c r="AG311" i="9" s="1"/>
  <c r="Z237" i="9"/>
  <c r="AG237" i="9" s="1"/>
  <c r="T237" i="9"/>
  <c r="W237" i="9" s="1"/>
  <c r="X237" i="9" s="1"/>
  <c r="Y237" i="9" s="1"/>
  <c r="Z173" i="9"/>
  <c r="AG173" i="9" s="1"/>
  <c r="T173" i="9"/>
  <c r="W173" i="9" s="1"/>
  <c r="X173" i="9" s="1"/>
  <c r="Y173" i="9" s="1"/>
  <c r="T725" i="9"/>
  <c r="W725" i="9" s="1"/>
  <c r="X725" i="9" s="1"/>
  <c r="Y725" i="9" s="1"/>
  <c r="Z725" i="9"/>
  <c r="AG725" i="9" s="1"/>
  <c r="T697" i="9"/>
  <c r="W697" i="9" s="1"/>
  <c r="X697" i="9" s="1"/>
  <c r="Y697" i="9" s="1"/>
  <c r="Z697" i="9"/>
  <c r="AG697" i="9" s="1"/>
  <c r="T665" i="9"/>
  <c r="W665" i="9" s="1"/>
  <c r="X665" i="9" s="1"/>
  <c r="Y665" i="9" s="1"/>
  <c r="Z665" i="9"/>
  <c r="AG665" i="9" s="1"/>
  <c r="Z633" i="9"/>
  <c r="AG633" i="9" s="1"/>
  <c r="T633" i="9"/>
  <c r="W633" i="9" s="1"/>
  <c r="X633" i="9" s="1"/>
  <c r="Y633" i="9" s="1"/>
  <c r="T601" i="9"/>
  <c r="W601" i="9" s="1"/>
  <c r="X601" i="9" s="1"/>
  <c r="Y601" i="9" s="1"/>
  <c r="Z601" i="9"/>
  <c r="AG601" i="9" s="1"/>
  <c r="Z549" i="9"/>
  <c r="AG549" i="9" s="1"/>
  <c r="T549" i="9"/>
  <c r="W549" i="9" s="1"/>
  <c r="X549" i="9" s="1"/>
  <c r="Y549" i="9" s="1"/>
  <c r="Z506" i="9"/>
  <c r="AG506" i="9" s="1"/>
  <c r="T506" i="9"/>
  <c r="W506" i="9" s="1"/>
  <c r="X506" i="9" s="1"/>
  <c r="Y506" i="9" s="1"/>
  <c r="Z463" i="9"/>
  <c r="AG463" i="9" s="1"/>
  <c r="T463" i="9"/>
  <c r="W463" i="9" s="1"/>
  <c r="X463" i="9" s="1"/>
  <c r="Y463" i="9" s="1"/>
  <c r="T421" i="9"/>
  <c r="W421" i="9" s="1"/>
  <c r="X421" i="9" s="1"/>
  <c r="Y421" i="9" s="1"/>
  <c r="Z421" i="9"/>
  <c r="AG421" i="9" s="1"/>
  <c r="Z378" i="9"/>
  <c r="AG378" i="9" s="1"/>
  <c r="T378" i="9"/>
  <c r="W378" i="9" s="1"/>
  <c r="X378" i="9" s="1"/>
  <c r="Y378" i="9" s="1"/>
  <c r="Z335" i="9"/>
  <c r="AG335" i="9" s="1"/>
  <c r="T335" i="9"/>
  <c r="W335" i="9" s="1"/>
  <c r="X335" i="9" s="1"/>
  <c r="Y335" i="9" s="1"/>
  <c r="T293" i="9"/>
  <c r="W293" i="9" s="1"/>
  <c r="X293" i="9" s="1"/>
  <c r="Y293" i="9" s="1"/>
  <c r="Z293" i="9"/>
  <c r="AG293" i="9" s="1"/>
  <c r="T245" i="9"/>
  <c r="W245" i="9" s="1"/>
  <c r="X245" i="9" s="1"/>
  <c r="Y245" i="9" s="1"/>
  <c r="Z245" i="9"/>
  <c r="AG245" i="9" s="1"/>
  <c r="Z202" i="9"/>
  <c r="AG202" i="9" s="1"/>
  <c r="T202" i="9"/>
  <c r="W202" i="9" s="1"/>
  <c r="X202" i="9" s="1"/>
  <c r="Y202" i="9" s="1"/>
  <c r="Z170" i="9"/>
  <c r="AG170" i="9" s="1"/>
  <c r="T170" i="9"/>
  <c r="W170" i="9" s="1"/>
  <c r="X170" i="9" s="1"/>
  <c r="Y170" i="9" s="1"/>
  <c r="Z143" i="9"/>
  <c r="AG143" i="9" s="1"/>
  <c r="T143" i="9"/>
  <c r="W143" i="9" s="1"/>
  <c r="X143" i="9" s="1"/>
  <c r="Y143" i="9" s="1"/>
  <c r="Z122" i="9"/>
  <c r="AG122" i="9" s="1"/>
  <c r="T122" i="9"/>
  <c r="W122" i="9" s="1"/>
  <c r="X122" i="9" s="1"/>
  <c r="Y122" i="9" s="1"/>
  <c r="Z101" i="9"/>
  <c r="AG101" i="9" s="1"/>
  <c r="T101" i="9"/>
  <c r="W101" i="9" s="1"/>
  <c r="X101" i="9" s="1"/>
  <c r="Y101" i="9" s="1"/>
  <c r="Z720" i="9"/>
  <c r="AG720" i="9" s="1"/>
  <c r="T720" i="9"/>
  <c r="W720" i="9" s="1"/>
  <c r="X720" i="9" s="1"/>
  <c r="Y720" i="9" s="1"/>
  <c r="Z704" i="9"/>
  <c r="AG704" i="9" s="1"/>
  <c r="T704" i="9"/>
  <c r="W704" i="9" s="1"/>
  <c r="X704" i="9" s="1"/>
  <c r="Y704" i="9" s="1"/>
  <c r="Z688" i="9"/>
  <c r="AG688" i="9" s="1"/>
  <c r="T688" i="9"/>
  <c r="W688" i="9" s="1"/>
  <c r="X688" i="9" s="1"/>
  <c r="Y688" i="9" s="1"/>
  <c r="Z672" i="9"/>
  <c r="AG672" i="9" s="1"/>
  <c r="T672" i="9"/>
  <c r="W672" i="9" s="1"/>
  <c r="X672" i="9" s="1"/>
  <c r="Y672" i="9" s="1"/>
  <c r="Z656" i="9"/>
  <c r="AG656" i="9" s="1"/>
  <c r="T656" i="9"/>
  <c r="W656" i="9" s="1"/>
  <c r="X656" i="9" s="1"/>
  <c r="Y656" i="9" s="1"/>
  <c r="Z640" i="9"/>
  <c r="AG640" i="9" s="1"/>
  <c r="T640" i="9"/>
  <c r="W640" i="9" s="1"/>
  <c r="X640" i="9" s="1"/>
  <c r="Y640" i="9" s="1"/>
  <c r="Z624" i="9"/>
  <c r="AG624" i="9" s="1"/>
  <c r="T624" i="9"/>
  <c r="W624" i="9" s="1"/>
  <c r="X624" i="9" s="1"/>
  <c r="Y624" i="9" s="1"/>
  <c r="Z608" i="9"/>
  <c r="AG608" i="9" s="1"/>
  <c r="T608" i="9"/>
  <c r="W608" i="9" s="1"/>
  <c r="X608" i="9" s="1"/>
  <c r="Y608" i="9" s="1"/>
  <c r="Z590" i="9"/>
  <c r="AG590" i="9" s="1"/>
  <c r="T590" i="9"/>
  <c r="W590" i="9" s="1"/>
  <c r="X590" i="9" s="1"/>
  <c r="Y590" i="9" s="1"/>
  <c r="Z563" i="9"/>
  <c r="AG563" i="9" s="1"/>
  <c r="T563" i="9"/>
  <c r="W563" i="9" s="1"/>
  <c r="X563" i="9" s="1"/>
  <c r="Y563" i="9" s="1"/>
  <c r="T537" i="9"/>
  <c r="W537" i="9" s="1"/>
  <c r="X537" i="9" s="1"/>
  <c r="Y537" i="9" s="1"/>
  <c r="Z537" i="9"/>
  <c r="AG537" i="9" s="1"/>
  <c r="T510" i="9"/>
  <c r="W510" i="9" s="1"/>
  <c r="X510" i="9" s="1"/>
  <c r="Y510" i="9" s="1"/>
  <c r="Z510" i="9"/>
  <c r="AG510" i="9" s="1"/>
  <c r="Z478" i="9"/>
  <c r="AG478" i="9" s="1"/>
  <c r="T478" i="9"/>
  <c r="W478" i="9" s="1"/>
  <c r="X478" i="9" s="1"/>
  <c r="Y478" i="9" s="1"/>
  <c r="Z451" i="9"/>
  <c r="AG451" i="9" s="1"/>
  <c r="T451" i="9"/>
  <c r="W451" i="9" s="1"/>
  <c r="X451" i="9" s="1"/>
  <c r="Y451" i="9" s="1"/>
  <c r="T425" i="9"/>
  <c r="W425" i="9" s="1"/>
  <c r="X425" i="9" s="1"/>
  <c r="Y425" i="9" s="1"/>
  <c r="Z425" i="9"/>
  <c r="AG425" i="9" s="1"/>
  <c r="T393" i="9"/>
  <c r="W393" i="9" s="1"/>
  <c r="X393" i="9" s="1"/>
  <c r="Y393" i="9" s="1"/>
  <c r="Z393" i="9"/>
  <c r="AG393" i="9" s="1"/>
  <c r="Z366" i="9"/>
  <c r="AG366" i="9" s="1"/>
  <c r="T366" i="9"/>
  <c r="W366" i="9" s="1"/>
  <c r="X366" i="9" s="1"/>
  <c r="Y366" i="9" s="1"/>
  <c r="Z339" i="9"/>
  <c r="AG339" i="9" s="1"/>
  <c r="T339" i="9"/>
  <c r="W339" i="9" s="1"/>
  <c r="X339" i="9" s="1"/>
  <c r="Y339" i="9" s="1"/>
  <c r="Z307" i="9"/>
  <c r="AG307" i="9" s="1"/>
  <c r="T307" i="9"/>
  <c r="W307" i="9" s="1"/>
  <c r="X307" i="9" s="1"/>
  <c r="Y307" i="9" s="1"/>
  <c r="Z281" i="9"/>
  <c r="AG281" i="9" s="1"/>
  <c r="T281" i="9"/>
  <c r="W281" i="9" s="1"/>
  <c r="X281" i="9" s="1"/>
  <c r="Y281" i="9" s="1"/>
  <c r="Z254" i="9"/>
  <c r="AG254" i="9" s="1"/>
  <c r="T254" i="9"/>
  <c r="W254" i="9" s="1"/>
  <c r="X254" i="9" s="1"/>
  <c r="Y254" i="9" s="1"/>
  <c r="Z222" i="9"/>
  <c r="AG222" i="9" s="1"/>
  <c r="T222" i="9"/>
  <c r="W222" i="9" s="1"/>
  <c r="X222" i="9" s="1"/>
  <c r="Y222" i="9" s="1"/>
  <c r="Z195" i="9"/>
  <c r="AG195" i="9" s="1"/>
  <c r="T195" i="9"/>
  <c r="W195" i="9" s="1"/>
  <c r="X195" i="9" s="1"/>
  <c r="Y195" i="9" s="1"/>
  <c r="Z169" i="9"/>
  <c r="AG169" i="9" s="1"/>
  <c r="T169" i="9"/>
  <c r="W169" i="9" s="1"/>
  <c r="X169" i="9" s="1"/>
  <c r="Y169" i="9" s="1"/>
  <c r="Z137" i="9"/>
  <c r="AG137" i="9" s="1"/>
  <c r="T137" i="9"/>
  <c r="W137" i="9" s="1"/>
  <c r="X137" i="9" s="1"/>
  <c r="Y137" i="9" s="1"/>
  <c r="Z110" i="9"/>
  <c r="AG110" i="9" s="1"/>
  <c r="T110" i="9"/>
  <c r="W110" i="9" s="1"/>
  <c r="X110" i="9" s="1"/>
  <c r="Y110" i="9" s="1"/>
  <c r="Z727" i="9"/>
  <c r="AG727" i="9" s="1"/>
  <c r="T727" i="9"/>
  <c r="W727" i="9" s="1"/>
  <c r="X727" i="9" s="1"/>
  <c r="Y727" i="9" s="1"/>
  <c r="Z687" i="9"/>
  <c r="AG687" i="9" s="1"/>
  <c r="T687" i="9"/>
  <c r="W687" i="9" s="1"/>
  <c r="X687" i="9" s="1"/>
  <c r="Y687" i="9" s="1"/>
  <c r="Z655" i="9"/>
  <c r="AG655" i="9" s="1"/>
  <c r="T655" i="9"/>
  <c r="W655" i="9" s="1"/>
  <c r="X655" i="9" s="1"/>
  <c r="Y655" i="9" s="1"/>
  <c r="Z623" i="9"/>
  <c r="AG623" i="9" s="1"/>
  <c r="T623" i="9"/>
  <c r="W623" i="9" s="1"/>
  <c r="X623" i="9" s="1"/>
  <c r="Y623" i="9" s="1"/>
  <c r="T573" i="9"/>
  <c r="W573" i="9" s="1"/>
  <c r="X573" i="9" s="1"/>
  <c r="Y573" i="9" s="1"/>
  <c r="Z573" i="9"/>
  <c r="AG573" i="9" s="1"/>
  <c r="Z503" i="9"/>
  <c r="AG503" i="9" s="1"/>
  <c r="T503" i="9"/>
  <c r="W503" i="9" s="1"/>
  <c r="X503" i="9" s="1"/>
  <c r="Y503" i="9" s="1"/>
  <c r="Z423" i="9"/>
  <c r="AG423" i="9" s="1"/>
  <c r="T423" i="9"/>
  <c r="W423" i="9" s="1"/>
  <c r="X423" i="9" s="1"/>
  <c r="Y423" i="9" s="1"/>
  <c r="Z338" i="9"/>
  <c r="AG338" i="9" s="1"/>
  <c r="T338" i="9"/>
  <c r="W338" i="9" s="1"/>
  <c r="X338" i="9" s="1"/>
  <c r="Y338" i="9" s="1"/>
  <c r="Z210" i="9"/>
  <c r="AG210" i="9" s="1"/>
  <c r="T210" i="9"/>
  <c r="W210" i="9" s="1"/>
  <c r="X210" i="9" s="1"/>
  <c r="Y210" i="9" s="1"/>
  <c r="Z93" i="9"/>
  <c r="AG93" i="9" s="1"/>
  <c r="T93" i="9"/>
  <c r="W93" i="9" s="1"/>
  <c r="X93" i="9" s="1"/>
  <c r="Y93" i="9" s="1"/>
  <c r="Z671" i="9"/>
  <c r="AG671" i="9" s="1"/>
  <c r="T671" i="9"/>
  <c r="W671" i="9" s="1"/>
  <c r="X671" i="9" s="1"/>
  <c r="Y671" i="9" s="1"/>
  <c r="Z619" i="9"/>
  <c r="AG619" i="9" s="1"/>
  <c r="T619" i="9"/>
  <c r="W619" i="9" s="1"/>
  <c r="X619" i="9" s="1"/>
  <c r="Y619" i="9" s="1"/>
  <c r="Z567" i="9"/>
  <c r="AG567" i="9" s="1"/>
  <c r="T567" i="9"/>
  <c r="W567" i="9" s="1"/>
  <c r="X567" i="9" s="1"/>
  <c r="Y567" i="9" s="1"/>
  <c r="Z466" i="9"/>
  <c r="AG466" i="9" s="1"/>
  <c r="T466" i="9"/>
  <c r="W466" i="9" s="1"/>
  <c r="X466" i="9" s="1"/>
  <c r="Y466" i="9" s="1"/>
  <c r="T375" i="9"/>
  <c r="W375" i="9" s="1"/>
  <c r="X375" i="9" s="1"/>
  <c r="Y375" i="9" s="1"/>
  <c r="Z375" i="9"/>
  <c r="AG375" i="9" s="1"/>
  <c r="Z247" i="9"/>
  <c r="AG247" i="9" s="1"/>
  <c r="T247" i="9"/>
  <c r="W247" i="9" s="1"/>
  <c r="X247" i="9" s="1"/>
  <c r="Y247" i="9" s="1"/>
  <c r="Z114" i="9"/>
  <c r="AG114" i="9" s="1"/>
  <c r="T114" i="9"/>
  <c r="W114" i="9" s="1"/>
  <c r="X114" i="9" s="1"/>
  <c r="Y114" i="9" s="1"/>
  <c r="Z714" i="9"/>
  <c r="AG714" i="9" s="1"/>
  <c r="T714" i="9"/>
  <c r="W714" i="9" s="1"/>
  <c r="X714" i="9" s="1"/>
  <c r="Y714" i="9" s="1"/>
  <c r="Z694" i="9"/>
  <c r="AG694" i="9" s="1"/>
  <c r="T694" i="9"/>
  <c r="W694" i="9" s="1"/>
  <c r="X694" i="9" s="1"/>
  <c r="Y694" i="9" s="1"/>
  <c r="Z670" i="9"/>
  <c r="AG670" i="9" s="1"/>
  <c r="T670" i="9"/>
  <c r="W670" i="9" s="1"/>
  <c r="X670" i="9" s="1"/>
  <c r="Y670" i="9" s="1"/>
  <c r="Z650" i="9"/>
  <c r="AG650" i="9" s="1"/>
  <c r="T650" i="9"/>
  <c r="W650" i="9" s="1"/>
  <c r="X650" i="9" s="1"/>
  <c r="Y650" i="9" s="1"/>
  <c r="Z630" i="9"/>
  <c r="AG630" i="9" s="1"/>
  <c r="T630" i="9"/>
  <c r="W630" i="9" s="1"/>
  <c r="X630" i="9" s="1"/>
  <c r="Y630" i="9" s="1"/>
  <c r="Z606" i="9"/>
  <c r="AG606" i="9" s="1"/>
  <c r="T606" i="9"/>
  <c r="W606" i="9" s="1"/>
  <c r="X606" i="9" s="1"/>
  <c r="Y606" i="9" s="1"/>
  <c r="Z582" i="9"/>
  <c r="AG582" i="9" s="1"/>
  <c r="T582" i="9"/>
  <c r="W582" i="9" s="1"/>
  <c r="X582" i="9" s="1"/>
  <c r="Y582" i="9" s="1"/>
  <c r="Z555" i="9"/>
  <c r="AG555" i="9" s="1"/>
  <c r="T555" i="9"/>
  <c r="W555" i="9" s="1"/>
  <c r="X555" i="9" s="1"/>
  <c r="Y555" i="9" s="1"/>
  <c r="Z523" i="9"/>
  <c r="AG523" i="9" s="1"/>
  <c r="T523" i="9"/>
  <c r="W523" i="9" s="1"/>
  <c r="X523" i="9" s="1"/>
  <c r="Y523" i="9" s="1"/>
  <c r="T497" i="9"/>
  <c r="W497" i="9" s="1"/>
  <c r="X497" i="9" s="1"/>
  <c r="Y497" i="9" s="1"/>
  <c r="Z497" i="9"/>
  <c r="AG497" i="9" s="1"/>
  <c r="Z470" i="9"/>
  <c r="AG470" i="9" s="1"/>
  <c r="T470" i="9"/>
  <c r="W470" i="9" s="1"/>
  <c r="X470" i="9" s="1"/>
  <c r="Y470" i="9" s="1"/>
  <c r="Z438" i="9"/>
  <c r="AG438" i="9" s="1"/>
  <c r="T438" i="9"/>
  <c r="W438" i="9" s="1"/>
  <c r="X438" i="9" s="1"/>
  <c r="Y438" i="9" s="1"/>
  <c r="Z411" i="9"/>
  <c r="AG411" i="9" s="1"/>
  <c r="T411" i="9"/>
  <c r="W411" i="9" s="1"/>
  <c r="X411" i="9" s="1"/>
  <c r="Y411" i="9" s="1"/>
  <c r="T385" i="9"/>
  <c r="W385" i="9" s="1"/>
  <c r="X385" i="9" s="1"/>
  <c r="Y385" i="9" s="1"/>
  <c r="Z385" i="9"/>
  <c r="AG385" i="9" s="1"/>
  <c r="T353" i="9"/>
  <c r="W353" i="9" s="1"/>
  <c r="X353" i="9" s="1"/>
  <c r="Y353" i="9" s="1"/>
  <c r="Z353" i="9"/>
  <c r="AG353" i="9" s="1"/>
  <c r="Z326" i="9"/>
  <c r="AG326" i="9" s="1"/>
  <c r="T326" i="9"/>
  <c r="W326" i="9" s="1"/>
  <c r="X326" i="9" s="1"/>
  <c r="Y326" i="9" s="1"/>
  <c r="Z299" i="9"/>
  <c r="AG299" i="9" s="1"/>
  <c r="T299" i="9"/>
  <c r="W299" i="9" s="1"/>
  <c r="X299" i="9" s="1"/>
  <c r="Y299" i="9" s="1"/>
  <c r="Z267" i="9"/>
  <c r="AG267" i="9" s="1"/>
  <c r="T267" i="9"/>
  <c r="W267" i="9" s="1"/>
  <c r="X267" i="9" s="1"/>
  <c r="Y267" i="9" s="1"/>
  <c r="T241" i="9"/>
  <c r="W241" i="9" s="1"/>
  <c r="X241" i="9" s="1"/>
  <c r="Y241" i="9" s="1"/>
  <c r="Z241" i="9"/>
  <c r="AG241" i="9" s="1"/>
  <c r="Z214" i="9"/>
  <c r="AG214" i="9" s="1"/>
  <c r="T214" i="9"/>
  <c r="W214" i="9" s="1"/>
  <c r="X214" i="9" s="1"/>
  <c r="Y214" i="9" s="1"/>
  <c r="Z182" i="9"/>
  <c r="AG182" i="9" s="1"/>
  <c r="T182" i="9"/>
  <c r="W182" i="9" s="1"/>
  <c r="X182" i="9" s="1"/>
  <c r="Y182" i="9" s="1"/>
  <c r="Z155" i="9"/>
  <c r="AG155" i="9" s="1"/>
  <c r="T155" i="9"/>
  <c r="W155" i="9" s="1"/>
  <c r="X155" i="9" s="1"/>
  <c r="Y155" i="9" s="1"/>
  <c r="Z129" i="9"/>
  <c r="AG129" i="9" s="1"/>
  <c r="T129" i="9"/>
  <c r="W129" i="9" s="1"/>
  <c r="X129" i="9" s="1"/>
  <c r="Y129" i="9" s="1"/>
  <c r="Z97" i="9"/>
  <c r="AG97" i="9" s="1"/>
  <c r="T97" i="9"/>
  <c r="W97" i="9" s="1"/>
  <c r="X97" i="9" s="1"/>
  <c r="Y97" i="9" s="1"/>
  <c r="Z263" i="9"/>
  <c r="AG263" i="9" s="1"/>
  <c r="T263" i="9"/>
  <c r="W263" i="9" s="1"/>
  <c r="X263" i="9" s="1"/>
  <c r="Y263" i="9" s="1"/>
  <c r="Z141" i="9"/>
  <c r="AG141" i="9" s="1"/>
  <c r="T141" i="9"/>
  <c r="W141" i="9" s="1"/>
  <c r="X141" i="9" s="1"/>
  <c r="Y141" i="9" s="1"/>
  <c r="T721" i="9"/>
  <c r="W721" i="9" s="1"/>
  <c r="X721" i="9" s="1"/>
  <c r="Y721" i="9" s="1"/>
  <c r="Z721" i="9"/>
  <c r="AG721" i="9" s="1"/>
  <c r="Z677" i="9"/>
  <c r="AG677" i="9" s="1"/>
  <c r="T677" i="9"/>
  <c r="W677" i="9" s="1"/>
  <c r="X677" i="9" s="1"/>
  <c r="Y677" i="9" s="1"/>
  <c r="T637" i="9"/>
  <c r="W637" i="9" s="1"/>
  <c r="X637" i="9" s="1"/>
  <c r="Y637" i="9" s="1"/>
  <c r="Z637" i="9"/>
  <c r="AG637" i="9" s="1"/>
  <c r="Z586" i="9"/>
  <c r="AG586" i="9" s="1"/>
  <c r="T586" i="9"/>
  <c r="W586" i="9" s="1"/>
  <c r="X586" i="9" s="1"/>
  <c r="Y586" i="9" s="1"/>
  <c r="Z543" i="9"/>
  <c r="AG543" i="9" s="1"/>
  <c r="T543" i="9"/>
  <c r="W543" i="9" s="1"/>
  <c r="X543" i="9" s="1"/>
  <c r="Y543" i="9" s="1"/>
  <c r="Z490" i="9"/>
  <c r="AG490" i="9" s="1"/>
  <c r="T490" i="9"/>
  <c r="W490" i="9" s="1"/>
  <c r="X490" i="9" s="1"/>
  <c r="Y490" i="9" s="1"/>
  <c r="Z426" i="9"/>
  <c r="AG426" i="9" s="1"/>
  <c r="T426" i="9"/>
  <c r="W426" i="9" s="1"/>
  <c r="X426" i="9" s="1"/>
  <c r="Y426" i="9" s="1"/>
  <c r="T373" i="9"/>
  <c r="W373" i="9" s="1"/>
  <c r="X373" i="9" s="1"/>
  <c r="Y373" i="9" s="1"/>
  <c r="Z373" i="9"/>
  <c r="AG373" i="9" s="1"/>
  <c r="Z319" i="9"/>
  <c r="AG319" i="9" s="1"/>
  <c r="T319" i="9"/>
  <c r="W319" i="9" s="1"/>
  <c r="X319" i="9" s="1"/>
  <c r="Y319" i="9" s="1"/>
  <c r="T261" i="9"/>
  <c r="W261" i="9" s="1"/>
  <c r="X261" i="9" s="1"/>
  <c r="Y261" i="9" s="1"/>
  <c r="Z261" i="9"/>
  <c r="AG261" i="9" s="1"/>
  <c r="Z207" i="9"/>
  <c r="AG207" i="9" s="1"/>
  <c r="T207" i="9"/>
  <c r="W207" i="9" s="1"/>
  <c r="X207" i="9" s="1"/>
  <c r="Y207" i="9" s="1"/>
  <c r="Z596" i="9"/>
  <c r="AG596" i="9" s="1"/>
  <c r="T596" i="9"/>
  <c r="W596" i="9" s="1"/>
  <c r="X596" i="9" s="1"/>
  <c r="Y596" i="9" s="1"/>
  <c r="Z572" i="9"/>
  <c r="AG572" i="9" s="1"/>
  <c r="T572" i="9"/>
  <c r="W572" i="9" s="1"/>
  <c r="X572" i="9" s="1"/>
  <c r="Y572" i="9" s="1"/>
  <c r="Z552" i="9"/>
  <c r="AG552" i="9" s="1"/>
  <c r="T552" i="9"/>
  <c r="W552" i="9" s="1"/>
  <c r="X552" i="9" s="1"/>
  <c r="Y552" i="9" s="1"/>
  <c r="Z532" i="9"/>
  <c r="AG532" i="9" s="1"/>
  <c r="T532" i="9"/>
  <c r="W532" i="9" s="1"/>
  <c r="X532" i="9" s="1"/>
  <c r="Y532" i="9" s="1"/>
  <c r="Z508" i="9"/>
  <c r="AG508" i="9" s="1"/>
  <c r="T508" i="9"/>
  <c r="W508" i="9" s="1"/>
  <c r="X508" i="9" s="1"/>
  <c r="Y508" i="9" s="1"/>
  <c r="Z488" i="9"/>
  <c r="AG488" i="9" s="1"/>
  <c r="T488" i="9"/>
  <c r="W488" i="9" s="1"/>
  <c r="X488" i="9" s="1"/>
  <c r="Y488" i="9" s="1"/>
  <c r="Z468" i="9"/>
  <c r="AG468" i="9" s="1"/>
  <c r="T468" i="9"/>
  <c r="W468" i="9" s="1"/>
  <c r="X468" i="9" s="1"/>
  <c r="Y468" i="9" s="1"/>
  <c r="Z444" i="9"/>
  <c r="AG444" i="9" s="1"/>
  <c r="T444" i="9"/>
  <c r="W444" i="9" s="1"/>
  <c r="X444" i="9" s="1"/>
  <c r="Y444" i="9" s="1"/>
  <c r="Z424" i="9"/>
  <c r="AG424" i="9" s="1"/>
  <c r="T424" i="9"/>
  <c r="W424" i="9" s="1"/>
  <c r="X424" i="9" s="1"/>
  <c r="Y424" i="9" s="1"/>
  <c r="Z404" i="9"/>
  <c r="AG404" i="9" s="1"/>
  <c r="T404" i="9"/>
  <c r="W404" i="9" s="1"/>
  <c r="X404" i="9" s="1"/>
  <c r="Y404" i="9" s="1"/>
  <c r="Z380" i="9"/>
  <c r="AG380" i="9" s="1"/>
  <c r="T380" i="9"/>
  <c r="W380" i="9" s="1"/>
  <c r="X380" i="9" s="1"/>
  <c r="Y380" i="9" s="1"/>
  <c r="Z360" i="9"/>
  <c r="AG360" i="9" s="1"/>
  <c r="T360" i="9"/>
  <c r="W360" i="9" s="1"/>
  <c r="X360" i="9" s="1"/>
  <c r="Y360" i="9" s="1"/>
  <c r="Z340" i="9"/>
  <c r="AG340" i="9" s="1"/>
  <c r="T340" i="9"/>
  <c r="W340" i="9" s="1"/>
  <c r="X340" i="9" s="1"/>
  <c r="Y340" i="9" s="1"/>
  <c r="T316" i="9"/>
  <c r="W316" i="9" s="1"/>
  <c r="X316" i="9" s="1"/>
  <c r="Y316" i="9" s="1"/>
  <c r="Z316" i="9"/>
  <c r="AG316" i="9" s="1"/>
  <c r="Z296" i="9"/>
  <c r="AG296" i="9" s="1"/>
  <c r="T296" i="9"/>
  <c r="W296" i="9" s="1"/>
  <c r="X296" i="9" s="1"/>
  <c r="Y296" i="9" s="1"/>
  <c r="Z276" i="9"/>
  <c r="AG276" i="9" s="1"/>
  <c r="T276" i="9"/>
  <c r="W276" i="9" s="1"/>
  <c r="X276" i="9" s="1"/>
  <c r="Y276" i="9" s="1"/>
  <c r="T252" i="9"/>
  <c r="W252" i="9" s="1"/>
  <c r="X252" i="9" s="1"/>
  <c r="Y252" i="9" s="1"/>
  <c r="Z252" i="9"/>
  <c r="AG252" i="9" s="1"/>
  <c r="Z232" i="9"/>
  <c r="AG232" i="9" s="1"/>
  <c r="T232" i="9"/>
  <c r="W232" i="9" s="1"/>
  <c r="X232" i="9" s="1"/>
  <c r="Y232" i="9" s="1"/>
  <c r="Z212" i="9"/>
  <c r="AG212" i="9" s="1"/>
  <c r="T212" i="9"/>
  <c r="W212" i="9" s="1"/>
  <c r="X212" i="9" s="1"/>
  <c r="Y212" i="9" s="1"/>
  <c r="Z188" i="9"/>
  <c r="AG188" i="9" s="1"/>
  <c r="T188" i="9"/>
  <c r="W188" i="9" s="1"/>
  <c r="X188" i="9" s="1"/>
  <c r="Y188" i="9" s="1"/>
  <c r="Z168" i="9"/>
  <c r="AG168" i="9" s="1"/>
  <c r="T168" i="9"/>
  <c r="W168" i="9" s="1"/>
  <c r="X168" i="9" s="1"/>
  <c r="Y168" i="9" s="1"/>
  <c r="Z148" i="9"/>
  <c r="AG148" i="9" s="1"/>
  <c r="T148" i="9"/>
  <c r="W148" i="9" s="1"/>
  <c r="X148" i="9" s="1"/>
  <c r="Y148" i="9" s="1"/>
  <c r="T124" i="9"/>
  <c r="W124" i="9" s="1"/>
  <c r="X124" i="9" s="1"/>
  <c r="Y124" i="9" s="1"/>
  <c r="Z124" i="9"/>
  <c r="AG124" i="9" s="1"/>
  <c r="Z104" i="9"/>
  <c r="AG104" i="9" s="1"/>
  <c r="T104" i="9"/>
  <c r="W104" i="9" s="1"/>
  <c r="X104" i="9" s="1"/>
  <c r="Y104" i="9" s="1"/>
  <c r="Z92" i="9"/>
  <c r="AG92" i="9" s="1"/>
  <c r="T92" i="9"/>
  <c r="W92" i="9" s="1"/>
  <c r="X92" i="9" s="1"/>
  <c r="Y92" i="9" s="1"/>
  <c r="Z88" i="9"/>
  <c r="AG88" i="9" s="1"/>
  <c r="T88" i="9"/>
  <c r="W88" i="9" s="1"/>
  <c r="X88" i="9" s="1"/>
  <c r="Y88" i="9" s="1"/>
  <c r="Z100" i="9"/>
  <c r="AG100" i="9" s="1"/>
  <c r="T100" i="9"/>
  <c r="W100" i="9" s="1"/>
  <c r="X100" i="9" s="1"/>
  <c r="Y100" i="9" s="1"/>
  <c r="T569" i="9"/>
  <c r="W569" i="9" s="1"/>
  <c r="X569" i="9" s="1"/>
  <c r="Y569" i="9" s="1"/>
  <c r="Z569" i="9"/>
  <c r="AG569" i="9" s="1"/>
  <c r="Z547" i="9"/>
  <c r="AG547" i="9" s="1"/>
  <c r="T547" i="9"/>
  <c r="W547" i="9" s="1"/>
  <c r="X547" i="9" s="1"/>
  <c r="Y547" i="9" s="1"/>
  <c r="Z526" i="9"/>
  <c r="AG526" i="9" s="1"/>
  <c r="T526" i="9"/>
  <c r="W526" i="9" s="1"/>
  <c r="X526" i="9" s="1"/>
  <c r="Y526" i="9" s="1"/>
  <c r="Z505" i="9"/>
  <c r="AG505" i="9" s="1"/>
  <c r="T505" i="9"/>
  <c r="W505" i="9" s="1"/>
  <c r="X505" i="9" s="1"/>
  <c r="Y505" i="9" s="1"/>
  <c r="Z483" i="9"/>
  <c r="AG483" i="9" s="1"/>
  <c r="T483" i="9"/>
  <c r="W483" i="9" s="1"/>
  <c r="X483" i="9" s="1"/>
  <c r="Y483" i="9" s="1"/>
  <c r="Z462" i="9"/>
  <c r="AG462" i="9" s="1"/>
  <c r="T462" i="9"/>
  <c r="W462" i="9" s="1"/>
  <c r="X462" i="9" s="1"/>
  <c r="Y462" i="9" s="1"/>
  <c r="T441" i="9"/>
  <c r="W441" i="9" s="1"/>
  <c r="X441" i="9" s="1"/>
  <c r="Y441" i="9" s="1"/>
  <c r="Z441" i="9"/>
  <c r="AG441" i="9" s="1"/>
  <c r="Z419" i="9"/>
  <c r="AG419" i="9" s="1"/>
  <c r="T419" i="9"/>
  <c r="W419" i="9" s="1"/>
  <c r="X419" i="9" s="1"/>
  <c r="Y419" i="9" s="1"/>
  <c r="Z398" i="9"/>
  <c r="AG398" i="9" s="1"/>
  <c r="T398" i="9"/>
  <c r="W398" i="9" s="1"/>
  <c r="X398" i="9" s="1"/>
  <c r="Y398" i="9" s="1"/>
  <c r="Z377" i="9"/>
  <c r="AG377" i="9" s="1"/>
  <c r="T377" i="9"/>
  <c r="W377" i="9" s="1"/>
  <c r="X377" i="9" s="1"/>
  <c r="Y377" i="9" s="1"/>
  <c r="Z355" i="9"/>
  <c r="AG355" i="9" s="1"/>
  <c r="T355" i="9"/>
  <c r="W355" i="9" s="1"/>
  <c r="X355" i="9" s="1"/>
  <c r="Y355" i="9" s="1"/>
  <c r="Z334" i="9"/>
  <c r="AG334" i="9" s="1"/>
  <c r="T334" i="9"/>
  <c r="W334" i="9" s="1"/>
  <c r="X334" i="9" s="1"/>
  <c r="Y334" i="9" s="1"/>
  <c r="Z313" i="9"/>
  <c r="AG313" i="9" s="1"/>
  <c r="T313" i="9"/>
  <c r="W313" i="9" s="1"/>
  <c r="X313" i="9" s="1"/>
  <c r="Y313" i="9" s="1"/>
  <c r="Z291" i="9"/>
  <c r="AG291" i="9" s="1"/>
  <c r="T291" i="9"/>
  <c r="W291" i="9" s="1"/>
  <c r="X291" i="9" s="1"/>
  <c r="Y291" i="9" s="1"/>
  <c r="Z270" i="9"/>
  <c r="AG270" i="9" s="1"/>
  <c r="T270" i="9"/>
  <c r="W270" i="9" s="1"/>
  <c r="X270" i="9" s="1"/>
  <c r="Y270" i="9" s="1"/>
  <c r="Z249" i="9"/>
  <c r="AG249" i="9" s="1"/>
  <c r="T249" i="9"/>
  <c r="W249" i="9" s="1"/>
  <c r="X249" i="9" s="1"/>
  <c r="Y249" i="9" s="1"/>
  <c r="Z227" i="9"/>
  <c r="AG227" i="9" s="1"/>
  <c r="T227" i="9"/>
  <c r="W227" i="9" s="1"/>
  <c r="X227" i="9" s="1"/>
  <c r="Y227" i="9" s="1"/>
  <c r="Z206" i="9"/>
  <c r="AG206" i="9" s="1"/>
  <c r="T206" i="9"/>
  <c r="W206" i="9" s="1"/>
  <c r="X206" i="9" s="1"/>
  <c r="Y206" i="9" s="1"/>
  <c r="T185" i="9"/>
  <c r="W185" i="9" s="1"/>
  <c r="X185" i="9" s="1"/>
  <c r="Y185" i="9" s="1"/>
  <c r="Z185" i="9"/>
  <c r="AG185" i="9" s="1"/>
  <c r="Z163" i="9"/>
  <c r="AG163" i="9" s="1"/>
  <c r="T163" i="9"/>
  <c r="W163" i="9" s="1"/>
  <c r="X163" i="9" s="1"/>
  <c r="Y163" i="9" s="1"/>
  <c r="Z142" i="9"/>
  <c r="AG142" i="9" s="1"/>
  <c r="T142" i="9"/>
  <c r="W142" i="9" s="1"/>
  <c r="X142" i="9" s="1"/>
  <c r="Y142" i="9" s="1"/>
  <c r="Z121" i="9"/>
  <c r="AG121" i="9" s="1"/>
  <c r="T121" i="9"/>
  <c r="W121" i="9" s="1"/>
  <c r="X121" i="9" s="1"/>
  <c r="Y121" i="9" s="1"/>
  <c r="Z99" i="9"/>
  <c r="AG99" i="9" s="1"/>
  <c r="T99" i="9"/>
  <c r="W99" i="9" s="1"/>
  <c r="X99" i="9" s="1"/>
  <c r="Y99" i="9" s="1"/>
  <c r="Z719" i="9"/>
  <c r="AG719" i="9" s="1"/>
  <c r="T719" i="9"/>
  <c r="W719" i="9" s="1"/>
  <c r="X719" i="9" s="1"/>
  <c r="Y719" i="9" s="1"/>
  <c r="Z695" i="9"/>
  <c r="AG695" i="9" s="1"/>
  <c r="T695" i="9"/>
  <c r="W695" i="9" s="1"/>
  <c r="X695" i="9" s="1"/>
  <c r="Y695" i="9" s="1"/>
  <c r="Z667" i="9"/>
  <c r="AG667" i="9" s="1"/>
  <c r="T667" i="9"/>
  <c r="W667" i="9" s="1"/>
  <c r="X667" i="9" s="1"/>
  <c r="Y667" i="9" s="1"/>
  <c r="Z639" i="9"/>
  <c r="AG639" i="9" s="1"/>
  <c r="T639" i="9"/>
  <c r="W639" i="9" s="1"/>
  <c r="X639" i="9" s="1"/>
  <c r="Y639" i="9" s="1"/>
  <c r="Z615" i="9"/>
  <c r="AG615" i="9" s="1"/>
  <c r="T615" i="9"/>
  <c r="W615" i="9" s="1"/>
  <c r="X615" i="9" s="1"/>
  <c r="Y615" i="9" s="1"/>
  <c r="Z583" i="9"/>
  <c r="AG583" i="9" s="1"/>
  <c r="T583" i="9"/>
  <c r="W583" i="9" s="1"/>
  <c r="X583" i="9" s="1"/>
  <c r="Y583" i="9" s="1"/>
  <c r="Z535" i="9"/>
  <c r="AG535" i="9" s="1"/>
  <c r="T535" i="9"/>
  <c r="W535" i="9" s="1"/>
  <c r="X535" i="9" s="1"/>
  <c r="Y535" i="9" s="1"/>
  <c r="Z477" i="9"/>
  <c r="AG477" i="9" s="1"/>
  <c r="T477" i="9"/>
  <c r="W477" i="9" s="1"/>
  <c r="X477" i="9" s="1"/>
  <c r="Y477" i="9" s="1"/>
  <c r="T413" i="9"/>
  <c r="W413" i="9" s="1"/>
  <c r="X413" i="9" s="1"/>
  <c r="Y413" i="9" s="1"/>
  <c r="Z413" i="9"/>
  <c r="AG413" i="9" s="1"/>
  <c r="T349" i="9"/>
  <c r="W349" i="9" s="1"/>
  <c r="X349" i="9" s="1"/>
  <c r="Y349" i="9" s="1"/>
  <c r="Z349" i="9"/>
  <c r="AG349" i="9" s="1"/>
  <c r="T253" i="9"/>
  <c r="W253" i="9" s="1"/>
  <c r="X253" i="9" s="1"/>
  <c r="Y253" i="9" s="1"/>
  <c r="Z253" i="9"/>
  <c r="AG253" i="9" s="1"/>
  <c r="Z167" i="9"/>
  <c r="AG167" i="9" s="1"/>
  <c r="T167" i="9"/>
  <c r="W167" i="9" s="1"/>
  <c r="X167" i="9" s="1"/>
  <c r="Y167" i="9" s="1"/>
  <c r="Z723" i="9"/>
  <c r="AG723" i="9" s="1"/>
  <c r="T723" i="9"/>
  <c r="W723" i="9" s="1"/>
  <c r="X723" i="9" s="1"/>
  <c r="Y723" i="9" s="1"/>
  <c r="Z683" i="9"/>
  <c r="AG683" i="9" s="1"/>
  <c r="T683" i="9"/>
  <c r="W683" i="9" s="1"/>
  <c r="X683" i="9" s="1"/>
  <c r="Y683" i="9" s="1"/>
  <c r="Z643" i="9"/>
  <c r="AG643" i="9" s="1"/>
  <c r="T643" i="9"/>
  <c r="W643" i="9" s="1"/>
  <c r="X643" i="9" s="1"/>
  <c r="Y643" i="9" s="1"/>
  <c r="Z603" i="9"/>
  <c r="AG603" i="9" s="1"/>
  <c r="T603" i="9"/>
  <c r="W603" i="9" s="1"/>
  <c r="X603" i="9" s="1"/>
  <c r="Y603" i="9" s="1"/>
  <c r="Z557" i="9"/>
  <c r="AG557" i="9" s="1"/>
  <c r="T557" i="9"/>
  <c r="W557" i="9" s="1"/>
  <c r="X557" i="9" s="1"/>
  <c r="Y557" i="9" s="1"/>
  <c r="Z487" i="9"/>
  <c r="AG487" i="9" s="1"/>
  <c r="T487" i="9"/>
  <c r="W487" i="9" s="1"/>
  <c r="X487" i="9" s="1"/>
  <c r="Y487" i="9" s="1"/>
  <c r="Z402" i="9"/>
  <c r="AG402" i="9" s="1"/>
  <c r="T402" i="9"/>
  <c r="W402" i="9" s="1"/>
  <c r="X402" i="9" s="1"/>
  <c r="Y402" i="9" s="1"/>
  <c r="T301" i="9"/>
  <c r="W301" i="9" s="1"/>
  <c r="X301" i="9" s="1"/>
  <c r="Y301" i="9" s="1"/>
  <c r="Z301" i="9"/>
  <c r="AG301" i="9" s="1"/>
  <c r="Z226" i="9"/>
  <c r="AG226" i="9" s="1"/>
  <c r="T226" i="9"/>
  <c r="W226" i="9" s="1"/>
  <c r="X226" i="9" s="1"/>
  <c r="Y226" i="9" s="1"/>
  <c r="Z135" i="9"/>
  <c r="AG135" i="9" s="1"/>
  <c r="T135" i="9"/>
  <c r="W135" i="9" s="1"/>
  <c r="X135" i="9" s="1"/>
  <c r="Y135" i="9" s="1"/>
  <c r="Z722" i="9"/>
  <c r="AG722" i="9" s="1"/>
  <c r="T722" i="9"/>
  <c r="W722" i="9" s="1"/>
  <c r="X722" i="9" s="1"/>
  <c r="Y722" i="9" s="1"/>
  <c r="Z706" i="9"/>
  <c r="AG706" i="9" s="1"/>
  <c r="T706" i="9"/>
  <c r="W706" i="9" s="1"/>
  <c r="X706" i="9" s="1"/>
  <c r="Y706" i="9" s="1"/>
  <c r="Z690" i="9"/>
  <c r="AG690" i="9" s="1"/>
  <c r="T690" i="9"/>
  <c r="W690" i="9" s="1"/>
  <c r="X690" i="9" s="1"/>
  <c r="Y690" i="9" s="1"/>
  <c r="Z674" i="9"/>
  <c r="AG674" i="9" s="1"/>
  <c r="T674" i="9"/>
  <c r="W674" i="9" s="1"/>
  <c r="X674" i="9" s="1"/>
  <c r="Y674" i="9" s="1"/>
  <c r="Z658" i="9"/>
  <c r="AG658" i="9" s="1"/>
  <c r="T658" i="9"/>
  <c r="W658" i="9" s="1"/>
  <c r="X658" i="9" s="1"/>
  <c r="Y658" i="9" s="1"/>
  <c r="Z642" i="9"/>
  <c r="AG642" i="9" s="1"/>
  <c r="T642" i="9"/>
  <c r="W642" i="9" s="1"/>
  <c r="X642" i="9" s="1"/>
  <c r="Y642" i="9" s="1"/>
  <c r="Z626" i="9"/>
  <c r="AG626" i="9" s="1"/>
  <c r="T626" i="9"/>
  <c r="W626" i="9" s="1"/>
  <c r="X626" i="9" s="1"/>
  <c r="Y626" i="9" s="1"/>
  <c r="Z610" i="9"/>
  <c r="AG610" i="9" s="1"/>
  <c r="T610" i="9"/>
  <c r="W610" i="9" s="1"/>
  <c r="X610" i="9" s="1"/>
  <c r="Y610" i="9" s="1"/>
  <c r="T593" i="9"/>
  <c r="W593" i="9" s="1"/>
  <c r="X593" i="9" s="1"/>
  <c r="Y593" i="9" s="1"/>
  <c r="Z593" i="9"/>
  <c r="AG593" i="9" s="1"/>
  <c r="Z571" i="9"/>
  <c r="AG571" i="9" s="1"/>
  <c r="T571" i="9"/>
  <c r="W571" i="9" s="1"/>
  <c r="X571" i="9" s="1"/>
  <c r="Y571" i="9" s="1"/>
  <c r="Z550" i="9"/>
  <c r="AG550" i="9" s="1"/>
  <c r="T550" i="9"/>
  <c r="W550" i="9" s="1"/>
  <c r="X550" i="9" s="1"/>
  <c r="Y550" i="9" s="1"/>
  <c r="T529" i="9"/>
  <c r="W529" i="9" s="1"/>
  <c r="X529" i="9" s="1"/>
  <c r="Y529" i="9" s="1"/>
  <c r="Z529" i="9"/>
  <c r="AG529" i="9" s="1"/>
  <c r="Z507" i="9"/>
  <c r="AG507" i="9" s="1"/>
  <c r="T507" i="9"/>
  <c r="W507" i="9" s="1"/>
  <c r="X507" i="9" s="1"/>
  <c r="Y507" i="9" s="1"/>
  <c r="Z486" i="9"/>
  <c r="AG486" i="9" s="1"/>
  <c r="T486" i="9"/>
  <c r="W486" i="9" s="1"/>
  <c r="X486" i="9" s="1"/>
  <c r="Y486" i="9" s="1"/>
  <c r="Z465" i="9"/>
  <c r="AG465" i="9" s="1"/>
  <c r="T465" i="9"/>
  <c r="W465" i="9" s="1"/>
  <c r="X465" i="9" s="1"/>
  <c r="Y465" i="9" s="1"/>
  <c r="Z443" i="9"/>
  <c r="AG443" i="9" s="1"/>
  <c r="T443" i="9"/>
  <c r="W443" i="9" s="1"/>
  <c r="X443" i="9" s="1"/>
  <c r="Y443" i="9" s="1"/>
  <c r="Z422" i="9"/>
  <c r="AG422" i="9" s="1"/>
  <c r="T422" i="9"/>
  <c r="W422" i="9" s="1"/>
  <c r="X422" i="9" s="1"/>
  <c r="Y422" i="9" s="1"/>
  <c r="Z401" i="9"/>
  <c r="AG401" i="9" s="1"/>
  <c r="T401" i="9"/>
  <c r="W401" i="9" s="1"/>
  <c r="X401" i="9" s="1"/>
  <c r="Y401" i="9" s="1"/>
  <c r="Z379" i="9"/>
  <c r="AG379" i="9" s="1"/>
  <c r="T379" i="9"/>
  <c r="W379" i="9" s="1"/>
  <c r="X379" i="9" s="1"/>
  <c r="Y379" i="9" s="1"/>
  <c r="Z358" i="9"/>
  <c r="AG358" i="9" s="1"/>
  <c r="T358" i="9"/>
  <c r="W358" i="9" s="1"/>
  <c r="X358" i="9" s="1"/>
  <c r="Y358" i="9" s="1"/>
  <c r="T337" i="9"/>
  <c r="W337" i="9" s="1"/>
  <c r="X337" i="9" s="1"/>
  <c r="Y337" i="9" s="1"/>
  <c r="Z337" i="9"/>
  <c r="AG337" i="9" s="1"/>
  <c r="Z315" i="9"/>
  <c r="AG315" i="9" s="1"/>
  <c r="T315" i="9"/>
  <c r="W315" i="9" s="1"/>
  <c r="X315" i="9" s="1"/>
  <c r="Y315" i="9" s="1"/>
  <c r="Z294" i="9"/>
  <c r="AG294" i="9" s="1"/>
  <c r="T294" i="9"/>
  <c r="W294" i="9" s="1"/>
  <c r="X294" i="9" s="1"/>
  <c r="Y294" i="9" s="1"/>
  <c r="T273" i="9"/>
  <c r="W273" i="9" s="1"/>
  <c r="X273" i="9" s="1"/>
  <c r="Y273" i="9" s="1"/>
  <c r="Z273" i="9"/>
  <c r="AG273" i="9" s="1"/>
  <c r="T251" i="9"/>
  <c r="W251" i="9" s="1"/>
  <c r="X251" i="9" s="1"/>
  <c r="Y251" i="9" s="1"/>
  <c r="Z251" i="9"/>
  <c r="AG251" i="9" s="1"/>
  <c r="Z230" i="9"/>
  <c r="AG230" i="9" s="1"/>
  <c r="T230" i="9"/>
  <c r="W230" i="9" s="1"/>
  <c r="X230" i="9" s="1"/>
  <c r="Y230" i="9" s="1"/>
  <c r="T209" i="9"/>
  <c r="W209" i="9" s="1"/>
  <c r="X209" i="9" s="1"/>
  <c r="Y209" i="9" s="1"/>
  <c r="Z209" i="9"/>
  <c r="AG209" i="9" s="1"/>
  <c r="Z187" i="9"/>
  <c r="AG187" i="9" s="1"/>
  <c r="T187" i="9"/>
  <c r="W187" i="9" s="1"/>
  <c r="X187" i="9" s="1"/>
  <c r="Y187" i="9" s="1"/>
  <c r="Z166" i="9"/>
  <c r="AG166" i="9" s="1"/>
  <c r="T166" i="9"/>
  <c r="W166" i="9" s="1"/>
  <c r="X166" i="9" s="1"/>
  <c r="Y166" i="9" s="1"/>
  <c r="Z145" i="9"/>
  <c r="AG145" i="9" s="1"/>
  <c r="T145" i="9"/>
  <c r="W145" i="9" s="1"/>
  <c r="X145" i="9" s="1"/>
  <c r="Y145" i="9" s="1"/>
  <c r="Z123" i="9"/>
  <c r="AG123" i="9" s="1"/>
  <c r="T123" i="9"/>
  <c r="W123" i="9" s="1"/>
  <c r="X123" i="9" s="1"/>
  <c r="Y123" i="9" s="1"/>
  <c r="Z102" i="9"/>
  <c r="AG102" i="9" s="1"/>
  <c r="T102" i="9"/>
  <c r="W102" i="9" s="1"/>
  <c r="X102" i="9" s="1"/>
  <c r="Y102" i="9" s="1"/>
  <c r="Z306" i="9"/>
  <c r="AG306" i="9" s="1"/>
  <c r="T306" i="9"/>
  <c r="W306" i="9" s="1"/>
  <c r="X306" i="9" s="1"/>
  <c r="Y306" i="9" s="1"/>
  <c r="Z215" i="9"/>
  <c r="AG215" i="9" s="1"/>
  <c r="T215" i="9"/>
  <c r="W215" i="9" s="1"/>
  <c r="X215" i="9" s="1"/>
  <c r="Y215" i="9" s="1"/>
  <c r="Z119" i="9"/>
  <c r="AG119" i="9" s="1"/>
  <c r="T119" i="9"/>
  <c r="W119" i="9" s="1"/>
  <c r="X119" i="9" s="1"/>
  <c r="Y119" i="9" s="1"/>
  <c r="T729" i="9"/>
  <c r="W729" i="9" s="1"/>
  <c r="X729" i="9" s="1"/>
  <c r="Y729" i="9" s="1"/>
  <c r="Z729" i="9"/>
  <c r="AG729" i="9" s="1"/>
  <c r="T693" i="9"/>
  <c r="W693" i="9" s="1"/>
  <c r="X693" i="9" s="1"/>
  <c r="Y693" i="9" s="1"/>
  <c r="Z693" i="9"/>
  <c r="AG693" i="9" s="1"/>
  <c r="Z661" i="9"/>
  <c r="AG661" i="9" s="1"/>
  <c r="T661" i="9"/>
  <c r="W661" i="9" s="1"/>
  <c r="X661" i="9" s="1"/>
  <c r="Y661" i="9" s="1"/>
  <c r="T629" i="9"/>
  <c r="W629" i="9" s="1"/>
  <c r="X629" i="9" s="1"/>
  <c r="Y629" i="9" s="1"/>
  <c r="Z629" i="9"/>
  <c r="AG629" i="9" s="1"/>
  <c r="T597" i="9"/>
  <c r="W597" i="9" s="1"/>
  <c r="X597" i="9" s="1"/>
  <c r="Y597" i="9" s="1"/>
  <c r="Z597" i="9"/>
  <c r="AG597" i="9" s="1"/>
  <c r="Z559" i="9"/>
  <c r="AG559" i="9" s="1"/>
  <c r="T559" i="9"/>
  <c r="W559" i="9" s="1"/>
  <c r="X559" i="9" s="1"/>
  <c r="Y559" i="9" s="1"/>
  <c r="Z522" i="9"/>
  <c r="AG522" i="9" s="1"/>
  <c r="T522" i="9"/>
  <c r="W522" i="9" s="1"/>
  <c r="X522" i="9" s="1"/>
  <c r="Y522" i="9" s="1"/>
  <c r="Z479" i="9"/>
  <c r="AG479" i="9" s="1"/>
  <c r="T479" i="9"/>
  <c r="W479" i="9" s="1"/>
  <c r="X479" i="9" s="1"/>
  <c r="Y479" i="9" s="1"/>
  <c r="Z437" i="9"/>
  <c r="AG437" i="9" s="1"/>
  <c r="T437" i="9"/>
  <c r="W437" i="9" s="1"/>
  <c r="X437" i="9" s="1"/>
  <c r="Y437" i="9" s="1"/>
  <c r="Z394" i="9"/>
  <c r="AG394" i="9" s="1"/>
  <c r="T394" i="9"/>
  <c r="W394" i="9" s="1"/>
  <c r="X394" i="9" s="1"/>
  <c r="Y394" i="9" s="1"/>
  <c r="Z351" i="9"/>
  <c r="AG351" i="9" s="1"/>
  <c r="T351" i="9"/>
  <c r="W351" i="9" s="1"/>
  <c r="X351" i="9" s="1"/>
  <c r="Y351" i="9" s="1"/>
  <c r="T309" i="9"/>
  <c r="W309" i="9" s="1"/>
  <c r="X309" i="9" s="1"/>
  <c r="Y309" i="9" s="1"/>
  <c r="Z309" i="9"/>
  <c r="AG309" i="9" s="1"/>
  <c r="Z271" i="9"/>
  <c r="AG271" i="9" s="1"/>
  <c r="T271" i="9"/>
  <c r="W271" i="9" s="1"/>
  <c r="X271" i="9" s="1"/>
  <c r="Y271" i="9" s="1"/>
  <c r="T229" i="9"/>
  <c r="W229" i="9" s="1"/>
  <c r="X229" i="9" s="1"/>
  <c r="Y229" i="9" s="1"/>
  <c r="Z229" i="9"/>
  <c r="AG229" i="9" s="1"/>
  <c r="T181" i="9"/>
  <c r="W181" i="9" s="1"/>
  <c r="X181" i="9" s="1"/>
  <c r="Y181" i="9" s="1"/>
  <c r="Z181" i="9"/>
  <c r="AG181" i="9" s="1"/>
  <c r="Z592" i="9"/>
  <c r="AG592" i="9" s="1"/>
  <c r="T592" i="9"/>
  <c r="W592" i="9" s="1"/>
  <c r="X592" i="9" s="1"/>
  <c r="Y592" i="9" s="1"/>
  <c r="Z576" i="9"/>
  <c r="AG576" i="9" s="1"/>
  <c r="T576" i="9"/>
  <c r="W576" i="9" s="1"/>
  <c r="X576" i="9" s="1"/>
  <c r="Y576" i="9" s="1"/>
  <c r="Z560" i="9"/>
  <c r="AG560" i="9" s="1"/>
  <c r="T560" i="9"/>
  <c r="W560" i="9" s="1"/>
  <c r="X560" i="9" s="1"/>
  <c r="Y560" i="9" s="1"/>
  <c r="Z544" i="9"/>
  <c r="AG544" i="9" s="1"/>
  <c r="T544" i="9"/>
  <c r="W544" i="9" s="1"/>
  <c r="X544" i="9" s="1"/>
  <c r="Y544" i="9" s="1"/>
  <c r="Z528" i="9"/>
  <c r="AG528" i="9" s="1"/>
  <c r="T528" i="9"/>
  <c r="W528" i="9" s="1"/>
  <c r="X528" i="9" s="1"/>
  <c r="Y528" i="9" s="1"/>
  <c r="Z512" i="9"/>
  <c r="AG512" i="9" s="1"/>
  <c r="T512" i="9"/>
  <c r="W512" i="9" s="1"/>
  <c r="X512" i="9" s="1"/>
  <c r="Y512" i="9" s="1"/>
  <c r="Z496" i="9"/>
  <c r="AG496" i="9" s="1"/>
  <c r="T496" i="9"/>
  <c r="W496" i="9" s="1"/>
  <c r="X496" i="9" s="1"/>
  <c r="Y496" i="9" s="1"/>
  <c r="Z480" i="9"/>
  <c r="AG480" i="9" s="1"/>
  <c r="T480" i="9"/>
  <c r="W480" i="9" s="1"/>
  <c r="X480" i="9" s="1"/>
  <c r="Y480" i="9" s="1"/>
  <c r="Z464" i="9"/>
  <c r="AG464" i="9" s="1"/>
  <c r="T464" i="9"/>
  <c r="W464" i="9" s="1"/>
  <c r="X464" i="9" s="1"/>
  <c r="Y464" i="9" s="1"/>
  <c r="Z448" i="9"/>
  <c r="AG448" i="9" s="1"/>
  <c r="T448" i="9"/>
  <c r="W448" i="9" s="1"/>
  <c r="X448" i="9" s="1"/>
  <c r="Y448" i="9" s="1"/>
  <c r="Z432" i="9"/>
  <c r="AG432" i="9" s="1"/>
  <c r="T432" i="9"/>
  <c r="W432" i="9" s="1"/>
  <c r="X432" i="9" s="1"/>
  <c r="Y432" i="9" s="1"/>
  <c r="Z416" i="9"/>
  <c r="AG416" i="9" s="1"/>
  <c r="T416" i="9"/>
  <c r="W416" i="9" s="1"/>
  <c r="X416" i="9" s="1"/>
  <c r="Y416" i="9" s="1"/>
  <c r="Z400" i="9"/>
  <c r="AG400" i="9" s="1"/>
  <c r="T400" i="9"/>
  <c r="W400" i="9" s="1"/>
  <c r="X400" i="9" s="1"/>
  <c r="Y400" i="9" s="1"/>
  <c r="Z384" i="9"/>
  <c r="AG384" i="9" s="1"/>
  <c r="T384" i="9"/>
  <c r="W384" i="9" s="1"/>
  <c r="X384" i="9" s="1"/>
  <c r="Y384" i="9" s="1"/>
  <c r="Z368" i="9"/>
  <c r="AG368" i="9" s="1"/>
  <c r="T368" i="9"/>
  <c r="W368" i="9" s="1"/>
  <c r="X368" i="9" s="1"/>
  <c r="Y368" i="9" s="1"/>
  <c r="Z352" i="9"/>
  <c r="AG352" i="9" s="1"/>
  <c r="T352" i="9"/>
  <c r="W352" i="9" s="1"/>
  <c r="X352" i="9" s="1"/>
  <c r="Y352" i="9" s="1"/>
  <c r="T336" i="9"/>
  <c r="W336" i="9" s="1"/>
  <c r="X336" i="9" s="1"/>
  <c r="Y336" i="9" s="1"/>
  <c r="Z336" i="9"/>
  <c r="AG336" i="9" s="1"/>
  <c r="Z320" i="9"/>
  <c r="AG320" i="9" s="1"/>
  <c r="T320" i="9"/>
  <c r="W320" i="9" s="1"/>
  <c r="X320" i="9" s="1"/>
  <c r="Y320" i="9" s="1"/>
  <c r="Z304" i="9"/>
  <c r="AG304" i="9" s="1"/>
  <c r="T304" i="9"/>
  <c r="W304" i="9" s="1"/>
  <c r="X304" i="9" s="1"/>
  <c r="Y304" i="9" s="1"/>
  <c r="T288" i="9"/>
  <c r="W288" i="9" s="1"/>
  <c r="X288" i="9" s="1"/>
  <c r="Y288" i="9" s="1"/>
  <c r="Z288" i="9"/>
  <c r="AG288" i="9" s="1"/>
  <c r="T272" i="9"/>
  <c r="W272" i="9" s="1"/>
  <c r="X272" i="9" s="1"/>
  <c r="Y272" i="9" s="1"/>
  <c r="Z272" i="9"/>
  <c r="AG272" i="9" s="1"/>
  <c r="Z256" i="9"/>
  <c r="AG256" i="9" s="1"/>
  <c r="T256" i="9"/>
  <c r="W256" i="9" s="1"/>
  <c r="X256" i="9" s="1"/>
  <c r="Y256" i="9" s="1"/>
  <c r="Z240" i="9"/>
  <c r="AG240" i="9" s="1"/>
  <c r="T240" i="9"/>
  <c r="W240" i="9" s="1"/>
  <c r="X240" i="9" s="1"/>
  <c r="Y240" i="9" s="1"/>
  <c r="Z224" i="9"/>
  <c r="AG224" i="9" s="1"/>
  <c r="T224" i="9"/>
  <c r="W224" i="9" s="1"/>
  <c r="X224" i="9" s="1"/>
  <c r="Y224" i="9" s="1"/>
  <c r="Z208" i="9"/>
  <c r="AG208" i="9" s="1"/>
  <c r="T208" i="9"/>
  <c r="W208" i="9" s="1"/>
  <c r="X208" i="9" s="1"/>
  <c r="Y208" i="9" s="1"/>
  <c r="Z192" i="9"/>
  <c r="AG192" i="9" s="1"/>
  <c r="T192" i="9"/>
  <c r="W192" i="9" s="1"/>
  <c r="X192" i="9" s="1"/>
  <c r="Y192" i="9" s="1"/>
  <c r="Z176" i="9"/>
  <c r="AG176" i="9" s="1"/>
  <c r="T176" i="9"/>
  <c r="W176" i="9" s="1"/>
  <c r="X176" i="9" s="1"/>
  <c r="Y176" i="9" s="1"/>
  <c r="Z160" i="9"/>
  <c r="AG160" i="9" s="1"/>
  <c r="T160" i="9"/>
  <c r="W160" i="9" s="1"/>
  <c r="X160" i="9" s="1"/>
  <c r="Y160" i="9" s="1"/>
  <c r="Z144" i="9"/>
  <c r="AG144" i="9" s="1"/>
  <c r="T144" i="9"/>
  <c r="W144" i="9" s="1"/>
  <c r="X144" i="9" s="1"/>
  <c r="Y144" i="9" s="1"/>
  <c r="Z128" i="9"/>
  <c r="AG128" i="9" s="1"/>
  <c r="T128" i="9"/>
  <c r="W128" i="9" s="1"/>
  <c r="X128" i="9" s="1"/>
  <c r="Y128" i="9" s="1"/>
  <c r="Z112" i="9"/>
  <c r="AG112" i="9" s="1"/>
  <c r="T112" i="9"/>
  <c r="W112" i="9" s="1"/>
  <c r="X112" i="9" s="1"/>
  <c r="Y112" i="9" s="1"/>
  <c r="Z96" i="9"/>
  <c r="AG96" i="9" s="1"/>
  <c r="T96" i="9"/>
  <c r="W96" i="9" s="1"/>
  <c r="X96" i="9" s="1"/>
  <c r="Y96" i="9" s="1"/>
  <c r="AA15" i="9"/>
  <c r="AF14" i="9"/>
  <c r="G12" i="10"/>
  <c r="F12" i="10" s="1"/>
  <c r="I12" i="10" s="1"/>
  <c r="F11" i="10"/>
  <c r="I11" i="10" s="1"/>
  <c r="Z14" i="9"/>
  <c r="AG14" i="9" s="1"/>
  <c r="Z82" i="9"/>
  <c r="AG82" i="9" s="1"/>
  <c r="Z78" i="9"/>
  <c r="AG78" i="9" s="1"/>
  <c r="Z74" i="9"/>
  <c r="AG74" i="9" s="1"/>
  <c r="Z70" i="9"/>
  <c r="AG70" i="9" s="1"/>
  <c r="Z66" i="9"/>
  <c r="AG66" i="9" s="1"/>
  <c r="Z62" i="9"/>
  <c r="AG62" i="9" s="1"/>
  <c r="Z58" i="9"/>
  <c r="AG58" i="9" s="1"/>
  <c r="Z54" i="9"/>
  <c r="AG54" i="9" s="1"/>
  <c r="Z50" i="9"/>
  <c r="AG50" i="9" s="1"/>
  <c r="Z46" i="9"/>
  <c r="AG46" i="9" s="1"/>
  <c r="Z42" i="9"/>
  <c r="AG42" i="9" s="1"/>
  <c r="Z38" i="9"/>
  <c r="AG38" i="9" s="1"/>
  <c r="Z34" i="9"/>
  <c r="AG34" i="9" s="1"/>
  <c r="Z30" i="9"/>
  <c r="AG30" i="9" s="1"/>
  <c r="Z26" i="9"/>
  <c r="AG26" i="9" s="1"/>
  <c r="Z22" i="9"/>
  <c r="AG22" i="9" s="1"/>
  <c r="Z18" i="9"/>
  <c r="AG18" i="9" s="1"/>
  <c r="Z13" i="9"/>
  <c r="AG13" i="9" s="1"/>
  <c r="Z83" i="9"/>
  <c r="AG83" i="9" s="1"/>
  <c r="Z79" i="9"/>
  <c r="AG79" i="9" s="1"/>
  <c r="Z75" i="9"/>
  <c r="AG75" i="9" s="1"/>
  <c r="Z71" i="9"/>
  <c r="AG71" i="9" s="1"/>
  <c r="Z67" i="9"/>
  <c r="AG67" i="9" s="1"/>
  <c r="Z63" i="9"/>
  <c r="AG63" i="9" s="1"/>
  <c r="Z59" i="9"/>
  <c r="AG59" i="9" s="1"/>
  <c r="Z55" i="9"/>
  <c r="AG55" i="9" s="1"/>
  <c r="Z51" i="9"/>
  <c r="AG51" i="9" s="1"/>
  <c r="Z47" i="9"/>
  <c r="AG47" i="9" s="1"/>
  <c r="Z43" i="9"/>
  <c r="AG43" i="9" s="1"/>
  <c r="Z39" i="9"/>
  <c r="AG39" i="9" s="1"/>
  <c r="Z35" i="9"/>
  <c r="AG35" i="9" s="1"/>
  <c r="Z31" i="9"/>
  <c r="AG31" i="9" s="1"/>
  <c r="Z27" i="9"/>
  <c r="AG27" i="9" s="1"/>
  <c r="Z23" i="9"/>
  <c r="AG23" i="9" s="1"/>
  <c r="Z19" i="9"/>
  <c r="AG19" i="9" s="1"/>
  <c r="Z15" i="9"/>
  <c r="AG15" i="9" s="1"/>
  <c r="Z12" i="9"/>
  <c r="AG12" i="9" s="1"/>
  <c r="Z80" i="9"/>
  <c r="AG80" i="9" s="1"/>
  <c r="Z72" i="9"/>
  <c r="AG72" i="9" s="1"/>
  <c r="Z64" i="9"/>
  <c r="AG64" i="9" s="1"/>
  <c r="Z56" i="9"/>
  <c r="AG56" i="9" s="1"/>
  <c r="Z48" i="9"/>
  <c r="AG48" i="9" s="1"/>
  <c r="Z24" i="9"/>
  <c r="AG24" i="9" s="1"/>
  <c r="Z84" i="9"/>
  <c r="AG84" i="9" s="1"/>
  <c r="Z76" i="9"/>
  <c r="AG76" i="9" s="1"/>
  <c r="Z68" i="9"/>
  <c r="AG68" i="9" s="1"/>
  <c r="Z60" i="9"/>
  <c r="AG60" i="9" s="1"/>
  <c r="Z52" i="9"/>
  <c r="AG52" i="9" s="1"/>
  <c r="Z44" i="9"/>
  <c r="AG44" i="9" s="1"/>
  <c r="Z40" i="9"/>
  <c r="AG40" i="9" s="1"/>
  <c r="Z36" i="9"/>
  <c r="AG36" i="9" s="1"/>
  <c r="Z32" i="9"/>
  <c r="AG32" i="9" s="1"/>
  <c r="Z28" i="9"/>
  <c r="AG28" i="9" s="1"/>
  <c r="Z20" i="9"/>
  <c r="AG20" i="9" s="1"/>
  <c r="Z16" i="9"/>
  <c r="AG16" i="9" s="1"/>
  <c r="Z85" i="9"/>
  <c r="AG85" i="9" s="1"/>
  <c r="Z81" i="9"/>
  <c r="AG81" i="9" s="1"/>
  <c r="Z77" i="9"/>
  <c r="AG77" i="9" s="1"/>
  <c r="Z73" i="9"/>
  <c r="AG73" i="9" s="1"/>
  <c r="Z69" i="9"/>
  <c r="AG69" i="9" s="1"/>
  <c r="Z65" i="9"/>
  <c r="AG65" i="9" s="1"/>
  <c r="Z61" i="9"/>
  <c r="AG61" i="9" s="1"/>
  <c r="Z57" i="9"/>
  <c r="AG57" i="9" s="1"/>
  <c r="Z53" i="9"/>
  <c r="AG53" i="9" s="1"/>
  <c r="Z49" i="9"/>
  <c r="AG49" i="9" s="1"/>
  <c r="Z45" i="9"/>
  <c r="AG45" i="9" s="1"/>
  <c r="Z41" i="9"/>
  <c r="AG41" i="9" s="1"/>
  <c r="Z37" i="9"/>
  <c r="AG37" i="9" s="1"/>
  <c r="Z33" i="9"/>
  <c r="AG33" i="9" s="1"/>
  <c r="Z29" i="9"/>
  <c r="AG29" i="9" s="1"/>
  <c r="Z25" i="9"/>
  <c r="AG25" i="9" s="1"/>
  <c r="Z21" i="9"/>
  <c r="AG21" i="9" s="1"/>
  <c r="Z17" i="9"/>
  <c r="AG17" i="9" s="1"/>
  <c r="Z731" i="9"/>
  <c r="AG731" i="9" s="1"/>
  <c r="Z86" i="9"/>
  <c r="AG86" i="9" s="1"/>
  <c r="T86" i="9"/>
  <c r="W86" i="9" s="1"/>
  <c r="X86" i="9" s="1"/>
  <c r="Y86" i="9" s="1"/>
  <c r="T82" i="9"/>
  <c r="W82" i="9" s="1"/>
  <c r="X82" i="9" s="1"/>
  <c r="Y82" i="9" s="1"/>
  <c r="T78" i="9"/>
  <c r="W78" i="9" s="1"/>
  <c r="X78" i="9" s="1"/>
  <c r="Y78" i="9" s="1"/>
  <c r="T74" i="9"/>
  <c r="W74" i="9" s="1"/>
  <c r="X74" i="9" s="1"/>
  <c r="Y74" i="9" s="1"/>
  <c r="T70" i="9"/>
  <c r="W70" i="9" s="1"/>
  <c r="X70" i="9" s="1"/>
  <c r="Y70" i="9" s="1"/>
  <c r="T66" i="9"/>
  <c r="W66" i="9" s="1"/>
  <c r="X66" i="9" s="1"/>
  <c r="Y66" i="9" s="1"/>
  <c r="T62" i="9"/>
  <c r="W62" i="9" s="1"/>
  <c r="X62" i="9" s="1"/>
  <c r="Y62" i="9" s="1"/>
  <c r="T58" i="9"/>
  <c r="W58" i="9" s="1"/>
  <c r="X58" i="9" s="1"/>
  <c r="Y58" i="9" s="1"/>
  <c r="T83" i="9"/>
  <c r="W83" i="9" s="1"/>
  <c r="X83" i="9" s="1"/>
  <c r="Y83" i="9" s="1"/>
  <c r="T79" i="9"/>
  <c r="W79" i="9" s="1"/>
  <c r="X79" i="9" s="1"/>
  <c r="Y79" i="9" s="1"/>
  <c r="T75" i="9"/>
  <c r="W75" i="9" s="1"/>
  <c r="X75" i="9" s="1"/>
  <c r="Y75" i="9" s="1"/>
  <c r="T71" i="9"/>
  <c r="W71" i="9" s="1"/>
  <c r="X71" i="9" s="1"/>
  <c r="Y71" i="9" s="1"/>
  <c r="T67" i="9"/>
  <c r="W67" i="9" s="1"/>
  <c r="X67" i="9" s="1"/>
  <c r="Y67" i="9" s="1"/>
  <c r="T63" i="9"/>
  <c r="W63" i="9" s="1"/>
  <c r="X63" i="9" s="1"/>
  <c r="Y63" i="9" s="1"/>
  <c r="T59" i="9"/>
  <c r="W59" i="9" s="1"/>
  <c r="X59" i="9" s="1"/>
  <c r="Y59" i="9" s="1"/>
  <c r="T80" i="9"/>
  <c r="W80" i="9" s="1"/>
  <c r="X80" i="9" s="1"/>
  <c r="Y80" i="9" s="1"/>
  <c r="T72" i="9"/>
  <c r="W72" i="9" s="1"/>
  <c r="X72" i="9" s="1"/>
  <c r="Y72" i="9" s="1"/>
  <c r="T64" i="9"/>
  <c r="W64" i="9" s="1"/>
  <c r="X64" i="9" s="1"/>
  <c r="Y64" i="9" s="1"/>
  <c r="T84" i="9"/>
  <c r="W84" i="9" s="1"/>
  <c r="X84" i="9" s="1"/>
  <c r="Y84" i="9" s="1"/>
  <c r="T76" i="9"/>
  <c r="W76" i="9" s="1"/>
  <c r="X76" i="9" s="1"/>
  <c r="Y76" i="9" s="1"/>
  <c r="T68" i="9"/>
  <c r="W68" i="9" s="1"/>
  <c r="X68" i="9" s="1"/>
  <c r="Y68" i="9" s="1"/>
  <c r="T60" i="9"/>
  <c r="W60" i="9" s="1"/>
  <c r="X60" i="9" s="1"/>
  <c r="Y60" i="9" s="1"/>
  <c r="T85" i="9"/>
  <c r="W85" i="9" s="1"/>
  <c r="X85" i="9" s="1"/>
  <c r="Y85" i="9" s="1"/>
  <c r="T81" i="9"/>
  <c r="W81" i="9" s="1"/>
  <c r="X81" i="9" s="1"/>
  <c r="Y81" i="9" s="1"/>
  <c r="T77" i="9"/>
  <c r="W77" i="9" s="1"/>
  <c r="X77" i="9" s="1"/>
  <c r="Y77" i="9" s="1"/>
  <c r="T73" i="9"/>
  <c r="W73" i="9" s="1"/>
  <c r="X73" i="9" s="1"/>
  <c r="Y73" i="9" s="1"/>
  <c r="T69" i="9"/>
  <c r="W69" i="9" s="1"/>
  <c r="X69" i="9" s="1"/>
  <c r="Y69" i="9" s="1"/>
  <c r="T65" i="9"/>
  <c r="T61" i="9"/>
  <c r="W61" i="9" s="1"/>
  <c r="X61" i="9" s="1"/>
  <c r="Y61" i="9" s="1"/>
  <c r="T57" i="9"/>
  <c r="W57" i="9" s="1"/>
  <c r="X57" i="9" s="1"/>
  <c r="Y57" i="9" s="1"/>
  <c r="T731" i="9"/>
  <c r="W731" i="9" s="1"/>
  <c r="X731" i="9" s="1"/>
  <c r="Y731" i="9" s="1"/>
  <c r="W65" i="9"/>
  <c r="X65" i="9" s="1"/>
  <c r="Y65" i="9" s="1"/>
  <c r="AA16" i="9" l="1"/>
  <c r="AF15" i="9"/>
  <c r="G13" i="10"/>
  <c r="F13" i="10" s="1"/>
  <c r="I13" i="10" s="1"/>
  <c r="T49" i="9"/>
  <c r="W49" i="9" s="1"/>
  <c r="X49" i="9" s="1"/>
  <c r="Y49" i="9" s="1"/>
  <c r="T17" i="9"/>
  <c r="W17" i="9" s="1"/>
  <c r="X17" i="9" s="1"/>
  <c r="Y17" i="9" s="1"/>
  <c r="T34" i="9"/>
  <c r="W34" i="9" s="1"/>
  <c r="X34" i="9" s="1"/>
  <c r="Y34" i="9" s="1"/>
  <c r="T47" i="9"/>
  <c r="W47" i="9" s="1"/>
  <c r="X47" i="9" s="1"/>
  <c r="Y47" i="9" s="1"/>
  <c r="T15" i="9"/>
  <c r="W15" i="9" s="1"/>
  <c r="X15" i="9" s="1"/>
  <c r="Y15" i="9" s="1"/>
  <c r="T53" i="9"/>
  <c r="W53" i="9" s="1"/>
  <c r="X53" i="9" s="1"/>
  <c r="Y53" i="9" s="1"/>
  <c r="T37" i="9"/>
  <c r="W37" i="9" s="1"/>
  <c r="X37" i="9" s="1"/>
  <c r="Y37" i="9" s="1"/>
  <c r="T21" i="9"/>
  <c r="W21" i="9" s="1"/>
  <c r="X21" i="9" s="1"/>
  <c r="Y21" i="9" s="1"/>
  <c r="T54" i="9"/>
  <c r="W54" i="9" s="1"/>
  <c r="X54" i="9" s="1"/>
  <c r="Y54" i="9" s="1"/>
  <c r="T38" i="9"/>
  <c r="W38" i="9" s="1"/>
  <c r="X38" i="9" s="1"/>
  <c r="Y38" i="9" s="1"/>
  <c r="T22" i="9"/>
  <c r="W22" i="9" s="1"/>
  <c r="X22" i="9" s="1"/>
  <c r="Y22" i="9" s="1"/>
  <c r="T51" i="9"/>
  <c r="W51" i="9" s="1"/>
  <c r="X51" i="9" s="1"/>
  <c r="Y51" i="9" s="1"/>
  <c r="T35" i="9"/>
  <c r="W35" i="9" s="1"/>
  <c r="X35" i="9" s="1"/>
  <c r="Y35" i="9" s="1"/>
  <c r="T19" i="9"/>
  <c r="W19" i="9" s="1"/>
  <c r="X19" i="9" s="1"/>
  <c r="Y19" i="9" s="1"/>
  <c r="T48" i="9"/>
  <c r="W48" i="9" s="1"/>
  <c r="X48" i="9" s="1"/>
  <c r="Y48" i="9" s="1"/>
  <c r="T32" i="9"/>
  <c r="W32" i="9" s="1"/>
  <c r="X32" i="9" s="1"/>
  <c r="Y32" i="9" s="1"/>
  <c r="T16" i="9"/>
  <c r="W16" i="9" s="1"/>
  <c r="X16" i="9" s="1"/>
  <c r="Y16" i="9" s="1"/>
  <c r="T12" i="9"/>
  <c r="W12" i="9" s="1"/>
  <c r="X12" i="9" s="1"/>
  <c r="Y12" i="9" s="1"/>
  <c r="T26" i="9"/>
  <c r="W26" i="9" s="1"/>
  <c r="X26" i="9" s="1"/>
  <c r="Y26" i="9" s="1"/>
  <c r="T23" i="9"/>
  <c r="W23" i="9" s="1"/>
  <c r="X23" i="9" s="1"/>
  <c r="Y23" i="9" s="1"/>
  <c r="T20" i="9"/>
  <c r="W20" i="9" s="1"/>
  <c r="X20" i="9" s="1"/>
  <c r="Y20" i="9" s="1"/>
  <c r="T25" i="9"/>
  <c r="W25" i="9" s="1"/>
  <c r="X25" i="9" s="1"/>
  <c r="Y25" i="9" s="1"/>
  <c r="T42" i="9"/>
  <c r="W42" i="9" s="1"/>
  <c r="X42" i="9" s="1"/>
  <c r="Y42" i="9" s="1"/>
  <c r="T55" i="9"/>
  <c r="W55" i="9" s="1"/>
  <c r="X55" i="9" s="1"/>
  <c r="Y55" i="9" s="1"/>
  <c r="T39" i="9"/>
  <c r="W39" i="9" s="1"/>
  <c r="X39" i="9" s="1"/>
  <c r="Y39" i="9" s="1"/>
  <c r="T52" i="9"/>
  <c r="W52" i="9" s="1"/>
  <c r="X52" i="9" s="1"/>
  <c r="Y52" i="9" s="1"/>
  <c r="T36" i="9"/>
  <c r="W36" i="9" s="1"/>
  <c r="X36" i="9" s="1"/>
  <c r="Y36" i="9" s="1"/>
  <c r="T45" i="9"/>
  <c r="W45" i="9" s="1"/>
  <c r="X45" i="9" s="1"/>
  <c r="Y45" i="9" s="1"/>
  <c r="T29" i="9"/>
  <c r="W29" i="9" s="1"/>
  <c r="X29" i="9" s="1"/>
  <c r="Y29" i="9" s="1"/>
  <c r="T13" i="9"/>
  <c r="W13" i="9" s="1"/>
  <c r="X13" i="9" s="1"/>
  <c r="Y13" i="9" s="1"/>
  <c r="T46" i="9"/>
  <c r="W46" i="9" s="1"/>
  <c r="X46" i="9" s="1"/>
  <c r="Y46" i="9" s="1"/>
  <c r="T30" i="9"/>
  <c r="W30" i="9" s="1"/>
  <c r="X30" i="9" s="1"/>
  <c r="Y30" i="9" s="1"/>
  <c r="T14" i="9"/>
  <c r="W14" i="9" s="1"/>
  <c r="X14" i="9" s="1"/>
  <c r="Y14" i="9" s="1"/>
  <c r="T43" i="9"/>
  <c r="W43" i="9" s="1"/>
  <c r="X43" i="9" s="1"/>
  <c r="Y43" i="9" s="1"/>
  <c r="T27" i="9"/>
  <c r="W27" i="9" s="1"/>
  <c r="X27" i="9" s="1"/>
  <c r="Y27" i="9" s="1"/>
  <c r="T56" i="9"/>
  <c r="W56" i="9" s="1"/>
  <c r="X56" i="9" s="1"/>
  <c r="Y56" i="9" s="1"/>
  <c r="T40" i="9"/>
  <c r="W40" i="9" s="1"/>
  <c r="X40" i="9" s="1"/>
  <c r="Y40" i="9" s="1"/>
  <c r="T24" i="9"/>
  <c r="W24" i="9" s="1"/>
  <c r="X24" i="9" s="1"/>
  <c r="Y24" i="9" s="1"/>
  <c r="T41" i="9"/>
  <c r="W41" i="9" s="1"/>
  <c r="X41" i="9" s="1"/>
  <c r="Y41" i="9" s="1"/>
  <c r="T33" i="9"/>
  <c r="W33" i="9" s="1"/>
  <c r="X33" i="9" s="1"/>
  <c r="Y33" i="9" s="1"/>
  <c r="T50" i="9"/>
  <c r="W50" i="9" s="1"/>
  <c r="X50" i="9" s="1"/>
  <c r="Y50" i="9" s="1"/>
  <c r="T18" i="9"/>
  <c r="W18" i="9" s="1"/>
  <c r="X18" i="9" s="1"/>
  <c r="Y18" i="9" s="1"/>
  <c r="T31" i="9"/>
  <c r="W31" i="9" s="1"/>
  <c r="X31" i="9" s="1"/>
  <c r="Y31" i="9" s="1"/>
  <c r="T44" i="9"/>
  <c r="W44" i="9" s="1"/>
  <c r="X44" i="9" s="1"/>
  <c r="Y44" i="9" s="1"/>
  <c r="T28" i="9"/>
  <c r="W28" i="9" s="1"/>
  <c r="X28" i="9" s="1"/>
  <c r="Y28" i="9" s="1"/>
  <c r="AA17" i="9" l="1"/>
  <c r="AF16" i="9"/>
  <c r="G14" i="10"/>
  <c r="F14" i="10" s="1"/>
  <c r="I14" i="10" s="1"/>
  <c r="AA18" i="9" l="1"/>
  <c r="AF17" i="9"/>
  <c r="G15" i="10"/>
  <c r="F15" i="10" s="1"/>
  <c r="I15" i="10" s="1"/>
  <c r="AA19" i="9" l="1"/>
  <c r="AF18" i="9"/>
  <c r="G16" i="10"/>
  <c r="F16" i="10" s="1"/>
  <c r="I16" i="10" s="1"/>
  <c r="AA20" i="9" l="1"/>
  <c r="AF19" i="9"/>
  <c r="G17" i="10"/>
  <c r="F17" i="10" s="1"/>
  <c r="I17" i="10" s="1"/>
  <c r="AA21" i="9" l="1"/>
  <c r="AF20" i="9"/>
  <c r="G18" i="10"/>
  <c r="F18" i="10" s="1"/>
  <c r="I18" i="10" s="1"/>
  <c r="AA22" i="9" l="1"/>
  <c r="AF21" i="9"/>
  <c r="G19" i="10"/>
  <c r="F19" i="10" s="1"/>
  <c r="I19" i="10" s="1"/>
  <c r="AA23" i="9" l="1"/>
  <c r="AF22" i="9"/>
  <c r="G20" i="10"/>
  <c r="F20" i="10" s="1"/>
  <c r="I20" i="10" s="1"/>
  <c r="AA24" i="9" l="1"/>
  <c r="AF23" i="9"/>
  <c r="G21" i="10"/>
  <c r="F21" i="10" s="1"/>
  <c r="I21" i="10" s="1"/>
  <c r="AA25" i="9" l="1"/>
  <c r="AF24" i="9"/>
  <c r="G22" i="10"/>
  <c r="F22" i="10" s="1"/>
  <c r="I22" i="10" s="1"/>
  <c r="AA26" i="9" l="1"/>
  <c r="AF25" i="9"/>
  <c r="G23" i="10"/>
  <c r="F23" i="10" s="1"/>
  <c r="I23" i="10" s="1"/>
  <c r="AA27" i="9" l="1"/>
  <c r="AF26" i="9"/>
  <c r="G24" i="10"/>
  <c r="F24" i="10" s="1"/>
  <c r="I24" i="10" s="1"/>
  <c r="AA28" i="9" l="1"/>
  <c r="AF27" i="9"/>
  <c r="G25" i="10"/>
  <c r="G26" i="10" s="1"/>
  <c r="F26" i="10" s="1"/>
  <c r="I26" i="10" s="1"/>
  <c r="AA29" i="9" l="1"/>
  <c r="AF28" i="9"/>
  <c r="G27" i="10"/>
  <c r="F27" i="10" s="1"/>
  <c r="I27" i="10" s="1"/>
  <c r="F25" i="10"/>
  <c r="I25" i="10" s="1"/>
  <c r="AA30" i="9" l="1"/>
  <c r="AF29" i="9"/>
  <c r="G28" i="10"/>
  <c r="F28" i="10" s="1"/>
  <c r="I28" i="10" s="1"/>
  <c r="AA31" i="9" l="1"/>
  <c r="AF30" i="9"/>
  <c r="G29" i="10"/>
  <c r="F29" i="10" s="1"/>
  <c r="I29" i="10" s="1"/>
  <c r="AA32" i="9" l="1"/>
  <c r="AF31" i="9"/>
  <c r="G30" i="10"/>
  <c r="F30" i="10" s="1"/>
  <c r="I30" i="10" s="1"/>
  <c r="AA33" i="9" l="1"/>
  <c r="AF32" i="9"/>
  <c r="G31" i="10"/>
  <c r="F31" i="10" s="1"/>
  <c r="I31" i="10" s="1"/>
  <c r="AA34" i="9" l="1"/>
  <c r="AF33" i="9"/>
  <c r="G32" i="10"/>
  <c r="AA35" i="9" l="1"/>
  <c r="AF34" i="9"/>
  <c r="F32" i="10"/>
  <c r="I32" i="10" s="1"/>
  <c r="G33" i="10"/>
  <c r="F33" i="10" s="1"/>
  <c r="I33" i="10" s="1"/>
  <c r="AA36" i="9" l="1"/>
  <c r="AF35" i="9"/>
  <c r="G34" i="10"/>
  <c r="F34" i="10" s="1"/>
  <c r="I34" i="10" s="1"/>
  <c r="G35" i="10"/>
  <c r="F35" i="10" s="1"/>
  <c r="I35" i="10" s="1"/>
  <c r="AA37" i="9" l="1"/>
  <c r="AF36" i="9"/>
  <c r="G36" i="10"/>
  <c r="F36" i="10" s="1"/>
  <c r="I36" i="10" s="1"/>
  <c r="AA38" i="9" l="1"/>
  <c r="AF37" i="9"/>
  <c r="G37" i="10"/>
  <c r="AA39" i="9" l="1"/>
  <c r="AF38" i="9"/>
  <c r="F37" i="10"/>
  <c r="I37" i="10" s="1"/>
  <c r="G38" i="10"/>
  <c r="F38" i="10" s="1"/>
  <c r="I38" i="10" s="1"/>
  <c r="AA40" i="9" l="1"/>
  <c r="AF39" i="9"/>
  <c r="G39" i="10"/>
  <c r="F39" i="10" s="1"/>
  <c r="I39" i="10" s="1"/>
  <c r="AA41" i="9" l="1"/>
  <c r="AF40" i="9"/>
  <c r="G40" i="10"/>
  <c r="F40" i="10" s="1"/>
  <c r="I40" i="10" s="1"/>
  <c r="G41" i="10"/>
  <c r="F41" i="10" s="1"/>
  <c r="I41" i="10" s="1"/>
  <c r="AA42" i="9" l="1"/>
  <c r="AF41" i="9"/>
  <c r="G42" i="10"/>
  <c r="G43" i="10"/>
  <c r="I42" i="10"/>
  <c r="AA43" i="9" l="1"/>
  <c r="AF42" i="9"/>
  <c r="G44" i="10"/>
  <c r="F43" i="10"/>
  <c r="I43" i="10" s="1"/>
  <c r="AA44" i="9" l="1"/>
  <c r="AF43" i="9"/>
  <c r="G45" i="10"/>
  <c r="F44" i="10"/>
  <c r="I44" i="10" s="1"/>
  <c r="AA45" i="9" l="1"/>
  <c r="AF44" i="9"/>
  <c r="G46" i="10"/>
  <c r="F45" i="10"/>
  <c r="I45" i="10" s="1"/>
  <c r="AA46" i="9" l="1"/>
  <c r="AF45" i="9"/>
  <c r="G47" i="10"/>
  <c r="F46" i="10"/>
  <c r="I46" i="10" s="1"/>
  <c r="AA47" i="9" l="1"/>
  <c r="AF46" i="9"/>
  <c r="G48" i="10"/>
  <c r="F47" i="10"/>
  <c r="I47" i="10" s="1"/>
  <c r="AA48" i="9" l="1"/>
  <c r="AF47" i="9"/>
  <c r="G49" i="10"/>
  <c r="F48" i="10"/>
  <c r="I48" i="10" s="1"/>
  <c r="AA49" i="9" l="1"/>
  <c r="AF48" i="9"/>
  <c r="G50" i="10"/>
  <c r="F49" i="10"/>
  <c r="I49" i="10" s="1"/>
  <c r="AA50" i="9" l="1"/>
  <c r="AF49" i="9"/>
  <c r="G51" i="10"/>
  <c r="F50" i="10"/>
  <c r="I50" i="10" s="1"/>
  <c r="AA51" i="9" l="1"/>
  <c r="AF50" i="9"/>
  <c r="G52" i="10"/>
  <c r="F51" i="10"/>
  <c r="I51" i="10" s="1"/>
  <c r="AA52" i="9" l="1"/>
  <c r="AF51" i="9"/>
  <c r="G53" i="10"/>
  <c r="F52" i="10"/>
  <c r="I52" i="10" s="1"/>
  <c r="AA53" i="9" l="1"/>
  <c r="AF52" i="9"/>
  <c r="G54" i="10"/>
  <c r="F53" i="10"/>
  <c r="I53" i="10" s="1"/>
  <c r="AA54" i="9" l="1"/>
  <c r="AF53" i="9"/>
  <c r="G55" i="10"/>
  <c r="F54" i="10"/>
  <c r="I54" i="10" s="1"/>
  <c r="AA55" i="9" l="1"/>
  <c r="AF54" i="9"/>
  <c r="G56" i="10"/>
  <c r="F55" i="10"/>
  <c r="I55" i="10" s="1"/>
  <c r="AA56" i="9" l="1"/>
  <c r="AF55" i="9"/>
  <c r="G57" i="10"/>
  <c r="F56" i="10"/>
  <c r="I56" i="10" s="1"/>
  <c r="AA57" i="9" l="1"/>
  <c r="AF56" i="9"/>
  <c r="G58" i="10"/>
  <c r="F57" i="10"/>
  <c r="I57" i="10" s="1"/>
  <c r="AA58" i="9" l="1"/>
  <c r="AF57" i="9"/>
  <c r="G59" i="10"/>
  <c r="F58" i="10"/>
  <c r="I58" i="10" s="1"/>
  <c r="AA59" i="9" l="1"/>
  <c r="AF58" i="9"/>
  <c r="G60" i="10"/>
  <c r="F60" i="10" s="1"/>
  <c r="I60" i="10" s="1"/>
  <c r="F59" i="10"/>
  <c r="I59" i="10" s="1"/>
  <c r="AA60" i="9" l="1"/>
  <c r="AF59" i="9"/>
  <c r="AA61" i="9" l="1"/>
  <c r="AF60" i="9"/>
  <c r="AA62" i="9" l="1"/>
  <c r="AF61" i="9"/>
  <c r="AA63" i="9" l="1"/>
  <c r="AF62" i="9"/>
  <c r="AA64" i="9" l="1"/>
  <c r="AF63" i="9"/>
  <c r="AA65" i="9" l="1"/>
  <c r="AF64" i="9"/>
  <c r="AA66" i="9" l="1"/>
  <c r="AF65" i="9"/>
  <c r="AA67" i="9" l="1"/>
  <c r="AF66" i="9"/>
  <c r="AA68" i="9" l="1"/>
  <c r="AF67" i="9"/>
  <c r="AA69" i="9" l="1"/>
  <c r="AF68" i="9"/>
  <c r="AA70" i="9" l="1"/>
  <c r="AF69" i="9"/>
  <c r="AA71" i="9" l="1"/>
  <c r="AF70" i="9"/>
  <c r="AA72" i="9" l="1"/>
  <c r="AF71" i="9"/>
  <c r="AA73" i="9" l="1"/>
  <c r="AF72" i="9"/>
  <c r="AA74" i="9" l="1"/>
  <c r="AF73" i="9"/>
  <c r="AA75" i="9" l="1"/>
  <c r="AF74" i="9"/>
  <c r="AA76" i="9" l="1"/>
  <c r="AF75" i="9"/>
  <c r="AA77" i="9" l="1"/>
  <c r="AF76" i="9"/>
  <c r="AA78" i="9" l="1"/>
  <c r="AF77" i="9"/>
  <c r="AA79" i="9" l="1"/>
  <c r="AF78" i="9"/>
  <c r="AA80" i="9" l="1"/>
  <c r="AF79" i="9"/>
  <c r="AA81" i="9" l="1"/>
  <c r="AF80" i="9"/>
  <c r="AA82" i="9" l="1"/>
  <c r="AF81" i="9"/>
  <c r="AA83" i="9" l="1"/>
  <c r="AF82" i="9"/>
  <c r="AA84" i="9" l="1"/>
  <c r="AF83" i="9"/>
  <c r="AA85" i="9" l="1"/>
  <c r="AF84" i="9"/>
  <c r="AA86" i="9" l="1"/>
  <c r="AF85" i="9"/>
  <c r="AA87" i="9" l="1"/>
  <c r="AF86" i="9"/>
  <c r="AA88" i="9" l="1"/>
  <c r="AF87" i="9"/>
  <c r="AA89" i="9" l="1"/>
  <c r="AF88" i="9"/>
  <c r="AA90" i="9" l="1"/>
  <c r="AF89" i="9"/>
  <c r="AA91" i="9" l="1"/>
  <c r="AF90" i="9"/>
  <c r="AA92" i="9" l="1"/>
  <c r="AF91" i="9"/>
  <c r="AA93" i="9" l="1"/>
  <c r="AF92" i="9"/>
  <c r="AA94" i="9" l="1"/>
  <c r="AF93" i="9"/>
  <c r="AA95" i="9" l="1"/>
  <c r="AF94" i="9"/>
  <c r="AA96" i="9" l="1"/>
  <c r="AF95" i="9"/>
  <c r="AA97" i="9" l="1"/>
  <c r="AF96" i="9"/>
  <c r="AA98" i="9" l="1"/>
  <c r="AF97" i="9"/>
  <c r="AA99" i="9" l="1"/>
  <c r="AF98" i="9"/>
  <c r="AA100" i="9" l="1"/>
  <c r="AF99" i="9"/>
  <c r="AA101" i="9" l="1"/>
  <c r="AF100" i="9"/>
  <c r="AA102" i="9" l="1"/>
  <c r="AF101" i="9"/>
  <c r="AA103" i="9" l="1"/>
  <c r="AF102" i="9"/>
  <c r="AA104" i="9" l="1"/>
  <c r="AF103" i="9"/>
  <c r="AA105" i="9" l="1"/>
  <c r="AF104" i="9"/>
  <c r="AA106" i="9" l="1"/>
  <c r="AF105" i="9"/>
  <c r="AA107" i="9" l="1"/>
  <c r="AF106" i="9"/>
  <c r="AA108" i="9" l="1"/>
  <c r="AF107" i="9"/>
  <c r="AA109" i="9" l="1"/>
  <c r="AF108" i="9"/>
  <c r="AA110" i="9" l="1"/>
  <c r="AF109" i="9"/>
  <c r="AA111" i="9" l="1"/>
  <c r="AF110" i="9"/>
  <c r="AA112" i="9" l="1"/>
  <c r="AF111" i="9"/>
  <c r="AA113" i="9" l="1"/>
  <c r="AF112" i="9"/>
  <c r="AA114" i="9" l="1"/>
  <c r="AF113" i="9"/>
  <c r="AA115" i="9" l="1"/>
  <c r="AF114" i="9"/>
  <c r="AA116" i="9" l="1"/>
  <c r="AF115" i="9"/>
  <c r="AA117" i="9" l="1"/>
  <c r="AF116" i="9"/>
  <c r="AA118" i="9" l="1"/>
  <c r="AF117" i="9"/>
  <c r="AA119" i="9" l="1"/>
  <c r="AF118" i="9"/>
  <c r="AA120" i="9" l="1"/>
  <c r="AF119" i="9"/>
  <c r="AA121" i="9" l="1"/>
  <c r="AF120" i="9"/>
  <c r="AA122" i="9" l="1"/>
  <c r="AF121" i="9"/>
  <c r="AA123" i="9" l="1"/>
  <c r="AF122" i="9"/>
  <c r="AA124" i="9" l="1"/>
  <c r="AF123" i="9"/>
  <c r="AA125" i="9" l="1"/>
  <c r="AF124" i="9"/>
  <c r="AA126" i="9" l="1"/>
  <c r="AF125" i="9"/>
  <c r="AA127" i="9" l="1"/>
  <c r="AF126" i="9"/>
  <c r="AA128" i="9" l="1"/>
  <c r="AF127" i="9"/>
  <c r="AA129" i="9" l="1"/>
  <c r="AF128" i="9"/>
  <c r="AA130" i="9" l="1"/>
  <c r="AF129" i="9"/>
  <c r="AA131" i="9" l="1"/>
  <c r="AF130" i="9"/>
  <c r="AA132" i="9" l="1"/>
  <c r="AF131" i="9"/>
  <c r="AA133" i="9" l="1"/>
  <c r="AF132" i="9"/>
  <c r="AA134" i="9" l="1"/>
  <c r="AF133" i="9"/>
  <c r="AA135" i="9" l="1"/>
  <c r="AF134" i="9"/>
  <c r="AA136" i="9" l="1"/>
  <c r="AF135" i="9"/>
  <c r="AA137" i="9" l="1"/>
  <c r="AF136" i="9"/>
  <c r="AA138" i="9" l="1"/>
  <c r="AF137" i="9"/>
  <c r="AA139" i="9" l="1"/>
  <c r="AF138" i="9"/>
  <c r="AA140" i="9" l="1"/>
  <c r="AF139" i="9"/>
  <c r="AA141" i="9" l="1"/>
  <c r="AF140" i="9"/>
  <c r="AA142" i="9" l="1"/>
  <c r="AF141" i="9"/>
  <c r="AA143" i="9" l="1"/>
  <c r="AF142" i="9"/>
  <c r="AA144" i="9" l="1"/>
  <c r="AF143" i="9"/>
  <c r="AA145" i="9" l="1"/>
  <c r="AF144" i="9"/>
  <c r="AA146" i="9" l="1"/>
  <c r="AF145" i="9"/>
  <c r="AA147" i="9" l="1"/>
  <c r="AF146" i="9"/>
  <c r="AA148" i="9" l="1"/>
  <c r="AF147" i="9"/>
  <c r="AA149" i="9" l="1"/>
  <c r="AF148" i="9"/>
  <c r="AA150" i="9" l="1"/>
  <c r="AF149" i="9"/>
  <c r="AA151" i="9" l="1"/>
  <c r="AF150" i="9"/>
  <c r="AA152" i="9" l="1"/>
  <c r="AF151" i="9"/>
  <c r="AA153" i="9" l="1"/>
  <c r="AF152" i="9"/>
  <c r="AA154" i="9" l="1"/>
  <c r="AF153" i="9"/>
  <c r="AA155" i="9" l="1"/>
  <c r="AF154" i="9"/>
  <c r="AA156" i="9" l="1"/>
  <c r="AF155" i="9"/>
  <c r="AA157" i="9" l="1"/>
  <c r="AF156" i="9"/>
  <c r="AA158" i="9" l="1"/>
  <c r="AF157" i="9"/>
  <c r="AA159" i="9" l="1"/>
  <c r="AF158" i="9"/>
  <c r="AA160" i="9" l="1"/>
  <c r="AF159" i="9"/>
  <c r="AA161" i="9" l="1"/>
  <c r="AF160" i="9"/>
  <c r="AA162" i="9" l="1"/>
  <c r="AF161" i="9"/>
  <c r="AA163" i="9" l="1"/>
  <c r="AF162" i="9"/>
  <c r="AA164" i="9" l="1"/>
  <c r="AF163" i="9"/>
  <c r="AA165" i="9" l="1"/>
  <c r="AF164" i="9"/>
  <c r="AA166" i="9" l="1"/>
  <c r="AF165" i="9"/>
  <c r="AA167" i="9" l="1"/>
  <c r="AF166" i="9"/>
  <c r="AA168" i="9" l="1"/>
  <c r="AF167" i="9"/>
  <c r="AA169" i="9" l="1"/>
  <c r="AF168" i="9"/>
  <c r="AA170" i="9" l="1"/>
  <c r="AF169" i="9"/>
  <c r="AA171" i="9" l="1"/>
  <c r="AF170" i="9"/>
  <c r="AA172" i="9" l="1"/>
  <c r="AF171" i="9"/>
  <c r="AA173" i="9" l="1"/>
  <c r="AF172" i="9"/>
  <c r="AA174" i="9" l="1"/>
  <c r="AF173" i="9"/>
  <c r="AA175" i="9" l="1"/>
  <c r="AF174" i="9"/>
  <c r="AA176" i="9" l="1"/>
  <c r="AF175" i="9"/>
  <c r="AA177" i="9" l="1"/>
  <c r="AF176" i="9"/>
  <c r="AA178" i="9" l="1"/>
  <c r="AF177" i="9"/>
  <c r="AA179" i="9" l="1"/>
  <c r="AF178" i="9"/>
  <c r="AA180" i="9" l="1"/>
  <c r="AF179" i="9"/>
  <c r="AA181" i="9" l="1"/>
  <c r="AF180" i="9"/>
  <c r="AA182" i="9" l="1"/>
  <c r="AF181" i="9"/>
  <c r="AA183" i="9" l="1"/>
  <c r="AF182" i="9"/>
  <c r="AA184" i="9" l="1"/>
  <c r="AF183" i="9"/>
  <c r="AA185" i="9" l="1"/>
  <c r="AF184" i="9"/>
  <c r="AA186" i="9" l="1"/>
  <c r="AF185" i="9"/>
  <c r="AA187" i="9" l="1"/>
  <c r="AF186" i="9"/>
  <c r="AA188" i="9" l="1"/>
  <c r="AF187" i="9"/>
  <c r="AA189" i="9" l="1"/>
  <c r="AF188" i="9"/>
  <c r="AA190" i="9" l="1"/>
  <c r="AF189" i="9"/>
  <c r="AA191" i="9" l="1"/>
  <c r="AF190" i="9"/>
  <c r="AA192" i="9" l="1"/>
  <c r="AF191" i="9"/>
  <c r="AA193" i="9" l="1"/>
  <c r="AF192" i="9"/>
  <c r="AA194" i="9" l="1"/>
  <c r="AF193" i="9"/>
  <c r="AA195" i="9" l="1"/>
  <c r="AF194" i="9"/>
  <c r="AA196" i="9" l="1"/>
  <c r="AF195" i="9"/>
  <c r="AA197" i="9" l="1"/>
  <c r="AF196" i="9"/>
  <c r="AA198" i="9" l="1"/>
  <c r="AF197" i="9"/>
  <c r="AA199" i="9" l="1"/>
  <c r="AF198" i="9"/>
  <c r="AA200" i="9" l="1"/>
  <c r="AF199" i="9"/>
  <c r="AA201" i="9" l="1"/>
  <c r="AF200" i="9"/>
  <c r="AA202" i="9" l="1"/>
  <c r="AF201" i="9"/>
  <c r="AA203" i="9" l="1"/>
  <c r="AF202" i="9"/>
  <c r="AA204" i="9" l="1"/>
  <c r="AF203" i="9"/>
  <c r="AA205" i="9" l="1"/>
  <c r="AF204" i="9"/>
  <c r="AA206" i="9" l="1"/>
  <c r="AF205" i="9"/>
  <c r="AA207" i="9" l="1"/>
  <c r="AF206" i="9"/>
  <c r="AA208" i="9" l="1"/>
  <c r="AF207" i="9"/>
  <c r="AA209" i="9" l="1"/>
  <c r="AF208" i="9"/>
  <c r="AA210" i="9" l="1"/>
  <c r="AF209" i="9"/>
  <c r="AA211" i="9" l="1"/>
  <c r="AF210" i="9"/>
  <c r="AA212" i="9" l="1"/>
  <c r="AF211" i="9"/>
  <c r="AA213" i="9" l="1"/>
  <c r="AF212" i="9"/>
  <c r="AA214" i="9" l="1"/>
  <c r="AF213" i="9"/>
  <c r="AA215" i="9" l="1"/>
  <c r="AF214" i="9"/>
  <c r="AA216" i="9" l="1"/>
  <c r="AF215" i="9"/>
  <c r="AA217" i="9" l="1"/>
  <c r="AF216" i="9"/>
  <c r="AA218" i="9" l="1"/>
  <c r="AF217" i="9"/>
  <c r="AA219" i="9" l="1"/>
  <c r="AF218" i="9"/>
  <c r="AA220" i="9" l="1"/>
  <c r="AF219" i="9"/>
  <c r="AA221" i="9" l="1"/>
  <c r="AF220" i="9"/>
  <c r="AA222" i="9" l="1"/>
  <c r="AF221" i="9"/>
  <c r="AA223" i="9" l="1"/>
  <c r="AF222" i="9"/>
  <c r="AA224" i="9" l="1"/>
  <c r="AF223" i="9"/>
  <c r="AA225" i="9" l="1"/>
  <c r="AF224" i="9"/>
  <c r="AA226" i="9" l="1"/>
  <c r="AF225" i="9"/>
  <c r="AA227" i="9" l="1"/>
  <c r="AF226" i="9"/>
  <c r="AA228" i="9" l="1"/>
  <c r="AF227" i="9"/>
  <c r="AA229" i="9" l="1"/>
  <c r="AF228" i="9"/>
  <c r="AA230" i="9" l="1"/>
  <c r="AF229" i="9"/>
  <c r="AA231" i="9" l="1"/>
  <c r="AF230" i="9"/>
  <c r="AA232" i="9" l="1"/>
  <c r="AF231" i="9"/>
  <c r="AA233" i="9" l="1"/>
  <c r="AF232" i="9"/>
  <c r="AA234" i="9" l="1"/>
  <c r="AF233" i="9"/>
  <c r="AA235" i="9" l="1"/>
  <c r="AF234" i="9"/>
  <c r="AA236" i="9" l="1"/>
  <c r="AF235" i="9"/>
  <c r="AA237" i="9" l="1"/>
  <c r="AF236" i="9"/>
  <c r="AA238" i="9" l="1"/>
  <c r="AF237" i="9"/>
  <c r="AA239" i="9" l="1"/>
  <c r="AF238" i="9"/>
  <c r="AA240" i="9" l="1"/>
  <c r="AF239" i="9"/>
  <c r="AA241" i="9" l="1"/>
  <c r="AF240" i="9"/>
  <c r="AA242" i="9" l="1"/>
  <c r="AF241" i="9"/>
  <c r="AA243" i="9" l="1"/>
  <c r="AF242" i="9"/>
  <c r="AA244" i="9" l="1"/>
  <c r="AF243" i="9"/>
  <c r="AA245" i="9" l="1"/>
  <c r="AF244" i="9"/>
  <c r="AA246" i="9" l="1"/>
  <c r="AF245" i="9"/>
  <c r="AA247" i="9" l="1"/>
  <c r="AF246" i="9"/>
  <c r="AA248" i="9" l="1"/>
  <c r="AF247" i="9"/>
  <c r="AA249" i="9" l="1"/>
  <c r="AF248" i="9"/>
  <c r="AA250" i="9" l="1"/>
  <c r="AF249" i="9"/>
  <c r="AA251" i="9" l="1"/>
  <c r="AF250" i="9"/>
  <c r="AA252" i="9" l="1"/>
  <c r="AF251" i="9"/>
  <c r="AA253" i="9" l="1"/>
  <c r="AF252" i="9"/>
  <c r="AA254" i="9" l="1"/>
  <c r="AF253" i="9"/>
  <c r="AA255" i="9" l="1"/>
  <c r="AF254" i="9"/>
  <c r="AA256" i="9" l="1"/>
  <c r="AF255" i="9"/>
  <c r="AA257" i="9" l="1"/>
  <c r="AF256" i="9"/>
  <c r="AA258" i="9" l="1"/>
  <c r="AF257" i="9"/>
  <c r="AA259" i="9" l="1"/>
  <c r="AF258" i="9"/>
  <c r="AA260" i="9" l="1"/>
  <c r="AF259" i="9"/>
  <c r="AA261" i="9" l="1"/>
  <c r="AF260" i="9"/>
  <c r="AA262" i="9" l="1"/>
  <c r="AF261" i="9"/>
  <c r="AA263" i="9" l="1"/>
  <c r="AF262" i="9"/>
  <c r="AA264" i="9" l="1"/>
  <c r="AF263" i="9"/>
  <c r="AA265" i="9" l="1"/>
  <c r="AF264" i="9"/>
  <c r="AA266" i="9" l="1"/>
  <c r="AF265" i="9"/>
  <c r="AA267" i="9" l="1"/>
  <c r="AF266" i="9"/>
  <c r="AA268" i="9" l="1"/>
  <c r="AF267" i="9"/>
  <c r="AA269" i="9" l="1"/>
  <c r="AF268" i="9"/>
  <c r="AA270" i="9" l="1"/>
  <c r="AF269" i="9"/>
  <c r="AA271" i="9" l="1"/>
  <c r="AF270" i="9"/>
  <c r="AA272" i="9" l="1"/>
  <c r="AF271" i="9"/>
  <c r="AA273" i="9" l="1"/>
  <c r="AF272" i="9"/>
  <c r="AA274" i="9" l="1"/>
  <c r="AF273" i="9"/>
  <c r="AA275" i="9" l="1"/>
  <c r="AF274" i="9"/>
  <c r="AA276" i="9" l="1"/>
  <c r="AF275" i="9"/>
  <c r="AA277" i="9" l="1"/>
  <c r="AF276" i="9"/>
  <c r="AA278" i="9" l="1"/>
  <c r="AF277" i="9"/>
  <c r="AA279" i="9" l="1"/>
  <c r="AF278" i="9"/>
  <c r="AA280" i="9" l="1"/>
  <c r="AF279" i="9"/>
  <c r="AA281" i="9" l="1"/>
  <c r="AF280" i="9"/>
  <c r="AA282" i="9" l="1"/>
  <c r="AF281" i="9"/>
  <c r="AA283" i="9" l="1"/>
  <c r="AF282" i="9"/>
  <c r="AA284" i="9" l="1"/>
  <c r="AF283" i="9"/>
  <c r="AA285" i="9" l="1"/>
  <c r="AF284" i="9"/>
  <c r="AA286" i="9" l="1"/>
  <c r="AF285" i="9"/>
  <c r="AA287" i="9" l="1"/>
  <c r="AF286" i="9"/>
  <c r="AA288" i="9" l="1"/>
  <c r="AF287" i="9"/>
  <c r="AA289" i="9" l="1"/>
  <c r="AF288" i="9"/>
  <c r="AA290" i="9" l="1"/>
  <c r="AF289" i="9"/>
  <c r="AA291" i="9" l="1"/>
  <c r="AF290" i="9"/>
  <c r="AA292" i="9" l="1"/>
  <c r="AF291" i="9"/>
  <c r="AA293" i="9" l="1"/>
  <c r="AF292" i="9"/>
  <c r="AA294" i="9" l="1"/>
  <c r="AF293" i="9"/>
  <c r="AA295" i="9" l="1"/>
  <c r="AF294" i="9"/>
  <c r="AA296" i="9" l="1"/>
  <c r="AF295" i="9"/>
  <c r="AA297" i="9" l="1"/>
  <c r="AF296" i="9"/>
  <c r="AA298" i="9" l="1"/>
  <c r="AF297" i="9"/>
  <c r="AA299" i="9" l="1"/>
  <c r="AF298" i="9"/>
  <c r="AA300" i="9" l="1"/>
  <c r="AF299" i="9"/>
  <c r="AA301" i="9" l="1"/>
  <c r="AF300" i="9"/>
  <c r="AA302" i="9" l="1"/>
  <c r="AF301" i="9"/>
  <c r="AA303" i="9" l="1"/>
  <c r="AF302" i="9"/>
  <c r="AA304" i="9" l="1"/>
  <c r="AF303" i="9"/>
  <c r="AA305" i="9" l="1"/>
  <c r="AF304" i="9"/>
  <c r="AA306" i="9" l="1"/>
  <c r="AF305" i="9"/>
  <c r="AA307" i="9" l="1"/>
  <c r="AF306" i="9"/>
  <c r="AA308" i="9" l="1"/>
  <c r="AF307" i="9"/>
  <c r="AA309" i="9" l="1"/>
  <c r="AF308" i="9"/>
  <c r="AA310" i="9" l="1"/>
  <c r="AF309" i="9"/>
  <c r="AA311" i="9" l="1"/>
  <c r="AF310" i="9"/>
  <c r="AA312" i="9" l="1"/>
  <c r="AF311" i="9"/>
  <c r="AA313" i="9" l="1"/>
  <c r="AF312" i="9"/>
  <c r="AA314" i="9" l="1"/>
  <c r="AF313" i="9"/>
  <c r="AA315" i="9" l="1"/>
  <c r="AF314" i="9"/>
  <c r="AA316" i="9" l="1"/>
  <c r="AF315" i="9"/>
  <c r="AA317" i="9" l="1"/>
  <c r="AF316" i="9"/>
  <c r="AA318" i="9" l="1"/>
  <c r="AF317" i="9"/>
  <c r="AA319" i="9" l="1"/>
  <c r="AF318" i="9"/>
  <c r="AA320" i="9" l="1"/>
  <c r="AF319" i="9"/>
  <c r="AA321" i="9" l="1"/>
  <c r="AF320" i="9"/>
  <c r="AA322" i="9" l="1"/>
  <c r="AF321" i="9"/>
  <c r="AA323" i="9" l="1"/>
  <c r="AF322" i="9"/>
  <c r="AA324" i="9" l="1"/>
  <c r="AF323" i="9"/>
  <c r="AA325" i="9" l="1"/>
  <c r="AF324" i="9"/>
  <c r="AA326" i="9" l="1"/>
  <c r="AF325" i="9"/>
  <c r="AA327" i="9" l="1"/>
  <c r="AF326" i="9"/>
  <c r="AA328" i="9" l="1"/>
  <c r="AF327" i="9"/>
  <c r="AA329" i="9" l="1"/>
  <c r="AF328" i="9"/>
  <c r="AA330" i="9" l="1"/>
  <c r="AF329" i="9"/>
  <c r="AA331" i="9" l="1"/>
  <c r="AF330" i="9"/>
  <c r="AA332" i="9" l="1"/>
  <c r="AF331" i="9"/>
  <c r="AA333" i="9" l="1"/>
  <c r="AF332" i="9"/>
  <c r="AA334" i="9" l="1"/>
  <c r="AF333" i="9"/>
  <c r="AA335" i="9" l="1"/>
  <c r="AF334" i="9"/>
  <c r="AA336" i="9" l="1"/>
  <c r="AF335" i="9"/>
  <c r="AA337" i="9" l="1"/>
  <c r="AF336" i="9"/>
  <c r="AA338" i="9" l="1"/>
  <c r="AF337" i="9"/>
  <c r="AA339" i="9" l="1"/>
  <c r="AF338" i="9"/>
  <c r="AA340" i="9" l="1"/>
  <c r="AF339" i="9"/>
  <c r="AA341" i="9" l="1"/>
  <c r="AF340" i="9"/>
  <c r="AA342" i="9" l="1"/>
  <c r="AF341" i="9"/>
  <c r="AA343" i="9" l="1"/>
  <c r="AF342" i="9"/>
  <c r="AA344" i="9" l="1"/>
  <c r="AF343" i="9"/>
  <c r="AA345" i="9" l="1"/>
  <c r="AF344" i="9"/>
  <c r="AA346" i="9" l="1"/>
  <c r="AF345" i="9"/>
  <c r="AA347" i="9" l="1"/>
  <c r="AF346" i="9"/>
  <c r="AA348" i="9" l="1"/>
  <c r="AF347" i="9"/>
  <c r="AA349" i="9" l="1"/>
  <c r="AF348" i="9"/>
  <c r="AA350" i="9" l="1"/>
  <c r="AF349" i="9"/>
  <c r="AA351" i="9" l="1"/>
  <c r="AF350" i="9"/>
  <c r="AA352" i="9" l="1"/>
  <c r="AF351" i="9"/>
  <c r="AA353" i="9" l="1"/>
  <c r="AF352" i="9"/>
  <c r="AA354" i="9" l="1"/>
  <c r="AF353" i="9"/>
  <c r="AA355" i="9" l="1"/>
  <c r="AF354" i="9"/>
  <c r="AA356" i="9" l="1"/>
  <c r="AF355" i="9"/>
  <c r="AA357" i="9" l="1"/>
  <c r="AF356" i="9"/>
  <c r="AA358" i="9" l="1"/>
  <c r="AF357" i="9"/>
  <c r="AA359" i="9" l="1"/>
  <c r="AF358" i="9"/>
  <c r="AA360" i="9" l="1"/>
  <c r="AF359" i="9"/>
  <c r="AA361" i="9" l="1"/>
  <c r="AF360" i="9"/>
  <c r="AA362" i="9" l="1"/>
  <c r="AF361" i="9"/>
  <c r="AA363" i="9" l="1"/>
  <c r="AF362" i="9"/>
  <c r="AA364" i="9" l="1"/>
  <c r="AF363" i="9"/>
  <c r="AA365" i="9" l="1"/>
  <c r="AF364" i="9"/>
  <c r="AA366" i="9" l="1"/>
  <c r="AF365" i="9"/>
  <c r="AA367" i="9" l="1"/>
  <c r="AF366" i="9"/>
  <c r="AA368" i="9" l="1"/>
  <c r="AF367" i="9"/>
  <c r="AA369" i="9" l="1"/>
  <c r="AF368" i="9"/>
  <c r="AA370" i="9" l="1"/>
  <c r="AF369" i="9"/>
  <c r="AA371" i="9" l="1"/>
  <c r="AF370" i="9"/>
  <c r="AA372" i="9" l="1"/>
  <c r="AF371" i="9"/>
  <c r="AA373" i="9" l="1"/>
  <c r="AF372" i="9"/>
  <c r="AA374" i="9" l="1"/>
  <c r="AF373" i="9"/>
  <c r="AA375" i="9" l="1"/>
  <c r="AF374" i="9"/>
  <c r="AA376" i="9" l="1"/>
  <c r="AF375" i="9"/>
  <c r="AA377" i="9" l="1"/>
  <c r="AF376" i="9"/>
  <c r="AA378" i="9" l="1"/>
  <c r="AF377" i="9"/>
  <c r="AA379" i="9" l="1"/>
  <c r="AF378" i="9"/>
  <c r="AA380" i="9" l="1"/>
  <c r="AF379" i="9"/>
  <c r="AA381" i="9" l="1"/>
  <c r="AF380" i="9"/>
  <c r="AA382" i="9" l="1"/>
  <c r="AF381" i="9"/>
  <c r="AA383" i="9" l="1"/>
  <c r="AF382" i="9"/>
  <c r="AA384" i="9" l="1"/>
  <c r="AF383" i="9"/>
  <c r="AA385" i="9" l="1"/>
  <c r="AF384" i="9"/>
  <c r="AA386" i="9" l="1"/>
  <c r="AF385" i="9"/>
  <c r="AA387" i="9" l="1"/>
  <c r="AF386" i="9"/>
  <c r="AA388" i="9" l="1"/>
  <c r="AF387" i="9"/>
  <c r="AA389" i="9" l="1"/>
  <c r="AF388" i="9"/>
  <c r="AA390" i="9" l="1"/>
  <c r="AF389" i="9"/>
  <c r="AA391" i="9" l="1"/>
  <c r="AF390" i="9"/>
  <c r="AA392" i="9" l="1"/>
  <c r="AF391" i="9"/>
  <c r="AA393" i="9" l="1"/>
  <c r="AF392" i="9"/>
  <c r="AA394" i="9" l="1"/>
  <c r="AF393" i="9"/>
  <c r="AA395" i="9" l="1"/>
  <c r="AF394" i="9"/>
  <c r="AA396" i="9" l="1"/>
  <c r="AF395" i="9"/>
  <c r="AA397" i="9" l="1"/>
  <c r="AF396" i="9"/>
  <c r="AA398" i="9" l="1"/>
  <c r="AF397" i="9"/>
  <c r="AA399" i="9" l="1"/>
  <c r="AF398" i="9"/>
  <c r="AA400" i="9" l="1"/>
  <c r="AF399" i="9"/>
  <c r="AA401" i="9" l="1"/>
  <c r="AF400" i="9"/>
  <c r="AA402" i="9" l="1"/>
  <c r="AF401" i="9"/>
  <c r="AA403" i="9" l="1"/>
  <c r="AF402" i="9"/>
  <c r="AA404" i="9" l="1"/>
  <c r="AF403" i="9"/>
  <c r="AA405" i="9" l="1"/>
  <c r="AF404" i="9"/>
  <c r="AA406" i="9" l="1"/>
  <c r="AF405" i="9"/>
  <c r="AA407" i="9" l="1"/>
  <c r="AF406" i="9"/>
  <c r="AA408" i="9" l="1"/>
  <c r="AF407" i="9"/>
  <c r="AA409" i="9" l="1"/>
  <c r="AF408" i="9"/>
  <c r="AA410" i="9" l="1"/>
  <c r="AF409" i="9"/>
  <c r="AA411" i="9" l="1"/>
  <c r="AF410" i="9"/>
  <c r="AA412" i="9" l="1"/>
  <c r="AF411" i="9"/>
  <c r="AA413" i="9" l="1"/>
  <c r="AF412" i="9"/>
  <c r="AA414" i="9" l="1"/>
  <c r="AF413" i="9"/>
  <c r="AA415" i="9" l="1"/>
  <c r="AF414" i="9"/>
  <c r="AA416" i="9" l="1"/>
  <c r="AF415" i="9"/>
  <c r="AA417" i="9" l="1"/>
  <c r="AF416" i="9"/>
  <c r="AA418" i="9" l="1"/>
  <c r="AF417" i="9"/>
  <c r="AA419" i="9" l="1"/>
  <c r="AF418" i="9"/>
  <c r="AA420" i="9" l="1"/>
  <c r="AF419" i="9"/>
  <c r="AA421" i="9" l="1"/>
  <c r="AF420" i="9"/>
  <c r="AA422" i="9" l="1"/>
  <c r="AF421" i="9"/>
  <c r="AA423" i="9" l="1"/>
  <c r="AF422" i="9"/>
  <c r="AA424" i="9" l="1"/>
  <c r="AF423" i="9"/>
  <c r="AA425" i="9" l="1"/>
  <c r="AF424" i="9"/>
  <c r="AA426" i="9" l="1"/>
  <c r="AF425" i="9"/>
  <c r="AA427" i="9" l="1"/>
  <c r="AF426" i="9"/>
  <c r="AA428" i="9" l="1"/>
  <c r="AF427" i="9"/>
  <c r="AA429" i="9" l="1"/>
  <c r="AF428" i="9"/>
  <c r="AA430" i="9" l="1"/>
  <c r="AF429" i="9"/>
  <c r="AA431" i="9" l="1"/>
  <c r="AF430" i="9"/>
  <c r="AA432" i="9" l="1"/>
  <c r="AF431" i="9"/>
  <c r="AA433" i="9" l="1"/>
  <c r="AF432" i="9"/>
  <c r="AA434" i="9" l="1"/>
  <c r="AF433" i="9"/>
  <c r="AA435" i="9" l="1"/>
  <c r="AF434" i="9"/>
  <c r="AA436" i="9" l="1"/>
  <c r="AF435" i="9"/>
  <c r="AA437" i="9" l="1"/>
  <c r="AF436" i="9"/>
  <c r="AA438" i="9" l="1"/>
  <c r="AF437" i="9"/>
  <c r="AA439" i="9" l="1"/>
  <c r="AF438" i="9"/>
  <c r="AA440" i="9" l="1"/>
  <c r="AF439" i="9"/>
  <c r="AA441" i="9" l="1"/>
  <c r="AF440" i="9"/>
  <c r="AA442" i="9" l="1"/>
  <c r="AF441" i="9"/>
  <c r="AA443" i="9" l="1"/>
  <c r="AF442" i="9"/>
  <c r="AA444" i="9" l="1"/>
  <c r="AF443" i="9"/>
  <c r="AA445" i="9" l="1"/>
  <c r="AF444" i="9"/>
  <c r="AA446" i="9" l="1"/>
  <c r="AF445" i="9"/>
  <c r="AA447" i="9" l="1"/>
  <c r="AF446" i="9"/>
  <c r="AA448" i="9" l="1"/>
  <c r="AF447" i="9"/>
  <c r="AA449" i="9" l="1"/>
  <c r="AF448" i="9"/>
  <c r="AA450" i="9" l="1"/>
  <c r="AF449" i="9"/>
  <c r="AA451" i="9" l="1"/>
  <c r="AF450" i="9"/>
  <c r="AA452" i="9" l="1"/>
  <c r="AF451" i="9"/>
  <c r="AA453" i="9" l="1"/>
  <c r="AF452" i="9"/>
  <c r="AA454" i="9" l="1"/>
  <c r="AF453" i="9"/>
  <c r="AA455" i="9" l="1"/>
  <c r="AF454" i="9"/>
  <c r="AA456" i="9" l="1"/>
  <c r="AF455" i="9"/>
  <c r="AA457" i="9" l="1"/>
  <c r="AF456" i="9"/>
  <c r="AA458" i="9" l="1"/>
  <c r="AF457" i="9"/>
  <c r="AA459" i="9" l="1"/>
  <c r="AF458" i="9"/>
  <c r="AA460" i="9" l="1"/>
  <c r="AF459" i="9"/>
  <c r="AA461" i="9" l="1"/>
  <c r="AF460" i="9"/>
  <c r="AA462" i="9" l="1"/>
  <c r="AF461" i="9"/>
  <c r="AA463" i="9" l="1"/>
  <c r="AF462" i="9"/>
  <c r="AA464" i="9" l="1"/>
  <c r="AF463" i="9"/>
  <c r="AA465" i="9" l="1"/>
  <c r="AF464" i="9"/>
  <c r="AA466" i="9" l="1"/>
  <c r="AF465" i="9"/>
  <c r="AA467" i="9" l="1"/>
  <c r="AF466" i="9"/>
  <c r="AA468" i="9" l="1"/>
  <c r="AF467" i="9"/>
  <c r="AA469" i="9" l="1"/>
  <c r="AF468" i="9"/>
  <c r="AA470" i="9" l="1"/>
  <c r="AF469" i="9"/>
  <c r="AA471" i="9" l="1"/>
  <c r="AF470" i="9"/>
  <c r="AA472" i="9" l="1"/>
  <c r="AF471" i="9"/>
  <c r="AA473" i="9" l="1"/>
  <c r="AF472" i="9"/>
  <c r="AA474" i="9" l="1"/>
  <c r="AF473" i="9"/>
  <c r="AA475" i="9" l="1"/>
  <c r="AF474" i="9"/>
  <c r="AA476" i="9" l="1"/>
  <c r="AF475" i="9"/>
  <c r="AA477" i="9" l="1"/>
  <c r="AF476" i="9"/>
  <c r="AA478" i="9" l="1"/>
  <c r="AF477" i="9"/>
  <c r="AA479" i="9" l="1"/>
  <c r="AF478" i="9"/>
  <c r="AA480" i="9" l="1"/>
  <c r="AF479" i="9"/>
  <c r="AA481" i="9" l="1"/>
  <c r="AF480" i="9"/>
  <c r="AA482" i="9" l="1"/>
  <c r="AF481" i="9"/>
  <c r="AA483" i="9" l="1"/>
  <c r="AF482" i="9"/>
  <c r="AA484" i="9" l="1"/>
  <c r="AF483" i="9"/>
  <c r="AA485" i="9" l="1"/>
  <c r="AF484" i="9"/>
  <c r="AA486" i="9" l="1"/>
  <c r="AF485" i="9"/>
  <c r="AA487" i="9" l="1"/>
  <c r="AF486" i="9"/>
  <c r="AA488" i="9" l="1"/>
  <c r="AF487" i="9"/>
  <c r="AA489" i="9" l="1"/>
  <c r="AF488" i="9"/>
  <c r="AA490" i="9" l="1"/>
  <c r="AF489" i="9"/>
  <c r="AA491" i="9" l="1"/>
  <c r="AF490" i="9"/>
  <c r="AA492" i="9" l="1"/>
  <c r="AF491" i="9"/>
  <c r="AA493" i="9" l="1"/>
  <c r="AF492" i="9"/>
  <c r="AA494" i="9" l="1"/>
  <c r="AF493" i="9"/>
  <c r="AA495" i="9" l="1"/>
  <c r="AF494" i="9"/>
  <c r="AA496" i="9" l="1"/>
  <c r="AF495" i="9"/>
  <c r="AA497" i="9" l="1"/>
  <c r="AF496" i="9"/>
  <c r="AA498" i="9" l="1"/>
  <c r="AF497" i="9"/>
  <c r="AA499" i="9" l="1"/>
  <c r="AF498" i="9"/>
  <c r="AA500" i="9" l="1"/>
  <c r="AF499" i="9"/>
  <c r="AA501" i="9" l="1"/>
  <c r="AF500" i="9"/>
  <c r="AA502" i="9" l="1"/>
  <c r="AF501" i="9"/>
  <c r="AA503" i="9" l="1"/>
  <c r="AF502" i="9"/>
  <c r="AA504" i="9" l="1"/>
  <c r="AF503" i="9"/>
  <c r="AA505" i="9" l="1"/>
  <c r="AF504" i="9"/>
  <c r="AA506" i="9" l="1"/>
  <c r="AF505" i="9"/>
  <c r="AA507" i="9" l="1"/>
  <c r="AF506" i="9"/>
  <c r="AA508" i="9" l="1"/>
  <c r="AF507" i="9"/>
  <c r="AA509" i="9" l="1"/>
  <c r="AF508" i="9"/>
  <c r="AA510" i="9" l="1"/>
  <c r="AF509" i="9"/>
  <c r="AA511" i="9" l="1"/>
  <c r="AF510" i="9"/>
  <c r="AA512" i="9" l="1"/>
  <c r="AF511" i="9"/>
  <c r="AA513" i="9" l="1"/>
  <c r="AF512" i="9"/>
  <c r="AA514" i="9" l="1"/>
  <c r="AF513" i="9"/>
  <c r="AA515" i="9" l="1"/>
  <c r="AF514" i="9"/>
  <c r="AA516" i="9" l="1"/>
  <c r="AF515" i="9"/>
  <c r="AA517" i="9" l="1"/>
  <c r="AF516" i="9"/>
  <c r="AA518" i="9" l="1"/>
  <c r="AF517" i="9"/>
  <c r="AA519" i="9" l="1"/>
  <c r="AF518" i="9"/>
  <c r="AA520" i="9" l="1"/>
  <c r="AF519" i="9"/>
  <c r="AA521" i="9" l="1"/>
  <c r="AF520" i="9"/>
  <c r="AA522" i="9" l="1"/>
  <c r="AF521" i="9"/>
  <c r="AA523" i="9" l="1"/>
  <c r="AF522" i="9"/>
  <c r="AA524" i="9" l="1"/>
  <c r="AF523" i="9"/>
  <c r="AA525" i="9" l="1"/>
  <c r="AF524" i="9"/>
  <c r="AA526" i="9" l="1"/>
  <c r="AF525" i="9"/>
  <c r="AA527" i="9" l="1"/>
  <c r="AF526" i="9"/>
  <c r="AA528" i="9" l="1"/>
  <c r="AF527" i="9"/>
  <c r="AA529" i="9" l="1"/>
  <c r="AF528" i="9"/>
  <c r="AA530" i="9" l="1"/>
  <c r="AF529" i="9"/>
  <c r="AA531" i="9" l="1"/>
  <c r="AF530" i="9"/>
  <c r="AA532" i="9" l="1"/>
  <c r="AF531" i="9"/>
  <c r="AA533" i="9" l="1"/>
  <c r="AF532" i="9"/>
  <c r="AA534" i="9" l="1"/>
  <c r="AF533" i="9"/>
  <c r="AA535" i="9" l="1"/>
  <c r="AF534" i="9"/>
  <c r="AA536" i="9" l="1"/>
  <c r="AF535" i="9"/>
  <c r="AA537" i="9" l="1"/>
  <c r="AF536" i="9"/>
  <c r="AA538" i="9" l="1"/>
  <c r="AF537" i="9"/>
  <c r="AA539" i="9" l="1"/>
  <c r="AF538" i="9"/>
  <c r="AA540" i="9" l="1"/>
  <c r="AF539" i="9"/>
  <c r="AA541" i="9" l="1"/>
  <c r="AF540" i="9"/>
  <c r="AA542" i="9" l="1"/>
  <c r="AF541" i="9"/>
  <c r="AA543" i="9" l="1"/>
  <c r="AF542" i="9"/>
  <c r="AA544" i="9" l="1"/>
  <c r="AF543" i="9"/>
  <c r="AA545" i="9" l="1"/>
  <c r="AF544" i="9"/>
  <c r="AA546" i="9" l="1"/>
  <c r="AF545" i="9"/>
  <c r="AA547" i="9" l="1"/>
  <c r="AF546" i="9"/>
  <c r="AA548" i="9" l="1"/>
  <c r="AF547" i="9"/>
  <c r="AA549" i="9" l="1"/>
  <c r="AF548" i="9"/>
  <c r="AA550" i="9" l="1"/>
  <c r="AF549" i="9"/>
  <c r="AA551" i="9" l="1"/>
  <c r="AF550" i="9"/>
  <c r="AA552" i="9" l="1"/>
  <c r="AF551" i="9"/>
  <c r="AA553" i="9" l="1"/>
  <c r="AF552" i="9"/>
  <c r="AA554" i="9" l="1"/>
  <c r="AF553" i="9"/>
  <c r="AA555" i="9" l="1"/>
  <c r="AF554" i="9"/>
  <c r="AA556" i="9" l="1"/>
  <c r="AF555" i="9"/>
  <c r="AA557" i="9" l="1"/>
  <c r="AF556" i="9"/>
  <c r="AA558" i="9" l="1"/>
  <c r="AF557" i="9"/>
  <c r="AA559" i="9" l="1"/>
  <c r="AF558" i="9"/>
  <c r="AA560" i="9" l="1"/>
  <c r="AF559" i="9"/>
  <c r="AA561" i="9" l="1"/>
  <c r="AF560" i="9"/>
  <c r="AA562" i="9" l="1"/>
  <c r="AF561" i="9"/>
  <c r="AA563" i="9" l="1"/>
  <c r="AF562" i="9"/>
  <c r="AA564" i="9" l="1"/>
  <c r="AF563" i="9"/>
  <c r="AA565" i="9" l="1"/>
  <c r="AF564" i="9"/>
  <c r="AA566" i="9" l="1"/>
  <c r="AF565" i="9"/>
  <c r="AA567" i="9" l="1"/>
  <c r="AF566" i="9"/>
  <c r="AA568" i="9" l="1"/>
  <c r="AF567" i="9"/>
  <c r="AA569" i="9" l="1"/>
  <c r="AF568" i="9"/>
  <c r="AA570" i="9" l="1"/>
  <c r="AF569" i="9"/>
  <c r="AA571" i="9" l="1"/>
  <c r="AF570" i="9"/>
  <c r="AA572" i="9" l="1"/>
  <c r="AF571" i="9"/>
  <c r="AA573" i="9" l="1"/>
  <c r="AF572" i="9"/>
  <c r="AA574" i="9" l="1"/>
  <c r="AF573" i="9"/>
  <c r="AA575" i="9" l="1"/>
  <c r="AF574" i="9"/>
  <c r="AA576" i="9" l="1"/>
  <c r="AF575" i="9"/>
  <c r="AA577" i="9" l="1"/>
  <c r="AF576" i="9"/>
  <c r="AA578" i="9" l="1"/>
  <c r="AF577" i="9"/>
  <c r="AA579" i="9" l="1"/>
  <c r="AF578" i="9"/>
  <c r="AA580" i="9" l="1"/>
  <c r="AF579" i="9"/>
  <c r="AA581" i="9" l="1"/>
  <c r="AF580" i="9"/>
  <c r="AA582" i="9" l="1"/>
  <c r="AF581" i="9"/>
  <c r="AA583" i="9" l="1"/>
  <c r="AF582" i="9"/>
  <c r="AA584" i="9" l="1"/>
  <c r="AF583" i="9"/>
  <c r="AA585" i="9" l="1"/>
  <c r="AF584" i="9"/>
  <c r="AA586" i="9" l="1"/>
  <c r="AF585" i="9"/>
  <c r="AA587" i="9" l="1"/>
  <c r="AF586" i="9"/>
  <c r="AA588" i="9" l="1"/>
  <c r="AF587" i="9"/>
  <c r="AA589" i="9" l="1"/>
  <c r="AF588" i="9"/>
  <c r="AA590" i="9" l="1"/>
  <c r="AF589" i="9"/>
  <c r="AA591" i="9" l="1"/>
  <c r="AF590" i="9"/>
  <c r="AA592" i="9" l="1"/>
  <c r="AF591" i="9"/>
  <c r="AA593" i="9" l="1"/>
  <c r="AF592" i="9"/>
  <c r="AA594" i="9" l="1"/>
  <c r="AF593" i="9"/>
  <c r="AA595" i="9" l="1"/>
  <c r="AF594" i="9"/>
  <c r="AA596" i="9" l="1"/>
  <c r="AF595" i="9"/>
  <c r="AA597" i="9" l="1"/>
  <c r="AF596" i="9"/>
  <c r="AA598" i="9" l="1"/>
  <c r="AF597" i="9"/>
  <c r="AA599" i="9" l="1"/>
  <c r="AF598" i="9"/>
  <c r="AA600" i="9" l="1"/>
  <c r="AF599" i="9"/>
  <c r="AA601" i="9" l="1"/>
  <c r="AF600" i="9"/>
  <c r="AA602" i="9" l="1"/>
  <c r="AF601" i="9"/>
  <c r="AA603" i="9" l="1"/>
  <c r="AF602" i="9"/>
  <c r="AA604" i="9" l="1"/>
  <c r="AF603" i="9"/>
  <c r="AA605" i="9" l="1"/>
  <c r="AF604" i="9"/>
  <c r="AA606" i="9" l="1"/>
  <c r="AF605" i="9"/>
  <c r="AA607" i="9" l="1"/>
  <c r="AF606" i="9"/>
  <c r="AA608" i="9" l="1"/>
  <c r="AF607" i="9"/>
  <c r="AA609" i="9" l="1"/>
  <c r="AF608" i="9"/>
  <c r="AA610" i="9" l="1"/>
  <c r="AF609" i="9"/>
  <c r="AA611" i="9" l="1"/>
  <c r="AF610" i="9"/>
  <c r="AA612" i="9" l="1"/>
  <c r="AF611" i="9"/>
  <c r="AA613" i="9" l="1"/>
  <c r="AF612" i="9"/>
  <c r="AA614" i="9" l="1"/>
  <c r="AF613" i="9"/>
  <c r="AA615" i="9" l="1"/>
  <c r="AF614" i="9"/>
  <c r="AA616" i="9" l="1"/>
  <c r="AF615" i="9"/>
  <c r="AA617" i="9" l="1"/>
  <c r="AF616" i="9"/>
  <c r="AA618" i="9" l="1"/>
  <c r="AF617" i="9"/>
  <c r="AA619" i="9" l="1"/>
  <c r="AF618" i="9"/>
  <c r="AA620" i="9" l="1"/>
  <c r="AF619" i="9"/>
  <c r="AA621" i="9" l="1"/>
  <c r="AF620" i="9"/>
  <c r="AA622" i="9" l="1"/>
  <c r="AF621" i="9"/>
  <c r="AA623" i="9" l="1"/>
  <c r="AF622" i="9"/>
  <c r="AA624" i="9" l="1"/>
  <c r="AF623" i="9"/>
  <c r="AA625" i="9" l="1"/>
  <c r="AF624" i="9"/>
  <c r="AA626" i="9" l="1"/>
  <c r="AF625" i="9"/>
  <c r="AA627" i="9" l="1"/>
  <c r="AF626" i="9"/>
  <c r="AA628" i="9" l="1"/>
  <c r="AF627" i="9"/>
  <c r="AA629" i="9" l="1"/>
  <c r="AF628" i="9"/>
  <c r="AA630" i="9" l="1"/>
  <c r="AF629" i="9"/>
  <c r="AA631" i="9" l="1"/>
  <c r="AF630" i="9"/>
  <c r="AA632" i="9" l="1"/>
  <c r="AF631" i="9"/>
  <c r="AA633" i="9" l="1"/>
  <c r="AF632" i="9"/>
  <c r="AA634" i="9" l="1"/>
  <c r="AF633" i="9"/>
  <c r="AA635" i="9" l="1"/>
  <c r="AF634" i="9"/>
  <c r="AA636" i="9" l="1"/>
  <c r="AF635" i="9"/>
  <c r="AA637" i="9" l="1"/>
  <c r="AF636" i="9"/>
  <c r="AA638" i="9" l="1"/>
  <c r="AF637" i="9"/>
  <c r="AA639" i="9" l="1"/>
  <c r="AF638" i="9"/>
  <c r="AA640" i="9" l="1"/>
  <c r="AF639" i="9"/>
  <c r="AA641" i="9" l="1"/>
  <c r="AF640" i="9"/>
  <c r="AA642" i="9" l="1"/>
  <c r="AF641" i="9"/>
  <c r="AA643" i="9" l="1"/>
  <c r="AF642" i="9"/>
  <c r="AA644" i="9" l="1"/>
  <c r="AF643" i="9"/>
  <c r="AA645" i="9" l="1"/>
  <c r="AF644" i="9"/>
  <c r="AA646" i="9" l="1"/>
  <c r="AF645" i="9"/>
  <c r="AA647" i="9" l="1"/>
  <c r="AF646" i="9"/>
  <c r="AA648" i="9" l="1"/>
  <c r="AF647" i="9"/>
  <c r="AA649" i="9" l="1"/>
  <c r="AF648" i="9"/>
  <c r="AA650" i="9" l="1"/>
  <c r="AF649" i="9"/>
  <c r="AA651" i="9" l="1"/>
  <c r="AF650" i="9"/>
  <c r="AA652" i="9" l="1"/>
  <c r="AF651" i="9"/>
  <c r="AA653" i="9" l="1"/>
  <c r="AF652" i="9"/>
  <c r="AA654" i="9" l="1"/>
  <c r="AF653" i="9"/>
  <c r="AA655" i="9" l="1"/>
  <c r="AF654" i="9"/>
  <c r="AA656" i="9" l="1"/>
  <c r="AF655" i="9"/>
  <c r="AA657" i="9" l="1"/>
  <c r="AF656" i="9"/>
  <c r="AA658" i="9" l="1"/>
  <c r="AF657" i="9"/>
  <c r="AA659" i="9" l="1"/>
  <c r="AF658" i="9"/>
  <c r="AA660" i="9" l="1"/>
  <c r="AF659" i="9"/>
  <c r="AA661" i="9" l="1"/>
  <c r="AF660" i="9"/>
  <c r="AA662" i="9" l="1"/>
  <c r="AF661" i="9"/>
  <c r="AA663" i="9" l="1"/>
  <c r="AF662" i="9"/>
  <c r="AA664" i="9" l="1"/>
  <c r="AF663" i="9"/>
  <c r="AA665" i="9" l="1"/>
  <c r="AF664" i="9"/>
  <c r="AA666" i="9" l="1"/>
  <c r="AF665" i="9"/>
  <c r="AA667" i="9" l="1"/>
  <c r="AF666" i="9"/>
  <c r="AA668" i="9" l="1"/>
  <c r="AF667" i="9"/>
  <c r="AA669" i="9" l="1"/>
  <c r="AF668" i="9"/>
  <c r="AA670" i="9" l="1"/>
  <c r="AF669" i="9"/>
  <c r="AA671" i="9" l="1"/>
  <c r="AF670" i="9"/>
  <c r="AA672" i="9" l="1"/>
  <c r="AF671" i="9"/>
  <c r="AA673" i="9" l="1"/>
  <c r="AF672" i="9"/>
  <c r="AA674" i="9" l="1"/>
  <c r="AF673" i="9"/>
  <c r="AA675" i="9" l="1"/>
  <c r="AF674" i="9"/>
  <c r="AA676" i="9" l="1"/>
  <c r="AF675" i="9"/>
  <c r="AA677" i="9" l="1"/>
  <c r="AF676" i="9"/>
  <c r="AA678" i="9" l="1"/>
  <c r="AF677" i="9"/>
  <c r="AA679" i="9" l="1"/>
  <c r="AF678" i="9"/>
  <c r="AA680" i="9" l="1"/>
  <c r="AF679" i="9"/>
  <c r="AA681" i="9" l="1"/>
  <c r="AF680" i="9"/>
  <c r="AA682" i="9" l="1"/>
  <c r="AF681" i="9"/>
  <c r="AA683" i="9" l="1"/>
  <c r="AF682" i="9"/>
  <c r="AA684" i="9" l="1"/>
  <c r="AF683" i="9"/>
  <c r="AA685" i="9" l="1"/>
  <c r="AF684" i="9"/>
  <c r="AA686" i="9" l="1"/>
  <c r="AF685" i="9"/>
  <c r="AA687" i="9" l="1"/>
  <c r="AF686" i="9"/>
  <c r="AA688" i="9" l="1"/>
  <c r="AF687" i="9"/>
  <c r="AA689" i="9" l="1"/>
  <c r="AF688" i="9"/>
  <c r="AA690" i="9" l="1"/>
  <c r="AF689" i="9"/>
  <c r="AA691" i="9" l="1"/>
  <c r="AF690" i="9"/>
  <c r="AA692" i="9" l="1"/>
  <c r="AF691" i="9"/>
  <c r="AA693" i="9" l="1"/>
  <c r="AF692" i="9"/>
  <c r="AA694" i="9" l="1"/>
  <c r="AF693" i="9"/>
  <c r="AA695" i="9" l="1"/>
  <c r="AF694" i="9"/>
  <c r="AA696" i="9" l="1"/>
  <c r="AF695" i="9"/>
  <c r="AA697" i="9" l="1"/>
  <c r="AF696" i="9"/>
  <c r="AA698" i="9" l="1"/>
  <c r="AF697" i="9"/>
  <c r="AA699" i="9" l="1"/>
  <c r="AF698" i="9"/>
  <c r="AA700" i="9" l="1"/>
  <c r="AF699" i="9"/>
  <c r="AA701" i="9" l="1"/>
  <c r="AF700" i="9"/>
  <c r="AA702" i="9" l="1"/>
  <c r="AF701" i="9"/>
  <c r="AA703" i="9" l="1"/>
  <c r="AF702" i="9"/>
  <c r="AA704" i="9" l="1"/>
  <c r="AF703" i="9"/>
  <c r="AA705" i="9" l="1"/>
  <c r="AF704" i="9"/>
  <c r="AA706" i="9" l="1"/>
  <c r="AF705" i="9"/>
  <c r="AA707" i="9" l="1"/>
  <c r="AF706" i="9"/>
  <c r="AA708" i="9" l="1"/>
  <c r="AF707" i="9"/>
  <c r="AA709" i="9" l="1"/>
  <c r="AF708" i="9"/>
  <c r="AA710" i="9" l="1"/>
  <c r="AF709" i="9"/>
  <c r="AA711" i="9" l="1"/>
  <c r="AF710" i="9"/>
  <c r="AA712" i="9" l="1"/>
  <c r="AF711" i="9"/>
  <c r="AA713" i="9" l="1"/>
  <c r="AF712" i="9"/>
  <c r="AA714" i="9" l="1"/>
  <c r="AF713" i="9"/>
  <c r="AA715" i="9" l="1"/>
  <c r="AF714" i="9"/>
  <c r="AA716" i="9" l="1"/>
  <c r="AF715" i="9"/>
  <c r="AA717" i="9" l="1"/>
  <c r="AF716" i="9"/>
  <c r="AA718" i="9" l="1"/>
  <c r="AF717" i="9"/>
  <c r="AA719" i="9" l="1"/>
  <c r="AF718" i="9"/>
  <c r="AA720" i="9" l="1"/>
  <c r="AF719" i="9"/>
  <c r="AA721" i="9" l="1"/>
  <c r="AF720" i="9"/>
  <c r="AA722" i="9" l="1"/>
  <c r="AF721" i="9"/>
  <c r="AA723" i="9" l="1"/>
  <c r="AF722" i="9"/>
  <c r="AA724" i="9" l="1"/>
  <c r="AF723" i="9"/>
  <c r="AA725" i="9" l="1"/>
  <c r="AF724" i="9"/>
  <c r="AA726" i="9" l="1"/>
  <c r="AF725" i="9"/>
  <c r="AA727" i="9" l="1"/>
  <c r="AF726" i="9"/>
  <c r="AA728" i="9" l="1"/>
  <c r="AF727" i="9"/>
  <c r="AA729" i="9" l="1"/>
  <c r="AF728" i="9"/>
  <c r="AA730" i="9" l="1"/>
  <c r="AF729" i="9"/>
  <c r="AA731" i="9" l="1"/>
  <c r="AF731" i="9" s="1"/>
  <c r="AF730" i="9"/>
</calcChain>
</file>

<file path=xl/sharedStrings.xml><?xml version="1.0" encoding="utf-8"?>
<sst xmlns="http://schemas.openxmlformats.org/spreadsheetml/2006/main" count="10" uniqueCount="10">
  <si>
    <t>name</t>
  </si>
  <si>
    <t>dir</t>
  </si>
  <si>
    <t>scn_numb</t>
  </si>
  <si>
    <t>a</t>
  </si>
  <si>
    <t>signma</t>
  </si>
  <si>
    <t>corel</t>
  </si>
  <si>
    <t>delta</t>
  </si>
  <si>
    <t>C:\Users\b029735\NoBackupData\25_PROJECT_2015\MERGE_NEW_ESG_CODE\SETUP_NEW_CODE\03_Scenario_Gen\Output\</t>
  </si>
  <si>
    <t xml:space="preserve"> </t>
  </si>
  <si>
    <t>scenario_0_0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</si>
</sst>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0.000%"/>
    <numFmt numFmtId="166" formatCode="0.00000%"/>
    <numFmt numFmtId="167" formatCode="0.0000000%"/>
    <numFmt numFmtId="168" formatCode="0.0%"/>
  </numFmts>
  <fonts count="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165" fontId="0" fillId="2" borderId="0" xfId="1" applyNumberFormat="1" applyFont="1" applyFill="1"/>
    <xf numFmtId="166" fontId="0" fillId="2" borderId="0" xfId="1" applyNumberFormat="1" applyFont="1" applyFill="1"/>
    <xf numFmtId="167" fontId="0" fillId="2" borderId="0" xfId="1" applyNumberFormat="1" applyFont="1" applyFill="1"/>
    <xf numFmtId="167" fontId="2" fillId="2" borderId="0" xfId="0" applyNumberFormat="1" applyFont="1" applyFill="1"/>
    <xf numFmtId="0" fontId="2" fillId="2" borderId="0" xfId="0" applyFont="1" applyFill="1"/>
    <xf numFmtId="9" fontId="0" fillId="2" borderId="0" xfId="1" applyFont="1" applyFill="1"/>
    <xf numFmtId="164" fontId="0" fillId="2" borderId="0" xfId="2" applyFont="1" applyFill="1"/>
    <xf numFmtId="165" fontId="0" fillId="0" borderId="0" xfId="1" applyNumberFormat="1" applyFont="1"/>
    <xf numFmtId="164" fontId="0" fillId="0" borderId="0" xfId="2" applyFont="1"/>
    <xf numFmtId="164" fontId="0" fillId="2" borderId="0" xfId="0" applyNumberFormat="1" applyFill="1"/>
    <xf numFmtId="168" fontId="0" fillId="0" borderId="0" xfId="1" applyNumberFormat="1" applyFont="1"/>
    <xf numFmtId="10" fontId="0" fillId="0" borderId="0" xfId="1" applyNumberFormat="1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Output!$K$12:$K$731</c:f>
              <c:numCache>
                <c:formatCode>General</c:formatCode>
                <c:ptCount val="720"/>
                <c:pt idx="0">
                  <c:v>0.99999961725938824</c:v>
                </c:pt>
                <c:pt idx="1">
                  <c:v>0.99998476394275315</c:v>
                </c:pt>
                <c:pt idx="2">
                  <c:v>0.99998474066388876</c:v>
                </c:pt>
                <c:pt idx="3">
                  <c:v>0.99999384096476041</c:v>
                </c:pt>
                <c:pt idx="4">
                  <c:v>1.0000102154971764</c:v>
                </c:pt>
                <c:pt idx="5">
                  <c:v>1.0000367365671583</c:v>
                </c:pt>
                <c:pt idx="6">
                  <c:v>1.0000309267508243</c:v>
                </c:pt>
                <c:pt idx="7">
                  <c:v>1.0000323373398383</c:v>
                </c:pt>
                <c:pt idx="8">
                  <c:v>1.0000261707242803</c:v>
                </c:pt>
                <c:pt idx="9">
                  <c:v>1.0000479177388548</c:v>
                </c:pt>
                <c:pt idx="10">
                  <c:v>1.0000814309836628</c:v>
                </c:pt>
                <c:pt idx="11">
                  <c:v>1.0000884282992517</c:v>
                </c:pt>
                <c:pt idx="12">
                  <c:v>1.0001060263750046</c:v>
                </c:pt>
                <c:pt idx="13">
                  <c:v>1.0000701647994623</c:v>
                </c:pt>
                <c:pt idx="14">
                  <c:v>1.0000192319421468</c:v>
                </c:pt>
                <c:pt idx="15">
                  <c:v>1.0000361864677541</c:v>
                </c:pt>
                <c:pt idx="16">
                  <c:v>1.000021332674055</c:v>
                </c:pt>
                <c:pt idx="17">
                  <c:v>0.99996863732143326</c:v>
                </c:pt>
                <c:pt idx="18">
                  <c:v>0.99997036000011619</c:v>
                </c:pt>
                <c:pt idx="19">
                  <c:v>0.99998534810117601</c:v>
                </c:pt>
                <c:pt idx="20">
                  <c:v>0.99999584845188627</c:v>
                </c:pt>
                <c:pt idx="21">
                  <c:v>1.0000420407507824</c:v>
                </c:pt>
                <c:pt idx="22">
                  <c:v>0.99999941643479207</c:v>
                </c:pt>
                <c:pt idx="23">
                  <c:v>0.99998065780312528</c:v>
                </c:pt>
                <c:pt idx="24">
                  <c:v>1.0000307455400135</c:v>
                </c:pt>
                <c:pt idx="25">
                  <c:v>1.0000254327516329</c:v>
                </c:pt>
                <c:pt idx="26">
                  <c:v>0.99998423766086408</c:v>
                </c:pt>
                <c:pt idx="27">
                  <c:v>0.9999507697245722</c:v>
                </c:pt>
                <c:pt idx="28">
                  <c:v>0.99999672495953862</c:v>
                </c:pt>
                <c:pt idx="29">
                  <c:v>1.0000750390164312</c:v>
                </c:pt>
                <c:pt idx="30">
                  <c:v>1.0001355537052632</c:v>
                </c:pt>
                <c:pt idx="31">
                  <c:v>1.0001013777330876</c:v>
                </c:pt>
                <c:pt idx="32">
                  <c:v>1.0000983664025056</c:v>
                </c:pt>
                <c:pt idx="33">
                  <c:v>1.0001484742667079</c:v>
                </c:pt>
                <c:pt idx="34">
                  <c:v>1.000145329912796</c:v>
                </c:pt>
                <c:pt idx="35">
                  <c:v>1.0000483460792102</c:v>
                </c:pt>
                <c:pt idx="36">
                  <c:v>1.0001054673603693</c:v>
                </c:pt>
                <c:pt idx="37">
                  <c:v>1.0000297293300406</c:v>
                </c:pt>
                <c:pt idx="38">
                  <c:v>1.0000815635748688</c:v>
                </c:pt>
                <c:pt idx="39">
                  <c:v>1.0000166892282052</c:v>
                </c:pt>
                <c:pt idx="40">
                  <c:v>0.99995189260180151</c:v>
                </c:pt>
                <c:pt idx="41">
                  <c:v>0.99998556589068599</c:v>
                </c:pt>
                <c:pt idx="42">
                  <c:v>0.99996158624162546</c:v>
                </c:pt>
                <c:pt idx="43">
                  <c:v>0.99996751549587548</c:v>
                </c:pt>
                <c:pt idx="44">
                  <c:v>1.0000051529551059</c:v>
                </c:pt>
                <c:pt idx="45">
                  <c:v>1.0000425290315298</c:v>
                </c:pt>
                <c:pt idx="46">
                  <c:v>1.0000773278555599</c:v>
                </c:pt>
                <c:pt idx="47">
                  <c:v>1.0000591245766353</c:v>
                </c:pt>
                <c:pt idx="48">
                  <c:v>1.0000294839253425</c:v>
                </c:pt>
                <c:pt idx="49">
                  <c:v>1.0000421939730164</c:v>
                </c:pt>
                <c:pt idx="50">
                  <c:v>1.0000431995476322</c:v>
                </c:pt>
                <c:pt idx="51">
                  <c:v>1.0000093995120956</c:v>
                </c:pt>
                <c:pt idx="52">
                  <c:v>1.0000121824327917</c:v>
                </c:pt>
                <c:pt idx="53">
                  <c:v>1.0001049466818368</c:v>
                </c:pt>
                <c:pt idx="54">
                  <c:v>1.0000432630373477</c:v>
                </c:pt>
                <c:pt idx="55">
                  <c:v>1.0000331825641942</c:v>
                </c:pt>
                <c:pt idx="56">
                  <c:v>1.0000679908493575</c:v>
                </c:pt>
                <c:pt idx="57">
                  <c:v>1.0000370646083363</c:v>
                </c:pt>
                <c:pt idx="58">
                  <c:v>1.0000008709376824</c:v>
                </c:pt>
                <c:pt idx="59">
                  <c:v>0.99994933062239955</c:v>
                </c:pt>
                <c:pt idx="60">
                  <c:v>0.99991135015904986</c:v>
                </c:pt>
                <c:pt idx="61">
                  <c:v>0.99978404566088341</c:v>
                </c:pt>
                <c:pt idx="62">
                  <c:v>0.99978610531438594</c:v>
                </c:pt>
                <c:pt idx="63">
                  <c:v>0.99974591801736978</c:v>
                </c:pt>
                <c:pt idx="64">
                  <c:v>0.99980370964956533</c:v>
                </c:pt>
                <c:pt idx="65">
                  <c:v>0.99978196431053734</c:v>
                </c:pt>
                <c:pt idx="66">
                  <c:v>0.9998788838300694</c:v>
                </c:pt>
                <c:pt idx="67">
                  <c:v>0.99992855831832095</c:v>
                </c:pt>
                <c:pt idx="68">
                  <c:v>0.99987935668066874</c:v>
                </c:pt>
                <c:pt idx="69">
                  <c:v>0.99973003780782255</c:v>
                </c:pt>
                <c:pt idx="70">
                  <c:v>0.99981442599058434</c:v>
                </c:pt>
                <c:pt idx="71">
                  <c:v>0.99988175607717689</c:v>
                </c:pt>
                <c:pt idx="72">
                  <c:v>0.99982875634481982</c:v>
                </c:pt>
                <c:pt idx="73">
                  <c:v>0.99983868322992298</c:v>
                </c:pt>
                <c:pt idx="74">
                  <c:v>0.99985298426724578</c:v>
                </c:pt>
                <c:pt idx="75">
                  <c:v>0.99995938876520152</c:v>
                </c:pt>
                <c:pt idx="76">
                  <c:v>0.99982922023893439</c:v>
                </c:pt>
                <c:pt idx="77">
                  <c:v>0.99994031669194827</c:v>
                </c:pt>
                <c:pt idx="78">
                  <c:v>1.0000256576543969</c:v>
                </c:pt>
                <c:pt idx="79">
                  <c:v>1.0001908829785211</c:v>
                </c:pt>
                <c:pt idx="80">
                  <c:v>1.0002735580368052</c:v>
                </c:pt>
                <c:pt idx="81">
                  <c:v>1.0003003204201066</c:v>
                </c:pt>
                <c:pt idx="82">
                  <c:v>1.0002926947465873</c:v>
                </c:pt>
                <c:pt idx="83">
                  <c:v>1.000414686369439</c:v>
                </c:pt>
                <c:pt idx="84">
                  <c:v>1.0004598150022952</c:v>
                </c:pt>
                <c:pt idx="85">
                  <c:v>1.0004433387326122</c:v>
                </c:pt>
                <c:pt idx="86">
                  <c:v>1.0004509689693613</c:v>
                </c:pt>
                <c:pt idx="87">
                  <c:v>1.0003827778446597</c:v>
                </c:pt>
                <c:pt idx="88">
                  <c:v>1.0004382239223992</c:v>
                </c:pt>
                <c:pt idx="89">
                  <c:v>1.0004872049513551</c:v>
                </c:pt>
                <c:pt idx="90">
                  <c:v>1.000495080600142</c:v>
                </c:pt>
                <c:pt idx="91">
                  <c:v>1.0005241263469766</c:v>
                </c:pt>
                <c:pt idx="92">
                  <c:v>1.0005075939718715</c:v>
                </c:pt>
                <c:pt idx="93">
                  <c:v>1.0004594202801955</c:v>
                </c:pt>
                <c:pt idx="94">
                  <c:v>1.000350997517498</c:v>
                </c:pt>
                <c:pt idx="95">
                  <c:v>1.0003696338990051</c:v>
                </c:pt>
                <c:pt idx="96">
                  <c:v>1.0003967783279641</c:v>
                </c:pt>
                <c:pt idx="97">
                  <c:v>1.0004197748940145</c:v>
                </c:pt>
                <c:pt idx="98">
                  <c:v>1.0004389706479262</c:v>
                </c:pt>
                <c:pt idx="99">
                  <c:v>1.0005069011889811</c:v>
                </c:pt>
                <c:pt idx="100">
                  <c:v>1.0005686897447794</c:v>
                </c:pt>
                <c:pt idx="101">
                  <c:v>1.0005500289045597</c:v>
                </c:pt>
                <c:pt idx="102">
                  <c:v>1.0005775116245847</c:v>
                </c:pt>
                <c:pt idx="103">
                  <c:v>1.0006811882214872</c:v>
                </c:pt>
                <c:pt idx="104">
                  <c:v>1.0008236616414596</c:v>
                </c:pt>
                <c:pt idx="105">
                  <c:v>1.0008539460254808</c:v>
                </c:pt>
                <c:pt idx="106">
                  <c:v>1.0008615979529814</c:v>
                </c:pt>
                <c:pt idx="107">
                  <c:v>1.0007840553059262</c:v>
                </c:pt>
                <c:pt idx="108">
                  <c:v>1.0007349723722732</c:v>
                </c:pt>
                <c:pt idx="109">
                  <c:v>1.0007641693470426</c:v>
                </c:pt>
                <c:pt idx="110">
                  <c:v>1.000838338248722</c:v>
                </c:pt>
                <c:pt idx="111">
                  <c:v>1.0008748370644116</c:v>
                </c:pt>
                <c:pt idx="112">
                  <c:v>1.0008320055099176</c:v>
                </c:pt>
                <c:pt idx="113">
                  <c:v>1.0008442691168333</c:v>
                </c:pt>
                <c:pt idx="114">
                  <c:v>1.0008766378334895</c:v>
                </c:pt>
                <c:pt idx="115">
                  <c:v>1.0009286592206272</c:v>
                </c:pt>
                <c:pt idx="116">
                  <c:v>1.0009073122698693</c:v>
                </c:pt>
                <c:pt idx="117">
                  <c:v>1.0010278878350718</c:v>
                </c:pt>
                <c:pt idx="118">
                  <c:v>1.0011356666847615</c:v>
                </c:pt>
                <c:pt idx="119">
                  <c:v>1.0012395428655125</c:v>
                </c:pt>
                <c:pt idx="120">
                  <c:v>1.0012873799441719</c:v>
                </c:pt>
                <c:pt idx="121">
                  <c:v>1.0011918129539847</c:v>
                </c:pt>
                <c:pt idx="122">
                  <c:v>1.0011877100308011</c:v>
                </c:pt>
                <c:pt idx="123">
                  <c:v>1.0010984391812368</c:v>
                </c:pt>
                <c:pt idx="124">
                  <c:v>1.0010062029920266</c:v>
                </c:pt>
                <c:pt idx="125">
                  <c:v>1.0010234200327321</c:v>
                </c:pt>
                <c:pt idx="126">
                  <c:v>1.0009004845486322</c:v>
                </c:pt>
                <c:pt idx="127">
                  <c:v>1.0009474069174173</c:v>
                </c:pt>
                <c:pt idx="128">
                  <c:v>1.0009212185250802</c:v>
                </c:pt>
                <c:pt idx="129">
                  <c:v>1.0009083766957434</c:v>
                </c:pt>
                <c:pt idx="130">
                  <c:v>1.0008385529349291</c:v>
                </c:pt>
                <c:pt idx="131">
                  <c:v>1.000925757719888</c:v>
                </c:pt>
                <c:pt idx="132">
                  <c:v>1.0010075878264475</c:v>
                </c:pt>
                <c:pt idx="133">
                  <c:v>1.0009802533304468</c:v>
                </c:pt>
                <c:pt idx="134">
                  <c:v>1.0010663088567733</c:v>
                </c:pt>
                <c:pt idx="135">
                  <c:v>1.0010982825698824</c:v>
                </c:pt>
                <c:pt idx="136">
                  <c:v>1.0009888579541237</c:v>
                </c:pt>
                <c:pt idx="137">
                  <c:v>1.0008953672661127</c:v>
                </c:pt>
                <c:pt idx="138">
                  <c:v>1.0010596761139117</c:v>
                </c:pt>
                <c:pt idx="139">
                  <c:v>1.0009476685365271</c:v>
                </c:pt>
                <c:pt idx="140">
                  <c:v>1.0008450349713816</c:v>
                </c:pt>
                <c:pt idx="141">
                  <c:v>1.0008327280924305</c:v>
                </c:pt>
                <c:pt idx="142">
                  <c:v>1.0007767490360018</c:v>
                </c:pt>
                <c:pt idx="143">
                  <c:v>1.000745771784759</c:v>
                </c:pt>
                <c:pt idx="144">
                  <c:v>1.0008221451210371</c:v>
                </c:pt>
                <c:pt idx="145">
                  <c:v>1.0007637669205067</c:v>
                </c:pt>
                <c:pt idx="146">
                  <c:v>1.0008891982890096</c:v>
                </c:pt>
                <c:pt idx="147">
                  <c:v>1.0008404737808938</c:v>
                </c:pt>
                <c:pt idx="148">
                  <c:v>1.0009170148014563</c:v>
                </c:pt>
                <c:pt idx="149">
                  <c:v>1.0008158788293329</c:v>
                </c:pt>
                <c:pt idx="150">
                  <c:v>1.0008930355867003</c:v>
                </c:pt>
                <c:pt idx="151">
                  <c:v>1.0009122581103804</c:v>
                </c:pt>
                <c:pt idx="152">
                  <c:v>1.000762129099277</c:v>
                </c:pt>
                <c:pt idx="153">
                  <c:v>1.0007237508780691</c:v>
                </c:pt>
                <c:pt idx="154">
                  <c:v>1.0006830557490596</c:v>
                </c:pt>
                <c:pt idx="155">
                  <c:v>1.0007760764537927</c:v>
                </c:pt>
                <c:pt idx="156">
                  <c:v>1.0008700712274747</c:v>
                </c:pt>
                <c:pt idx="157">
                  <c:v>1.0007269837567931</c:v>
                </c:pt>
                <c:pt idx="158">
                  <c:v>1.0006688919237665</c:v>
                </c:pt>
                <c:pt idx="159">
                  <c:v>1.0005161945325352</c:v>
                </c:pt>
                <c:pt idx="160">
                  <c:v>1.0005602865760859</c:v>
                </c:pt>
                <c:pt idx="161">
                  <c:v>1.0005352124004425</c:v>
                </c:pt>
                <c:pt idx="162">
                  <c:v>1.0005425296148591</c:v>
                </c:pt>
                <c:pt idx="163">
                  <c:v>1.0005627976518947</c:v>
                </c:pt>
                <c:pt idx="164">
                  <c:v>1.0006883211694062</c:v>
                </c:pt>
                <c:pt idx="165">
                  <c:v>1.0007935075447738</c:v>
                </c:pt>
                <c:pt idx="166">
                  <c:v>1.0006694576390198</c:v>
                </c:pt>
                <c:pt idx="167">
                  <c:v>1.0007386645716334</c:v>
                </c:pt>
                <c:pt idx="168">
                  <c:v>1.0008504944485739</c:v>
                </c:pt>
                <c:pt idx="169">
                  <c:v>1.0008737830974888</c:v>
                </c:pt>
                <c:pt idx="170">
                  <c:v>1.0009345335192683</c:v>
                </c:pt>
                <c:pt idx="171">
                  <c:v>1.0009421478545051</c:v>
                </c:pt>
                <c:pt idx="172">
                  <c:v>1.0010121971241461</c:v>
                </c:pt>
                <c:pt idx="173">
                  <c:v>1.0010295840417731</c:v>
                </c:pt>
                <c:pt idx="174">
                  <c:v>1.0010442097908681</c:v>
                </c:pt>
                <c:pt idx="175">
                  <c:v>1.0011037865618555</c:v>
                </c:pt>
                <c:pt idx="176">
                  <c:v>1.0011986246661737</c:v>
                </c:pt>
                <c:pt idx="177">
                  <c:v>1.0012652428432858</c:v>
                </c:pt>
                <c:pt idx="178">
                  <c:v>1.0011873121585977</c:v>
                </c:pt>
                <c:pt idx="179">
                  <c:v>1.0011497446398876</c:v>
                </c:pt>
                <c:pt idx="180">
                  <c:v>1.0009451762476749</c:v>
                </c:pt>
                <c:pt idx="181">
                  <c:v>1.0009201523631965</c:v>
                </c:pt>
                <c:pt idx="182">
                  <c:v>1.000910960912287</c:v>
                </c:pt>
                <c:pt idx="183">
                  <c:v>1.0009076697622272</c:v>
                </c:pt>
                <c:pt idx="184">
                  <c:v>1.0009851868691886</c:v>
                </c:pt>
                <c:pt idx="185">
                  <c:v>1.0008694207090485</c:v>
                </c:pt>
                <c:pt idx="186">
                  <c:v>1.0010466286161619</c:v>
                </c:pt>
                <c:pt idx="187">
                  <c:v>1.0009424195512591</c:v>
                </c:pt>
                <c:pt idx="188">
                  <c:v>1.000997282757798</c:v>
                </c:pt>
                <c:pt idx="189">
                  <c:v>1.0007798473473</c:v>
                </c:pt>
                <c:pt idx="190">
                  <c:v>1.0008956456273446</c:v>
                </c:pt>
                <c:pt idx="191">
                  <c:v>1.0010211456559632</c:v>
                </c:pt>
                <c:pt idx="192">
                  <c:v>1.0011959631765099</c:v>
                </c:pt>
                <c:pt idx="193">
                  <c:v>1.0011139850618951</c:v>
                </c:pt>
                <c:pt idx="194">
                  <c:v>1.0010524993576224</c:v>
                </c:pt>
                <c:pt idx="195">
                  <c:v>1.0009923460678181</c:v>
                </c:pt>
                <c:pt idx="196">
                  <c:v>1.0010255447776151</c:v>
                </c:pt>
                <c:pt idx="197">
                  <c:v>1.0010288005983952</c:v>
                </c:pt>
                <c:pt idx="198">
                  <c:v>1.0009938424111922</c:v>
                </c:pt>
                <c:pt idx="199">
                  <c:v>1.0009476791644381</c:v>
                </c:pt>
                <c:pt idx="200">
                  <c:v>1.0009511898578929</c:v>
                </c:pt>
                <c:pt idx="201">
                  <c:v>1.0009865286148723</c:v>
                </c:pt>
                <c:pt idx="202">
                  <c:v>1.0009254388532438</c:v>
                </c:pt>
                <c:pt idx="203">
                  <c:v>1.0008299830393772</c:v>
                </c:pt>
                <c:pt idx="204">
                  <c:v>1.000746759177866</c:v>
                </c:pt>
                <c:pt idx="205">
                  <c:v>1.0007212361914273</c:v>
                </c:pt>
                <c:pt idx="206">
                  <c:v>1.0007995129380034</c:v>
                </c:pt>
                <c:pt idx="207">
                  <c:v>1.0008187208523336</c:v>
                </c:pt>
                <c:pt idx="208">
                  <c:v>1.0008420731008876</c:v>
                </c:pt>
                <c:pt idx="209">
                  <c:v>1.0008607840116963</c:v>
                </c:pt>
                <c:pt idx="210">
                  <c:v>1.0009662374722312</c:v>
                </c:pt>
                <c:pt idx="211">
                  <c:v>1.0008459078867449</c:v>
                </c:pt>
                <c:pt idx="212">
                  <c:v>1.0007101929276454</c:v>
                </c:pt>
                <c:pt idx="213">
                  <c:v>1.0005710600775823</c:v>
                </c:pt>
                <c:pt idx="214">
                  <c:v>1.0004524768117786</c:v>
                </c:pt>
                <c:pt idx="215">
                  <c:v>1.0003952384518897</c:v>
                </c:pt>
                <c:pt idx="216">
                  <c:v>1.0004545896231729</c:v>
                </c:pt>
                <c:pt idx="217">
                  <c:v>1.0003356892170603</c:v>
                </c:pt>
                <c:pt idx="218">
                  <c:v>1.000238069748713</c:v>
                </c:pt>
                <c:pt idx="219">
                  <c:v>1.0002334585848809</c:v>
                </c:pt>
                <c:pt idx="220">
                  <c:v>1.0003013934562357</c:v>
                </c:pt>
                <c:pt idx="221">
                  <c:v>1.0002579620246923</c:v>
                </c:pt>
                <c:pt idx="222">
                  <c:v>1.0003166999436035</c:v>
                </c:pt>
                <c:pt idx="223">
                  <c:v>1.0002831352055672</c:v>
                </c:pt>
                <c:pt idx="224">
                  <c:v>1.0002166406670367</c:v>
                </c:pt>
                <c:pt idx="225">
                  <c:v>1.0000849178686138</c:v>
                </c:pt>
                <c:pt idx="226">
                  <c:v>1.00007464478687</c:v>
                </c:pt>
                <c:pt idx="227">
                  <c:v>1.0000775512718365</c:v>
                </c:pt>
                <c:pt idx="228">
                  <c:v>1.0000787100876873</c:v>
                </c:pt>
                <c:pt idx="229">
                  <c:v>1.0001121952010417</c:v>
                </c:pt>
                <c:pt idx="230">
                  <c:v>1.0001360092349381</c:v>
                </c:pt>
                <c:pt idx="231">
                  <c:v>1.0002456551103815</c:v>
                </c:pt>
                <c:pt idx="232">
                  <c:v>1.0002977437613425</c:v>
                </c:pt>
                <c:pt idx="233">
                  <c:v>1.0003112461865484</c:v>
                </c:pt>
                <c:pt idx="234">
                  <c:v>1.0002677536551203</c:v>
                </c:pt>
                <c:pt idx="235">
                  <c:v>1.0002382831785457</c:v>
                </c:pt>
                <c:pt idx="236">
                  <c:v>1.0004071626673168</c:v>
                </c:pt>
                <c:pt idx="237">
                  <c:v>1.0003089173337518</c:v>
                </c:pt>
                <c:pt idx="238">
                  <c:v>1.0002892185443117</c:v>
                </c:pt>
                <c:pt idx="239">
                  <c:v>1.000208580702092</c:v>
                </c:pt>
                <c:pt idx="240">
                  <c:v>1.0001344214517189</c:v>
                </c:pt>
                <c:pt idx="241">
                  <c:v>1.0001100142737231</c:v>
                </c:pt>
                <c:pt idx="242">
                  <c:v>1.0001055556963574</c:v>
                </c:pt>
                <c:pt idx="243">
                  <c:v>1.0000905046317232</c:v>
                </c:pt>
                <c:pt idx="244">
                  <c:v>1.0000164002233187</c:v>
                </c:pt>
                <c:pt idx="245">
                  <c:v>1.0000968078435697</c:v>
                </c:pt>
                <c:pt idx="246">
                  <c:v>1.0001649715618206</c:v>
                </c:pt>
                <c:pt idx="247">
                  <c:v>1.000221064925104</c:v>
                </c:pt>
                <c:pt idx="248">
                  <c:v>1.0003454893355461</c:v>
                </c:pt>
                <c:pt idx="249">
                  <c:v>1.0003474214670647</c:v>
                </c:pt>
                <c:pt idx="250">
                  <c:v>1.0004426516840761</c:v>
                </c:pt>
                <c:pt idx="251">
                  <c:v>1.0002459618517954</c:v>
                </c:pt>
                <c:pt idx="252">
                  <c:v>1.0001781388110202</c:v>
                </c:pt>
                <c:pt idx="253">
                  <c:v>1.000330404810106</c:v>
                </c:pt>
                <c:pt idx="254">
                  <c:v>1.0003470937709498</c:v>
                </c:pt>
                <c:pt idx="255">
                  <c:v>1.0002035428893057</c:v>
                </c:pt>
                <c:pt idx="256">
                  <c:v>1.0000498271452716</c:v>
                </c:pt>
                <c:pt idx="257">
                  <c:v>1.0001099725920806</c:v>
                </c:pt>
                <c:pt idx="258">
                  <c:v>0.99996607233471557</c:v>
                </c:pt>
                <c:pt idx="259">
                  <c:v>0.99994406031927263</c:v>
                </c:pt>
                <c:pt idx="260">
                  <c:v>0.99999246917713891</c:v>
                </c:pt>
                <c:pt idx="261">
                  <c:v>0.9998303700009884</c:v>
                </c:pt>
                <c:pt idx="262">
                  <c:v>0.99983277048621844</c:v>
                </c:pt>
                <c:pt idx="263">
                  <c:v>0.9998926068330396</c:v>
                </c:pt>
                <c:pt idx="264">
                  <c:v>1.0000475320087185</c:v>
                </c:pt>
                <c:pt idx="265">
                  <c:v>1.0000639594231671</c:v>
                </c:pt>
                <c:pt idx="266">
                  <c:v>1.0000864272549079</c:v>
                </c:pt>
                <c:pt idx="267">
                  <c:v>0.99983586017505766</c:v>
                </c:pt>
                <c:pt idx="268">
                  <c:v>1.0000154364601925</c:v>
                </c:pt>
                <c:pt idx="269">
                  <c:v>0.99992376839974739</c:v>
                </c:pt>
                <c:pt idx="270">
                  <c:v>0.99992083826062084</c:v>
                </c:pt>
                <c:pt idx="271">
                  <c:v>0.99980093490014543</c:v>
                </c:pt>
                <c:pt idx="272">
                  <c:v>0.99976687419180399</c:v>
                </c:pt>
                <c:pt idx="273">
                  <c:v>0.99957891575124658</c:v>
                </c:pt>
                <c:pt idx="274">
                  <c:v>0.99960728577391833</c:v>
                </c:pt>
                <c:pt idx="275">
                  <c:v>0.99965977726229582</c:v>
                </c:pt>
                <c:pt idx="276">
                  <c:v>0.9997235605851541</c:v>
                </c:pt>
                <c:pt idx="277">
                  <c:v>0.99953836491271131</c:v>
                </c:pt>
                <c:pt idx="278">
                  <c:v>0.99943365565754883</c:v>
                </c:pt>
                <c:pt idx="279">
                  <c:v>0.99956757423022058</c:v>
                </c:pt>
                <c:pt idx="280">
                  <c:v>0.99954705348136286</c:v>
                </c:pt>
                <c:pt idx="281">
                  <c:v>0.99972680800643743</c:v>
                </c:pt>
                <c:pt idx="282">
                  <c:v>0.99976668709652838</c:v>
                </c:pt>
                <c:pt idx="283">
                  <c:v>0.9997577094259219</c:v>
                </c:pt>
                <c:pt idx="284">
                  <c:v>0.99991370768819554</c:v>
                </c:pt>
                <c:pt idx="285">
                  <c:v>0.99977967609350038</c:v>
                </c:pt>
                <c:pt idx="286">
                  <c:v>0.99974583862302502</c:v>
                </c:pt>
                <c:pt idx="287">
                  <c:v>0.99975042123776481</c:v>
                </c:pt>
                <c:pt idx="288">
                  <c:v>0.99992768777711505</c:v>
                </c:pt>
                <c:pt idx="289">
                  <c:v>0.99989605105802315</c:v>
                </c:pt>
                <c:pt idx="290">
                  <c:v>0.99988757105191917</c:v>
                </c:pt>
                <c:pt idx="291">
                  <c:v>0.99998304099318758</c:v>
                </c:pt>
                <c:pt idx="292">
                  <c:v>1.0000104101812597</c:v>
                </c:pt>
                <c:pt idx="293">
                  <c:v>0.99992383502927107</c:v>
                </c:pt>
                <c:pt idx="294">
                  <c:v>0.99984457843823327</c:v>
                </c:pt>
                <c:pt idx="295">
                  <c:v>0.99992467590492662</c:v>
                </c:pt>
                <c:pt idx="296">
                  <c:v>0.99981611662439784</c:v>
                </c:pt>
                <c:pt idx="297">
                  <c:v>0.99965192605365505</c:v>
                </c:pt>
                <c:pt idx="298">
                  <c:v>0.99972955470479441</c:v>
                </c:pt>
                <c:pt idx="299">
                  <c:v>0.99963455583601735</c:v>
                </c:pt>
                <c:pt idx="300">
                  <c:v>0.999731183047886</c:v>
                </c:pt>
                <c:pt idx="301">
                  <c:v>0.9996698242898806</c:v>
                </c:pt>
                <c:pt idx="302">
                  <c:v>0.999547280600948</c:v>
                </c:pt>
                <c:pt idx="303">
                  <c:v>0.99960411856103948</c:v>
                </c:pt>
                <c:pt idx="304">
                  <c:v>0.9995084835106961</c:v>
                </c:pt>
                <c:pt idx="305">
                  <c:v>0.99963632477791364</c:v>
                </c:pt>
                <c:pt idx="306">
                  <c:v>0.99967730778075881</c:v>
                </c:pt>
                <c:pt idx="307">
                  <c:v>0.99967083108040578</c:v>
                </c:pt>
                <c:pt idx="308">
                  <c:v>0.99977739520709019</c:v>
                </c:pt>
                <c:pt idx="309">
                  <c:v>0.99963612438226435</c:v>
                </c:pt>
                <c:pt idx="310">
                  <c:v>0.99982785389131046</c:v>
                </c:pt>
                <c:pt idx="311">
                  <c:v>0.99981535795053533</c:v>
                </c:pt>
                <c:pt idx="312">
                  <c:v>0.99966390581041664</c:v>
                </c:pt>
                <c:pt idx="313">
                  <c:v>0.99956385237556622</c:v>
                </c:pt>
                <c:pt idx="314">
                  <c:v>0.99943665826957795</c:v>
                </c:pt>
                <c:pt idx="315">
                  <c:v>0.9992964637985412</c:v>
                </c:pt>
                <c:pt idx="316">
                  <c:v>0.99935444344211688</c:v>
                </c:pt>
                <c:pt idx="317">
                  <c:v>0.99932363178535755</c:v>
                </c:pt>
                <c:pt idx="318">
                  <c:v>0.99937202020154747</c:v>
                </c:pt>
                <c:pt idx="319">
                  <c:v>0.99915352363152399</c:v>
                </c:pt>
                <c:pt idx="320">
                  <c:v>0.99912201722701077</c:v>
                </c:pt>
                <c:pt idx="321">
                  <c:v>0.99901632044257471</c:v>
                </c:pt>
                <c:pt idx="322">
                  <c:v>0.99914176713084513</c:v>
                </c:pt>
                <c:pt idx="323">
                  <c:v>0.99906410683324109</c:v>
                </c:pt>
                <c:pt idx="324">
                  <c:v>0.99918512854150199</c:v>
                </c:pt>
                <c:pt idx="325">
                  <c:v>0.99923926971506727</c:v>
                </c:pt>
                <c:pt idx="326">
                  <c:v>0.99919706228240568</c:v>
                </c:pt>
                <c:pt idx="327">
                  <c:v>0.99911019621776576</c:v>
                </c:pt>
                <c:pt idx="328">
                  <c:v>0.99926208768802338</c:v>
                </c:pt>
                <c:pt idx="329">
                  <c:v>0.99920050446710595</c:v>
                </c:pt>
                <c:pt idx="330">
                  <c:v>0.99925527577287676</c:v>
                </c:pt>
                <c:pt idx="331">
                  <c:v>0.99901896780285948</c:v>
                </c:pt>
                <c:pt idx="332">
                  <c:v>0.99914096861240143</c:v>
                </c:pt>
                <c:pt idx="333">
                  <c:v>0.9992593813766677</c:v>
                </c:pt>
                <c:pt idx="334">
                  <c:v>0.99951924817948234</c:v>
                </c:pt>
                <c:pt idx="335">
                  <c:v>0.99915404420583553</c:v>
                </c:pt>
                <c:pt idx="336">
                  <c:v>0.99922214597648507</c:v>
                </c:pt>
                <c:pt idx="337">
                  <c:v>0.99917232134618039</c:v>
                </c:pt>
                <c:pt idx="338">
                  <c:v>0.99916745750136926</c:v>
                </c:pt>
                <c:pt idx="339">
                  <c:v>0.99926366369886566</c:v>
                </c:pt>
                <c:pt idx="340">
                  <c:v>0.99943884207867539</c:v>
                </c:pt>
                <c:pt idx="341">
                  <c:v>0.99944770965937701</c:v>
                </c:pt>
                <c:pt idx="342">
                  <c:v>0.99936337178898682</c:v>
                </c:pt>
                <c:pt idx="343">
                  <c:v>0.99919948131581349</c:v>
                </c:pt>
                <c:pt idx="344">
                  <c:v>0.99930925125932235</c:v>
                </c:pt>
                <c:pt idx="345">
                  <c:v>0.99908362186364974</c:v>
                </c:pt>
                <c:pt idx="346">
                  <c:v>0.99913169956598036</c:v>
                </c:pt>
                <c:pt idx="347">
                  <c:v>0.99913602999618112</c:v>
                </c:pt>
                <c:pt idx="348">
                  <c:v>0.99913567310455509</c:v>
                </c:pt>
                <c:pt idx="349">
                  <c:v>0.99913625205893275</c:v>
                </c:pt>
                <c:pt idx="350">
                  <c:v>0.99885765916824687</c:v>
                </c:pt>
                <c:pt idx="351">
                  <c:v>0.99880795291062241</c:v>
                </c:pt>
                <c:pt idx="352">
                  <c:v>0.99854917270973809</c:v>
                </c:pt>
                <c:pt idx="353">
                  <c:v>0.99868092209127246</c:v>
                </c:pt>
                <c:pt idx="354">
                  <c:v>0.99857220348033771</c:v>
                </c:pt>
                <c:pt idx="355">
                  <c:v>0.99878395937803133</c:v>
                </c:pt>
                <c:pt idx="356">
                  <c:v>0.99893753054931966</c:v>
                </c:pt>
                <c:pt idx="357">
                  <c:v>0.99892990068144494</c:v>
                </c:pt>
                <c:pt idx="358">
                  <c:v>0.99881260720685971</c:v>
                </c:pt>
                <c:pt idx="359">
                  <c:v>0.99890690555451334</c:v>
                </c:pt>
                <c:pt idx="360">
                  <c:v>0.99886279760364394</c:v>
                </c:pt>
                <c:pt idx="361">
                  <c:v>0.99885255699754405</c:v>
                </c:pt>
                <c:pt idx="362">
                  <c:v>0.99915535299111968</c:v>
                </c:pt>
                <c:pt idx="363">
                  <c:v>0.99950396963279475</c:v>
                </c:pt>
                <c:pt idx="364">
                  <c:v>0.99944341439207085</c:v>
                </c:pt>
                <c:pt idx="365">
                  <c:v>0.99958401781248407</c:v>
                </c:pt>
                <c:pt idx="366">
                  <c:v>0.99965344585802451</c:v>
                </c:pt>
                <c:pt idx="367">
                  <c:v>0.9996480121699336</c:v>
                </c:pt>
                <c:pt idx="368">
                  <c:v>0.9998093402028736</c:v>
                </c:pt>
                <c:pt idx="369">
                  <c:v>0.99990425404979666</c:v>
                </c:pt>
                <c:pt idx="370">
                  <c:v>0.99982971297105294</c:v>
                </c:pt>
                <c:pt idx="371">
                  <c:v>0.99974027484294958</c:v>
                </c:pt>
                <c:pt idx="372">
                  <c:v>0.99980543740158401</c:v>
                </c:pt>
                <c:pt idx="373">
                  <c:v>0.99940122742756099</c:v>
                </c:pt>
                <c:pt idx="374">
                  <c:v>0.99946257586901988</c:v>
                </c:pt>
                <c:pt idx="375">
                  <c:v>0.99947457569868692</c:v>
                </c:pt>
                <c:pt idx="376">
                  <c:v>0.99934505230400195</c:v>
                </c:pt>
                <c:pt idx="377">
                  <c:v>0.99948364658771072</c:v>
                </c:pt>
                <c:pt idx="378">
                  <c:v>0.99943994737683106</c:v>
                </c:pt>
                <c:pt idx="379">
                  <c:v>0.99950663420108532</c:v>
                </c:pt>
                <c:pt idx="380">
                  <c:v>0.9993006381599765</c:v>
                </c:pt>
                <c:pt idx="381">
                  <c:v>0.99919291607157368</c:v>
                </c:pt>
                <c:pt idx="382">
                  <c:v>0.99921897226801437</c:v>
                </c:pt>
                <c:pt idx="383">
                  <c:v>0.99907950369037246</c:v>
                </c:pt>
                <c:pt idx="384">
                  <c:v>0.99923435214316547</c:v>
                </c:pt>
                <c:pt idx="385">
                  <c:v>0.99934981318573668</c:v>
                </c:pt>
                <c:pt idx="386">
                  <c:v>0.99948659466397882</c:v>
                </c:pt>
                <c:pt idx="387">
                  <c:v>0.99951541656660736</c:v>
                </c:pt>
                <c:pt idx="388">
                  <c:v>0.9996990868153709</c:v>
                </c:pt>
                <c:pt idx="389">
                  <c:v>0.99954941643498951</c:v>
                </c:pt>
                <c:pt idx="390">
                  <c:v>0.99960355567835346</c:v>
                </c:pt>
                <c:pt idx="391">
                  <c:v>0.99960306621243145</c:v>
                </c:pt>
                <c:pt idx="392">
                  <c:v>0.99939713438141686</c:v>
                </c:pt>
                <c:pt idx="393">
                  <c:v>0.99918193932404942</c:v>
                </c:pt>
                <c:pt idx="394">
                  <c:v>0.99951136651500516</c:v>
                </c:pt>
                <c:pt idx="395">
                  <c:v>0.9995676663955666</c:v>
                </c:pt>
                <c:pt idx="396">
                  <c:v>0.99957255534465705</c:v>
                </c:pt>
                <c:pt idx="397">
                  <c:v>0.99948561679416559</c:v>
                </c:pt>
                <c:pt idx="398">
                  <c:v>0.99960878382638207</c:v>
                </c:pt>
                <c:pt idx="399">
                  <c:v>0.9996609894515226</c:v>
                </c:pt>
                <c:pt idx="400">
                  <c:v>0.99963139516895128</c:v>
                </c:pt>
                <c:pt idx="401">
                  <c:v>0.99964271234310687</c:v>
                </c:pt>
                <c:pt idx="402">
                  <c:v>0.99975877289633985</c:v>
                </c:pt>
                <c:pt idx="403">
                  <c:v>0.99991903820797723</c:v>
                </c:pt>
                <c:pt idx="404">
                  <c:v>0.99982729442713192</c:v>
                </c:pt>
                <c:pt idx="405">
                  <c:v>0.99961203177371782</c:v>
                </c:pt>
                <c:pt idx="406">
                  <c:v>0.99954222629255085</c:v>
                </c:pt>
                <c:pt idx="407">
                  <c:v>0.9995741171235053</c:v>
                </c:pt>
                <c:pt idx="408">
                  <c:v>0.99967073539282636</c:v>
                </c:pt>
                <c:pt idx="409">
                  <c:v>0.99966191818311623</c:v>
                </c:pt>
                <c:pt idx="410">
                  <c:v>0.99931897583318008</c:v>
                </c:pt>
                <c:pt idx="411">
                  <c:v>0.99926959551100714</c:v>
                </c:pt>
                <c:pt idx="412">
                  <c:v>0.99928838428472155</c:v>
                </c:pt>
                <c:pt idx="413">
                  <c:v>0.99948105179884505</c:v>
                </c:pt>
                <c:pt idx="414">
                  <c:v>0.99915432882935651</c:v>
                </c:pt>
                <c:pt idx="415">
                  <c:v>0.99892758345482646</c:v>
                </c:pt>
                <c:pt idx="416">
                  <c:v>0.99897079930274135</c:v>
                </c:pt>
                <c:pt idx="417">
                  <c:v>0.99896431569933863</c:v>
                </c:pt>
                <c:pt idx="418">
                  <c:v>0.99871171607109877</c:v>
                </c:pt>
                <c:pt idx="419">
                  <c:v>0.99879818102374096</c:v>
                </c:pt>
                <c:pt idx="420">
                  <c:v>0.99874547897902133</c:v>
                </c:pt>
                <c:pt idx="421">
                  <c:v>0.99873668136566807</c:v>
                </c:pt>
                <c:pt idx="422">
                  <c:v>0.99875434289537934</c:v>
                </c:pt>
                <c:pt idx="423">
                  <c:v>0.99881799457459386</c:v>
                </c:pt>
                <c:pt idx="424">
                  <c:v>0.99860868451674134</c:v>
                </c:pt>
                <c:pt idx="425">
                  <c:v>0.99863631826746757</c:v>
                </c:pt>
                <c:pt idx="426">
                  <c:v>0.99880581179636119</c:v>
                </c:pt>
                <c:pt idx="427">
                  <c:v>0.99889988202001267</c:v>
                </c:pt>
                <c:pt idx="428">
                  <c:v>0.99892154658439136</c:v>
                </c:pt>
                <c:pt idx="429">
                  <c:v>0.99895722019799615</c:v>
                </c:pt>
                <c:pt idx="430">
                  <c:v>0.99902588615142351</c:v>
                </c:pt>
                <c:pt idx="431">
                  <c:v>0.9989531948784468</c:v>
                </c:pt>
                <c:pt idx="432">
                  <c:v>0.99898860863360972</c:v>
                </c:pt>
                <c:pt idx="433">
                  <c:v>0.9990024053650588</c:v>
                </c:pt>
                <c:pt idx="434">
                  <c:v>0.99885195274477367</c:v>
                </c:pt>
                <c:pt idx="435">
                  <c:v>0.99878951468410304</c:v>
                </c:pt>
                <c:pt idx="436">
                  <c:v>0.99895038846249928</c:v>
                </c:pt>
                <c:pt idx="437">
                  <c:v>0.99869140381349342</c:v>
                </c:pt>
                <c:pt idx="438">
                  <c:v>0.99862723222950311</c:v>
                </c:pt>
                <c:pt idx="439">
                  <c:v>0.99845365764888594</c:v>
                </c:pt>
                <c:pt idx="440">
                  <c:v>0.99851061189079338</c:v>
                </c:pt>
                <c:pt idx="441">
                  <c:v>0.998584533472612</c:v>
                </c:pt>
                <c:pt idx="442">
                  <c:v>0.99838766109488253</c:v>
                </c:pt>
                <c:pt idx="443">
                  <c:v>0.99838660028522508</c:v>
                </c:pt>
                <c:pt idx="444">
                  <c:v>0.99802322378276598</c:v>
                </c:pt>
                <c:pt idx="445">
                  <c:v>0.9979863794088325</c:v>
                </c:pt>
                <c:pt idx="446">
                  <c:v>0.99788334331160933</c:v>
                </c:pt>
                <c:pt idx="447">
                  <c:v>0.99782553486473413</c:v>
                </c:pt>
                <c:pt idx="448">
                  <c:v>0.99751094175530763</c:v>
                </c:pt>
                <c:pt idx="449">
                  <c:v>0.99745178740634755</c:v>
                </c:pt>
                <c:pt idx="450">
                  <c:v>0.9977240423874566</c:v>
                </c:pt>
                <c:pt idx="451">
                  <c:v>0.99764600633302947</c:v>
                </c:pt>
                <c:pt idx="452">
                  <c:v>0.9975920913117382</c:v>
                </c:pt>
                <c:pt idx="453">
                  <c:v>0.99753542536068107</c:v>
                </c:pt>
                <c:pt idx="454">
                  <c:v>0.99767052698672687</c:v>
                </c:pt>
                <c:pt idx="455">
                  <c:v>0.9974765700248277</c:v>
                </c:pt>
                <c:pt idx="456">
                  <c:v>0.99736079908613506</c:v>
                </c:pt>
                <c:pt idx="457">
                  <c:v>0.99732359675001603</c:v>
                </c:pt>
                <c:pt idx="458">
                  <c:v>0.99713904943636145</c:v>
                </c:pt>
                <c:pt idx="459">
                  <c:v>0.99708461254122871</c:v>
                </c:pt>
                <c:pt idx="460">
                  <c:v>0.99688022191755832</c:v>
                </c:pt>
                <c:pt idx="461">
                  <c:v>0.99680747361405309</c:v>
                </c:pt>
                <c:pt idx="462">
                  <c:v>0.99659562415526726</c:v>
                </c:pt>
                <c:pt idx="463">
                  <c:v>0.99648031834902195</c:v>
                </c:pt>
                <c:pt idx="464">
                  <c:v>0.99638709002818415</c:v>
                </c:pt>
                <c:pt idx="465">
                  <c:v>0.9962979217710114</c:v>
                </c:pt>
                <c:pt idx="466">
                  <c:v>0.99615208759132312</c:v>
                </c:pt>
                <c:pt idx="467">
                  <c:v>0.99595433805921263</c:v>
                </c:pt>
                <c:pt idx="468">
                  <c:v>0.99636863099166295</c:v>
                </c:pt>
                <c:pt idx="469">
                  <c:v>0.99619559972757599</c:v>
                </c:pt>
                <c:pt idx="470">
                  <c:v>0.99631513534042182</c:v>
                </c:pt>
                <c:pt idx="471">
                  <c:v>0.99629457064145299</c:v>
                </c:pt>
                <c:pt idx="472">
                  <c:v>0.99655455945775129</c:v>
                </c:pt>
                <c:pt idx="473">
                  <c:v>0.99654768938205396</c:v>
                </c:pt>
                <c:pt idx="474">
                  <c:v>0.99674395565129781</c:v>
                </c:pt>
                <c:pt idx="475">
                  <c:v>0.99661447657752567</c:v>
                </c:pt>
                <c:pt idx="476">
                  <c:v>0.99656285715318582</c:v>
                </c:pt>
                <c:pt idx="477">
                  <c:v>0.996738967739213</c:v>
                </c:pt>
                <c:pt idx="478">
                  <c:v>0.99672105575152814</c:v>
                </c:pt>
                <c:pt idx="479">
                  <c:v>0.99667894279704883</c:v>
                </c:pt>
                <c:pt idx="480">
                  <c:v>0.99661281565322135</c:v>
                </c:pt>
                <c:pt idx="481">
                  <c:v>0.99671620584258913</c:v>
                </c:pt>
                <c:pt idx="482">
                  <c:v>0.99690529111582826</c:v>
                </c:pt>
                <c:pt idx="483">
                  <c:v>0.99684441095166687</c:v>
                </c:pt>
                <c:pt idx="484">
                  <c:v>0.99690894104235139</c:v>
                </c:pt>
                <c:pt idx="485">
                  <c:v>0.996890592111907</c:v>
                </c:pt>
                <c:pt idx="486">
                  <c:v>0.99706496554186985</c:v>
                </c:pt>
                <c:pt idx="487">
                  <c:v>0.99701230969302912</c:v>
                </c:pt>
                <c:pt idx="488">
                  <c:v>0.99688531488333776</c:v>
                </c:pt>
                <c:pt idx="489">
                  <c:v>0.99690812154541986</c:v>
                </c:pt>
                <c:pt idx="490">
                  <c:v>0.99714534780755548</c:v>
                </c:pt>
                <c:pt idx="491">
                  <c:v>0.9971868176037697</c:v>
                </c:pt>
                <c:pt idx="492">
                  <c:v>0.99701873252208661</c:v>
                </c:pt>
                <c:pt idx="493">
                  <c:v>0.99721161246978596</c:v>
                </c:pt>
                <c:pt idx="494">
                  <c:v>0.99709984432649834</c:v>
                </c:pt>
                <c:pt idx="495">
                  <c:v>0.99718301367378925</c:v>
                </c:pt>
                <c:pt idx="496">
                  <c:v>0.99682298642072387</c:v>
                </c:pt>
                <c:pt idx="497">
                  <c:v>0.99683502240756083</c:v>
                </c:pt>
                <c:pt idx="498">
                  <c:v>0.99683467389521163</c:v>
                </c:pt>
                <c:pt idx="499">
                  <c:v>0.99678866884810668</c:v>
                </c:pt>
                <c:pt idx="500">
                  <c:v>0.99668880039354846</c:v>
                </c:pt>
                <c:pt idx="501">
                  <c:v>0.99677711261213187</c:v>
                </c:pt>
                <c:pt idx="502">
                  <c:v>0.99677590763606638</c:v>
                </c:pt>
                <c:pt idx="503">
                  <c:v>0.99675957996016007</c:v>
                </c:pt>
                <c:pt idx="504">
                  <c:v>0.996750611526666</c:v>
                </c:pt>
                <c:pt idx="505">
                  <c:v>0.99684644091085028</c:v>
                </c:pt>
                <c:pt idx="506">
                  <c:v>0.99665012731676117</c:v>
                </c:pt>
                <c:pt idx="507">
                  <c:v>0.99660622957572509</c:v>
                </c:pt>
                <c:pt idx="508">
                  <c:v>0.9968717364480435</c:v>
                </c:pt>
                <c:pt idx="509">
                  <c:v>0.99697784897171426</c:v>
                </c:pt>
                <c:pt idx="510">
                  <c:v>0.99707805798939886</c:v>
                </c:pt>
                <c:pt idx="511">
                  <c:v>0.99712277589975995</c:v>
                </c:pt>
                <c:pt idx="512">
                  <c:v>0.99722375485571613</c:v>
                </c:pt>
                <c:pt idx="513">
                  <c:v>0.99732882985028604</c:v>
                </c:pt>
                <c:pt idx="514">
                  <c:v>0.9973153411930743</c:v>
                </c:pt>
                <c:pt idx="515">
                  <c:v>0.99714298862281003</c:v>
                </c:pt>
                <c:pt idx="516">
                  <c:v>0.99729378475754982</c:v>
                </c:pt>
                <c:pt idx="517">
                  <c:v>0.99732779549423523</c:v>
                </c:pt>
                <c:pt idx="518">
                  <c:v>0.99731046666234568</c:v>
                </c:pt>
                <c:pt idx="519">
                  <c:v>0.99721963283096748</c:v>
                </c:pt>
                <c:pt idx="520">
                  <c:v>0.99771234006260012</c:v>
                </c:pt>
                <c:pt idx="521">
                  <c:v>0.99744840073029095</c:v>
                </c:pt>
                <c:pt idx="522">
                  <c:v>0.99743143585721239</c:v>
                </c:pt>
                <c:pt idx="523">
                  <c:v>0.99740913266482922</c:v>
                </c:pt>
                <c:pt idx="524">
                  <c:v>0.99749877191027747</c:v>
                </c:pt>
                <c:pt idx="525">
                  <c:v>0.99751608981033879</c:v>
                </c:pt>
                <c:pt idx="526">
                  <c:v>0.99754605810031005</c:v>
                </c:pt>
                <c:pt idx="527">
                  <c:v>0.99768447852527231</c:v>
                </c:pt>
                <c:pt idx="528">
                  <c:v>0.99777224720744984</c:v>
                </c:pt>
                <c:pt idx="529">
                  <c:v>0.99812857796248866</c:v>
                </c:pt>
                <c:pt idx="530">
                  <c:v>0.99808832189731633</c:v>
                </c:pt>
                <c:pt idx="531">
                  <c:v>0.99807380138199386</c:v>
                </c:pt>
                <c:pt idx="532">
                  <c:v>0.99828685002389173</c:v>
                </c:pt>
                <c:pt idx="533">
                  <c:v>0.99833189376864051</c:v>
                </c:pt>
                <c:pt idx="534">
                  <c:v>0.99856579659896183</c:v>
                </c:pt>
                <c:pt idx="535">
                  <c:v>0.99866463784858828</c:v>
                </c:pt>
                <c:pt idx="536">
                  <c:v>0.99875736149102967</c:v>
                </c:pt>
                <c:pt idx="537">
                  <c:v>0.99884961641186187</c:v>
                </c:pt>
                <c:pt idx="538">
                  <c:v>0.99858821604684866</c:v>
                </c:pt>
                <c:pt idx="539">
                  <c:v>0.99850947880279883</c:v>
                </c:pt>
                <c:pt idx="540">
                  <c:v>0.9984419537934589</c:v>
                </c:pt>
                <c:pt idx="541">
                  <c:v>0.99827686023609552</c:v>
                </c:pt>
                <c:pt idx="542">
                  <c:v>0.99826554712840199</c:v>
                </c:pt>
                <c:pt idx="543">
                  <c:v>0.99821695203043026</c:v>
                </c:pt>
                <c:pt idx="544">
                  <c:v>0.99846505851061873</c:v>
                </c:pt>
                <c:pt idx="545">
                  <c:v>0.99834790427806386</c:v>
                </c:pt>
                <c:pt idx="546">
                  <c:v>0.99850091828845078</c:v>
                </c:pt>
                <c:pt idx="547">
                  <c:v>0.9984992654762006</c:v>
                </c:pt>
                <c:pt idx="548">
                  <c:v>0.99838249471348883</c:v>
                </c:pt>
                <c:pt idx="549">
                  <c:v>0.99824009669222857</c:v>
                </c:pt>
                <c:pt idx="550">
                  <c:v>0.99831526137171278</c:v>
                </c:pt>
                <c:pt idx="551">
                  <c:v>0.9983462379858018</c:v>
                </c:pt>
                <c:pt idx="552">
                  <c:v>0.99819145739118686</c:v>
                </c:pt>
                <c:pt idx="553">
                  <c:v>0.99817205834221889</c:v>
                </c:pt>
                <c:pt idx="554">
                  <c:v>0.9980351985763386</c:v>
                </c:pt>
                <c:pt idx="555">
                  <c:v>0.99803980928370639</c:v>
                </c:pt>
                <c:pt idx="556">
                  <c:v>0.99801635134844868</c:v>
                </c:pt>
                <c:pt idx="557">
                  <c:v>0.99796777216337429</c:v>
                </c:pt>
                <c:pt idx="558">
                  <c:v>0.99778193629700829</c:v>
                </c:pt>
                <c:pt idx="559">
                  <c:v>0.99772448654318058</c:v>
                </c:pt>
                <c:pt idx="560">
                  <c:v>0.99764892488972601</c:v>
                </c:pt>
                <c:pt idx="561">
                  <c:v>0.997565128659052</c:v>
                </c:pt>
                <c:pt idx="562">
                  <c:v>0.99733029321758748</c:v>
                </c:pt>
                <c:pt idx="563">
                  <c:v>0.99714247781663623</c:v>
                </c:pt>
                <c:pt idx="564">
                  <c:v>0.99705280441820243</c:v>
                </c:pt>
                <c:pt idx="565">
                  <c:v>0.997134514488077</c:v>
                </c:pt>
                <c:pt idx="566">
                  <c:v>0.99709751350868248</c:v>
                </c:pt>
                <c:pt idx="567">
                  <c:v>0.99722881355480608</c:v>
                </c:pt>
                <c:pt idx="568">
                  <c:v>0.99724296386999767</c:v>
                </c:pt>
                <c:pt idx="569">
                  <c:v>0.99722416920307033</c:v>
                </c:pt>
                <c:pt idx="570">
                  <c:v>0.99714497963166482</c:v>
                </c:pt>
                <c:pt idx="571">
                  <c:v>0.99707433133345236</c:v>
                </c:pt>
                <c:pt idx="572">
                  <c:v>0.9973171705094811</c:v>
                </c:pt>
                <c:pt idx="573">
                  <c:v>0.9973516692334421</c:v>
                </c:pt>
                <c:pt idx="574">
                  <c:v>0.99718699258972021</c:v>
                </c:pt>
                <c:pt idx="575">
                  <c:v>0.99758633866099167</c:v>
                </c:pt>
                <c:pt idx="576">
                  <c:v>0.99748383638957849</c:v>
                </c:pt>
                <c:pt idx="577">
                  <c:v>0.99729283162263405</c:v>
                </c:pt>
                <c:pt idx="578">
                  <c:v>0.9973293303803199</c:v>
                </c:pt>
                <c:pt idx="579">
                  <c:v>0.99726439492534591</c:v>
                </c:pt>
                <c:pt idx="580">
                  <c:v>0.99725200531048197</c:v>
                </c:pt>
                <c:pt idx="581">
                  <c:v>0.99713889793156085</c:v>
                </c:pt>
                <c:pt idx="582">
                  <c:v>0.99715040642658137</c:v>
                </c:pt>
                <c:pt idx="583">
                  <c:v>0.99709389244387492</c:v>
                </c:pt>
                <c:pt idx="584">
                  <c:v>0.99720968687813483</c:v>
                </c:pt>
                <c:pt idx="585">
                  <c:v>0.99712637681991234</c:v>
                </c:pt>
                <c:pt idx="586">
                  <c:v>0.9970868950724634</c:v>
                </c:pt>
                <c:pt idx="587">
                  <c:v>0.99681011897352723</c:v>
                </c:pt>
                <c:pt idx="588">
                  <c:v>0.99679278555461515</c:v>
                </c:pt>
                <c:pt idx="589">
                  <c:v>0.99674919184944188</c:v>
                </c:pt>
                <c:pt idx="590">
                  <c:v>0.99667197958190989</c:v>
                </c:pt>
                <c:pt idx="591">
                  <c:v>0.99672430039761439</c:v>
                </c:pt>
                <c:pt idx="592">
                  <c:v>0.99667506350556367</c:v>
                </c:pt>
                <c:pt idx="593">
                  <c:v>0.99653054742731106</c:v>
                </c:pt>
                <c:pt idx="594">
                  <c:v>0.99645577243422412</c:v>
                </c:pt>
                <c:pt idx="595">
                  <c:v>0.99663983846061299</c:v>
                </c:pt>
                <c:pt idx="596">
                  <c:v>0.99666559421837508</c:v>
                </c:pt>
                <c:pt idx="597">
                  <c:v>0.99665900300975729</c:v>
                </c:pt>
                <c:pt idx="598">
                  <c:v>0.99656035174256508</c:v>
                </c:pt>
                <c:pt idx="599">
                  <c:v>0.99655219549806828</c:v>
                </c:pt>
                <c:pt idx="600">
                  <c:v>0.99669413078024882</c:v>
                </c:pt>
                <c:pt idx="601">
                  <c:v>0.99689411679750251</c:v>
                </c:pt>
                <c:pt idx="602">
                  <c:v>0.99646958737678049</c:v>
                </c:pt>
                <c:pt idx="603">
                  <c:v>0.99656667227887308</c:v>
                </c:pt>
                <c:pt idx="604">
                  <c:v>0.99634369831539848</c:v>
                </c:pt>
                <c:pt idx="605">
                  <c:v>0.99668319145964313</c:v>
                </c:pt>
                <c:pt idx="606">
                  <c:v>0.9966053814290482</c:v>
                </c:pt>
                <c:pt idx="607">
                  <c:v>0.99654322537946372</c:v>
                </c:pt>
                <c:pt idx="608">
                  <c:v>0.99654135466731764</c:v>
                </c:pt>
                <c:pt idx="609">
                  <c:v>0.99688126995559412</c:v>
                </c:pt>
                <c:pt idx="610">
                  <c:v>0.99686040013633803</c:v>
                </c:pt>
                <c:pt idx="611">
                  <c:v>0.99678656804235255</c:v>
                </c:pt>
                <c:pt idx="612">
                  <c:v>0.9970074894523121</c:v>
                </c:pt>
                <c:pt idx="613">
                  <c:v>0.99690467816234118</c:v>
                </c:pt>
                <c:pt idx="614">
                  <c:v>0.99690778054559026</c:v>
                </c:pt>
                <c:pt idx="615">
                  <c:v>0.99654223215380744</c:v>
                </c:pt>
                <c:pt idx="616">
                  <c:v>0.99638002112930868</c:v>
                </c:pt>
                <c:pt idx="617">
                  <c:v>0.99655998784565858</c:v>
                </c:pt>
                <c:pt idx="618">
                  <c:v>0.99626649470068085</c:v>
                </c:pt>
                <c:pt idx="619">
                  <c:v>0.99647452254539925</c:v>
                </c:pt>
                <c:pt idx="620">
                  <c:v>0.99621157417021444</c:v>
                </c:pt>
                <c:pt idx="621">
                  <c:v>0.99639988945246705</c:v>
                </c:pt>
                <c:pt idx="622">
                  <c:v>0.99644131930293522</c:v>
                </c:pt>
                <c:pt idx="623">
                  <c:v>0.99650104642052684</c:v>
                </c:pt>
                <c:pt idx="624">
                  <c:v>0.9966690715920643</c:v>
                </c:pt>
                <c:pt idx="625">
                  <c:v>0.99690600883708214</c:v>
                </c:pt>
                <c:pt idx="626">
                  <c:v>0.99677728533329046</c:v>
                </c:pt>
                <c:pt idx="627">
                  <c:v>0.99705537162711289</c:v>
                </c:pt>
                <c:pt idx="628">
                  <c:v>0.99707764117111874</c:v>
                </c:pt>
                <c:pt idx="629">
                  <c:v>0.99701911382541708</c:v>
                </c:pt>
                <c:pt idx="630">
                  <c:v>0.99726392911719131</c:v>
                </c:pt>
                <c:pt idx="631">
                  <c:v>0.99717303313907923</c:v>
                </c:pt>
                <c:pt idx="632">
                  <c:v>0.99718964030778279</c:v>
                </c:pt>
                <c:pt idx="633">
                  <c:v>0.99728081325406659</c:v>
                </c:pt>
                <c:pt idx="634">
                  <c:v>0.99731033796589597</c:v>
                </c:pt>
                <c:pt idx="635">
                  <c:v>0.99733042438689445</c:v>
                </c:pt>
                <c:pt idx="636">
                  <c:v>0.99728917550348406</c:v>
                </c:pt>
                <c:pt idx="637">
                  <c:v>0.99709138619967852</c:v>
                </c:pt>
                <c:pt idx="638">
                  <c:v>0.9973434649664662</c:v>
                </c:pt>
                <c:pt idx="639">
                  <c:v>0.9971364627397229</c:v>
                </c:pt>
                <c:pt idx="640">
                  <c:v>0.99713122535378862</c:v>
                </c:pt>
                <c:pt idx="641">
                  <c:v>0.997181322130273</c:v>
                </c:pt>
                <c:pt idx="642">
                  <c:v>0.99725822734156189</c:v>
                </c:pt>
                <c:pt idx="643">
                  <c:v>0.9972115572863659</c:v>
                </c:pt>
                <c:pt idx="644">
                  <c:v>0.99693250332270988</c:v>
                </c:pt>
                <c:pt idx="645">
                  <c:v>0.99693655737666342</c:v>
                </c:pt>
                <c:pt idx="646">
                  <c:v>0.9965646031938058</c:v>
                </c:pt>
                <c:pt idx="647">
                  <c:v>0.99680539034315629</c:v>
                </c:pt>
                <c:pt idx="648">
                  <c:v>0.99673330952355443</c:v>
                </c:pt>
                <c:pt idx="649">
                  <c:v>0.99675384627881414</c:v>
                </c:pt>
                <c:pt idx="650">
                  <c:v>0.99667145688395897</c:v>
                </c:pt>
                <c:pt idx="651">
                  <c:v>0.9967616129360467</c:v>
                </c:pt>
                <c:pt idx="652">
                  <c:v>0.99673624869024513</c:v>
                </c:pt>
                <c:pt idx="653">
                  <c:v>0.99667779984238014</c:v>
                </c:pt>
                <c:pt idx="654">
                  <c:v>0.99668449451507524</c:v>
                </c:pt>
                <c:pt idx="655">
                  <c:v>0.99676348198021747</c:v>
                </c:pt>
                <c:pt idx="656">
                  <c:v>0.99659418429097557</c:v>
                </c:pt>
                <c:pt idx="657">
                  <c:v>0.9963810343315167</c:v>
                </c:pt>
                <c:pt idx="658">
                  <c:v>0.99642306592053931</c:v>
                </c:pt>
                <c:pt idx="659">
                  <c:v>0.99653711263020794</c:v>
                </c:pt>
                <c:pt idx="660">
                  <c:v>0.99651112243998585</c:v>
                </c:pt>
                <c:pt idx="661">
                  <c:v>0.9963999346739747</c:v>
                </c:pt>
                <c:pt idx="662">
                  <c:v>0.99618952594460342</c:v>
                </c:pt>
                <c:pt idx="663">
                  <c:v>0.99621661493110647</c:v>
                </c:pt>
                <c:pt idx="664">
                  <c:v>0.99605726220497826</c:v>
                </c:pt>
                <c:pt idx="665">
                  <c:v>0.99601066654900705</c:v>
                </c:pt>
                <c:pt idx="666">
                  <c:v>0.99618875345511859</c:v>
                </c:pt>
                <c:pt idx="667">
                  <c:v>0.99617348724058596</c:v>
                </c:pt>
                <c:pt idx="668">
                  <c:v>0.99597857141612545</c:v>
                </c:pt>
                <c:pt idx="669">
                  <c:v>0.99633954725987151</c:v>
                </c:pt>
                <c:pt idx="670">
                  <c:v>0.99635120061451232</c:v>
                </c:pt>
                <c:pt idx="671">
                  <c:v>0.99608601954067943</c:v>
                </c:pt>
                <c:pt idx="672">
                  <c:v>0.99611916616460483</c:v>
                </c:pt>
                <c:pt idx="673">
                  <c:v>0.99607580357101744</c:v>
                </c:pt>
                <c:pt idx="674">
                  <c:v>0.99598205615482704</c:v>
                </c:pt>
                <c:pt idx="675">
                  <c:v>0.99590791575416293</c:v>
                </c:pt>
                <c:pt idx="676">
                  <c:v>0.99613440610543813</c:v>
                </c:pt>
                <c:pt idx="677">
                  <c:v>0.99648318708502281</c:v>
                </c:pt>
                <c:pt idx="678">
                  <c:v>0.99648181629094146</c:v>
                </c:pt>
                <c:pt idx="679">
                  <c:v>0.99649382692185873</c:v>
                </c:pt>
                <c:pt idx="680">
                  <c:v>0.99647901661527249</c:v>
                </c:pt>
                <c:pt idx="681">
                  <c:v>0.99630216906888591</c:v>
                </c:pt>
                <c:pt idx="682">
                  <c:v>0.99619933782770309</c:v>
                </c:pt>
                <c:pt idx="683">
                  <c:v>0.99655891192603852</c:v>
                </c:pt>
                <c:pt idx="684">
                  <c:v>0.9965528743930725</c:v>
                </c:pt>
                <c:pt idx="685">
                  <c:v>0.99680014015010754</c:v>
                </c:pt>
                <c:pt idx="686">
                  <c:v>0.99664820993174441</c:v>
                </c:pt>
                <c:pt idx="687">
                  <c:v>0.99637158683670823</c:v>
                </c:pt>
                <c:pt idx="688">
                  <c:v>0.99614108617690467</c:v>
                </c:pt>
                <c:pt idx="689">
                  <c:v>0.99631809066448973</c:v>
                </c:pt>
                <c:pt idx="690">
                  <c:v>0.9965291321444103</c:v>
                </c:pt>
                <c:pt idx="691">
                  <c:v>0.99658006019943179</c:v>
                </c:pt>
                <c:pt idx="692">
                  <c:v>0.99681137535533415</c:v>
                </c:pt>
                <c:pt idx="693">
                  <c:v>0.99700195499576361</c:v>
                </c:pt>
                <c:pt idx="694">
                  <c:v>0.9971854816591581</c:v>
                </c:pt>
                <c:pt idx="695">
                  <c:v>0.99719694291396455</c:v>
                </c:pt>
                <c:pt idx="696">
                  <c:v>0.9969020126009368</c:v>
                </c:pt>
                <c:pt idx="697">
                  <c:v>0.99734906014140112</c:v>
                </c:pt>
                <c:pt idx="698">
                  <c:v>0.9975052337359599</c:v>
                </c:pt>
                <c:pt idx="699">
                  <c:v>0.99741053477186536</c:v>
                </c:pt>
                <c:pt idx="700">
                  <c:v>0.99713517493680026</c:v>
                </c:pt>
                <c:pt idx="701">
                  <c:v>0.99717640820346776</c:v>
                </c:pt>
                <c:pt idx="702">
                  <c:v>0.99758495107245837</c:v>
                </c:pt>
                <c:pt idx="703">
                  <c:v>0.99748451345058387</c:v>
                </c:pt>
                <c:pt idx="704">
                  <c:v>0.99765377426390656</c:v>
                </c:pt>
                <c:pt idx="705">
                  <c:v>0.99767797161565086</c:v>
                </c:pt>
                <c:pt idx="706">
                  <c:v>0.99782935554283492</c:v>
                </c:pt>
                <c:pt idx="707">
                  <c:v>0.99763025542057604</c:v>
                </c:pt>
                <c:pt idx="708">
                  <c:v>0.9976063305383247</c:v>
                </c:pt>
                <c:pt idx="709">
                  <c:v>0.99752692848810032</c:v>
                </c:pt>
                <c:pt idx="710">
                  <c:v>0.99729316108337418</c:v>
                </c:pt>
                <c:pt idx="711">
                  <c:v>0.99749622911707514</c:v>
                </c:pt>
                <c:pt idx="712">
                  <c:v>0.99780820022414796</c:v>
                </c:pt>
                <c:pt idx="713">
                  <c:v>0.99764034781307576</c:v>
                </c:pt>
                <c:pt idx="714">
                  <c:v>0.99763237728860166</c:v>
                </c:pt>
                <c:pt idx="715">
                  <c:v>0.99738450802455947</c:v>
                </c:pt>
                <c:pt idx="716">
                  <c:v>0.99731605284634772</c:v>
                </c:pt>
                <c:pt idx="717">
                  <c:v>0.99757473018298881</c:v>
                </c:pt>
                <c:pt idx="718">
                  <c:v>0.99783859109880757</c:v>
                </c:pt>
                <c:pt idx="719">
                  <c:v>0.99797875100575906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Output!$L$12:$L$731</c:f>
              <c:numCache>
                <c:formatCode>General</c:formatCode>
                <c:ptCount val="720"/>
                <c:pt idx="0">
                  <c:v>1.0955317872850858</c:v>
                </c:pt>
                <c:pt idx="1">
                  <c:v>1.1219890581805458</c:v>
                </c:pt>
                <c:pt idx="2">
                  <c:v>1.1481943860490109</c:v>
                </c:pt>
                <c:pt idx="3">
                  <c:v>1.2089081595549325</c:v>
                </c:pt>
                <c:pt idx="4">
                  <c:v>1.2575334065763044</c:v>
                </c:pt>
                <c:pt idx="5">
                  <c:v>1.3134121552294111</c:v>
                </c:pt>
                <c:pt idx="6">
                  <c:v>1.3374761568878411</c:v>
                </c:pt>
                <c:pt idx="7">
                  <c:v>1.3804025476711046</c:v>
                </c:pt>
                <c:pt idx="8">
                  <c:v>1.4070620865057346</c:v>
                </c:pt>
                <c:pt idx="9">
                  <c:v>1.3997629908436411</c:v>
                </c:pt>
                <c:pt idx="10">
                  <c:v>1.3948445147586586</c:v>
                </c:pt>
                <c:pt idx="11">
                  <c:v>1.4178115009081667</c:v>
                </c:pt>
                <c:pt idx="12">
                  <c:v>1.4059426800775885</c:v>
                </c:pt>
                <c:pt idx="13">
                  <c:v>1.3894229176426365</c:v>
                </c:pt>
                <c:pt idx="14">
                  <c:v>1.3802696551188069</c:v>
                </c:pt>
                <c:pt idx="15">
                  <c:v>1.38675036944209</c:v>
                </c:pt>
                <c:pt idx="16">
                  <c:v>1.3941009012903969</c:v>
                </c:pt>
                <c:pt idx="17">
                  <c:v>1.4246532503390366</c:v>
                </c:pt>
                <c:pt idx="18">
                  <c:v>1.4652384874893145</c:v>
                </c:pt>
                <c:pt idx="19">
                  <c:v>1.443315938014059</c:v>
                </c:pt>
                <c:pt idx="20">
                  <c:v>1.4326954896160411</c:v>
                </c:pt>
                <c:pt idx="21">
                  <c:v>1.4667281279723325</c:v>
                </c:pt>
                <c:pt idx="22">
                  <c:v>1.4843332018742501</c:v>
                </c:pt>
                <c:pt idx="23">
                  <c:v>1.4631206900652198</c:v>
                </c:pt>
                <c:pt idx="24">
                  <c:v>1.4800023204605788</c:v>
                </c:pt>
                <c:pt idx="25">
                  <c:v>1.4880618171149678</c:v>
                </c:pt>
                <c:pt idx="26">
                  <c:v>1.5033786252001515</c:v>
                </c:pt>
                <c:pt idx="27">
                  <c:v>1.5072655520404703</c:v>
                </c:pt>
                <c:pt idx="28">
                  <c:v>1.5585502405367928</c:v>
                </c:pt>
                <c:pt idx="29">
                  <c:v>1.5816347220429399</c:v>
                </c:pt>
                <c:pt idx="30">
                  <c:v>1.5317973504357556</c:v>
                </c:pt>
                <c:pt idx="31">
                  <c:v>1.5539784190876675</c:v>
                </c:pt>
                <c:pt idx="32">
                  <c:v>1.6168557304240296</c:v>
                </c:pt>
                <c:pt idx="33">
                  <c:v>1.6151455779624171</c:v>
                </c:pt>
                <c:pt idx="34">
                  <c:v>1.6971810241204599</c:v>
                </c:pt>
                <c:pt idx="35">
                  <c:v>1.6945782310640927</c:v>
                </c:pt>
                <c:pt idx="36">
                  <c:v>1.7552692066208844</c:v>
                </c:pt>
                <c:pt idx="37">
                  <c:v>1.745896867705018</c:v>
                </c:pt>
                <c:pt idx="38">
                  <c:v>1.8050769570156504</c:v>
                </c:pt>
                <c:pt idx="39">
                  <c:v>1.7319330163062006</c:v>
                </c:pt>
                <c:pt idx="40">
                  <c:v>1.7810645814904214</c:v>
                </c:pt>
                <c:pt idx="41">
                  <c:v>1.8022905548155967</c:v>
                </c:pt>
                <c:pt idx="42">
                  <c:v>1.7338423677242587</c:v>
                </c:pt>
                <c:pt idx="43">
                  <c:v>1.7725437971354774</c:v>
                </c:pt>
                <c:pt idx="44">
                  <c:v>1.7602097523321114</c:v>
                </c:pt>
                <c:pt idx="45">
                  <c:v>1.808496983050639</c:v>
                </c:pt>
                <c:pt idx="46">
                  <c:v>1.8002514276767447</c:v>
                </c:pt>
                <c:pt idx="47">
                  <c:v>1.7994462799115922</c:v>
                </c:pt>
                <c:pt idx="48">
                  <c:v>1.7989996259052599</c:v>
                </c:pt>
                <c:pt idx="49">
                  <c:v>1.7972720413972316</c:v>
                </c:pt>
                <c:pt idx="50">
                  <c:v>1.8527098329860929</c:v>
                </c:pt>
                <c:pt idx="51">
                  <c:v>1.8777225679431724</c:v>
                </c:pt>
                <c:pt idx="52">
                  <c:v>1.8731632904095239</c:v>
                </c:pt>
                <c:pt idx="53">
                  <c:v>1.9125509723729495</c:v>
                </c:pt>
                <c:pt idx="54">
                  <c:v>1.9353236856846334</c:v>
                </c:pt>
                <c:pt idx="55">
                  <c:v>1.9003086018280282</c:v>
                </c:pt>
                <c:pt idx="56">
                  <c:v>1.9863282052485673</c:v>
                </c:pt>
                <c:pt idx="57">
                  <c:v>1.9820462084266963</c:v>
                </c:pt>
                <c:pt idx="58">
                  <c:v>1.9625682107334406</c:v>
                </c:pt>
                <c:pt idx="59">
                  <c:v>1.9621461353902152</c:v>
                </c:pt>
                <c:pt idx="60">
                  <c:v>1.9332766739427318</c:v>
                </c:pt>
                <c:pt idx="61">
                  <c:v>1.9225986163564268</c:v>
                </c:pt>
                <c:pt idx="62">
                  <c:v>1.9353310194224798</c:v>
                </c:pt>
                <c:pt idx="63">
                  <c:v>1.983709281283548</c:v>
                </c:pt>
                <c:pt idx="64">
                  <c:v>2.0257563567840831</c:v>
                </c:pt>
                <c:pt idx="65">
                  <c:v>2.0143003551703771</c:v>
                </c:pt>
                <c:pt idx="66">
                  <c:v>2.0592655697478528</c:v>
                </c:pt>
                <c:pt idx="67">
                  <c:v>2.1168824330310372</c:v>
                </c:pt>
                <c:pt idx="68">
                  <c:v>2.2071071602936878</c:v>
                </c:pt>
                <c:pt idx="69">
                  <c:v>2.2128176029064344</c:v>
                </c:pt>
                <c:pt idx="70">
                  <c:v>2.1300633145770931</c:v>
                </c:pt>
                <c:pt idx="71">
                  <c:v>2.1504182409435546</c:v>
                </c:pt>
                <c:pt idx="72">
                  <c:v>2.0837184838527194</c:v>
                </c:pt>
                <c:pt idx="73">
                  <c:v>2.09302689431714</c:v>
                </c:pt>
                <c:pt idx="74">
                  <c:v>2.2193380227465305</c:v>
                </c:pt>
                <c:pt idx="75">
                  <c:v>2.2957017683239722</c:v>
                </c:pt>
                <c:pt idx="76">
                  <c:v>2.2895513151990698</c:v>
                </c:pt>
                <c:pt idx="77">
                  <c:v>2.274326192252385</c:v>
                </c:pt>
                <c:pt idx="78">
                  <c:v>2.307491019536815</c:v>
                </c:pt>
                <c:pt idx="79">
                  <c:v>2.2677981270485472</c:v>
                </c:pt>
                <c:pt idx="80">
                  <c:v>2.3095256625700107</c:v>
                </c:pt>
                <c:pt idx="81">
                  <c:v>2.36987431476574</c:v>
                </c:pt>
                <c:pt idx="82">
                  <c:v>2.3117271628567848</c:v>
                </c:pt>
                <c:pt idx="83">
                  <c:v>2.3138422158286009</c:v>
                </c:pt>
                <c:pt idx="84">
                  <c:v>2.2669036845035193</c:v>
                </c:pt>
                <c:pt idx="85">
                  <c:v>2.2871385766000358</c:v>
                </c:pt>
                <c:pt idx="86">
                  <c:v>2.3098111544058044</c:v>
                </c:pt>
                <c:pt idx="87">
                  <c:v>2.3059647293173011</c:v>
                </c:pt>
                <c:pt idx="88">
                  <c:v>2.2673267231588357</c:v>
                </c:pt>
                <c:pt idx="89">
                  <c:v>2.2359157182945393</c:v>
                </c:pt>
                <c:pt idx="90">
                  <c:v>2.2873624780836952</c:v>
                </c:pt>
                <c:pt idx="91">
                  <c:v>2.3718845781963096</c:v>
                </c:pt>
                <c:pt idx="92">
                  <c:v>2.4213424726146719</c:v>
                </c:pt>
                <c:pt idx="93">
                  <c:v>2.4974212213742124</c:v>
                </c:pt>
                <c:pt idx="94">
                  <c:v>2.5052512543589995</c:v>
                </c:pt>
                <c:pt idx="95">
                  <c:v>2.4711479001906325</c:v>
                </c:pt>
                <c:pt idx="96">
                  <c:v>2.5481415786358053</c:v>
                </c:pt>
                <c:pt idx="97">
                  <c:v>2.5257617317080885</c:v>
                </c:pt>
                <c:pt idx="98">
                  <c:v>2.492473409775473</c:v>
                </c:pt>
                <c:pt idx="99">
                  <c:v>2.6071320109580336</c:v>
                </c:pt>
                <c:pt idx="100">
                  <c:v>2.5084779477619747</c:v>
                </c:pt>
                <c:pt idx="101">
                  <c:v>2.4684347117512364</c:v>
                </c:pt>
                <c:pt idx="102">
                  <c:v>2.4640543313542569</c:v>
                </c:pt>
                <c:pt idx="103">
                  <c:v>2.3941984383265353</c:v>
                </c:pt>
                <c:pt idx="104">
                  <c:v>2.2954566365884337</c:v>
                </c:pt>
                <c:pt idx="105">
                  <c:v>2.3763648790529581</c:v>
                </c:pt>
                <c:pt idx="106">
                  <c:v>2.3701467087480879</c:v>
                </c:pt>
                <c:pt idx="107">
                  <c:v>2.3277888364199661</c:v>
                </c:pt>
                <c:pt idx="108">
                  <c:v>2.3871280630905662</c:v>
                </c:pt>
                <c:pt idx="109">
                  <c:v>2.3569372258563144</c:v>
                </c:pt>
                <c:pt idx="110">
                  <c:v>2.3211350416375023</c:v>
                </c:pt>
                <c:pt idx="111">
                  <c:v>2.3276219767043576</c:v>
                </c:pt>
                <c:pt idx="112">
                  <c:v>2.362960088491886</c:v>
                </c:pt>
                <c:pt idx="113">
                  <c:v>2.3880213510730273</c:v>
                </c:pt>
                <c:pt idx="114">
                  <c:v>2.4376663690603304</c:v>
                </c:pt>
                <c:pt idx="115">
                  <c:v>2.3947475748016975</c:v>
                </c:pt>
                <c:pt idx="116">
                  <c:v>2.3911731418820708</c:v>
                </c:pt>
                <c:pt idx="117">
                  <c:v>2.379413927642994</c:v>
                </c:pt>
                <c:pt idx="118">
                  <c:v>2.3718950980464095</c:v>
                </c:pt>
                <c:pt idx="119">
                  <c:v>2.3632538228010738</c:v>
                </c:pt>
                <c:pt idx="120">
                  <c:v>2.4297275783443384</c:v>
                </c:pt>
                <c:pt idx="121">
                  <c:v>2.4308333466449445</c:v>
                </c:pt>
                <c:pt idx="122">
                  <c:v>2.5373868387437155</c:v>
                </c:pt>
                <c:pt idx="123">
                  <c:v>2.4955389795251626</c:v>
                </c:pt>
                <c:pt idx="124">
                  <c:v>2.5303195216411325</c:v>
                </c:pt>
                <c:pt idx="125">
                  <c:v>2.5172643949869493</c:v>
                </c:pt>
                <c:pt idx="126">
                  <c:v>2.5033720224066047</c:v>
                </c:pt>
                <c:pt idx="127">
                  <c:v>2.503922291411615</c:v>
                </c:pt>
                <c:pt idx="128">
                  <c:v>2.5114429317558722</c:v>
                </c:pt>
                <c:pt idx="129">
                  <c:v>2.4871553937208968</c:v>
                </c:pt>
                <c:pt idx="130">
                  <c:v>2.51123696830467</c:v>
                </c:pt>
                <c:pt idx="131">
                  <c:v>2.5266224622876852</c:v>
                </c:pt>
                <c:pt idx="132">
                  <c:v>2.5412686827548439</c:v>
                </c:pt>
                <c:pt idx="133">
                  <c:v>2.5401457494546547</c:v>
                </c:pt>
                <c:pt idx="134">
                  <c:v>2.543934610764548</c:v>
                </c:pt>
                <c:pt idx="135">
                  <c:v>2.4767710913005661</c:v>
                </c:pt>
                <c:pt idx="136">
                  <c:v>2.4976734960229101</c:v>
                </c:pt>
                <c:pt idx="137">
                  <c:v>2.5042028740335778</c:v>
                </c:pt>
                <c:pt idx="138">
                  <c:v>2.5858513132953433</c:v>
                </c:pt>
                <c:pt idx="139">
                  <c:v>2.5876714974781345</c:v>
                </c:pt>
                <c:pt idx="140">
                  <c:v>2.5741559405813259</c:v>
                </c:pt>
                <c:pt idx="141">
                  <c:v>2.6609818548441857</c:v>
                </c:pt>
                <c:pt idx="142">
                  <c:v>2.6272047079215368</c:v>
                </c:pt>
                <c:pt idx="143">
                  <c:v>2.674510242211845</c:v>
                </c:pt>
                <c:pt idx="144">
                  <c:v>2.6889879660606062</c:v>
                </c:pt>
                <c:pt idx="145">
                  <c:v>2.589292367149862</c:v>
                </c:pt>
                <c:pt idx="146">
                  <c:v>2.6432772125975452</c:v>
                </c:pt>
                <c:pt idx="147">
                  <c:v>2.6374023005702836</c:v>
                </c:pt>
                <c:pt idx="148">
                  <c:v>2.6283969216868668</c:v>
                </c:pt>
                <c:pt idx="149">
                  <c:v>2.6374721966836576</c:v>
                </c:pt>
                <c:pt idx="150">
                  <c:v>2.6177914200741221</c:v>
                </c:pt>
                <c:pt idx="151">
                  <c:v>2.6190176072164228</c:v>
                </c:pt>
                <c:pt idx="152">
                  <c:v>2.633378018987182</c:v>
                </c:pt>
                <c:pt idx="153">
                  <c:v>2.6709526997877862</c:v>
                </c:pt>
                <c:pt idx="154">
                  <c:v>2.744654735159858</c:v>
                </c:pt>
                <c:pt idx="155">
                  <c:v>2.7787235164140784</c:v>
                </c:pt>
                <c:pt idx="156">
                  <c:v>2.8850358648887391</c:v>
                </c:pt>
                <c:pt idx="157">
                  <c:v>2.9035304482009234</c:v>
                </c:pt>
                <c:pt idx="158">
                  <c:v>2.8838407939030941</c:v>
                </c:pt>
                <c:pt idx="159">
                  <c:v>2.8828890200633288</c:v>
                </c:pt>
                <c:pt idx="160">
                  <c:v>3.008152774068737</c:v>
                </c:pt>
                <c:pt idx="161">
                  <c:v>3.0166496063674515</c:v>
                </c:pt>
                <c:pt idx="162">
                  <c:v>2.9454736912011588</c:v>
                </c:pt>
                <c:pt idx="163">
                  <c:v>2.8420937775752133</c:v>
                </c:pt>
                <c:pt idx="164">
                  <c:v>2.8559132295398215</c:v>
                </c:pt>
                <c:pt idx="165">
                  <c:v>2.879688528681164</c:v>
                </c:pt>
                <c:pt idx="166">
                  <c:v>2.956116539870481</c:v>
                </c:pt>
                <c:pt idx="167">
                  <c:v>2.8763214778724757</c:v>
                </c:pt>
                <c:pt idx="168">
                  <c:v>2.9043786471968804</c:v>
                </c:pt>
                <c:pt idx="169">
                  <c:v>2.9620821839676914</c:v>
                </c:pt>
                <c:pt idx="170">
                  <c:v>2.8852187168076737</c:v>
                </c:pt>
                <c:pt idx="171">
                  <c:v>2.9312837028462524</c:v>
                </c:pt>
                <c:pt idx="172">
                  <c:v>2.9276051164339507</c:v>
                </c:pt>
                <c:pt idx="173">
                  <c:v>2.8482468699370758</c:v>
                </c:pt>
                <c:pt idx="174">
                  <c:v>2.8990364106812003</c:v>
                </c:pt>
                <c:pt idx="175">
                  <c:v>2.8554732144229886</c:v>
                </c:pt>
                <c:pt idx="176">
                  <c:v>2.8482895814561986</c:v>
                </c:pt>
                <c:pt idx="177">
                  <c:v>2.8113979046712281</c:v>
                </c:pt>
                <c:pt idx="178">
                  <c:v>2.9287965881880034</c:v>
                </c:pt>
                <c:pt idx="179">
                  <c:v>2.8542101874590968</c:v>
                </c:pt>
                <c:pt idx="180">
                  <c:v>2.9336744107506485</c:v>
                </c:pt>
                <c:pt idx="181">
                  <c:v>2.9911140869261161</c:v>
                </c:pt>
                <c:pt idx="182">
                  <c:v>2.9953182698048493</c:v>
                </c:pt>
                <c:pt idx="183">
                  <c:v>2.9840605511765754</c:v>
                </c:pt>
                <c:pt idx="184">
                  <c:v>3.0422674360336801</c:v>
                </c:pt>
                <c:pt idx="185">
                  <c:v>3.0841113681714782</c:v>
                </c:pt>
                <c:pt idx="186">
                  <c:v>2.9766071469468987</c:v>
                </c:pt>
                <c:pt idx="187">
                  <c:v>3.0335533724362111</c:v>
                </c:pt>
                <c:pt idx="188">
                  <c:v>2.9895668455074591</c:v>
                </c:pt>
                <c:pt idx="189">
                  <c:v>3.0143469656745419</c:v>
                </c:pt>
                <c:pt idx="190">
                  <c:v>3.0659785772964709</c:v>
                </c:pt>
                <c:pt idx="191">
                  <c:v>3.0730931748565742</c:v>
                </c:pt>
                <c:pt idx="192">
                  <c:v>3.0677992098670499</c:v>
                </c:pt>
                <c:pt idx="193">
                  <c:v>3.1187372419095007</c:v>
                </c:pt>
                <c:pt idx="194">
                  <c:v>3.1801524095904257</c:v>
                </c:pt>
                <c:pt idx="195">
                  <c:v>3.1296516553901896</c:v>
                </c:pt>
                <c:pt idx="196">
                  <c:v>3.0949717544311439</c:v>
                </c:pt>
                <c:pt idx="197">
                  <c:v>3.1877958843036471</c:v>
                </c:pt>
                <c:pt idx="198">
                  <c:v>3.3436614330083749</c:v>
                </c:pt>
                <c:pt idx="199">
                  <c:v>3.2953719275403506</c:v>
                </c:pt>
                <c:pt idx="200">
                  <c:v>3.2660482249676703</c:v>
                </c:pt>
                <c:pt idx="201">
                  <c:v>3.2225365921657345</c:v>
                </c:pt>
                <c:pt idx="202">
                  <c:v>3.1784963203401269</c:v>
                </c:pt>
                <c:pt idx="203">
                  <c:v>3.1300941590563376</c:v>
                </c:pt>
                <c:pt idx="204">
                  <c:v>3.0730948435132031</c:v>
                </c:pt>
                <c:pt idx="205">
                  <c:v>3.1466794353602063</c:v>
                </c:pt>
                <c:pt idx="206">
                  <c:v>3.1598676902064589</c:v>
                </c:pt>
                <c:pt idx="207">
                  <c:v>3.2516811035402466</c:v>
                </c:pt>
                <c:pt idx="208">
                  <c:v>3.2662385839732173</c:v>
                </c:pt>
                <c:pt idx="209">
                  <c:v>3.2507855512862145</c:v>
                </c:pt>
                <c:pt idx="210">
                  <c:v>3.3459116904642499</c:v>
                </c:pt>
                <c:pt idx="211">
                  <c:v>3.2578196845213032</c:v>
                </c:pt>
                <c:pt idx="212">
                  <c:v>3.2841749004280851</c:v>
                </c:pt>
                <c:pt idx="213">
                  <c:v>3.3677625747944719</c:v>
                </c:pt>
                <c:pt idx="214">
                  <c:v>3.3130055583808526</c:v>
                </c:pt>
                <c:pt idx="215">
                  <c:v>3.1943171711457601</c:v>
                </c:pt>
                <c:pt idx="216">
                  <c:v>3.2139183470770853</c:v>
                </c:pt>
                <c:pt idx="217">
                  <c:v>3.292615701510762</c:v>
                </c:pt>
                <c:pt idx="218">
                  <c:v>3.1405413457887512</c:v>
                </c:pt>
                <c:pt idx="219">
                  <c:v>3.1056595562028408</c:v>
                </c:pt>
                <c:pt idx="220">
                  <c:v>3.0983857751652661</c:v>
                </c:pt>
                <c:pt idx="221">
                  <c:v>3.1187137755635757</c:v>
                </c:pt>
                <c:pt idx="222">
                  <c:v>3.1957805363442007</c:v>
                </c:pt>
                <c:pt idx="223">
                  <c:v>3.1725523586107318</c:v>
                </c:pt>
                <c:pt idx="224">
                  <c:v>3.2535805045939608</c:v>
                </c:pt>
                <c:pt idx="225">
                  <c:v>3.2716733698137457</c:v>
                </c:pt>
                <c:pt idx="226">
                  <c:v>3.236614672325846</c:v>
                </c:pt>
                <c:pt idx="227">
                  <c:v>3.271078373823689</c:v>
                </c:pt>
                <c:pt idx="228">
                  <c:v>3.2089480322731436</c:v>
                </c:pt>
                <c:pt idx="229">
                  <c:v>3.2793246604366315</c:v>
                </c:pt>
                <c:pt idx="230">
                  <c:v>3.3491573970418154</c:v>
                </c:pt>
                <c:pt idx="231">
                  <c:v>3.3458870170051198</c:v>
                </c:pt>
                <c:pt idx="232">
                  <c:v>3.2990126934040802</c:v>
                </c:pt>
                <c:pt idx="233">
                  <c:v>3.3721316227180878</c:v>
                </c:pt>
                <c:pt idx="234">
                  <c:v>3.2374682590637578</c:v>
                </c:pt>
                <c:pt idx="235">
                  <c:v>3.2314530553725</c:v>
                </c:pt>
                <c:pt idx="236">
                  <c:v>3.303322497885087</c:v>
                </c:pt>
                <c:pt idx="237">
                  <c:v>3.3601137346368857</c:v>
                </c:pt>
                <c:pt idx="238">
                  <c:v>3.2339368932099744</c:v>
                </c:pt>
                <c:pt idx="239">
                  <c:v>3.2387305244215421</c:v>
                </c:pt>
                <c:pt idx="240">
                  <c:v>3.2451090696726399</c:v>
                </c:pt>
                <c:pt idx="241">
                  <c:v>3.169959692718578</c:v>
                </c:pt>
                <c:pt idx="242">
                  <c:v>3.2627498049562926</c:v>
                </c:pt>
                <c:pt idx="243">
                  <c:v>3.4446865190555203</c:v>
                </c:pt>
                <c:pt idx="244">
                  <c:v>3.4362242186819967</c:v>
                </c:pt>
                <c:pt idx="245">
                  <c:v>3.5252583623242821</c:v>
                </c:pt>
                <c:pt idx="246">
                  <c:v>3.5149468416094103</c:v>
                </c:pt>
                <c:pt idx="247">
                  <c:v>3.6147372450194579</c:v>
                </c:pt>
                <c:pt idx="248">
                  <c:v>3.6617932044736867</c:v>
                </c:pt>
                <c:pt idx="249">
                  <c:v>3.5426419086034704</c:v>
                </c:pt>
                <c:pt idx="250">
                  <c:v>3.4402555298741531</c:v>
                </c:pt>
                <c:pt idx="251">
                  <c:v>3.4766567571854035</c:v>
                </c:pt>
                <c:pt idx="252">
                  <c:v>3.534854643007582</c:v>
                </c:pt>
                <c:pt idx="253">
                  <c:v>3.6582123308227796</c:v>
                </c:pt>
                <c:pt idx="254">
                  <c:v>3.7206834708230279</c:v>
                </c:pt>
                <c:pt idx="255">
                  <c:v>3.7042219154128668</c:v>
                </c:pt>
                <c:pt idx="256">
                  <c:v>3.6940850799753915</c:v>
                </c:pt>
                <c:pt idx="257">
                  <c:v>3.7545001350582914</c:v>
                </c:pt>
                <c:pt idx="258">
                  <c:v>3.5586089225943369</c:v>
                </c:pt>
                <c:pt idx="259">
                  <c:v>3.5093796946320919</c:v>
                </c:pt>
                <c:pt idx="260">
                  <c:v>3.5086197874314293</c:v>
                </c:pt>
                <c:pt idx="261">
                  <c:v>3.6467120937306934</c:v>
                </c:pt>
                <c:pt idx="262">
                  <c:v>3.6097992665937846</c:v>
                </c:pt>
                <c:pt idx="263">
                  <c:v>3.4442309171152985</c:v>
                </c:pt>
                <c:pt idx="264">
                  <c:v>3.4153166996308619</c:v>
                </c:pt>
                <c:pt idx="265">
                  <c:v>3.5064671143255652</c:v>
                </c:pt>
                <c:pt idx="266">
                  <c:v>3.5585363118614253</c:v>
                </c:pt>
                <c:pt idx="267">
                  <c:v>3.5336953818518047</c:v>
                </c:pt>
                <c:pt idx="268">
                  <c:v>3.6193620465345373</c:v>
                </c:pt>
                <c:pt idx="269">
                  <c:v>3.6554631420853756</c:v>
                </c:pt>
                <c:pt idx="270">
                  <c:v>3.5613353804940679</c:v>
                </c:pt>
                <c:pt idx="271">
                  <c:v>3.5610394216455972</c:v>
                </c:pt>
                <c:pt idx="272">
                  <c:v>3.6394719675389</c:v>
                </c:pt>
                <c:pt idx="273">
                  <c:v>3.6282228597752262</c:v>
                </c:pt>
                <c:pt idx="274">
                  <c:v>3.5081987256950726</c:v>
                </c:pt>
                <c:pt idx="275">
                  <c:v>3.4569214092640999</c:v>
                </c:pt>
                <c:pt idx="276">
                  <c:v>3.4645458763554706</c:v>
                </c:pt>
                <c:pt idx="277">
                  <c:v>3.484850693484518</c:v>
                </c:pt>
                <c:pt idx="278">
                  <c:v>3.5926383445830656</c:v>
                </c:pt>
                <c:pt idx="279">
                  <c:v>3.5314784193849142</c:v>
                </c:pt>
                <c:pt idx="280">
                  <c:v>3.5247399311339285</c:v>
                </c:pt>
                <c:pt idx="281">
                  <c:v>3.5717694509484184</c:v>
                </c:pt>
                <c:pt idx="282">
                  <c:v>3.5618294505016568</c:v>
                </c:pt>
                <c:pt idx="283">
                  <c:v>3.6092002356044319</c:v>
                </c:pt>
                <c:pt idx="284">
                  <c:v>3.5952308057162492</c:v>
                </c:pt>
                <c:pt idx="285">
                  <c:v>3.6040534069804488</c:v>
                </c:pt>
                <c:pt idx="286">
                  <c:v>3.585663345025635</c:v>
                </c:pt>
                <c:pt idx="287">
                  <c:v>3.7038498490606009</c:v>
                </c:pt>
                <c:pt idx="288">
                  <c:v>3.6747299743635593</c:v>
                </c:pt>
                <c:pt idx="289">
                  <c:v>3.6369585131032922</c:v>
                </c:pt>
                <c:pt idx="290">
                  <c:v>3.6775947105656965</c:v>
                </c:pt>
                <c:pt idx="291">
                  <c:v>3.6595682557694658</c:v>
                </c:pt>
                <c:pt idx="292">
                  <c:v>3.7943099244300442</c:v>
                </c:pt>
                <c:pt idx="293">
                  <c:v>3.954661709904649</c:v>
                </c:pt>
                <c:pt idx="294">
                  <c:v>3.9629965184225369</c:v>
                </c:pt>
                <c:pt idx="295">
                  <c:v>3.9825029973314794</c:v>
                </c:pt>
                <c:pt idx="296">
                  <c:v>4.05193198055089</c:v>
                </c:pt>
                <c:pt idx="297">
                  <c:v>3.8918298325138405</c:v>
                </c:pt>
                <c:pt idx="298">
                  <c:v>3.9363273753958699</c:v>
                </c:pt>
                <c:pt idx="299">
                  <c:v>3.8327322084390789</c:v>
                </c:pt>
                <c:pt idx="300">
                  <c:v>3.7473096352156992</c:v>
                </c:pt>
                <c:pt idx="301">
                  <c:v>3.8510330444506531</c:v>
                </c:pt>
                <c:pt idx="302">
                  <c:v>3.8059064508429499</c:v>
                </c:pt>
                <c:pt idx="303">
                  <c:v>3.8636025946102732</c:v>
                </c:pt>
                <c:pt idx="304">
                  <c:v>3.8713318288533398</c:v>
                </c:pt>
                <c:pt idx="305">
                  <c:v>3.931490167725594</c:v>
                </c:pt>
                <c:pt idx="306">
                  <c:v>3.9658794898053729</c:v>
                </c:pt>
                <c:pt idx="307">
                  <c:v>3.981658897474146</c:v>
                </c:pt>
                <c:pt idx="308">
                  <c:v>3.9213809361238163</c:v>
                </c:pt>
                <c:pt idx="309">
                  <c:v>3.7828067445156077</c:v>
                </c:pt>
                <c:pt idx="310">
                  <c:v>3.8836855232111547</c:v>
                </c:pt>
                <c:pt idx="311">
                  <c:v>3.9526309650942353</c:v>
                </c:pt>
                <c:pt idx="312">
                  <c:v>4.0299813139030221</c:v>
                </c:pt>
                <c:pt idx="313">
                  <c:v>4.0733733658756526</c:v>
                </c:pt>
                <c:pt idx="314">
                  <c:v>4.0088149784618023</c:v>
                </c:pt>
                <c:pt idx="315">
                  <c:v>4.1399895062976011</c:v>
                </c:pt>
                <c:pt idx="316">
                  <c:v>4.1937403220918359</c:v>
                </c:pt>
                <c:pt idx="317">
                  <c:v>4.2022936893205047</c:v>
                </c:pt>
                <c:pt idx="318">
                  <c:v>4.3931223694326702</c:v>
                </c:pt>
                <c:pt idx="319">
                  <c:v>4.3600667846636716</c:v>
                </c:pt>
                <c:pt idx="320">
                  <c:v>4.3435432452534757</c:v>
                </c:pt>
                <c:pt idx="321">
                  <c:v>4.3873591629046178</c:v>
                </c:pt>
                <c:pt idx="322">
                  <c:v>4.7332360431369835</c:v>
                </c:pt>
                <c:pt idx="323">
                  <c:v>4.8079717995712166</c:v>
                </c:pt>
                <c:pt idx="324">
                  <c:v>4.8604192578709018</c:v>
                </c:pt>
                <c:pt idx="325">
                  <c:v>4.8413638322774437</c:v>
                </c:pt>
                <c:pt idx="326">
                  <c:v>4.6507106541863417</c:v>
                </c:pt>
                <c:pt idx="327">
                  <c:v>4.6419273574293314</c:v>
                </c:pt>
                <c:pt idx="328">
                  <c:v>4.7231601292689129</c:v>
                </c:pt>
                <c:pt idx="329">
                  <c:v>4.6062706764034766</c:v>
                </c:pt>
                <c:pt idx="330">
                  <c:v>4.5345170428514256</c:v>
                </c:pt>
                <c:pt idx="331">
                  <c:v>4.5376080248389679</c:v>
                </c:pt>
                <c:pt idx="332">
                  <c:v>4.5417553410888711</c:v>
                </c:pt>
                <c:pt idx="333">
                  <c:v>4.4619764425525323</c:v>
                </c:pt>
                <c:pt idx="334">
                  <c:v>4.4542815967040275</c:v>
                </c:pt>
                <c:pt idx="335">
                  <c:v>4.5097187352479438</c:v>
                </c:pt>
                <c:pt idx="336">
                  <c:v>4.4374886181631208</c:v>
                </c:pt>
                <c:pt idx="337">
                  <c:v>4.3912020412998762</c:v>
                </c:pt>
                <c:pt idx="338">
                  <c:v>4.4961374944439143</c:v>
                </c:pt>
                <c:pt idx="339">
                  <c:v>4.4909295028535761</c:v>
                </c:pt>
                <c:pt idx="340">
                  <c:v>4.5803376803619287</c:v>
                </c:pt>
                <c:pt idx="341">
                  <c:v>4.7076996243851763</c:v>
                </c:pt>
                <c:pt idx="342">
                  <c:v>4.5269512460306833</c:v>
                </c:pt>
                <c:pt idx="343">
                  <c:v>4.4374434896416766</c:v>
                </c:pt>
                <c:pt idx="344">
                  <c:v>4.4430822095496829</c:v>
                </c:pt>
                <c:pt idx="345">
                  <c:v>4.5335926131134263</c:v>
                </c:pt>
                <c:pt idx="346">
                  <c:v>4.5031362064715816</c:v>
                </c:pt>
                <c:pt idx="347">
                  <c:v>4.6751537206438112</c:v>
                </c:pt>
                <c:pt idx="348">
                  <c:v>4.9241838222181293</c:v>
                </c:pt>
                <c:pt idx="349">
                  <c:v>4.7821237910304628</c:v>
                </c:pt>
                <c:pt idx="350">
                  <c:v>4.7800075052000883</c:v>
                </c:pt>
                <c:pt idx="351">
                  <c:v>4.8375689124683454</c:v>
                </c:pt>
                <c:pt idx="352">
                  <c:v>4.9175330783278675</c:v>
                </c:pt>
                <c:pt idx="353">
                  <c:v>4.9988684431064243</c:v>
                </c:pt>
                <c:pt idx="354">
                  <c:v>5.0660651201007774</c:v>
                </c:pt>
                <c:pt idx="355">
                  <c:v>4.9949416886889058</c:v>
                </c:pt>
                <c:pt idx="356">
                  <c:v>4.8623589469963546</c:v>
                </c:pt>
                <c:pt idx="357">
                  <c:v>4.743782251285694</c:v>
                </c:pt>
                <c:pt idx="358">
                  <c:v>4.9437639787689101</c:v>
                </c:pt>
                <c:pt idx="359">
                  <c:v>4.9845541903360289</c:v>
                </c:pt>
                <c:pt idx="360">
                  <c:v>5.1037328900577963</c:v>
                </c:pt>
                <c:pt idx="361">
                  <c:v>4.8681542126729385</c:v>
                </c:pt>
                <c:pt idx="362">
                  <c:v>5.0425442413030357</c:v>
                </c:pt>
                <c:pt idx="363">
                  <c:v>5.0665272882241759</c:v>
                </c:pt>
                <c:pt idx="364">
                  <c:v>5.1079664847617856</c:v>
                </c:pt>
                <c:pt idx="365">
                  <c:v>5.362083460541287</c:v>
                </c:pt>
                <c:pt idx="366">
                  <c:v>5.1393462078686394</c:v>
                </c:pt>
                <c:pt idx="367">
                  <c:v>5.3087912384891212</c:v>
                </c:pt>
                <c:pt idx="368">
                  <c:v>5.268261178012442</c:v>
                </c:pt>
                <c:pt idx="369">
                  <c:v>5.2553815931907177</c:v>
                </c:pt>
                <c:pt idx="370">
                  <c:v>5.2532664173599466</c:v>
                </c:pt>
                <c:pt idx="371">
                  <c:v>5.3595971556227289</c:v>
                </c:pt>
                <c:pt idx="372">
                  <c:v>5.2887327049339303</c:v>
                </c:pt>
                <c:pt idx="373">
                  <c:v>5.3803527900189705</c:v>
                </c:pt>
                <c:pt idx="374">
                  <c:v>5.1469067408134901</c:v>
                </c:pt>
                <c:pt idx="375">
                  <c:v>5.2928423721001794</c:v>
                </c:pt>
                <c:pt idx="376">
                  <c:v>5.3970682576688178</c:v>
                </c:pt>
                <c:pt idx="377">
                  <c:v>5.2646450893145866</c:v>
                </c:pt>
                <c:pt idx="378">
                  <c:v>5.332772290272386</c:v>
                </c:pt>
                <c:pt idx="379">
                  <c:v>5.2098663998862298</c:v>
                </c:pt>
                <c:pt idx="380">
                  <c:v>4.9785606394808832</c:v>
                </c:pt>
                <c:pt idx="381">
                  <c:v>5.1809574341432549</c:v>
                </c:pt>
                <c:pt idx="382">
                  <c:v>5.1844619306803503</c:v>
                </c:pt>
                <c:pt idx="383">
                  <c:v>5.0794604342270055</c:v>
                </c:pt>
                <c:pt idx="384">
                  <c:v>5.3924445264360905</c:v>
                </c:pt>
                <c:pt idx="385">
                  <c:v>5.2355625264731351</c:v>
                </c:pt>
                <c:pt idx="386">
                  <c:v>5.2664874163476689</c:v>
                </c:pt>
                <c:pt idx="387">
                  <c:v>5.4170603063962135</c:v>
                </c:pt>
                <c:pt idx="388">
                  <c:v>5.5396755524644439</c:v>
                </c:pt>
                <c:pt idx="389">
                  <c:v>5.543514806858413</c:v>
                </c:pt>
                <c:pt idx="390">
                  <c:v>5.2914920610156191</c:v>
                </c:pt>
                <c:pt idx="391">
                  <c:v>5.350817826009683</c:v>
                </c:pt>
                <c:pt idx="392">
                  <c:v>5.5861480613577443</c:v>
                </c:pt>
                <c:pt idx="393">
                  <c:v>5.5896950825969967</c:v>
                </c:pt>
                <c:pt idx="394">
                  <c:v>5.856504198573961</c:v>
                </c:pt>
                <c:pt idx="395">
                  <c:v>5.905822730538409</c:v>
                </c:pt>
                <c:pt idx="396">
                  <c:v>5.7571563546452822</c:v>
                </c:pt>
                <c:pt idx="397">
                  <c:v>5.4482308646014852</c:v>
                </c:pt>
                <c:pt idx="398">
                  <c:v>5.7142529915329501</c:v>
                </c:pt>
                <c:pt idx="399">
                  <c:v>5.6205382343635995</c:v>
                </c:pt>
                <c:pt idx="400">
                  <c:v>5.856636544349124</c:v>
                </c:pt>
                <c:pt idx="401">
                  <c:v>5.8592907250688802</c:v>
                </c:pt>
                <c:pt idx="402">
                  <c:v>5.8462264498698193</c:v>
                </c:pt>
                <c:pt idx="403">
                  <c:v>5.8119902109544608</c:v>
                </c:pt>
                <c:pt idx="404">
                  <c:v>6.0520223316526156</c:v>
                </c:pt>
                <c:pt idx="405">
                  <c:v>6.0453152641603447</c:v>
                </c:pt>
                <c:pt idx="406">
                  <c:v>5.892116194411865</c:v>
                </c:pt>
                <c:pt idx="407">
                  <c:v>5.8626635957537445</c:v>
                </c:pt>
                <c:pt idx="408">
                  <c:v>5.5433276272680585</c:v>
                </c:pt>
                <c:pt idx="409">
                  <c:v>5.5444256303821433</c:v>
                </c:pt>
                <c:pt idx="410">
                  <c:v>5.6629261463526266</c:v>
                </c:pt>
                <c:pt idx="411">
                  <c:v>5.7501794188241862</c:v>
                </c:pt>
                <c:pt idx="412">
                  <c:v>5.98950476634033</c:v>
                </c:pt>
                <c:pt idx="413">
                  <c:v>6.1351432559943158</c:v>
                </c:pt>
                <c:pt idx="414">
                  <c:v>6.0735559188785073</c:v>
                </c:pt>
                <c:pt idx="415">
                  <c:v>5.9305871998611668</c:v>
                </c:pt>
                <c:pt idx="416">
                  <c:v>6.2571471777240628</c:v>
                </c:pt>
                <c:pt idx="417">
                  <c:v>6.2143439601040011</c:v>
                </c:pt>
                <c:pt idx="418">
                  <c:v>6.1560732053091316</c:v>
                </c:pt>
                <c:pt idx="419">
                  <c:v>6.1429420784648263</c:v>
                </c:pt>
                <c:pt idx="420">
                  <c:v>6.279558976253079</c:v>
                </c:pt>
                <c:pt idx="421">
                  <c:v>6.0984486282355919</c:v>
                </c:pt>
                <c:pt idx="422">
                  <c:v>6.0576039386729192</c:v>
                </c:pt>
                <c:pt idx="423">
                  <c:v>6.1229479545311989</c:v>
                </c:pt>
                <c:pt idx="424">
                  <c:v>6.3876292741416494</c:v>
                </c:pt>
                <c:pt idx="425">
                  <c:v>6.382503696916114</c:v>
                </c:pt>
                <c:pt idx="426">
                  <c:v>6.4627173609769892</c:v>
                </c:pt>
                <c:pt idx="427">
                  <c:v>6.5464814729103438</c:v>
                </c:pt>
                <c:pt idx="428">
                  <c:v>6.7277117749544004</c:v>
                </c:pt>
                <c:pt idx="429">
                  <c:v>6.5704026694735704</c:v>
                </c:pt>
                <c:pt idx="430">
                  <c:v>6.6738493392369573</c:v>
                </c:pt>
                <c:pt idx="431">
                  <c:v>6.89906807196303</c:v>
                </c:pt>
                <c:pt idx="432">
                  <c:v>6.8228764683845187</c:v>
                </c:pt>
                <c:pt idx="433">
                  <c:v>6.7730434024937818</c:v>
                </c:pt>
                <c:pt idx="434">
                  <c:v>6.5790529416333658</c:v>
                </c:pt>
                <c:pt idx="435">
                  <c:v>6.6096838843292938</c:v>
                </c:pt>
                <c:pt idx="436">
                  <c:v>6.5848998588843788</c:v>
                </c:pt>
                <c:pt idx="437">
                  <c:v>6.9197155918108972</c:v>
                </c:pt>
                <c:pt idx="438">
                  <c:v>6.7848850324940786</c:v>
                </c:pt>
                <c:pt idx="439">
                  <c:v>6.6292514728072218</c:v>
                </c:pt>
                <c:pt idx="440">
                  <c:v>6.8958066112230689</c:v>
                </c:pt>
                <c:pt idx="441">
                  <c:v>7.0987888150930267</c:v>
                </c:pt>
                <c:pt idx="442">
                  <c:v>7.1502680738311515</c:v>
                </c:pt>
                <c:pt idx="443">
                  <c:v>7.1841131983228879</c:v>
                </c:pt>
                <c:pt idx="444">
                  <c:v>7.4274554076634711</c:v>
                </c:pt>
                <c:pt idx="445">
                  <c:v>7.729110907254519</c:v>
                </c:pt>
                <c:pt idx="446">
                  <c:v>7.6901927671492123</c:v>
                </c:pt>
                <c:pt idx="447">
                  <c:v>7.1947746869517104</c:v>
                </c:pt>
                <c:pt idx="448">
                  <c:v>7.1427951512026491</c:v>
                </c:pt>
                <c:pt idx="449">
                  <c:v>7.394562558307304</c:v>
                </c:pt>
                <c:pt idx="450">
                  <c:v>7.3122386530348047</c:v>
                </c:pt>
                <c:pt idx="451">
                  <c:v>7.2758155840650209</c:v>
                </c:pt>
                <c:pt idx="452">
                  <c:v>7.4905295653114239</c:v>
                </c:pt>
                <c:pt idx="453">
                  <c:v>7.3991127322827142</c:v>
                </c:pt>
                <c:pt idx="454">
                  <c:v>7.4805295555849654</c:v>
                </c:pt>
                <c:pt idx="455">
                  <c:v>7.2770240233669954</c:v>
                </c:pt>
                <c:pt idx="456">
                  <c:v>7.3039043084529469</c:v>
                </c:pt>
                <c:pt idx="457">
                  <c:v>7.4882009551845456</c:v>
                </c:pt>
                <c:pt idx="458">
                  <c:v>7.5308138942212466</c:v>
                </c:pt>
                <c:pt idx="459">
                  <c:v>7.6338295776478509</c:v>
                </c:pt>
                <c:pt idx="460">
                  <c:v>7.67201329720519</c:v>
                </c:pt>
                <c:pt idx="461">
                  <c:v>7.6759699269794899</c:v>
                </c:pt>
                <c:pt idx="462">
                  <c:v>7.4373162784283933</c:v>
                </c:pt>
                <c:pt idx="463">
                  <c:v>7.4102752172414075</c:v>
                </c:pt>
                <c:pt idx="464">
                  <c:v>7.1279981379100468</c:v>
                </c:pt>
                <c:pt idx="465">
                  <c:v>7.02525794347524</c:v>
                </c:pt>
                <c:pt idx="466">
                  <c:v>7.0459702520649472</c:v>
                </c:pt>
                <c:pt idx="467">
                  <c:v>7.3564636338073726</c:v>
                </c:pt>
                <c:pt idx="468">
                  <c:v>7.6371367692226482</c:v>
                </c:pt>
                <c:pt idx="469">
                  <c:v>7.7109919695852005</c:v>
                </c:pt>
                <c:pt idx="470">
                  <c:v>7.768307950400291</c:v>
                </c:pt>
                <c:pt idx="471">
                  <c:v>7.7743905506954611</c:v>
                </c:pt>
                <c:pt idx="472">
                  <c:v>7.9299649969430313</c:v>
                </c:pt>
                <c:pt idx="473">
                  <c:v>7.6496803998289824</c:v>
                </c:pt>
                <c:pt idx="474">
                  <c:v>7.5717115540165674</c:v>
                </c:pt>
                <c:pt idx="475">
                  <c:v>7.3135758916253915</c:v>
                </c:pt>
                <c:pt idx="476">
                  <c:v>7.3267567882954765</c:v>
                </c:pt>
                <c:pt idx="477">
                  <c:v>7.5315247734296102</c:v>
                </c:pt>
                <c:pt idx="478">
                  <c:v>7.2652821637213529</c:v>
                </c:pt>
                <c:pt idx="479">
                  <c:v>7.3108922540371823</c:v>
                </c:pt>
                <c:pt idx="480">
                  <c:v>7.219611401010269</c:v>
                </c:pt>
                <c:pt idx="481">
                  <c:v>7.4056526517515531</c:v>
                </c:pt>
                <c:pt idx="482">
                  <c:v>7.4447814917874693</c:v>
                </c:pt>
                <c:pt idx="483">
                  <c:v>7.34157772044576</c:v>
                </c:pt>
                <c:pt idx="484">
                  <c:v>7.2048441541622434</c:v>
                </c:pt>
                <c:pt idx="485">
                  <c:v>7.1533239062588878</c:v>
                </c:pt>
                <c:pt idx="486">
                  <c:v>7.2840948652937119</c:v>
                </c:pt>
                <c:pt idx="487">
                  <c:v>7.5390696636638594</c:v>
                </c:pt>
                <c:pt idx="488">
                  <c:v>7.4965967996155518</c:v>
                </c:pt>
                <c:pt idx="489">
                  <c:v>7.488556509865929</c:v>
                </c:pt>
                <c:pt idx="490">
                  <c:v>7.2070618200380983</c:v>
                </c:pt>
                <c:pt idx="491">
                  <c:v>6.9883406078458981</c:v>
                </c:pt>
                <c:pt idx="492">
                  <c:v>6.8033695353421155</c:v>
                </c:pt>
                <c:pt idx="493">
                  <c:v>7.057072512096048</c:v>
                </c:pt>
                <c:pt idx="494">
                  <c:v>7.0205641911661862</c:v>
                </c:pt>
                <c:pt idx="495">
                  <c:v>7.3667296503236797</c:v>
                </c:pt>
                <c:pt idx="496">
                  <c:v>7.4126397382863765</c:v>
                </c:pt>
                <c:pt idx="497">
                  <c:v>7.4667738768374878</c:v>
                </c:pt>
                <c:pt idx="498">
                  <c:v>7.3193755040286232</c:v>
                </c:pt>
                <c:pt idx="499">
                  <c:v>7.2944559723999873</c:v>
                </c:pt>
                <c:pt idx="500">
                  <c:v>7.2388564824752502</c:v>
                </c:pt>
                <c:pt idx="501">
                  <c:v>7.4361711308321912</c:v>
                </c:pt>
                <c:pt idx="502">
                  <c:v>7.1486924361140138</c:v>
                </c:pt>
                <c:pt idx="503">
                  <c:v>7.1292702303405635</c:v>
                </c:pt>
                <c:pt idx="504">
                  <c:v>7.1212357994665787</c:v>
                </c:pt>
                <c:pt idx="505">
                  <c:v>7.2291249390008598</c:v>
                </c:pt>
                <c:pt idx="506">
                  <c:v>7.1132603256624565</c:v>
                </c:pt>
                <c:pt idx="507">
                  <c:v>6.9924189234922469</c:v>
                </c:pt>
                <c:pt idx="508">
                  <c:v>7.2611190813801549</c:v>
                </c:pt>
                <c:pt idx="509">
                  <c:v>7.4314928363289985</c:v>
                </c:pt>
                <c:pt idx="510">
                  <c:v>7.4497985167520682</c:v>
                </c:pt>
                <c:pt idx="511">
                  <c:v>7.7665413474780927</c:v>
                </c:pt>
                <c:pt idx="512">
                  <c:v>7.9961847476853789</c:v>
                </c:pt>
                <c:pt idx="513">
                  <c:v>8.008702244059954</c:v>
                </c:pt>
                <c:pt idx="514">
                  <c:v>7.9675075784266243</c:v>
                </c:pt>
                <c:pt idx="515">
                  <c:v>8.0763556016863696</c:v>
                </c:pt>
                <c:pt idx="516">
                  <c:v>8.4172246645607416</c:v>
                </c:pt>
                <c:pt idx="517">
                  <c:v>8.3450696788677998</c:v>
                </c:pt>
                <c:pt idx="518">
                  <c:v>8.2906322306854978</c:v>
                </c:pt>
                <c:pt idx="519">
                  <c:v>8.3406862612037926</c:v>
                </c:pt>
                <c:pt idx="520">
                  <c:v>8.2109440001433942</c:v>
                </c:pt>
                <c:pt idx="521">
                  <c:v>8.3013372898007454</c:v>
                </c:pt>
                <c:pt idx="522">
                  <c:v>8.3884288212876683</c:v>
                </c:pt>
                <c:pt idx="523">
                  <c:v>8.4203904936116789</c:v>
                </c:pt>
                <c:pt idx="524">
                  <c:v>8.2699081236936625</c:v>
                </c:pt>
                <c:pt idx="525">
                  <c:v>8.4327460628794331</c:v>
                </c:pt>
                <c:pt idx="526">
                  <c:v>8.1984726822033593</c:v>
                </c:pt>
                <c:pt idx="527">
                  <c:v>8.3792824778459689</c:v>
                </c:pt>
                <c:pt idx="528">
                  <c:v>8.4057766195373009</c:v>
                </c:pt>
                <c:pt idx="529">
                  <c:v>8.3645307099551225</c:v>
                </c:pt>
                <c:pt idx="530">
                  <c:v>8.2220031728599743</c:v>
                </c:pt>
                <c:pt idx="531">
                  <c:v>8.3783063626806626</c:v>
                </c:pt>
                <c:pt idx="532">
                  <c:v>8.6029416713595168</c:v>
                </c:pt>
                <c:pt idx="533">
                  <c:v>8.4018258347100172</c:v>
                </c:pt>
                <c:pt idx="534">
                  <c:v>8.3495271978860703</c:v>
                </c:pt>
                <c:pt idx="535">
                  <c:v>8.3705156302616643</c:v>
                </c:pt>
                <c:pt idx="536">
                  <c:v>8.3355443099580651</c:v>
                </c:pt>
                <c:pt idx="537">
                  <c:v>7.9794009641601047</c:v>
                </c:pt>
                <c:pt idx="538">
                  <c:v>8.1564428688622037</c:v>
                </c:pt>
                <c:pt idx="539">
                  <c:v>8.3404809674514535</c:v>
                </c:pt>
                <c:pt idx="540">
                  <c:v>8.4672957217042359</c:v>
                </c:pt>
                <c:pt idx="541">
                  <c:v>8.4484186944513873</c:v>
                </c:pt>
                <c:pt idx="542">
                  <c:v>8.3513822649889526</c:v>
                </c:pt>
                <c:pt idx="543">
                  <c:v>8.1942996696462735</c:v>
                </c:pt>
                <c:pt idx="544">
                  <c:v>8.3576187055526088</c:v>
                </c:pt>
                <c:pt idx="545">
                  <c:v>8.427878124553958</c:v>
                </c:pt>
                <c:pt idx="546">
                  <c:v>8.5370785586763951</c:v>
                </c:pt>
                <c:pt idx="547">
                  <c:v>8.591758266224895</c:v>
                </c:pt>
                <c:pt idx="548">
                  <c:v>8.6045651108588626</c:v>
                </c:pt>
                <c:pt idx="549">
                  <c:v>8.884270159689498</c:v>
                </c:pt>
                <c:pt idx="550">
                  <c:v>8.7784530549340278</c:v>
                </c:pt>
                <c:pt idx="551">
                  <c:v>8.5892953727670101</c:v>
                </c:pt>
                <c:pt idx="552">
                  <c:v>8.4781629587402296</c:v>
                </c:pt>
                <c:pt idx="553">
                  <c:v>8.6485464192692572</c:v>
                </c:pt>
                <c:pt idx="554">
                  <c:v>8.5162963959591096</c:v>
                </c:pt>
                <c:pt idx="555">
                  <c:v>8.3794717500203735</c:v>
                </c:pt>
                <c:pt idx="556">
                  <c:v>8.5920051393467993</c:v>
                </c:pt>
                <c:pt idx="557">
                  <c:v>8.423583076402009</c:v>
                </c:pt>
                <c:pt idx="558">
                  <c:v>8.3598460975892284</c:v>
                </c:pt>
                <c:pt idx="559">
                  <c:v>8.0634521236045558</c:v>
                </c:pt>
                <c:pt idx="560">
                  <c:v>7.9857909855474993</c:v>
                </c:pt>
                <c:pt idx="561">
                  <c:v>8.2618264502080443</c:v>
                </c:pt>
                <c:pt idx="562">
                  <c:v>8.2963430551173865</c:v>
                </c:pt>
                <c:pt idx="563">
                  <c:v>8.1758871501628398</c:v>
                </c:pt>
                <c:pt idx="564">
                  <c:v>8.3439072047851628</c:v>
                </c:pt>
                <c:pt idx="565">
                  <c:v>8.2319275704490948</c:v>
                </c:pt>
                <c:pt idx="566">
                  <c:v>8.2716072301673407</c:v>
                </c:pt>
                <c:pt idx="567">
                  <c:v>8.4943786556289052</c:v>
                </c:pt>
                <c:pt idx="568">
                  <c:v>8.3628910236403655</c:v>
                </c:pt>
                <c:pt idx="569">
                  <c:v>8.4715367450230765</c:v>
                </c:pt>
                <c:pt idx="570">
                  <c:v>8.0561153730197681</c:v>
                </c:pt>
                <c:pt idx="571">
                  <c:v>7.855712042073665</c:v>
                </c:pt>
                <c:pt idx="572">
                  <c:v>8.0364903047100551</c:v>
                </c:pt>
                <c:pt idx="573">
                  <c:v>7.9810166918913801</c:v>
                </c:pt>
                <c:pt idx="574">
                  <c:v>8.3841274488898172</c:v>
                </c:pt>
                <c:pt idx="575">
                  <c:v>8.5336261723458051</c:v>
                </c:pt>
                <c:pt idx="576">
                  <c:v>8.3951580512892363</c:v>
                </c:pt>
                <c:pt idx="577">
                  <c:v>8.4429408640982455</c:v>
                </c:pt>
                <c:pt idx="578">
                  <c:v>8.2582363578043712</c:v>
                </c:pt>
                <c:pt idx="579">
                  <c:v>8.2741219098098338</c:v>
                </c:pt>
                <c:pt idx="580">
                  <c:v>8.2980840180564641</c:v>
                </c:pt>
                <c:pt idx="581">
                  <c:v>8.1892034760771661</c:v>
                </c:pt>
                <c:pt idx="582">
                  <c:v>8.2445175445524441</c:v>
                </c:pt>
                <c:pt idx="583">
                  <c:v>8.4497489309216611</c:v>
                </c:pt>
                <c:pt idx="584">
                  <c:v>8.3211698987150591</c:v>
                </c:pt>
                <c:pt idx="585">
                  <c:v>8.3186298936513481</c:v>
                </c:pt>
                <c:pt idx="586">
                  <c:v>8.2596980754179139</c:v>
                </c:pt>
                <c:pt idx="587">
                  <c:v>8.410665017554642</c:v>
                </c:pt>
                <c:pt idx="588">
                  <c:v>8.372105785524333</c:v>
                </c:pt>
                <c:pt idx="589">
                  <c:v>8.1812190238881684</c:v>
                </c:pt>
                <c:pt idx="590">
                  <c:v>8.4487630036962127</c:v>
                </c:pt>
                <c:pt idx="591">
                  <c:v>8.2107976823020685</c:v>
                </c:pt>
                <c:pt idx="592">
                  <c:v>8.2716993028622454</c:v>
                </c:pt>
                <c:pt idx="593">
                  <c:v>8.2694697844973497</c:v>
                </c:pt>
                <c:pt idx="594">
                  <c:v>8.0663630984354189</c:v>
                </c:pt>
                <c:pt idx="595">
                  <c:v>8.0011460474318632</c:v>
                </c:pt>
                <c:pt idx="596">
                  <c:v>7.8868111762332678</c:v>
                </c:pt>
                <c:pt idx="597">
                  <c:v>7.6588415181941292</c:v>
                </c:pt>
                <c:pt idx="598">
                  <c:v>7.576274844590178</c:v>
                </c:pt>
                <c:pt idx="599">
                  <c:v>7.6098735295176256</c:v>
                </c:pt>
                <c:pt idx="600">
                  <c:v>7.4865492046263249</c:v>
                </c:pt>
                <c:pt idx="601">
                  <c:v>7.8192730309993577</c:v>
                </c:pt>
                <c:pt idx="602">
                  <c:v>8.2135780457777336</c:v>
                </c:pt>
                <c:pt idx="603">
                  <c:v>8.1850603037585348</c:v>
                </c:pt>
                <c:pt idx="604">
                  <c:v>7.9213003340005912</c:v>
                </c:pt>
                <c:pt idx="605">
                  <c:v>8.149999996271438</c:v>
                </c:pt>
                <c:pt idx="606">
                  <c:v>8.0967310165192306</c:v>
                </c:pt>
                <c:pt idx="607">
                  <c:v>8.3886272661370622</c:v>
                </c:pt>
                <c:pt idx="608">
                  <c:v>8.1498134472047479</c:v>
                </c:pt>
                <c:pt idx="609">
                  <c:v>8.4133312258014143</c:v>
                </c:pt>
                <c:pt idx="610">
                  <c:v>8.4990059627793908</c:v>
                </c:pt>
                <c:pt idx="611">
                  <c:v>8.4191775472533248</c:v>
                </c:pt>
                <c:pt idx="612">
                  <c:v>8.6362361649361343</c:v>
                </c:pt>
                <c:pt idx="613">
                  <c:v>8.6672796763969284</c:v>
                </c:pt>
                <c:pt idx="614">
                  <c:v>8.7727250314796787</c:v>
                </c:pt>
                <c:pt idx="615">
                  <c:v>8.7960300482313656</c:v>
                </c:pt>
                <c:pt idx="616">
                  <c:v>8.7781868509866392</c:v>
                </c:pt>
                <c:pt idx="617">
                  <c:v>8.7336056447354533</c:v>
                </c:pt>
                <c:pt idx="618">
                  <c:v>8.1944690025220748</c:v>
                </c:pt>
                <c:pt idx="619">
                  <c:v>7.9305709306094974</c:v>
                </c:pt>
                <c:pt idx="620">
                  <c:v>7.8953104611386307</c:v>
                </c:pt>
                <c:pt idx="621">
                  <c:v>8.0558160876194602</c:v>
                </c:pt>
                <c:pt idx="622">
                  <c:v>7.9554300398311462</c:v>
                </c:pt>
                <c:pt idx="623">
                  <c:v>7.8683828633947721</c:v>
                </c:pt>
                <c:pt idx="624">
                  <c:v>7.7541714546337559</c:v>
                </c:pt>
                <c:pt idx="625">
                  <c:v>7.8867047826749141</c:v>
                </c:pt>
                <c:pt idx="626">
                  <c:v>7.9793766955044356</c:v>
                </c:pt>
                <c:pt idx="627">
                  <c:v>7.678233851114336</c:v>
                </c:pt>
                <c:pt idx="628">
                  <c:v>8.0451204966496235</c:v>
                </c:pt>
                <c:pt idx="629">
                  <c:v>8.08368360479332</c:v>
                </c:pt>
                <c:pt idx="630">
                  <c:v>8.0219580000209536</c:v>
                </c:pt>
                <c:pt idx="631">
                  <c:v>8.030939106849555</c:v>
                </c:pt>
                <c:pt idx="632">
                  <c:v>7.9514334091830285</c:v>
                </c:pt>
                <c:pt idx="633">
                  <c:v>8.2594869554432613</c:v>
                </c:pt>
                <c:pt idx="634">
                  <c:v>8.5302294769186648</c:v>
                </c:pt>
                <c:pt idx="635">
                  <c:v>8.5070334994747174</c:v>
                </c:pt>
                <c:pt idx="636">
                  <c:v>8.6100708649063495</c:v>
                </c:pt>
                <c:pt idx="637">
                  <c:v>8.253383660429872</c:v>
                </c:pt>
                <c:pt idx="638">
                  <c:v>8.2392897039906678</c:v>
                </c:pt>
                <c:pt idx="639">
                  <c:v>8.4431986266132313</c:v>
                </c:pt>
                <c:pt idx="640">
                  <c:v>8.6101524210844325</c:v>
                </c:pt>
                <c:pt idx="641">
                  <c:v>8.6001576758679565</c:v>
                </c:pt>
                <c:pt idx="642">
                  <c:v>8.7107104574140894</c:v>
                </c:pt>
                <c:pt idx="643">
                  <c:v>8.7167273313384595</c:v>
                </c:pt>
                <c:pt idx="644">
                  <c:v>8.66159539298026</c:v>
                </c:pt>
                <c:pt idx="645">
                  <c:v>8.5901172685626292</c:v>
                </c:pt>
                <c:pt idx="646">
                  <c:v>8.6593685645248275</c:v>
                </c:pt>
                <c:pt idx="647">
                  <c:v>8.7539819082121948</c:v>
                </c:pt>
                <c:pt idx="648">
                  <c:v>8.8370750844525752</c:v>
                </c:pt>
                <c:pt idx="649">
                  <c:v>8.7652783645250771</c:v>
                </c:pt>
                <c:pt idx="650">
                  <c:v>8.9256750157749867</c:v>
                </c:pt>
                <c:pt idx="651">
                  <c:v>9.0817423304125029</c:v>
                </c:pt>
                <c:pt idx="652">
                  <c:v>8.9314367648140607</c:v>
                </c:pt>
                <c:pt idx="653">
                  <c:v>8.9775121622487077</c:v>
                </c:pt>
                <c:pt idx="654">
                  <c:v>9.0176546820385699</c:v>
                </c:pt>
                <c:pt idx="655">
                  <c:v>8.6913591675954116</c:v>
                </c:pt>
                <c:pt idx="656">
                  <c:v>8.593691966873239</c:v>
                </c:pt>
                <c:pt idx="657">
                  <c:v>8.6127198338944009</c:v>
                </c:pt>
                <c:pt idx="658">
                  <c:v>8.5287294646330345</c:v>
                </c:pt>
                <c:pt idx="659">
                  <c:v>8.421138074778872</c:v>
                </c:pt>
                <c:pt idx="660">
                  <c:v>8.8311464643601809</c:v>
                </c:pt>
                <c:pt idx="661">
                  <c:v>8.8026996351000637</c:v>
                </c:pt>
                <c:pt idx="662">
                  <c:v>9.10425372427102</c:v>
                </c:pt>
                <c:pt idx="663">
                  <c:v>9.3643967066554819</c:v>
                </c:pt>
                <c:pt idx="664">
                  <c:v>9.1391293428593432</c:v>
                </c:pt>
                <c:pt idx="665">
                  <c:v>9.0442562162967146</c:v>
                </c:pt>
                <c:pt idx="666">
                  <c:v>9.2034399992923781</c:v>
                </c:pt>
                <c:pt idx="667">
                  <c:v>9.2623982247576535</c:v>
                </c:pt>
                <c:pt idx="668">
                  <c:v>9.5851853070912849</c:v>
                </c:pt>
                <c:pt idx="669">
                  <c:v>9.5401998902179734</c:v>
                </c:pt>
                <c:pt idx="670">
                  <c:v>9.7076143240424706</c:v>
                </c:pt>
                <c:pt idx="671">
                  <c:v>9.8916782647047565</c:v>
                </c:pt>
                <c:pt idx="672">
                  <c:v>10.226243813521547</c:v>
                </c:pt>
                <c:pt idx="673">
                  <c:v>10.110409552535899</c:v>
                </c:pt>
                <c:pt idx="674">
                  <c:v>9.5733342974030791</c:v>
                </c:pt>
                <c:pt idx="675">
                  <c:v>9.516311581215108</c:v>
                </c:pt>
                <c:pt idx="676">
                  <c:v>9.5012775303693076</c:v>
                </c:pt>
                <c:pt idx="677">
                  <c:v>9.4595962278413559</c:v>
                </c:pt>
                <c:pt idx="678">
                  <c:v>9.6995631821786894</c:v>
                </c:pt>
                <c:pt idx="679">
                  <c:v>9.8720851873091569</c:v>
                </c:pt>
                <c:pt idx="680">
                  <c:v>9.7375528754018266</c:v>
                </c:pt>
                <c:pt idx="681">
                  <c:v>9.6150612196128797</c:v>
                </c:pt>
                <c:pt idx="682">
                  <c:v>9.8034025324884464</c:v>
                </c:pt>
                <c:pt idx="683">
                  <c:v>9.7213832896064734</c:v>
                </c:pt>
                <c:pt idx="684">
                  <c:v>9.5703138560053187</c:v>
                </c:pt>
                <c:pt idx="685">
                  <c:v>9.4864898220860621</c:v>
                </c:pt>
                <c:pt idx="686">
                  <c:v>9.3073149819799941</c:v>
                </c:pt>
                <c:pt idx="687">
                  <c:v>9.193482814647945</c:v>
                </c:pt>
                <c:pt idx="688">
                  <c:v>9.4046943221766686</c:v>
                </c:pt>
                <c:pt idx="689">
                  <c:v>9.3805793246037545</c:v>
                </c:pt>
                <c:pt idx="690">
                  <c:v>9.0217308981192144</c:v>
                </c:pt>
                <c:pt idx="691">
                  <c:v>9.1814747599803432</c:v>
                </c:pt>
                <c:pt idx="692">
                  <c:v>9.0110196573569521</c:v>
                </c:pt>
                <c:pt idx="693">
                  <c:v>9.0763501581311612</c:v>
                </c:pt>
                <c:pt idx="694">
                  <c:v>9.405147566915069</c:v>
                </c:pt>
                <c:pt idx="695">
                  <c:v>9.2900712384756492</c:v>
                </c:pt>
                <c:pt idx="696">
                  <c:v>9.4310080331928514</c:v>
                </c:pt>
                <c:pt idx="697">
                  <c:v>9.0206507529690789</c:v>
                </c:pt>
                <c:pt idx="698">
                  <c:v>9.1202579766851617</c:v>
                </c:pt>
                <c:pt idx="699">
                  <c:v>9.0270564395409085</c:v>
                </c:pt>
                <c:pt idx="700">
                  <c:v>8.8625021188335165</c:v>
                </c:pt>
                <c:pt idx="701">
                  <c:v>8.8446586024714957</c:v>
                </c:pt>
                <c:pt idx="702">
                  <c:v>8.9515976462605398</c:v>
                </c:pt>
                <c:pt idx="703">
                  <c:v>9.1745055834065603</c:v>
                </c:pt>
                <c:pt idx="704">
                  <c:v>9.3214145738247112</c:v>
                </c:pt>
                <c:pt idx="705">
                  <c:v>9.466438080638417</c:v>
                </c:pt>
                <c:pt idx="706">
                  <c:v>9.4194233760818893</c:v>
                </c:pt>
                <c:pt idx="707">
                  <c:v>9.4515519749967574</c:v>
                </c:pt>
                <c:pt idx="708">
                  <c:v>9.4768621723795832</c:v>
                </c:pt>
                <c:pt idx="709">
                  <c:v>9.1487197876069715</c:v>
                </c:pt>
                <c:pt idx="710">
                  <c:v>9.5294671331884953</c:v>
                </c:pt>
                <c:pt idx="711">
                  <c:v>9.7322479144719498</c:v>
                </c:pt>
                <c:pt idx="712">
                  <c:v>9.6247744174464849</c:v>
                </c:pt>
                <c:pt idx="713">
                  <c:v>9.3801095878996374</c:v>
                </c:pt>
                <c:pt idx="714">
                  <c:v>9.3797565805681753</c:v>
                </c:pt>
                <c:pt idx="715">
                  <c:v>9.5121945676815152</c:v>
                </c:pt>
                <c:pt idx="716">
                  <c:v>9.940621928787607</c:v>
                </c:pt>
                <c:pt idx="717">
                  <c:v>10.388192909868099</c:v>
                </c:pt>
                <c:pt idx="718">
                  <c:v>10.480961826563485</c:v>
                </c:pt>
                <c:pt idx="719">
                  <c:v>10.671790250087954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Output!$M$12:$M$731</c:f>
              <c:numCache>
                <c:formatCode>General</c:formatCode>
                <c:ptCount val="720"/>
                <c:pt idx="0">
                  <c:v>0.91227843796262953</c:v>
                </c:pt>
                <c:pt idx="1">
                  <c:v>0.89033921631244684</c:v>
                </c:pt>
                <c:pt idx="2">
                  <c:v>0.86951470536509379</c:v>
                </c:pt>
                <c:pt idx="3">
                  <c:v>0.82541138965206451</c:v>
                </c:pt>
                <c:pt idx="4">
                  <c:v>0.79310413983209216</c:v>
                </c:pt>
                <c:pt idx="5">
                  <c:v>0.75893299358515343</c:v>
                </c:pt>
                <c:pt idx="6">
                  <c:v>0.74489809670829388</c:v>
                </c:pt>
                <c:pt idx="7">
                  <c:v>0.72137947331635299</c:v>
                </c:pt>
                <c:pt idx="8">
                  <c:v>0.70729407561536328</c:v>
                </c:pt>
                <c:pt idx="9">
                  <c:v>0.71062988001711036</c:v>
                </c:pt>
                <c:pt idx="10">
                  <c:v>0.71273244521160373</c:v>
                </c:pt>
                <c:pt idx="11">
                  <c:v>0.70080130483440584</c:v>
                </c:pt>
                <c:pt idx="12">
                  <c:v>0.70636568084799267</c:v>
                </c:pt>
                <c:pt idx="13">
                  <c:v>0.71436308901732737</c:v>
                </c:pt>
                <c:pt idx="14">
                  <c:v>0.71872793264697143</c:v>
                </c:pt>
                <c:pt idx="15">
                  <c:v>0.71498043685131085</c:v>
                </c:pt>
                <c:pt idx="16">
                  <c:v>0.71084616763020714</c:v>
                </c:pt>
                <c:pt idx="17">
                  <c:v>0.69519090430479979</c:v>
                </c:pt>
                <c:pt idx="18">
                  <c:v>0.67558363820075618</c:v>
                </c:pt>
                <c:pt idx="19">
                  <c:v>0.68548675674278026</c:v>
                </c:pt>
                <c:pt idx="20">
                  <c:v>0.69021816305846917</c:v>
                </c:pt>
                <c:pt idx="21">
                  <c:v>0.67385474336539564</c:v>
                </c:pt>
                <c:pt idx="22">
                  <c:v>0.66548489744238248</c:v>
                </c:pt>
                <c:pt idx="23">
                  <c:v>0.67478242849634829</c:v>
                </c:pt>
                <c:pt idx="24">
                  <c:v>0.66673422031746776</c:v>
                </c:pt>
                <c:pt idx="25">
                  <c:v>0.66274903587581668</c:v>
                </c:pt>
                <c:pt idx="26">
                  <c:v>0.65566943378210962</c:v>
                </c:pt>
                <c:pt idx="27">
                  <c:v>0.65360885435686078</c:v>
                </c:pt>
                <c:pt idx="28">
                  <c:v>0.63177705753135871</c:v>
                </c:pt>
                <c:pt idx="29">
                  <c:v>0.62224370379616578</c:v>
                </c:pt>
                <c:pt idx="30">
                  <c:v>0.64209899294988004</c:v>
                </c:pt>
                <c:pt idx="31">
                  <c:v>0.63263167858664682</c:v>
                </c:pt>
                <c:pt idx="32">
                  <c:v>0.60769782675281614</c:v>
                </c:pt>
                <c:pt idx="33">
                  <c:v>0.6080137300058519</c:v>
                </c:pt>
                <c:pt idx="34">
                  <c:v>0.57830296449772522</c:v>
                </c:pt>
                <c:pt idx="35">
                  <c:v>0.57888773969760121</c:v>
                </c:pt>
                <c:pt idx="36">
                  <c:v>0.55859102579532116</c:v>
                </c:pt>
                <c:pt idx="37">
                  <c:v>0.56129553664624454</c:v>
                </c:pt>
                <c:pt idx="38">
                  <c:v>0.54256349465286968</c:v>
                </c:pt>
                <c:pt idx="39">
                  <c:v>0.5652205588915018</c:v>
                </c:pt>
                <c:pt idx="40">
                  <c:v>0.54930756702958072</c:v>
                </c:pt>
                <c:pt idx="41">
                  <c:v>0.54253752992391902</c:v>
                </c:pt>
                <c:pt idx="42">
                  <c:v>0.5637011073251702</c:v>
                </c:pt>
                <c:pt idx="43">
                  <c:v>0.55109460864804449</c:v>
                </c:pt>
                <c:pt idx="44">
                  <c:v>0.55464947960609845</c:v>
                </c:pt>
                <c:pt idx="45">
                  <c:v>0.53954018532493819</c:v>
                </c:pt>
                <c:pt idx="46">
                  <c:v>0.54171821956537292</c:v>
                </c:pt>
                <c:pt idx="47">
                  <c:v>0.54167691720482147</c:v>
                </c:pt>
                <c:pt idx="48">
                  <c:v>0.54152038495622368</c:v>
                </c:pt>
                <c:pt idx="49">
                  <c:v>0.54175627965375339</c:v>
                </c:pt>
                <c:pt idx="50">
                  <c:v>0.52525757195093836</c:v>
                </c:pt>
                <c:pt idx="51">
                  <c:v>0.51801141611783519</c:v>
                </c:pt>
                <c:pt idx="52">
                  <c:v>0.51898465307427921</c:v>
                </c:pt>
                <c:pt idx="53">
                  <c:v>0.5080280703157104</c:v>
                </c:pt>
                <c:pt idx="54">
                  <c:v>0.50175818110710901</c:v>
                </c:pt>
                <c:pt idx="55">
                  <c:v>0.51073030844088763</c:v>
                </c:pt>
                <c:pt idx="56">
                  <c:v>0.48838622789101321</c:v>
                </c:pt>
                <c:pt idx="57">
                  <c:v>0.48917738590346677</c:v>
                </c:pt>
                <c:pt idx="58">
                  <c:v>0.49375556078146998</c:v>
                </c:pt>
                <c:pt idx="59">
                  <c:v>0.49357438156741534</c:v>
                </c:pt>
                <c:pt idx="60">
                  <c:v>0.50068466567120828</c:v>
                </c:pt>
                <c:pt idx="61">
                  <c:v>0.50321248530850893</c:v>
                </c:pt>
                <c:pt idx="62">
                  <c:v>0.49965833807207316</c:v>
                </c:pt>
                <c:pt idx="63">
                  <c:v>0.48717496355322193</c:v>
                </c:pt>
                <c:pt idx="64">
                  <c:v>0.47682744920632969</c:v>
                </c:pt>
                <c:pt idx="65">
                  <c:v>0.47929817965062105</c:v>
                </c:pt>
                <c:pt idx="66">
                  <c:v>0.46855180800247803</c:v>
                </c:pt>
                <c:pt idx="67">
                  <c:v>0.45557095744266257</c:v>
                </c:pt>
                <c:pt idx="68">
                  <c:v>0.43670638156829666</c:v>
                </c:pt>
                <c:pt idx="69">
                  <c:v>0.43536689746376633</c:v>
                </c:pt>
                <c:pt idx="70">
                  <c:v>0.45200742908183217</c:v>
                </c:pt>
                <c:pt idx="71">
                  <c:v>0.44751433469303631</c:v>
                </c:pt>
                <c:pt idx="72">
                  <c:v>0.46157083928336495</c:v>
                </c:pt>
                <c:pt idx="73">
                  <c:v>0.45929221382346785</c:v>
                </c:pt>
                <c:pt idx="74">
                  <c:v>0.43292299234373954</c:v>
                </c:pt>
                <c:pt idx="75">
                  <c:v>0.41829839860975154</c:v>
                </c:pt>
                <c:pt idx="76">
                  <c:v>0.41919763414239858</c:v>
                </c:pt>
                <c:pt idx="77">
                  <c:v>0.42177896076491961</c:v>
                </c:pt>
                <c:pt idx="78">
                  <c:v>0.4154735818584816</c:v>
                </c:pt>
                <c:pt idx="79">
                  <c:v>0.42253722747364864</c:v>
                </c:pt>
                <c:pt idx="80">
                  <c:v>0.4146741415844295</c:v>
                </c:pt>
                <c:pt idx="81">
                  <c:v>0.40389805846817911</c:v>
                </c:pt>
                <c:pt idx="82">
                  <c:v>0.41382715931700043</c:v>
                </c:pt>
                <c:pt idx="83">
                  <c:v>0.41326368033991556</c:v>
                </c:pt>
                <c:pt idx="84">
                  <c:v>0.42159415967965391</c:v>
                </c:pt>
                <c:pt idx="85">
                  <c:v>0.41764729630258957</c:v>
                </c:pt>
                <c:pt idx="86">
                  <c:v>0.41331971788511301</c:v>
                </c:pt>
                <c:pt idx="87">
                  <c:v>0.41379200737356403</c:v>
                </c:pt>
                <c:pt idx="88">
                  <c:v>0.42059655141599611</c:v>
                </c:pt>
                <c:pt idx="89">
                  <c:v>0.42628538724560999</c:v>
                </c:pt>
                <c:pt idx="90">
                  <c:v>0.41645990191545557</c:v>
                </c:pt>
                <c:pt idx="91">
                  <c:v>0.40141584942777386</c:v>
                </c:pt>
                <c:pt idx="92">
                  <c:v>0.39300397751174915</c:v>
                </c:pt>
                <c:pt idx="93">
                  <c:v>0.38085308390987654</c:v>
                </c:pt>
                <c:pt idx="94">
                  <c:v>0.37943672626109898</c:v>
                </c:pt>
                <c:pt idx="95">
                  <c:v>0.38448781274543897</c:v>
                </c:pt>
                <c:pt idx="96">
                  <c:v>0.37267463069731777</c:v>
                </c:pt>
                <c:pt idx="97">
                  <c:v>0.37577308214935462</c:v>
                </c:pt>
                <c:pt idx="98">
                  <c:v>0.38058700294314474</c:v>
                </c:pt>
                <c:pt idx="99">
                  <c:v>0.36365516093763017</c:v>
                </c:pt>
                <c:pt idx="100">
                  <c:v>0.3777534750962091</c:v>
                </c:pt>
                <c:pt idx="101">
                  <c:v>0.38367686658353539</c:v>
                </c:pt>
                <c:pt idx="102">
                  <c:v>0.38414201350904131</c:v>
                </c:pt>
                <c:pt idx="103">
                  <c:v>0.39514284177133446</c:v>
                </c:pt>
                <c:pt idx="104">
                  <c:v>0.41191898773712615</c:v>
                </c:pt>
                <c:pt idx="105">
                  <c:v>0.39769746626829683</c:v>
                </c:pt>
                <c:pt idx="106">
                  <c:v>0.39849946521532043</c:v>
                </c:pt>
                <c:pt idx="107">
                  <c:v>0.4055563263169929</c:v>
                </c:pt>
                <c:pt idx="108">
                  <c:v>0.39525219962013963</c:v>
                </c:pt>
                <c:pt idx="109">
                  <c:v>0.40012167103679147</c:v>
                </c:pt>
                <c:pt idx="110">
                  <c:v>0.40604838384623426</c:v>
                </c:pt>
                <c:pt idx="111">
                  <c:v>0.40472838759896507</c:v>
                </c:pt>
                <c:pt idx="112">
                  <c:v>0.3984408442613151</c:v>
                </c:pt>
                <c:pt idx="113">
                  <c:v>0.3940690641489657</c:v>
                </c:pt>
                <c:pt idx="114">
                  <c:v>0.38581607320579803</c:v>
                </c:pt>
                <c:pt idx="115">
                  <c:v>0.39253008703481623</c:v>
                </c:pt>
                <c:pt idx="116">
                  <c:v>0.39291553386425848</c:v>
                </c:pt>
                <c:pt idx="117">
                  <c:v>0.39462480430959523</c:v>
                </c:pt>
                <c:pt idx="118">
                  <c:v>0.39568580060964781</c:v>
                </c:pt>
                <c:pt idx="119">
                  <c:v>0.39692152969597394</c:v>
                </c:pt>
                <c:pt idx="120">
                  <c:v>0.38585460498756718</c:v>
                </c:pt>
                <c:pt idx="121">
                  <c:v>0.38545647540222511</c:v>
                </c:pt>
                <c:pt idx="122">
                  <c:v>0.36905972276467114</c:v>
                </c:pt>
                <c:pt idx="123">
                  <c:v>0.37507541824737251</c:v>
                </c:pt>
                <c:pt idx="124">
                  <c:v>0.36972019838425313</c:v>
                </c:pt>
                <c:pt idx="125">
                  <c:v>0.37144518341012084</c:v>
                </c:pt>
                <c:pt idx="126">
                  <c:v>0.37328708968467883</c:v>
                </c:pt>
                <c:pt idx="127">
                  <c:v>0.37303017914192788</c:v>
                </c:pt>
                <c:pt idx="128">
                  <c:v>0.37171431912218389</c:v>
                </c:pt>
                <c:pt idx="129">
                  <c:v>0.37513002083729557</c:v>
                </c:pt>
                <c:pt idx="130">
                  <c:v>0.37134822350537561</c:v>
                </c:pt>
                <c:pt idx="131">
                  <c:v>0.36886777650313157</c:v>
                </c:pt>
                <c:pt idx="132">
                  <c:v>0.36658062140000103</c:v>
                </c:pt>
                <c:pt idx="133">
                  <c:v>0.36650199818973533</c:v>
                </c:pt>
                <c:pt idx="134">
                  <c:v>0.36577154791604422</c:v>
                </c:pt>
                <c:pt idx="135">
                  <c:v>0.37549658754470355</c:v>
                </c:pt>
                <c:pt idx="136">
                  <c:v>0.37216166404137174</c:v>
                </c:pt>
                <c:pt idx="137">
                  <c:v>0.3709902267002661</c:v>
                </c:pt>
                <c:pt idx="138">
                  <c:v>0.35909792279549085</c:v>
                </c:pt>
                <c:pt idx="139">
                  <c:v>0.35863398765449872</c:v>
                </c:pt>
                <c:pt idx="140">
                  <c:v>0.36033701207069424</c:v>
                </c:pt>
                <c:pt idx="141">
                  <c:v>0.34838157674565523</c:v>
                </c:pt>
                <c:pt idx="142">
                  <c:v>0.35268528571512275</c:v>
                </c:pt>
                <c:pt idx="143">
                  <c:v>0.34624172554510746</c:v>
                </c:pt>
                <c:pt idx="144">
                  <c:v>0.34422647361153164</c:v>
                </c:pt>
                <c:pt idx="145">
                  <c:v>0.35727584535607004</c:v>
                </c:pt>
                <c:pt idx="146">
                  <c:v>0.34978665001741832</c:v>
                </c:pt>
                <c:pt idx="147">
                  <c:v>0.35038688458492534</c:v>
                </c:pt>
                <c:pt idx="148">
                  <c:v>0.35140492778554727</c:v>
                </c:pt>
                <c:pt idx="149">
                  <c:v>0.34999487574770294</c:v>
                </c:pt>
                <c:pt idx="150">
                  <c:v>0.35245125863520799</c:v>
                </c:pt>
                <c:pt idx="151">
                  <c:v>0.35209965121210413</c:v>
                </c:pt>
                <c:pt idx="152">
                  <c:v>0.34998996287829032</c:v>
                </c:pt>
                <c:pt idx="153">
                  <c:v>0.34486376492468046</c:v>
                </c:pt>
                <c:pt idx="154">
                  <c:v>0.33545291492739171</c:v>
                </c:pt>
                <c:pt idx="155">
                  <c:v>0.33112934667076843</c:v>
                </c:pt>
                <c:pt idx="156">
                  <c:v>0.31877935694700704</c:v>
                </c:pt>
                <c:pt idx="157">
                  <c:v>0.3165772868523159</c:v>
                </c:pt>
                <c:pt idx="158">
                  <c:v>0.31857548051835732</c:v>
                </c:pt>
                <c:pt idx="159">
                  <c:v>0.31850411024518155</c:v>
                </c:pt>
                <c:pt idx="160">
                  <c:v>0.3051028548747941</c:v>
                </c:pt>
                <c:pt idx="161">
                  <c:v>0.30403820695538658</c:v>
                </c:pt>
                <c:pt idx="162">
                  <c:v>0.31125813209329301</c:v>
                </c:pt>
                <c:pt idx="163">
                  <c:v>0.32238902071306097</c:v>
                </c:pt>
                <c:pt idx="164">
                  <c:v>0.32064810644654318</c:v>
                </c:pt>
                <c:pt idx="165">
                  <c:v>0.31782029484881597</c:v>
                </c:pt>
                <c:pt idx="166">
                  <c:v>0.30947093860010044</c:v>
                </c:pt>
                <c:pt idx="167">
                  <c:v>0.31787931457878155</c:v>
                </c:pt>
                <c:pt idx="168">
                  <c:v>0.31461598612903424</c:v>
                </c:pt>
                <c:pt idx="169">
                  <c:v>0.30831985323342737</c:v>
                </c:pt>
                <c:pt idx="170">
                  <c:v>0.31639808401000352</c:v>
                </c:pt>
                <c:pt idx="171">
                  <c:v>0.31126465792370406</c:v>
                </c:pt>
                <c:pt idx="172">
                  <c:v>0.31145337405106494</c:v>
                </c:pt>
                <c:pt idx="173">
                  <c:v>0.31999381675910482</c:v>
                </c:pt>
                <c:pt idx="174">
                  <c:v>0.31420112398081373</c:v>
                </c:pt>
                <c:pt idx="175">
                  <c:v>0.31881316710137714</c:v>
                </c:pt>
                <c:pt idx="176">
                  <c:v>0.31944593590490344</c:v>
                </c:pt>
                <c:pt idx="177">
                  <c:v>0.32348337131894267</c:v>
                </c:pt>
                <c:pt idx="178">
                  <c:v>0.31035886838444904</c:v>
                </c:pt>
                <c:pt idx="179">
                  <c:v>0.3183048877836428</c:v>
                </c:pt>
                <c:pt idx="180">
                  <c:v>0.30950942166729178</c:v>
                </c:pt>
                <c:pt idx="181">
                  <c:v>0.30339263988445714</c:v>
                </c:pt>
                <c:pt idx="182">
                  <c:v>0.30280750421955466</c:v>
                </c:pt>
                <c:pt idx="183">
                  <c:v>0.30379986548998023</c:v>
                </c:pt>
                <c:pt idx="184">
                  <c:v>0.29781387681003657</c:v>
                </c:pt>
                <c:pt idx="185">
                  <c:v>0.29362974672471331</c:v>
                </c:pt>
                <c:pt idx="186">
                  <c:v>0.30406067842161194</c:v>
                </c:pt>
                <c:pt idx="187">
                  <c:v>0.29819290030180268</c:v>
                </c:pt>
                <c:pt idx="188">
                  <c:v>0.30240546151515529</c:v>
                </c:pt>
                <c:pt idx="189">
                  <c:v>0.29977602467591175</c:v>
                </c:pt>
                <c:pt idx="190">
                  <c:v>0.29456017396411271</c:v>
                </c:pt>
                <c:pt idx="191">
                  <c:v>0.29375348519441297</c:v>
                </c:pt>
                <c:pt idx="192">
                  <c:v>0.29408184624867761</c:v>
                </c:pt>
                <c:pt idx="193">
                  <c:v>0.28914656504073799</c:v>
                </c:pt>
                <c:pt idx="194">
                  <c:v>0.28340326680123046</c:v>
                </c:pt>
                <c:pt idx="195">
                  <c:v>0.28782025901802027</c:v>
                </c:pt>
                <c:pt idx="196">
                  <c:v>0.2908790585424143</c:v>
                </c:pt>
                <c:pt idx="197">
                  <c:v>0.28225711124206621</c:v>
                </c:pt>
                <c:pt idx="198">
                  <c:v>0.26894229883023474</c:v>
                </c:pt>
                <c:pt idx="199">
                  <c:v>0.27275501392303059</c:v>
                </c:pt>
                <c:pt idx="200">
                  <c:v>0.27505575093049295</c:v>
                </c:pt>
                <c:pt idx="201">
                  <c:v>0.27861639350555967</c:v>
                </c:pt>
                <c:pt idx="202">
                  <c:v>0.28233235767854847</c:v>
                </c:pt>
                <c:pt idx="203">
                  <c:v>0.28652946872218299</c:v>
                </c:pt>
                <c:pt idx="204">
                  <c:v>0.29170212108055954</c:v>
                </c:pt>
                <c:pt idx="205">
                  <c:v>0.28472512360810143</c:v>
                </c:pt>
                <c:pt idx="206">
                  <c:v>0.28339005447930871</c:v>
                </c:pt>
                <c:pt idx="207">
                  <c:v>0.27525531219513949</c:v>
                </c:pt>
                <c:pt idx="208">
                  <c:v>0.27386657379783919</c:v>
                </c:pt>
                <c:pt idx="209">
                  <c:v>0.27503282593161177</c:v>
                </c:pt>
                <c:pt idx="210">
                  <c:v>0.26706463598469787</c:v>
                </c:pt>
                <c:pt idx="211">
                  <c:v>0.27412316884757842</c:v>
                </c:pt>
                <c:pt idx="212">
                  <c:v>0.27177946865319169</c:v>
                </c:pt>
                <c:pt idx="213">
                  <c:v>0.26490512990743137</c:v>
                </c:pt>
                <c:pt idx="214">
                  <c:v>0.26914564637340782</c:v>
                </c:pt>
                <c:pt idx="215">
                  <c:v>0.27898169600682204</c:v>
                </c:pt>
                <c:pt idx="216">
                  <c:v>0.27714706629841929</c:v>
                </c:pt>
                <c:pt idx="217">
                  <c:v>0.27038032115653449</c:v>
                </c:pt>
                <c:pt idx="218">
                  <c:v>0.28330461627798204</c:v>
                </c:pt>
                <c:pt idx="219">
                  <c:v>0.28634887888113175</c:v>
                </c:pt>
                <c:pt idx="220">
                  <c:v>0.28687394002830424</c:v>
                </c:pt>
                <c:pt idx="221">
                  <c:v>0.28483760088985277</c:v>
                </c:pt>
                <c:pt idx="222">
                  <c:v>0.27782975841693558</c:v>
                </c:pt>
                <c:pt idx="223">
                  <c:v>0.27970487746799944</c:v>
                </c:pt>
                <c:pt idx="224">
                  <c:v>0.27260741066815253</c:v>
                </c:pt>
                <c:pt idx="225">
                  <c:v>0.27095849264992566</c:v>
                </c:pt>
                <c:pt idx="226">
                  <c:v>0.27372834354868336</c:v>
                </c:pt>
                <c:pt idx="227">
                  <c:v>0.27070947432443621</c:v>
                </c:pt>
                <c:pt idx="228">
                  <c:v>0.27579645348150034</c:v>
                </c:pt>
                <c:pt idx="229">
                  <c:v>0.26973535600660425</c:v>
                </c:pt>
                <c:pt idx="230">
                  <c:v>0.26398114782029947</c:v>
                </c:pt>
                <c:pt idx="231">
                  <c:v>0.26408368946229055</c:v>
                </c:pt>
                <c:pt idx="232">
                  <c:v>0.26770823810016048</c:v>
                </c:pt>
                <c:pt idx="233">
                  <c:v>0.26175104210237476</c:v>
                </c:pt>
                <c:pt idx="234">
                  <c:v>0.27249884806922964</c:v>
                </c:pt>
                <c:pt idx="235">
                  <c:v>0.27287097774620078</c:v>
                </c:pt>
                <c:pt idx="236">
                  <c:v>0.26676603536108501</c:v>
                </c:pt>
                <c:pt idx="237">
                  <c:v>0.26214040723447601</c:v>
                </c:pt>
                <c:pt idx="238">
                  <c:v>0.27220681739205282</c:v>
                </c:pt>
                <c:pt idx="239">
                  <c:v>0.2716715510655815</c:v>
                </c:pt>
                <c:pt idx="240">
                  <c:v>0.27098868821066363</c:v>
                </c:pt>
                <c:pt idx="241">
                  <c:v>0.27725602357541035</c:v>
                </c:pt>
                <c:pt idx="242">
                  <c:v>0.26923578558964295</c:v>
                </c:pt>
                <c:pt idx="243">
                  <c:v>0.25489771429720132</c:v>
                </c:pt>
                <c:pt idx="244">
                  <c:v>0.25538056571096451</c:v>
                </c:pt>
                <c:pt idx="245">
                  <c:v>0.2487878155831301</c:v>
                </c:pt>
                <c:pt idx="246">
                  <c:v>0.24939542681143223</c:v>
                </c:pt>
                <c:pt idx="247">
                  <c:v>0.24237705525042449</c:v>
                </c:pt>
                <c:pt idx="248">
                  <c:v>0.23913144641325229</c:v>
                </c:pt>
                <c:pt idx="249">
                  <c:v>0.24703548499412101</c:v>
                </c:pt>
                <c:pt idx="250">
                  <c:v>0.25425137872085091</c:v>
                </c:pt>
                <c:pt idx="251">
                  <c:v>0.25146347293429877</c:v>
                </c:pt>
                <c:pt idx="252">
                  <c:v>0.247186075174645</c:v>
                </c:pt>
                <c:pt idx="253">
                  <c:v>0.23872378308861542</c:v>
                </c:pt>
                <c:pt idx="254">
                  <c:v>0.23459685778553652</c:v>
                </c:pt>
                <c:pt idx="255">
                  <c:v>0.23550442315149334</c:v>
                </c:pt>
                <c:pt idx="256">
                  <c:v>0.23602753957587783</c:v>
                </c:pt>
                <c:pt idx="257">
                  <c:v>0.23210195821713731</c:v>
                </c:pt>
                <c:pt idx="258">
                  <c:v>0.24474195137610044</c:v>
                </c:pt>
                <c:pt idx="259">
                  <c:v>0.24806568273772187</c:v>
                </c:pt>
                <c:pt idx="260">
                  <c:v>0.24798415497185738</c:v>
                </c:pt>
                <c:pt idx="261">
                  <c:v>0.23845431028528125</c:v>
                </c:pt>
                <c:pt idx="262">
                  <c:v>0.24076603082709649</c:v>
                </c:pt>
                <c:pt idx="263">
                  <c:v>0.25220437304354004</c:v>
                </c:pt>
                <c:pt idx="264">
                  <c:v>0.25419752213789293</c:v>
                </c:pt>
                <c:pt idx="265">
                  <c:v>0.24746600098667784</c:v>
                </c:pt>
                <c:pt idx="266">
                  <c:v>0.24370701986018786</c:v>
                </c:pt>
                <c:pt idx="267">
                  <c:v>0.24530550826465722</c:v>
                </c:pt>
                <c:pt idx="268">
                  <c:v>0.23936367123186758</c:v>
                </c:pt>
                <c:pt idx="269">
                  <c:v>0.23687872493857265</c:v>
                </c:pt>
                <c:pt idx="270">
                  <c:v>0.24300514181513411</c:v>
                </c:pt>
                <c:pt idx="271">
                  <c:v>0.24289527685850124</c:v>
                </c:pt>
                <c:pt idx="272">
                  <c:v>0.23754226469107062</c:v>
                </c:pt>
                <c:pt idx="273">
                  <c:v>0.2381429582595409</c:v>
                </c:pt>
                <c:pt idx="274">
                  <c:v>0.24615837081710598</c:v>
                </c:pt>
                <c:pt idx="275">
                  <c:v>0.24968091699938083</c:v>
                </c:pt>
                <c:pt idx="276">
                  <c:v>0.24900197592889861</c:v>
                </c:pt>
                <c:pt idx="277">
                  <c:v>0.24740845066839229</c:v>
                </c:pt>
                <c:pt idx="278">
                  <c:v>0.23985830994056997</c:v>
                </c:pt>
                <c:pt idx="279">
                  <c:v>0.24389030129160139</c:v>
                </c:pt>
                <c:pt idx="280">
                  <c:v>0.24421847719977857</c:v>
                </c:pt>
                <c:pt idx="281">
                  <c:v>0.24087834209913106</c:v>
                </c:pt>
                <c:pt idx="282">
                  <c:v>0.24142494505741213</c:v>
                </c:pt>
                <c:pt idx="283">
                  <c:v>0.23813032668329934</c:v>
                </c:pt>
                <c:pt idx="284">
                  <c:v>0.2389227309868103</c:v>
                </c:pt>
                <c:pt idx="285">
                  <c:v>0.23821339518665172</c:v>
                </c:pt>
                <c:pt idx="286">
                  <c:v>0.23930061611429468</c:v>
                </c:pt>
                <c:pt idx="287">
                  <c:v>0.23154574036410794</c:v>
                </c:pt>
                <c:pt idx="288">
                  <c:v>0.23326401452863357</c:v>
                </c:pt>
                <c:pt idx="289">
                  <c:v>0.23555685465318174</c:v>
                </c:pt>
                <c:pt idx="290">
                  <c:v>0.23282359851484905</c:v>
                </c:pt>
                <c:pt idx="291">
                  <c:v>0.23385471190143411</c:v>
                </c:pt>
                <c:pt idx="292">
                  <c:v>0.22542917409219637</c:v>
                </c:pt>
                <c:pt idx="293">
                  <c:v>0.21616505307278072</c:v>
                </c:pt>
                <c:pt idx="294">
                  <c:v>0.21559790159951353</c:v>
                </c:pt>
                <c:pt idx="295">
                  <c:v>0.21442975474904688</c:v>
                </c:pt>
                <c:pt idx="296">
                  <c:v>0.21064626909757989</c:v>
                </c:pt>
                <c:pt idx="297">
                  <c:v>0.2191923818189371</c:v>
                </c:pt>
                <c:pt idx="298">
                  <c:v>0.21659666453669249</c:v>
                </c:pt>
                <c:pt idx="299">
                  <c:v>0.22233176494749876</c:v>
                </c:pt>
                <c:pt idx="300">
                  <c:v>0.22728198396791371</c:v>
                </c:pt>
                <c:pt idx="301">
                  <c:v>0.22103731208659813</c:v>
                </c:pt>
                <c:pt idx="302">
                  <c:v>0.22353894663194646</c:v>
                </c:pt>
                <c:pt idx="303">
                  <c:v>0.22008815212048152</c:v>
                </c:pt>
                <c:pt idx="304">
                  <c:v>0.21953271964571219</c:v>
                </c:pt>
                <c:pt idx="305">
                  <c:v>0.21606190734811348</c:v>
                </c:pt>
                <c:pt idx="306">
                  <c:v>0.21406500573480386</c:v>
                </c:pt>
                <c:pt idx="307">
                  <c:v>0.21309564140635534</c:v>
                </c:pt>
                <c:pt idx="308">
                  <c:v>0.21626219417881126</c:v>
                </c:pt>
                <c:pt idx="309">
                  <c:v>0.22407235079241261</c:v>
                </c:pt>
                <c:pt idx="310">
                  <c:v>0.21813244078063368</c:v>
                </c:pt>
                <c:pt idx="311">
                  <c:v>0.2142125899245034</c:v>
                </c:pt>
                <c:pt idx="312">
                  <c:v>0.20999552436088118</c:v>
                </c:pt>
                <c:pt idx="313">
                  <c:v>0.20765307751644929</c:v>
                </c:pt>
                <c:pt idx="314">
                  <c:v>0.21087553309164392</c:v>
                </c:pt>
                <c:pt idx="315">
                  <c:v>0.20408404648946421</c:v>
                </c:pt>
                <c:pt idx="316">
                  <c:v>0.20136246305811614</c:v>
                </c:pt>
                <c:pt idx="317">
                  <c:v>0.20084709195697462</c:v>
                </c:pt>
                <c:pt idx="318">
                  <c:v>0.1920194295566337</c:v>
                </c:pt>
                <c:pt idx="319">
                  <c:v>0.19336765164079794</c:v>
                </c:pt>
                <c:pt idx="320">
                  <c:v>0.19399739477785233</c:v>
                </c:pt>
                <c:pt idx="321">
                  <c:v>0.19195971568394279</c:v>
                </c:pt>
                <c:pt idx="322">
                  <c:v>0.17783649807772522</c:v>
                </c:pt>
                <c:pt idx="323">
                  <c:v>0.1749802102975295</c:v>
                </c:pt>
                <c:pt idx="324">
                  <c:v>0.17300235874232134</c:v>
                </c:pt>
                <c:pt idx="325">
                  <c:v>0.17358759435448851</c:v>
                </c:pt>
                <c:pt idx="326">
                  <c:v>0.18060735820848461</c:v>
                </c:pt>
                <c:pt idx="327">
                  <c:v>0.18085465936636747</c:v>
                </c:pt>
                <c:pt idx="328">
                  <c:v>0.17764727891996743</c:v>
                </c:pt>
                <c:pt idx="329">
                  <c:v>0.18206248139440828</c:v>
                </c:pt>
                <c:pt idx="330">
                  <c:v>0.18483880933948635</c:v>
                </c:pt>
                <c:pt idx="331">
                  <c:v>0.18461574245143353</c:v>
                </c:pt>
                <c:pt idx="332">
                  <c:v>0.18435067303924588</c:v>
                </c:pt>
                <c:pt idx="333">
                  <c:v>0.18754697827492653</c:v>
                </c:pt>
                <c:pt idx="334">
                  <c:v>0.18777119230614167</c:v>
                </c:pt>
                <c:pt idx="335">
                  <c:v>0.18536184875436648</c:v>
                </c:pt>
                <c:pt idx="336">
                  <c:v>0.18827867804884926</c:v>
                </c:pt>
                <c:pt idx="337">
                  <c:v>0.19016138121331705</c:v>
                </c:pt>
                <c:pt idx="338">
                  <c:v>0.18562344729585503</c:v>
                </c:pt>
                <c:pt idx="339">
                  <c:v>0.18574490960801418</c:v>
                </c:pt>
                <c:pt idx="340">
                  <c:v>0.18202153002084367</c:v>
                </c:pt>
                <c:pt idx="341">
                  <c:v>0.17699823911550658</c:v>
                </c:pt>
                <c:pt idx="342">
                  <c:v>0.18397205730078794</c:v>
                </c:pt>
                <c:pt idx="343">
                  <c:v>0.18757613259011935</c:v>
                </c:pt>
                <c:pt idx="344">
                  <c:v>0.18724407423586065</c:v>
                </c:pt>
                <c:pt idx="345">
                  <c:v>0.18340392695046265</c:v>
                </c:pt>
                <c:pt idx="346">
                  <c:v>0.1845506914782622</c:v>
                </c:pt>
                <c:pt idx="347">
                  <c:v>0.17766479856733308</c:v>
                </c:pt>
                <c:pt idx="348">
                  <c:v>0.16858980648336644</c:v>
                </c:pt>
                <c:pt idx="349">
                  <c:v>0.17350597980893073</c:v>
                </c:pt>
                <c:pt idx="350">
                  <c:v>0.17349096200875527</c:v>
                </c:pt>
                <c:pt idx="351">
                  <c:v>0.17133300925029735</c:v>
                </c:pt>
                <c:pt idx="352">
                  <c:v>0.1684597642445223</c:v>
                </c:pt>
                <c:pt idx="353">
                  <c:v>0.16562460463295867</c:v>
                </c:pt>
                <c:pt idx="354">
                  <c:v>0.16334298492469065</c:v>
                </c:pt>
                <c:pt idx="355">
                  <c:v>0.16558079121517127</c:v>
                </c:pt>
                <c:pt idx="356">
                  <c:v>0.17000427780482122</c:v>
                </c:pt>
                <c:pt idx="357">
                  <c:v>0.17416270181997429</c:v>
                </c:pt>
                <c:pt idx="358">
                  <c:v>0.16702857834785517</c:v>
                </c:pt>
                <c:pt idx="359">
                  <c:v>0.16557409122782174</c:v>
                </c:pt>
                <c:pt idx="360">
                  <c:v>0.16162190967025017</c:v>
                </c:pt>
                <c:pt idx="361">
                  <c:v>0.1693513865977001</c:v>
                </c:pt>
                <c:pt idx="362">
                  <c:v>0.16340705930961441</c:v>
                </c:pt>
                <c:pt idx="363">
                  <c:v>0.1625446294439159</c:v>
                </c:pt>
                <c:pt idx="364">
                  <c:v>0.1611429701776407</c:v>
                </c:pt>
                <c:pt idx="365">
                  <c:v>0.1534226874093981</c:v>
                </c:pt>
                <c:pt idx="366">
                  <c:v>0.15998595546112793</c:v>
                </c:pt>
                <c:pt idx="367">
                  <c:v>0.15479930986341806</c:v>
                </c:pt>
                <c:pt idx="368">
                  <c:v>0.15590503118846216</c:v>
                </c:pt>
                <c:pt idx="369">
                  <c:v>0.15620432109567933</c:v>
                </c:pt>
                <c:pt idx="370">
                  <c:v>0.15618515115750808</c:v>
                </c:pt>
                <c:pt idx="371">
                  <c:v>0.15300328534651755</c:v>
                </c:pt>
                <c:pt idx="372">
                  <c:v>0.1549718149952527</c:v>
                </c:pt>
                <c:pt idx="373">
                  <c:v>0.15225197761064274</c:v>
                </c:pt>
                <c:pt idx="374">
                  <c:v>0.15907125501371192</c:v>
                </c:pt>
                <c:pt idx="375">
                  <c:v>0.15460495688871734</c:v>
                </c:pt>
                <c:pt idx="376">
                  <c:v>0.1515353051407671</c:v>
                </c:pt>
                <c:pt idx="377">
                  <c:v>0.1552673221266703</c:v>
                </c:pt>
                <c:pt idx="378">
                  <c:v>0.15320116087701807</c:v>
                </c:pt>
                <c:pt idx="379">
                  <c:v>0.15673316745784688</c:v>
                </c:pt>
                <c:pt idx="380">
                  <c:v>0.16392613599981459</c:v>
                </c:pt>
                <c:pt idx="381">
                  <c:v>0.15743992595538731</c:v>
                </c:pt>
                <c:pt idx="382">
                  <c:v>0.15724928374607378</c:v>
                </c:pt>
                <c:pt idx="383">
                  <c:v>0.16041341630550957</c:v>
                </c:pt>
                <c:pt idx="384">
                  <c:v>0.15101937588448372</c:v>
                </c:pt>
                <c:pt idx="385">
                  <c:v>0.15546415476112629</c:v>
                </c:pt>
                <c:pt idx="386">
                  <c:v>0.15447036462344416</c:v>
                </c:pt>
                <c:pt idx="387">
                  <c:v>0.15009676830970839</c:v>
                </c:pt>
                <c:pt idx="388">
                  <c:v>0.14669623926052519</c:v>
                </c:pt>
                <c:pt idx="389">
                  <c:v>0.14651316869999356</c:v>
                </c:pt>
                <c:pt idx="390">
                  <c:v>0.15341040010557247</c:v>
                </c:pt>
                <c:pt idx="391">
                  <c:v>0.15162991030295103</c:v>
                </c:pt>
                <c:pt idx="392">
                  <c:v>0.14516512476869517</c:v>
                </c:pt>
                <c:pt idx="393">
                  <c:v>0.14499502980867879</c:v>
                </c:pt>
                <c:pt idx="394">
                  <c:v>0.13831410991368681</c:v>
                </c:pt>
                <c:pt idx="395">
                  <c:v>0.13708559209961202</c:v>
                </c:pt>
                <c:pt idx="396">
                  <c:v>0.14054956511274697</c:v>
                </c:pt>
                <c:pt idx="397">
                  <c:v>0.14844379232728475</c:v>
                </c:pt>
                <c:pt idx="398">
                  <c:v>0.14145673226695374</c:v>
                </c:pt>
                <c:pt idx="399">
                  <c:v>0.14373905792256336</c:v>
                </c:pt>
                <c:pt idx="400">
                  <c:v>0.13786783821104015</c:v>
                </c:pt>
                <c:pt idx="401">
                  <c:v>0.13773425847788437</c:v>
                </c:pt>
                <c:pt idx="402">
                  <c:v>0.13796732969320541</c:v>
                </c:pt>
                <c:pt idx="403">
                  <c:v>0.13870720660554917</c:v>
                </c:pt>
                <c:pt idx="404">
                  <c:v>0.13313242192335847</c:v>
                </c:pt>
                <c:pt idx="405">
                  <c:v>0.13321029577963781</c:v>
                </c:pt>
                <c:pt idx="406">
                  <c:v>0.136601112914186</c:v>
                </c:pt>
                <c:pt idx="407">
                  <c:v>0.13721377867974477</c:v>
                </c:pt>
                <c:pt idx="408">
                  <c:v>0.14504262281637229</c:v>
                </c:pt>
                <c:pt idx="409">
                  <c:v>0.14493834127807045</c:v>
                </c:pt>
                <c:pt idx="410">
                  <c:v>0.14183011258656039</c:v>
                </c:pt>
                <c:pt idx="411">
                  <c:v>0.13959911990285745</c:v>
                </c:pt>
                <c:pt idx="412">
                  <c:v>0.13395042107105623</c:v>
                </c:pt>
                <c:pt idx="413">
                  <c:v>0.13070076880428003</c:v>
                </c:pt>
                <c:pt idx="414">
                  <c:v>0.13195592070662529</c:v>
                </c:pt>
                <c:pt idx="415">
                  <c:v>0.13506705457366838</c:v>
                </c:pt>
                <c:pt idx="416">
                  <c:v>0.12794756035413235</c:v>
                </c:pt>
                <c:pt idx="417">
                  <c:v>0.12875988376508105</c:v>
                </c:pt>
                <c:pt idx="418">
                  <c:v>0.12990868393931781</c:v>
                </c:pt>
                <c:pt idx="419">
                  <c:v>0.13011849911149187</c:v>
                </c:pt>
                <c:pt idx="420">
                  <c:v>0.12721983475405829</c:v>
                </c:pt>
                <c:pt idx="421">
                  <c:v>0.13092766118925242</c:v>
                </c:pt>
                <c:pt idx="422">
                  <c:v>0.13174008534874912</c:v>
                </c:pt>
                <c:pt idx="423">
                  <c:v>0.13026572533638056</c:v>
                </c:pt>
                <c:pt idx="424">
                  <c:v>0.12480185308607335</c:v>
                </c:pt>
                <c:pt idx="425">
                  <c:v>0.1248349308793113</c:v>
                </c:pt>
                <c:pt idx="426">
                  <c:v>0.12322180178600461</c:v>
                </c:pt>
                <c:pt idx="427">
                  <c:v>0.12157753102754951</c:v>
                </c:pt>
                <c:pt idx="428">
                  <c:v>0.11824134409798481</c:v>
                </c:pt>
                <c:pt idx="429">
                  <c:v>0.12100788402518903</c:v>
                </c:pt>
                <c:pt idx="430">
                  <c:v>0.11906979122749524</c:v>
                </c:pt>
                <c:pt idx="431">
                  <c:v>0.1151190607548473</c:v>
                </c:pt>
                <c:pt idx="432">
                  <c:v>0.11633933599363701</c:v>
                </c:pt>
                <c:pt idx="433">
                  <c:v>0.1171347168991542</c:v>
                </c:pt>
                <c:pt idx="434">
                  <c:v>0.1205248421304583</c:v>
                </c:pt>
                <c:pt idx="435">
                  <c:v>0.11989986620944099</c:v>
                </c:pt>
                <c:pt idx="436">
                  <c:v>0.12028953950393047</c:v>
                </c:pt>
                <c:pt idx="437">
                  <c:v>0.11440763691173461</c:v>
                </c:pt>
                <c:pt idx="438">
                  <c:v>0.11662698604606563</c:v>
                </c:pt>
                <c:pt idx="439">
                  <c:v>0.11929104350209067</c:v>
                </c:pt>
                <c:pt idx="440">
                  <c:v>0.11462900535579651</c:v>
                </c:pt>
                <c:pt idx="441">
                  <c:v>0.11128237373822168</c:v>
                </c:pt>
                <c:pt idx="442">
                  <c:v>0.11042633161227323</c:v>
                </c:pt>
                <c:pt idx="443">
                  <c:v>0.10984406772467221</c:v>
                </c:pt>
                <c:pt idx="444">
                  <c:v>0.10619676639549347</c:v>
                </c:pt>
                <c:pt idx="445">
                  <c:v>0.10199402378847609</c:v>
                </c:pt>
                <c:pt idx="446">
                  <c:v>0.10245662871982507</c:v>
                </c:pt>
                <c:pt idx="447">
                  <c:v>0.10945600315441552</c:v>
                </c:pt>
                <c:pt idx="448">
                  <c:v>0.11019055612844388</c:v>
                </c:pt>
                <c:pt idx="449">
                  <c:v>0.10638339748516612</c:v>
                </c:pt>
                <c:pt idx="450">
                  <c:v>0.10751645634170096</c:v>
                </c:pt>
                <c:pt idx="451">
                  <c:v>0.10799527491777816</c:v>
                </c:pt>
                <c:pt idx="452">
                  <c:v>0.10485001045116427</c:v>
                </c:pt>
                <c:pt idx="453">
                  <c:v>0.10608580776196862</c:v>
                </c:pt>
                <c:pt idx="454">
                  <c:v>0.10487929551368487</c:v>
                </c:pt>
                <c:pt idx="455">
                  <c:v>0.10775061591292784</c:v>
                </c:pt>
                <c:pt idx="456">
                  <c:v>0.10730131610032219</c:v>
                </c:pt>
                <c:pt idx="457">
                  <c:v>0.10459688876667204</c:v>
                </c:pt>
                <c:pt idx="458">
                  <c:v>0.10395272853465459</c:v>
                </c:pt>
                <c:pt idx="459">
                  <c:v>0.10249976093704653</c:v>
                </c:pt>
                <c:pt idx="460">
                  <c:v>0.10192868639591844</c:v>
                </c:pt>
                <c:pt idx="461">
                  <c:v>0.1018269650858655</c:v>
                </c:pt>
                <c:pt idx="462">
                  <c:v>0.10503673029240237</c:v>
                </c:pt>
                <c:pt idx="463">
                  <c:v>0.10536537451148219</c:v>
                </c:pt>
                <c:pt idx="464">
                  <c:v>0.10948316560935099</c:v>
                </c:pt>
                <c:pt idx="465">
                  <c:v>0.11102061501433953</c:v>
                </c:pt>
                <c:pt idx="466">
                  <c:v>0.11063528316584011</c:v>
                </c:pt>
                <c:pt idx="467">
                  <c:v>0.10590675481698104</c:v>
                </c:pt>
                <c:pt idx="468">
                  <c:v>0.10195938561578577</c:v>
                </c:pt>
                <c:pt idx="469">
                  <c:v>0.10092713604395273</c:v>
                </c:pt>
                <c:pt idx="470">
                  <c:v>0.10013291350506037</c:v>
                </c:pt>
                <c:pt idx="471">
                  <c:v>0.100003906663308</c:v>
                </c:pt>
                <c:pt idx="472">
                  <c:v>9.7988088232045786E-2</c:v>
                </c:pt>
                <c:pt idx="473">
                  <c:v>0.10152522228783484</c:v>
                </c:pt>
                <c:pt idx="474">
                  <c:v>0.10251004734103107</c:v>
                </c:pt>
                <c:pt idx="475">
                  <c:v>0.10607694827689038</c:v>
                </c:pt>
                <c:pt idx="476">
                  <c:v>0.10583061841020633</c:v>
                </c:pt>
                <c:pt idx="477">
                  <c:v>0.10289529917553447</c:v>
                </c:pt>
                <c:pt idx="478">
                  <c:v>0.10660774150868321</c:v>
                </c:pt>
                <c:pt idx="479">
                  <c:v>0.10588969385789555</c:v>
                </c:pt>
                <c:pt idx="480">
                  <c:v>0.10716784930524946</c:v>
                </c:pt>
                <c:pt idx="481">
                  <c:v>0.10442519419675186</c:v>
                </c:pt>
                <c:pt idx="482">
                  <c:v>0.10382152304626421</c:v>
                </c:pt>
                <c:pt idx="483">
                  <c:v>0.10522730597381295</c:v>
                </c:pt>
                <c:pt idx="484">
                  <c:v>0.107158683002543</c:v>
                </c:pt>
                <c:pt idx="485">
                  <c:v>0.10787345404611341</c:v>
                </c:pt>
                <c:pt idx="486">
                  <c:v>0.10588173236303092</c:v>
                </c:pt>
                <c:pt idx="487">
                  <c:v>0.10224352606121326</c:v>
                </c:pt>
                <c:pt idx="488">
                  <c:v>0.10277344298406392</c:v>
                </c:pt>
                <c:pt idx="489">
                  <c:v>0.1028270412333388</c:v>
                </c:pt>
                <c:pt idx="490">
                  <c:v>0.10678646292836481</c:v>
                </c:pt>
                <c:pt idx="491">
                  <c:v>0.11006849049066682</c:v>
                </c:pt>
                <c:pt idx="492">
                  <c:v>0.11300311524940887</c:v>
                </c:pt>
                <c:pt idx="493">
                  <c:v>0.10887762244250491</c:v>
                </c:pt>
                <c:pt idx="494">
                  <c:v>0.10939003579732645</c:v>
                </c:pt>
                <c:pt idx="495">
                  <c:v>0.10419483868332606</c:v>
                </c:pt>
                <c:pt idx="496">
                  <c:v>0.10349495156796572</c:v>
                </c:pt>
                <c:pt idx="497">
                  <c:v>0.10268687715192848</c:v>
                </c:pt>
                <c:pt idx="498">
                  <c:v>0.10469601398426548</c:v>
                </c:pt>
                <c:pt idx="499">
                  <c:v>0.105004682952459</c:v>
                </c:pt>
                <c:pt idx="500">
                  <c:v>0.10574457124394322</c:v>
                </c:pt>
                <c:pt idx="501">
                  <c:v>0.10288885712555887</c:v>
                </c:pt>
                <c:pt idx="502">
                  <c:v>0.10697177767979392</c:v>
                </c:pt>
                <c:pt idx="503">
                  <c:v>0.10720412722540264</c:v>
                </c:pt>
                <c:pt idx="504">
                  <c:v>0.10726409973726564</c:v>
                </c:pt>
                <c:pt idx="505">
                  <c:v>0.10561534824702876</c:v>
                </c:pt>
                <c:pt idx="506">
                  <c:v>0.10727958161915294</c:v>
                </c:pt>
                <c:pt idx="507">
                  <c:v>0.10907109186934766</c:v>
                </c:pt>
                <c:pt idx="508">
                  <c:v>0.10497458494104649</c:v>
                </c:pt>
                <c:pt idx="509">
                  <c:v>0.10251278482887213</c:v>
                </c:pt>
                <c:pt idx="510">
                  <c:v>0.10220851757955458</c:v>
                </c:pt>
                <c:pt idx="511">
                  <c:v>9.7986855918582014E-2</c:v>
                </c:pt>
                <c:pt idx="512">
                  <c:v>9.5122065636687222E-2</c:v>
                </c:pt>
                <c:pt idx="513">
                  <c:v>9.4922606897588246E-2</c:v>
                </c:pt>
                <c:pt idx="514">
                  <c:v>9.5363837826919137E-2</c:v>
                </c:pt>
                <c:pt idx="515">
                  <c:v>9.4026554214093117E-2</c:v>
                </c:pt>
                <c:pt idx="516">
                  <c:v>9.0172750540691071E-2</c:v>
                </c:pt>
                <c:pt idx="517">
                  <c:v>9.090508396692841E-2</c:v>
                </c:pt>
                <c:pt idx="518">
                  <c:v>9.14540632810798E-2</c:v>
                </c:pt>
                <c:pt idx="519">
                  <c:v>9.0858389338572224E-2</c:v>
                </c:pt>
                <c:pt idx="520">
                  <c:v>9.2241892284631075E-2</c:v>
                </c:pt>
                <c:pt idx="521">
                  <c:v>9.1191118727179374E-2</c:v>
                </c:pt>
                <c:pt idx="522">
                  <c:v>9.0196251489430224E-2</c:v>
                </c:pt>
                <c:pt idx="523">
                  <c:v>8.980267095016875E-2</c:v>
                </c:pt>
                <c:pt idx="524">
                  <c:v>9.1386605668286214E-2</c:v>
                </c:pt>
                <c:pt idx="525">
                  <c:v>8.9578054564235648E-2</c:v>
                </c:pt>
                <c:pt idx="526">
                  <c:v>9.2089497294062947E-2</c:v>
                </c:pt>
                <c:pt idx="527">
                  <c:v>9.0053606574581335E-2</c:v>
                </c:pt>
                <c:pt idx="528">
                  <c:v>8.9717697047557846E-2</c:v>
                </c:pt>
                <c:pt idx="529">
                  <c:v>9.0115293480857492E-2</c:v>
                </c:pt>
                <c:pt idx="530">
                  <c:v>9.1625768309982397E-2</c:v>
                </c:pt>
                <c:pt idx="531">
                  <c:v>8.9868176540317757E-2</c:v>
                </c:pt>
                <c:pt idx="532">
                  <c:v>8.7477020004461156E-2</c:v>
                </c:pt>
                <c:pt idx="533">
                  <c:v>8.9518789594609585E-2</c:v>
                </c:pt>
                <c:pt idx="534">
                  <c:v>9.0034145791629952E-2</c:v>
                </c:pt>
                <c:pt idx="535">
                  <c:v>8.9758242787050246E-2</c:v>
                </c:pt>
                <c:pt idx="536">
                  <c:v>9.0088504984042611E-2</c:v>
                </c:pt>
                <c:pt idx="537">
                  <c:v>9.405897812516649E-2</c:v>
                </c:pt>
                <c:pt idx="538">
                  <c:v>9.1970349930768414E-2</c:v>
                </c:pt>
                <c:pt idx="539">
                  <c:v>8.9894562000595882E-2</c:v>
                </c:pt>
                <c:pt idx="540">
                  <c:v>8.8502003456923717E-2</c:v>
                </c:pt>
                <c:pt idx="541">
                  <c:v>8.8650772682863213E-2</c:v>
                </c:pt>
                <c:pt idx="542">
                  <c:v>8.963318377443627E-2</c:v>
                </c:pt>
                <c:pt idx="543">
                  <c:v>9.1302395913942458E-2</c:v>
                </c:pt>
                <c:pt idx="544">
                  <c:v>8.9468436349675898E-2</c:v>
                </c:pt>
                <c:pt idx="545">
                  <c:v>8.8675246680094563E-2</c:v>
                </c:pt>
                <c:pt idx="546">
                  <c:v>8.7496413934690334E-2</c:v>
                </c:pt>
                <c:pt idx="547">
                  <c:v>8.6894539575829613E-2</c:v>
                </c:pt>
                <c:pt idx="548">
                  <c:v>8.6719472495277075E-2</c:v>
                </c:pt>
                <c:pt idx="549">
                  <c:v>8.3941698825908767E-2</c:v>
                </c:pt>
                <c:pt idx="550">
                  <c:v>8.4908102033497759E-2</c:v>
                </c:pt>
                <c:pt idx="551">
                  <c:v>8.6729225235764873E-2</c:v>
                </c:pt>
                <c:pt idx="552">
                  <c:v>8.7821270060480891E-2</c:v>
                </c:pt>
                <c:pt idx="553">
                  <c:v>8.604463481293699E-2</c:v>
                </c:pt>
                <c:pt idx="554">
                  <c:v>8.7334877590232271E-2</c:v>
                </c:pt>
                <c:pt idx="555">
                  <c:v>8.8715072448981219E-2</c:v>
                </c:pt>
                <c:pt idx="556">
                  <c:v>8.6475459347648442E-2</c:v>
                </c:pt>
                <c:pt idx="557">
                  <c:v>8.8153260669378147E-2</c:v>
                </c:pt>
                <c:pt idx="558">
                  <c:v>8.8779282235803517E-2</c:v>
                </c:pt>
                <c:pt idx="559">
                  <c:v>9.199577478341732E-2</c:v>
                </c:pt>
                <c:pt idx="560">
                  <c:v>9.2837279513712442E-2</c:v>
                </c:pt>
                <c:pt idx="561">
                  <c:v>8.9690163487599853E-2</c:v>
                </c:pt>
                <c:pt idx="562">
                  <c:v>8.9271038302945555E-2</c:v>
                </c:pt>
                <c:pt idx="563">
                  <c:v>9.0537816175540936E-2</c:v>
                </c:pt>
                <c:pt idx="564">
                  <c:v>8.8666629303389963E-2</c:v>
                </c:pt>
                <c:pt idx="565">
                  <c:v>8.9826025275882099E-2</c:v>
                </c:pt>
                <c:pt idx="566">
                  <c:v>8.934709112040419E-2</c:v>
                </c:pt>
                <c:pt idx="567">
                  <c:v>8.6958059988792538E-2</c:v>
                </c:pt>
                <c:pt idx="568">
                  <c:v>8.8277680575464063E-2</c:v>
                </c:pt>
                <c:pt idx="569">
                  <c:v>8.7099211670352603E-2</c:v>
                </c:pt>
                <c:pt idx="570">
                  <c:v>9.1541210154262795E-2</c:v>
                </c:pt>
                <c:pt idx="571">
                  <c:v>9.3827753108443629E-2</c:v>
                </c:pt>
                <c:pt idx="572">
                  <c:v>9.1666769966328387E-2</c:v>
                </c:pt>
                <c:pt idx="573">
                  <c:v>9.2255253223002681E-2</c:v>
                </c:pt>
                <c:pt idx="574">
                  <c:v>8.7772891243520557E-2</c:v>
                </c:pt>
                <c:pt idx="575">
                  <c:v>8.6189036237444547E-2</c:v>
                </c:pt>
                <c:pt idx="576">
                  <c:v>8.7564784591173228E-2</c:v>
                </c:pt>
                <c:pt idx="577">
                  <c:v>8.702163877978894E-2</c:v>
                </c:pt>
                <c:pt idx="578">
                  <c:v>8.8920209618087553E-2</c:v>
                </c:pt>
                <c:pt idx="579">
                  <c:v>8.8702817266989267E-2</c:v>
                </c:pt>
                <c:pt idx="580">
                  <c:v>8.8399504227794579E-2</c:v>
                </c:pt>
                <c:pt idx="581">
                  <c:v>8.9527086108125695E-2</c:v>
                </c:pt>
                <c:pt idx="582">
                  <c:v>8.8879958966824116E-2</c:v>
                </c:pt>
                <c:pt idx="583">
                  <c:v>8.6674496152648994E-2</c:v>
                </c:pt>
                <c:pt idx="584">
                  <c:v>8.7966947749921268E-2</c:v>
                </c:pt>
                <c:pt idx="585">
                  <c:v>8.7946130759053651E-2</c:v>
                </c:pt>
                <c:pt idx="586">
                  <c:v>8.8526149350957581E-2</c:v>
                </c:pt>
                <c:pt idx="587">
                  <c:v>8.6891294793105825E-2</c:v>
                </c:pt>
                <c:pt idx="588">
                  <c:v>8.7245187347214398E-2</c:v>
                </c:pt>
                <c:pt idx="589">
                  <c:v>8.9232315371364626E-2</c:v>
                </c:pt>
                <c:pt idx="590">
                  <c:v>8.6361110929021559E-2</c:v>
                </c:pt>
                <c:pt idx="591">
                  <c:v>8.88162951451371E-2</c:v>
                </c:pt>
                <c:pt idx="592">
                  <c:v>8.8115343985716785E-2</c:v>
                </c:pt>
                <c:pt idx="593">
                  <c:v>8.8092460843342837E-2</c:v>
                </c:pt>
                <c:pt idx="594">
                  <c:v>9.0262841970113986E-2</c:v>
                </c:pt>
                <c:pt idx="595">
                  <c:v>9.0946941427271263E-2</c:v>
                </c:pt>
                <c:pt idx="596">
                  <c:v>9.2218536247706678E-2</c:v>
                </c:pt>
                <c:pt idx="597">
                  <c:v>9.4914277911105627E-2</c:v>
                </c:pt>
                <c:pt idx="598">
                  <c:v>9.5892767235875892E-2</c:v>
                </c:pt>
                <c:pt idx="599">
                  <c:v>9.5420175847409583E-2</c:v>
                </c:pt>
                <c:pt idx="600">
                  <c:v>9.6937240823462612E-2</c:v>
                </c:pt>
                <c:pt idx="601">
                  <c:v>9.2767631675624213E-2</c:v>
                </c:pt>
                <c:pt idx="602">
                  <c:v>8.826667921065752E-2</c:v>
                </c:pt>
                <c:pt idx="603">
                  <c:v>8.8523929242410926E-2</c:v>
                </c:pt>
                <c:pt idx="604">
                  <c:v>9.1424766693898443E-2</c:v>
                </c:pt>
                <c:pt idx="605">
                  <c:v>8.8812327270719624E-2</c:v>
                </c:pt>
                <c:pt idx="606">
                  <c:v>8.9346029193245247E-2</c:v>
                </c:pt>
                <c:pt idx="607">
                  <c:v>8.6192598275018489E-2</c:v>
                </c:pt>
                <c:pt idx="608">
                  <c:v>8.8672750959926633E-2</c:v>
                </c:pt>
                <c:pt idx="609">
                  <c:v>8.5847922856447378E-2</c:v>
                </c:pt>
                <c:pt idx="610">
                  <c:v>8.4936412456108348E-2</c:v>
                </c:pt>
                <c:pt idx="611">
                  <c:v>8.5698113893125941E-2</c:v>
                </c:pt>
                <c:pt idx="612">
                  <c:v>8.3500580049805803E-2</c:v>
                </c:pt>
                <c:pt idx="613">
                  <c:v>8.3156963848802584E-2</c:v>
                </c:pt>
                <c:pt idx="614">
                  <c:v>8.2111030155128911E-2</c:v>
                </c:pt>
                <c:pt idx="615">
                  <c:v>8.1851047348431114E-2</c:v>
                </c:pt>
                <c:pt idx="616">
                  <c:v>8.1973456249403734E-2</c:v>
                </c:pt>
                <c:pt idx="617">
                  <c:v>8.2348911021586729E-2</c:v>
                </c:pt>
                <c:pt idx="618">
                  <c:v>8.7717645095794189E-2</c:v>
                </c:pt>
                <c:pt idx="619">
                  <c:v>9.0594215235548489E-2</c:v>
                </c:pt>
                <c:pt idx="620">
                  <c:v>9.0951107722021335E-2</c:v>
                </c:pt>
                <c:pt idx="621">
                  <c:v>8.9085229255592119E-2</c:v>
                </c:pt>
                <c:pt idx="622">
                  <c:v>9.0165013707711378E-2</c:v>
                </c:pt>
                <c:pt idx="623">
                  <c:v>9.1113154649003103E-2</c:v>
                </c:pt>
                <c:pt idx="624">
                  <c:v>9.2405404592920459E-2</c:v>
                </c:pt>
                <c:pt idx="625">
                  <c:v>9.0801935435840531E-2</c:v>
                </c:pt>
                <c:pt idx="626">
                  <c:v>8.969960647253962E-2</c:v>
                </c:pt>
                <c:pt idx="627">
                  <c:v>9.3171436658028198E-2</c:v>
                </c:pt>
                <c:pt idx="628">
                  <c:v>8.8877058883090346E-2</c:v>
                </c:pt>
                <c:pt idx="629">
                  <c:v>8.8403371215468415E-2</c:v>
                </c:pt>
                <c:pt idx="630">
                  <c:v>8.9035718753218057E-2</c:v>
                </c:pt>
                <c:pt idx="631">
                  <c:v>8.8887476915738076E-2</c:v>
                </c:pt>
                <c:pt idx="632">
                  <c:v>8.9726863133014506E-2</c:v>
                </c:pt>
                <c:pt idx="633">
                  <c:v>8.6333612262236556E-2</c:v>
                </c:pt>
                <c:pt idx="634">
                  <c:v>8.3550514162248291E-2</c:v>
                </c:pt>
                <c:pt idx="635">
                  <c:v>8.3734310441764478E-2</c:v>
                </c:pt>
                <c:pt idx="636">
                  <c:v>8.2686053120353098E-2</c:v>
                </c:pt>
                <c:pt idx="637">
                  <c:v>8.6216811086953837E-2</c:v>
                </c:pt>
                <c:pt idx="638">
                  <c:v>8.6314972565699533E-2</c:v>
                </c:pt>
                <c:pt idx="639">
                  <c:v>8.4190232008126323E-2</c:v>
                </c:pt>
                <c:pt idx="640">
                  <c:v>8.251406073067985E-2</c:v>
                </c:pt>
                <c:pt idx="641">
                  <c:v>8.256112023232226E-2</c:v>
                </c:pt>
                <c:pt idx="642">
                  <c:v>8.147049955211097E-2</c:v>
                </c:pt>
                <c:pt idx="643">
                  <c:v>8.1374418663122741E-2</c:v>
                </c:pt>
                <c:pt idx="644">
                  <c:v>8.1849323482544478E-2</c:v>
                </c:pt>
                <c:pt idx="645">
                  <c:v>8.2484955420433992E-2</c:v>
                </c:pt>
                <c:pt idx="646">
                  <c:v>8.1779861438316531E-2</c:v>
                </c:pt>
                <c:pt idx="647">
                  <c:v>8.0853427166964101E-2</c:v>
                </c:pt>
                <c:pt idx="648">
                  <c:v>8.0047804680009077E-2</c:v>
                </c:pt>
                <c:pt idx="649">
                  <c:v>8.0664164992263046E-2</c:v>
                </c:pt>
                <c:pt idx="650">
                  <c:v>7.9170347331245949E-2</c:v>
                </c:pt>
                <c:pt idx="651">
                  <c:v>7.7772356522870387E-2</c:v>
                </c:pt>
                <c:pt idx="652">
                  <c:v>7.9034358273261718E-2</c:v>
                </c:pt>
                <c:pt idx="653">
                  <c:v>7.8585678839238407E-2</c:v>
                </c:pt>
                <c:pt idx="654">
                  <c:v>7.8197728228747446E-2</c:v>
                </c:pt>
                <c:pt idx="655">
                  <c:v>8.1088416699158686E-2</c:v>
                </c:pt>
                <c:pt idx="656">
                  <c:v>8.1964519895757593E-2</c:v>
                </c:pt>
                <c:pt idx="657">
                  <c:v>8.1741320808412038E-2</c:v>
                </c:pt>
                <c:pt idx="658">
                  <c:v>8.2502430197029616E-2</c:v>
                </c:pt>
                <c:pt idx="659">
                  <c:v>8.3510192007154913E-2</c:v>
                </c:pt>
                <c:pt idx="660">
                  <c:v>7.959412431155885E-2</c:v>
                </c:pt>
                <c:pt idx="661">
                  <c:v>7.9808212384262028E-2</c:v>
                </c:pt>
                <c:pt idx="662">
                  <c:v>7.7123714520561742E-2</c:v>
                </c:pt>
                <c:pt idx="663">
                  <c:v>7.4940302871124576E-2</c:v>
                </c:pt>
                <c:pt idx="664">
                  <c:v>7.6748231313638282E-2</c:v>
                </c:pt>
                <c:pt idx="665">
                  <c:v>7.7508592657725001E-2</c:v>
                </c:pt>
                <c:pt idx="666">
                  <c:v>7.6131808874468507E-2</c:v>
                </c:pt>
                <c:pt idx="667">
                  <c:v>7.5606060904413019E-2</c:v>
                </c:pt>
                <c:pt idx="668">
                  <c:v>7.30195171428209E-2</c:v>
                </c:pt>
                <c:pt idx="669">
                  <c:v>7.3327611115685185E-2</c:v>
                </c:pt>
                <c:pt idx="670">
                  <c:v>7.2021497042724689E-2</c:v>
                </c:pt>
                <c:pt idx="671">
                  <c:v>7.0643894584772188E-2</c:v>
                </c:pt>
                <c:pt idx="672">
                  <c:v>6.8298779461026998E-2</c:v>
                </c:pt>
                <c:pt idx="673">
                  <c:v>6.9044128384547598E-2</c:v>
                </c:pt>
                <c:pt idx="674">
                  <c:v>7.2877898964920015E-2</c:v>
                </c:pt>
                <c:pt idx="675">
                  <c:v>7.3275298422586274E-2</c:v>
                </c:pt>
                <c:pt idx="676">
                  <c:v>7.3349987775042161E-2</c:v>
                </c:pt>
                <c:pt idx="677">
                  <c:v>7.3635359887572333E-2</c:v>
                </c:pt>
                <c:pt idx="678">
                  <c:v>7.1774097101839407E-2</c:v>
                </c:pt>
                <c:pt idx="679">
                  <c:v>7.0482999557079345E-2</c:v>
                </c:pt>
                <c:pt idx="680">
                  <c:v>7.1421055855564491E-2</c:v>
                </c:pt>
                <c:pt idx="681">
                  <c:v>7.2289018957104309E-2</c:v>
                </c:pt>
                <c:pt idx="682">
                  <c:v>7.0861698196054299E-2</c:v>
                </c:pt>
                <c:pt idx="683">
                  <c:v>7.142507848087816E-2</c:v>
                </c:pt>
                <c:pt idx="684">
                  <c:v>7.2511217259123184E-2</c:v>
                </c:pt>
                <c:pt idx="685">
                  <c:v>7.3113507997220301E-2</c:v>
                </c:pt>
                <c:pt idx="686">
                  <c:v>7.4483736634895784E-2</c:v>
                </c:pt>
                <c:pt idx="687">
                  <c:v>7.5363242232288893E-2</c:v>
                </c:pt>
                <c:pt idx="688">
                  <c:v>7.3629790928807684E-2</c:v>
                </c:pt>
                <c:pt idx="689">
                  <c:v>7.3779863348410579E-2</c:v>
                </c:pt>
                <c:pt idx="690">
                  <c:v>7.6673650587330597E-2</c:v>
                </c:pt>
                <c:pt idx="691">
                  <c:v>7.5302480454813844E-2</c:v>
                </c:pt>
                <c:pt idx="692">
                  <c:v>7.6687041142130777E-2</c:v>
                </c:pt>
                <c:pt idx="693">
                  <c:v>7.6090595012268669E-2</c:v>
                </c:pt>
                <c:pt idx="694">
                  <c:v>7.3394319796099977E-2</c:v>
                </c:pt>
                <c:pt idx="695">
                  <c:v>7.4262322021560231E-2</c:v>
                </c:pt>
                <c:pt idx="696">
                  <c:v>7.3114256547219009E-2</c:v>
                </c:pt>
                <c:pt idx="697">
                  <c:v>7.6397072195659207E-2</c:v>
                </c:pt>
                <c:pt idx="698">
                  <c:v>7.5525600329680989E-2</c:v>
                </c:pt>
                <c:pt idx="699">
                  <c:v>7.6262535468344259E-2</c:v>
                </c:pt>
                <c:pt idx="700">
                  <c:v>7.7638613441199683E-2</c:v>
                </c:pt>
                <c:pt idx="701">
                  <c:v>7.7755729151580744E-2</c:v>
                </c:pt>
                <c:pt idx="702">
                  <c:v>7.6784615787357458E-2</c:v>
                </c:pt>
                <c:pt idx="703">
                  <c:v>7.4878348397524677E-2</c:v>
                </c:pt>
                <c:pt idx="704">
                  <c:v>7.3656516144496129E-2</c:v>
                </c:pt>
                <c:pt idx="705">
                  <c:v>7.2492871927393857E-2</c:v>
                </c:pt>
                <c:pt idx="706">
                  <c:v>7.2815436545307088E-2</c:v>
                </c:pt>
                <c:pt idx="707">
                  <c:v>7.2527861761559717E-2</c:v>
                </c:pt>
                <c:pt idx="708">
                  <c:v>7.2294196459043988E-2</c:v>
                </c:pt>
                <c:pt idx="709">
                  <c:v>7.4847868922147565E-2</c:v>
                </c:pt>
                <c:pt idx="710">
                  <c:v>7.1821785109721314E-2</c:v>
                </c:pt>
                <c:pt idx="711">
                  <c:v>7.0284747737635794E-2</c:v>
                </c:pt>
                <c:pt idx="712">
                  <c:v>7.1031685403282738E-2</c:v>
                </c:pt>
                <c:pt idx="713">
                  <c:v>7.2845562296429314E-2</c:v>
                </c:pt>
                <c:pt idx="714">
                  <c:v>7.280962474430179E-2</c:v>
                </c:pt>
                <c:pt idx="715">
                  <c:v>7.1757968753186255E-2</c:v>
                </c:pt>
                <c:pt idx="716">
                  <c:v>6.8628061941141336E-2</c:v>
                </c:pt>
                <c:pt idx="717">
                  <c:v>6.563933667222796E-2</c:v>
                </c:pt>
                <c:pt idx="718">
                  <c:v>6.5022366672291845E-2</c:v>
                </c:pt>
                <c:pt idx="719">
                  <c:v>6.3823179167736527E-2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89024"/>
        <c:axId val="78690560"/>
      </c:lineChart>
      <c:catAx>
        <c:axId val="78689024"/>
        <c:scaling>
          <c:orientation val="minMax"/>
        </c:scaling>
        <c:delete val="0"/>
        <c:axPos val="b"/>
        <c:majorTickMark val="out"/>
        <c:minorTickMark val="none"/>
        <c:tickLblPos val="nextTo"/>
        <c:crossAx val="78690560"/>
        <c:crosses val="autoZero"/>
        <c:auto val="1"/>
        <c:lblAlgn val="ctr"/>
        <c:lblOffset val="100"/>
        <c:noMultiLvlLbl val="0"/>
      </c:catAx>
      <c:valAx>
        <c:axId val="7869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689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Output!$O$12:$O$731</c:f>
              <c:numCache>
                <c:formatCode>General</c:formatCode>
                <c:ptCount val="720"/>
                <c:pt idx="0">
                  <c:v>4.8785300414055563E-4</c:v>
                </c:pt>
                <c:pt idx="1">
                  <c:v>4.9689879021003083E-4</c:v>
                </c:pt>
                <c:pt idx="2">
                  <c:v>4.9865718535607425E-4</c:v>
                </c:pt>
                <c:pt idx="3">
                  <c:v>4.9846826526778003E-4</c:v>
                </c:pt>
                <c:pt idx="4">
                  <c:v>4.9982438355272826E-4</c:v>
                </c:pt>
                <c:pt idx="5">
                  <c:v>5.004934130728477E-4</c:v>
                </c:pt>
                <c:pt idx="6">
                  <c:v>4.99874960027691E-4</c:v>
                </c:pt>
                <c:pt idx="7">
                  <c:v>4.9971476883734238E-4</c:v>
                </c:pt>
                <c:pt idx="8">
                  <c:v>4.9949877437711389E-4</c:v>
                </c:pt>
                <c:pt idx="9">
                  <c:v>4.9991055420563516E-4</c:v>
                </c:pt>
                <c:pt idx="10">
                  <c:v>5.0004588051850225E-4</c:v>
                </c:pt>
                <c:pt idx="11">
                  <c:v>5.0006257313671171E-4</c:v>
                </c:pt>
                <c:pt idx="12">
                  <c:v>4.9988153627534117E-4</c:v>
                </c:pt>
                <c:pt idx="13">
                  <c:v>5.0035146386939408E-4</c:v>
                </c:pt>
                <c:pt idx="14">
                  <c:v>5.001242138532834E-4</c:v>
                </c:pt>
                <c:pt idx="15">
                  <c:v>4.9994912571925594E-4</c:v>
                </c:pt>
                <c:pt idx="16">
                  <c:v>5.0007698657668917E-4</c:v>
                </c:pt>
                <c:pt idx="17">
                  <c:v>5.0036920327644924E-4</c:v>
                </c:pt>
                <c:pt idx="18">
                  <c:v>5.0014611039301345E-4</c:v>
                </c:pt>
                <c:pt idx="19">
                  <c:v>5.002470674263979E-4</c:v>
                </c:pt>
                <c:pt idx="20">
                  <c:v>5.0029645639531868E-4</c:v>
                </c:pt>
                <c:pt idx="21">
                  <c:v>5.0009516823818043E-4</c:v>
                </c:pt>
                <c:pt idx="22">
                  <c:v>5.0004746311663336E-4</c:v>
                </c:pt>
                <c:pt idx="23">
                  <c:v>4.9982472052870902E-4</c:v>
                </c:pt>
                <c:pt idx="24">
                  <c:v>4.9987195197120264E-4</c:v>
                </c:pt>
                <c:pt idx="25">
                  <c:v>4.997203046742646E-4</c:v>
                </c:pt>
                <c:pt idx="26">
                  <c:v>4.9968307849743805E-4</c:v>
                </c:pt>
                <c:pt idx="27">
                  <c:v>4.9959672124756291E-4</c:v>
                </c:pt>
                <c:pt idx="28">
                  <c:v>4.9930637825807127E-4</c:v>
                </c:pt>
                <c:pt idx="29">
                  <c:v>4.9925084431931771E-4</c:v>
                </c:pt>
                <c:pt idx="30">
                  <c:v>4.9926105382920019E-4</c:v>
                </c:pt>
                <c:pt idx="31">
                  <c:v>4.9905382139968217E-4</c:v>
                </c:pt>
                <c:pt idx="32">
                  <c:v>4.9891143393571483E-4</c:v>
                </c:pt>
                <c:pt idx="33">
                  <c:v>4.9873262656601022E-4</c:v>
                </c:pt>
                <c:pt idx="34">
                  <c:v>4.9847464721950938E-4</c:v>
                </c:pt>
                <c:pt idx="35">
                  <c:v>4.9816206211473406E-4</c:v>
                </c:pt>
                <c:pt idx="36">
                  <c:v>4.98014960863977E-4</c:v>
                </c:pt>
                <c:pt idx="37">
                  <c:v>4.9769788558694933E-4</c:v>
                </c:pt>
                <c:pt idx="38">
                  <c:v>4.9750493848581235E-4</c:v>
                </c:pt>
                <c:pt idx="39">
                  <c:v>4.9730982795781887E-4</c:v>
                </c:pt>
                <c:pt idx="40">
                  <c:v>4.9716028810411128E-4</c:v>
                </c:pt>
                <c:pt idx="41">
                  <c:v>4.9705318742556976E-4</c:v>
                </c:pt>
                <c:pt idx="42">
                  <c:v>4.968040988440407E-4</c:v>
                </c:pt>
                <c:pt idx="43">
                  <c:v>4.9660588625963459E-4</c:v>
                </c:pt>
                <c:pt idx="44">
                  <c:v>4.9647993051272219E-4</c:v>
                </c:pt>
                <c:pt idx="45">
                  <c:v>4.9635792979598825E-4</c:v>
                </c:pt>
                <c:pt idx="46">
                  <c:v>4.9635697277069504E-4</c:v>
                </c:pt>
                <c:pt idx="47">
                  <c:v>4.9654265845616187E-4</c:v>
                </c:pt>
                <c:pt idx="48">
                  <c:v>4.9639226400566565E-4</c:v>
                </c:pt>
                <c:pt idx="49">
                  <c:v>4.963987544598119E-4</c:v>
                </c:pt>
                <c:pt idx="50">
                  <c:v>4.9651653248421743E-4</c:v>
                </c:pt>
                <c:pt idx="51">
                  <c:v>4.965700758359663E-4</c:v>
                </c:pt>
                <c:pt idx="52">
                  <c:v>4.9664401514642543E-4</c:v>
                </c:pt>
                <c:pt idx="53">
                  <c:v>4.9682923163982544E-4</c:v>
                </c:pt>
                <c:pt idx="54">
                  <c:v>4.9688496681118499E-4</c:v>
                </c:pt>
                <c:pt idx="55">
                  <c:v>4.9692127674225497E-4</c:v>
                </c:pt>
                <c:pt idx="56">
                  <c:v>4.9697531670519254E-4</c:v>
                </c:pt>
                <c:pt idx="57">
                  <c:v>4.9703504439215071E-4</c:v>
                </c:pt>
                <c:pt idx="58">
                  <c:v>4.9697765278606208E-4</c:v>
                </c:pt>
                <c:pt idx="59">
                  <c:v>4.9699350127480925E-4</c:v>
                </c:pt>
                <c:pt idx="60">
                  <c:v>4.9681829709519762E-4</c:v>
                </c:pt>
                <c:pt idx="61">
                  <c:v>4.9663607332019275E-4</c:v>
                </c:pt>
                <c:pt idx="62">
                  <c:v>4.9636989946445775E-4</c:v>
                </c:pt>
                <c:pt idx="63">
                  <c:v>4.960872186981157E-4</c:v>
                </c:pt>
                <c:pt idx="64">
                  <c:v>4.9583630346814248E-4</c:v>
                </c:pt>
                <c:pt idx="65">
                  <c:v>4.9549500404931762E-4</c:v>
                </c:pt>
                <c:pt idx="66">
                  <c:v>4.9537555680184339E-4</c:v>
                </c:pt>
                <c:pt idx="67">
                  <c:v>4.9524526564405976E-4</c:v>
                </c:pt>
                <c:pt idx="68">
                  <c:v>4.9535513582832846E-4</c:v>
                </c:pt>
                <c:pt idx="69">
                  <c:v>4.95617632583333E-4</c:v>
                </c:pt>
                <c:pt idx="70">
                  <c:v>4.9600111573685048E-4</c:v>
                </c:pt>
                <c:pt idx="71">
                  <c:v>4.9678681854044824E-4</c:v>
                </c:pt>
                <c:pt idx="72">
                  <c:v>4.9772831859186384E-4</c:v>
                </c:pt>
                <c:pt idx="73">
                  <c:v>4.9883294842723047E-4</c:v>
                </c:pt>
                <c:pt idx="74">
                  <c:v>4.9991425079979181E-4</c:v>
                </c:pt>
                <c:pt idx="75">
                  <c:v>5.0097573206919082E-4</c:v>
                </c:pt>
                <c:pt idx="76">
                  <c:v>5.0191878248321631E-4</c:v>
                </c:pt>
                <c:pt idx="77">
                  <c:v>5.024664922272606E-4</c:v>
                </c:pt>
                <c:pt idx="78">
                  <c:v>5.0282733816584707E-4</c:v>
                </c:pt>
                <c:pt idx="79">
                  <c:v>5.0262366039171918E-4</c:v>
                </c:pt>
                <c:pt idx="80">
                  <c:v>5.0193713327303566E-4</c:v>
                </c:pt>
                <c:pt idx="81">
                  <c:v>5.0062404332498051E-4</c:v>
                </c:pt>
                <c:pt idx="82">
                  <c:v>4.9859211636622618E-4</c:v>
                </c:pt>
                <c:pt idx="83">
                  <c:v>4.9567760672632806E-4</c:v>
                </c:pt>
                <c:pt idx="84">
                  <c:v>4.920189394980592E-4</c:v>
                </c:pt>
                <c:pt idx="85">
                  <c:v>4.8837031480444587E-4</c:v>
                </c:pt>
                <c:pt idx="86">
                  <c:v>4.8561319695848346E-4</c:v>
                </c:pt>
                <c:pt idx="87">
                  <c:v>4.8475706123548461E-4</c:v>
                </c:pt>
                <c:pt idx="88">
                  <c:v>4.866268747113282E-4</c:v>
                </c:pt>
                <c:pt idx="89">
                  <c:v>4.9215509554228077E-4</c:v>
                </c:pt>
                <c:pt idx="90">
                  <c:v>5.0220116269292106E-4</c:v>
                </c:pt>
                <c:pt idx="91">
                  <c:v>5.1777914785465008E-4</c:v>
                </c:pt>
                <c:pt idx="92">
                  <c:v>5.3979634745869728E-4</c:v>
                </c:pt>
                <c:pt idx="93">
                  <c:v>5.6912323537306906E-4</c:v>
                </c:pt>
                <c:pt idx="94">
                  <c:v>6.0670918005459535E-4</c:v>
                </c:pt>
                <c:pt idx="95">
                  <c:v>6.5341595390368452E-4</c:v>
                </c:pt>
                <c:pt idx="96">
                  <c:v>7.0985816317769136E-4</c:v>
                </c:pt>
                <c:pt idx="97">
                  <c:v>7.7532479516339041E-4</c:v>
                </c:pt>
                <c:pt idx="98">
                  <c:v>8.4865314327875496E-4</c:v>
                </c:pt>
                <c:pt idx="99">
                  <c:v>9.2872693827899112E-4</c:v>
                </c:pt>
                <c:pt idx="100">
                  <c:v>1.0145140205454158E-3</c:v>
                </c:pt>
                <c:pt idx="101">
                  <c:v>1.1047458879348902E-3</c:v>
                </c:pt>
                <c:pt idx="102">
                  <c:v>1.1983346181089968E-3</c:v>
                </c:pt>
                <c:pt idx="103">
                  <c:v>1.294207128344244E-3</c:v>
                </c:pt>
                <c:pt idx="104">
                  <c:v>1.3911898957029362E-3</c:v>
                </c:pt>
                <c:pt idx="105">
                  <c:v>1.4881121036087622E-3</c:v>
                </c:pt>
                <c:pt idx="106">
                  <c:v>1.5838031400609263E-3</c:v>
                </c:pt>
                <c:pt idx="107">
                  <c:v>1.6772278685073488E-3</c:v>
                </c:pt>
                <c:pt idx="108">
                  <c:v>1.7674112389288942E-3</c:v>
                </c:pt>
                <c:pt idx="109">
                  <c:v>1.8543496679516583E-3</c:v>
                </c:pt>
                <c:pt idx="110">
                  <c:v>1.938178739632569E-3</c:v>
                </c:pt>
                <c:pt idx="111">
                  <c:v>2.0189513236089172E-3</c:v>
                </c:pt>
                <c:pt idx="112">
                  <c:v>2.0970085615432512E-3</c:v>
                </c:pt>
                <c:pt idx="113">
                  <c:v>2.1725531474609872E-3</c:v>
                </c:pt>
                <c:pt idx="114">
                  <c:v>2.245738209977735E-3</c:v>
                </c:pt>
                <c:pt idx="115">
                  <c:v>2.3165628126845836E-3</c:v>
                </c:pt>
                <c:pt idx="116">
                  <c:v>2.385281308319324E-3</c:v>
                </c:pt>
                <c:pt idx="117">
                  <c:v>2.452122824849144E-3</c:v>
                </c:pt>
                <c:pt idx="118">
                  <c:v>2.5171792886814768E-3</c:v>
                </c:pt>
                <c:pt idx="119">
                  <c:v>2.580593048383129E-3</c:v>
                </c:pt>
                <c:pt idx="120">
                  <c:v>2.6425183548837048E-3</c:v>
                </c:pt>
                <c:pt idx="121">
                  <c:v>2.70320546723071E-3</c:v>
                </c:pt>
                <c:pt idx="122">
                  <c:v>2.7628526412989069E-3</c:v>
                </c:pt>
                <c:pt idx="123">
                  <c:v>2.8217399936125956E-3</c:v>
                </c:pt>
                <c:pt idx="124">
                  <c:v>2.8799579561270025E-3</c:v>
                </c:pt>
                <c:pt idx="125">
                  <c:v>2.9378359529057397E-3</c:v>
                </c:pt>
                <c:pt idx="126">
                  <c:v>2.9956556399297748E-3</c:v>
                </c:pt>
                <c:pt idx="127">
                  <c:v>3.0535046605480684E-3</c:v>
                </c:pt>
                <c:pt idx="128">
                  <c:v>3.1115240002079032E-3</c:v>
                </c:pt>
                <c:pt idx="129">
                  <c:v>3.1700155737448893E-3</c:v>
                </c:pt>
                <c:pt idx="130">
                  <c:v>3.2291632243267136E-3</c:v>
                </c:pt>
                <c:pt idx="131">
                  <c:v>3.2892526938439791E-3</c:v>
                </c:pt>
                <c:pt idx="132">
                  <c:v>3.3503909688355699E-3</c:v>
                </c:pt>
                <c:pt idx="133">
                  <c:v>3.4122246667267001E-3</c:v>
                </c:pt>
                <c:pt idx="134">
                  <c:v>3.4745398926303971E-3</c:v>
                </c:pt>
                <c:pt idx="135">
                  <c:v>3.5369335986625379E-3</c:v>
                </c:pt>
                <c:pt idx="136">
                  <c:v>3.5992428383198483E-3</c:v>
                </c:pt>
                <c:pt idx="137">
                  <c:v>3.6610741035842942E-3</c:v>
                </c:pt>
                <c:pt idx="138">
                  <c:v>3.7221000381440208E-3</c:v>
                </c:pt>
                <c:pt idx="139">
                  <c:v>3.7820338034449206E-3</c:v>
                </c:pt>
                <c:pt idx="140">
                  <c:v>3.840462069646629E-3</c:v>
                </c:pt>
                <c:pt idx="141">
                  <c:v>3.8971774563965394E-3</c:v>
                </c:pt>
                <c:pt idx="142">
                  <c:v>3.9517616818581479E-3</c:v>
                </c:pt>
                <c:pt idx="143">
                  <c:v>4.0038730635943076E-3</c:v>
                </c:pt>
                <c:pt idx="144">
                  <c:v>4.053378717085521E-3</c:v>
                </c:pt>
                <c:pt idx="145">
                  <c:v>4.1003697261318903E-3</c:v>
                </c:pt>
                <c:pt idx="146">
                  <c:v>4.1451583071835298E-3</c:v>
                </c:pt>
                <c:pt idx="147">
                  <c:v>4.1879907963447626E-3</c:v>
                </c:pt>
                <c:pt idx="148">
                  <c:v>4.2291403268725656E-3</c:v>
                </c:pt>
                <c:pt idx="149">
                  <c:v>4.2688586800668504E-3</c:v>
                </c:pt>
                <c:pt idx="150">
                  <c:v>4.3075021287305188E-3</c:v>
                </c:pt>
                <c:pt idx="151">
                  <c:v>4.3453861740806081E-3</c:v>
                </c:pt>
                <c:pt idx="152">
                  <c:v>4.38280221420893E-3</c:v>
                </c:pt>
                <c:pt idx="153">
                  <c:v>4.4199929749486923E-3</c:v>
                </c:pt>
                <c:pt idx="154">
                  <c:v>4.4571311679165882E-3</c:v>
                </c:pt>
                <c:pt idx="155">
                  <c:v>4.494642908277985E-3</c:v>
                </c:pt>
                <c:pt idx="156">
                  <c:v>4.5327283608303254E-3</c:v>
                </c:pt>
                <c:pt idx="157">
                  <c:v>4.5714371714027716E-3</c:v>
                </c:pt>
                <c:pt idx="158">
                  <c:v>4.610658704367122E-3</c:v>
                </c:pt>
                <c:pt idx="159">
                  <c:v>4.650394335324274E-3</c:v>
                </c:pt>
                <c:pt idx="160">
                  <c:v>4.6907011174839013E-3</c:v>
                </c:pt>
                <c:pt idx="161">
                  <c:v>4.731546990116727E-3</c:v>
                </c:pt>
                <c:pt idx="162">
                  <c:v>4.7729156937114693E-3</c:v>
                </c:pt>
                <c:pt idx="163">
                  <c:v>4.8148952796090291E-3</c:v>
                </c:pt>
                <c:pt idx="164">
                  <c:v>4.8574056617019454E-3</c:v>
                </c:pt>
                <c:pt idx="165">
                  <c:v>4.9002650980821336E-3</c:v>
                </c:pt>
                <c:pt idx="166">
                  <c:v>4.9435063885993318E-3</c:v>
                </c:pt>
                <c:pt idx="167">
                  <c:v>4.9872326204614906E-3</c:v>
                </c:pt>
                <c:pt idx="168">
                  <c:v>5.0313942641283978E-3</c:v>
                </c:pt>
                <c:pt idx="169">
                  <c:v>5.0757885575335839E-3</c:v>
                </c:pt>
                <c:pt idx="170">
                  <c:v>5.1202094360000621E-3</c:v>
                </c:pt>
                <c:pt idx="171">
                  <c:v>5.1643875629519163E-3</c:v>
                </c:pt>
                <c:pt idx="172">
                  <c:v>5.2080950050256026E-3</c:v>
                </c:pt>
                <c:pt idx="173">
                  <c:v>5.2510886370544223E-3</c:v>
                </c:pt>
                <c:pt idx="174">
                  <c:v>5.2930650685369274E-3</c:v>
                </c:pt>
                <c:pt idx="175">
                  <c:v>5.3337595916544758E-3</c:v>
                </c:pt>
                <c:pt idx="176">
                  <c:v>5.3729432527192533E-3</c:v>
                </c:pt>
                <c:pt idx="177">
                  <c:v>5.4104253249425754E-3</c:v>
                </c:pt>
                <c:pt idx="178">
                  <c:v>5.445988173637918E-3</c:v>
                </c:pt>
                <c:pt idx="179">
                  <c:v>5.4793905935426653E-3</c:v>
                </c:pt>
                <c:pt idx="180">
                  <c:v>5.5103663552099344E-3</c:v>
                </c:pt>
                <c:pt idx="181">
                  <c:v>5.5392405856906878E-3</c:v>
                </c:pt>
                <c:pt idx="182">
                  <c:v>5.5662021962002194E-3</c:v>
                </c:pt>
                <c:pt idx="183">
                  <c:v>5.5915456487631264E-3</c:v>
                </c:pt>
                <c:pt idx="184">
                  <c:v>5.6155336200915205E-3</c:v>
                </c:pt>
                <c:pt idx="185">
                  <c:v>5.6384536723419042E-3</c:v>
                </c:pt>
                <c:pt idx="186">
                  <c:v>5.6604904754627627E-3</c:v>
                </c:pt>
                <c:pt idx="187">
                  <c:v>5.6818827721440849E-3</c:v>
                </c:pt>
                <c:pt idx="188">
                  <c:v>5.7028352549129031E-3</c:v>
                </c:pt>
                <c:pt idx="189">
                  <c:v>5.7236302076573362E-3</c:v>
                </c:pt>
                <c:pt idx="190">
                  <c:v>5.7446177062309613E-3</c:v>
                </c:pt>
                <c:pt idx="191">
                  <c:v>5.7660535727847304E-3</c:v>
                </c:pt>
                <c:pt idx="192">
                  <c:v>5.7879598896152058E-3</c:v>
                </c:pt>
                <c:pt idx="193">
                  <c:v>5.8104686702423296E-3</c:v>
                </c:pt>
                <c:pt idx="194">
                  <c:v>5.8334643328512431E-3</c:v>
                </c:pt>
                <c:pt idx="195">
                  <c:v>5.8569179434692772E-3</c:v>
                </c:pt>
                <c:pt idx="196">
                  <c:v>5.8807380932811891E-3</c:v>
                </c:pt>
                <c:pt idx="197">
                  <c:v>5.904869168335743E-3</c:v>
                </c:pt>
                <c:pt idx="198">
                  <c:v>5.929234307544203E-3</c:v>
                </c:pt>
                <c:pt idx="199">
                  <c:v>5.9537515554014472E-3</c:v>
                </c:pt>
                <c:pt idx="200">
                  <c:v>5.9784169156118089E-3</c:v>
                </c:pt>
                <c:pt idx="201">
                  <c:v>6.0031889435321322E-3</c:v>
                </c:pt>
                <c:pt idx="202">
                  <c:v>6.027977342933687E-3</c:v>
                </c:pt>
                <c:pt idx="203">
                  <c:v>6.0526648592494842E-3</c:v>
                </c:pt>
                <c:pt idx="204">
                  <c:v>6.0772622574827226E-3</c:v>
                </c:pt>
                <c:pt idx="205">
                  <c:v>6.1018620222903167E-3</c:v>
                </c:pt>
                <c:pt idx="206">
                  <c:v>6.1263419808523945E-3</c:v>
                </c:pt>
                <c:pt idx="207">
                  <c:v>6.1506983195843941E-3</c:v>
                </c:pt>
                <c:pt idx="208">
                  <c:v>6.1749781971806054E-3</c:v>
                </c:pt>
                <c:pt idx="209">
                  <c:v>6.1991133742292492E-3</c:v>
                </c:pt>
                <c:pt idx="210">
                  <c:v>6.2231288293681884E-3</c:v>
                </c:pt>
                <c:pt idx="211">
                  <c:v>6.2470197903579236E-3</c:v>
                </c:pt>
                <c:pt idx="212">
                  <c:v>6.2708731845483381E-3</c:v>
                </c:pt>
                <c:pt idx="213">
                  <c:v>6.2946491143476228E-3</c:v>
                </c:pt>
                <c:pt idx="214">
                  <c:v>6.318308365349622E-3</c:v>
                </c:pt>
                <c:pt idx="215">
                  <c:v>6.3419114028819322E-3</c:v>
                </c:pt>
                <c:pt idx="216">
                  <c:v>6.3653957319046786E-3</c:v>
                </c:pt>
                <c:pt idx="217">
                  <c:v>6.3889166694678576E-3</c:v>
                </c:pt>
                <c:pt idx="218">
                  <c:v>6.4124587078602134E-3</c:v>
                </c:pt>
                <c:pt idx="219">
                  <c:v>6.4361059358627425E-3</c:v>
                </c:pt>
                <c:pt idx="220">
                  <c:v>6.4597566401705265E-3</c:v>
                </c:pt>
                <c:pt idx="221">
                  <c:v>6.4835854103743647E-3</c:v>
                </c:pt>
                <c:pt idx="222">
                  <c:v>6.5077249741137613E-3</c:v>
                </c:pt>
                <c:pt idx="223">
                  <c:v>6.5321888361162227E-3</c:v>
                </c:pt>
                <c:pt idx="224">
                  <c:v>6.5570557994992628E-3</c:v>
                </c:pt>
                <c:pt idx="225">
                  <c:v>6.582431819503823E-3</c:v>
                </c:pt>
                <c:pt idx="226">
                  <c:v>6.6082309575796905E-3</c:v>
                </c:pt>
                <c:pt idx="227">
                  <c:v>6.6345187436228983E-3</c:v>
                </c:pt>
                <c:pt idx="228">
                  <c:v>6.6613879248835235E-3</c:v>
                </c:pt>
                <c:pt idx="229">
                  <c:v>6.6886265907161492E-3</c:v>
                </c:pt>
                <c:pt idx="230">
                  <c:v>6.7159209515622754E-3</c:v>
                </c:pt>
                <c:pt idx="231">
                  <c:v>6.7432138398815632E-3</c:v>
                </c:pt>
                <c:pt idx="232">
                  <c:v>6.7702032395100592E-3</c:v>
                </c:pt>
                <c:pt idx="233">
                  <c:v>6.7966073473012898E-3</c:v>
                </c:pt>
                <c:pt idx="234">
                  <c:v>6.8222682456860776E-3</c:v>
                </c:pt>
                <c:pt idx="235">
                  <c:v>6.8468968521858877E-3</c:v>
                </c:pt>
                <c:pt idx="236">
                  <c:v>6.8702766541215736E-3</c:v>
                </c:pt>
                <c:pt idx="237">
                  <c:v>6.892291412728545E-3</c:v>
                </c:pt>
                <c:pt idx="238">
                  <c:v>6.9126984594019159E-3</c:v>
                </c:pt>
                <c:pt idx="239">
                  <c:v>6.9312789547669052E-3</c:v>
                </c:pt>
                <c:pt idx="240">
                  <c:v>6.9478543180461075E-3</c:v>
                </c:pt>
                <c:pt idx="241">
                  <c:v>6.9625209121008651E-3</c:v>
                </c:pt>
                <c:pt idx="242">
                  <c:v>6.9755582669041834E-3</c:v>
                </c:pt>
                <c:pt idx="243">
                  <c:v>6.9872051281778345E-3</c:v>
                </c:pt>
                <c:pt idx="244">
                  <c:v>6.997704753259594E-3</c:v>
                </c:pt>
                <c:pt idx="245">
                  <c:v>7.007219455981397E-3</c:v>
                </c:pt>
                <c:pt idx="246">
                  <c:v>7.0159877080143464E-3</c:v>
                </c:pt>
                <c:pt idx="247">
                  <c:v>7.0243259722921015E-3</c:v>
                </c:pt>
                <c:pt idx="248">
                  <c:v>7.0323299585014123E-3</c:v>
                </c:pt>
                <c:pt idx="249">
                  <c:v>7.0401995526666239E-3</c:v>
                </c:pt>
                <c:pt idx="250">
                  <c:v>7.0481933715591891E-3</c:v>
                </c:pt>
                <c:pt idx="251">
                  <c:v>7.0564564778722904E-3</c:v>
                </c:pt>
                <c:pt idx="252">
                  <c:v>7.0652557736954951E-3</c:v>
                </c:pt>
                <c:pt idx="253">
                  <c:v>7.0745012386464242E-3</c:v>
                </c:pt>
                <c:pt idx="254">
                  <c:v>7.0841596417330847E-3</c:v>
                </c:pt>
                <c:pt idx="255">
                  <c:v>7.094223641623325E-3</c:v>
                </c:pt>
                <c:pt idx="256">
                  <c:v>7.1046039518280132E-3</c:v>
                </c:pt>
                <c:pt idx="257">
                  <c:v>7.1152844318980741E-3</c:v>
                </c:pt>
                <c:pt idx="258">
                  <c:v>7.1262936810180828E-3</c:v>
                </c:pt>
                <c:pt idx="259">
                  <c:v>7.1375346504955715E-3</c:v>
                </c:pt>
                <c:pt idx="260">
                  <c:v>7.1488659771925048E-3</c:v>
                </c:pt>
                <c:pt idx="261">
                  <c:v>7.1602400589152737E-3</c:v>
                </c:pt>
                <c:pt idx="262">
                  <c:v>7.1716281607979923E-3</c:v>
                </c:pt>
                <c:pt idx="263">
                  <c:v>7.1829173285343374E-3</c:v>
                </c:pt>
                <c:pt idx="264">
                  <c:v>7.1941136868679976E-3</c:v>
                </c:pt>
                <c:pt idx="265">
                  <c:v>7.2051788352900476E-3</c:v>
                </c:pt>
                <c:pt idx="266">
                  <c:v>7.2161810688183602E-3</c:v>
                </c:pt>
                <c:pt idx="267">
                  <c:v>7.2271202514143018E-3</c:v>
                </c:pt>
                <c:pt idx="268">
                  <c:v>7.2379538982247828E-3</c:v>
                </c:pt>
                <c:pt idx="269">
                  <c:v>7.2486929553905108E-3</c:v>
                </c:pt>
                <c:pt idx="270">
                  <c:v>7.2592715038548184E-3</c:v>
                </c:pt>
                <c:pt idx="271">
                  <c:v>7.2697059169014849E-3</c:v>
                </c:pt>
                <c:pt idx="272">
                  <c:v>7.2800460761588519E-3</c:v>
                </c:pt>
                <c:pt idx="273">
                  <c:v>7.2902606981213591E-3</c:v>
                </c:pt>
                <c:pt idx="274">
                  <c:v>7.3004391950135302E-3</c:v>
                </c:pt>
                <c:pt idx="275">
                  <c:v>7.3104788793665644E-3</c:v>
                </c:pt>
                <c:pt idx="276">
                  <c:v>7.3204344951613275E-3</c:v>
                </c:pt>
                <c:pt idx="277">
                  <c:v>7.3303265859030447E-3</c:v>
                </c:pt>
                <c:pt idx="278">
                  <c:v>7.3402122273521549E-3</c:v>
                </c:pt>
                <c:pt idx="279">
                  <c:v>7.3501281938845335E-3</c:v>
                </c:pt>
                <c:pt idx="280">
                  <c:v>7.3601155146794366E-3</c:v>
                </c:pt>
                <c:pt idx="281">
                  <c:v>7.3702655270662856E-3</c:v>
                </c:pt>
                <c:pt idx="282">
                  <c:v>7.3805729239867189E-3</c:v>
                </c:pt>
                <c:pt idx="283">
                  <c:v>7.3911704676588221E-3</c:v>
                </c:pt>
                <c:pt idx="284">
                  <c:v>7.4021262429364281E-3</c:v>
                </c:pt>
                <c:pt idx="285">
                  <c:v>7.4134372802543268E-3</c:v>
                </c:pt>
                <c:pt idx="286">
                  <c:v>7.4251223883931138E-3</c:v>
                </c:pt>
                <c:pt idx="287">
                  <c:v>7.4371801741930418E-3</c:v>
                </c:pt>
                <c:pt idx="288">
                  <c:v>7.4496938005116928E-3</c:v>
                </c:pt>
                <c:pt idx="289">
                  <c:v>7.4624976440177491E-3</c:v>
                </c:pt>
                <c:pt idx="290">
                  <c:v>7.4752287378824743E-3</c:v>
                </c:pt>
                <c:pt idx="291">
                  <c:v>7.4877691683792099E-3</c:v>
                </c:pt>
                <c:pt idx="292">
                  <c:v>7.5000022720078264E-3</c:v>
                </c:pt>
                <c:pt idx="293">
                  <c:v>7.5117692344397876E-3</c:v>
                </c:pt>
                <c:pt idx="294">
                  <c:v>7.5229297638559726E-3</c:v>
                </c:pt>
                <c:pt idx="295">
                  <c:v>7.533252894022284E-3</c:v>
                </c:pt>
                <c:pt idx="296">
                  <c:v>7.5426454854393542E-3</c:v>
                </c:pt>
                <c:pt idx="297">
                  <c:v>7.5508998838498959E-3</c:v>
                </c:pt>
                <c:pt idx="298">
                  <c:v>7.5578478709730076E-3</c:v>
                </c:pt>
                <c:pt idx="299">
                  <c:v>7.563304377451425E-3</c:v>
                </c:pt>
                <c:pt idx="300">
                  <c:v>7.5670590400374856E-3</c:v>
                </c:pt>
                <c:pt idx="301">
                  <c:v>7.5692927208283944E-3</c:v>
                </c:pt>
                <c:pt idx="302">
                  <c:v>7.5701783347137293E-3</c:v>
                </c:pt>
                <c:pt idx="303">
                  <c:v>7.5699711988292291E-3</c:v>
                </c:pt>
                <c:pt idx="304">
                  <c:v>7.568871452249628E-3</c:v>
                </c:pt>
                <c:pt idx="305">
                  <c:v>7.5670227292123212E-3</c:v>
                </c:pt>
                <c:pt idx="306">
                  <c:v>7.5645226073338713E-3</c:v>
                </c:pt>
                <c:pt idx="307">
                  <c:v>7.5615357080011051E-3</c:v>
                </c:pt>
                <c:pt idx="308">
                  <c:v>7.5583269498378878E-3</c:v>
                </c:pt>
                <c:pt idx="309">
                  <c:v>7.5550164414968828E-3</c:v>
                </c:pt>
                <c:pt idx="310">
                  <c:v>7.5517983740493212E-3</c:v>
                </c:pt>
                <c:pt idx="311">
                  <c:v>7.5488559291554298E-3</c:v>
                </c:pt>
                <c:pt idx="312">
                  <c:v>7.5463378667978325E-3</c:v>
                </c:pt>
                <c:pt idx="313">
                  <c:v>7.5442404089469351E-3</c:v>
                </c:pt>
                <c:pt idx="314">
                  <c:v>7.5424829993498014E-3</c:v>
                </c:pt>
                <c:pt idx="315">
                  <c:v>7.541080383843113E-3</c:v>
                </c:pt>
                <c:pt idx="316">
                  <c:v>7.5398868312169893E-3</c:v>
                </c:pt>
                <c:pt idx="317">
                  <c:v>7.5389307795666631E-3</c:v>
                </c:pt>
                <c:pt idx="318">
                  <c:v>7.5381525319123555E-3</c:v>
                </c:pt>
                <c:pt idx="319">
                  <c:v>7.5375481604116109E-3</c:v>
                </c:pt>
                <c:pt idx="320">
                  <c:v>7.5370155054491073E-3</c:v>
                </c:pt>
                <c:pt idx="321">
                  <c:v>7.5365061395770375E-3</c:v>
                </c:pt>
                <c:pt idx="322">
                  <c:v>7.5359677252154599E-3</c:v>
                </c:pt>
                <c:pt idx="323">
                  <c:v>7.5354701746990303E-3</c:v>
                </c:pt>
                <c:pt idx="324">
                  <c:v>7.5349995505280395E-3</c:v>
                </c:pt>
                <c:pt idx="325">
                  <c:v>7.5343666130753299E-3</c:v>
                </c:pt>
                <c:pt idx="326">
                  <c:v>7.5336842068292852E-3</c:v>
                </c:pt>
                <c:pt idx="327">
                  <c:v>7.5329006629447845E-3</c:v>
                </c:pt>
                <c:pt idx="328">
                  <c:v>7.5320581864703889E-3</c:v>
                </c:pt>
                <c:pt idx="329">
                  <c:v>7.5312323252423857E-3</c:v>
                </c:pt>
                <c:pt idx="330">
                  <c:v>7.5303477338092336E-3</c:v>
                </c:pt>
                <c:pt idx="331">
                  <c:v>7.5293664512309892E-3</c:v>
                </c:pt>
                <c:pt idx="332">
                  <c:v>7.5283231042660914E-3</c:v>
                </c:pt>
                <c:pt idx="333">
                  <c:v>7.5272818053160259E-3</c:v>
                </c:pt>
                <c:pt idx="334">
                  <c:v>7.5262021682044808E-3</c:v>
                </c:pt>
                <c:pt idx="335">
                  <c:v>7.5251200582861569E-3</c:v>
                </c:pt>
                <c:pt idx="336">
                  <c:v>7.5240395995338468E-3</c:v>
                </c:pt>
                <c:pt idx="337">
                  <c:v>7.5230006566429459E-3</c:v>
                </c:pt>
                <c:pt idx="338">
                  <c:v>7.5219839386044141E-3</c:v>
                </c:pt>
                <c:pt idx="339">
                  <c:v>7.5209883990926445E-3</c:v>
                </c:pt>
                <c:pt idx="340">
                  <c:v>7.5199766393071457E-3</c:v>
                </c:pt>
                <c:pt idx="341">
                  <c:v>7.51893322931822E-3</c:v>
                </c:pt>
                <c:pt idx="342">
                  <c:v>7.5178382026693871E-3</c:v>
                </c:pt>
                <c:pt idx="343">
                  <c:v>7.5166988593231019E-3</c:v>
                </c:pt>
                <c:pt idx="344">
                  <c:v>7.515689182614322E-3</c:v>
                </c:pt>
                <c:pt idx="345">
                  <c:v>7.5147177012294458E-3</c:v>
                </c:pt>
                <c:pt idx="346">
                  <c:v>7.5136950772961824E-3</c:v>
                </c:pt>
                <c:pt idx="347">
                  <c:v>7.5126188293587193E-3</c:v>
                </c:pt>
                <c:pt idx="348">
                  <c:v>7.5116095029054133E-3</c:v>
                </c:pt>
                <c:pt idx="349">
                  <c:v>7.5106975870713128E-3</c:v>
                </c:pt>
                <c:pt idx="350">
                  <c:v>7.5097629352347357E-3</c:v>
                </c:pt>
                <c:pt idx="351">
                  <c:v>7.5088964879917557E-3</c:v>
                </c:pt>
                <c:pt idx="352">
                  <c:v>7.5081003633796833E-3</c:v>
                </c:pt>
                <c:pt idx="353">
                  <c:v>7.5073038136850472E-3</c:v>
                </c:pt>
                <c:pt idx="354">
                  <c:v>7.5064472639780784E-3</c:v>
                </c:pt>
                <c:pt idx="355">
                  <c:v>7.5055329939409388E-3</c:v>
                </c:pt>
                <c:pt idx="356">
                  <c:v>7.5046537651788578E-3</c:v>
                </c:pt>
                <c:pt idx="357">
                  <c:v>7.5036902626308055E-3</c:v>
                </c:pt>
                <c:pt idx="358">
                  <c:v>7.5026384381289089E-3</c:v>
                </c:pt>
                <c:pt idx="359">
                  <c:v>7.5015883853212905E-3</c:v>
                </c:pt>
                <c:pt idx="360">
                  <c:v>7.5004738903777166E-3</c:v>
                </c:pt>
                <c:pt idx="361">
                  <c:v>7.4994547625287953E-3</c:v>
                </c:pt>
                <c:pt idx="362">
                  <c:v>7.4984413324547267E-3</c:v>
                </c:pt>
                <c:pt idx="363">
                  <c:v>7.49738124653016E-3</c:v>
                </c:pt>
                <c:pt idx="364">
                  <c:v>7.4963710725175327E-3</c:v>
                </c:pt>
                <c:pt idx="365">
                  <c:v>7.4952746003268244E-3</c:v>
                </c:pt>
                <c:pt idx="366">
                  <c:v>7.4940651242197606E-3</c:v>
                </c:pt>
                <c:pt idx="367">
                  <c:v>7.4928638305279101E-3</c:v>
                </c:pt>
                <c:pt idx="368">
                  <c:v>7.4916356818656004E-3</c:v>
                </c:pt>
                <c:pt idx="369">
                  <c:v>7.4904310584225399E-3</c:v>
                </c:pt>
                <c:pt idx="370">
                  <c:v>7.4892313036119375E-3</c:v>
                </c:pt>
                <c:pt idx="371">
                  <c:v>7.488108903706242E-3</c:v>
                </c:pt>
                <c:pt idx="372">
                  <c:v>7.4868730445575103E-3</c:v>
                </c:pt>
                <c:pt idx="373">
                  <c:v>7.4856113037395384E-3</c:v>
                </c:pt>
                <c:pt idx="374">
                  <c:v>7.4843101861757633E-3</c:v>
                </c:pt>
                <c:pt idx="375">
                  <c:v>7.4829899186608E-3</c:v>
                </c:pt>
                <c:pt idx="376">
                  <c:v>7.4816584146259468E-3</c:v>
                </c:pt>
                <c:pt idx="377">
                  <c:v>7.4802659205944963E-3</c:v>
                </c:pt>
                <c:pt idx="378">
                  <c:v>7.4788638621260404E-3</c:v>
                </c:pt>
                <c:pt idx="379">
                  <c:v>7.4773856276749897E-3</c:v>
                </c:pt>
                <c:pt idx="380">
                  <c:v>7.4759546259771182E-3</c:v>
                </c:pt>
                <c:pt idx="381">
                  <c:v>7.4744715489404017E-3</c:v>
                </c:pt>
                <c:pt idx="382">
                  <c:v>7.4728317111092957E-3</c:v>
                </c:pt>
                <c:pt idx="383">
                  <c:v>7.4712288582013658E-3</c:v>
                </c:pt>
                <c:pt idx="384">
                  <c:v>7.4695793172484754E-3</c:v>
                </c:pt>
                <c:pt idx="385">
                  <c:v>7.4679033683470158E-3</c:v>
                </c:pt>
                <c:pt idx="386">
                  <c:v>7.4661358751492548E-3</c:v>
                </c:pt>
                <c:pt idx="387">
                  <c:v>7.4644020068796281E-3</c:v>
                </c:pt>
                <c:pt idx="388">
                  <c:v>7.4626945474535614E-3</c:v>
                </c:pt>
                <c:pt idx="389">
                  <c:v>7.4609404390174076E-3</c:v>
                </c:pt>
                <c:pt idx="390">
                  <c:v>7.4592122192295154E-3</c:v>
                </c:pt>
                <c:pt idx="391">
                  <c:v>7.4574352239309902E-3</c:v>
                </c:pt>
                <c:pt idx="392">
                  <c:v>7.4556760624519755E-3</c:v>
                </c:pt>
                <c:pt idx="393">
                  <c:v>7.4539968216337229E-3</c:v>
                </c:pt>
                <c:pt idx="394">
                  <c:v>7.45231374693461E-3</c:v>
                </c:pt>
                <c:pt idx="395">
                  <c:v>7.4506825010292009E-3</c:v>
                </c:pt>
                <c:pt idx="396">
                  <c:v>7.4490428182938636E-3</c:v>
                </c:pt>
                <c:pt idx="397">
                  <c:v>7.4474784641471586E-3</c:v>
                </c:pt>
                <c:pt idx="398">
                  <c:v>7.4458981965746041E-3</c:v>
                </c:pt>
                <c:pt idx="399">
                  <c:v>7.4442943547348775E-3</c:v>
                </c:pt>
                <c:pt idx="400">
                  <c:v>7.4425707149306138E-3</c:v>
                </c:pt>
                <c:pt idx="401">
                  <c:v>7.4409111805212105E-3</c:v>
                </c:pt>
                <c:pt idx="402">
                  <c:v>7.4393782464994025E-3</c:v>
                </c:pt>
                <c:pt idx="403">
                  <c:v>7.4379146488140722E-3</c:v>
                </c:pt>
                <c:pt idx="404">
                  <c:v>7.4364536963051238E-3</c:v>
                </c:pt>
                <c:pt idx="405">
                  <c:v>7.4349401583407061E-3</c:v>
                </c:pt>
                <c:pt idx="406">
                  <c:v>7.4333253194322334E-3</c:v>
                </c:pt>
                <c:pt idx="407">
                  <c:v>7.431715472549812E-3</c:v>
                </c:pt>
                <c:pt idx="408">
                  <c:v>7.4300919630978218E-3</c:v>
                </c:pt>
                <c:pt idx="409">
                  <c:v>7.4284413460428992E-3</c:v>
                </c:pt>
                <c:pt idx="410">
                  <c:v>7.4268750706092046E-3</c:v>
                </c:pt>
                <c:pt idx="411">
                  <c:v>7.4253344211280426E-3</c:v>
                </c:pt>
                <c:pt idx="412">
                  <c:v>7.4237631302703066E-3</c:v>
                </c:pt>
                <c:pt idx="413">
                  <c:v>7.4221215907206012E-3</c:v>
                </c:pt>
                <c:pt idx="414">
                  <c:v>7.4204960311180807E-3</c:v>
                </c:pt>
                <c:pt idx="415">
                  <c:v>7.4188099039553456E-3</c:v>
                </c:pt>
                <c:pt idx="416">
                  <c:v>7.4171451830267465E-3</c:v>
                </c:pt>
                <c:pt idx="417">
                  <c:v>7.4154605951950725E-3</c:v>
                </c:pt>
                <c:pt idx="418">
                  <c:v>7.4138305135620737E-3</c:v>
                </c:pt>
                <c:pt idx="419">
                  <c:v>7.4121926446207255E-3</c:v>
                </c:pt>
                <c:pt idx="420">
                  <c:v>7.4104660830301584E-3</c:v>
                </c:pt>
                <c:pt idx="421">
                  <c:v>7.4087534354009034E-3</c:v>
                </c:pt>
                <c:pt idx="422">
                  <c:v>7.4069871192454896E-3</c:v>
                </c:pt>
                <c:pt idx="423">
                  <c:v>7.4052262041098141E-3</c:v>
                </c:pt>
                <c:pt idx="424">
                  <c:v>7.4034849399741854E-3</c:v>
                </c:pt>
                <c:pt idx="425">
                  <c:v>7.4018090845129145E-3</c:v>
                </c:pt>
                <c:pt idx="426">
                  <c:v>7.4001297016212395E-3</c:v>
                </c:pt>
                <c:pt idx="427">
                  <c:v>7.3984862658038608E-3</c:v>
                </c:pt>
                <c:pt idx="428">
                  <c:v>7.3968047815712616E-3</c:v>
                </c:pt>
                <c:pt idx="429">
                  <c:v>7.3951940243846843E-3</c:v>
                </c:pt>
                <c:pt idx="430">
                  <c:v>7.393729867082032E-3</c:v>
                </c:pt>
                <c:pt idx="431">
                  <c:v>7.3923389083364079E-3</c:v>
                </c:pt>
                <c:pt idx="432">
                  <c:v>7.3909852247836839E-3</c:v>
                </c:pt>
                <c:pt idx="433">
                  <c:v>7.3896621366697102E-3</c:v>
                </c:pt>
                <c:pt idx="434">
                  <c:v>7.3883519518495935E-3</c:v>
                </c:pt>
                <c:pt idx="435">
                  <c:v>7.3871361649823289E-3</c:v>
                </c:pt>
                <c:pt idx="436">
                  <c:v>7.3859782130085948E-3</c:v>
                </c:pt>
                <c:pt idx="437">
                  <c:v>7.384827917672092E-3</c:v>
                </c:pt>
                <c:pt idx="438">
                  <c:v>7.3837734590897711E-3</c:v>
                </c:pt>
                <c:pt idx="439">
                  <c:v>7.3827629564804497E-3</c:v>
                </c:pt>
                <c:pt idx="440">
                  <c:v>7.381733394021598E-3</c:v>
                </c:pt>
                <c:pt idx="441">
                  <c:v>7.3807037989776477E-3</c:v>
                </c:pt>
                <c:pt idx="442">
                  <c:v>7.3797783190222028E-3</c:v>
                </c:pt>
                <c:pt idx="443">
                  <c:v>7.3788601741285971E-3</c:v>
                </c:pt>
                <c:pt idx="444">
                  <c:v>7.3778967817821027E-3</c:v>
                </c:pt>
                <c:pt idx="445">
                  <c:v>7.3769839789093851E-3</c:v>
                </c:pt>
                <c:pt idx="446">
                  <c:v>7.375993738794143E-3</c:v>
                </c:pt>
                <c:pt idx="447">
                  <c:v>7.3749541322203765E-3</c:v>
                </c:pt>
                <c:pt idx="448">
                  <c:v>7.3740133570115007E-3</c:v>
                </c:pt>
                <c:pt idx="449">
                  <c:v>7.3730843265918718E-3</c:v>
                </c:pt>
                <c:pt idx="450">
                  <c:v>7.3721183476564908E-3</c:v>
                </c:pt>
                <c:pt idx="451">
                  <c:v>7.3711104003427296E-3</c:v>
                </c:pt>
                <c:pt idx="452">
                  <c:v>7.3700356923744473E-3</c:v>
                </c:pt>
                <c:pt idx="453">
                  <c:v>7.3689853004460419E-3</c:v>
                </c:pt>
                <c:pt idx="454">
                  <c:v>7.3679428690681149E-3</c:v>
                </c:pt>
                <c:pt idx="455">
                  <c:v>7.3670301676948555E-3</c:v>
                </c:pt>
                <c:pt idx="456">
                  <c:v>7.3660897713739007E-3</c:v>
                </c:pt>
                <c:pt idx="457">
                  <c:v>7.3652208722983174E-3</c:v>
                </c:pt>
                <c:pt idx="458">
                  <c:v>7.3643939942958188E-3</c:v>
                </c:pt>
                <c:pt idx="459">
                  <c:v>7.3636153529369423E-3</c:v>
                </c:pt>
                <c:pt idx="460">
                  <c:v>7.3629583642943718E-3</c:v>
                </c:pt>
                <c:pt idx="461">
                  <c:v>7.3624077298259788E-3</c:v>
                </c:pt>
                <c:pt idx="462">
                  <c:v>7.3619086992828715E-3</c:v>
                </c:pt>
                <c:pt idx="463">
                  <c:v>7.3614621436317966E-3</c:v>
                </c:pt>
                <c:pt idx="464">
                  <c:v>7.3610428840902731E-3</c:v>
                </c:pt>
                <c:pt idx="465">
                  <c:v>7.3606600276000956E-3</c:v>
                </c:pt>
                <c:pt idx="466">
                  <c:v>7.3602513866791739E-3</c:v>
                </c:pt>
                <c:pt idx="467">
                  <c:v>7.35985265613505E-3</c:v>
                </c:pt>
                <c:pt idx="468">
                  <c:v>7.3594479575171869E-3</c:v>
                </c:pt>
                <c:pt idx="469">
                  <c:v>7.3590949412574626E-3</c:v>
                </c:pt>
                <c:pt idx="470">
                  <c:v>7.3587775322835926E-3</c:v>
                </c:pt>
                <c:pt idx="471">
                  <c:v>7.358376506771876E-3</c:v>
                </c:pt>
                <c:pt idx="472">
                  <c:v>7.3579740080751809E-3</c:v>
                </c:pt>
                <c:pt idx="473">
                  <c:v>7.3575043522973952E-3</c:v>
                </c:pt>
                <c:pt idx="474">
                  <c:v>7.357012769349568E-3</c:v>
                </c:pt>
                <c:pt idx="475">
                  <c:v>7.356575327244529E-3</c:v>
                </c:pt>
                <c:pt idx="476">
                  <c:v>7.3561419686063341E-3</c:v>
                </c:pt>
                <c:pt idx="477">
                  <c:v>7.355677475482306E-3</c:v>
                </c:pt>
                <c:pt idx="478">
                  <c:v>7.3551890398789767E-3</c:v>
                </c:pt>
                <c:pt idx="479">
                  <c:v>7.3546961924448777E-3</c:v>
                </c:pt>
                <c:pt idx="480">
                  <c:v>7.3542002324551974E-3</c:v>
                </c:pt>
                <c:pt idx="481">
                  <c:v>7.3536370267063712E-3</c:v>
                </c:pt>
                <c:pt idx="482">
                  <c:v>7.3529994279414798E-3</c:v>
                </c:pt>
                <c:pt idx="483">
                  <c:v>7.3524172704880122E-3</c:v>
                </c:pt>
                <c:pt idx="484">
                  <c:v>7.3518862085779763E-3</c:v>
                </c:pt>
                <c:pt idx="485">
                  <c:v>7.3514256621559438E-3</c:v>
                </c:pt>
                <c:pt idx="486">
                  <c:v>7.3509214618895074E-3</c:v>
                </c:pt>
                <c:pt idx="487">
                  <c:v>7.3504999538350603E-3</c:v>
                </c:pt>
                <c:pt idx="488">
                  <c:v>7.3501126214313784E-3</c:v>
                </c:pt>
                <c:pt idx="489">
                  <c:v>7.3496366902317707E-3</c:v>
                </c:pt>
                <c:pt idx="490">
                  <c:v>7.3492077653623212E-3</c:v>
                </c:pt>
                <c:pt idx="491">
                  <c:v>7.3487416143301395E-3</c:v>
                </c:pt>
                <c:pt idx="492">
                  <c:v>7.3482919597215122E-3</c:v>
                </c:pt>
                <c:pt idx="493">
                  <c:v>7.3478404700247617E-3</c:v>
                </c:pt>
                <c:pt idx="494">
                  <c:v>7.3474245397715937E-3</c:v>
                </c:pt>
                <c:pt idx="495">
                  <c:v>7.3469668388759148E-3</c:v>
                </c:pt>
                <c:pt idx="496">
                  <c:v>7.3465115793440415E-3</c:v>
                </c:pt>
                <c:pt idx="497">
                  <c:v>7.3461353657812067E-3</c:v>
                </c:pt>
                <c:pt idx="498">
                  <c:v>7.3457456579089685E-3</c:v>
                </c:pt>
                <c:pt idx="499">
                  <c:v>7.3453030825846519E-3</c:v>
                </c:pt>
                <c:pt idx="500">
                  <c:v>7.3448503043598741E-3</c:v>
                </c:pt>
                <c:pt idx="501">
                  <c:v>7.3443633772542908E-3</c:v>
                </c:pt>
                <c:pt idx="502">
                  <c:v>7.3439254815689751E-3</c:v>
                </c:pt>
                <c:pt idx="503">
                  <c:v>7.3434585827056066E-3</c:v>
                </c:pt>
                <c:pt idx="504">
                  <c:v>7.3429514846481032E-3</c:v>
                </c:pt>
                <c:pt idx="505">
                  <c:v>7.342443819688696E-3</c:v>
                </c:pt>
                <c:pt idx="506">
                  <c:v>7.3420061208998473E-3</c:v>
                </c:pt>
                <c:pt idx="507">
                  <c:v>7.3416306723383465E-3</c:v>
                </c:pt>
                <c:pt idx="508">
                  <c:v>7.3413434819123609E-3</c:v>
                </c:pt>
                <c:pt idx="509">
                  <c:v>7.3409945369874692E-3</c:v>
                </c:pt>
                <c:pt idx="510">
                  <c:v>7.3406684375882034E-3</c:v>
                </c:pt>
                <c:pt idx="511">
                  <c:v>7.3402883641995025E-3</c:v>
                </c:pt>
                <c:pt idx="512">
                  <c:v>7.3399190184913633E-3</c:v>
                </c:pt>
                <c:pt idx="513">
                  <c:v>7.3395640173932516E-3</c:v>
                </c:pt>
                <c:pt idx="514">
                  <c:v>7.3392130017988551E-3</c:v>
                </c:pt>
                <c:pt idx="515">
                  <c:v>7.3387948973498464E-3</c:v>
                </c:pt>
                <c:pt idx="516">
                  <c:v>7.3385143845433546E-3</c:v>
                </c:pt>
                <c:pt idx="517">
                  <c:v>7.3383192057602624E-3</c:v>
                </c:pt>
                <c:pt idx="518">
                  <c:v>7.3381278634280156E-3</c:v>
                </c:pt>
                <c:pt idx="519">
                  <c:v>7.3378806838985938E-3</c:v>
                </c:pt>
                <c:pt idx="520">
                  <c:v>7.3376376953476312E-3</c:v>
                </c:pt>
                <c:pt idx="521">
                  <c:v>7.3373297291047012E-3</c:v>
                </c:pt>
                <c:pt idx="522">
                  <c:v>7.3370155811926276E-3</c:v>
                </c:pt>
                <c:pt idx="523">
                  <c:v>7.3367121876971031E-3</c:v>
                </c:pt>
                <c:pt idx="524">
                  <c:v>7.3364883137471242E-3</c:v>
                </c:pt>
                <c:pt idx="525">
                  <c:v>7.3363247786454866E-3</c:v>
                </c:pt>
                <c:pt idx="526">
                  <c:v>7.336157701586409E-3</c:v>
                </c:pt>
                <c:pt idx="527">
                  <c:v>7.335994571565755E-3</c:v>
                </c:pt>
                <c:pt idx="528">
                  <c:v>7.3358683562291388E-3</c:v>
                </c:pt>
                <c:pt idx="529">
                  <c:v>7.3357034820310764E-3</c:v>
                </c:pt>
                <c:pt idx="530">
                  <c:v>7.3355235761459496E-3</c:v>
                </c:pt>
                <c:pt idx="531">
                  <c:v>7.3353961102192115E-3</c:v>
                </c:pt>
                <c:pt idx="532">
                  <c:v>7.3351946647839967E-3</c:v>
                </c:pt>
                <c:pt idx="533">
                  <c:v>7.3350048481907893E-3</c:v>
                </c:pt>
                <c:pt idx="534">
                  <c:v>7.3347489147024374E-3</c:v>
                </c:pt>
                <c:pt idx="535">
                  <c:v>7.3344547068509135E-3</c:v>
                </c:pt>
                <c:pt idx="536">
                  <c:v>7.3341646058725949E-3</c:v>
                </c:pt>
                <c:pt idx="537">
                  <c:v>7.3339586661286208E-3</c:v>
                </c:pt>
                <c:pt idx="538">
                  <c:v>7.3336902882174589E-3</c:v>
                </c:pt>
                <c:pt idx="539">
                  <c:v>7.3332885619909957E-3</c:v>
                </c:pt>
                <c:pt idx="540">
                  <c:v>7.3328050964355067E-3</c:v>
                </c:pt>
                <c:pt idx="541">
                  <c:v>7.3324207956039777E-3</c:v>
                </c:pt>
                <c:pt idx="542">
                  <c:v>7.3321086381075437E-3</c:v>
                </c:pt>
                <c:pt idx="543">
                  <c:v>7.3318563704552857E-3</c:v>
                </c:pt>
                <c:pt idx="544">
                  <c:v>7.3316196299394653E-3</c:v>
                </c:pt>
                <c:pt idx="545">
                  <c:v>7.3315389768589499E-3</c:v>
                </c:pt>
                <c:pt idx="546">
                  <c:v>7.3315892187841639E-3</c:v>
                </c:pt>
                <c:pt idx="547">
                  <c:v>7.3316548323978954E-3</c:v>
                </c:pt>
                <c:pt idx="548">
                  <c:v>7.3317998522011932E-3</c:v>
                </c:pt>
                <c:pt idx="549">
                  <c:v>7.3319821113405435E-3</c:v>
                </c:pt>
                <c:pt idx="550">
                  <c:v>7.3321274165231553E-3</c:v>
                </c:pt>
                <c:pt idx="551">
                  <c:v>7.3322347687007055E-3</c:v>
                </c:pt>
                <c:pt idx="552">
                  <c:v>7.3324073803454782E-3</c:v>
                </c:pt>
                <c:pt idx="553">
                  <c:v>7.3325708257517839E-3</c:v>
                </c:pt>
                <c:pt idx="554">
                  <c:v>7.332847497434374E-3</c:v>
                </c:pt>
                <c:pt idx="555">
                  <c:v>7.333140484857328E-3</c:v>
                </c:pt>
                <c:pt idx="556">
                  <c:v>7.3335515514433153E-3</c:v>
                </c:pt>
                <c:pt idx="557">
                  <c:v>7.3340026217992727E-3</c:v>
                </c:pt>
                <c:pt idx="558">
                  <c:v>7.3345612706179862E-3</c:v>
                </c:pt>
                <c:pt idx="559">
                  <c:v>7.3351857939114307E-3</c:v>
                </c:pt>
                <c:pt idx="560">
                  <c:v>7.3358217458137937E-3</c:v>
                </c:pt>
                <c:pt idx="561">
                  <c:v>7.3364456766628816E-3</c:v>
                </c:pt>
                <c:pt idx="562">
                  <c:v>7.3370779564995211E-3</c:v>
                </c:pt>
                <c:pt idx="563">
                  <c:v>7.3377570058367082E-3</c:v>
                </c:pt>
                <c:pt idx="564">
                  <c:v>7.338363478790029E-3</c:v>
                </c:pt>
                <c:pt idx="565">
                  <c:v>7.3389852273569251E-3</c:v>
                </c:pt>
                <c:pt idx="566">
                  <c:v>7.339587204751097E-3</c:v>
                </c:pt>
                <c:pt idx="567">
                  <c:v>7.3402475406292439E-3</c:v>
                </c:pt>
                <c:pt idx="568">
                  <c:v>7.3409599700735755E-3</c:v>
                </c:pt>
                <c:pt idx="569">
                  <c:v>7.3417126549701938E-3</c:v>
                </c:pt>
                <c:pt idx="570">
                  <c:v>7.3424001709624931E-3</c:v>
                </c:pt>
                <c:pt idx="571">
                  <c:v>7.3429701584384237E-3</c:v>
                </c:pt>
                <c:pt idx="572">
                  <c:v>7.3435183392177757E-3</c:v>
                </c:pt>
                <c:pt idx="573">
                  <c:v>7.3441289069952793E-3</c:v>
                </c:pt>
                <c:pt idx="574">
                  <c:v>7.3447576574663951E-3</c:v>
                </c:pt>
                <c:pt idx="575">
                  <c:v>7.3453783440854091E-3</c:v>
                </c:pt>
                <c:pt idx="576">
                  <c:v>7.3460425144967487E-3</c:v>
                </c:pt>
                <c:pt idx="577">
                  <c:v>7.3466472232740845E-3</c:v>
                </c:pt>
                <c:pt idx="578">
                  <c:v>7.3472091059036985E-3</c:v>
                </c:pt>
                <c:pt idx="579">
                  <c:v>7.3477837218078696E-3</c:v>
                </c:pt>
                <c:pt idx="580">
                  <c:v>7.3483450921573261E-3</c:v>
                </c:pt>
                <c:pt idx="581">
                  <c:v>7.3489145196033393E-3</c:v>
                </c:pt>
                <c:pt idx="582">
                  <c:v>7.3495770792357563E-3</c:v>
                </c:pt>
                <c:pt idx="583">
                  <c:v>7.3502591609423181E-3</c:v>
                </c:pt>
                <c:pt idx="584">
                  <c:v>7.3509326251234176E-3</c:v>
                </c:pt>
                <c:pt idx="585">
                  <c:v>7.3516153169477837E-3</c:v>
                </c:pt>
                <c:pt idx="586">
                  <c:v>7.3523072557549196E-3</c:v>
                </c:pt>
                <c:pt idx="587">
                  <c:v>7.3531339714792308E-3</c:v>
                </c:pt>
                <c:pt idx="588">
                  <c:v>7.3540150137224236E-3</c:v>
                </c:pt>
                <c:pt idx="589">
                  <c:v>7.354935605614189E-3</c:v>
                </c:pt>
                <c:pt idx="590">
                  <c:v>7.3558879588651203E-3</c:v>
                </c:pt>
                <c:pt idx="591">
                  <c:v>7.3568140585015315E-3</c:v>
                </c:pt>
                <c:pt idx="592">
                  <c:v>7.3578095264432916E-3</c:v>
                </c:pt>
                <c:pt idx="593">
                  <c:v>7.3587778233754446E-3</c:v>
                </c:pt>
                <c:pt idx="594">
                  <c:v>7.3597707401116472E-3</c:v>
                </c:pt>
                <c:pt idx="595">
                  <c:v>7.3607086808026119E-3</c:v>
                </c:pt>
                <c:pt idx="596">
                  <c:v>7.3615548620588906E-3</c:v>
                </c:pt>
                <c:pt idx="597">
                  <c:v>7.3624316170457366E-3</c:v>
                </c:pt>
                <c:pt idx="598">
                  <c:v>7.3634186593146802E-3</c:v>
                </c:pt>
                <c:pt idx="599">
                  <c:v>7.3643843838958507E-3</c:v>
                </c:pt>
                <c:pt idx="600">
                  <c:v>7.3653836355276146E-3</c:v>
                </c:pt>
                <c:pt idx="601">
                  <c:v>7.3663875452576449E-3</c:v>
                </c:pt>
                <c:pt idx="602">
                  <c:v>7.367453568785147E-3</c:v>
                </c:pt>
                <c:pt idx="603">
                  <c:v>7.3684655808238884E-3</c:v>
                </c:pt>
                <c:pt idx="604">
                  <c:v>7.3695060501985602E-3</c:v>
                </c:pt>
                <c:pt idx="605">
                  <c:v>7.370662813887219E-3</c:v>
                </c:pt>
                <c:pt idx="606">
                  <c:v>7.3718001205768484E-3</c:v>
                </c:pt>
                <c:pt idx="607">
                  <c:v>7.3729009551605929E-3</c:v>
                </c:pt>
                <c:pt idx="608">
                  <c:v>7.374052653534067E-3</c:v>
                </c:pt>
                <c:pt idx="609">
                  <c:v>7.3752834137924472E-3</c:v>
                </c:pt>
                <c:pt idx="610">
                  <c:v>7.3766182386488599E-3</c:v>
                </c:pt>
                <c:pt idx="611">
                  <c:v>7.3780156688151213E-3</c:v>
                </c:pt>
                <c:pt idx="612">
                  <c:v>7.3794639259113851E-3</c:v>
                </c:pt>
                <c:pt idx="613">
                  <c:v>7.3808215833447554E-3</c:v>
                </c:pt>
                <c:pt idx="614">
                  <c:v>7.3821928239182315E-3</c:v>
                </c:pt>
                <c:pt idx="615">
                  <c:v>7.3836241789289455E-3</c:v>
                </c:pt>
                <c:pt idx="616">
                  <c:v>7.3849547116218769E-3</c:v>
                </c:pt>
                <c:pt idx="617">
                  <c:v>7.3862421974650299E-3</c:v>
                </c:pt>
                <c:pt idx="618">
                  <c:v>7.3874981365474688E-3</c:v>
                </c:pt>
                <c:pt idx="619">
                  <c:v>7.3886881783697157E-3</c:v>
                </c:pt>
                <c:pt idx="620">
                  <c:v>7.3899341605039477E-3</c:v>
                </c:pt>
                <c:pt idx="621">
                  <c:v>7.3912042477018384E-3</c:v>
                </c:pt>
                <c:pt idx="622">
                  <c:v>7.392483744951708E-3</c:v>
                </c:pt>
                <c:pt idx="623">
                  <c:v>7.3937317222127624E-3</c:v>
                </c:pt>
                <c:pt idx="624">
                  <c:v>7.3949190246469301E-3</c:v>
                </c:pt>
                <c:pt idx="625">
                  <c:v>7.3962636932025302E-3</c:v>
                </c:pt>
                <c:pt idx="626">
                  <c:v>7.3976999903625756E-3</c:v>
                </c:pt>
                <c:pt idx="627">
                  <c:v>7.3991180304351523E-3</c:v>
                </c:pt>
                <c:pt idx="628">
                  <c:v>7.400615787200816E-3</c:v>
                </c:pt>
                <c:pt idx="629">
                  <c:v>7.4021101412112909E-3</c:v>
                </c:pt>
                <c:pt idx="630">
                  <c:v>7.4036470580251265E-3</c:v>
                </c:pt>
                <c:pt idx="631">
                  <c:v>7.4051679563383287E-3</c:v>
                </c:pt>
                <c:pt idx="632">
                  <c:v>7.4067914968343708E-3</c:v>
                </c:pt>
                <c:pt idx="633">
                  <c:v>7.4083239321738412E-3</c:v>
                </c:pt>
                <c:pt idx="634">
                  <c:v>7.4098484880009922E-3</c:v>
                </c:pt>
                <c:pt idx="635">
                  <c:v>7.4114311810837049E-3</c:v>
                </c:pt>
                <c:pt idx="636">
                  <c:v>7.4131498003972424E-3</c:v>
                </c:pt>
                <c:pt idx="637">
                  <c:v>7.4148603502697946E-3</c:v>
                </c:pt>
                <c:pt idx="638">
                  <c:v>7.4165796029525052E-3</c:v>
                </c:pt>
                <c:pt idx="639">
                  <c:v>7.4182728893512481E-3</c:v>
                </c:pt>
                <c:pt idx="640">
                  <c:v>7.4199867930818189E-3</c:v>
                </c:pt>
                <c:pt idx="641">
                  <c:v>7.4215604762277463E-3</c:v>
                </c:pt>
                <c:pt idx="642">
                  <c:v>7.4230732826985639E-3</c:v>
                </c:pt>
                <c:pt idx="643">
                  <c:v>7.4246007707778408E-3</c:v>
                </c:pt>
                <c:pt idx="644">
                  <c:v>7.4260897982449193E-3</c:v>
                </c:pt>
                <c:pt idx="645">
                  <c:v>7.4275740661586126E-3</c:v>
                </c:pt>
                <c:pt idx="646">
                  <c:v>7.4290452903277224E-3</c:v>
                </c:pt>
                <c:pt idx="647">
                  <c:v>7.4304462451853437E-3</c:v>
                </c:pt>
                <c:pt idx="648">
                  <c:v>7.4318269694777835E-3</c:v>
                </c:pt>
                <c:pt idx="649">
                  <c:v>7.4331324978560327E-3</c:v>
                </c:pt>
                <c:pt idx="650">
                  <c:v>7.4344114951766446E-3</c:v>
                </c:pt>
                <c:pt idx="651">
                  <c:v>7.4356494477327631E-3</c:v>
                </c:pt>
                <c:pt idx="652">
                  <c:v>7.4367862420152194E-3</c:v>
                </c:pt>
                <c:pt idx="653">
                  <c:v>7.4378794540311492E-3</c:v>
                </c:pt>
                <c:pt idx="654">
                  <c:v>7.4388231710184154E-3</c:v>
                </c:pt>
                <c:pt idx="655">
                  <c:v>7.4397294705960057E-3</c:v>
                </c:pt>
                <c:pt idx="656">
                  <c:v>7.4407203634356857E-3</c:v>
                </c:pt>
                <c:pt idx="657">
                  <c:v>7.4416585757994032E-3</c:v>
                </c:pt>
                <c:pt idx="658">
                  <c:v>7.4424964134847844E-3</c:v>
                </c:pt>
                <c:pt idx="659">
                  <c:v>7.4434002417474009E-3</c:v>
                </c:pt>
                <c:pt idx="660">
                  <c:v>7.444216360098406E-3</c:v>
                </c:pt>
                <c:pt idx="661">
                  <c:v>7.444967296036371E-3</c:v>
                </c:pt>
                <c:pt idx="662">
                  <c:v>7.4457826975766524E-3</c:v>
                </c:pt>
                <c:pt idx="663">
                  <c:v>7.4466006224694859E-3</c:v>
                </c:pt>
                <c:pt idx="664">
                  <c:v>7.4474117084481423E-3</c:v>
                </c:pt>
                <c:pt idx="665">
                  <c:v>7.4482447149069328E-3</c:v>
                </c:pt>
                <c:pt idx="666">
                  <c:v>7.449109988587518E-3</c:v>
                </c:pt>
                <c:pt idx="667">
                  <c:v>7.4499770587033269E-3</c:v>
                </c:pt>
                <c:pt idx="668">
                  <c:v>7.4508504674548164E-3</c:v>
                </c:pt>
                <c:pt idx="669">
                  <c:v>7.4518072567081508E-3</c:v>
                </c:pt>
                <c:pt idx="670">
                  <c:v>7.4528273669497644E-3</c:v>
                </c:pt>
                <c:pt idx="671">
                  <c:v>7.4539533102241408E-3</c:v>
                </c:pt>
                <c:pt idx="672">
                  <c:v>7.455199894560509E-3</c:v>
                </c:pt>
                <c:pt idx="673">
                  <c:v>7.4564502585683767E-3</c:v>
                </c:pt>
                <c:pt idx="674">
                  <c:v>7.4576821762611378E-3</c:v>
                </c:pt>
                <c:pt idx="675">
                  <c:v>7.4588680343855521E-3</c:v>
                </c:pt>
                <c:pt idx="676">
                  <c:v>7.4599633789987603E-3</c:v>
                </c:pt>
                <c:pt idx="677">
                  <c:v>7.4610636162857139E-3</c:v>
                </c:pt>
                <c:pt idx="678">
                  <c:v>7.4621701258724311E-3</c:v>
                </c:pt>
                <c:pt idx="679">
                  <c:v>7.4632216577706807E-3</c:v>
                </c:pt>
                <c:pt idx="680">
                  <c:v>7.4641712359380576E-3</c:v>
                </c:pt>
                <c:pt idx="681">
                  <c:v>7.465013318608887E-3</c:v>
                </c:pt>
                <c:pt idx="682">
                  <c:v>7.4656935091701676E-3</c:v>
                </c:pt>
                <c:pt idx="683">
                  <c:v>7.4663772224331116E-3</c:v>
                </c:pt>
                <c:pt idx="684">
                  <c:v>7.4669972425467166E-3</c:v>
                </c:pt>
                <c:pt idx="685">
                  <c:v>7.4676994217230015E-3</c:v>
                </c:pt>
                <c:pt idx="686">
                  <c:v>7.4683282511941295E-3</c:v>
                </c:pt>
                <c:pt idx="687">
                  <c:v>7.4688829525654168E-3</c:v>
                </c:pt>
                <c:pt idx="688">
                  <c:v>7.4694100359800611E-3</c:v>
                </c:pt>
                <c:pt idx="689">
                  <c:v>7.4698217439165722E-3</c:v>
                </c:pt>
                <c:pt idx="690">
                  <c:v>7.4702279282359476E-3</c:v>
                </c:pt>
                <c:pt idx="691">
                  <c:v>7.47068076384955E-3</c:v>
                </c:pt>
                <c:pt idx="692">
                  <c:v>7.4710843794012945E-3</c:v>
                </c:pt>
                <c:pt idx="693">
                  <c:v>7.4714803837055699E-3</c:v>
                </c:pt>
                <c:pt idx="694">
                  <c:v>7.4718791795604783E-3</c:v>
                </c:pt>
                <c:pt idx="695">
                  <c:v>7.4722235241280596E-3</c:v>
                </c:pt>
                <c:pt idx="696">
                  <c:v>7.4727138716382136E-3</c:v>
                </c:pt>
                <c:pt idx="697">
                  <c:v>7.4732356313667939E-3</c:v>
                </c:pt>
                <c:pt idx="698">
                  <c:v>7.4736538754109003E-3</c:v>
                </c:pt>
                <c:pt idx="699">
                  <c:v>7.4740935865825493E-3</c:v>
                </c:pt>
                <c:pt idx="700">
                  <c:v>7.4746729689892715E-3</c:v>
                </c:pt>
                <c:pt idx="701">
                  <c:v>7.4751163676585602E-3</c:v>
                </c:pt>
                <c:pt idx="702">
                  <c:v>7.4754506168958901E-3</c:v>
                </c:pt>
                <c:pt idx="703">
                  <c:v>7.4757376853750775E-3</c:v>
                </c:pt>
                <c:pt idx="704">
                  <c:v>7.4759582240245918E-3</c:v>
                </c:pt>
                <c:pt idx="705">
                  <c:v>7.4762076659264818E-3</c:v>
                </c:pt>
                <c:pt idx="706">
                  <c:v>7.4764825479590666E-3</c:v>
                </c:pt>
                <c:pt idx="707">
                  <c:v>7.4767771657388484E-3</c:v>
                </c:pt>
                <c:pt idx="708">
                  <c:v>7.4771043129713182E-3</c:v>
                </c:pt>
                <c:pt idx="709">
                  <c:v>7.4774311215616016E-3</c:v>
                </c:pt>
                <c:pt idx="710">
                  <c:v>7.4778181999544686E-3</c:v>
                </c:pt>
                <c:pt idx="711">
                  <c:v>7.4782345703405789E-3</c:v>
                </c:pt>
                <c:pt idx="712">
                  <c:v>7.4786121749710784E-3</c:v>
                </c:pt>
                <c:pt idx="713">
                  <c:v>7.4790135801927268E-3</c:v>
                </c:pt>
                <c:pt idx="714">
                  <c:v>7.4793828692743354E-3</c:v>
                </c:pt>
                <c:pt idx="715">
                  <c:v>7.4798320428459235E-3</c:v>
                </c:pt>
                <c:pt idx="716">
                  <c:v>7.4802960851583708E-3</c:v>
                </c:pt>
                <c:pt idx="717">
                  <c:v>7.4807512122446896E-3</c:v>
                </c:pt>
                <c:pt idx="718">
                  <c:v>7.4811991336786263E-3</c:v>
                </c:pt>
                <c:pt idx="719">
                  <c:v>7.4815666635325313E-3</c:v>
                </c:pt>
              </c:numCache>
            </c:numRef>
          </c:val>
          <c:smooth val="0"/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noFill/>
            </c:spPr>
          </c:marker>
          <c:val>
            <c:numRef>
              <c:f>Output!$AC$12:$AC$731</c:f>
              <c:numCache>
                <c:formatCode>General</c:formatCode>
                <c:ptCount val="720"/>
                <c:pt idx="0">
                  <c:v>5.0000000290000002E-4</c:v>
                </c:pt>
                <c:pt idx="1">
                  <c:v>5.0000000000000001E-4</c:v>
                </c:pt>
                <c:pt idx="2">
                  <c:v>4.999999971E-4</c:v>
                </c:pt>
                <c:pt idx="3">
                  <c:v>5.0000000000000001E-4</c:v>
                </c:pt>
                <c:pt idx="4">
                  <c:v>5.0000001080000001E-4</c:v>
                </c:pt>
                <c:pt idx="5">
                  <c:v>5.0000001639999997E-4</c:v>
                </c:pt>
                <c:pt idx="6">
                  <c:v>5.0000000000000001E-4</c:v>
                </c:pt>
                <c:pt idx="7">
                  <c:v>4.9999995770000003E-4</c:v>
                </c:pt>
                <c:pt idx="8">
                  <c:v>4.9999993739999996E-4</c:v>
                </c:pt>
                <c:pt idx="9">
                  <c:v>5.0000000000000001E-4</c:v>
                </c:pt>
                <c:pt idx="10">
                  <c:v>5.0000015850000003E-4</c:v>
                </c:pt>
                <c:pt idx="11">
                  <c:v>5.0000023410000003E-4</c:v>
                </c:pt>
                <c:pt idx="12">
                  <c:v>5.0006249999999996E-4</c:v>
                </c:pt>
                <c:pt idx="13">
                  <c:v>5.0011149119999997E-4</c:v>
                </c:pt>
                <c:pt idx="14">
                  <c:v>5.001291698E-4</c:v>
                </c:pt>
                <c:pt idx="15">
                  <c:v>5.0012397669999995E-4</c:v>
                </c:pt>
                <c:pt idx="16">
                  <c:v>5.001043531E-4</c:v>
                </c:pt>
                <c:pt idx="17">
                  <c:v>5.0007874000000002E-4</c:v>
                </c:pt>
                <c:pt idx="18">
                  <c:v>5.0005557849999997E-4</c:v>
                </c:pt>
                <c:pt idx="19">
                  <c:v>5.0004155829999999E-4</c:v>
                </c:pt>
                <c:pt idx="20">
                  <c:v>5.0003636380000003E-4</c:v>
                </c:pt>
                <c:pt idx="21">
                  <c:v>5.0003792790000005E-4</c:v>
                </c:pt>
                <c:pt idx="22">
                  <c:v>5.0004418349999997E-4</c:v>
                </c:pt>
                <c:pt idx="23">
                  <c:v>5.000530637E-4</c:v>
                </c:pt>
                <c:pt idx="24">
                  <c:v>5.000625013E-4</c:v>
                </c:pt>
                <c:pt idx="25">
                  <c:v>5.0007078979999995E-4</c:v>
                </c:pt>
                <c:pt idx="26">
                  <c:v>5.0007766430000002E-4</c:v>
                </c:pt>
                <c:pt idx="27">
                  <c:v>5.0008322030000005E-4</c:v>
                </c:pt>
                <c:pt idx="28">
                  <c:v>5.0008755350000004E-4</c:v>
                </c:pt>
                <c:pt idx="29">
                  <c:v>5.0009075940000004E-4</c:v>
                </c:pt>
                <c:pt idx="30">
                  <c:v>5.0009293350000001E-4</c:v>
                </c:pt>
                <c:pt idx="31">
                  <c:v>5.0009404559999999E-4</c:v>
                </c:pt>
                <c:pt idx="32">
                  <c:v>5.0009356240000001E-4</c:v>
                </c:pt>
                <c:pt idx="33">
                  <c:v>5.0009082480000002E-4</c:v>
                </c:pt>
                <c:pt idx="34">
                  <c:v>5.0008517369999996E-4</c:v>
                </c:pt>
                <c:pt idx="35">
                  <c:v>5.0007595E-4</c:v>
                </c:pt>
                <c:pt idx="36">
                  <c:v>5.0006249449999999E-4</c:v>
                </c:pt>
                <c:pt idx="37">
                  <c:v>5.0004457260000002E-4</c:v>
                </c:pt>
                <c:pt idx="38">
                  <c:v>5.000236473E-4</c:v>
                </c:pt>
                <c:pt idx="39">
                  <c:v>5.0000160599999999E-4</c:v>
                </c:pt>
                <c:pt idx="40">
                  <c:v>4.9998033609999996E-4</c:v>
                </c:pt>
                <c:pt idx="41">
                  <c:v>4.9996172499999997E-4</c:v>
                </c:pt>
                <c:pt idx="42">
                  <c:v>4.9994766009999999E-4</c:v>
                </c:pt>
                <c:pt idx="43">
                  <c:v>4.9994001999999996E-4</c:v>
                </c:pt>
                <c:pt idx="44">
                  <c:v>4.9994064779999999E-4</c:v>
                </c:pt>
                <c:pt idx="45">
                  <c:v>4.9995137759999999E-4</c:v>
                </c:pt>
                <c:pt idx="46">
                  <c:v>4.9997404359999995E-4</c:v>
                </c:pt>
                <c:pt idx="47">
                  <c:v>5.0001047999999998E-4</c:v>
                </c:pt>
                <c:pt idx="48">
                  <c:v>5.0006252099999999E-4</c:v>
                </c:pt>
                <c:pt idx="49">
                  <c:v>5.0013054870000004E-4</c:v>
                </c:pt>
                <c:pt idx="50">
                  <c:v>5.0020913689999996E-4</c:v>
                </c:pt>
                <c:pt idx="51">
                  <c:v>5.0029140719999999E-4</c:v>
                </c:pt>
                <c:pt idx="52">
                  <c:v>5.0037048119999997E-4</c:v>
                </c:pt>
                <c:pt idx="53">
                  <c:v>5.0043948069999997E-4</c:v>
                </c:pt>
                <c:pt idx="54">
                  <c:v>5.0049152719999995E-4</c:v>
                </c:pt>
                <c:pt idx="55">
                  <c:v>5.0051974159999999E-4</c:v>
                </c:pt>
                <c:pt idx="56">
                  <c:v>5.0051724119999999E-4</c:v>
                </c:pt>
                <c:pt idx="57">
                  <c:v>5.0047714240000003E-4</c:v>
                </c:pt>
                <c:pt idx="58">
                  <c:v>5.0039256169999999E-4</c:v>
                </c:pt>
                <c:pt idx="59">
                  <c:v>5.0025661549999996E-4</c:v>
                </c:pt>
                <c:pt idx="60">
                  <c:v>5.000624203E-4</c:v>
                </c:pt>
                <c:pt idx="61">
                  <c:v>4.9980851990000003E-4</c:v>
                </c:pt>
                <c:pt idx="62">
                  <c:v>4.9951516800000005E-4</c:v>
                </c:pt>
                <c:pt idx="63">
                  <c:v>4.9920804560000002E-4</c:v>
                </c:pt>
                <c:pt idx="64">
                  <c:v>4.989128337E-4</c:v>
                </c:pt>
                <c:pt idx="65">
                  <c:v>4.9865521349999999E-4</c:v>
                </c:pt>
                <c:pt idx="66">
                  <c:v>4.9846086579999999E-4</c:v>
                </c:pt>
                <c:pt idx="67">
                  <c:v>4.983554773E-4</c:v>
                </c:pt>
                <c:pt idx="68">
                  <c:v>4.9836475560000005E-4</c:v>
                </c:pt>
                <c:pt idx="69">
                  <c:v>4.9851441390000003E-4</c:v>
                </c:pt>
                <c:pt idx="70">
                  <c:v>4.9883016540000003E-4</c:v>
                </c:pt>
                <c:pt idx="71">
                  <c:v>4.9933772319999997E-4</c:v>
                </c:pt>
                <c:pt idx="72">
                  <c:v>5.0006280060000004E-4</c:v>
                </c:pt>
                <c:pt idx="73">
                  <c:v>5.0101083490000002E-4</c:v>
                </c:pt>
                <c:pt idx="74">
                  <c:v>5.0210616069999996E-4</c:v>
                </c:pt>
                <c:pt idx="75">
                  <c:v>5.0325283660000004E-4</c:v>
                </c:pt>
                <c:pt idx="76">
                  <c:v>5.0435492129999998E-4</c:v>
                </c:pt>
                <c:pt idx="77">
                  <c:v>5.0531647370000003E-4</c:v>
                </c:pt>
                <c:pt idx="78">
                  <c:v>5.0604155240000003E-4</c:v>
                </c:pt>
                <c:pt idx="79">
                  <c:v>5.0643425329999995E-4</c:v>
                </c:pt>
                <c:pt idx="80">
                  <c:v>5.0639882019999996E-4</c:v>
                </c:pt>
                <c:pt idx="81">
                  <c:v>5.0583953429999997E-4</c:v>
                </c:pt>
                <c:pt idx="82">
                  <c:v>5.0466067649999999E-4</c:v>
                </c:pt>
                <c:pt idx="83">
                  <c:v>5.0276652800000004E-4</c:v>
                </c:pt>
                <c:pt idx="84">
                  <c:v>5.0006136979999997E-4</c:v>
                </c:pt>
                <c:pt idx="85">
                  <c:v>4.9661774360000002E-4</c:v>
                </c:pt>
                <c:pt idx="86">
                  <c:v>4.9318123440000004E-4</c:v>
                </c:pt>
                <c:pt idx="87">
                  <c:v>4.9066568800000001E-4</c:v>
                </c:pt>
                <c:pt idx="88">
                  <c:v>4.8998494999999995E-4</c:v>
                </c:pt>
                <c:pt idx="89">
                  <c:v>4.9205286609999997E-4</c:v>
                </c:pt>
                <c:pt idx="90">
                  <c:v>4.9778328220000004E-4</c:v>
                </c:pt>
                <c:pt idx="91">
                  <c:v>5.0809120860000002E-4</c:v>
                </c:pt>
                <c:pt idx="92">
                  <c:v>5.2389631480000002E-4</c:v>
                </c:pt>
                <c:pt idx="93">
                  <c:v>5.4611943489999999E-4</c:v>
                </c:pt>
                <c:pt idx="94">
                  <c:v>5.7568140309999997E-4</c:v>
                </c:pt>
                <c:pt idx="95">
                  <c:v>6.1350305360000003E-4</c:v>
                </c:pt>
                <c:pt idx="96">
                  <c:v>6.6050522040000004E-4</c:v>
                </c:pt>
                <c:pt idx="97">
                  <c:v>7.1726938839999997E-4</c:v>
                </c:pt>
                <c:pt idx="98">
                  <c:v>7.8301964399999995E-4</c:v>
                </c:pt>
                <c:pt idx="99">
                  <c:v>8.5664072450000002E-4</c:v>
                </c:pt>
                <c:pt idx="100">
                  <c:v>9.3701736680000005E-4</c:v>
                </c:pt>
                <c:pt idx="101">
                  <c:v>1.023034308E-3</c:v>
                </c:pt>
                <c:pt idx="102">
                  <c:v>1.113576286E-3</c:v>
                </c:pt>
                <c:pt idx="103">
                  <c:v>1.207524311E-3</c:v>
                </c:pt>
                <c:pt idx="104">
                  <c:v>1.3037444950000001E-3</c:v>
                </c:pt>
                <c:pt idx="105">
                  <c:v>1.401099223E-3</c:v>
                </c:pt>
                <c:pt idx="106">
                  <c:v>1.4984508810000001E-3</c:v>
                </c:pt>
                <c:pt idx="107">
                  <c:v>1.5946618530000001E-3</c:v>
                </c:pt>
                <c:pt idx="108">
                  <c:v>1.6885945259999999E-3</c:v>
                </c:pt>
                <c:pt idx="109">
                  <c:v>1.779327669E-3</c:v>
                </c:pt>
                <c:pt idx="110">
                  <c:v>1.8668055890000001E-3</c:v>
                </c:pt>
                <c:pt idx="111">
                  <c:v>1.951188975E-3</c:v>
                </c:pt>
                <c:pt idx="112">
                  <c:v>2.0326385199999999E-3</c:v>
                </c:pt>
                <c:pt idx="113">
                  <c:v>2.1113149129999998E-3</c:v>
                </c:pt>
                <c:pt idx="114">
                  <c:v>2.1873788459999999E-3</c:v>
                </c:pt>
                <c:pt idx="115">
                  <c:v>2.2609919879999999E-3</c:v>
                </c:pt>
                <c:pt idx="116">
                  <c:v>2.332319927E-3</c:v>
                </c:pt>
                <c:pt idx="117">
                  <c:v>2.4015292279999999E-3</c:v>
                </c:pt>
                <c:pt idx="118">
                  <c:v>2.4687864590000001E-3</c:v>
                </c:pt>
                <c:pt idx="119">
                  <c:v>2.5342581859999999E-3</c:v>
                </c:pt>
                <c:pt idx="120">
                  <c:v>2.5981109739999998E-3</c:v>
                </c:pt>
                <c:pt idx="121">
                  <c:v>2.6605188710000002E-3</c:v>
                </c:pt>
                <c:pt idx="122">
                  <c:v>2.7216858369999999E-3</c:v>
                </c:pt>
                <c:pt idx="123">
                  <c:v>2.7818233150000002E-3</c:v>
                </c:pt>
                <c:pt idx="124">
                  <c:v>2.8411427460000001E-3</c:v>
                </c:pt>
                <c:pt idx="125">
                  <c:v>2.8998555710000001E-3</c:v>
                </c:pt>
                <c:pt idx="126">
                  <c:v>2.9581732320000001E-3</c:v>
                </c:pt>
                <c:pt idx="127">
                  <c:v>3.0163078469999998E-3</c:v>
                </c:pt>
                <c:pt idx="128">
                  <c:v>3.0744742460000001E-3</c:v>
                </c:pt>
                <c:pt idx="129">
                  <c:v>3.1328879340000002E-3</c:v>
                </c:pt>
                <c:pt idx="130">
                  <c:v>3.1917644190000002E-3</c:v>
                </c:pt>
                <c:pt idx="131">
                  <c:v>3.251319206E-3</c:v>
                </c:pt>
                <c:pt idx="132">
                  <c:v>3.311767801E-3</c:v>
                </c:pt>
                <c:pt idx="133">
                  <c:v>3.3732362710000002E-3</c:v>
                </c:pt>
                <c:pt idx="134">
                  <c:v>3.4354929159999999E-3</c:v>
                </c:pt>
                <c:pt idx="135">
                  <c:v>3.498216598E-3</c:v>
                </c:pt>
                <c:pt idx="136">
                  <c:v>3.5610861769999999E-3</c:v>
                </c:pt>
                <c:pt idx="137">
                  <c:v>3.6237805150000002E-3</c:v>
                </c:pt>
                <c:pt idx="138">
                  <c:v>3.6859784720000002E-3</c:v>
                </c:pt>
                <c:pt idx="139">
                  <c:v>3.7473577770000001E-3</c:v>
                </c:pt>
                <c:pt idx="140">
                  <c:v>3.807591638E-3</c:v>
                </c:pt>
                <c:pt idx="141">
                  <c:v>3.8663521269999999E-3</c:v>
                </c:pt>
                <c:pt idx="142">
                  <c:v>3.9233113189999997E-3</c:v>
                </c:pt>
                <c:pt idx="143">
                  <c:v>3.9781412879999999E-3</c:v>
                </c:pt>
                <c:pt idx="144">
                  <c:v>4.0305141100000002E-3</c:v>
                </c:pt>
                <c:pt idx="145">
                  <c:v>4.0802033210000001E-3</c:v>
                </c:pt>
                <c:pt idx="146">
                  <c:v>4.1273883090000001E-3</c:v>
                </c:pt>
                <c:pt idx="147">
                  <c:v>4.1723499249999999E-3</c:v>
                </c:pt>
                <c:pt idx="148">
                  <c:v>4.21536902E-3</c:v>
                </c:pt>
                <c:pt idx="149">
                  <c:v>4.2567264439999997E-3</c:v>
                </c:pt>
                <c:pt idx="150">
                  <c:v>4.296703049E-3</c:v>
                </c:pt>
                <c:pt idx="151">
                  <c:v>4.3355804669999998E-3</c:v>
                </c:pt>
                <c:pt idx="152">
                  <c:v>4.3736434599999999E-3</c:v>
                </c:pt>
                <c:pt idx="153">
                  <c:v>4.4111775690000004E-3</c:v>
                </c:pt>
                <c:pt idx="154">
                  <c:v>4.4484683380000001E-3</c:v>
                </c:pt>
                <c:pt idx="155">
                  <c:v>4.4858013099999998E-3</c:v>
                </c:pt>
                <c:pt idx="156">
                  <c:v>4.5234620270000001E-3</c:v>
                </c:pt>
                <c:pt idx="157">
                  <c:v>4.5616866070000003E-3</c:v>
                </c:pt>
                <c:pt idx="158">
                  <c:v>4.6005134680000004E-3</c:v>
                </c:pt>
                <c:pt idx="159">
                  <c:v>4.6399316000000001E-3</c:v>
                </c:pt>
                <c:pt idx="160">
                  <c:v>4.6799299950000001E-3</c:v>
                </c:pt>
                <c:pt idx="161">
                  <c:v>4.7204976459999997E-3</c:v>
                </c:pt>
                <c:pt idx="162">
                  <c:v>4.761623544E-3</c:v>
                </c:pt>
                <c:pt idx="163">
                  <c:v>4.8032966840000002E-3</c:v>
                </c:pt>
                <c:pt idx="164">
                  <c:v>4.8455060810000004E-3</c:v>
                </c:pt>
                <c:pt idx="165">
                  <c:v>4.8882407510000003E-3</c:v>
                </c:pt>
                <c:pt idx="166">
                  <c:v>4.9314897119999996E-3</c:v>
                </c:pt>
                <c:pt idx="167">
                  <c:v>4.975241981E-3</c:v>
                </c:pt>
                <c:pt idx="168">
                  <c:v>5.0194865769999999E-3</c:v>
                </c:pt>
                <c:pt idx="169">
                  <c:v>5.0641743779999996E-3</c:v>
                </c:pt>
                <c:pt idx="170">
                  <c:v>5.109103714E-3</c:v>
                </c:pt>
                <c:pt idx="171">
                  <c:v>5.154034775E-3</c:v>
                </c:pt>
                <c:pt idx="172">
                  <c:v>5.1987277530000002E-3</c:v>
                </c:pt>
                <c:pt idx="173">
                  <c:v>5.2429428390000001E-3</c:v>
                </c:pt>
                <c:pt idx="174">
                  <c:v>5.2864402239999999E-3</c:v>
                </c:pt>
                <c:pt idx="175">
                  <c:v>5.328979381E-3</c:v>
                </c:pt>
                <c:pt idx="176">
                  <c:v>5.3703169079999998E-3</c:v>
                </c:pt>
                <c:pt idx="177">
                  <c:v>5.4102086860000004E-3</c:v>
                </c:pt>
                <c:pt idx="178">
                  <c:v>5.4484105960000001E-3</c:v>
                </c:pt>
                <c:pt idx="179">
                  <c:v>5.4846785180000003E-3</c:v>
                </c:pt>
                <c:pt idx="180">
                  <c:v>5.5187683330000003E-3</c:v>
                </c:pt>
                <c:pt idx="181">
                  <c:v>5.5505191039999999E-3</c:v>
                </c:pt>
                <c:pt idx="182">
                  <c:v>5.5801026249999996E-3</c:v>
                </c:pt>
                <c:pt idx="183">
                  <c:v>5.6077738719999999E-3</c:v>
                </c:pt>
                <c:pt idx="184">
                  <c:v>5.6337878219999997E-3</c:v>
                </c:pt>
                <c:pt idx="185">
                  <c:v>5.6583994519999996E-3</c:v>
                </c:pt>
                <c:pt idx="186">
                  <c:v>5.6818637369999998E-3</c:v>
                </c:pt>
                <c:pt idx="187">
                  <c:v>5.7044362200000002E-3</c:v>
                </c:pt>
                <c:pt idx="188">
                  <c:v>5.7263746969999996E-3</c:v>
                </c:pt>
                <c:pt idx="189">
                  <c:v>5.7479375309999999E-3</c:v>
                </c:pt>
                <c:pt idx="190">
                  <c:v>5.7693830850000004E-3</c:v>
                </c:pt>
                <c:pt idx="191">
                  <c:v>5.7909697199999997E-3</c:v>
                </c:pt>
                <c:pt idx="192">
                  <c:v>5.8129557980000001E-3</c:v>
                </c:pt>
                <c:pt idx="193">
                  <c:v>5.8355458269999999E-3</c:v>
                </c:pt>
                <c:pt idx="194">
                  <c:v>5.8587288899999996E-3</c:v>
                </c:pt>
                <c:pt idx="195">
                  <c:v>5.8824402149999996E-3</c:v>
                </c:pt>
                <c:pt idx="196">
                  <c:v>5.9066150300000004E-3</c:v>
                </c:pt>
                <c:pt idx="197">
                  <c:v>5.9311885639999999E-3</c:v>
                </c:pt>
                <c:pt idx="198">
                  <c:v>5.9560960450000004E-3</c:v>
                </c:pt>
                <c:pt idx="199">
                  <c:v>5.9812725470000001E-3</c:v>
                </c:pt>
                <c:pt idx="200">
                  <c:v>6.0066525270000004E-3</c:v>
                </c:pt>
                <c:pt idx="201">
                  <c:v>6.0321702899999996E-3</c:v>
                </c:pt>
                <c:pt idx="202">
                  <c:v>6.05776014E-3</c:v>
                </c:pt>
                <c:pt idx="203">
                  <c:v>6.0833563789999996E-3</c:v>
                </c:pt>
                <c:pt idx="204">
                  <c:v>6.1088933140000003E-3</c:v>
                </c:pt>
                <c:pt idx="205">
                  <c:v>6.1343167059999997E-3</c:v>
                </c:pt>
                <c:pt idx="206">
                  <c:v>6.1596181610000002E-3</c:v>
                </c:pt>
                <c:pt idx="207">
                  <c:v>6.1848007460000003E-3</c:v>
                </c:pt>
                <c:pt idx="208">
                  <c:v>6.2098675239999996E-3</c:v>
                </c:pt>
                <c:pt idx="209">
                  <c:v>6.2348215609999997E-3</c:v>
                </c:pt>
                <c:pt idx="210">
                  <c:v>6.2596659230000004E-3</c:v>
                </c:pt>
                <c:pt idx="211">
                  <c:v>6.2844036850000003E-3</c:v>
                </c:pt>
                <c:pt idx="212">
                  <c:v>6.3090379599999996E-3</c:v>
                </c:pt>
                <c:pt idx="213">
                  <c:v>6.3335718699999996E-3</c:v>
                </c:pt>
                <c:pt idx="214">
                  <c:v>6.3580085399999996E-3</c:v>
                </c:pt>
                <c:pt idx="215">
                  <c:v>6.3823510920000001E-3</c:v>
                </c:pt>
                <c:pt idx="216">
                  <c:v>6.40660265E-3</c:v>
                </c:pt>
                <c:pt idx="217">
                  <c:v>6.4307747450000003E-3</c:v>
                </c:pt>
                <c:pt idx="218">
                  <c:v>6.4549125499999997E-3</c:v>
                </c:pt>
                <c:pt idx="219">
                  <c:v>6.4790696439999997E-3</c:v>
                </c:pt>
                <c:pt idx="220">
                  <c:v>6.5032996079999999E-3</c:v>
                </c:pt>
                <c:pt idx="221">
                  <c:v>6.5276560219999996E-3</c:v>
                </c:pt>
                <c:pt idx="222">
                  <c:v>6.5521924670000004E-3</c:v>
                </c:pt>
                <c:pt idx="223">
                  <c:v>6.5769627009999998E-3</c:v>
                </c:pt>
                <c:pt idx="224">
                  <c:v>6.6020211879999997E-3</c:v>
                </c:pt>
                <c:pt idx="225">
                  <c:v>6.6274225689999999E-3</c:v>
                </c:pt>
                <c:pt idx="226">
                  <c:v>6.6532214870000002E-3</c:v>
                </c:pt>
                <c:pt idx="227">
                  <c:v>6.6794725839999999E-3</c:v>
                </c:pt>
                <c:pt idx="228">
                  <c:v>6.7062305009999998E-3</c:v>
                </c:pt>
                <c:pt idx="229">
                  <c:v>6.7335042729999997E-3</c:v>
                </c:pt>
                <c:pt idx="230">
                  <c:v>6.7611205080000004E-3</c:v>
                </c:pt>
                <c:pt idx="231">
                  <c:v>6.7888602070000003E-3</c:v>
                </c:pt>
                <c:pt idx="232">
                  <c:v>6.8165043720000004E-3</c:v>
                </c:pt>
                <c:pt idx="233">
                  <c:v>6.843834004E-3</c:v>
                </c:pt>
                <c:pt idx="234">
                  <c:v>6.870630103E-3</c:v>
                </c:pt>
                <c:pt idx="235">
                  <c:v>6.8966730920000004E-3</c:v>
                </c:pt>
                <c:pt idx="236">
                  <c:v>6.9217410720000001E-3</c:v>
                </c:pt>
                <c:pt idx="237">
                  <c:v>6.9456115660000003E-3</c:v>
                </c:pt>
                <c:pt idx="238">
                  <c:v>6.9680620960000002E-3</c:v>
                </c:pt>
                <c:pt idx="239">
                  <c:v>6.9888701859999996E-3</c:v>
                </c:pt>
                <c:pt idx="240">
                  <c:v>7.0078133569999998E-3</c:v>
                </c:pt>
                <c:pt idx="241">
                  <c:v>7.0247428319999998E-3</c:v>
                </c:pt>
                <c:pt idx="242">
                  <c:v>7.0398046420000002E-3</c:v>
                </c:pt>
                <c:pt idx="243">
                  <c:v>7.0532185159999997E-3</c:v>
                </c:pt>
                <c:pt idx="244">
                  <c:v>7.065204185E-3</c:v>
                </c:pt>
                <c:pt idx="245">
                  <c:v>7.0759813779999996E-3</c:v>
                </c:pt>
                <c:pt idx="246">
                  <c:v>7.0857698270000002E-3</c:v>
                </c:pt>
                <c:pt idx="247">
                  <c:v>7.0947896259999999E-3</c:v>
                </c:pt>
                <c:pt idx="248">
                  <c:v>7.1032623360000003E-3</c:v>
                </c:pt>
                <c:pt idx="249">
                  <c:v>7.1114098819999999E-3</c:v>
                </c:pt>
                <c:pt idx="250">
                  <c:v>7.1194541869999996E-3</c:v>
                </c:pt>
                <c:pt idx="251">
                  <c:v>7.1276171789999999E-3</c:v>
                </c:pt>
                <c:pt idx="252">
                  <c:v>7.1361207810000001E-3</c:v>
                </c:pt>
                <c:pt idx="253">
                  <c:v>7.1451405870000002E-3</c:v>
                </c:pt>
                <c:pt idx="254">
                  <c:v>7.1546668690000001E-3</c:v>
                </c:pt>
                <c:pt idx="255">
                  <c:v>7.1646435660000004E-3</c:v>
                </c:pt>
                <c:pt idx="256">
                  <c:v>7.1750146170000001E-3</c:v>
                </c:pt>
                <c:pt idx="257">
                  <c:v>7.1857239629999998E-3</c:v>
                </c:pt>
                <c:pt idx="258">
                  <c:v>7.1967155430000002E-3</c:v>
                </c:pt>
                <c:pt idx="259">
                  <c:v>7.2079332050000002E-3</c:v>
                </c:pt>
                <c:pt idx="260">
                  <c:v>7.2193204360000004E-3</c:v>
                </c:pt>
                <c:pt idx="261">
                  <c:v>7.2308206270000003E-3</c:v>
                </c:pt>
                <c:pt idx="262">
                  <c:v>7.2423771739999997E-3</c:v>
                </c:pt>
                <c:pt idx="263">
                  <c:v>7.253933469E-3</c:v>
                </c:pt>
                <c:pt idx="264">
                  <c:v>7.2654329060000003E-3</c:v>
                </c:pt>
                <c:pt idx="265">
                  <c:v>7.2768288670000004E-3</c:v>
                </c:pt>
                <c:pt idx="266">
                  <c:v>7.2881146879999999E-3</c:v>
                </c:pt>
                <c:pt idx="267">
                  <c:v>7.2992936919999999E-3</c:v>
                </c:pt>
                <c:pt idx="268">
                  <c:v>7.3103692019999998E-3</c:v>
                </c:pt>
                <c:pt idx="269">
                  <c:v>7.3213445409999996E-3</c:v>
                </c:pt>
                <c:pt idx="270">
                  <c:v>7.3322230320000004E-3</c:v>
                </c:pt>
                <c:pt idx="271">
                  <c:v>7.3430080079999998E-3</c:v>
                </c:pt>
                <c:pt idx="272">
                  <c:v>7.3537028329999999E-3</c:v>
                </c:pt>
                <c:pt idx="273">
                  <c:v>7.3643108799999997E-3</c:v>
                </c:pt>
                <c:pt idx="274">
                  <c:v>7.3748355229999998E-3</c:v>
                </c:pt>
                <c:pt idx="275">
                  <c:v>7.385280133E-3</c:v>
                </c:pt>
                <c:pt idx="276">
                  <c:v>7.395648084E-3</c:v>
                </c:pt>
                <c:pt idx="277">
                  <c:v>7.4059493820000004E-3</c:v>
                </c:pt>
                <c:pt idx="278">
                  <c:v>7.4162205570000002E-3</c:v>
                </c:pt>
                <c:pt idx="279">
                  <c:v>7.4265047739999999E-3</c:v>
                </c:pt>
                <c:pt idx="280">
                  <c:v>7.4368451949999997E-3</c:v>
                </c:pt>
                <c:pt idx="281">
                  <c:v>7.4472849850000002E-3</c:v>
                </c:pt>
                <c:pt idx="282">
                  <c:v>7.4578673059999996E-3</c:v>
                </c:pt>
                <c:pt idx="283">
                  <c:v>7.468635425E-3</c:v>
                </c:pt>
                <c:pt idx="284">
                  <c:v>7.4796330089999998E-3</c:v>
                </c:pt>
                <c:pt idx="285">
                  <c:v>7.4909038289999999E-3</c:v>
                </c:pt>
                <c:pt idx="286">
                  <c:v>7.5024916549999996E-3</c:v>
                </c:pt>
                <c:pt idx="287">
                  <c:v>7.5144402590000001E-3</c:v>
                </c:pt>
                <c:pt idx="288">
                  <c:v>7.526793409E-3</c:v>
                </c:pt>
                <c:pt idx="289">
                  <c:v>7.5395580370000003E-3</c:v>
                </c:pt>
                <c:pt idx="290">
                  <c:v>7.5525937140000004E-3</c:v>
                </c:pt>
                <c:pt idx="291">
                  <c:v>7.5657231700000001E-3</c:v>
                </c:pt>
                <c:pt idx="292">
                  <c:v>7.5787691349999999E-3</c:v>
                </c:pt>
                <c:pt idx="293">
                  <c:v>7.5915543419999999E-3</c:v>
                </c:pt>
                <c:pt idx="294">
                  <c:v>7.6039015200000002E-3</c:v>
                </c:pt>
                <c:pt idx="295">
                  <c:v>7.6156330990000002E-3</c:v>
                </c:pt>
                <c:pt idx="296">
                  <c:v>7.6265702990000002E-3</c:v>
                </c:pt>
                <c:pt idx="297">
                  <c:v>7.6365340369999998E-3</c:v>
                </c:pt>
                <c:pt idx="298">
                  <c:v>7.6453452340000004E-3</c:v>
                </c:pt>
                <c:pt idx="299">
                  <c:v>7.6528248069999997E-3</c:v>
                </c:pt>
                <c:pt idx="300">
                  <c:v>7.6587936739999996E-3</c:v>
                </c:pt>
                <c:pt idx="301">
                  <c:v>7.6631323939999997E-3</c:v>
                </c:pt>
                <c:pt idx="302">
                  <c:v>7.6659600830000004E-3</c:v>
                </c:pt>
                <c:pt idx="303">
                  <c:v>7.6674555010000003E-3</c:v>
                </c:pt>
                <c:pt idx="304">
                  <c:v>7.6677974030000002E-3</c:v>
                </c:pt>
                <c:pt idx="305">
                  <c:v>7.6671645460000002E-3</c:v>
                </c:pt>
                <c:pt idx="306">
                  <c:v>7.6657356890000002E-3</c:v>
                </c:pt>
                <c:pt idx="307">
                  <c:v>7.6636897100000002E-3</c:v>
                </c:pt>
                <c:pt idx="308">
                  <c:v>7.6612059749999999E-3</c:v>
                </c:pt>
                <c:pt idx="309">
                  <c:v>7.6584639720000004E-3</c:v>
                </c:pt>
                <c:pt idx="310">
                  <c:v>7.6556431900000003E-3</c:v>
                </c:pt>
                <c:pt idx="311">
                  <c:v>7.6529231149999998E-3</c:v>
                </c:pt>
                <c:pt idx="312">
                  <c:v>7.6504832360000004E-3</c:v>
                </c:pt>
                <c:pt idx="313">
                  <c:v>7.6484651070000001E-3</c:v>
                </c:pt>
                <c:pt idx="314">
                  <c:v>7.6468585450000003E-3</c:v>
                </c:pt>
                <c:pt idx="315">
                  <c:v>7.6456154330000001E-3</c:v>
                </c:pt>
                <c:pt idx="316">
                  <c:v>7.6446876539999998E-3</c:v>
                </c:pt>
                <c:pt idx="317">
                  <c:v>7.6440270899999999E-3</c:v>
                </c:pt>
                <c:pt idx="318">
                  <c:v>7.6435856250000002E-3</c:v>
                </c:pt>
                <c:pt idx="319">
                  <c:v>7.6433151199999999E-3</c:v>
                </c:pt>
                <c:pt idx="320">
                  <c:v>7.6431673450000001E-3</c:v>
                </c:pt>
                <c:pt idx="321">
                  <c:v>7.6430940500000003E-3</c:v>
                </c:pt>
                <c:pt idx="322">
                  <c:v>7.6430469809999997E-3</c:v>
                </c:pt>
                <c:pt idx="323">
                  <c:v>7.6429778889999999E-3</c:v>
                </c:pt>
                <c:pt idx="324">
                  <c:v>7.642838521E-3</c:v>
                </c:pt>
                <c:pt idx="325">
                  <c:v>7.6425908139999997E-3</c:v>
                </c:pt>
                <c:pt idx="326">
                  <c:v>7.6422374499999996E-3</c:v>
                </c:pt>
                <c:pt idx="327">
                  <c:v>7.6417913010000003E-3</c:v>
                </c:pt>
                <c:pt idx="328">
                  <c:v>7.6412652380000003E-3</c:v>
                </c:pt>
                <c:pt idx="329">
                  <c:v>7.6406721310000002E-3</c:v>
                </c:pt>
                <c:pt idx="330">
                  <c:v>7.6400248510000001E-3</c:v>
                </c:pt>
                <c:pt idx="331">
                  <c:v>7.6393362799999998E-3</c:v>
                </c:pt>
                <c:pt idx="332">
                  <c:v>7.6386193359999997E-3</c:v>
                </c:pt>
                <c:pt idx="333">
                  <c:v>7.6378869499999997E-3</c:v>
                </c:pt>
                <c:pt idx="334">
                  <c:v>7.6371520500000002E-3</c:v>
                </c:pt>
                <c:pt idx="335">
                  <c:v>7.6364275670000002E-3</c:v>
                </c:pt>
                <c:pt idx="336">
                  <c:v>7.6357264299999998E-3</c:v>
                </c:pt>
                <c:pt idx="337">
                  <c:v>7.6350588309999998E-3</c:v>
                </c:pt>
                <c:pt idx="338">
                  <c:v>7.6344240090000003E-3</c:v>
                </c:pt>
                <c:pt idx="339">
                  <c:v>7.6338184660000004E-3</c:v>
                </c:pt>
                <c:pt idx="340">
                  <c:v>7.6332387049999999E-3</c:v>
                </c:pt>
                <c:pt idx="341">
                  <c:v>7.6326812250000001E-3</c:v>
                </c:pt>
                <c:pt idx="342">
                  <c:v>7.6321425300000002E-3</c:v>
                </c:pt>
                <c:pt idx="343">
                  <c:v>7.631619119E-3</c:v>
                </c:pt>
                <c:pt idx="344">
                  <c:v>7.6311074839999996E-3</c:v>
                </c:pt>
                <c:pt idx="345">
                  <c:v>7.6306041139999996E-3</c:v>
                </c:pt>
                <c:pt idx="346">
                  <c:v>7.630105501E-3</c:v>
                </c:pt>
                <c:pt idx="347">
                  <c:v>7.6296081330000003E-3</c:v>
                </c:pt>
                <c:pt idx="348">
                  <c:v>7.6291085010000001E-3</c:v>
                </c:pt>
                <c:pt idx="349">
                  <c:v>7.628603831E-3</c:v>
                </c:pt>
                <c:pt idx="350">
                  <c:v>7.6280942930000003E-3</c:v>
                </c:pt>
                <c:pt idx="351">
                  <c:v>7.6275807940000004E-3</c:v>
                </c:pt>
                <c:pt idx="352">
                  <c:v>7.6270642409999997E-3</c:v>
                </c:pt>
                <c:pt idx="353">
                  <c:v>7.6265455390000002E-3</c:v>
                </c:pt>
                <c:pt idx="354">
                  <c:v>7.6260255949999996E-3</c:v>
                </c:pt>
                <c:pt idx="355">
                  <c:v>7.6255053179999999E-3</c:v>
                </c:pt>
                <c:pt idx="356">
                  <c:v>7.6249856169999996E-3</c:v>
                </c:pt>
                <c:pt idx="357">
                  <c:v>7.6244674060000003E-3</c:v>
                </c:pt>
                <c:pt idx="358">
                  <c:v>7.6239515959999997E-3</c:v>
                </c:pt>
                <c:pt idx="359">
                  <c:v>7.6234390999999997E-3</c:v>
                </c:pt>
                <c:pt idx="360">
                  <c:v>7.6229308300000001E-3</c:v>
                </c:pt>
                <c:pt idx="361">
                  <c:v>7.6224275019999999E-3</c:v>
                </c:pt>
                <c:pt idx="362">
                  <c:v>7.6219290380000002E-3</c:v>
                </c:pt>
                <c:pt idx="363">
                  <c:v>7.6214351680000004E-3</c:v>
                </c:pt>
                <c:pt idx="364">
                  <c:v>7.6209456179999998E-3</c:v>
                </c:pt>
                <c:pt idx="365">
                  <c:v>7.6204601140000003E-3</c:v>
                </c:pt>
                <c:pt idx="366">
                  <c:v>7.6199783859999997E-3</c:v>
                </c:pt>
                <c:pt idx="367">
                  <c:v>7.6195001590000002E-3</c:v>
                </c:pt>
                <c:pt idx="368">
                  <c:v>7.619025162E-3</c:v>
                </c:pt>
                <c:pt idx="369">
                  <c:v>7.6185531210000001E-3</c:v>
                </c:pt>
                <c:pt idx="370">
                  <c:v>7.6180837650000003E-3</c:v>
                </c:pt>
                <c:pt idx="371">
                  <c:v>7.6176168210000004E-3</c:v>
                </c:pt>
                <c:pt idx="372">
                  <c:v>7.6171520160000002E-3</c:v>
                </c:pt>
                <c:pt idx="373">
                  <c:v>7.6166891319999997E-3</c:v>
                </c:pt>
                <c:pt idx="374">
                  <c:v>7.6162281620000003E-3</c:v>
                </c:pt>
                <c:pt idx="375">
                  <c:v>7.6157691550000003E-3</c:v>
                </c:pt>
                <c:pt idx="376">
                  <c:v>7.6153121580000002E-3</c:v>
                </c:pt>
                <c:pt idx="377">
                  <c:v>7.6148572189999996E-3</c:v>
                </c:pt>
                <c:pt idx="378">
                  <c:v>7.6144043860000002E-3</c:v>
                </c:pt>
                <c:pt idx="379">
                  <c:v>7.6139537069999999E-3</c:v>
                </c:pt>
                <c:pt idx="380">
                  <c:v>7.6135052300000004E-3</c:v>
                </c:pt>
                <c:pt idx="381">
                  <c:v>7.6130590060000001E-3</c:v>
                </c:pt>
                <c:pt idx="382">
                  <c:v>7.6126150829999998E-3</c:v>
                </c:pt>
                <c:pt idx="383">
                  <c:v>7.6121735100000004E-3</c:v>
                </c:pt>
                <c:pt idx="384">
                  <c:v>7.6117343370000002E-3</c:v>
                </c:pt>
                <c:pt idx="385">
                  <c:v>7.6112975990000001E-3</c:v>
                </c:pt>
                <c:pt idx="386">
                  <c:v>7.610863275E-3</c:v>
                </c:pt>
                <c:pt idx="387">
                  <c:v>7.610431329E-3</c:v>
                </c:pt>
                <c:pt idx="388">
                  <c:v>7.610001727E-3</c:v>
                </c:pt>
                <c:pt idx="389">
                  <c:v>7.609574432E-3</c:v>
                </c:pt>
                <c:pt idx="390">
                  <c:v>7.6091494089999996E-3</c:v>
                </c:pt>
                <c:pt idx="391">
                  <c:v>7.6087266239999998E-3</c:v>
                </c:pt>
                <c:pt idx="392">
                  <c:v>7.6083060409999998E-3</c:v>
                </c:pt>
                <c:pt idx="393">
                  <c:v>7.6078876259999999E-3</c:v>
                </c:pt>
                <c:pt idx="394">
                  <c:v>7.6074713450000001E-3</c:v>
                </c:pt>
                <c:pt idx="395">
                  <c:v>7.6070571639999997E-3</c:v>
                </c:pt>
                <c:pt idx="396">
                  <c:v>7.6066450480000002E-3</c:v>
                </c:pt>
                <c:pt idx="397">
                  <c:v>7.6062349660000004E-3</c:v>
                </c:pt>
                <c:pt idx="398">
                  <c:v>7.6058269049999998E-3</c:v>
                </c:pt>
                <c:pt idx="399">
                  <c:v>7.6054208530000004E-3</c:v>
                </c:pt>
                <c:pt idx="400">
                  <c:v>7.6050168009999999E-3</c:v>
                </c:pt>
                <c:pt idx="401">
                  <c:v>7.6046147379999996E-3</c:v>
                </c:pt>
                <c:pt idx="402">
                  <c:v>7.6042146530000002E-3</c:v>
                </c:pt>
                <c:pt idx="403">
                  <c:v>7.6038165370000002E-3</c:v>
                </c:pt>
                <c:pt idx="404">
                  <c:v>7.6034203790000003E-3</c:v>
                </c:pt>
                <c:pt idx="405">
                  <c:v>7.6030261710000003E-3</c:v>
                </c:pt>
                <c:pt idx="406">
                  <c:v>7.6026339030000004E-3</c:v>
                </c:pt>
                <c:pt idx="407">
                  <c:v>7.6022435640000002E-3</c:v>
                </c:pt>
                <c:pt idx="408">
                  <c:v>7.6018551470000001E-3</c:v>
                </c:pt>
                <c:pt idx="409">
                  <c:v>7.6014686400000002E-3</c:v>
                </c:pt>
                <c:pt idx="410">
                  <c:v>7.6010840289999996E-3</c:v>
                </c:pt>
                <c:pt idx="411">
                  <c:v>7.6007012989999997E-3</c:v>
                </c:pt>
                <c:pt idx="412">
                  <c:v>7.6003204370000002E-3</c:v>
                </c:pt>
                <c:pt idx="413">
                  <c:v>7.5999414259999998E-3</c:v>
                </c:pt>
                <c:pt idx="414">
                  <c:v>7.5995642520000004E-3</c:v>
                </c:pt>
                <c:pt idx="415">
                  <c:v>7.5991888999999996E-3</c:v>
                </c:pt>
                <c:pt idx="416">
                  <c:v>7.5988153560000004E-3</c:v>
                </c:pt>
                <c:pt idx="417">
                  <c:v>7.5984436049999996E-3</c:v>
                </c:pt>
                <c:pt idx="418">
                  <c:v>7.598073635E-3</c:v>
                </c:pt>
                <c:pt idx="419">
                  <c:v>7.5977054299999998E-3</c:v>
                </c:pt>
                <c:pt idx="420">
                  <c:v>7.5973389770000004E-3</c:v>
                </c:pt>
                <c:pt idx="421">
                  <c:v>7.5969742609999997E-3</c:v>
                </c:pt>
                <c:pt idx="422">
                  <c:v>7.5966112709999999E-3</c:v>
                </c:pt>
                <c:pt idx="423">
                  <c:v>7.5962499950000002E-3</c:v>
                </c:pt>
                <c:pt idx="424">
                  <c:v>7.5958904209999997E-3</c:v>
                </c:pt>
                <c:pt idx="425">
                  <c:v>7.5955325370000003E-3</c:v>
                </c:pt>
                <c:pt idx="426">
                  <c:v>7.5951763330000003E-3</c:v>
                </c:pt>
                <c:pt idx="427">
                  <c:v>7.5948217949999997E-3</c:v>
                </c:pt>
                <c:pt idx="428">
                  <c:v>7.5944689130000003E-3</c:v>
                </c:pt>
                <c:pt idx="429">
                  <c:v>7.594117676E-3</c:v>
                </c:pt>
                <c:pt idx="430">
                  <c:v>7.593768073E-3</c:v>
                </c:pt>
                <c:pt idx="431">
                  <c:v>7.5934200919999997E-3</c:v>
                </c:pt>
                <c:pt idx="432">
                  <c:v>7.5930737229999998E-3</c:v>
                </c:pt>
                <c:pt idx="433">
                  <c:v>7.5927289550000001E-3</c:v>
                </c:pt>
                <c:pt idx="434">
                  <c:v>7.5923857759999996E-3</c:v>
                </c:pt>
                <c:pt idx="435">
                  <c:v>7.5920441760000002E-3</c:v>
                </c:pt>
                <c:pt idx="436">
                  <c:v>7.5917041439999998E-3</c:v>
                </c:pt>
                <c:pt idx="437">
                  <c:v>7.591365668E-3</c:v>
                </c:pt>
                <c:pt idx="438">
                  <c:v>7.5910287389999997E-3</c:v>
                </c:pt>
                <c:pt idx="439">
                  <c:v>7.5906933449999998E-3</c:v>
                </c:pt>
                <c:pt idx="440">
                  <c:v>7.5903594760000003E-3</c:v>
                </c:pt>
                <c:pt idx="441">
                  <c:v>7.590027121E-3</c:v>
                </c:pt>
                <c:pt idx="442">
                  <c:v>7.5896962699999997E-3</c:v>
                </c:pt>
                <c:pt idx="443">
                  <c:v>7.589366914E-3</c:v>
                </c:pt>
                <c:pt idx="444">
                  <c:v>7.5890390400000004E-3</c:v>
                </c:pt>
                <c:pt idx="445">
                  <c:v>7.5887126400000001E-3</c:v>
                </c:pt>
                <c:pt idx="446">
                  <c:v>7.588387704E-3</c:v>
                </c:pt>
                <c:pt idx="447">
                  <c:v>7.5880642209999998E-3</c:v>
                </c:pt>
                <c:pt idx="448">
                  <c:v>7.5877421830000003E-3</c:v>
                </c:pt>
                <c:pt idx="449">
                  <c:v>7.5874215790000003E-3</c:v>
                </c:pt>
                <c:pt idx="450">
                  <c:v>7.5871024000000002E-3</c:v>
                </c:pt>
                <c:pt idx="451">
                  <c:v>7.5867846360000001E-3</c:v>
                </c:pt>
                <c:pt idx="452">
                  <c:v>7.586468279E-3</c:v>
                </c:pt>
                <c:pt idx="453">
                  <c:v>7.5861533179999996E-3</c:v>
                </c:pt>
                <c:pt idx="454">
                  <c:v>7.5858397440000001E-3</c:v>
                </c:pt>
                <c:pt idx="455">
                  <c:v>7.5855275500000003E-3</c:v>
                </c:pt>
                <c:pt idx="456">
                  <c:v>7.5852167240000002E-3</c:v>
                </c:pt>
                <c:pt idx="457">
                  <c:v>7.5849072590000004E-3</c:v>
                </c:pt>
                <c:pt idx="458">
                  <c:v>7.5845991460000003E-3</c:v>
                </c:pt>
                <c:pt idx="459">
                  <c:v>7.5842923750000001E-3</c:v>
                </c:pt>
                <c:pt idx="460">
                  <c:v>7.5839869379999997E-3</c:v>
                </c:pt>
                <c:pt idx="461">
                  <c:v>7.5836828270000002E-3</c:v>
                </c:pt>
                <c:pt idx="462">
                  <c:v>7.5833800319999997E-3</c:v>
                </c:pt>
                <c:pt idx="463">
                  <c:v>7.583078545E-3</c:v>
                </c:pt>
                <c:pt idx="464">
                  <c:v>7.582778357E-3</c:v>
                </c:pt>
                <c:pt idx="465">
                  <c:v>7.5824794609999999E-3</c:v>
                </c:pt>
                <c:pt idx="466">
                  <c:v>7.5821818480000004E-3</c:v>
                </c:pt>
                <c:pt idx="467">
                  <c:v>7.5818855099999997E-3</c:v>
                </c:pt>
                <c:pt idx="468">
                  <c:v>7.581590438E-3</c:v>
                </c:pt>
                <c:pt idx="469">
                  <c:v>7.5812966239999996E-3</c:v>
                </c:pt>
                <c:pt idx="470">
                  <c:v>7.5810040609999999E-3</c:v>
                </c:pt>
                <c:pt idx="471">
                  <c:v>7.5807127400000004E-3</c:v>
                </c:pt>
                <c:pt idx="472">
                  <c:v>7.5804226539999998E-3</c:v>
                </c:pt>
                <c:pt idx="473">
                  <c:v>7.5801337939999996E-3</c:v>
                </c:pt>
                <c:pt idx="474">
                  <c:v>7.5798461530000001E-3</c:v>
                </c:pt>
                <c:pt idx="475">
                  <c:v>7.5795597229999997E-3</c:v>
                </c:pt>
                <c:pt idx="476">
                  <c:v>7.5792744969999997E-3</c:v>
                </c:pt>
                <c:pt idx="477">
                  <c:v>7.5789904670000002E-3</c:v>
                </c:pt>
                <c:pt idx="478">
                  <c:v>7.5787076250000002E-3</c:v>
                </c:pt>
                <c:pt idx="479">
                  <c:v>7.5784259649999998E-3</c:v>
                </c:pt>
                <c:pt idx="480">
                  <c:v>7.5781454780000004E-3</c:v>
                </c:pt>
                <c:pt idx="481">
                  <c:v>7.5778661569999997E-3</c:v>
                </c:pt>
                <c:pt idx="482">
                  <c:v>7.5775879959999997E-3</c:v>
                </c:pt>
                <c:pt idx="483">
                  <c:v>7.5773109859999998E-3</c:v>
                </c:pt>
                <c:pt idx="484">
                  <c:v>7.5770351210000001E-3</c:v>
                </c:pt>
                <c:pt idx="485">
                  <c:v>7.5767603940000003E-3</c:v>
                </c:pt>
                <c:pt idx="486">
                  <c:v>7.5764867979999997E-3</c:v>
                </c:pt>
                <c:pt idx="487">
                  <c:v>7.5762143250000004E-3</c:v>
                </c:pt>
                <c:pt idx="488">
                  <c:v>7.5759429689999996E-3</c:v>
                </c:pt>
                <c:pt idx="489">
                  <c:v>7.575672722E-3</c:v>
                </c:pt>
                <c:pt idx="490">
                  <c:v>7.5754035790000004E-3</c:v>
                </c:pt>
                <c:pt idx="491">
                  <c:v>7.5751355330000002E-3</c:v>
                </c:pt>
                <c:pt idx="492">
                  <c:v>7.5748685759999997E-3</c:v>
                </c:pt>
                <c:pt idx="493">
                  <c:v>7.5746027020000004E-3</c:v>
                </c:pt>
                <c:pt idx="494">
                  <c:v>7.5743379040000003E-3</c:v>
                </c:pt>
                <c:pt idx="495">
                  <c:v>7.5740741769999998E-3</c:v>
                </c:pt>
                <c:pt idx="496">
                  <c:v>7.5738115129999999E-3</c:v>
                </c:pt>
                <c:pt idx="497">
                  <c:v>7.5735499059999996E-3</c:v>
                </c:pt>
                <c:pt idx="498">
                  <c:v>7.5732893499999999E-3</c:v>
                </c:pt>
                <c:pt idx="499">
                  <c:v>7.5730298380000003E-3</c:v>
                </c:pt>
                <c:pt idx="500">
                  <c:v>7.5727713640000001E-3</c:v>
                </c:pt>
                <c:pt idx="501">
                  <c:v>7.5725139220000001E-3</c:v>
                </c:pt>
                <c:pt idx="502">
                  <c:v>7.5722575060000004E-3</c:v>
                </c:pt>
                <c:pt idx="503">
                  <c:v>7.5720021090000004E-3</c:v>
                </c:pt>
                <c:pt idx="504">
                  <c:v>7.5717477259999999E-3</c:v>
                </c:pt>
                <c:pt idx="505">
                  <c:v>7.5714943509999997E-3</c:v>
                </c:pt>
                <c:pt idx="506">
                  <c:v>7.5712419770000003E-3</c:v>
                </c:pt>
                <c:pt idx="507">
                  <c:v>7.5709905990000003E-3</c:v>
                </c:pt>
                <c:pt idx="508">
                  <c:v>7.5707402100000003E-3</c:v>
                </c:pt>
                <c:pt idx="509">
                  <c:v>7.5704908049999999E-3</c:v>
                </c:pt>
                <c:pt idx="510">
                  <c:v>7.5702423790000003E-3</c:v>
                </c:pt>
                <c:pt idx="511">
                  <c:v>7.5699949250000002E-3</c:v>
                </c:pt>
                <c:pt idx="512">
                  <c:v>7.5697484369999998E-3</c:v>
                </c:pt>
                <c:pt idx="513">
                  <c:v>7.5695029109999999E-3</c:v>
                </c:pt>
                <c:pt idx="514">
                  <c:v>7.5692583400000001E-3</c:v>
                </c:pt>
                <c:pt idx="515">
                  <c:v>7.5690147189999999E-3</c:v>
                </c:pt>
                <c:pt idx="516">
                  <c:v>7.5687720420000004E-3</c:v>
                </c:pt>
                <c:pt idx="517">
                  <c:v>7.568530304E-3</c:v>
                </c:pt>
                <c:pt idx="518">
                  <c:v>7.5682894989999999E-3</c:v>
                </c:pt>
                <c:pt idx="519">
                  <c:v>7.568049623E-3</c:v>
                </c:pt>
                <c:pt idx="520">
                  <c:v>7.5678106689999998E-3</c:v>
                </c:pt>
                <c:pt idx="521">
                  <c:v>7.5675726319999999E-3</c:v>
                </c:pt>
                <c:pt idx="522">
                  <c:v>7.5673355080000003E-3</c:v>
                </c:pt>
                <c:pt idx="523">
                  <c:v>7.5670992899999996E-3</c:v>
                </c:pt>
                <c:pt idx="524">
                  <c:v>7.5668639739999996E-3</c:v>
                </c:pt>
                <c:pt idx="525">
                  <c:v>7.5666295539999996E-3</c:v>
                </c:pt>
                <c:pt idx="526">
                  <c:v>7.5663960260000003E-3</c:v>
                </c:pt>
                <c:pt idx="527">
                  <c:v>7.5661633840000001E-3</c:v>
                </c:pt>
                <c:pt idx="528">
                  <c:v>7.5659316239999998E-3</c:v>
                </c:pt>
                <c:pt idx="529">
                  <c:v>7.5657007400000004E-3</c:v>
                </c:pt>
                <c:pt idx="530">
                  <c:v>7.5654707269999996E-3</c:v>
                </c:pt>
                <c:pt idx="531">
                  <c:v>7.5652415799999997E-3</c:v>
                </c:pt>
                <c:pt idx="532">
                  <c:v>7.5650132949999999E-3</c:v>
                </c:pt>
                <c:pt idx="533">
                  <c:v>7.5647858660000001E-3</c:v>
                </c:pt>
                <c:pt idx="534">
                  <c:v>7.5645592899999999E-3</c:v>
                </c:pt>
                <c:pt idx="535">
                  <c:v>7.5643335599999998E-3</c:v>
                </c:pt>
                <c:pt idx="536">
                  <c:v>7.5641086730000003E-3</c:v>
                </c:pt>
                <c:pt idx="537">
                  <c:v>7.563884624E-3</c:v>
                </c:pt>
                <c:pt idx="538">
                  <c:v>7.5636614069999998E-3</c:v>
                </c:pt>
                <c:pt idx="539">
                  <c:v>7.5634390190000003E-3</c:v>
                </c:pt>
                <c:pt idx="540">
                  <c:v>7.5632174539999996E-3</c:v>
                </c:pt>
                <c:pt idx="541">
                  <c:v>7.562996709E-3</c:v>
                </c:pt>
                <c:pt idx="542">
                  <c:v>7.5627767779999997E-3</c:v>
                </c:pt>
                <c:pt idx="543">
                  <c:v>7.5625576569999997E-3</c:v>
                </c:pt>
                <c:pt idx="544">
                  <c:v>7.5623393419999999E-3</c:v>
                </c:pt>
                <c:pt idx="545">
                  <c:v>7.5621218279999999E-3</c:v>
                </c:pt>
                <c:pt idx="546">
                  <c:v>7.5619051109999998E-3</c:v>
                </c:pt>
                <c:pt idx="547">
                  <c:v>7.561689186E-3</c:v>
                </c:pt>
                <c:pt idx="548">
                  <c:v>7.5614740500000001E-3</c:v>
                </c:pt>
                <c:pt idx="549">
                  <c:v>7.5612596970000001E-3</c:v>
                </c:pt>
                <c:pt idx="550">
                  <c:v>7.5610461239999996E-3</c:v>
                </c:pt>
                <c:pt idx="551">
                  <c:v>7.5608333259999999E-3</c:v>
                </c:pt>
                <c:pt idx="552">
                  <c:v>7.5606212990000001E-3</c:v>
                </c:pt>
                <c:pt idx="553">
                  <c:v>7.5604100390000003E-3</c:v>
                </c:pt>
                <c:pt idx="554">
                  <c:v>7.5601995410000001E-3</c:v>
                </c:pt>
                <c:pt idx="555">
                  <c:v>7.5599898019999999E-3</c:v>
                </c:pt>
                <c:pt idx="556">
                  <c:v>7.5597808179999997E-3</c:v>
                </c:pt>
                <c:pt idx="557">
                  <c:v>7.5595725839999999E-3</c:v>
                </c:pt>
                <c:pt idx="558">
                  <c:v>7.5593650970000002E-3</c:v>
                </c:pt>
                <c:pt idx="559">
                  <c:v>7.5591583520000002E-3</c:v>
                </c:pt>
                <c:pt idx="560">
                  <c:v>7.5589523449999998E-3</c:v>
                </c:pt>
                <c:pt idx="561">
                  <c:v>7.5587470730000004E-3</c:v>
                </c:pt>
                <c:pt idx="562">
                  <c:v>7.5585425309999997E-3</c:v>
                </c:pt>
                <c:pt idx="563">
                  <c:v>7.5583387160000001E-3</c:v>
                </c:pt>
                <c:pt idx="564">
                  <c:v>7.5581356239999998E-3</c:v>
                </c:pt>
                <c:pt idx="565">
                  <c:v>7.5579332509999996E-3</c:v>
                </c:pt>
                <c:pt idx="566">
                  <c:v>7.5577315929999996E-3</c:v>
                </c:pt>
                <c:pt idx="567">
                  <c:v>7.5575306459999998E-3</c:v>
                </c:pt>
                <c:pt idx="568">
                  <c:v>7.5573304069999998E-3</c:v>
                </c:pt>
                <c:pt idx="569">
                  <c:v>7.5571308720000004E-3</c:v>
                </c:pt>
                <c:pt idx="570">
                  <c:v>7.556932037E-3</c:v>
                </c:pt>
                <c:pt idx="571">
                  <c:v>7.5567338980000003E-3</c:v>
                </c:pt>
                <c:pt idx="572">
                  <c:v>7.5565364519999999E-3</c:v>
                </c:pt>
                <c:pt idx="573">
                  <c:v>7.5563396960000003E-3</c:v>
                </c:pt>
                <c:pt idx="574">
                  <c:v>7.5561436250000001E-3</c:v>
                </c:pt>
                <c:pt idx="575">
                  <c:v>7.5559482359999998E-3</c:v>
                </c:pt>
                <c:pt idx="576">
                  <c:v>7.5557535250000002E-3</c:v>
                </c:pt>
                <c:pt idx="577">
                  <c:v>7.5555594899999997E-3</c:v>
                </c:pt>
                <c:pt idx="578">
                  <c:v>7.5553661249999999E-3</c:v>
                </c:pt>
                <c:pt idx="579">
                  <c:v>7.5551734289999997E-3</c:v>
                </c:pt>
                <c:pt idx="580">
                  <c:v>7.5549813979999998E-3</c:v>
                </c:pt>
                <c:pt idx="581">
                  <c:v>7.5547900269999999E-3</c:v>
                </c:pt>
                <c:pt idx="582">
                  <c:v>7.554599314E-3</c:v>
                </c:pt>
                <c:pt idx="583">
                  <c:v>7.5544092559999996E-3</c:v>
                </c:pt>
                <c:pt idx="584">
                  <c:v>7.5542198480000001E-3</c:v>
                </c:pt>
                <c:pt idx="585">
                  <c:v>7.5540310879999998E-3</c:v>
                </c:pt>
                <c:pt idx="586">
                  <c:v>7.5538429720000003E-3</c:v>
                </c:pt>
                <c:pt idx="587">
                  <c:v>7.5536554969999996E-3</c:v>
                </c:pt>
                <c:pt idx="588">
                  <c:v>7.5534686599999998E-3</c:v>
                </c:pt>
                <c:pt idx="589">
                  <c:v>7.553282457E-3</c:v>
                </c:pt>
                <c:pt idx="590">
                  <c:v>7.5530968860000004E-3</c:v>
                </c:pt>
                <c:pt idx="591">
                  <c:v>7.5529119420000004E-3</c:v>
                </c:pt>
                <c:pt idx="592">
                  <c:v>7.5527276239999996E-3</c:v>
                </c:pt>
                <c:pt idx="593">
                  <c:v>7.5525439270000003E-3</c:v>
                </c:pt>
                <c:pt idx="594">
                  <c:v>7.5523608480000002E-3</c:v>
                </c:pt>
                <c:pt idx="595">
                  <c:v>7.5521783850000003E-3</c:v>
                </c:pt>
                <c:pt idx="596">
                  <c:v>7.5519965350000001E-3</c:v>
                </c:pt>
                <c:pt idx="597">
                  <c:v>7.551815293E-3</c:v>
                </c:pt>
                <c:pt idx="598">
                  <c:v>7.5516346579999998E-3</c:v>
                </c:pt>
                <c:pt idx="599">
                  <c:v>7.5514546260000001E-3</c:v>
                </c:pt>
                <c:pt idx="600">
                  <c:v>7.5512751939999997E-3</c:v>
                </c:pt>
                <c:pt idx="601">
                  <c:v>7.5510963599999996E-3</c:v>
                </c:pt>
                <c:pt idx="602">
                  <c:v>7.5509181190000002E-3</c:v>
                </c:pt>
                <c:pt idx="603">
                  <c:v>7.5507404689999997E-3</c:v>
                </c:pt>
                <c:pt idx="604">
                  <c:v>7.5505634079999998E-3</c:v>
                </c:pt>
                <c:pt idx="605">
                  <c:v>7.5503869330000003E-3</c:v>
                </c:pt>
                <c:pt idx="606">
                  <c:v>7.5502110389999997E-3</c:v>
                </c:pt>
                <c:pt idx="607">
                  <c:v>7.5500357259999998E-3</c:v>
                </c:pt>
                <c:pt idx="608">
                  <c:v>7.5498609890000002E-3</c:v>
                </c:pt>
                <c:pt idx="609">
                  <c:v>7.5496868260000001E-3</c:v>
                </c:pt>
                <c:pt idx="610">
                  <c:v>7.5495132330000003E-3</c:v>
                </c:pt>
                <c:pt idx="611">
                  <c:v>7.5493402099999999E-3</c:v>
                </c:pt>
                <c:pt idx="612">
                  <c:v>7.5491677509999999E-3</c:v>
                </c:pt>
                <c:pt idx="613">
                  <c:v>7.5489958560000002E-3</c:v>
                </c:pt>
                <c:pt idx="614">
                  <c:v>7.5488245199999996E-3</c:v>
                </c:pt>
                <c:pt idx="615">
                  <c:v>7.5486537420000003E-3</c:v>
                </c:pt>
                <c:pt idx="616">
                  <c:v>7.5484835179999996E-3</c:v>
                </c:pt>
                <c:pt idx="617">
                  <c:v>7.5483138449999997E-3</c:v>
                </c:pt>
                <c:pt idx="618">
                  <c:v>7.5481447220000003E-3</c:v>
                </c:pt>
                <c:pt idx="619">
                  <c:v>7.5479761459999999E-3</c:v>
                </c:pt>
                <c:pt idx="620">
                  <c:v>7.5478081129999996E-3</c:v>
                </c:pt>
                <c:pt idx="621">
                  <c:v>7.5476406219999997E-3</c:v>
                </c:pt>
                <c:pt idx="622">
                  <c:v>7.5474736690000002E-3</c:v>
                </c:pt>
                <c:pt idx="623">
                  <c:v>7.5473072520000004E-3</c:v>
                </c:pt>
                <c:pt idx="624">
                  <c:v>7.5471413679999997E-3</c:v>
                </c:pt>
                <c:pt idx="625">
                  <c:v>7.5469760149999999E-3</c:v>
                </c:pt>
                <c:pt idx="626">
                  <c:v>7.5468111910000002E-3</c:v>
                </c:pt>
                <c:pt idx="627">
                  <c:v>7.5466468919999996E-3</c:v>
                </c:pt>
                <c:pt idx="628">
                  <c:v>7.5464831169999996E-3</c:v>
                </c:pt>
                <c:pt idx="629">
                  <c:v>7.5463198629999997E-3</c:v>
                </c:pt>
                <c:pt idx="630">
                  <c:v>7.5461571259999999E-3</c:v>
                </c:pt>
                <c:pt idx="631">
                  <c:v>7.5459949060000002E-3</c:v>
                </c:pt>
                <c:pt idx="632">
                  <c:v>7.5458331989999997E-3</c:v>
                </c:pt>
                <c:pt idx="633">
                  <c:v>7.5456720030000002E-3</c:v>
                </c:pt>
                <c:pt idx="634">
                  <c:v>7.5455113149999996E-3</c:v>
                </c:pt>
                <c:pt idx="635">
                  <c:v>7.545351134E-3</c:v>
                </c:pt>
                <c:pt idx="636">
                  <c:v>7.5451914559999996E-3</c:v>
                </c:pt>
                <c:pt idx="637">
                  <c:v>7.5450322799999999E-3</c:v>
                </c:pt>
                <c:pt idx="638">
                  <c:v>7.5448736019999999E-3</c:v>
                </c:pt>
                <c:pt idx="639">
                  <c:v>7.5447154219999996E-3</c:v>
                </c:pt>
                <c:pt idx="640">
                  <c:v>7.5445577349999996E-3</c:v>
                </c:pt>
                <c:pt idx="641">
                  <c:v>7.5444005409999997E-3</c:v>
                </c:pt>
                <c:pt idx="642">
                  <c:v>7.5442438360000001E-3</c:v>
                </c:pt>
                <c:pt idx="643">
                  <c:v>7.5440876190000002E-3</c:v>
                </c:pt>
                <c:pt idx="644">
                  <c:v>7.5439318869999997E-3</c:v>
                </c:pt>
                <c:pt idx="645">
                  <c:v>7.5437766380000004E-3</c:v>
                </c:pt>
                <c:pt idx="646">
                  <c:v>7.5436218700000003E-3</c:v>
                </c:pt>
                <c:pt idx="647">
                  <c:v>7.5434675800000002E-3</c:v>
                </c:pt>
                <c:pt idx="648">
                  <c:v>7.5433137659999998E-3</c:v>
                </c:pt>
                <c:pt idx="649">
                  <c:v>7.5431604269999997E-3</c:v>
                </c:pt>
                <c:pt idx="650">
                  <c:v>7.5430075589999999E-3</c:v>
                </c:pt>
                <c:pt idx="651">
                  <c:v>7.542855161E-3</c:v>
                </c:pt>
                <c:pt idx="652">
                  <c:v>7.5427032300000004E-3</c:v>
                </c:pt>
                <c:pt idx="653">
                  <c:v>7.5425517649999997E-3</c:v>
                </c:pt>
                <c:pt idx="654">
                  <c:v>7.5424007630000003E-3</c:v>
                </c:pt>
                <c:pt idx="655">
                  <c:v>7.5422502220000003E-3</c:v>
                </c:pt>
                <c:pt idx="656">
                  <c:v>7.5421001399999998E-3</c:v>
                </c:pt>
                <c:pt idx="657">
                  <c:v>7.5419505140000001E-3</c:v>
                </c:pt>
                <c:pt idx="658">
                  <c:v>7.5418013440000002E-3</c:v>
                </c:pt>
                <c:pt idx="659">
                  <c:v>7.5416526269999999E-3</c:v>
                </c:pt>
                <c:pt idx="660">
                  <c:v>7.5415043600000004E-3</c:v>
                </c:pt>
                <c:pt idx="661">
                  <c:v>7.5413565409999999E-3</c:v>
                </c:pt>
                <c:pt idx="662">
                  <c:v>7.5412091700000003E-3</c:v>
                </c:pt>
                <c:pt idx="663">
                  <c:v>7.5410622429999997E-3</c:v>
                </c:pt>
                <c:pt idx="664">
                  <c:v>7.540915758E-3</c:v>
                </c:pt>
                <c:pt idx="665">
                  <c:v>7.5407697139999999E-3</c:v>
                </c:pt>
                <c:pt idx="666">
                  <c:v>7.5406241090000001E-3</c:v>
                </c:pt>
                <c:pt idx="667">
                  <c:v>7.5404789400000003E-3</c:v>
                </c:pt>
                <c:pt idx="668">
                  <c:v>7.5403342060000001E-3</c:v>
                </c:pt>
                <c:pt idx="669">
                  <c:v>7.5401899050000004E-3</c:v>
                </c:pt>
                <c:pt idx="670">
                  <c:v>7.5400460339999998E-3</c:v>
                </c:pt>
                <c:pt idx="671">
                  <c:v>7.539902593E-3</c:v>
                </c:pt>
                <c:pt idx="672">
                  <c:v>7.5397595780000003E-3</c:v>
                </c:pt>
                <c:pt idx="673">
                  <c:v>7.5396169880000002E-3</c:v>
                </c:pt>
                <c:pt idx="674">
                  <c:v>7.5394748209999998E-3</c:v>
                </c:pt>
                <c:pt idx="675">
                  <c:v>7.5393330760000002E-3</c:v>
                </c:pt>
                <c:pt idx="676">
                  <c:v>7.5391917500000002E-3</c:v>
                </c:pt>
                <c:pt idx="677">
                  <c:v>7.5390508420000004E-3</c:v>
                </c:pt>
                <c:pt idx="678">
                  <c:v>7.5389103490000001E-3</c:v>
                </c:pt>
                <c:pt idx="679">
                  <c:v>7.53877027E-3</c:v>
                </c:pt>
                <c:pt idx="680">
                  <c:v>7.5386306029999999E-3</c:v>
                </c:pt>
                <c:pt idx="681">
                  <c:v>7.5384913459999999E-3</c:v>
                </c:pt>
                <c:pt idx="682">
                  <c:v>7.5383524979999996E-3</c:v>
                </c:pt>
                <c:pt idx="683">
                  <c:v>7.5382140560000003E-3</c:v>
                </c:pt>
                <c:pt idx="684">
                  <c:v>7.5380760189999998E-3</c:v>
                </c:pt>
                <c:pt idx="685">
                  <c:v>7.5379383849999999E-3</c:v>
                </c:pt>
                <c:pt idx="686">
                  <c:v>7.537801153E-3</c:v>
                </c:pt>
                <c:pt idx="687">
                  <c:v>7.5376643199999999E-3</c:v>
                </c:pt>
                <c:pt idx="688">
                  <c:v>7.5375278840000004E-3</c:v>
                </c:pt>
                <c:pt idx="689">
                  <c:v>7.5373918449999997E-3</c:v>
                </c:pt>
                <c:pt idx="690">
                  <c:v>7.5372562000000001E-3</c:v>
                </c:pt>
                <c:pt idx="691">
                  <c:v>7.5371209480000001E-3</c:v>
                </c:pt>
                <c:pt idx="692">
                  <c:v>7.5369860869999999E-3</c:v>
                </c:pt>
                <c:pt idx="693">
                  <c:v>7.5368516150000004E-3</c:v>
                </c:pt>
                <c:pt idx="694">
                  <c:v>7.5367175299999997E-3</c:v>
                </c:pt>
                <c:pt idx="695">
                  <c:v>7.5365838310000001E-3</c:v>
                </c:pt>
                <c:pt idx="696">
                  <c:v>7.5364505170000002E-3</c:v>
                </c:pt>
                <c:pt idx="697">
                  <c:v>7.5363175849999997E-3</c:v>
                </c:pt>
                <c:pt idx="698">
                  <c:v>7.5361850339999998E-3</c:v>
                </c:pt>
                <c:pt idx="699">
                  <c:v>7.5360528619999997E-3</c:v>
                </c:pt>
                <c:pt idx="700">
                  <c:v>7.5359210679999998E-3</c:v>
                </c:pt>
                <c:pt idx="701">
                  <c:v>7.5357896500000002E-3</c:v>
                </c:pt>
                <c:pt idx="702">
                  <c:v>7.5356586070000004E-3</c:v>
                </c:pt>
                <c:pt idx="703">
                  <c:v>7.5355279359999999E-3</c:v>
                </c:pt>
                <c:pt idx="704">
                  <c:v>7.5353976360000002E-3</c:v>
                </c:pt>
                <c:pt idx="705">
                  <c:v>7.5352677059999998E-3</c:v>
                </c:pt>
                <c:pt idx="706">
                  <c:v>7.5351381439999997E-3</c:v>
                </c:pt>
                <c:pt idx="707">
                  <c:v>7.5350089490000003E-3</c:v>
                </c:pt>
                <c:pt idx="708">
                  <c:v>7.5348801189999998E-3</c:v>
                </c:pt>
                <c:pt idx="709">
                  <c:v>7.5347516520000001E-3</c:v>
                </c:pt>
                <c:pt idx="710">
                  <c:v>7.5346235469999998E-3</c:v>
                </c:pt>
                <c:pt idx="711">
                  <c:v>7.5344958019999998E-3</c:v>
                </c:pt>
                <c:pt idx="712">
                  <c:v>7.5343684170000001E-3</c:v>
                </c:pt>
                <c:pt idx="713">
                  <c:v>7.5342413879999999E-3</c:v>
                </c:pt>
                <c:pt idx="714">
                  <c:v>7.5341147160000004E-3</c:v>
                </c:pt>
                <c:pt idx="715">
                  <c:v>7.5339883980000003E-3</c:v>
                </c:pt>
                <c:pt idx="716">
                  <c:v>7.5338624319999997E-3</c:v>
                </c:pt>
                <c:pt idx="717">
                  <c:v>7.5337368180000003E-3</c:v>
                </c:pt>
                <c:pt idx="718">
                  <c:v>7.5336115540000003E-3</c:v>
                </c:pt>
                <c:pt idx="719">
                  <c:v>7.5334866390000003E-3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55712"/>
        <c:axId val="374758016"/>
      </c:lineChart>
      <c:catAx>
        <c:axId val="374755712"/>
        <c:scaling>
          <c:orientation val="minMax"/>
        </c:scaling>
        <c:delete val="0"/>
        <c:axPos val="b"/>
        <c:majorTickMark val="out"/>
        <c:minorTickMark val="none"/>
        <c:tickLblPos val="nextTo"/>
        <c:crossAx val="374758016"/>
        <c:crosses val="autoZero"/>
        <c:auto val="1"/>
        <c:lblAlgn val="ctr"/>
        <c:lblOffset val="100"/>
        <c:noMultiLvlLbl val="0"/>
      </c:catAx>
      <c:valAx>
        <c:axId val="37475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755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Output!$P$12:$P$731</c:f>
              <c:numCache>
                <c:formatCode>General</c:formatCode>
                <c:ptCount val="720"/>
                <c:pt idx="0">
                  <c:v>0.9999593464093679</c:v>
                </c:pt>
                <c:pt idx="1">
                  <c:v>0.99991718696415377</c:v>
                </c:pt>
                <c:pt idx="2">
                  <c:v>0.99987534347393148</c:v>
                </c:pt>
                <c:pt idx="3">
                  <c:v>0.99983385771473576</c:v>
                </c:pt>
                <c:pt idx="4">
                  <c:v>0.99979176152482807</c:v>
                </c:pt>
                <c:pt idx="5">
                  <c:v>0.99974978460255892</c:v>
                </c:pt>
                <c:pt idx="6">
                  <c:v>0.99970844878263598</c:v>
                </c:pt>
                <c:pt idx="7">
                  <c:v>0.99966691230680227</c:v>
                </c:pt>
                <c:pt idx="8">
                  <c:v>0.99962544608205628</c:v>
                </c:pt>
                <c:pt idx="9">
                  <c:v>0.99958349463394747</c:v>
                </c:pt>
                <c:pt idx="10">
                  <c:v>0.99954172964747445</c:v>
                </c:pt>
                <c:pt idx="11">
                  <c:v>0.99950006243731326</c:v>
                </c:pt>
                <c:pt idx="12">
                  <c:v>0.99945860827445165</c:v>
                </c:pt>
                <c:pt idx="13">
                  <c:v>0.99941642697050181</c:v>
                </c:pt>
                <c:pt idx="14">
                  <c:v>0.99937504010152345</c:v>
                </c:pt>
                <c:pt idx="15">
                  <c:v>0.99933362329335118</c:v>
                </c:pt>
                <c:pt idx="16">
                  <c:v>0.99929180848841548</c:v>
                </c:pt>
                <c:pt idx="17">
                  <c:v>0.99924972779013721</c:v>
                </c:pt>
                <c:pt idx="18">
                  <c:v>0.99920841546035488</c:v>
                </c:pt>
                <c:pt idx="19">
                  <c:v>0.99916660235650534</c:v>
                </c:pt>
                <c:pt idx="20">
                  <c:v>0.99912486435606374</c:v>
                </c:pt>
                <c:pt idx="21">
                  <c:v>0.99908357902864997</c:v>
                </c:pt>
                <c:pt idx="22">
                  <c:v>0.9990420348375707</c:v>
                </c:pt>
                <c:pt idx="23">
                  <c:v>0.99900085004199524</c:v>
                </c:pt>
                <c:pt idx="24">
                  <c:v>0.99895914216874937</c:v>
                </c:pt>
                <c:pt idx="25">
                  <c:v>0.99891785861094851</c:v>
                </c:pt>
                <c:pt idx="26">
                  <c:v>0.99887634484714027</c:v>
                </c:pt>
                <c:pt idx="27">
                  <c:v>0.99883495351132923</c:v>
                </c:pt>
                <c:pt idx="28">
                  <c:v>0.99879407063713355</c:v>
                </c:pt>
                <c:pt idx="29">
                  <c:v>0.99875265147588532</c:v>
                </c:pt>
                <c:pt idx="30">
                  <c:v>0.99871107365763445</c:v>
                </c:pt>
                <c:pt idx="31">
                  <c:v>0.99867007494478977</c:v>
                </c:pt>
                <c:pt idx="32">
                  <c:v>0.99862893432722011</c:v>
                </c:pt>
                <c:pt idx="33">
                  <c:v>0.9985879221462014</c:v>
                </c:pt>
                <c:pt idx="34">
                  <c:v>0.9985471719901704</c:v>
                </c:pt>
                <c:pt idx="35">
                  <c:v>0.99850663000202444</c:v>
                </c:pt>
                <c:pt idx="36">
                  <c:v>0.99846563221841411</c:v>
                </c:pt>
                <c:pt idx="37">
                  <c:v>0.99842519799968799</c:v>
                </c:pt>
                <c:pt idx="38">
                  <c:v>0.99838441541402345</c:v>
                </c:pt>
                <c:pt idx="39">
                  <c:v>0.9983436737982655</c:v>
                </c:pt>
                <c:pt idx="40">
                  <c:v>0.99830281087274486</c:v>
                </c:pt>
                <c:pt idx="41">
                  <c:v>0.99826182622082371</c:v>
                </c:pt>
                <c:pt idx="42">
                  <c:v>0.99822136895476188</c:v>
                </c:pt>
                <c:pt idx="43">
                  <c:v>0.99818076856161486</c:v>
                </c:pt>
                <c:pt idx="44">
                  <c:v>0.99813993233462039</c:v>
                </c:pt>
                <c:pt idx="45">
                  <c:v>0.99809910359885268</c:v>
                </c:pt>
                <c:pt idx="46">
                  <c:v>0.99805782366000662</c:v>
                </c:pt>
                <c:pt idx="47">
                  <c:v>0.99801580049785144</c:v>
                </c:pt>
                <c:pt idx="48">
                  <c:v>0.99797511776765291</c:v>
                </c:pt>
                <c:pt idx="49">
                  <c:v>0.99793380937312293</c:v>
                </c:pt>
                <c:pt idx="50">
                  <c:v>0.99789202963370216</c:v>
                </c:pt>
                <c:pt idx="51">
                  <c:v>0.99785050980786882</c:v>
                </c:pt>
                <c:pt idx="52">
                  <c:v>0.99780889292045805</c:v>
                </c:pt>
                <c:pt idx="53">
                  <c:v>0.99776676584387713</c:v>
                </c:pt>
                <c:pt idx="54">
                  <c:v>0.99772520185259872</c:v>
                </c:pt>
                <c:pt idx="55">
                  <c:v>0.99768372076621825</c:v>
                </c:pt>
                <c:pt idx="56">
                  <c:v>0.99764215134797218</c:v>
                </c:pt>
                <c:pt idx="57">
                  <c:v>0.99760054725200087</c:v>
                </c:pt>
                <c:pt idx="58">
                  <c:v>0.99755950939174165</c:v>
                </c:pt>
                <c:pt idx="59">
                  <c:v>0.99751811746949581</c:v>
                </c:pt>
                <c:pt idx="60">
                  <c:v>0.99747769336428516</c:v>
                </c:pt>
                <c:pt idx="61">
                  <c:v>0.99743733619807851</c:v>
                </c:pt>
                <c:pt idx="62">
                  <c:v>0.9973974505470502</c:v>
                </c:pt>
                <c:pt idx="63">
                  <c:v>0.99735769854029299</c:v>
                </c:pt>
                <c:pt idx="64">
                  <c:v>0.99731782350315001</c:v>
                </c:pt>
                <c:pt idx="65">
                  <c:v>0.99727848752562609</c:v>
                </c:pt>
                <c:pt idx="66">
                  <c:v>0.99723797457163721</c:v>
                </c:pt>
                <c:pt idx="67">
                  <c:v>0.9971975443921246</c:v>
                </c:pt>
                <c:pt idx="68">
                  <c:v>0.99715576050421972</c:v>
                </c:pt>
                <c:pt idx="69">
                  <c:v>0.99711307235650182</c:v>
                </c:pt>
                <c:pt idx="70">
                  <c:v>0.99706962867618965</c:v>
                </c:pt>
                <c:pt idx="71">
                  <c:v>0.99702371702681936</c:v>
                </c:pt>
                <c:pt idx="72">
                  <c:v>0.99697673203513615</c:v>
                </c:pt>
                <c:pt idx="73">
                  <c:v>0.99692858994497469</c:v>
                </c:pt>
                <c:pt idx="74">
                  <c:v>0.99688041199067767</c:v>
                </c:pt>
                <c:pt idx="75">
                  <c:v>0.99683218185446387</c:v>
                </c:pt>
                <c:pt idx="76">
                  <c:v>0.99678453519460997</c:v>
                </c:pt>
                <c:pt idx="77">
                  <c:v>0.99673929548198215</c:v>
                </c:pt>
                <c:pt idx="78">
                  <c:v>0.99669519295985298</c:v>
                </c:pt>
                <c:pt idx="79">
                  <c:v>0.99665478334420354</c:v>
                </c:pt>
                <c:pt idx="80">
                  <c:v>0.99661765740221198</c:v>
                </c:pt>
                <c:pt idx="81">
                  <c:v>0.99658491375491376</c:v>
                </c:pt>
                <c:pt idx="82">
                  <c:v>0.9965573441041371</c:v>
                </c:pt>
                <c:pt idx="83">
                  <c:v>0.99653626935594286</c:v>
                </c:pt>
                <c:pt idx="84">
                  <c:v>0.99652093187623703</c:v>
                </c:pt>
                <c:pt idx="85">
                  <c:v>0.99650613055979076</c:v>
                </c:pt>
                <c:pt idx="86">
                  <c:v>0.99648549470413128</c:v>
                </c:pt>
                <c:pt idx="87">
                  <c:v>0.99645142600771164</c:v>
                </c:pt>
                <c:pt idx="88">
                  <c:v>0.99639735583026046</c:v>
                </c:pt>
                <c:pt idx="89">
                  <c:v>0.99631564075228429</c:v>
                </c:pt>
                <c:pt idx="90">
                  <c:v>0.99619888378429311</c:v>
                </c:pt>
                <c:pt idx="91">
                  <c:v>0.99603822847255441</c:v>
                </c:pt>
                <c:pt idx="92">
                  <c:v>0.9958253166261205</c:v>
                </c:pt>
                <c:pt idx="93">
                  <c:v>0.99555179070901456</c:v>
                </c:pt>
                <c:pt idx="94">
                  <c:v>0.99520840216584683</c:v>
                </c:pt>
                <c:pt idx="95">
                  <c:v>0.99478631107084936</c:v>
                </c:pt>
                <c:pt idx="96">
                  <c:v>0.99427841084313195</c:v>
                </c:pt>
                <c:pt idx="97">
                  <c:v>0.99368818456418251</c:v>
                </c:pt>
                <c:pt idx="98">
                  <c:v>0.99302306418722952</c:v>
                </c:pt>
                <c:pt idx="99">
                  <c:v>0.9922904808220715</c:v>
                </c:pt>
                <c:pt idx="100">
                  <c:v>0.99149752589597973</c:v>
                </c:pt>
                <c:pt idx="101">
                  <c:v>0.99065361151469777</c:v>
                </c:pt>
                <c:pt idx="102">
                  <c:v>0.98976701149786828</c:v>
                </c:pt>
                <c:pt idx="103">
                  <c:v>0.98884620819778801</c:v>
                </c:pt>
                <c:pt idx="104">
                  <c:v>0.98790087858363262</c:v>
                </c:pt>
                <c:pt idx="105">
                  <c:v>0.98694102782104198</c:v>
                </c:pt>
                <c:pt idx="106">
                  <c:v>0.98597700646607189</c:v>
                </c:pt>
                <c:pt idx="107">
                  <c:v>0.98501830835872795</c:v>
                </c:pt>
                <c:pt idx="108">
                  <c:v>0.98407419296236909</c:v>
                </c:pt>
                <c:pt idx="109">
                  <c:v>0.98314544909473089</c:v>
                </c:pt>
                <c:pt idx="110">
                  <c:v>0.98223159988147513</c:v>
                </c:pt>
                <c:pt idx="111">
                  <c:v>0.98133288399509622</c:v>
                </c:pt>
                <c:pt idx="112">
                  <c:v>0.98044686101141587</c:v>
                </c:pt>
                <c:pt idx="113">
                  <c:v>0.97957227673587866</c:v>
                </c:pt>
                <c:pt idx="114">
                  <c:v>0.97870828052676173</c:v>
                </c:pt>
                <c:pt idx="115">
                  <c:v>0.97785543140552345</c:v>
                </c:pt>
                <c:pt idx="116">
                  <c:v>0.97701185516895261</c:v>
                </c:pt>
                <c:pt idx="117">
                  <c:v>0.97617584366180576</c:v>
                </c:pt>
                <c:pt idx="118">
                  <c:v>0.97534694725203719</c:v>
                </c:pt>
                <c:pt idx="119">
                  <c:v>0.97452419669754298</c:v>
                </c:pt>
                <c:pt idx="120">
                  <c:v>0.97370646303862851</c:v>
                </c:pt>
                <c:pt idx="121">
                  <c:v>0.97289162150291308</c:v>
                </c:pt>
                <c:pt idx="122">
                  <c:v>0.97207799149860952</c:v>
                </c:pt>
                <c:pt idx="123">
                  <c:v>0.97126301227916734</c:v>
                </c:pt>
                <c:pt idx="124">
                  <c:v>0.97044595856202587</c:v>
                </c:pt>
                <c:pt idx="125">
                  <c:v>0.96962364511057042</c:v>
                </c:pt>
                <c:pt idx="126">
                  <c:v>0.96879328096321282</c:v>
                </c:pt>
                <c:pt idx="127">
                  <c:v>0.96795399720907893</c:v>
                </c:pt>
                <c:pt idx="128">
                  <c:v>0.96710434543859236</c:v>
                </c:pt>
                <c:pt idx="129">
                  <c:v>0.9662411527639565</c:v>
                </c:pt>
                <c:pt idx="130">
                  <c:v>0.96536240537560203</c:v>
                </c:pt>
                <c:pt idx="131">
                  <c:v>0.96446495746202909</c:v>
                </c:pt>
                <c:pt idx="132">
                  <c:v>0.96354749326396871</c:v>
                </c:pt>
                <c:pt idx="133">
                  <c:v>0.96261361767895171</c:v>
                </c:pt>
                <c:pt idx="134">
                  <c:v>0.96166552701151853</c:v>
                </c:pt>
                <c:pt idx="135">
                  <c:v>0.96070753779218965</c:v>
                </c:pt>
                <c:pt idx="136">
                  <c:v>0.95974144805495598</c:v>
                </c:pt>
                <c:pt idx="137">
                  <c:v>0.95877164317172359</c:v>
                </c:pt>
                <c:pt idx="138">
                  <c:v>0.95780188268398181</c:v>
                </c:pt>
                <c:pt idx="139">
                  <c:v>0.95683556307880491</c:v>
                </c:pt>
                <c:pt idx="140">
                  <c:v>0.95587757924041872</c:v>
                </c:pt>
                <c:pt idx="141">
                  <c:v>0.95493061088466791</c:v>
                </c:pt>
                <c:pt idx="142">
                  <c:v>0.95399979090711196</c:v>
                </c:pt>
                <c:pt idx="143">
                  <c:v>0.95308948953366113</c:v>
                </c:pt>
                <c:pt idx="144">
                  <c:v>0.95220176733905393</c:v>
                </c:pt>
                <c:pt idx="145">
                  <c:v>0.95133612830295045</c:v>
                </c:pt>
                <c:pt idx="146">
                  <c:v>0.95048947592328004</c:v>
                </c:pt>
                <c:pt idx="147">
                  <c:v>0.9496593985764733</c:v>
                </c:pt>
                <c:pt idx="148">
                  <c:v>0.94884310023156548</c:v>
                </c:pt>
                <c:pt idx="149">
                  <c:v>0.94803796173856325</c:v>
                </c:pt>
                <c:pt idx="150">
                  <c:v>0.94724004820926666</c:v>
                </c:pt>
                <c:pt idx="151">
                  <c:v>0.94644581454697441</c:v>
                </c:pt>
                <c:pt idx="152">
                  <c:v>0.94565191874140908</c:v>
                </c:pt>
                <c:pt idx="153">
                  <c:v>0.94485552839737752</c:v>
                </c:pt>
                <c:pt idx="154">
                  <c:v>0.94405459805581937</c:v>
                </c:pt>
                <c:pt idx="155">
                  <c:v>0.94324392768741583</c:v>
                </c:pt>
                <c:pt idx="156">
                  <c:v>0.94242098751054981</c:v>
                </c:pt>
                <c:pt idx="157">
                  <c:v>0.94158506032814404</c:v>
                </c:pt>
                <c:pt idx="158">
                  <c:v>0.94073741442562642</c:v>
                </c:pt>
                <c:pt idx="159">
                  <c:v>0.93987794508377431</c:v>
                </c:pt>
                <c:pt idx="160">
                  <c:v>0.93900584665252818</c:v>
                </c:pt>
                <c:pt idx="161">
                  <c:v>0.93812142784053854</c:v>
                </c:pt>
                <c:pt idx="162">
                  <c:v>0.93722480567762656</c:v>
                </c:pt>
                <c:pt idx="163">
                  <c:v>0.93631476764227184</c:v>
                </c:pt>
                <c:pt idx="164">
                  <c:v>0.93539224167673396</c:v>
                </c:pt>
                <c:pt idx="165">
                  <c:v>0.93445949176366094</c:v>
                </c:pt>
                <c:pt idx="166">
                  <c:v>0.93351604273272781</c:v>
                </c:pt>
                <c:pt idx="167">
                  <c:v>0.93256049396233442</c:v>
                </c:pt>
                <c:pt idx="168">
                  <c:v>0.93159342145419044</c:v>
                </c:pt>
                <c:pt idx="169">
                  <c:v>0.93061743496039817</c:v>
                </c:pt>
                <c:pt idx="170">
                  <c:v>0.92963524033656508</c:v>
                </c:pt>
                <c:pt idx="171">
                  <c:v>0.92865043827319782</c:v>
                </c:pt>
                <c:pt idx="172">
                  <c:v>0.92766614389749091</c:v>
                </c:pt>
                <c:pt idx="173">
                  <c:v>0.9266857337043598</c:v>
                </c:pt>
                <c:pt idx="174">
                  <c:v>0.92571345853490994</c:v>
                </c:pt>
                <c:pt idx="175">
                  <c:v>0.92475312035094304</c:v>
                </c:pt>
                <c:pt idx="176">
                  <c:v>0.92380809992132173</c:v>
                </c:pt>
                <c:pt idx="177">
                  <c:v>0.92288131182472211</c:v>
                </c:pt>
                <c:pt idx="178">
                  <c:v>0.92197608839568601</c:v>
                </c:pt>
                <c:pt idx="179">
                  <c:v>0.92109614251939331</c:v>
                </c:pt>
                <c:pt idx="180">
                  <c:v>0.92024559587679111</c:v>
                </c:pt>
                <c:pt idx="181">
                  <c:v>0.91942039257365515</c:v>
                </c:pt>
                <c:pt idx="182">
                  <c:v>0.91861830199980188</c:v>
                </c:pt>
                <c:pt idx="183">
                  <c:v>0.91783555969376429</c:v>
                </c:pt>
                <c:pt idx="184">
                  <c:v>0.91706877459797598</c:v>
                </c:pt>
                <c:pt idx="185">
                  <c:v>0.91631413411867435</c:v>
                </c:pt>
                <c:pt idx="186">
                  <c:v>0.9155692189559177</c:v>
                </c:pt>
                <c:pt idx="187">
                  <c:v>0.91483078665133133</c:v>
                </c:pt>
                <c:pt idx="188">
                  <c:v>0.91409602281210001</c:v>
                </c:pt>
                <c:pt idx="189">
                  <c:v>0.91336093771019389</c:v>
                </c:pt>
                <c:pt idx="190">
                  <c:v>0.91262048383924999</c:v>
                </c:pt>
                <c:pt idx="191">
                  <c:v>0.91187089888836925</c:v>
                </c:pt>
                <c:pt idx="192">
                  <c:v>0.91111178063349185</c:v>
                </c:pt>
                <c:pt idx="193">
                  <c:v>0.91034110397877221</c:v>
                </c:pt>
                <c:pt idx="194">
                  <c:v>0.90956047067715118</c:v>
                </c:pt>
                <c:pt idx="195">
                  <c:v>0.90877022632631244</c:v>
                </c:pt>
                <c:pt idx="196">
                  <c:v>0.90797165572373462</c:v>
                </c:pt>
                <c:pt idx="197">
                  <c:v>0.90716553134688971</c:v>
                </c:pt>
                <c:pt idx="198">
                  <c:v>0.90635295936425975</c:v>
                </c:pt>
                <c:pt idx="199">
                  <c:v>0.90553514229357335</c:v>
                </c:pt>
                <c:pt idx="200">
                  <c:v>0.90471212180724203</c:v>
                </c:pt>
                <c:pt idx="201">
                  <c:v>0.90388451056635</c:v>
                </c:pt>
                <c:pt idx="202">
                  <c:v>0.90305367788436208</c:v>
                </c:pt>
                <c:pt idx="203">
                  <c:v>0.90222142876810218</c:v>
                </c:pt>
                <c:pt idx="204">
                  <c:v>0.90138762550973084</c:v>
                </c:pt>
                <c:pt idx="205">
                  <c:v>0.90055086436309195</c:v>
                </c:pt>
                <c:pt idx="206">
                  <c:v>0.89971305059345907</c:v>
                </c:pt>
                <c:pt idx="207">
                  <c:v>0.89887427492578442</c:v>
                </c:pt>
                <c:pt idx="208">
                  <c:v>0.89803383166092499</c:v>
                </c:pt>
                <c:pt idx="209">
                  <c:v>0.89719281550872665</c:v>
                </c:pt>
                <c:pt idx="210">
                  <c:v>0.89635086829308097</c:v>
                </c:pt>
                <c:pt idx="211">
                  <c:v>0.89550809641781037</c:v>
                </c:pt>
                <c:pt idx="212">
                  <c:v>0.89466315111037864</c:v>
                </c:pt>
                <c:pt idx="213">
                  <c:v>0.89381668437196427</c:v>
                </c:pt>
                <c:pt idx="214">
                  <c:v>0.89296934671734352</c:v>
                </c:pt>
                <c:pt idx="215">
                  <c:v>0.89212019720359848</c:v>
                </c:pt>
                <c:pt idx="216">
                  <c:v>0.89127026229553818</c:v>
                </c:pt>
                <c:pt idx="217">
                  <c:v>0.89041705980490615</c:v>
                </c:pt>
                <c:pt idx="218">
                  <c:v>0.88956084428807647</c:v>
                </c:pt>
                <c:pt idx="219">
                  <c:v>0.88870025127719721</c:v>
                </c:pt>
                <c:pt idx="220">
                  <c:v>0.88783693483956072</c:v>
                </c:pt>
                <c:pt idx="221">
                  <c:v>0.88696803893285714</c:v>
                </c:pt>
                <c:pt idx="222">
                  <c:v>0.8860913565737395</c:v>
                </c:pt>
                <c:pt idx="223">
                  <c:v>0.88520662061059752</c:v>
                </c:pt>
                <c:pt idx="224">
                  <c:v>0.88431247858668682</c:v>
                </c:pt>
                <c:pt idx="225">
                  <c:v>0.88340710894191732</c:v>
                </c:pt>
                <c:pt idx="226">
                  <c:v>0.88249187035372656</c:v>
                </c:pt>
                <c:pt idx="227">
                  <c:v>0.88156560456620381</c:v>
                </c:pt>
                <c:pt idx="228">
                  <c:v>0.88062668207989514</c:v>
                </c:pt>
                <c:pt idx="229">
                  <c:v>0.87967859047508368</c:v>
                </c:pt>
                <c:pt idx="230">
                  <c:v>0.87872658824987604</c:v>
                </c:pt>
                <c:pt idx="231">
                  <c:v>0.87777164824085108</c:v>
                </c:pt>
                <c:pt idx="232">
                  <c:v>0.87681892437260023</c:v>
                </c:pt>
                <c:pt idx="233">
                  <c:v>0.87587329118623958</c:v>
                </c:pt>
                <c:pt idx="234">
                  <c:v>0.87493756177269599</c:v>
                </c:pt>
                <c:pt idx="235">
                  <c:v>0.87401683797637053</c:v>
                </c:pt>
                <c:pt idx="236">
                  <c:v>0.87311503338042029</c:v>
                </c:pt>
                <c:pt idx="237">
                  <c:v>0.87223437456286412</c:v>
                </c:pt>
                <c:pt idx="238">
                  <c:v>0.87137930825637799</c:v>
                </c:pt>
                <c:pt idx="239">
                  <c:v>0.87055392103061768</c:v>
                </c:pt>
                <c:pt idx="240">
                  <c:v>0.86976164666481004</c:v>
                </c:pt>
                <c:pt idx="241">
                  <c:v>0.86900114301618747</c:v>
                </c:pt>
                <c:pt idx="242">
                  <c:v>0.86826782748546261</c:v>
                </c:pt>
                <c:pt idx="243">
                  <c:v>0.86755777414590574</c:v>
                </c:pt>
                <c:pt idx="244">
                  <c:v>0.86686692295928225</c:v>
                </c:pt>
                <c:pt idx="245">
                  <c:v>0.86619259519447855</c:v>
                </c:pt>
                <c:pt idx="246">
                  <c:v>0.8655307177539453</c:v>
                </c:pt>
                <c:pt idx="247">
                  <c:v>0.86487576778083375</c:v>
                </c:pt>
                <c:pt idx="248">
                  <c:v>0.86422610687852197</c:v>
                </c:pt>
                <c:pt idx="249">
                  <c:v>0.86357819983967177</c:v>
                </c:pt>
                <c:pt idx="250">
                  <c:v>0.86292740451065797</c:v>
                </c:pt>
                <c:pt idx="251">
                  <c:v>0.86227107462177199</c:v>
                </c:pt>
                <c:pt idx="252">
                  <c:v>0.86160431712471552</c:v>
                </c:pt>
                <c:pt idx="253">
                  <c:v>0.86092868202148509</c:v>
                </c:pt>
                <c:pt idx="254">
                  <c:v>0.86024470252602914</c:v>
                </c:pt>
                <c:pt idx="255">
                  <c:v>0.85955244525705155</c:v>
                </c:pt>
                <c:pt idx="256">
                  <c:v>0.85885348630606484</c:v>
                </c:pt>
                <c:pt idx="257">
                  <c:v>0.85814807286644923</c:v>
                </c:pt>
                <c:pt idx="258">
                  <c:v>0.85743562817063346</c:v>
                </c:pt>
                <c:pt idx="259">
                  <c:v>0.85671790172004469</c:v>
                </c:pt>
                <c:pt idx="260">
                  <c:v>0.85599749007168779</c:v>
                </c:pt>
                <c:pt idx="261">
                  <c:v>0.85527527059170905</c:v>
                </c:pt>
                <c:pt idx="262">
                  <c:v>0.85455177791887504</c:v>
                </c:pt>
                <c:pt idx="263">
                  <c:v>0.85382913508206959</c:v>
                </c:pt>
                <c:pt idx="264">
                  <c:v>0.85310724667378746</c:v>
                </c:pt>
                <c:pt idx="265">
                  <c:v>0.85238685715207152</c:v>
                </c:pt>
                <c:pt idx="266">
                  <c:v>0.85166669752360102</c:v>
                </c:pt>
                <c:pt idx="267">
                  <c:v>0.85094678420350855</c:v>
                </c:pt>
                <c:pt idx="268">
                  <c:v>0.85022794072814789</c:v>
                </c:pt>
                <c:pt idx="269">
                  <c:v>0.84950997860320343</c:v>
                </c:pt>
                <c:pt idx="270">
                  <c:v>0.84879418026828302</c:v>
                </c:pt>
                <c:pt idx="271">
                  <c:v>0.8480802605592157</c:v>
                </c:pt>
                <c:pt idx="272">
                  <c:v>0.84736728468438771</c:v>
                </c:pt>
                <c:pt idx="273">
                  <c:v>0.84665587599463776</c:v>
                </c:pt>
                <c:pt idx="274">
                  <c:v>0.84594432473077363</c:v>
                </c:pt>
                <c:pt idx="275">
                  <c:v>0.845234636172986</c:v>
                </c:pt>
                <c:pt idx="276">
                  <c:v>0.84452576873787888</c:v>
                </c:pt>
                <c:pt idx="277">
                  <c:v>0.84381733749916565</c:v>
                </c:pt>
                <c:pt idx="278">
                  <c:v>0.84310823693127424</c:v>
                </c:pt>
                <c:pt idx="279">
                  <c:v>0.84239774824399671</c:v>
                </c:pt>
                <c:pt idx="280">
                  <c:v>0.84168506090802109</c:v>
                </c:pt>
                <c:pt idx="281">
                  <c:v>0.84096836143769238</c:v>
                </c:pt>
                <c:pt idx="282">
                  <c:v>0.84024773210072812</c:v>
                </c:pt>
                <c:pt idx="283">
                  <c:v>0.83952051320640886</c:v>
                </c:pt>
                <c:pt idx="284">
                  <c:v>0.83878530576577881</c:v>
                </c:pt>
                <c:pt idx="285">
                  <c:v>0.83804211613434487</c:v>
                </c:pt>
                <c:pt idx="286">
                  <c:v>0.83729051566301615</c:v>
                </c:pt>
                <c:pt idx="287">
                  <c:v>0.83653047790959256</c:v>
                </c:pt>
                <c:pt idx="288">
                  <c:v>0.83576027531935948</c:v>
                </c:pt>
                <c:pt idx="289">
                  <c:v>0.83498318416070572</c:v>
                </c:pt>
                <c:pt idx="290">
                  <c:v>0.83420650705702926</c:v>
                </c:pt>
                <c:pt idx="291">
                  <c:v>0.83343265066516192</c:v>
                </c:pt>
                <c:pt idx="292">
                  <c:v>0.83266402003143458</c:v>
                </c:pt>
                <c:pt idx="293">
                  <c:v>0.8319039028251789</c:v>
                </c:pt>
                <c:pt idx="294">
                  <c:v>0.8311552403944491</c:v>
                </c:pt>
                <c:pt idx="295">
                  <c:v>0.8304228599959661</c:v>
                </c:pt>
                <c:pt idx="296">
                  <c:v>0.82970880610690467</c:v>
                </c:pt>
                <c:pt idx="297">
                  <c:v>0.82901750042824518</c:v>
                </c:pt>
                <c:pt idx="298">
                  <c:v>0.82835259479319268</c:v>
                </c:pt>
                <c:pt idx="299">
                  <c:v>0.82771812654251253</c:v>
                </c:pt>
                <c:pt idx="300">
                  <c:v>0.82711869931299176</c:v>
                </c:pt>
                <c:pt idx="301">
                  <c:v>0.8265508271088321</c:v>
                </c:pt>
                <c:pt idx="302">
                  <c:v>0.82601115314825801</c:v>
                </c:pt>
                <c:pt idx="303">
                  <c:v>0.82549456155645506</c:v>
                </c:pt>
                <c:pt idx="304">
                  <c:v>0.8249970381751085</c:v>
                </c:pt>
                <c:pt idx="305">
                  <c:v>0.82451571296577442</c:v>
                </c:pt>
                <c:pt idx="306">
                  <c:v>0.82404865509462966</c:v>
                </c:pt>
                <c:pt idx="307">
                  <c:v>0.82359249483353503</c:v>
                </c:pt>
                <c:pt idx="308">
                  <c:v>0.82314169933945125</c:v>
                </c:pt>
                <c:pt idx="309">
                  <c:v>0.8226937530448073</c:v>
                </c:pt>
                <c:pt idx="310">
                  <c:v>0.822244534291248</c:v>
                </c:pt>
                <c:pt idx="311">
                  <c:v>0.82179011246988121</c:v>
                </c:pt>
                <c:pt idx="312">
                  <c:v>0.82132725300151288</c:v>
                </c:pt>
                <c:pt idx="313">
                  <c:v>0.82085596448809461</c:v>
                </c:pt>
                <c:pt idx="314">
                  <c:v>0.82037791024881845</c:v>
                </c:pt>
                <c:pt idx="315">
                  <c:v>0.81989271435079503</c:v>
                </c:pt>
                <c:pt idx="316">
                  <c:v>0.81940347159597571</c:v>
                </c:pt>
                <c:pt idx="317">
                  <c:v>0.81890952963362795</c:v>
                </c:pt>
                <c:pt idx="318">
                  <c:v>0.81841214749609192</c:v>
                </c:pt>
                <c:pt idx="319">
                  <c:v>0.8179113811278842</c:v>
                </c:pt>
                <c:pt idx="320">
                  <c:v>0.81740943536902655</c:v>
                </c:pt>
                <c:pt idx="321">
                  <c:v>0.81690735966687344</c:v>
                </c:pt>
                <c:pt idx="322">
                  <c:v>0.81640630000028691</c:v>
                </c:pt>
                <c:pt idx="323">
                  <c:v>0.81590472067276854</c:v>
                </c:pt>
                <c:pt idx="324">
                  <c:v>0.81540292248324442</c:v>
                </c:pt>
                <c:pt idx="325">
                  <c:v>0.81490509015354173</c:v>
                </c:pt>
                <c:pt idx="326">
                  <c:v>0.81440874552189846</c:v>
                </c:pt>
                <c:pt idx="327">
                  <c:v>0.81391504578213536</c:v>
                </c:pt>
                <c:pt idx="328">
                  <c:v>0.81342306582674384</c:v>
                </c:pt>
                <c:pt idx="329">
                  <c:v>0.81293112595602957</c:v>
                </c:pt>
                <c:pt idx="330">
                  <c:v>0.81244091155923193</c:v>
                </c:pt>
                <c:pt idx="331">
                  <c:v>0.81195328455034432</c:v>
                </c:pt>
                <c:pt idx="332">
                  <c:v>0.81146748050655226</c:v>
                </c:pt>
                <c:pt idx="333">
                  <c:v>0.81098206192086653</c:v>
                </c:pt>
                <c:pt idx="334">
                  <c:v>0.81049794182758383</c:v>
                </c:pt>
                <c:pt idx="335">
                  <c:v>0.81001431257019751</c:v>
                </c:pt>
                <c:pt idx="336">
                  <c:v>0.80953108035955967</c:v>
                </c:pt>
                <c:pt idx="337">
                  <c:v>0.80904733605155399</c:v>
                </c:pt>
                <c:pt idx="338">
                  <c:v>0.80856351316052977</c:v>
                </c:pt>
                <c:pt idx="339">
                  <c:v>0.80807963163971164</c:v>
                </c:pt>
                <c:pt idx="340">
                  <c:v>0.8075965459370289</c:v>
                </c:pt>
                <c:pt idx="341">
                  <c:v>0.80711461317515809</c:v>
                </c:pt>
                <c:pt idx="342">
                  <c:v>0.80663429836937106</c:v>
                </c:pt>
                <c:pt idx="343">
                  <c:v>0.80615544067509837</c:v>
                </c:pt>
                <c:pt idx="344">
                  <c:v>0.80567401675417283</c:v>
                </c:pt>
                <c:pt idx="345">
                  <c:v>0.80519212907243265</c:v>
                </c:pt>
                <c:pt idx="346">
                  <c:v>0.80471184997464285</c:v>
                </c:pt>
                <c:pt idx="347">
                  <c:v>0.80423324508275784</c:v>
                </c:pt>
                <c:pt idx="348">
                  <c:v>0.80375350466907425</c:v>
                </c:pt>
                <c:pt idx="349">
                  <c:v>0.8032719033436645</c:v>
                </c:pt>
                <c:pt idx="350">
                  <c:v>0.80279124648056588</c:v>
                </c:pt>
                <c:pt idx="351">
                  <c:v>0.80230939705376858</c:v>
                </c:pt>
                <c:pt idx="352">
                  <c:v>0.80182629392612803</c:v>
                </c:pt>
                <c:pt idx="353">
                  <c:v>0.80134359807154987</c:v>
                </c:pt>
                <c:pt idx="354">
                  <c:v>0.80086272064904762</c:v>
                </c:pt>
                <c:pt idx="355">
                  <c:v>0.80038361660850776</c:v>
                </c:pt>
                <c:pt idx="356">
                  <c:v>0.79990408719011252</c:v>
                </c:pt>
                <c:pt idx="357">
                  <c:v>0.7994269721069025</c:v>
                </c:pt>
                <c:pt idx="358">
                  <c:v>0.79895238097259202</c:v>
                </c:pt>
                <c:pt idx="359">
                  <c:v>0.79847816912272584</c:v>
                </c:pt>
                <c:pt idx="360">
                  <c:v>0.79800592543544446</c:v>
                </c:pt>
                <c:pt idx="361">
                  <c:v>0.79753181475992596</c:v>
                </c:pt>
                <c:pt idx="362">
                  <c:v>0.79705798376760839</c:v>
                </c:pt>
                <c:pt idx="363">
                  <c:v>0.79658569618485897</c:v>
                </c:pt>
                <c:pt idx="364">
                  <c:v>0.7961126204864073</c:v>
                </c:pt>
                <c:pt idx="365">
                  <c:v>0.7956420538958402</c:v>
                </c:pt>
                <c:pt idx="366">
                  <c:v>0.795174658909794</c:v>
                </c:pt>
                <c:pt idx="367">
                  <c:v>0.79470749927476592</c:v>
                </c:pt>
                <c:pt idx="368">
                  <c:v>0.79424142898882499</c:v>
                </c:pt>
                <c:pt idx="369">
                  <c:v>0.79377521874341617</c:v>
                </c:pt>
                <c:pt idx="370">
                  <c:v>0.79330932202061144</c:v>
                </c:pt>
                <c:pt idx="371">
                  <c:v>0.79284195604766794</c:v>
                </c:pt>
                <c:pt idx="372">
                  <c:v>0.79237780811024794</c:v>
                </c:pt>
                <c:pt idx="373">
                  <c:v>0.79191473380550093</c:v>
                </c:pt>
                <c:pt idx="374">
                  <c:v>0.79145307046187163</c:v>
                </c:pt>
                <c:pt idx="375">
                  <c:v>0.79099232240388151</c:v>
                </c:pt>
                <c:pt idx="376">
                  <c:v>0.79053229559368943</c:v>
                </c:pt>
                <c:pt idx="377">
                  <c:v>0.79007422953478956</c:v>
                </c:pt>
                <c:pt idx="378">
                  <c:v>0.78961685067864751</c:v>
                </c:pt>
                <c:pt idx="379">
                  <c:v>0.78916182465497875</c:v>
                </c:pt>
                <c:pt idx="380">
                  <c:v>0.78870607238511226</c:v>
                </c:pt>
                <c:pt idx="381">
                  <c:v>0.78825207802603758</c:v>
                </c:pt>
                <c:pt idx="382">
                  <c:v>0.78780248131059327</c:v>
                </c:pt>
                <c:pt idx="383">
                  <c:v>0.78735242437506348</c:v>
                </c:pt>
                <c:pt idx="384">
                  <c:v>0.78690401347261585</c:v>
                </c:pt>
                <c:pt idx="385">
                  <c:v>0.7864567422230605</c:v>
                </c:pt>
                <c:pt idx="386">
                  <c:v>0.78601226529507962</c:v>
                </c:pt>
                <c:pt idx="387">
                  <c:v>0.7855674169097091</c:v>
                </c:pt>
                <c:pt idx="388">
                  <c:v>0.78512237503916338</c:v>
                </c:pt>
                <c:pt idx="389">
                  <c:v>0.78467899824118237</c:v>
                </c:pt>
                <c:pt idx="390">
                  <c:v>0.78423543956781561</c:v>
                </c:pt>
                <c:pt idx="391">
                  <c:v>0.78379360623102856</c:v>
                </c:pt>
                <c:pt idx="392">
                  <c:v>0.78335179629985985</c:v>
                </c:pt>
                <c:pt idx="393">
                  <c:v>0.78290841055038407</c:v>
                </c:pt>
                <c:pt idx="394">
                  <c:v>0.78246559349947031</c:v>
                </c:pt>
                <c:pt idx="395">
                  <c:v>0.78202190874293354</c:v>
                </c:pt>
                <c:pt idx="396">
                  <c:v>0.78157890621504167</c:v>
                </c:pt>
                <c:pt idx="397">
                  <c:v>0.78113441652280724</c:v>
                </c:pt>
                <c:pt idx="398">
                  <c:v>0.78069079624125959</c:v>
                </c:pt>
                <c:pt idx="399">
                  <c:v>0.78024824652540548</c:v>
                </c:pt>
                <c:pt idx="400">
                  <c:v>0.77980927788922361</c:v>
                </c:pt>
                <c:pt idx="401">
                  <c:v>0.7793691063888265</c:v>
                </c:pt>
                <c:pt idx="402">
                  <c:v>0.77892608705288469</c:v>
                </c:pt>
                <c:pt idx="403">
                  <c:v>0.77848170120771265</c:v>
                </c:pt>
                <c:pt idx="404">
                  <c:v>0.77803768921945582</c:v>
                </c:pt>
                <c:pt idx="405">
                  <c:v>0.77759550326524984</c:v>
                </c:pt>
                <c:pt idx="406">
                  <c:v>0.77715643480466756</c:v>
                </c:pt>
                <c:pt idx="407">
                  <c:v>0.77671769147784309</c:v>
                </c:pt>
                <c:pt idx="408">
                  <c:v>0.77627976561211598</c:v>
                </c:pt>
                <c:pt idx="409">
                  <c:v>0.77584301515437348</c:v>
                </c:pt>
                <c:pt idx="410">
                  <c:v>0.77540448382312566</c:v>
                </c:pt>
                <c:pt idx="411">
                  <c:v>0.7749657208315901</c:v>
                </c:pt>
                <c:pt idx="412">
                  <c:v>0.77452822179040959</c:v>
                </c:pt>
                <c:pt idx="413">
                  <c:v>0.77409304852930672</c:v>
                </c:pt>
                <c:pt idx="414">
                  <c:v>0.77365790388367117</c:v>
                </c:pt>
                <c:pt idx="415">
                  <c:v>0.77322483685417498</c:v>
                </c:pt>
                <c:pt idx="416">
                  <c:v>0.77279165455749765</c:v>
                </c:pt>
                <c:pt idx="417">
                  <c:v>0.77235946373146103</c:v>
                </c:pt>
                <c:pt idx="418">
                  <c:v>0.77192626223010608</c:v>
                </c:pt>
                <c:pt idx="419">
                  <c:v>0.77149372357769741</c:v>
                </c:pt>
                <c:pt idx="420">
                  <c:v>0.77106403704071602</c:v>
                </c:pt>
                <c:pt idx="421">
                  <c:v>0.77063443450001967</c:v>
                </c:pt>
                <c:pt idx="422">
                  <c:v>0.77020674825079471</c:v>
                </c:pt>
                <c:pt idx="423">
                  <c:v>0.76977937906928184</c:v>
                </c:pt>
                <c:pt idx="424">
                  <c:v>0.76935193737037522</c:v>
                </c:pt>
                <c:pt idx="425">
                  <c:v>0.76892317072294947</c:v>
                </c:pt>
                <c:pt idx="426">
                  <c:v>0.76849495413839808</c:v>
                </c:pt>
                <c:pt idx="427">
                  <c:v>0.76806620626149646</c:v>
                </c:pt>
                <c:pt idx="428">
                  <c:v>0.76763895201161558</c:v>
                </c:pt>
                <c:pt idx="429">
                  <c:v>0.76721020603163392</c:v>
                </c:pt>
                <c:pt idx="430">
                  <c:v>0.76677786798028758</c:v>
                </c:pt>
                <c:pt idx="431">
                  <c:v>0.76634394113602022</c:v>
                </c:pt>
                <c:pt idx="432">
                  <c:v>0.76590940725437562</c:v>
                </c:pt>
                <c:pt idx="433">
                  <c:v>0.76547444544011112</c:v>
                </c:pt>
                <c:pt idx="434">
                  <c:v>0.76503954150118592</c:v>
                </c:pt>
                <c:pt idx="435">
                  <c:v>0.76460242918301735</c:v>
                </c:pt>
                <c:pt idx="436">
                  <c:v>0.76416411200769052</c:v>
                </c:pt>
                <c:pt idx="437">
                  <c:v>0.76372598005933989</c:v>
                </c:pt>
                <c:pt idx="438">
                  <c:v>0.76328556954231486</c:v>
                </c:pt>
                <c:pt idx="439">
                  <c:v>0.76284431756573579</c:v>
                </c:pt>
                <c:pt idx="440">
                  <c:v>0.76240398310199986</c:v>
                </c:pt>
                <c:pt idx="441">
                  <c:v>0.76196403447405081</c:v>
                </c:pt>
                <c:pt idx="442">
                  <c:v>0.76152154342124878</c:v>
                </c:pt>
                <c:pt idx="443">
                  <c:v>0.76107922017285212</c:v>
                </c:pt>
                <c:pt idx="444">
                  <c:v>0.76063854653438812</c:v>
                </c:pt>
                <c:pt idx="445">
                  <c:v>0.76019682075714112</c:v>
                </c:pt>
                <c:pt idx="446">
                  <c:v>0.75975765863401334</c:v>
                </c:pt>
                <c:pt idx="447">
                  <c:v>0.75932027496771781</c:v>
                </c:pt>
                <c:pt idx="448">
                  <c:v>0.75888046828831113</c:v>
                </c:pt>
                <c:pt idx="449">
                  <c:v>0.7584407012303902</c:v>
                </c:pt>
                <c:pt idx="450">
                  <c:v>0.7580023589807835</c:v>
                </c:pt>
                <c:pt idx="451">
                  <c:v>0.75756558960260767</c:v>
                </c:pt>
                <c:pt idx="452">
                  <c:v>0.75713110721739307</c:v>
                </c:pt>
                <c:pt idx="453">
                  <c:v>0.75669631342821553</c:v>
                </c:pt>
                <c:pt idx="454">
                  <c:v>0.75626167345285689</c:v>
                </c:pt>
                <c:pt idx="455">
                  <c:v>0.75582368842380088</c:v>
                </c:pt>
                <c:pt idx="456">
                  <c:v>0.75538686867661975</c:v>
                </c:pt>
                <c:pt idx="457">
                  <c:v>0.75494835959529139</c:v>
                </c:pt>
                <c:pt idx="458">
                  <c:v>0.75450900161022638</c:v>
                </c:pt>
                <c:pt idx="459">
                  <c:v>0.75406860891142968</c:v>
                </c:pt>
                <c:pt idx="460">
                  <c:v>0.75362504899386018</c:v>
                </c:pt>
                <c:pt idx="461">
                  <c:v>0.75317874846116406</c:v>
                </c:pt>
                <c:pt idx="462">
                  <c:v>0.75273128258177635</c:v>
                </c:pt>
                <c:pt idx="463">
                  <c:v>0.75228261870715873</c:v>
                </c:pt>
                <c:pt idx="464">
                  <c:v>0.75183348298073449</c:v>
                </c:pt>
                <c:pt idx="465">
                  <c:v>0.75138360571071117</c:v>
                </c:pt>
                <c:pt idx="466">
                  <c:v>0.75093479907272043</c:v>
                </c:pt>
                <c:pt idx="467">
                  <c:v>0.75048602155685418</c:v>
                </c:pt>
                <c:pt idx="468">
                  <c:v>0.75003773703347043</c:v>
                </c:pt>
                <c:pt idx="469">
                  <c:v>0.74958825350423219</c:v>
                </c:pt>
                <c:pt idx="470">
                  <c:v>0.74913803643286869</c:v>
                </c:pt>
                <c:pt idx="471">
                  <c:v>0.74869059175450958</c:v>
                </c:pt>
                <c:pt idx="472">
                  <c:v>0.7482435077854348</c:v>
                </c:pt>
                <c:pt idx="473">
                  <c:v>0.74779872464566854</c:v>
                </c:pt>
                <c:pt idx="474">
                  <c:v>0.74735491306781554</c:v>
                </c:pt>
                <c:pt idx="475">
                  <c:v>0.74690982202744771</c:v>
                </c:pt>
                <c:pt idx="476">
                  <c:v>0.74646492932130348</c:v>
                </c:pt>
                <c:pt idx="477">
                  <c:v>0.74602128070325358</c:v>
                </c:pt>
                <c:pt idx="478">
                  <c:v>0.74557866603159517</c:v>
                </c:pt>
                <c:pt idx="479">
                  <c:v>0.74513650611852233</c:v>
                </c:pt>
                <c:pt idx="480">
                  <c:v>0.74469476250456212</c:v>
                </c:pt>
                <c:pt idx="481">
                  <c:v>0.74425535255128683</c:v>
                </c:pt>
                <c:pt idx="482">
                  <c:v>0.74381849892022756</c:v>
                </c:pt>
                <c:pt idx="483">
                  <c:v>0.74338031840553598</c:v>
                </c:pt>
                <c:pt idx="484">
                  <c:v>0.742940933848667</c:v>
                </c:pt>
                <c:pt idx="485">
                  <c:v>0.74249975422360592</c:v>
                </c:pt>
                <c:pt idx="486">
                  <c:v>0.74206020818885543</c:v>
                </c:pt>
                <c:pt idx="487">
                  <c:v>0.74161849074690978</c:v>
                </c:pt>
                <c:pt idx="488">
                  <c:v>0.74117605610427673</c:v>
                </c:pt>
                <c:pt idx="489">
                  <c:v>0.74073661304795058</c:v>
                </c:pt>
                <c:pt idx="490">
                  <c:v>0.74029606541491633</c:v>
                </c:pt>
                <c:pt idx="491">
                  <c:v>0.73985696190736128</c:v>
                </c:pt>
                <c:pt idx="492">
                  <c:v>0.73941767517468426</c:v>
                </c:pt>
                <c:pt idx="493">
                  <c:v>0.73897876047313393</c:v>
                </c:pt>
                <c:pt idx="494">
                  <c:v>0.73853907857318157</c:v>
                </c:pt>
                <c:pt idx="495">
                  <c:v>0.73810098378899558</c:v>
                </c:pt>
                <c:pt idx="496">
                  <c:v>0.73766313056279098</c:v>
                </c:pt>
                <c:pt idx="497">
                  <c:v>0.73722317461967879</c:v>
                </c:pt>
                <c:pt idx="498">
                  <c:v>0.73678394071004516</c:v>
                </c:pt>
                <c:pt idx="499">
                  <c:v>0.73634663835069147</c:v>
                </c:pt>
                <c:pt idx="500">
                  <c:v>0.73590996330168479</c:v>
                </c:pt>
                <c:pt idx="501">
                  <c:v>0.73547465338483142</c:v>
                </c:pt>
                <c:pt idx="502">
                  <c:v>0.73503814994019356</c:v>
                </c:pt>
                <c:pt idx="503">
                  <c:v>0.73460285401685188</c:v>
                </c:pt>
                <c:pt idx="504">
                  <c:v>0.7341691150145121</c:v>
                </c:pt>
                <c:pt idx="505">
                  <c:v>0.73373571166122387</c:v>
                </c:pt>
                <c:pt idx="506">
                  <c:v>0.73330045851383496</c:v>
                </c:pt>
                <c:pt idx="507">
                  <c:v>0.73286358573330657</c:v>
                </c:pt>
                <c:pt idx="508">
                  <c:v>0.73242427713624947</c:v>
                </c:pt>
                <c:pt idx="509">
                  <c:v>0.73198718806168683</c:v>
                </c:pt>
                <c:pt idx="510">
                  <c:v>0.73154969069389864</c:v>
                </c:pt>
                <c:pt idx="511">
                  <c:v>0.73111417822112768</c:v>
                </c:pt>
                <c:pt idx="512">
                  <c:v>0.73067863621127349</c:v>
                </c:pt>
                <c:pt idx="513">
                  <c:v>0.73024294993467898</c:v>
                </c:pt>
                <c:pt idx="514">
                  <c:v>0.72980744179826795</c:v>
                </c:pt>
                <c:pt idx="515">
                  <c:v>0.72937434017505087</c:v>
                </c:pt>
                <c:pt idx="516">
                  <c:v>0.72893722528546767</c:v>
                </c:pt>
                <c:pt idx="517">
                  <c:v>0.72849772292981652</c:v>
                </c:pt>
                <c:pt idx="518">
                  <c:v>0.72805838844527948</c:v>
                </c:pt>
                <c:pt idx="519">
                  <c:v>0.72762110267240143</c:v>
                </c:pt>
                <c:pt idx="520">
                  <c:v>0.72718397718203076</c:v>
                </c:pt>
                <c:pt idx="521">
                  <c:v>0.72674919790616055</c:v>
                </c:pt>
                <c:pt idx="522">
                  <c:v>0.72631491154458205</c:v>
                </c:pt>
                <c:pt idx="523">
                  <c:v>0.72588058182635196</c:v>
                </c:pt>
                <c:pt idx="524">
                  <c:v>0.72544402470624525</c:v>
                </c:pt>
                <c:pt idx="525">
                  <c:v>0.725005839654557</c:v>
                </c:pt>
                <c:pt idx="526">
                  <c:v>0.7245680517327896</c:v>
                </c:pt>
                <c:pt idx="527">
                  <c:v>0.72413042256986915</c:v>
                </c:pt>
                <c:pt idx="528">
                  <c:v>0.7236918997240297</c:v>
                </c:pt>
                <c:pt idx="529">
                  <c:v>0.72325489256377862</c:v>
                </c:pt>
                <c:pt idx="530">
                  <c:v>0.72281864994037281</c:v>
                </c:pt>
                <c:pt idx="531">
                  <c:v>0.72238101268285859</c:v>
                </c:pt>
                <c:pt idx="532">
                  <c:v>0.7219460279893668</c:v>
                </c:pt>
                <c:pt idx="533">
                  <c:v>0.72151095607779892</c:v>
                </c:pt>
                <c:pt idx="534">
                  <c:v>0.72107829469671758</c:v>
                </c:pt>
                <c:pt idx="535">
                  <c:v>0.72064715551383884</c:v>
                </c:pt>
                <c:pt idx="536">
                  <c:v>0.72021617706529784</c:v>
                </c:pt>
                <c:pt idx="537">
                  <c:v>0.71978277525229239</c:v>
                </c:pt>
                <c:pt idx="538">
                  <c:v>0.71935167636559771</c:v>
                </c:pt>
                <c:pt idx="539">
                  <c:v>0.71892518185651155</c:v>
                </c:pt>
                <c:pt idx="540">
                  <c:v>0.7185016360494193</c:v>
                </c:pt>
                <c:pt idx="541">
                  <c:v>0.71807518140720594</c:v>
                </c:pt>
                <c:pt idx="542">
                  <c:v>0.71764668309422741</c:v>
                </c:pt>
                <c:pt idx="543">
                  <c:v>0.71721653054399503</c:v>
                </c:pt>
                <c:pt idx="544">
                  <c:v>0.71678616049012578</c:v>
                </c:pt>
                <c:pt idx="545">
                  <c:v>0.71635098942020403</c:v>
                </c:pt>
                <c:pt idx="546">
                  <c:v>0.71591182057812464</c:v>
                </c:pt>
                <c:pt idx="547">
                  <c:v>0.71547241274038365</c:v>
                </c:pt>
                <c:pt idx="548">
                  <c:v>0.71503066918843905</c:v>
                </c:pt>
                <c:pt idx="549">
                  <c:v>0.71458796144223879</c:v>
                </c:pt>
                <c:pt idx="550">
                  <c:v>0.71414671786803718</c:v>
                </c:pt>
                <c:pt idx="551">
                  <c:v>0.71370697548444084</c:v>
                </c:pt>
                <c:pt idx="552">
                  <c:v>0.71326534605571612</c:v>
                </c:pt>
                <c:pt idx="553">
                  <c:v>0.71282427104174229</c:v>
                </c:pt>
                <c:pt idx="554">
                  <c:v>0.7123797188379466</c:v>
                </c:pt>
                <c:pt idx="555">
                  <c:v>0.71193487285362966</c:v>
                </c:pt>
                <c:pt idx="556">
                  <c:v>0.71148637035626627</c:v>
                </c:pt>
                <c:pt idx="557">
                  <c:v>0.71103677903680984</c:v>
                </c:pt>
                <c:pt idx="558">
                  <c:v>0.7105838573923825</c:v>
                </c:pt>
                <c:pt idx="559">
                  <c:v>0.710128975093683</c:v>
                </c:pt>
                <c:pt idx="560">
                  <c:v>0.70967393095117948</c:v>
                </c:pt>
                <c:pt idx="561">
                  <c:v>0.70921950250578558</c:v>
                </c:pt>
                <c:pt idx="562">
                  <c:v>0.70876501371497858</c:v>
                </c:pt>
                <c:pt idx="563">
                  <c:v>0.7083091845489824</c:v>
                </c:pt>
                <c:pt idx="564">
                  <c:v>0.70785598726737786</c:v>
                </c:pt>
                <c:pt idx="565">
                  <c:v>0.70740249876787964</c:v>
                </c:pt>
                <c:pt idx="566">
                  <c:v>0.70694988796243019</c:v>
                </c:pt>
                <c:pt idx="567">
                  <c:v>0.70649554430773043</c:v>
                </c:pt>
                <c:pt idx="568">
                  <c:v>0.70603967095418507</c:v>
                </c:pt>
                <c:pt idx="569">
                  <c:v>0.70558265880782589</c:v>
                </c:pt>
                <c:pt idx="570">
                  <c:v>0.705128040590428</c:v>
                </c:pt>
                <c:pt idx="571">
                  <c:v>0.70467758227358657</c:v>
                </c:pt>
                <c:pt idx="572">
                  <c:v>0.7042280781147976</c:v>
                </c:pt>
                <c:pt idx="573">
                  <c:v>0.70377669619074901</c:v>
                </c:pt>
                <c:pt idx="574">
                  <c:v>0.70332491923810514</c:v>
                </c:pt>
                <c:pt idx="575">
                  <c:v>0.70287363069798325</c:v>
                </c:pt>
                <c:pt idx="576">
                  <c:v>0.70242109040753153</c:v>
                </c:pt>
                <c:pt idx="577">
                  <c:v>0.70197077426715537</c:v>
                </c:pt>
                <c:pt idx="578">
                  <c:v>0.70152212571487882</c:v>
                </c:pt>
                <c:pt idx="579">
                  <c:v>0.70107326678274129</c:v>
                </c:pt>
                <c:pt idx="580">
                  <c:v>0.70062507726289425</c:v>
                </c:pt>
                <c:pt idx="581">
                  <c:v>0.70017683514901108</c:v>
                </c:pt>
                <c:pt idx="582">
                  <c:v>0.69972564736532306</c:v>
                </c:pt>
                <c:pt idx="583">
                  <c:v>0.69927400874197243</c:v>
                </c:pt>
                <c:pt idx="584">
                  <c:v>0.69882287576535118</c:v>
                </c:pt>
                <c:pt idx="585">
                  <c:v>0.69837164074881675</c:v>
                </c:pt>
                <c:pt idx="586">
                  <c:v>0.6979203019957686</c:v>
                </c:pt>
                <c:pt idx="587">
                  <c:v>0.69746456837714221</c:v>
                </c:pt>
                <c:pt idx="588">
                  <c:v>0.69700717771837994</c:v>
                </c:pt>
                <c:pt idx="589">
                  <c:v>0.69654863027329639</c:v>
                </c:pt>
                <c:pt idx="590">
                  <c:v>0.69608918883889126</c:v>
                </c:pt>
                <c:pt idx="591">
                  <c:v>0.69563084100185935</c:v>
                </c:pt>
                <c:pt idx="592">
                  <c:v>0.69517030465587493</c:v>
                </c:pt>
                <c:pt idx="593">
                  <c:v>0.69471089230490335</c:v>
                </c:pt>
                <c:pt idx="594">
                  <c:v>0.69425082402758498</c:v>
                </c:pt>
                <c:pt idx="595">
                  <c:v>0.69379283999778996</c:v>
                </c:pt>
                <c:pt idx="596">
                  <c:v>0.69333821481061841</c:v>
                </c:pt>
                <c:pt idx="597">
                  <c:v>0.69288273413983126</c:v>
                </c:pt>
                <c:pt idx="598">
                  <c:v>0.69242363958759412</c:v>
                </c:pt>
                <c:pt idx="599">
                  <c:v>0.69196547294680022</c:v>
                </c:pt>
                <c:pt idx="600">
                  <c:v>0.69150633702584174</c:v>
                </c:pt>
                <c:pt idx="601">
                  <c:v>0.69104722917954375</c:v>
                </c:pt>
                <c:pt idx="602">
                  <c:v>0.69058615512450316</c:v>
                </c:pt>
                <c:pt idx="603">
                  <c:v>0.69012714225009975</c:v>
                </c:pt>
                <c:pt idx="604">
                  <c:v>0.68966732865998959</c:v>
                </c:pt>
                <c:pt idx="605">
                  <c:v>0.68920365430457631</c:v>
                </c:pt>
                <c:pt idx="606">
                  <c:v>0.68874083675819409</c:v>
                </c:pt>
                <c:pt idx="607">
                  <c:v>0.68827947142574153</c:v>
                </c:pt>
                <c:pt idx="608">
                  <c:v>0.68781651346264683</c:v>
                </c:pt>
                <c:pt idx="609">
                  <c:v>0.68735097250717792</c:v>
                </c:pt>
                <c:pt idx="610">
                  <c:v>0.68688196621147823</c:v>
                </c:pt>
                <c:pt idx="611">
                  <c:v>0.68641093560517663</c:v>
                </c:pt>
                <c:pt idx="612">
                  <c:v>0.68593828727143435</c:v>
                </c:pt>
                <c:pt idx="613">
                  <c:v>0.68546897654773986</c:v>
                </c:pt>
                <c:pt idx="614">
                  <c:v>0.68499935506876375</c:v>
                </c:pt>
                <c:pt idx="615">
                  <c:v>0.68452778651943269</c:v>
                </c:pt>
                <c:pt idx="616">
                  <c:v>0.68405992554182571</c:v>
                </c:pt>
                <c:pt idx="617">
                  <c:v>0.68359374821349572</c:v>
                </c:pt>
                <c:pt idx="618">
                  <c:v>0.68312885363815001</c:v>
                </c:pt>
                <c:pt idx="619">
                  <c:v>0.68266645659315339</c:v>
                </c:pt>
                <c:pt idx="620">
                  <c:v>0.6822022623096009</c:v>
                </c:pt>
                <c:pt idx="621">
                  <c:v>0.68173739029856106</c:v>
                </c:pt>
                <c:pt idx="622">
                  <c:v>0.68127235802400754</c:v>
                </c:pt>
                <c:pt idx="623">
                  <c:v>0.68080861365040302</c:v>
                </c:pt>
                <c:pt idx="624">
                  <c:v>0.68034719343384409</c:v>
                </c:pt>
                <c:pt idx="625">
                  <c:v>0.67988037006620972</c:v>
                </c:pt>
                <c:pt idx="626">
                  <c:v>0.67941046199755728</c:v>
                </c:pt>
                <c:pt idx="627">
                  <c:v>0.67894136488222356</c:v>
                </c:pt>
                <c:pt idx="628">
                  <c:v>0.67846959632370185</c:v>
                </c:pt>
                <c:pt idx="629">
                  <c:v>0.6779981074525262</c:v>
                </c:pt>
                <c:pt idx="630">
                  <c:v>0.67752526112197364</c:v>
                </c:pt>
                <c:pt idx="631">
                  <c:v>0.67705314232237623</c:v>
                </c:pt>
                <c:pt idx="632">
                  <c:v>0.67657751775223862</c:v>
                </c:pt>
                <c:pt idx="633">
                  <c:v>0.6761052987081787</c:v>
                </c:pt>
                <c:pt idx="634">
                  <c:v>0.67563351840032493</c:v>
                </c:pt>
                <c:pt idx="635">
                  <c:v>0.67515981538695768</c:v>
                </c:pt>
                <c:pt idx="636">
                  <c:v>0.67468139840252361</c:v>
                </c:pt>
                <c:pt idx="637">
                  <c:v>0.67420341655727123</c:v>
                </c:pt>
                <c:pt idx="638">
                  <c:v>0.67372526904643015</c:v>
                </c:pt>
                <c:pt idx="639">
                  <c:v>0.67324820008538167</c:v>
                </c:pt>
                <c:pt idx="640">
                  <c:v>0.6727705381452449</c:v>
                </c:pt>
                <c:pt idx="641">
                  <c:v>0.67229806648745127</c:v>
                </c:pt>
                <c:pt idx="642">
                  <c:v>0.67182794191156536</c:v>
                </c:pt>
                <c:pt idx="643">
                  <c:v>0.67135744784045115</c:v>
                </c:pt>
                <c:pt idx="644">
                  <c:v>0.67088849936816775</c:v>
                </c:pt>
                <c:pt idx="645">
                  <c:v>0.67041988385789564</c:v>
                </c:pt>
                <c:pt idx="646">
                  <c:v>0.6699519011046382</c:v>
                </c:pt>
                <c:pt idx="647">
                  <c:v>0.66948662125467517</c:v>
                </c:pt>
                <c:pt idx="648">
                  <c:v>0.66902224033003421</c:v>
                </c:pt>
                <c:pt idx="649">
                  <c:v>0.66856075078556043</c:v>
                </c:pt>
                <c:pt idx="650">
                  <c:v>0.66810039580752578</c:v>
                </c:pt>
                <c:pt idx="651">
                  <c:v>0.6676417044059374</c:v>
                </c:pt>
                <c:pt idx="652">
                  <c:v>0.66718686291770402</c:v>
                </c:pt>
                <c:pt idx="653">
                  <c:v>0.666733788621102</c:v>
                </c:pt>
                <c:pt idx="654">
                  <c:v>0.66628633743351795</c:v>
                </c:pt>
                <c:pt idx="655">
                  <c:v>0.66584044377255291</c:v>
                </c:pt>
                <c:pt idx="656">
                  <c:v>0.66539166624965984</c:v>
                </c:pt>
                <c:pt idx="657">
                  <c:v>0.66494500217698083</c:v>
                </c:pt>
                <c:pt idx="658">
                  <c:v>0.6645021969214554</c:v>
                </c:pt>
                <c:pt idx="659">
                  <c:v>0.66405718362535504</c:v>
                </c:pt>
                <c:pt idx="660">
                  <c:v>0.66361557454103404</c:v>
                </c:pt>
                <c:pt idx="661">
                  <c:v>0.6631765536392622</c:v>
                </c:pt>
                <c:pt idx="662">
                  <c:v>0.66273537974508512</c:v>
                </c:pt>
                <c:pt idx="663">
                  <c:v>0.66229431685980211</c:v>
                </c:pt>
                <c:pt idx="664">
                  <c:v>0.66185370812154742</c:v>
                </c:pt>
                <c:pt idx="665">
                  <c:v>0.66141249843324201</c:v>
                </c:pt>
                <c:pt idx="666">
                  <c:v>0.66097030563736825</c:v>
                </c:pt>
                <c:pt idx="667">
                  <c:v>0.6605282471629853</c:v>
                </c:pt>
                <c:pt idx="668">
                  <c:v>0.66008615568754536</c:v>
                </c:pt>
                <c:pt idx="669">
                  <c:v>0.65964119317244252</c:v>
                </c:pt>
                <c:pt idx="670">
                  <c:v>0.65919409147510832</c:v>
                </c:pt>
                <c:pt idx="671">
                  <c:v>0.65874327666976618</c:v>
                </c:pt>
                <c:pt idx="672">
                  <c:v>0.65828819267583105</c:v>
                </c:pt>
                <c:pt idx="673">
                  <c:v>0.65783314674403592</c:v>
                </c:pt>
                <c:pt idx="674">
                  <c:v>0.6573789604714434</c:v>
                </c:pt>
                <c:pt idx="675">
                  <c:v>0.65692665742024525</c:v>
                </c:pt>
                <c:pt idx="676">
                  <c:v>0.65647788810050656</c:v>
                </c:pt>
                <c:pt idx="677">
                  <c:v>0.65602912423743676</c:v>
                </c:pt>
                <c:pt idx="678">
                  <c:v>0.65558031426012087</c:v>
                </c:pt>
                <c:pt idx="679">
                  <c:v>0.65513373151142784</c:v>
                </c:pt>
                <c:pt idx="680">
                  <c:v>0.65469112618799208</c:v>
                </c:pt>
                <c:pt idx="681">
                  <c:v>0.65425271337508795</c:v>
                </c:pt>
                <c:pt idx="682">
                  <c:v>0.65382052689305814</c:v>
                </c:pt>
                <c:pt idx="683">
                  <c:v>0.65338842063698022</c:v>
                </c:pt>
                <c:pt idx="684">
                  <c:v>0.65295889958654907</c:v>
                </c:pt>
                <c:pt idx="685">
                  <c:v>0.65252652869462968</c:v>
                </c:pt>
                <c:pt idx="686">
                  <c:v>0.65209710611842142</c:v>
                </c:pt>
                <c:pt idx="687">
                  <c:v>0.65167066744548996</c:v>
                </c:pt>
                <c:pt idx="688">
                  <c:v>0.65124548013361228</c:v>
                </c:pt>
                <c:pt idx="689">
                  <c:v>0.65082483068170704</c:v>
                </c:pt>
                <c:pt idx="690">
                  <c:v>0.65040461517734394</c:v>
                </c:pt>
                <c:pt idx="691">
                  <c:v>0.64998287838730495</c:v>
                </c:pt>
                <c:pt idx="692">
                  <c:v>0.64956321239057102</c:v>
                </c:pt>
                <c:pt idx="693">
                  <c:v>0.64914405942934827</c:v>
                </c:pt>
                <c:pt idx="694">
                  <c:v>0.64872502924051245</c:v>
                </c:pt>
                <c:pt idx="695">
                  <c:v>0.64830827391785817</c:v>
                </c:pt>
                <c:pt idx="696">
                  <c:v>0.64788625482759721</c:v>
                </c:pt>
                <c:pt idx="697">
                  <c:v>0.64746327452898911</c:v>
                </c:pt>
                <c:pt idx="698">
                  <c:v>0.64704441564080872</c:v>
                </c:pt>
                <c:pt idx="699">
                  <c:v>0.6466249729114627</c:v>
                </c:pt>
                <c:pt idx="700">
                  <c:v>0.64620048227213112</c:v>
                </c:pt>
                <c:pt idx="701">
                  <c:v>0.64578134514167029</c:v>
                </c:pt>
                <c:pt idx="702">
                  <c:v>0.64536655885729821</c:v>
                </c:pt>
                <c:pt idx="703">
                  <c:v>0.64495378825113758</c:v>
                </c:pt>
                <c:pt idx="704">
                  <c:v>0.6445437700879818</c:v>
                </c:pt>
                <c:pt idx="705">
                  <c:v>0.64413289357806602</c:v>
                </c:pt>
                <c:pt idx="706">
                  <c:v>0.64372128738630585</c:v>
                </c:pt>
                <c:pt idx="707">
                  <c:v>0.64330916566640861</c:v>
                </c:pt>
                <c:pt idx="708">
                  <c:v>0.64289604061167593</c:v>
                </c:pt>
                <c:pt idx="709">
                  <c:v>0.64248315870256312</c:v>
                </c:pt>
                <c:pt idx="710">
                  <c:v>0.64206821416231785</c:v>
                </c:pt>
                <c:pt idx="711">
                  <c:v>0.64165238102947997</c:v>
                </c:pt>
                <c:pt idx="712">
                  <c:v>0.64123824969364829</c:v>
                </c:pt>
                <c:pt idx="713">
                  <c:v>0.64082343782095719</c:v>
                </c:pt>
                <c:pt idx="714">
                  <c:v>0.64041007692184215</c:v>
                </c:pt>
                <c:pt idx="715">
                  <c:v>0.63999389276851826</c:v>
                </c:pt>
                <c:pt idx="716">
                  <c:v>0.63957736299566537</c:v>
                </c:pt>
                <c:pt idx="717">
                  <c:v>0.63916139582787856</c:v>
                </c:pt>
                <c:pt idx="718">
                  <c:v>0.63874592651558104</c:v>
                </c:pt>
                <c:pt idx="719">
                  <c:v>0.63833375860617347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760704"/>
        <c:axId val="392785920"/>
      </c:lineChart>
      <c:catAx>
        <c:axId val="390760704"/>
        <c:scaling>
          <c:orientation val="minMax"/>
        </c:scaling>
        <c:delete val="0"/>
        <c:axPos val="b"/>
        <c:majorTickMark val="out"/>
        <c:minorTickMark val="none"/>
        <c:tickLblPos val="nextTo"/>
        <c:crossAx val="392785920"/>
        <c:crosses val="autoZero"/>
        <c:auto val="1"/>
        <c:lblAlgn val="ctr"/>
        <c:lblOffset val="100"/>
        <c:noMultiLvlLbl val="0"/>
      </c:catAx>
      <c:valAx>
        <c:axId val="39278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0760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Output!$Y$12:$Y$702</c:f>
              <c:numCache>
                <c:formatCode>0.00000%</c:formatCode>
                <c:ptCount val="691"/>
                <c:pt idx="0">
                  <c:v>7.9873597621803766E-2</c:v>
                </c:pt>
                <c:pt idx="1">
                  <c:v>7.9324053869301719E-2</c:v>
                </c:pt>
                <c:pt idx="2">
                  <c:v>7.9476981077338194E-2</c:v>
                </c:pt>
                <c:pt idx="3">
                  <c:v>7.9738105702511802E-2</c:v>
                </c:pt>
                <c:pt idx="4">
                  <c:v>8.0557506560694214E-2</c:v>
                </c:pt>
                <c:pt idx="5">
                  <c:v>8.1073951214952561E-2</c:v>
                </c:pt>
                <c:pt idx="6">
                  <c:v>8.0341476228767278E-2</c:v>
                </c:pt>
                <c:pt idx="7">
                  <c:v>8.004862739648827E-2</c:v>
                </c:pt>
                <c:pt idx="8">
                  <c:v>7.9809953204409298E-2</c:v>
                </c:pt>
                <c:pt idx="9">
                  <c:v>8.0326657577497546E-2</c:v>
                </c:pt>
                <c:pt idx="10">
                  <c:v>8.0681830889157799E-2</c:v>
                </c:pt>
                <c:pt idx="11">
                  <c:v>8.0716401629940898E-2</c:v>
                </c:pt>
                <c:pt idx="12">
                  <c:v>8.0689106874313229E-2</c:v>
                </c:pt>
                <c:pt idx="13">
                  <c:v>8.0385025977633223E-2</c:v>
                </c:pt>
                <c:pt idx="14">
                  <c:v>7.9829670006015582E-2</c:v>
                </c:pt>
                <c:pt idx="15">
                  <c:v>7.9971367025637313E-2</c:v>
                </c:pt>
                <c:pt idx="16">
                  <c:v>8.0033041969477609E-2</c:v>
                </c:pt>
                <c:pt idx="17">
                  <c:v>7.9693928514405002E-2</c:v>
                </c:pt>
                <c:pt idx="18">
                  <c:v>7.9788579356071518E-2</c:v>
                </c:pt>
                <c:pt idx="19">
                  <c:v>7.9658467442662556E-2</c:v>
                </c:pt>
                <c:pt idx="20">
                  <c:v>7.9919162374475147E-2</c:v>
                </c:pt>
                <c:pt idx="21">
                  <c:v>8.0108771341566271E-2</c:v>
                </c:pt>
                <c:pt idx="22">
                  <c:v>8.0159475264024546E-2</c:v>
                </c:pt>
                <c:pt idx="23">
                  <c:v>7.9937399898173528E-2</c:v>
                </c:pt>
                <c:pt idx="24">
                  <c:v>8.013784402361139E-2</c:v>
                </c:pt>
                <c:pt idx="25">
                  <c:v>8.015082723559333E-2</c:v>
                </c:pt>
                <c:pt idx="26">
                  <c:v>7.9913023918119566E-2</c:v>
                </c:pt>
                <c:pt idx="27">
                  <c:v>7.9707582267976668E-2</c:v>
                </c:pt>
                <c:pt idx="28">
                  <c:v>8.0058477160727698E-2</c:v>
                </c:pt>
                <c:pt idx="29">
                  <c:v>8.0247377165710926E-2</c:v>
                </c:pt>
                <c:pt idx="30">
                  <c:v>8.0453733451362891E-2</c:v>
                </c:pt>
                <c:pt idx="31">
                  <c:v>8.0359500327014347E-2</c:v>
                </c:pt>
                <c:pt idx="32">
                  <c:v>8.0442044503539395E-2</c:v>
                </c:pt>
                <c:pt idx="33">
                  <c:v>8.0567314774794604E-2</c:v>
                </c:pt>
                <c:pt idx="34">
                  <c:v>8.0537835684555414E-2</c:v>
                </c:pt>
                <c:pt idx="35">
                  <c:v>8.0018703282494011E-2</c:v>
                </c:pt>
                <c:pt idx="36">
                  <c:v>8.0190782369062935E-2</c:v>
                </c:pt>
                <c:pt idx="37">
                  <c:v>8.0111231088729071E-2</c:v>
                </c:pt>
                <c:pt idx="38">
                  <c:v>8.019699049283921E-2</c:v>
                </c:pt>
                <c:pt idx="39">
                  <c:v>7.9912259691078957E-2</c:v>
                </c:pt>
                <c:pt idx="40">
                  <c:v>7.9754526431731407E-2</c:v>
                </c:pt>
                <c:pt idx="41">
                  <c:v>7.986916482436783E-2</c:v>
                </c:pt>
                <c:pt idx="42">
                  <c:v>7.9678228732635678E-2</c:v>
                </c:pt>
                <c:pt idx="43">
                  <c:v>7.9595742709433842E-2</c:v>
                </c:pt>
                <c:pt idx="44">
                  <c:v>7.9626385402810432E-2</c:v>
                </c:pt>
                <c:pt idx="45">
                  <c:v>7.9808876476568827E-2</c:v>
                </c:pt>
                <c:pt idx="46">
                  <c:v>7.9795570687458114E-2</c:v>
                </c:pt>
                <c:pt idx="47">
                  <c:v>7.9875221242881309E-2</c:v>
                </c:pt>
                <c:pt idx="48">
                  <c:v>7.999031433562756E-2</c:v>
                </c:pt>
                <c:pt idx="49">
                  <c:v>7.9927116048640556E-2</c:v>
                </c:pt>
                <c:pt idx="50">
                  <c:v>7.9876107861206705E-2</c:v>
                </c:pt>
                <c:pt idx="51">
                  <c:v>7.9930591582724739E-2</c:v>
                </c:pt>
                <c:pt idx="52">
                  <c:v>8.004908326916603E-2</c:v>
                </c:pt>
                <c:pt idx="53">
                  <c:v>8.0138055850331055E-2</c:v>
                </c:pt>
                <c:pt idx="54">
                  <c:v>8.011928701324314E-2</c:v>
                </c:pt>
                <c:pt idx="55">
                  <c:v>8.0185200243465427E-2</c:v>
                </c:pt>
                <c:pt idx="56">
                  <c:v>8.0155256297940916E-2</c:v>
                </c:pt>
                <c:pt idx="57">
                  <c:v>8.0091663865624441E-2</c:v>
                </c:pt>
                <c:pt idx="58">
                  <c:v>7.9982394963601794E-2</c:v>
                </c:pt>
                <c:pt idx="59">
                  <c:v>7.9985575950017027E-2</c:v>
                </c:pt>
                <c:pt idx="60">
                  <c:v>7.9653593121695176E-2</c:v>
                </c:pt>
                <c:pt idx="61">
                  <c:v>7.9403961225319578E-2</c:v>
                </c:pt>
                <c:pt idx="62">
                  <c:v>7.9651417663452864E-2</c:v>
                </c:pt>
                <c:pt idx="63">
                  <c:v>7.9562464843600245E-2</c:v>
                </c:pt>
                <c:pt idx="64">
                  <c:v>7.9905731702205343E-2</c:v>
                </c:pt>
                <c:pt idx="65">
                  <c:v>7.9827709381254247E-2</c:v>
                </c:pt>
                <c:pt idx="66">
                  <c:v>8.0022387556919206E-2</c:v>
                </c:pt>
                <c:pt idx="67">
                  <c:v>8.0089828170763905E-2</c:v>
                </c:pt>
                <c:pt idx="68">
                  <c:v>8.0056092635687845E-2</c:v>
                </c:pt>
                <c:pt idx="69">
                  <c:v>7.9821690980316051E-2</c:v>
                </c:pt>
                <c:pt idx="70">
                  <c:v>8.0050412950722599E-2</c:v>
                </c:pt>
                <c:pt idx="71">
                  <c:v>8.0148028207301256E-2</c:v>
                </c:pt>
                <c:pt idx="72">
                  <c:v>8.0091701803266788E-2</c:v>
                </c:pt>
                <c:pt idx="73">
                  <c:v>8.0190541406475621E-2</c:v>
                </c:pt>
                <c:pt idx="74">
                  <c:v>8.0337945484538681E-2</c:v>
                </c:pt>
                <c:pt idx="75">
                  <c:v>8.0647330537246459E-2</c:v>
                </c:pt>
                <c:pt idx="76">
                  <c:v>8.0522101299114135E-2</c:v>
                </c:pt>
                <c:pt idx="77">
                  <c:v>8.0857437232804585E-2</c:v>
                </c:pt>
                <c:pt idx="78">
                  <c:v>8.0869789231750852E-2</c:v>
                </c:pt>
                <c:pt idx="79">
                  <c:v>8.0983486664198578E-2</c:v>
                </c:pt>
                <c:pt idx="80">
                  <c:v>8.1094397908648211E-2</c:v>
                </c:pt>
                <c:pt idx="81">
                  <c:v>8.100516034027952E-2</c:v>
                </c:pt>
                <c:pt idx="82">
                  <c:v>8.1098656064520699E-2</c:v>
                </c:pt>
                <c:pt idx="83">
                  <c:v>8.1430297416598671E-2</c:v>
                </c:pt>
                <c:pt idx="84">
                  <c:v>8.149161260843564E-2</c:v>
                </c:pt>
                <c:pt idx="85">
                  <c:v>8.1495052036286361E-2</c:v>
                </c:pt>
                <c:pt idx="86">
                  <c:v>8.1424897908186869E-2</c:v>
                </c:pt>
                <c:pt idx="87">
                  <c:v>8.1395683766348537E-2</c:v>
                </c:pt>
                <c:pt idx="88">
                  <c:v>8.145445992207298E-2</c:v>
                </c:pt>
                <c:pt idx="89">
                  <c:v>8.1626915852233639E-2</c:v>
                </c:pt>
                <c:pt idx="90">
                  <c:v>8.1643702968931517E-2</c:v>
                </c:pt>
                <c:pt idx="91">
                  <c:v>8.1546293993081012E-2</c:v>
                </c:pt>
                <c:pt idx="92">
                  <c:v>8.1437979965715501E-2</c:v>
                </c:pt>
                <c:pt idx="93">
                  <c:v>8.134056186897172E-2</c:v>
                </c:pt>
                <c:pt idx="94">
                  <c:v>8.1332589886645296E-2</c:v>
                </c:pt>
                <c:pt idx="95">
                  <c:v>8.1232470266006745E-2</c:v>
                </c:pt>
                <c:pt idx="96">
                  <c:v>8.1258233621632467E-2</c:v>
                </c:pt>
                <c:pt idx="97">
                  <c:v>8.1284403791792775E-2</c:v>
                </c:pt>
                <c:pt idx="98">
                  <c:v>8.1378338942267245E-2</c:v>
                </c:pt>
                <c:pt idx="99">
                  <c:v>8.1514223088790694E-2</c:v>
                </c:pt>
                <c:pt idx="100">
                  <c:v>8.165451911282047E-2</c:v>
                </c:pt>
                <c:pt idx="101">
                  <c:v>8.1598087851364645E-2</c:v>
                </c:pt>
                <c:pt idx="102">
                  <c:v>8.1708537024642314E-2</c:v>
                </c:pt>
                <c:pt idx="103">
                  <c:v>8.1692320998578163E-2</c:v>
                </c:pt>
                <c:pt idx="104">
                  <c:v>8.1894767801613561E-2</c:v>
                </c:pt>
                <c:pt idx="105">
                  <c:v>8.1931295326493764E-2</c:v>
                </c:pt>
                <c:pt idx="106">
                  <c:v>8.20971475426166E-2</c:v>
                </c:pt>
                <c:pt idx="107">
                  <c:v>8.2029433753051981E-2</c:v>
                </c:pt>
                <c:pt idx="108">
                  <c:v>8.2062167184721618E-2</c:v>
                </c:pt>
                <c:pt idx="109">
                  <c:v>8.19404494836386E-2</c:v>
                </c:pt>
                <c:pt idx="110">
                  <c:v>8.1966756472814997E-2</c:v>
                </c:pt>
                <c:pt idx="111">
                  <c:v>8.2174226515234691E-2</c:v>
                </c:pt>
                <c:pt idx="112">
                  <c:v>8.2054398237490098E-2</c:v>
                </c:pt>
                <c:pt idx="113">
                  <c:v>8.2010284519042631E-2</c:v>
                </c:pt>
                <c:pt idx="114">
                  <c:v>8.2216363786169408E-2</c:v>
                </c:pt>
                <c:pt idx="115">
                  <c:v>8.2168314216420124E-2</c:v>
                </c:pt>
                <c:pt idx="116">
                  <c:v>8.2133382787552459E-2</c:v>
                </c:pt>
                <c:pt idx="117">
                  <c:v>8.2229991322434345E-2</c:v>
                </c:pt>
                <c:pt idx="118">
                  <c:v>8.2418537177846099E-2</c:v>
                </c:pt>
                <c:pt idx="119">
                  <c:v>8.2619409982820066E-2</c:v>
                </c:pt>
                <c:pt idx="120">
                  <c:v>8.2761406601604637E-2</c:v>
                </c:pt>
                <c:pt idx="121">
                  <c:v>8.2755524597716304E-2</c:v>
                </c:pt>
                <c:pt idx="122">
                  <c:v>8.2719035073310049E-2</c:v>
                </c:pt>
                <c:pt idx="123">
                  <c:v>8.27175575135006E-2</c:v>
                </c:pt>
                <c:pt idx="124">
                  <c:v>8.2574884015177305E-2</c:v>
                </c:pt>
                <c:pt idx="125">
                  <c:v>8.2683321336070939E-2</c:v>
                </c:pt>
                <c:pt idx="126">
                  <c:v>8.259432280062487E-2</c:v>
                </c:pt>
                <c:pt idx="127">
                  <c:v>8.259001058780005E-2</c:v>
                </c:pt>
                <c:pt idx="128">
                  <c:v>8.2580481704594422E-2</c:v>
                </c:pt>
                <c:pt idx="129">
                  <c:v>8.2469234051063281E-2</c:v>
                </c:pt>
                <c:pt idx="130">
                  <c:v>8.2432624311665759E-2</c:v>
                </c:pt>
                <c:pt idx="131">
                  <c:v>8.2408486427211977E-2</c:v>
                </c:pt>
                <c:pt idx="132">
                  <c:v>8.2636772735355732E-2</c:v>
                </c:pt>
                <c:pt idx="133">
                  <c:v>8.2703718182771876E-2</c:v>
                </c:pt>
                <c:pt idx="134">
                  <c:v>8.263082535469092E-2</c:v>
                </c:pt>
                <c:pt idx="135">
                  <c:v>8.2823239469685506E-2</c:v>
                </c:pt>
                <c:pt idx="136">
                  <c:v>8.2899986769254155E-2</c:v>
                </c:pt>
                <c:pt idx="137">
                  <c:v>8.2731238028038195E-2</c:v>
                </c:pt>
                <c:pt idx="138">
                  <c:v>8.2773646877539145E-2</c:v>
                </c:pt>
                <c:pt idx="139">
                  <c:v>8.2735204611283877E-2</c:v>
                </c:pt>
                <c:pt idx="140">
                  <c:v>8.2704217814062286E-2</c:v>
                </c:pt>
                <c:pt idx="141">
                  <c:v>8.2582074619275303E-2</c:v>
                </c:pt>
                <c:pt idx="142">
                  <c:v>8.2545566455606442E-2</c:v>
                </c:pt>
                <c:pt idx="143">
                  <c:v>8.2434628201013063E-2</c:v>
                </c:pt>
                <c:pt idx="144">
                  <c:v>8.2562418881171856E-2</c:v>
                </c:pt>
                <c:pt idx="145">
                  <c:v>8.2313450789741283E-2</c:v>
                </c:pt>
                <c:pt idx="146">
                  <c:v>8.2400724118168539E-2</c:v>
                </c:pt>
                <c:pt idx="147">
                  <c:v>8.2374393618932118E-2</c:v>
                </c:pt>
                <c:pt idx="148">
                  <c:v>8.2556626247274667E-2</c:v>
                </c:pt>
                <c:pt idx="149">
                  <c:v>8.2545910686851978E-2</c:v>
                </c:pt>
                <c:pt idx="150">
                  <c:v>8.268537907156287E-2</c:v>
                </c:pt>
                <c:pt idx="151">
                  <c:v>8.2587638611122921E-2</c:v>
                </c:pt>
                <c:pt idx="152">
                  <c:v>8.2554818441871181E-2</c:v>
                </c:pt>
                <c:pt idx="153">
                  <c:v>8.2553841902268416E-2</c:v>
                </c:pt>
                <c:pt idx="154">
                  <c:v>8.2477278596658862E-2</c:v>
                </c:pt>
                <c:pt idx="155">
                  <c:v>8.25507618680629E-2</c:v>
                </c:pt>
                <c:pt idx="156">
                  <c:v>8.2441875387686714E-2</c:v>
                </c:pt>
                <c:pt idx="157">
                  <c:v>8.2309361757900684E-2</c:v>
                </c:pt>
                <c:pt idx="158">
                  <c:v>8.2132015762989646E-2</c:v>
                </c:pt>
                <c:pt idx="159">
                  <c:v>8.2182252303796555E-2</c:v>
                </c:pt>
                <c:pt idx="160">
                  <c:v>8.2343215484041735E-2</c:v>
                </c:pt>
                <c:pt idx="161">
                  <c:v>8.2324395688367344E-2</c:v>
                </c:pt>
                <c:pt idx="162">
                  <c:v>8.2328943282749062E-2</c:v>
                </c:pt>
                <c:pt idx="163">
                  <c:v>8.2322245556800663E-2</c:v>
                </c:pt>
                <c:pt idx="164">
                  <c:v>8.24270757896165E-2</c:v>
                </c:pt>
                <c:pt idx="165">
                  <c:v>8.2622023880323331E-2</c:v>
                </c:pt>
                <c:pt idx="166">
                  <c:v>8.2733774269481128E-2</c:v>
                </c:pt>
                <c:pt idx="167">
                  <c:v>8.2889315704870542E-2</c:v>
                </c:pt>
                <c:pt idx="168">
                  <c:v>8.2946998392897625E-2</c:v>
                </c:pt>
                <c:pt idx="169">
                  <c:v>8.2962157036766862E-2</c:v>
                </c:pt>
                <c:pt idx="170">
                  <c:v>8.3003246974395678E-2</c:v>
                </c:pt>
                <c:pt idx="171">
                  <c:v>8.3087213616942809E-2</c:v>
                </c:pt>
                <c:pt idx="172">
                  <c:v>8.3196674465494488E-2</c:v>
                </c:pt>
                <c:pt idx="173">
                  <c:v>8.3214345225121722E-2</c:v>
                </c:pt>
                <c:pt idx="174">
                  <c:v>8.3177723060520806E-2</c:v>
                </c:pt>
                <c:pt idx="175">
                  <c:v>8.3268933004807394E-2</c:v>
                </c:pt>
                <c:pt idx="176">
                  <c:v>8.3097617783306849E-2</c:v>
                </c:pt>
                <c:pt idx="177">
                  <c:v>8.3225464940689498E-2</c:v>
                </c:pt>
                <c:pt idx="178">
                  <c:v>8.3067560637097068E-2</c:v>
                </c:pt>
                <c:pt idx="179">
                  <c:v>8.3180736098345212E-2</c:v>
                </c:pt>
                <c:pt idx="180">
                  <c:v>8.2964616627669421E-2</c:v>
                </c:pt>
                <c:pt idx="181">
                  <c:v>8.3024440155804902E-2</c:v>
                </c:pt>
                <c:pt idx="182">
                  <c:v>8.3013627206960414E-2</c:v>
                </c:pt>
                <c:pt idx="183">
                  <c:v>8.2962515085344024E-2</c:v>
                </c:pt>
                <c:pt idx="184">
                  <c:v>8.3013377671342273E-2</c:v>
                </c:pt>
                <c:pt idx="185">
                  <c:v>8.2945269526684073E-2</c:v>
                </c:pt>
                <c:pt idx="186">
                  <c:v>8.3029742525728478E-2</c:v>
                </c:pt>
                <c:pt idx="187">
                  <c:v>8.3069285040838922E-2</c:v>
                </c:pt>
                <c:pt idx="188">
                  <c:v>8.3134968466179737E-2</c:v>
                </c:pt>
                <c:pt idx="189">
                  <c:v>8.3056468441959214E-2</c:v>
                </c:pt>
                <c:pt idx="190">
                  <c:v>8.3258676139373877E-2</c:v>
                </c:pt>
                <c:pt idx="191">
                  <c:v>8.3316496852297181E-2</c:v>
                </c:pt>
                <c:pt idx="192">
                  <c:v>8.3415587311822845E-2</c:v>
                </c:pt>
                <c:pt idx="193">
                  <c:v>8.3444156008714104E-2</c:v>
                </c:pt>
                <c:pt idx="194">
                  <c:v>8.3498532872347514E-2</c:v>
                </c:pt>
                <c:pt idx="195">
                  <c:v>8.3462244824326903E-2</c:v>
                </c:pt>
                <c:pt idx="196">
                  <c:v>8.337700757798569E-2</c:v>
                </c:pt>
                <c:pt idx="197">
                  <c:v>8.3320482082275188E-2</c:v>
                </c:pt>
                <c:pt idx="198">
                  <c:v>8.3259570239236205E-2</c:v>
                </c:pt>
                <c:pt idx="199">
                  <c:v>8.3402395631503465E-2</c:v>
                </c:pt>
                <c:pt idx="200">
                  <c:v>8.3388195691959682E-2</c:v>
                </c:pt>
                <c:pt idx="201">
                  <c:v>8.3393620994930057E-2</c:v>
                </c:pt>
                <c:pt idx="202">
                  <c:v>8.3415809615382475E-2</c:v>
                </c:pt>
                <c:pt idx="203">
                  <c:v>8.3524163880229332E-2</c:v>
                </c:pt>
                <c:pt idx="204">
                  <c:v>8.3525883512386281E-2</c:v>
                </c:pt>
                <c:pt idx="205">
                  <c:v>8.3476624343768291E-2</c:v>
                </c:pt>
                <c:pt idx="206">
                  <c:v>8.3482895632280799E-2</c:v>
                </c:pt>
                <c:pt idx="207">
                  <c:v>8.3540728681446935E-2</c:v>
                </c:pt>
                <c:pt idx="208">
                  <c:v>8.3582900752984232E-2</c:v>
                </c:pt>
                <c:pt idx="209">
                  <c:v>8.3518861668146871E-2</c:v>
                </c:pt>
                <c:pt idx="210">
                  <c:v>8.356952382701982E-2</c:v>
                </c:pt>
                <c:pt idx="211">
                  <c:v>8.3395551436891285E-2</c:v>
                </c:pt>
                <c:pt idx="212">
                  <c:v>8.3375698190689143E-2</c:v>
                </c:pt>
                <c:pt idx="213">
                  <c:v>8.3428655212751529E-2</c:v>
                </c:pt>
                <c:pt idx="214">
                  <c:v>8.3412545276669997E-2</c:v>
                </c:pt>
                <c:pt idx="215">
                  <c:v>8.3426558147019034E-2</c:v>
                </c:pt>
                <c:pt idx="216">
                  <c:v>8.3666380681993224E-2</c:v>
                </c:pt>
                <c:pt idx="217">
                  <c:v>8.3619244885707045E-2</c:v>
                </c:pt>
                <c:pt idx="218">
                  <c:v>8.3547820870820078E-2</c:v>
                </c:pt>
                <c:pt idx="219">
                  <c:v>8.35323134122683E-2</c:v>
                </c:pt>
                <c:pt idx="220">
                  <c:v>8.3551902350682911E-2</c:v>
                </c:pt>
                <c:pt idx="221">
                  <c:v>8.344117587762942E-2</c:v>
                </c:pt>
                <c:pt idx="222">
                  <c:v>8.3484918435941857E-2</c:v>
                </c:pt>
                <c:pt idx="223">
                  <c:v>8.3549023677748649E-2</c:v>
                </c:pt>
                <c:pt idx="224">
                  <c:v>8.3351801405996739E-2</c:v>
                </c:pt>
                <c:pt idx="225">
                  <c:v>8.3252360315988913E-2</c:v>
                </c:pt>
                <c:pt idx="226">
                  <c:v>8.3129186191377005E-2</c:v>
                </c:pt>
                <c:pt idx="227">
                  <c:v>8.3149122410820911E-2</c:v>
                </c:pt>
                <c:pt idx="228">
                  <c:v>8.3145786824198417E-2</c:v>
                </c:pt>
                <c:pt idx="229">
                  <c:v>8.3116098739486985E-2</c:v>
                </c:pt>
                <c:pt idx="230">
                  <c:v>8.3108797383274799E-2</c:v>
                </c:pt>
                <c:pt idx="231">
                  <c:v>8.3152204694514217E-2</c:v>
                </c:pt>
                <c:pt idx="232">
                  <c:v>8.3152008260737514E-2</c:v>
                </c:pt>
                <c:pt idx="233">
                  <c:v>8.2943536482947847E-2</c:v>
                </c:pt>
                <c:pt idx="234">
                  <c:v>8.2940805419300684E-2</c:v>
                </c:pt>
                <c:pt idx="235">
                  <c:v>8.3041728336498158E-2</c:v>
                </c:pt>
                <c:pt idx="236">
                  <c:v>8.3215460712446801E-2</c:v>
                </c:pt>
                <c:pt idx="237">
                  <c:v>8.3135864571903084E-2</c:v>
                </c:pt>
                <c:pt idx="238">
                  <c:v>8.2993935112117681E-2</c:v>
                </c:pt>
                <c:pt idx="239">
                  <c:v>8.2959081533220347E-2</c:v>
                </c:pt>
                <c:pt idx="240">
                  <c:v>8.3132696910366094E-2</c:v>
                </c:pt>
                <c:pt idx="241">
                  <c:v>8.309899500304023E-2</c:v>
                </c:pt>
                <c:pt idx="242">
                  <c:v>8.3083122046651983E-2</c:v>
                </c:pt>
                <c:pt idx="243">
                  <c:v>8.3014740753629454E-2</c:v>
                </c:pt>
                <c:pt idx="244">
                  <c:v>8.2976692452065293E-2</c:v>
                </c:pt>
                <c:pt idx="245">
                  <c:v>8.2914634486529443E-2</c:v>
                </c:pt>
                <c:pt idx="246">
                  <c:v>8.291641295374988E-2</c:v>
                </c:pt>
                <c:pt idx="247">
                  <c:v>8.2845847176546042E-2</c:v>
                </c:pt>
                <c:pt idx="248">
                  <c:v>8.2819707247679175E-2</c:v>
                </c:pt>
                <c:pt idx="249">
                  <c:v>8.2805637596159554E-2</c:v>
                </c:pt>
                <c:pt idx="250">
                  <c:v>8.2847273392769843E-2</c:v>
                </c:pt>
                <c:pt idx="251">
                  <c:v>8.278184235467137E-2</c:v>
                </c:pt>
                <c:pt idx="252">
                  <c:v>8.2917558274694214E-2</c:v>
                </c:pt>
                <c:pt idx="253">
                  <c:v>8.2789894444270845E-2</c:v>
                </c:pt>
                <c:pt idx="254">
                  <c:v>8.2807942924573164E-2</c:v>
                </c:pt>
                <c:pt idx="255">
                  <c:v>8.2709812154076884E-2</c:v>
                </c:pt>
                <c:pt idx="256">
                  <c:v>8.2660398162967108E-2</c:v>
                </c:pt>
                <c:pt idx="257">
                  <c:v>8.2629914181418782E-2</c:v>
                </c:pt>
                <c:pt idx="258">
                  <c:v>8.2563106934088581E-2</c:v>
                </c:pt>
                <c:pt idx="259">
                  <c:v>8.2527244658008314E-2</c:v>
                </c:pt>
                <c:pt idx="260">
                  <c:v>8.2594032310162824E-2</c:v>
                </c:pt>
                <c:pt idx="261">
                  <c:v>8.2473047578791425E-2</c:v>
                </c:pt>
                <c:pt idx="262">
                  <c:v>8.2433310032278342E-2</c:v>
                </c:pt>
                <c:pt idx="263">
                  <c:v>8.2370176903743569E-2</c:v>
                </c:pt>
                <c:pt idx="264">
                  <c:v>8.2291257909098608E-2</c:v>
                </c:pt>
                <c:pt idx="265">
                  <c:v>8.2178525459429635E-2</c:v>
                </c:pt>
                <c:pt idx="266">
                  <c:v>8.2229801222661145E-2</c:v>
                </c:pt>
                <c:pt idx="267">
                  <c:v>8.2121654911496922E-2</c:v>
                </c:pt>
                <c:pt idx="268">
                  <c:v>8.2157210330198654E-2</c:v>
                </c:pt>
                <c:pt idx="269">
                  <c:v>8.2126066568728479E-2</c:v>
                </c:pt>
                <c:pt idx="270">
                  <c:v>8.2196000337659475E-2</c:v>
                </c:pt>
                <c:pt idx="271">
                  <c:v>8.2150583507297092E-2</c:v>
                </c:pt>
                <c:pt idx="272">
                  <c:v>8.2066572538124744E-2</c:v>
                </c:pt>
                <c:pt idx="273">
                  <c:v>8.2196961395863383E-2</c:v>
                </c:pt>
                <c:pt idx="274">
                  <c:v>8.206340479489245E-2</c:v>
                </c:pt>
                <c:pt idx="275">
                  <c:v>8.1970066184978582E-2</c:v>
                </c:pt>
                <c:pt idx="276">
                  <c:v>8.203053430948111E-2</c:v>
                </c:pt>
                <c:pt idx="277">
                  <c:v>8.2023311333401835E-2</c:v>
                </c:pt>
                <c:pt idx="278">
                  <c:v>8.2005089507679124E-2</c:v>
                </c:pt>
                <c:pt idx="279">
                  <c:v>8.2113120084908481E-2</c:v>
                </c:pt>
                <c:pt idx="280">
                  <c:v>8.2037397332386422E-2</c:v>
                </c:pt>
                <c:pt idx="281">
                  <c:v>8.2005312898766294E-2</c:v>
                </c:pt>
                <c:pt idx="282">
                  <c:v>8.2055164755571813E-2</c:v>
                </c:pt>
                <c:pt idx="283">
                  <c:v>8.2043308957409106E-2</c:v>
                </c:pt>
                <c:pt idx="284">
                  <c:v>8.195786904941485E-2</c:v>
                </c:pt>
                <c:pt idx="285">
                  <c:v>8.188063142915003E-2</c:v>
                </c:pt>
                <c:pt idx="286">
                  <c:v>8.1859696126266229E-2</c:v>
                </c:pt>
                <c:pt idx="287">
                  <c:v>8.1784146461015825E-2</c:v>
                </c:pt>
                <c:pt idx="288">
                  <c:v>8.171223518005738E-2</c:v>
                </c:pt>
                <c:pt idx="289">
                  <c:v>8.1636130682577218E-2</c:v>
                </c:pt>
                <c:pt idx="290">
                  <c:v>8.1662056200351343E-2</c:v>
                </c:pt>
                <c:pt idx="291">
                  <c:v>8.1606472275399675E-2</c:v>
                </c:pt>
                <c:pt idx="292">
                  <c:v>8.1502918849564177E-2</c:v>
                </c:pt>
                <c:pt idx="293">
                  <c:v>8.1492567373376637E-2</c:v>
                </c:pt>
                <c:pt idx="294">
                  <c:v>8.1475970980910861E-2</c:v>
                </c:pt>
                <c:pt idx="295">
                  <c:v>8.1495457475632249E-2</c:v>
                </c:pt>
                <c:pt idx="296">
                  <c:v>8.1493529314489749E-2</c:v>
                </c:pt>
                <c:pt idx="297">
                  <c:v>8.1428138534508698E-2</c:v>
                </c:pt>
                <c:pt idx="298">
                  <c:v>8.1382591447765995E-2</c:v>
                </c:pt>
                <c:pt idx="299">
                  <c:v>8.141872035897299E-2</c:v>
                </c:pt>
                <c:pt idx="300">
                  <c:v>8.1433510886386451E-2</c:v>
                </c:pt>
                <c:pt idx="301">
                  <c:v>8.1266080412831371E-2</c:v>
                </c:pt>
                <c:pt idx="302">
                  <c:v>8.1308234965407941E-2</c:v>
                </c:pt>
                <c:pt idx="303">
                  <c:v>8.1342033685711412E-2</c:v>
                </c:pt>
                <c:pt idx="304">
                  <c:v>8.1311465345744072E-2</c:v>
                </c:pt>
                <c:pt idx="305">
                  <c:v>8.1277230728957095E-2</c:v>
                </c:pt>
                <c:pt idx="306">
                  <c:v>8.1213289825392346E-2</c:v>
                </c:pt>
                <c:pt idx="307">
                  <c:v>8.1106897888733542E-2</c:v>
                </c:pt>
                <c:pt idx="308">
                  <c:v>8.1107535768561029E-2</c:v>
                </c:pt>
                <c:pt idx="309">
                  <c:v>8.1041990325748894E-2</c:v>
                </c:pt>
                <c:pt idx="310">
                  <c:v>8.1100219751784428E-2</c:v>
                </c:pt>
                <c:pt idx="311">
                  <c:v>8.1144668633977901E-2</c:v>
                </c:pt>
                <c:pt idx="312">
                  <c:v>8.1084154158293814E-2</c:v>
                </c:pt>
                <c:pt idx="313">
                  <c:v>8.105230715128256E-2</c:v>
                </c:pt>
                <c:pt idx="314">
                  <c:v>8.1174768779851511E-2</c:v>
                </c:pt>
                <c:pt idx="315">
                  <c:v>8.1065724606559364E-2</c:v>
                </c:pt>
                <c:pt idx="316">
                  <c:v>8.1173620544530381E-2</c:v>
                </c:pt>
                <c:pt idx="317">
                  <c:v>8.1088909749274601E-2</c:v>
                </c:pt>
                <c:pt idx="318">
                  <c:v>8.1189352934939341E-2</c:v>
                </c:pt>
                <c:pt idx="319">
                  <c:v>8.1236907264113395E-2</c:v>
                </c:pt>
                <c:pt idx="320">
                  <c:v>8.1210675545050487E-2</c:v>
                </c:pt>
                <c:pt idx="321">
                  <c:v>8.1275012694060983E-2</c:v>
                </c:pt>
                <c:pt idx="322">
                  <c:v>8.1353028644210679E-2</c:v>
                </c:pt>
                <c:pt idx="323">
                  <c:v>8.1190314757891874E-2</c:v>
                </c:pt>
                <c:pt idx="324">
                  <c:v>8.1181209110596356E-2</c:v>
                </c:pt>
                <c:pt idx="325">
                  <c:v>8.1146135590320578E-2</c:v>
                </c:pt>
                <c:pt idx="326">
                  <c:v>8.1061115609892778E-2</c:v>
                </c:pt>
                <c:pt idx="327">
                  <c:v>8.1105780084053392E-2</c:v>
                </c:pt>
                <c:pt idx="328">
                  <c:v>8.1021669877537422E-2</c:v>
                </c:pt>
                <c:pt idx="329">
                  <c:v>8.1026101400525727E-2</c:v>
                </c:pt>
                <c:pt idx="330">
                  <c:v>8.1083215767324066E-2</c:v>
                </c:pt>
                <c:pt idx="331">
                  <c:v>8.0971499116675005E-2</c:v>
                </c:pt>
                <c:pt idx="332">
                  <c:v>8.1003871574999817E-2</c:v>
                </c:pt>
                <c:pt idx="333">
                  <c:v>8.1145443576884788E-2</c:v>
                </c:pt>
                <c:pt idx="334">
                  <c:v>8.1203283466690965E-2</c:v>
                </c:pt>
                <c:pt idx="335">
                  <c:v>8.1129748373792998E-2</c:v>
                </c:pt>
                <c:pt idx="336">
                  <c:v>8.1122535708320731E-2</c:v>
                </c:pt>
                <c:pt idx="337">
                  <c:v>8.1054046473986271E-2</c:v>
                </c:pt>
                <c:pt idx="338">
                  <c:v>8.1152130587258745E-2</c:v>
                </c:pt>
                <c:pt idx="339">
                  <c:v>8.1179106879638113E-2</c:v>
                </c:pt>
                <c:pt idx="340">
                  <c:v>8.1092211366107961E-2</c:v>
                </c:pt>
                <c:pt idx="341">
                  <c:v>8.1003533889380253E-2</c:v>
                </c:pt>
                <c:pt idx="342">
                  <c:v>8.0942496722889959E-2</c:v>
                </c:pt>
                <c:pt idx="343">
                  <c:v>8.0970415250482611E-2</c:v>
                </c:pt>
                <c:pt idx="344">
                  <c:v>8.1013545831545214E-2</c:v>
                </c:pt>
                <c:pt idx="345">
                  <c:v>8.0816456243161985E-2</c:v>
                </c:pt>
                <c:pt idx="346">
                  <c:v>8.0850467248458804E-2</c:v>
                </c:pt>
                <c:pt idx="347">
                  <c:v>8.0827179966695362E-2</c:v>
                </c:pt>
                <c:pt idx="348">
                  <c:v>8.0844612308734201E-2</c:v>
                </c:pt>
                <c:pt idx="349">
                  <c:v>8.095024017854982E-2</c:v>
                </c:pt>
                <c:pt idx="350">
                  <c:v>8.080763093644952E-2</c:v>
                </c:pt>
                <c:pt idx="351">
                  <c:v>8.071583656668907E-2</c:v>
                </c:pt>
                <c:pt idx="352">
                  <c:v>8.0643031312877131E-2</c:v>
                </c:pt>
                <c:pt idx="353">
                  <c:v>8.0620498497366466E-2</c:v>
                </c:pt>
                <c:pt idx="354">
                  <c:v>8.0744500483255668E-2</c:v>
                </c:pt>
                <c:pt idx="355">
                  <c:v>8.0770067241690502E-2</c:v>
                </c:pt>
                <c:pt idx="356">
                  <c:v>8.0917087392921375E-2</c:v>
                </c:pt>
                <c:pt idx="357">
                  <c:v>8.0997320589559177E-2</c:v>
                </c:pt>
                <c:pt idx="358">
                  <c:v>8.0970250535864652E-2</c:v>
                </c:pt>
                <c:pt idx="359">
                  <c:v>8.0948589259054085E-2</c:v>
                </c:pt>
                <c:pt idx="360">
                  <c:v>8.0850705116612992E-2</c:v>
                </c:pt>
                <c:pt idx="361">
                  <c:v>8.0902238062365073E-2</c:v>
                </c:pt>
                <c:pt idx="362">
                  <c:v>8.1027740319849467E-2</c:v>
                </c:pt>
                <c:pt idx="363">
                  <c:v>8.1047180810706956E-2</c:v>
                </c:pt>
                <c:pt idx="364">
                  <c:v>8.0975934887762266E-2</c:v>
                </c:pt>
                <c:pt idx="365">
                  <c:v>8.0973380940807582E-2</c:v>
                </c:pt>
                <c:pt idx="366">
                  <c:v>8.0939123006711619E-2</c:v>
                </c:pt>
                <c:pt idx="367">
                  <c:v>8.1078268378361379E-2</c:v>
                </c:pt>
                <c:pt idx="368">
                  <c:v>8.1090912398972231E-2</c:v>
                </c:pt>
                <c:pt idx="369">
                  <c:v>8.1109134129434685E-2</c:v>
                </c:pt>
                <c:pt idx="370">
                  <c:v>8.1142293110362446E-2</c:v>
                </c:pt>
                <c:pt idx="371">
                  <c:v>8.1156476080482154E-2</c:v>
                </c:pt>
                <c:pt idx="372">
                  <c:v>8.1161166479900418E-2</c:v>
                </c:pt>
                <c:pt idx="373">
                  <c:v>8.0939914343380062E-2</c:v>
                </c:pt>
                <c:pt idx="374">
                  <c:v>8.0993425151385717E-2</c:v>
                </c:pt>
                <c:pt idx="375">
                  <c:v>8.0973887838931807E-2</c:v>
                </c:pt>
                <c:pt idx="376">
                  <c:v>8.0932951868427361E-2</c:v>
                </c:pt>
                <c:pt idx="377">
                  <c:v>8.092654032876713E-2</c:v>
                </c:pt>
                <c:pt idx="378">
                  <c:v>8.0903549474403536E-2</c:v>
                </c:pt>
                <c:pt idx="379">
                  <c:v>8.0922483453250843E-2</c:v>
                </c:pt>
                <c:pt idx="380">
                  <c:v>8.0902464638499899E-2</c:v>
                </c:pt>
                <c:pt idx="381">
                  <c:v>8.1039337069447173E-2</c:v>
                </c:pt>
                <c:pt idx="382">
                  <c:v>8.1081613625279034E-2</c:v>
                </c:pt>
                <c:pt idx="383">
                  <c:v>8.1095284312830571E-2</c:v>
                </c:pt>
                <c:pt idx="384">
                  <c:v>8.1162701814769103E-2</c:v>
                </c:pt>
                <c:pt idx="385">
                  <c:v>8.1234405401678519E-2</c:v>
                </c:pt>
                <c:pt idx="386">
                  <c:v>8.1211071150347161E-2</c:v>
                </c:pt>
                <c:pt idx="387">
                  <c:v>8.1279168308876798E-2</c:v>
                </c:pt>
                <c:pt idx="388">
                  <c:v>8.128519168586372E-2</c:v>
                </c:pt>
                <c:pt idx="389">
                  <c:v>8.1281255905995956E-2</c:v>
                </c:pt>
                <c:pt idx="390">
                  <c:v>8.1304500720467063E-2</c:v>
                </c:pt>
                <c:pt idx="391">
                  <c:v>8.133890066683859E-2</c:v>
                </c:pt>
                <c:pt idx="392">
                  <c:v>8.1222937525508465E-2</c:v>
                </c:pt>
                <c:pt idx="393">
                  <c:v>8.1287962060055577E-2</c:v>
                </c:pt>
                <c:pt idx="394">
                  <c:v>8.1388702134760002E-2</c:v>
                </c:pt>
                <c:pt idx="395">
                  <c:v>8.1415850795970676E-2</c:v>
                </c:pt>
                <c:pt idx="396">
                  <c:v>8.1370427421714561E-2</c:v>
                </c:pt>
                <c:pt idx="397">
                  <c:v>8.1433762737130377E-2</c:v>
                </c:pt>
                <c:pt idx="398">
                  <c:v>8.1507390694783924E-2</c:v>
                </c:pt>
                <c:pt idx="399">
                  <c:v>8.1635725803992615E-2</c:v>
                </c:pt>
                <c:pt idx="400">
                  <c:v>8.1714280367943967E-2</c:v>
                </c:pt>
                <c:pt idx="401">
                  <c:v>8.1584762041488984E-2</c:v>
                </c:pt>
                <c:pt idx="402">
                  <c:v>8.1570261795193263E-2</c:v>
                </c:pt>
                <c:pt idx="403">
                  <c:v>8.1475455684555026E-2</c:v>
                </c:pt>
                <c:pt idx="404">
                  <c:v>8.1485235659651573E-2</c:v>
                </c:pt>
                <c:pt idx="405">
                  <c:v>8.1494288986389052E-2</c:v>
                </c:pt>
                <c:pt idx="406">
                  <c:v>8.1543089844412095E-2</c:v>
                </c:pt>
                <c:pt idx="407">
                  <c:v>8.1513511904154262E-2</c:v>
                </c:pt>
                <c:pt idx="408">
                  <c:v>8.1519579575753037E-2</c:v>
                </c:pt>
                <c:pt idx="409">
                  <c:v>8.1515914889878874E-2</c:v>
                </c:pt>
                <c:pt idx="410">
                  <c:v>8.1465362315326348E-2</c:v>
                </c:pt>
                <c:pt idx="411">
                  <c:v>8.1449018343477272E-2</c:v>
                </c:pt>
                <c:pt idx="412">
                  <c:v>8.1477338984602216E-2</c:v>
                </c:pt>
                <c:pt idx="413">
                  <c:v>8.1536818933764452E-2</c:v>
                </c:pt>
                <c:pt idx="414">
                  <c:v>8.152449623196846E-2</c:v>
                </c:pt>
                <c:pt idx="415">
                  <c:v>8.1443208778569531E-2</c:v>
                </c:pt>
                <c:pt idx="416">
                  <c:v>8.139962453567598E-2</c:v>
                </c:pt>
                <c:pt idx="417">
                  <c:v>8.1358620283477678E-2</c:v>
                </c:pt>
                <c:pt idx="418">
                  <c:v>8.1218524367811171E-2</c:v>
                </c:pt>
                <c:pt idx="419">
                  <c:v>8.1225106565554456E-2</c:v>
                </c:pt>
                <c:pt idx="420">
                  <c:v>8.1232191971580867E-2</c:v>
                </c:pt>
                <c:pt idx="421">
                  <c:v>8.1199245165031367E-2</c:v>
                </c:pt>
                <c:pt idx="422">
                  <c:v>8.1254244893919206E-2</c:v>
                </c:pt>
                <c:pt idx="423">
                  <c:v>8.1408984867609474E-2</c:v>
                </c:pt>
                <c:pt idx="424">
                  <c:v>8.1438700718143214E-2</c:v>
                </c:pt>
                <c:pt idx="425">
                  <c:v>8.1388954907598982E-2</c:v>
                </c:pt>
                <c:pt idx="426">
                  <c:v>8.138754004884749E-2</c:v>
                </c:pt>
                <c:pt idx="427">
                  <c:v>8.1245155352973428E-2</c:v>
                </c:pt>
                <c:pt idx="428">
                  <c:v>8.1168888282385318E-2</c:v>
                </c:pt>
                <c:pt idx="429">
                  <c:v>8.1254430852399501E-2</c:v>
                </c:pt>
                <c:pt idx="430">
                  <c:v>8.1268021867709983E-2</c:v>
                </c:pt>
                <c:pt idx="431">
                  <c:v>8.1210941903942208E-2</c:v>
                </c:pt>
                <c:pt idx="432">
                  <c:v>8.116966287111449E-2</c:v>
                </c:pt>
                <c:pt idx="433">
                  <c:v>8.1247152804659314E-2</c:v>
                </c:pt>
                <c:pt idx="434">
                  <c:v>8.1242491737740632E-2</c:v>
                </c:pt>
                <c:pt idx="435">
                  <c:v>8.1214948197465137E-2</c:v>
                </c:pt>
                <c:pt idx="436">
                  <c:v>8.1174046848878065E-2</c:v>
                </c:pt>
                <c:pt idx="437">
                  <c:v>8.1180569778076292E-2</c:v>
                </c:pt>
                <c:pt idx="438">
                  <c:v>8.1120846893694518E-2</c:v>
                </c:pt>
                <c:pt idx="439">
                  <c:v>8.109994743176456E-2</c:v>
                </c:pt>
                <c:pt idx="440">
                  <c:v>8.1135949342610175E-2</c:v>
                </c:pt>
                <c:pt idx="441">
                  <c:v>8.102903113021194E-2</c:v>
                </c:pt>
                <c:pt idx="442">
                  <c:v>8.0964571994473378E-2</c:v>
                </c:pt>
                <c:pt idx="443">
                  <c:v>8.0877284996551058E-2</c:v>
                </c:pt>
                <c:pt idx="444">
                  <c:v>8.0867448696147121E-2</c:v>
                </c:pt>
                <c:pt idx="445">
                  <c:v>8.0779024248854248E-2</c:v>
                </c:pt>
                <c:pt idx="446">
                  <c:v>8.0639494280793728E-2</c:v>
                </c:pt>
                <c:pt idx="447">
                  <c:v>8.0661032429844182E-2</c:v>
                </c:pt>
                <c:pt idx="448">
                  <c:v>8.067544585072528E-2</c:v>
                </c:pt>
                <c:pt idx="449">
                  <c:v>8.0686731870727099E-2</c:v>
                </c:pt>
                <c:pt idx="450">
                  <c:v>8.0694158072835392E-2</c:v>
                </c:pt>
                <c:pt idx="451">
                  <c:v>8.0701636251609976E-2</c:v>
                </c:pt>
                <c:pt idx="452">
                  <c:v>8.0587707038814307E-2</c:v>
                </c:pt>
                <c:pt idx="453">
                  <c:v>8.0691884822831642E-2</c:v>
                </c:pt>
                <c:pt idx="454">
                  <c:v>8.0559186710946015E-2</c:v>
                </c:pt>
                <c:pt idx="455">
                  <c:v>8.04926944518983E-2</c:v>
                </c:pt>
                <c:pt idx="456">
                  <c:v>8.0453048330542495E-2</c:v>
                </c:pt>
                <c:pt idx="457">
                  <c:v>8.0520641354392963E-2</c:v>
                </c:pt>
                <c:pt idx="458">
                  <c:v>8.0446922526735298E-2</c:v>
                </c:pt>
                <c:pt idx="459">
                  <c:v>8.0424262145737502E-2</c:v>
                </c:pt>
                <c:pt idx="460">
                  <c:v>8.0424784990170015E-2</c:v>
                </c:pt>
                <c:pt idx="461">
                  <c:v>8.0405011414557942E-2</c:v>
                </c:pt>
                <c:pt idx="462">
                  <c:v>8.0423895929636322E-2</c:v>
                </c:pt>
                <c:pt idx="463">
                  <c:v>8.0229547592698625E-2</c:v>
                </c:pt>
                <c:pt idx="464">
                  <c:v>8.0151789061543313E-2</c:v>
                </c:pt>
                <c:pt idx="465">
                  <c:v>7.9992730226939604E-2</c:v>
                </c:pt>
                <c:pt idx="466">
                  <c:v>8.0116997732381276E-2</c:v>
                </c:pt>
                <c:pt idx="467">
                  <c:v>8.0070625030148723E-2</c:v>
                </c:pt>
                <c:pt idx="468">
                  <c:v>8.0092713068112137E-2</c:v>
                </c:pt>
                <c:pt idx="469">
                  <c:v>8.0178114443711437E-2</c:v>
                </c:pt>
                <c:pt idx="470">
                  <c:v>8.008153275433566E-2</c:v>
                </c:pt>
                <c:pt idx="471">
                  <c:v>8.009959930640731E-2</c:v>
                </c:pt>
                <c:pt idx="472">
                  <c:v>8.0130892936933193E-2</c:v>
                </c:pt>
                <c:pt idx="473">
                  <c:v>8.0256600419751772E-2</c:v>
                </c:pt>
                <c:pt idx="474">
                  <c:v>8.0226333598022503E-2</c:v>
                </c:pt>
                <c:pt idx="475">
                  <c:v>8.0204895060377118E-2</c:v>
                </c:pt>
                <c:pt idx="476">
                  <c:v>8.032424873295238E-2</c:v>
                </c:pt>
                <c:pt idx="477">
                  <c:v>8.0445015087388383E-2</c:v>
                </c:pt>
                <c:pt idx="478">
                  <c:v>8.0587611111007582E-2</c:v>
                </c:pt>
                <c:pt idx="479">
                  <c:v>8.058509566568034E-2</c:v>
                </c:pt>
                <c:pt idx="480">
                  <c:v>8.0536709806425355E-2</c:v>
                </c:pt>
                <c:pt idx="481">
                  <c:v>8.051220142362836E-2</c:v>
                </c:pt>
                <c:pt idx="482">
                  <c:v>8.0470515766742093E-2</c:v>
                </c:pt>
                <c:pt idx="483">
                  <c:v>8.0411382846685323E-2</c:v>
                </c:pt>
                <c:pt idx="484">
                  <c:v>8.0395817651745541E-2</c:v>
                </c:pt>
                <c:pt idx="485">
                  <c:v>8.0409595813421969E-2</c:v>
                </c:pt>
                <c:pt idx="486">
                  <c:v>8.0301078566629033E-2</c:v>
                </c:pt>
                <c:pt idx="487">
                  <c:v>8.0269683572633602E-2</c:v>
                </c:pt>
                <c:pt idx="488">
                  <c:v>8.0292625452206057E-2</c:v>
                </c:pt>
                <c:pt idx="489">
                  <c:v>8.0383880545256831E-2</c:v>
                </c:pt>
                <c:pt idx="490">
                  <c:v>8.0360827808871743E-2</c:v>
                </c:pt>
                <c:pt idx="491">
                  <c:v>8.0412593583298428E-2</c:v>
                </c:pt>
                <c:pt idx="492">
                  <c:v>8.0267817266252386E-2</c:v>
                </c:pt>
                <c:pt idx="493">
                  <c:v>8.0373594271561599E-2</c:v>
                </c:pt>
                <c:pt idx="494">
                  <c:v>8.0343428859737609E-2</c:v>
                </c:pt>
                <c:pt idx="495">
                  <c:v>8.0299376481725165E-2</c:v>
                </c:pt>
                <c:pt idx="496">
                  <c:v>8.0145788466904316E-2</c:v>
                </c:pt>
                <c:pt idx="497">
                  <c:v>8.0063968923924575E-2</c:v>
                </c:pt>
                <c:pt idx="498">
                  <c:v>8.007430071714558E-2</c:v>
                </c:pt>
                <c:pt idx="499">
                  <c:v>8.0063725634989216E-2</c:v>
                </c:pt>
                <c:pt idx="500">
                  <c:v>7.9950564662283799E-2</c:v>
                </c:pt>
                <c:pt idx="501">
                  <c:v>7.9879134743830321E-2</c:v>
                </c:pt>
                <c:pt idx="502">
                  <c:v>7.9776800635798034E-2</c:v>
                </c:pt>
                <c:pt idx="503">
                  <c:v>7.9869090405779636E-2</c:v>
                </c:pt>
                <c:pt idx="504">
                  <c:v>7.978900582748355E-2</c:v>
                </c:pt>
                <c:pt idx="505">
                  <c:v>7.9672067434171906E-2</c:v>
                </c:pt>
                <c:pt idx="506">
                  <c:v>7.9682758206767054E-2</c:v>
                </c:pt>
                <c:pt idx="507">
                  <c:v>7.9488181401193847E-2</c:v>
                </c:pt>
                <c:pt idx="508">
                  <c:v>7.9513399828275669E-2</c:v>
                </c:pt>
                <c:pt idx="509">
                  <c:v>7.9506854930940271E-2</c:v>
                </c:pt>
                <c:pt idx="510">
                  <c:v>7.9470470475819649E-2</c:v>
                </c:pt>
                <c:pt idx="511">
                  <c:v>7.9629707391267415E-2</c:v>
                </c:pt>
                <c:pt idx="512">
                  <c:v>7.9791130111555877E-2</c:v>
                </c:pt>
                <c:pt idx="513">
                  <c:v>7.982595603513841E-2</c:v>
                </c:pt>
                <c:pt idx="514">
                  <c:v>7.9776800316400928E-2</c:v>
                </c:pt>
                <c:pt idx="515">
                  <c:v>7.9774448269318093E-2</c:v>
                </c:pt>
                <c:pt idx="516">
                  <c:v>7.9797536179112588E-2</c:v>
                </c:pt>
                <c:pt idx="517">
                  <c:v>7.9859732887487017E-2</c:v>
                </c:pt>
                <c:pt idx="518">
                  <c:v>7.9696908515356407E-2</c:v>
                </c:pt>
                <c:pt idx="519">
                  <c:v>7.9834523269022004E-2</c:v>
                </c:pt>
                <c:pt idx="520">
                  <c:v>7.9859798838432583E-2</c:v>
                </c:pt>
                <c:pt idx="521">
                  <c:v>7.988973909933926E-2</c:v>
                </c:pt>
                <c:pt idx="522">
                  <c:v>7.9884132405917005E-2</c:v>
                </c:pt>
                <c:pt idx="523">
                  <c:v>7.9802776114434343E-2</c:v>
                </c:pt>
                <c:pt idx="524">
                  <c:v>7.9907240807818802E-2</c:v>
                </c:pt>
                <c:pt idx="525">
                  <c:v>7.9957270691172519E-2</c:v>
                </c:pt>
                <c:pt idx="526">
                  <c:v>8.0050359426378628E-2</c:v>
                </c:pt>
                <c:pt idx="527">
                  <c:v>8.0204457717569427E-2</c:v>
                </c:pt>
                <c:pt idx="528">
                  <c:v>8.0219778262594854E-2</c:v>
                </c:pt>
                <c:pt idx="529">
                  <c:v>8.0336070055561579E-2</c:v>
                </c:pt>
                <c:pt idx="530">
                  <c:v>8.0466882618101129E-2</c:v>
                </c:pt>
                <c:pt idx="531">
                  <c:v>8.0441748436278063E-2</c:v>
                </c:pt>
                <c:pt idx="532">
                  <c:v>8.046072701480167E-2</c:v>
                </c:pt>
                <c:pt idx="533">
                  <c:v>8.048990995567068E-2</c:v>
                </c:pt>
                <c:pt idx="534">
                  <c:v>8.0714082259134415E-2</c:v>
                </c:pt>
                <c:pt idx="535">
                  <c:v>8.085232366205243E-2</c:v>
                </c:pt>
                <c:pt idx="536">
                  <c:v>8.0936170040878108E-2</c:v>
                </c:pt>
                <c:pt idx="537">
                  <c:v>8.0866849274752906E-2</c:v>
                </c:pt>
                <c:pt idx="538">
                  <c:v>8.0889065850572567E-2</c:v>
                </c:pt>
                <c:pt idx="539">
                  <c:v>8.0861112309118008E-2</c:v>
                </c:pt>
                <c:pt idx="540">
                  <c:v>8.0849980705926014E-2</c:v>
                </c:pt>
                <c:pt idx="541">
                  <c:v>8.0820223368903335E-2</c:v>
                </c:pt>
                <c:pt idx="542">
                  <c:v>8.0663699529119254E-2</c:v>
                </c:pt>
                <c:pt idx="543">
                  <c:v>8.0621584092710502E-2</c:v>
                </c:pt>
                <c:pt idx="544">
                  <c:v>8.0616520028145011E-2</c:v>
                </c:pt>
                <c:pt idx="545">
                  <c:v>8.048428037581476E-2</c:v>
                </c:pt>
                <c:pt idx="546">
                  <c:v>8.0454117865691968E-2</c:v>
                </c:pt>
                <c:pt idx="547">
                  <c:v>8.0431967281863581E-2</c:v>
                </c:pt>
                <c:pt idx="548">
                  <c:v>8.0467794181153768E-2</c:v>
                </c:pt>
                <c:pt idx="549">
                  <c:v>8.0316680384814654E-2</c:v>
                </c:pt>
                <c:pt idx="550">
                  <c:v>8.0324638759190686E-2</c:v>
                </c:pt>
                <c:pt idx="551">
                  <c:v>8.0350359029980084E-2</c:v>
                </c:pt>
                <c:pt idx="552">
                  <c:v>8.0327032092346387E-2</c:v>
                </c:pt>
                <c:pt idx="553">
                  <c:v>8.0197133748293625E-2</c:v>
                </c:pt>
                <c:pt idx="554">
                  <c:v>8.022668709789707E-2</c:v>
                </c:pt>
                <c:pt idx="555">
                  <c:v>8.017316709719724E-2</c:v>
                </c:pt>
                <c:pt idx="556">
                  <c:v>8.0255665178909585E-2</c:v>
                </c:pt>
                <c:pt idx="557">
                  <c:v>8.0105683223917201E-2</c:v>
                </c:pt>
                <c:pt idx="558">
                  <c:v>8.0177126455021494E-2</c:v>
                </c:pt>
                <c:pt idx="559">
                  <c:v>8.0172336787606754E-2</c:v>
                </c:pt>
                <c:pt idx="560">
                  <c:v>8.0204198595128798E-2</c:v>
                </c:pt>
                <c:pt idx="561">
                  <c:v>8.0217711679335432E-2</c:v>
                </c:pt>
                <c:pt idx="562">
                  <c:v>8.0127411264542342E-2</c:v>
                </c:pt>
                <c:pt idx="563">
                  <c:v>8.0050668369350167E-2</c:v>
                </c:pt>
                <c:pt idx="564">
                  <c:v>8.0032879190078676E-2</c:v>
                </c:pt>
                <c:pt idx="565">
                  <c:v>8.0023114859847144E-2</c:v>
                </c:pt>
                <c:pt idx="566">
                  <c:v>7.9978924517795855E-2</c:v>
                </c:pt>
                <c:pt idx="567">
                  <c:v>7.9930685433345083E-2</c:v>
                </c:pt>
                <c:pt idx="568">
                  <c:v>7.9885529980251752E-2</c:v>
                </c:pt>
                <c:pt idx="569">
                  <c:v>7.9902908796321115E-2</c:v>
                </c:pt>
                <c:pt idx="570">
                  <c:v>7.9810761234635763E-2</c:v>
                </c:pt>
                <c:pt idx="571">
                  <c:v>7.980075366565309E-2</c:v>
                </c:pt>
                <c:pt idx="572">
                  <c:v>7.9778390598585186E-2</c:v>
                </c:pt>
                <c:pt idx="573">
                  <c:v>7.9882504290917894E-2</c:v>
                </c:pt>
                <c:pt idx="574">
                  <c:v>7.9839794462174984E-2</c:v>
                </c:pt>
                <c:pt idx="575">
                  <c:v>7.9806744967146986E-2</c:v>
                </c:pt>
                <c:pt idx="576">
                  <c:v>7.9831502231328316E-2</c:v>
                </c:pt>
                <c:pt idx="577">
                  <c:v>7.9800098360255672E-2</c:v>
                </c:pt>
                <c:pt idx="578">
                  <c:v>7.9825641368636707E-2</c:v>
                </c:pt>
                <c:pt idx="579">
                  <c:v>7.98069770607472E-2</c:v>
                </c:pt>
                <c:pt idx="580">
                  <c:v>7.9766063444803567E-2</c:v>
                </c:pt>
                <c:pt idx="581">
                  <c:v>7.969365745582771E-2</c:v>
                </c:pt>
                <c:pt idx="582">
                  <c:v>7.9760470794156241E-2</c:v>
                </c:pt>
                <c:pt idx="583">
                  <c:v>7.9899602077658602E-2</c:v>
                </c:pt>
                <c:pt idx="584">
                  <c:v>7.9799700476247848E-2</c:v>
                </c:pt>
                <c:pt idx="585">
                  <c:v>7.9688617399070794E-2</c:v>
                </c:pt>
                <c:pt idx="586">
                  <c:v>7.954774259720164E-2</c:v>
                </c:pt>
                <c:pt idx="587">
                  <c:v>7.9464583809074035E-2</c:v>
                </c:pt>
                <c:pt idx="588">
                  <c:v>7.9424143609012107E-2</c:v>
                </c:pt>
                <c:pt idx="589">
                  <c:v>7.934270251235552E-2</c:v>
                </c:pt>
                <c:pt idx="590">
                  <c:v>7.9294811107057245E-2</c:v>
                </c:pt>
                <c:pt idx="591">
                  <c:v>7.9287155345632535E-2</c:v>
                </c:pt>
                <c:pt idx="592">
                  <c:v>7.9302573137742485E-2</c:v>
                </c:pt>
                <c:pt idx="593">
                  <c:v>7.9318236843777701E-2</c:v>
                </c:pt>
                <c:pt idx="594">
                  <c:v>7.9288618237841862E-2</c:v>
                </c:pt>
                <c:pt idx="595">
                  <c:v>7.9358959693898695E-2</c:v>
                </c:pt>
                <c:pt idx="596">
                  <c:v>7.9360519337670729E-2</c:v>
                </c:pt>
                <c:pt idx="597">
                  <c:v>7.9340208469717274E-2</c:v>
                </c:pt>
                <c:pt idx="598">
                  <c:v>7.941894499388058E-2</c:v>
                </c:pt>
                <c:pt idx="599">
                  <c:v>7.9432423141318598E-2</c:v>
                </c:pt>
                <c:pt idx="600">
                  <c:v>7.938610477036237E-2</c:v>
                </c:pt>
                <c:pt idx="601">
                  <c:v>7.945176561482481E-2</c:v>
                </c:pt>
                <c:pt idx="602">
                  <c:v>7.9280565326905944E-2</c:v>
                </c:pt>
                <c:pt idx="603">
                  <c:v>7.9285843375790588E-2</c:v>
                </c:pt>
                <c:pt idx="604">
                  <c:v>7.9307038853168074E-2</c:v>
                </c:pt>
                <c:pt idx="605">
                  <c:v>7.9294988201520686E-2</c:v>
                </c:pt>
                <c:pt idx="606">
                  <c:v>7.9354201489010831E-2</c:v>
                </c:pt>
                <c:pt idx="607">
                  <c:v>7.9290713254020123E-2</c:v>
                </c:pt>
                <c:pt idx="608">
                  <c:v>7.9327639301912833E-2</c:v>
                </c:pt>
                <c:pt idx="609">
                  <c:v>7.9306700510143463E-2</c:v>
                </c:pt>
                <c:pt idx="610">
                  <c:v>7.9270071592374647E-2</c:v>
                </c:pt>
                <c:pt idx="611">
                  <c:v>7.9139935274101347E-2</c:v>
                </c:pt>
                <c:pt idx="612">
                  <c:v>7.9171515943734047E-2</c:v>
                </c:pt>
                <c:pt idx="613">
                  <c:v>7.9156513766951486E-2</c:v>
                </c:pt>
                <c:pt idx="614">
                  <c:v>7.9075615233973912E-2</c:v>
                </c:pt>
                <c:pt idx="615">
                  <c:v>7.9105704479583386E-2</c:v>
                </c:pt>
                <c:pt idx="616">
                  <c:v>7.922998750663493E-2</c:v>
                </c:pt>
                <c:pt idx="617">
                  <c:v>7.9143526321522301E-2</c:v>
                </c:pt>
                <c:pt idx="618">
                  <c:v>7.8976547648619014E-2</c:v>
                </c:pt>
                <c:pt idx="619">
                  <c:v>7.8980732631345391E-2</c:v>
                </c:pt>
                <c:pt idx="620">
                  <c:v>7.9001792238814705E-2</c:v>
                </c:pt>
                <c:pt idx="621">
                  <c:v>7.9100091878940626E-2</c:v>
                </c:pt>
                <c:pt idx="622">
                  <c:v>7.9221511100220715E-2</c:v>
                </c:pt>
                <c:pt idx="623">
                  <c:v>7.9206620263674143E-2</c:v>
                </c:pt>
                <c:pt idx="624">
                  <c:v>7.918512012636672E-2</c:v>
                </c:pt>
                <c:pt idx="625">
                  <c:v>7.9110055985720087E-2</c:v>
                </c:pt>
                <c:pt idx="626">
                  <c:v>7.9033144029582794E-2</c:v>
                </c:pt>
                <c:pt idx="627">
                  <c:v>7.9043463232773239E-2</c:v>
                </c:pt>
                <c:pt idx="628">
                  <c:v>7.9002938179085297E-2</c:v>
                </c:pt>
                <c:pt idx="629">
                  <c:v>7.8970212908221926E-2</c:v>
                </c:pt>
                <c:pt idx="630">
                  <c:v>7.8916139586168874E-2</c:v>
                </c:pt>
                <c:pt idx="631">
                  <c:v>7.8939787026613667E-2</c:v>
                </c:pt>
                <c:pt idx="632">
                  <c:v>7.8882214088794908E-2</c:v>
                </c:pt>
                <c:pt idx="633">
                  <c:v>7.879133797817163E-2</c:v>
                </c:pt>
                <c:pt idx="634">
                  <c:v>7.8766969130464021E-2</c:v>
                </c:pt>
                <c:pt idx="635">
                  <c:v>7.8640906686882825E-2</c:v>
                </c:pt>
                <c:pt idx="636">
                  <c:v>7.8574209679535226E-2</c:v>
                </c:pt>
                <c:pt idx="637">
                  <c:v>7.857947558979779E-2</c:v>
                </c:pt>
                <c:pt idx="638">
                  <c:v>7.870837084857274E-2</c:v>
                </c:pt>
                <c:pt idx="639">
                  <c:v>7.8623803476027015E-2</c:v>
                </c:pt>
                <c:pt idx="640">
                  <c:v>7.8613025574494372E-2</c:v>
                </c:pt>
                <c:pt idx="641">
                  <c:v>7.8601059923582295E-2</c:v>
                </c:pt>
                <c:pt idx="642">
                  <c:v>7.8739124466628604E-2</c:v>
                </c:pt>
                <c:pt idx="643">
                  <c:v>7.8795396100979714E-2</c:v>
                </c:pt>
                <c:pt idx="644">
                  <c:v>7.8747507122512134E-2</c:v>
                </c:pt>
                <c:pt idx="645">
                  <c:v>7.877150882848083E-2</c:v>
                </c:pt>
                <c:pt idx="646">
                  <c:v>7.8860361314584626E-2</c:v>
                </c:pt>
                <c:pt idx="647">
                  <c:v>7.8824987799643156E-2</c:v>
                </c:pt>
                <c:pt idx="648">
                  <c:v>7.8768654974280594E-2</c:v>
                </c:pt>
                <c:pt idx="649">
                  <c:v>7.8667266985836204E-2</c:v>
                </c:pt>
                <c:pt idx="650">
                  <c:v>7.8657480941997732E-2</c:v>
                </c:pt>
                <c:pt idx="651">
                  <c:v>7.8646627716008374E-2</c:v>
                </c:pt>
                <c:pt idx="652">
                  <c:v>7.8612188606060812E-2</c:v>
                </c:pt>
                <c:pt idx="653">
                  <c:v>7.8682967592299355E-2</c:v>
                </c:pt>
                <c:pt idx="654">
                  <c:v>7.8756108131970815E-2</c:v>
                </c:pt>
                <c:pt idx="655">
                  <c:v>7.8724052384098603E-2</c:v>
                </c:pt>
                <c:pt idx="656">
                  <c:v>7.8729521431082417E-2</c:v>
                </c:pt>
                <c:pt idx="657">
                  <c:v>7.8540392090383951E-2</c:v>
                </c:pt>
                <c:pt idx="658">
                  <c:v>7.851592202847045E-2</c:v>
                </c:pt>
                <c:pt idx="659">
                  <c:v>7.8435780520272863E-2</c:v>
                </c:pt>
                <c:pt idx="660">
                  <c:v>7.8340203297435379E-2</c:v>
                </c:pt>
                <c:pt idx="661">
                  <c:v>7.8317255069819389E-2</c:v>
                </c:pt>
                <c:pt idx="662">
                  <c:v>7.8303827785254049E-2</c:v>
                </c:pt>
                <c:pt idx="663">
                  <c:v>7.827128584233134E-2</c:v>
                </c:pt>
                <c:pt idx="664">
                  <c:v>7.809373452195599E-2</c:v>
                </c:pt>
                <c:pt idx="665">
                  <c:v>7.8112519706506928E-2</c:v>
                </c:pt>
                <c:pt idx="666">
                  <c:v>7.8025122507230843E-2</c:v>
                </c:pt>
                <c:pt idx="667">
                  <c:v>7.7891528709079602E-2</c:v>
                </c:pt>
                <c:pt idx="668">
                  <c:v>7.8000297093204565E-2</c:v>
                </c:pt>
                <c:pt idx="669">
                  <c:v>7.8039117383243664E-2</c:v>
                </c:pt>
                <c:pt idx="670">
                  <c:v>7.7937290274987497E-2</c:v>
                </c:pt>
                <c:pt idx="671">
                  <c:v>7.7846951612099258E-2</c:v>
                </c:pt>
                <c:pt idx="672">
                  <c:v>7.7737433438794148E-2</c:v>
                </c:pt>
                <c:pt idx="673">
                  <c:v>7.7825334001349278E-2</c:v>
                </c:pt>
                <c:pt idx="674">
                  <c:v>7.7783852462814496E-2</c:v>
                </c:pt>
                <c:pt idx="675">
                  <c:v>7.7689055232269641E-2</c:v>
                </c:pt>
                <c:pt idx="676">
                  <c:v>7.7573120463208273E-2</c:v>
                </c:pt>
                <c:pt idx="677">
                  <c:v>7.7635036173157201E-2</c:v>
                </c:pt>
                <c:pt idx="678">
                  <c:v>7.7638221599891657E-2</c:v>
                </c:pt>
                <c:pt idx="679">
                  <c:v>7.7654789508083827E-2</c:v>
                </c:pt>
                <c:pt idx="680">
                  <c:v>7.7643824855483379E-2</c:v>
                </c:pt>
                <c:pt idx="681">
                  <c:v>7.7557825643981601E-2</c:v>
                </c:pt>
                <c:pt idx="682">
                  <c:v>7.7597500098198088E-2</c:v>
                </c:pt>
                <c:pt idx="683">
                  <c:v>7.7715370458838723E-2</c:v>
                </c:pt>
                <c:pt idx="684">
                  <c:v>7.7689685361325644E-2</c:v>
                </c:pt>
                <c:pt idx="685">
                  <c:v>7.780055159409488E-2</c:v>
                </c:pt>
                <c:pt idx="686">
                  <c:v>7.7785470974089166E-2</c:v>
                </c:pt>
                <c:pt idx="687">
                  <c:v>7.7873503570029826E-2</c:v>
                </c:pt>
                <c:pt idx="688">
                  <c:v>7.782861984597067E-2</c:v>
                </c:pt>
                <c:pt idx="689">
                  <c:v>7.7827331522471482E-2</c:v>
                </c:pt>
                <c:pt idx="690">
                  <c:v>7.7779097302619601E-2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78240"/>
        <c:axId val="403580416"/>
      </c:lineChart>
      <c:catAx>
        <c:axId val="40357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403580416"/>
        <c:crosses val="autoZero"/>
        <c:auto val="1"/>
        <c:lblAlgn val="ctr"/>
        <c:lblOffset val="100"/>
        <c:noMultiLvlLbl val="0"/>
      </c:catAx>
      <c:valAx>
        <c:axId val="403580416"/>
        <c:scaling>
          <c:orientation val="minMax"/>
          <c:max val="0.1"/>
          <c:min val="2.0000000000000004E-2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03578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Output!$AF$12:$AF$731</c:f>
              <c:numCache>
                <c:formatCode>_-* #,##0.00_-;\-* #,##0.00_-;_-* "-"??_-;_-@_-</c:formatCode>
                <c:ptCount val="720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  <c:pt idx="364">
                  <c:v>30.333333333333172</c:v>
                </c:pt>
                <c:pt idx="365">
                  <c:v>30.416666666666504</c:v>
                </c:pt>
                <c:pt idx="366">
                  <c:v>30.499999999999837</c:v>
                </c:pt>
                <c:pt idx="367">
                  <c:v>30.583333333333169</c:v>
                </c:pt>
                <c:pt idx="368">
                  <c:v>30.666666666666501</c:v>
                </c:pt>
                <c:pt idx="369">
                  <c:v>30.749999999999833</c:v>
                </c:pt>
                <c:pt idx="370">
                  <c:v>30.833333333333165</c:v>
                </c:pt>
                <c:pt idx="371">
                  <c:v>30.916666666666497</c:v>
                </c:pt>
                <c:pt idx="372">
                  <c:v>30.999999999999829</c:v>
                </c:pt>
                <c:pt idx="373">
                  <c:v>31.083333333333162</c:v>
                </c:pt>
                <c:pt idx="374">
                  <c:v>31.166666666666494</c:v>
                </c:pt>
                <c:pt idx="375">
                  <c:v>31.249999999999826</c:v>
                </c:pt>
                <c:pt idx="376">
                  <c:v>31.333333333333158</c:v>
                </c:pt>
                <c:pt idx="377">
                  <c:v>31.41666666666649</c:v>
                </c:pt>
                <c:pt idx="378">
                  <c:v>31.499999999999822</c:v>
                </c:pt>
                <c:pt idx="379">
                  <c:v>31.583333333333155</c:v>
                </c:pt>
                <c:pt idx="380">
                  <c:v>31.666666666666487</c:v>
                </c:pt>
                <c:pt idx="381">
                  <c:v>31.749999999999819</c:v>
                </c:pt>
                <c:pt idx="382">
                  <c:v>31.833333333333151</c:v>
                </c:pt>
                <c:pt idx="383">
                  <c:v>31.916666666666483</c:v>
                </c:pt>
                <c:pt idx="384">
                  <c:v>31.999999999999815</c:v>
                </c:pt>
                <c:pt idx="385">
                  <c:v>32.083333333333151</c:v>
                </c:pt>
                <c:pt idx="386">
                  <c:v>32.166666666666487</c:v>
                </c:pt>
                <c:pt idx="387">
                  <c:v>32.249999999999822</c:v>
                </c:pt>
                <c:pt idx="388">
                  <c:v>32.333333333333158</c:v>
                </c:pt>
                <c:pt idx="389">
                  <c:v>32.416666666666494</c:v>
                </c:pt>
                <c:pt idx="390">
                  <c:v>32.499999999999829</c:v>
                </c:pt>
                <c:pt idx="391">
                  <c:v>32.583333333333165</c:v>
                </c:pt>
                <c:pt idx="392">
                  <c:v>32.666666666666501</c:v>
                </c:pt>
                <c:pt idx="393">
                  <c:v>32.749999999999837</c:v>
                </c:pt>
                <c:pt idx="394">
                  <c:v>32.833333333333172</c:v>
                </c:pt>
                <c:pt idx="395">
                  <c:v>32.916666666666508</c:v>
                </c:pt>
                <c:pt idx="396">
                  <c:v>32.999999999999844</c:v>
                </c:pt>
                <c:pt idx="397">
                  <c:v>33.083333333333179</c:v>
                </c:pt>
                <c:pt idx="398">
                  <c:v>33.166666666666515</c:v>
                </c:pt>
                <c:pt idx="399">
                  <c:v>33.249999999999851</c:v>
                </c:pt>
                <c:pt idx="400">
                  <c:v>33.333333333333186</c:v>
                </c:pt>
                <c:pt idx="401">
                  <c:v>33.416666666666522</c:v>
                </c:pt>
                <c:pt idx="402">
                  <c:v>33.499999999999858</c:v>
                </c:pt>
                <c:pt idx="403">
                  <c:v>33.583333333333194</c:v>
                </c:pt>
                <c:pt idx="404">
                  <c:v>33.666666666666529</c:v>
                </c:pt>
                <c:pt idx="405">
                  <c:v>33.749999999999865</c:v>
                </c:pt>
                <c:pt idx="406">
                  <c:v>33.833333333333201</c:v>
                </c:pt>
                <c:pt idx="407">
                  <c:v>33.916666666666536</c:v>
                </c:pt>
                <c:pt idx="408">
                  <c:v>33.999999999999872</c:v>
                </c:pt>
                <c:pt idx="409">
                  <c:v>34.083333333333208</c:v>
                </c:pt>
                <c:pt idx="410">
                  <c:v>34.166666666666544</c:v>
                </c:pt>
                <c:pt idx="411">
                  <c:v>34.249999999999879</c:v>
                </c:pt>
                <c:pt idx="412">
                  <c:v>34.333333333333215</c:v>
                </c:pt>
                <c:pt idx="413">
                  <c:v>34.416666666666551</c:v>
                </c:pt>
                <c:pt idx="414">
                  <c:v>34.499999999999886</c:v>
                </c:pt>
                <c:pt idx="415">
                  <c:v>34.583333333333222</c:v>
                </c:pt>
                <c:pt idx="416">
                  <c:v>34.666666666666558</c:v>
                </c:pt>
                <c:pt idx="417">
                  <c:v>34.749999999999893</c:v>
                </c:pt>
                <c:pt idx="418">
                  <c:v>34.833333333333229</c:v>
                </c:pt>
                <c:pt idx="419">
                  <c:v>34.916666666666565</c:v>
                </c:pt>
                <c:pt idx="420">
                  <c:v>34.999999999999901</c:v>
                </c:pt>
                <c:pt idx="421">
                  <c:v>35.083333333333236</c:v>
                </c:pt>
                <c:pt idx="422">
                  <c:v>35.166666666666572</c:v>
                </c:pt>
                <c:pt idx="423">
                  <c:v>35.249999999999908</c:v>
                </c:pt>
                <c:pt idx="424">
                  <c:v>35.333333333333243</c:v>
                </c:pt>
                <c:pt idx="425">
                  <c:v>35.416666666666579</c:v>
                </c:pt>
                <c:pt idx="426">
                  <c:v>35.499999999999915</c:v>
                </c:pt>
                <c:pt idx="427">
                  <c:v>35.58333333333325</c:v>
                </c:pt>
                <c:pt idx="428">
                  <c:v>35.666666666666586</c:v>
                </c:pt>
                <c:pt idx="429">
                  <c:v>35.749999999999922</c:v>
                </c:pt>
                <c:pt idx="430">
                  <c:v>35.833333333333258</c:v>
                </c:pt>
                <c:pt idx="431">
                  <c:v>35.916666666666593</c:v>
                </c:pt>
                <c:pt idx="432">
                  <c:v>35.999999999999929</c:v>
                </c:pt>
                <c:pt idx="433">
                  <c:v>36.083333333333265</c:v>
                </c:pt>
                <c:pt idx="434">
                  <c:v>36.1666666666666</c:v>
                </c:pt>
                <c:pt idx="435">
                  <c:v>36.249999999999936</c:v>
                </c:pt>
                <c:pt idx="436">
                  <c:v>36.333333333333272</c:v>
                </c:pt>
                <c:pt idx="437">
                  <c:v>36.416666666666607</c:v>
                </c:pt>
                <c:pt idx="438">
                  <c:v>36.499999999999943</c:v>
                </c:pt>
                <c:pt idx="439">
                  <c:v>36.583333333333279</c:v>
                </c:pt>
                <c:pt idx="440">
                  <c:v>36.666666666666615</c:v>
                </c:pt>
                <c:pt idx="441">
                  <c:v>36.74999999999995</c:v>
                </c:pt>
                <c:pt idx="442">
                  <c:v>36.833333333333286</c:v>
                </c:pt>
                <c:pt idx="443">
                  <c:v>36.916666666666622</c:v>
                </c:pt>
                <c:pt idx="444">
                  <c:v>36.999999999999957</c:v>
                </c:pt>
                <c:pt idx="445">
                  <c:v>37.083333333333293</c:v>
                </c:pt>
                <c:pt idx="446">
                  <c:v>37.166666666666629</c:v>
                </c:pt>
                <c:pt idx="447">
                  <c:v>37.249999999999964</c:v>
                </c:pt>
                <c:pt idx="448">
                  <c:v>37.3333333333333</c:v>
                </c:pt>
                <c:pt idx="449">
                  <c:v>37.416666666666636</c:v>
                </c:pt>
                <c:pt idx="450">
                  <c:v>37.499999999999972</c:v>
                </c:pt>
                <c:pt idx="451">
                  <c:v>37.583333333333307</c:v>
                </c:pt>
                <c:pt idx="452">
                  <c:v>37.666666666666643</c:v>
                </c:pt>
                <c:pt idx="453">
                  <c:v>37.749999999999979</c:v>
                </c:pt>
                <c:pt idx="454">
                  <c:v>37.833333333333314</c:v>
                </c:pt>
                <c:pt idx="455">
                  <c:v>37.91666666666665</c:v>
                </c:pt>
                <c:pt idx="456">
                  <c:v>37.999999999999986</c:v>
                </c:pt>
                <c:pt idx="457">
                  <c:v>38.083333333333321</c:v>
                </c:pt>
                <c:pt idx="458">
                  <c:v>38.166666666666657</c:v>
                </c:pt>
                <c:pt idx="459">
                  <c:v>38.249999999999993</c:v>
                </c:pt>
                <c:pt idx="460">
                  <c:v>38.333333333333329</c:v>
                </c:pt>
                <c:pt idx="461">
                  <c:v>38.416666666666664</c:v>
                </c:pt>
                <c:pt idx="462">
                  <c:v>38.5</c:v>
                </c:pt>
                <c:pt idx="463">
                  <c:v>38.583333333333336</c:v>
                </c:pt>
                <c:pt idx="464">
                  <c:v>38.666666666666671</c:v>
                </c:pt>
                <c:pt idx="465">
                  <c:v>38.750000000000007</c:v>
                </c:pt>
                <c:pt idx="466">
                  <c:v>38.833333333333343</c:v>
                </c:pt>
                <c:pt idx="467">
                  <c:v>38.916666666666679</c:v>
                </c:pt>
                <c:pt idx="468">
                  <c:v>39.000000000000014</c:v>
                </c:pt>
                <c:pt idx="469">
                  <c:v>39.08333333333335</c:v>
                </c:pt>
                <c:pt idx="470">
                  <c:v>39.166666666666686</c:v>
                </c:pt>
                <c:pt idx="471">
                  <c:v>39.250000000000021</c:v>
                </c:pt>
                <c:pt idx="472">
                  <c:v>39.333333333333357</c:v>
                </c:pt>
                <c:pt idx="473">
                  <c:v>39.416666666666693</c:v>
                </c:pt>
                <c:pt idx="474">
                  <c:v>39.500000000000028</c:v>
                </c:pt>
                <c:pt idx="475">
                  <c:v>39.583333333333364</c:v>
                </c:pt>
                <c:pt idx="476">
                  <c:v>39.6666666666667</c:v>
                </c:pt>
                <c:pt idx="477">
                  <c:v>39.750000000000036</c:v>
                </c:pt>
                <c:pt idx="478">
                  <c:v>39.833333333333371</c:v>
                </c:pt>
                <c:pt idx="479">
                  <c:v>39.916666666666707</c:v>
                </c:pt>
                <c:pt idx="480">
                  <c:v>40.000000000000043</c:v>
                </c:pt>
                <c:pt idx="481">
                  <c:v>40.083333333333378</c:v>
                </c:pt>
                <c:pt idx="482">
                  <c:v>40.166666666666714</c:v>
                </c:pt>
                <c:pt idx="483">
                  <c:v>40.25000000000005</c:v>
                </c:pt>
                <c:pt idx="484">
                  <c:v>40.333333333333385</c:v>
                </c:pt>
                <c:pt idx="485">
                  <c:v>40.416666666666721</c:v>
                </c:pt>
                <c:pt idx="486">
                  <c:v>40.500000000000057</c:v>
                </c:pt>
                <c:pt idx="487">
                  <c:v>40.583333333333393</c:v>
                </c:pt>
                <c:pt idx="488">
                  <c:v>40.666666666666728</c:v>
                </c:pt>
                <c:pt idx="489">
                  <c:v>40.750000000000064</c:v>
                </c:pt>
                <c:pt idx="490">
                  <c:v>40.8333333333334</c:v>
                </c:pt>
                <c:pt idx="491">
                  <c:v>40.916666666666735</c:v>
                </c:pt>
                <c:pt idx="492">
                  <c:v>41.000000000000071</c:v>
                </c:pt>
                <c:pt idx="493">
                  <c:v>41.083333333333407</c:v>
                </c:pt>
                <c:pt idx="494">
                  <c:v>41.166666666666742</c:v>
                </c:pt>
                <c:pt idx="495">
                  <c:v>41.250000000000078</c:v>
                </c:pt>
                <c:pt idx="496">
                  <c:v>41.333333333333414</c:v>
                </c:pt>
                <c:pt idx="497">
                  <c:v>41.41666666666675</c:v>
                </c:pt>
                <c:pt idx="498">
                  <c:v>41.500000000000085</c:v>
                </c:pt>
                <c:pt idx="499">
                  <c:v>41.583333333333421</c:v>
                </c:pt>
                <c:pt idx="500">
                  <c:v>41.666666666666757</c:v>
                </c:pt>
                <c:pt idx="501">
                  <c:v>41.750000000000092</c:v>
                </c:pt>
                <c:pt idx="502">
                  <c:v>41.833333333333428</c:v>
                </c:pt>
                <c:pt idx="503">
                  <c:v>41.916666666666764</c:v>
                </c:pt>
                <c:pt idx="504">
                  <c:v>42.000000000000099</c:v>
                </c:pt>
                <c:pt idx="505">
                  <c:v>42.083333333333435</c:v>
                </c:pt>
                <c:pt idx="506">
                  <c:v>42.166666666666771</c:v>
                </c:pt>
                <c:pt idx="507">
                  <c:v>42.250000000000107</c:v>
                </c:pt>
                <c:pt idx="508">
                  <c:v>42.333333333333442</c:v>
                </c:pt>
                <c:pt idx="509">
                  <c:v>42.416666666666778</c:v>
                </c:pt>
                <c:pt idx="510">
                  <c:v>42.500000000000114</c:v>
                </c:pt>
                <c:pt idx="511">
                  <c:v>42.583333333333449</c:v>
                </c:pt>
                <c:pt idx="512">
                  <c:v>42.666666666666785</c:v>
                </c:pt>
                <c:pt idx="513">
                  <c:v>42.750000000000121</c:v>
                </c:pt>
                <c:pt idx="514">
                  <c:v>42.833333333333456</c:v>
                </c:pt>
                <c:pt idx="515">
                  <c:v>42.916666666666792</c:v>
                </c:pt>
                <c:pt idx="516">
                  <c:v>43.000000000000128</c:v>
                </c:pt>
                <c:pt idx="517">
                  <c:v>43.083333333333464</c:v>
                </c:pt>
                <c:pt idx="518">
                  <c:v>43.166666666666799</c:v>
                </c:pt>
                <c:pt idx="519">
                  <c:v>43.250000000000135</c:v>
                </c:pt>
                <c:pt idx="520">
                  <c:v>43.333333333333471</c:v>
                </c:pt>
                <c:pt idx="521">
                  <c:v>43.416666666666806</c:v>
                </c:pt>
                <c:pt idx="522">
                  <c:v>43.500000000000142</c:v>
                </c:pt>
                <c:pt idx="523">
                  <c:v>43.583333333333478</c:v>
                </c:pt>
                <c:pt idx="524">
                  <c:v>43.666666666666814</c:v>
                </c:pt>
                <c:pt idx="525">
                  <c:v>43.750000000000149</c:v>
                </c:pt>
                <c:pt idx="526">
                  <c:v>43.833333333333485</c:v>
                </c:pt>
                <c:pt idx="527">
                  <c:v>43.916666666666821</c:v>
                </c:pt>
                <c:pt idx="528">
                  <c:v>44.000000000000156</c:v>
                </c:pt>
                <c:pt idx="529">
                  <c:v>44.083333333333492</c:v>
                </c:pt>
                <c:pt idx="530">
                  <c:v>44.166666666666828</c:v>
                </c:pt>
                <c:pt idx="531">
                  <c:v>44.250000000000163</c:v>
                </c:pt>
                <c:pt idx="532">
                  <c:v>44.333333333333499</c:v>
                </c:pt>
                <c:pt idx="533">
                  <c:v>44.416666666666835</c:v>
                </c:pt>
                <c:pt idx="534">
                  <c:v>44.500000000000171</c:v>
                </c:pt>
                <c:pt idx="535">
                  <c:v>44.583333333333506</c:v>
                </c:pt>
                <c:pt idx="536">
                  <c:v>44.666666666666842</c:v>
                </c:pt>
                <c:pt idx="537">
                  <c:v>44.750000000000178</c:v>
                </c:pt>
                <c:pt idx="538">
                  <c:v>44.833333333333513</c:v>
                </c:pt>
                <c:pt idx="539">
                  <c:v>44.916666666666849</c:v>
                </c:pt>
                <c:pt idx="540">
                  <c:v>45.000000000000185</c:v>
                </c:pt>
                <c:pt idx="541">
                  <c:v>45.08333333333352</c:v>
                </c:pt>
                <c:pt idx="542">
                  <c:v>45.166666666666856</c:v>
                </c:pt>
                <c:pt idx="543">
                  <c:v>45.250000000000192</c:v>
                </c:pt>
                <c:pt idx="544">
                  <c:v>45.333333333333528</c:v>
                </c:pt>
                <c:pt idx="545">
                  <c:v>45.416666666666863</c:v>
                </c:pt>
                <c:pt idx="546">
                  <c:v>45.500000000000199</c:v>
                </c:pt>
                <c:pt idx="547">
                  <c:v>45.583333333333535</c:v>
                </c:pt>
                <c:pt idx="548">
                  <c:v>45.66666666666687</c:v>
                </c:pt>
                <c:pt idx="549">
                  <c:v>45.750000000000206</c:v>
                </c:pt>
                <c:pt idx="550">
                  <c:v>45.833333333333542</c:v>
                </c:pt>
                <c:pt idx="551">
                  <c:v>45.916666666666877</c:v>
                </c:pt>
                <c:pt idx="552">
                  <c:v>46.000000000000213</c:v>
                </c:pt>
                <c:pt idx="553">
                  <c:v>46.083333333333549</c:v>
                </c:pt>
                <c:pt idx="554">
                  <c:v>46.166666666666885</c:v>
                </c:pt>
                <c:pt idx="555">
                  <c:v>46.25000000000022</c:v>
                </c:pt>
                <c:pt idx="556">
                  <c:v>46.333333333333556</c:v>
                </c:pt>
                <c:pt idx="557">
                  <c:v>46.416666666666892</c:v>
                </c:pt>
                <c:pt idx="558">
                  <c:v>46.500000000000227</c:v>
                </c:pt>
                <c:pt idx="559">
                  <c:v>46.583333333333563</c:v>
                </c:pt>
                <c:pt idx="560">
                  <c:v>46.666666666666899</c:v>
                </c:pt>
                <c:pt idx="561">
                  <c:v>46.750000000000234</c:v>
                </c:pt>
                <c:pt idx="562">
                  <c:v>46.83333333333357</c:v>
                </c:pt>
                <c:pt idx="563">
                  <c:v>46.916666666666906</c:v>
                </c:pt>
                <c:pt idx="564">
                  <c:v>47.000000000000242</c:v>
                </c:pt>
                <c:pt idx="565">
                  <c:v>47.083333333333577</c:v>
                </c:pt>
                <c:pt idx="566">
                  <c:v>47.166666666666913</c:v>
                </c:pt>
                <c:pt idx="567">
                  <c:v>47.250000000000249</c:v>
                </c:pt>
                <c:pt idx="568">
                  <c:v>47.333333333333584</c:v>
                </c:pt>
                <c:pt idx="569">
                  <c:v>47.41666666666692</c:v>
                </c:pt>
                <c:pt idx="570">
                  <c:v>47.500000000000256</c:v>
                </c:pt>
                <c:pt idx="571">
                  <c:v>47.583333333333591</c:v>
                </c:pt>
                <c:pt idx="572">
                  <c:v>47.666666666666927</c:v>
                </c:pt>
                <c:pt idx="573">
                  <c:v>47.750000000000263</c:v>
                </c:pt>
                <c:pt idx="574">
                  <c:v>47.833333333333599</c:v>
                </c:pt>
                <c:pt idx="575">
                  <c:v>47.916666666666934</c:v>
                </c:pt>
                <c:pt idx="576">
                  <c:v>48.00000000000027</c:v>
                </c:pt>
                <c:pt idx="577">
                  <c:v>48.083333333333606</c:v>
                </c:pt>
                <c:pt idx="578">
                  <c:v>48.166666666666941</c:v>
                </c:pt>
                <c:pt idx="579">
                  <c:v>48.250000000000277</c:v>
                </c:pt>
                <c:pt idx="580">
                  <c:v>48.333333333333613</c:v>
                </c:pt>
                <c:pt idx="581">
                  <c:v>48.416666666666949</c:v>
                </c:pt>
                <c:pt idx="582">
                  <c:v>48.500000000000284</c:v>
                </c:pt>
                <c:pt idx="583">
                  <c:v>48.58333333333362</c:v>
                </c:pt>
                <c:pt idx="584">
                  <c:v>48.666666666666956</c:v>
                </c:pt>
                <c:pt idx="585">
                  <c:v>48.750000000000291</c:v>
                </c:pt>
                <c:pt idx="586">
                  <c:v>48.833333333333627</c:v>
                </c:pt>
                <c:pt idx="587">
                  <c:v>48.916666666666963</c:v>
                </c:pt>
                <c:pt idx="588">
                  <c:v>49.000000000000298</c:v>
                </c:pt>
                <c:pt idx="589">
                  <c:v>49.083333333333634</c:v>
                </c:pt>
                <c:pt idx="590">
                  <c:v>49.16666666666697</c:v>
                </c:pt>
                <c:pt idx="591">
                  <c:v>49.250000000000306</c:v>
                </c:pt>
                <c:pt idx="592">
                  <c:v>49.333333333333641</c:v>
                </c:pt>
                <c:pt idx="593">
                  <c:v>49.416666666666977</c:v>
                </c:pt>
                <c:pt idx="594">
                  <c:v>49.500000000000313</c:v>
                </c:pt>
                <c:pt idx="595">
                  <c:v>49.583333333333648</c:v>
                </c:pt>
                <c:pt idx="596">
                  <c:v>49.666666666666984</c:v>
                </c:pt>
                <c:pt idx="597">
                  <c:v>49.75000000000032</c:v>
                </c:pt>
                <c:pt idx="598">
                  <c:v>49.833333333333655</c:v>
                </c:pt>
                <c:pt idx="599">
                  <c:v>49.916666666666991</c:v>
                </c:pt>
                <c:pt idx="600">
                  <c:v>50.000000000000327</c:v>
                </c:pt>
                <c:pt idx="601">
                  <c:v>50.083333333333663</c:v>
                </c:pt>
                <c:pt idx="602">
                  <c:v>50.166666666666998</c:v>
                </c:pt>
                <c:pt idx="603">
                  <c:v>50.250000000000334</c:v>
                </c:pt>
                <c:pt idx="604">
                  <c:v>50.33333333333367</c:v>
                </c:pt>
                <c:pt idx="605">
                  <c:v>50.416666666667005</c:v>
                </c:pt>
                <c:pt idx="606">
                  <c:v>50.500000000000341</c:v>
                </c:pt>
                <c:pt idx="607">
                  <c:v>50.583333333333677</c:v>
                </c:pt>
                <c:pt idx="608">
                  <c:v>50.666666666667012</c:v>
                </c:pt>
                <c:pt idx="609">
                  <c:v>50.750000000000348</c:v>
                </c:pt>
                <c:pt idx="610">
                  <c:v>50.833333333333684</c:v>
                </c:pt>
                <c:pt idx="611">
                  <c:v>50.91666666666702</c:v>
                </c:pt>
                <c:pt idx="612">
                  <c:v>51.000000000000355</c:v>
                </c:pt>
                <c:pt idx="613">
                  <c:v>51.083333333333691</c:v>
                </c:pt>
                <c:pt idx="614">
                  <c:v>51.166666666667027</c:v>
                </c:pt>
                <c:pt idx="615">
                  <c:v>51.250000000000362</c:v>
                </c:pt>
                <c:pt idx="616">
                  <c:v>51.333333333333698</c:v>
                </c:pt>
                <c:pt idx="617">
                  <c:v>51.416666666667034</c:v>
                </c:pt>
                <c:pt idx="618">
                  <c:v>51.500000000000369</c:v>
                </c:pt>
                <c:pt idx="619">
                  <c:v>51.583333333333705</c:v>
                </c:pt>
                <c:pt idx="620">
                  <c:v>51.666666666667041</c:v>
                </c:pt>
                <c:pt idx="621">
                  <c:v>51.750000000000377</c:v>
                </c:pt>
                <c:pt idx="622">
                  <c:v>51.833333333333712</c:v>
                </c:pt>
                <c:pt idx="623">
                  <c:v>51.916666666667048</c:v>
                </c:pt>
                <c:pt idx="624">
                  <c:v>52.000000000000384</c:v>
                </c:pt>
                <c:pt idx="625">
                  <c:v>52.083333333333719</c:v>
                </c:pt>
                <c:pt idx="626">
                  <c:v>52.166666666667055</c:v>
                </c:pt>
                <c:pt idx="627">
                  <c:v>52.250000000000391</c:v>
                </c:pt>
                <c:pt idx="628">
                  <c:v>52.333333333333727</c:v>
                </c:pt>
                <c:pt idx="629">
                  <c:v>52.416666666667062</c:v>
                </c:pt>
                <c:pt idx="630">
                  <c:v>52.500000000000398</c:v>
                </c:pt>
                <c:pt idx="631">
                  <c:v>52.583333333333734</c:v>
                </c:pt>
                <c:pt idx="632">
                  <c:v>52.666666666667069</c:v>
                </c:pt>
                <c:pt idx="633">
                  <c:v>52.750000000000405</c:v>
                </c:pt>
                <c:pt idx="634">
                  <c:v>52.833333333333741</c:v>
                </c:pt>
                <c:pt idx="635">
                  <c:v>52.916666666667076</c:v>
                </c:pt>
                <c:pt idx="636">
                  <c:v>53.000000000000412</c:v>
                </c:pt>
                <c:pt idx="637">
                  <c:v>53.083333333333748</c:v>
                </c:pt>
                <c:pt idx="638">
                  <c:v>53.166666666667084</c:v>
                </c:pt>
                <c:pt idx="639">
                  <c:v>53.250000000000419</c:v>
                </c:pt>
                <c:pt idx="640">
                  <c:v>53.333333333333755</c:v>
                </c:pt>
                <c:pt idx="641">
                  <c:v>53.416666666667091</c:v>
                </c:pt>
                <c:pt idx="642">
                  <c:v>53.500000000000426</c:v>
                </c:pt>
                <c:pt idx="643">
                  <c:v>53.583333333333762</c:v>
                </c:pt>
                <c:pt idx="644">
                  <c:v>53.666666666667098</c:v>
                </c:pt>
                <c:pt idx="645">
                  <c:v>53.750000000000433</c:v>
                </c:pt>
                <c:pt idx="646">
                  <c:v>53.833333333333769</c:v>
                </c:pt>
                <c:pt idx="647">
                  <c:v>53.916666666667105</c:v>
                </c:pt>
                <c:pt idx="648">
                  <c:v>54.000000000000441</c:v>
                </c:pt>
                <c:pt idx="649">
                  <c:v>54.083333333333776</c:v>
                </c:pt>
                <c:pt idx="650">
                  <c:v>54.166666666667112</c:v>
                </c:pt>
                <c:pt idx="651">
                  <c:v>54.250000000000448</c:v>
                </c:pt>
                <c:pt idx="652">
                  <c:v>54.333333333333783</c:v>
                </c:pt>
                <c:pt idx="653">
                  <c:v>54.416666666667119</c:v>
                </c:pt>
                <c:pt idx="654">
                  <c:v>54.500000000000455</c:v>
                </c:pt>
                <c:pt idx="655">
                  <c:v>54.58333333333379</c:v>
                </c:pt>
                <c:pt idx="656">
                  <c:v>54.666666666667126</c:v>
                </c:pt>
                <c:pt idx="657">
                  <c:v>54.750000000000462</c:v>
                </c:pt>
                <c:pt idx="658">
                  <c:v>54.833333333333798</c:v>
                </c:pt>
                <c:pt idx="659">
                  <c:v>54.916666666667133</c:v>
                </c:pt>
                <c:pt idx="660">
                  <c:v>55.000000000000469</c:v>
                </c:pt>
                <c:pt idx="661">
                  <c:v>55.083333333333805</c:v>
                </c:pt>
                <c:pt idx="662">
                  <c:v>55.16666666666714</c:v>
                </c:pt>
                <c:pt idx="663">
                  <c:v>55.250000000000476</c:v>
                </c:pt>
                <c:pt idx="664">
                  <c:v>55.333333333333812</c:v>
                </c:pt>
                <c:pt idx="665">
                  <c:v>55.416666666667147</c:v>
                </c:pt>
                <c:pt idx="666">
                  <c:v>55.500000000000483</c:v>
                </c:pt>
                <c:pt idx="667">
                  <c:v>55.583333333333819</c:v>
                </c:pt>
                <c:pt idx="668">
                  <c:v>55.666666666667155</c:v>
                </c:pt>
                <c:pt idx="669">
                  <c:v>55.75000000000049</c:v>
                </c:pt>
                <c:pt idx="670">
                  <c:v>55.833333333333826</c:v>
                </c:pt>
                <c:pt idx="671">
                  <c:v>55.916666666667162</c:v>
                </c:pt>
                <c:pt idx="672">
                  <c:v>56.000000000000497</c:v>
                </c:pt>
                <c:pt idx="673">
                  <c:v>56.083333333333833</c:v>
                </c:pt>
                <c:pt idx="674">
                  <c:v>56.166666666667169</c:v>
                </c:pt>
                <c:pt idx="675">
                  <c:v>56.250000000000504</c:v>
                </c:pt>
                <c:pt idx="676">
                  <c:v>56.33333333333384</c:v>
                </c:pt>
                <c:pt idx="677">
                  <c:v>56.416666666667176</c:v>
                </c:pt>
                <c:pt idx="678">
                  <c:v>56.500000000000512</c:v>
                </c:pt>
                <c:pt idx="679">
                  <c:v>56.583333333333847</c:v>
                </c:pt>
                <c:pt idx="680">
                  <c:v>56.666666666667183</c:v>
                </c:pt>
                <c:pt idx="681">
                  <c:v>56.750000000000519</c:v>
                </c:pt>
                <c:pt idx="682">
                  <c:v>56.833333333333854</c:v>
                </c:pt>
                <c:pt idx="683">
                  <c:v>56.91666666666719</c:v>
                </c:pt>
                <c:pt idx="684">
                  <c:v>57.000000000000526</c:v>
                </c:pt>
                <c:pt idx="685">
                  <c:v>57.083333333333862</c:v>
                </c:pt>
                <c:pt idx="686">
                  <c:v>57.166666666667197</c:v>
                </c:pt>
                <c:pt idx="687">
                  <c:v>57.250000000000533</c:v>
                </c:pt>
                <c:pt idx="688">
                  <c:v>57.333333333333869</c:v>
                </c:pt>
                <c:pt idx="689">
                  <c:v>57.416666666667204</c:v>
                </c:pt>
                <c:pt idx="690">
                  <c:v>57.50000000000054</c:v>
                </c:pt>
                <c:pt idx="691">
                  <c:v>57.583333333333876</c:v>
                </c:pt>
                <c:pt idx="692">
                  <c:v>57.666666666667211</c:v>
                </c:pt>
                <c:pt idx="693">
                  <c:v>57.750000000000547</c:v>
                </c:pt>
                <c:pt idx="694">
                  <c:v>57.833333333333883</c:v>
                </c:pt>
                <c:pt idx="695">
                  <c:v>57.916666666667219</c:v>
                </c:pt>
                <c:pt idx="696">
                  <c:v>58.000000000000554</c:v>
                </c:pt>
                <c:pt idx="697">
                  <c:v>58.08333333333389</c:v>
                </c:pt>
                <c:pt idx="698">
                  <c:v>58.166666666667226</c:v>
                </c:pt>
                <c:pt idx="699">
                  <c:v>58.250000000000561</c:v>
                </c:pt>
                <c:pt idx="700">
                  <c:v>58.333333333333897</c:v>
                </c:pt>
                <c:pt idx="701">
                  <c:v>58.416666666667233</c:v>
                </c:pt>
                <c:pt idx="702">
                  <c:v>58.500000000000568</c:v>
                </c:pt>
                <c:pt idx="703">
                  <c:v>58.583333333333904</c:v>
                </c:pt>
                <c:pt idx="704">
                  <c:v>58.66666666666724</c:v>
                </c:pt>
                <c:pt idx="705">
                  <c:v>58.750000000000576</c:v>
                </c:pt>
                <c:pt idx="706">
                  <c:v>58.833333333333911</c:v>
                </c:pt>
                <c:pt idx="707">
                  <c:v>58.916666666667247</c:v>
                </c:pt>
                <c:pt idx="708">
                  <c:v>59.000000000000583</c:v>
                </c:pt>
                <c:pt idx="709">
                  <c:v>59.083333333333918</c:v>
                </c:pt>
                <c:pt idx="710">
                  <c:v>59.166666666667254</c:v>
                </c:pt>
                <c:pt idx="711">
                  <c:v>59.25000000000059</c:v>
                </c:pt>
                <c:pt idx="712">
                  <c:v>59.333333333333925</c:v>
                </c:pt>
                <c:pt idx="713">
                  <c:v>59.416666666667261</c:v>
                </c:pt>
                <c:pt idx="714">
                  <c:v>59.500000000000597</c:v>
                </c:pt>
                <c:pt idx="715">
                  <c:v>59.583333333333933</c:v>
                </c:pt>
                <c:pt idx="716">
                  <c:v>59.666666666667268</c:v>
                </c:pt>
                <c:pt idx="717">
                  <c:v>59.750000000000604</c:v>
                </c:pt>
                <c:pt idx="718">
                  <c:v>59.83333333333394</c:v>
                </c:pt>
                <c:pt idx="719">
                  <c:v>59.916666666667275</c:v>
                </c:pt>
              </c:numCache>
            </c:numRef>
          </c:xVal>
          <c:yVal>
            <c:numRef>
              <c:f>Output!$AG$12:$AG$731</c:f>
              <c:numCache>
                <c:formatCode>General</c:formatCode>
                <c:ptCount val="720"/>
                <c:pt idx="0">
                  <c:v>7.9979024498309181E-2</c:v>
                </c:pt>
                <c:pt idx="1">
                  <c:v>7.9537445244927327E-2</c:v>
                </c:pt>
                <c:pt idx="2">
                  <c:v>7.980079104497112E-2</c:v>
                </c:pt>
                <c:pt idx="3">
                  <c:v>8.0174724657805022E-2</c:v>
                </c:pt>
                <c:pt idx="4">
                  <c:v>8.110904350135506E-2</c:v>
                </c:pt>
                <c:pt idx="5">
                  <c:v>8.1742677009581086E-2</c:v>
                </c:pt>
                <c:pt idx="6">
                  <c:v>8.1130498005618723E-2</c:v>
                </c:pt>
                <c:pt idx="7">
                  <c:v>8.0960121395922222E-2</c:v>
                </c:pt>
                <c:pt idx="8">
                  <c:v>8.0846279944851149E-2</c:v>
                </c:pt>
                <c:pt idx="9">
                  <c:v>8.1488977415668032E-2</c:v>
                </c:pt>
                <c:pt idx="10">
                  <c:v>8.1972351666631527E-2</c:v>
                </c:pt>
                <c:pt idx="11">
                  <c:v>8.2137788974020409E-2</c:v>
                </c:pt>
                <c:pt idx="12">
                  <c:v>8.2243641435551337E-2</c:v>
                </c:pt>
                <c:pt idx="13">
                  <c:v>8.2075698019579993E-2</c:v>
                </c:pt>
                <c:pt idx="14">
                  <c:v>8.1659736547779971E-2</c:v>
                </c:pt>
                <c:pt idx="15">
                  <c:v>8.1940594463901312E-2</c:v>
                </c:pt>
                <c:pt idx="16">
                  <c:v>8.2143701923026197E-2</c:v>
                </c:pt>
                <c:pt idx="17">
                  <c:v>8.1950006285235424E-2</c:v>
                </c:pt>
                <c:pt idx="18">
                  <c:v>8.2189987918154614E-2</c:v>
                </c:pt>
                <c:pt idx="19">
                  <c:v>8.2208459868279515E-2</c:v>
                </c:pt>
                <c:pt idx="20">
                  <c:v>8.2617165137529758E-2</c:v>
                </c:pt>
                <c:pt idx="21">
                  <c:v>8.295690406294709E-2</c:v>
                </c:pt>
                <c:pt idx="22">
                  <c:v>8.3160484664594025E-2</c:v>
                </c:pt>
                <c:pt idx="23">
                  <c:v>8.309542735238333E-2</c:v>
                </c:pt>
                <c:pt idx="24">
                  <c:v>8.3451047410029747E-2</c:v>
                </c:pt>
                <c:pt idx="25">
                  <c:v>8.3622601890015941E-2</c:v>
                </c:pt>
                <c:pt idx="26">
                  <c:v>8.3547816673612038E-2</c:v>
                </c:pt>
                <c:pt idx="27">
                  <c:v>8.3507116990206354E-2</c:v>
                </c:pt>
                <c:pt idx="28">
                  <c:v>8.4017900908805551E-2</c:v>
                </c:pt>
                <c:pt idx="29">
                  <c:v>8.4369967329054857E-2</c:v>
                </c:pt>
                <c:pt idx="30">
                  <c:v>8.4740610733435764E-2</c:v>
                </c:pt>
                <c:pt idx="31">
                  <c:v>8.4816340249360217E-2</c:v>
                </c:pt>
                <c:pt idx="32">
                  <c:v>8.5067869950142136E-2</c:v>
                </c:pt>
                <c:pt idx="33">
                  <c:v>8.5362863628610203E-2</c:v>
                </c:pt>
                <c:pt idx="34">
                  <c:v>8.5507078933901942E-2</c:v>
                </c:pt>
                <c:pt idx="35">
                  <c:v>8.5172062264583431E-2</c:v>
                </c:pt>
                <c:pt idx="36">
                  <c:v>8.5517551799755065E-2</c:v>
                </c:pt>
                <c:pt idx="37">
                  <c:v>8.5617592308229004E-2</c:v>
                </c:pt>
                <c:pt idx="38">
                  <c:v>8.5881085282736261E-2</c:v>
                </c:pt>
                <c:pt idx="39">
                  <c:v>8.5783452646277333E-2</c:v>
                </c:pt>
                <c:pt idx="40">
                  <c:v>8.5811881067514792E-2</c:v>
                </c:pt>
                <c:pt idx="41">
                  <c:v>8.6107843454536911E-2</c:v>
                </c:pt>
                <c:pt idx="42">
                  <c:v>8.610699062879168E-2</c:v>
                </c:pt>
                <c:pt idx="43">
                  <c:v>8.6213492228036731E-2</c:v>
                </c:pt>
                <c:pt idx="44">
                  <c:v>8.6431534634426488E-2</c:v>
                </c:pt>
                <c:pt idx="45">
                  <c:v>8.6798384773732223E-2</c:v>
                </c:pt>
                <c:pt idx="46">
                  <c:v>8.6976024727970169E-2</c:v>
                </c:pt>
                <c:pt idx="47">
                  <c:v>8.7245087469145777E-2</c:v>
                </c:pt>
                <c:pt idx="48">
                  <c:v>8.7549541126601085E-2</c:v>
                </c:pt>
                <c:pt idx="49">
                  <c:v>8.7682390356426373E-2</c:v>
                </c:pt>
                <c:pt idx="50">
                  <c:v>8.7828334465938504E-2</c:v>
                </c:pt>
                <c:pt idx="51">
                  <c:v>8.8077400996059596E-2</c:v>
                </c:pt>
                <c:pt idx="52">
                  <c:v>8.8389216855951955E-2</c:v>
                </c:pt>
                <c:pt idx="53">
                  <c:v>8.8673442965980204E-2</c:v>
                </c:pt>
                <c:pt idx="54">
                  <c:v>8.8854865366808117E-2</c:v>
                </c:pt>
                <c:pt idx="55">
                  <c:v>8.9118797632340041E-2</c:v>
                </c:pt>
                <c:pt idx="56">
                  <c:v>8.9291584513225566E-2</c:v>
                </c:pt>
                <c:pt idx="57">
                  <c:v>8.9433195472425286E-2</c:v>
                </c:pt>
                <c:pt idx="58">
                  <c:v>8.9532214833141138E-2</c:v>
                </c:pt>
                <c:pt idx="59">
                  <c:v>8.9740039203807867E-2</c:v>
                </c:pt>
                <c:pt idx="60">
                  <c:v>8.9628674082093435E-2</c:v>
                </c:pt>
                <c:pt idx="61">
                  <c:v>8.9597677211470383E-2</c:v>
                </c:pt>
                <c:pt idx="62">
                  <c:v>9.0041692041672353E-2</c:v>
                </c:pt>
                <c:pt idx="63">
                  <c:v>9.0165983937040631E-2</c:v>
                </c:pt>
                <c:pt idx="64">
                  <c:v>9.070211761495553E-2</c:v>
                </c:pt>
                <c:pt idx="65">
                  <c:v>9.0838430358393674E-2</c:v>
                </c:pt>
                <c:pt idx="66">
                  <c:v>9.1234329094152508E-2</c:v>
                </c:pt>
                <c:pt idx="67">
                  <c:v>9.151011851464963E-2</c:v>
                </c:pt>
                <c:pt idx="68">
                  <c:v>9.1690864554281271E-2</c:v>
                </c:pt>
                <c:pt idx="69">
                  <c:v>9.1682976424780946E-2</c:v>
                </c:pt>
                <c:pt idx="70">
                  <c:v>9.211327510838456E-2</c:v>
                </c:pt>
                <c:pt idx="71">
                  <c:v>9.242029226772619E-2</c:v>
                </c:pt>
                <c:pt idx="72">
                  <c:v>9.2582962681128478E-2</c:v>
                </c:pt>
                <c:pt idx="73">
                  <c:v>9.2892320108098281E-2</c:v>
                </c:pt>
                <c:pt idx="74">
                  <c:v>9.3247747567709482E-2</c:v>
                </c:pt>
                <c:pt idx="75">
                  <c:v>9.3755443433609947E-2</c:v>
                </c:pt>
                <c:pt idx="76">
                  <c:v>9.3856026478355517E-2</c:v>
                </c:pt>
                <c:pt idx="77">
                  <c:v>9.4388428197230506E-2</c:v>
                </c:pt>
                <c:pt idx="78">
                  <c:v>9.4618896778729589E-2</c:v>
                </c:pt>
                <c:pt idx="79">
                  <c:v>9.494455836656357E-2</c:v>
                </c:pt>
                <c:pt idx="80">
                  <c:v>9.5267975369521876E-2</c:v>
                </c:pt>
                <c:pt idx="81">
                  <c:v>9.5405377350377643E-2</c:v>
                </c:pt>
                <c:pt idx="82">
                  <c:v>9.5713491597520517E-2</c:v>
                </c:pt>
                <c:pt idx="83">
                  <c:v>9.6243175265038255E-2</c:v>
                </c:pt>
                <c:pt idx="84">
                  <c:v>9.6521856087318392E-2</c:v>
                </c:pt>
                <c:pt idx="85">
                  <c:v>9.6747299186584937E-2</c:v>
                </c:pt>
                <c:pt idx="86">
                  <c:v>9.6905160487241307E-2</c:v>
                </c:pt>
                <c:pt idx="87">
                  <c:v>9.7101550479634327E-2</c:v>
                </c:pt>
                <c:pt idx="88">
                  <c:v>9.7379719334024464E-2</c:v>
                </c:pt>
                <c:pt idx="89">
                  <c:v>9.7763032513040901E-2</c:v>
                </c:pt>
                <c:pt idx="90">
                  <c:v>9.8003094998094953E-2</c:v>
                </c:pt>
                <c:pt idx="91">
                  <c:v>9.8138587553670428E-2</c:v>
                </c:pt>
                <c:pt idx="92">
                  <c:v>9.8264779190502541E-2</c:v>
                </c:pt>
                <c:pt idx="93">
                  <c:v>9.8401684737338249E-2</c:v>
                </c:pt>
                <c:pt idx="94">
                  <c:v>9.8621133385136103E-2</c:v>
                </c:pt>
                <c:pt idx="95">
                  <c:v>9.8756803092692677E-2</c:v>
                </c:pt>
                <c:pt idx="96">
                  <c:v>9.900801142782821E-2</c:v>
                </c:pt>
                <c:pt idx="97">
                  <c:v>9.9259917770712983E-2</c:v>
                </c:pt>
                <c:pt idx="98">
                  <c:v>9.9573822659661582E-2</c:v>
                </c:pt>
                <c:pt idx="99">
                  <c:v>9.9926018944105688E-2</c:v>
                </c:pt>
                <c:pt idx="100">
                  <c:v>0.10028227257229103</c:v>
                </c:pt>
                <c:pt idx="101">
                  <c:v>0.10046009673073905</c:v>
                </c:pt>
                <c:pt idx="102">
                  <c:v>0.10078955750555592</c:v>
                </c:pt>
                <c:pt idx="103">
                  <c:v>0.10100448557399122</c:v>
                </c:pt>
                <c:pt idx="104">
                  <c:v>0.10141734946157861</c:v>
                </c:pt>
                <c:pt idx="105">
                  <c:v>0.10168030148537502</c:v>
                </c:pt>
                <c:pt idx="106">
                  <c:v>0.10206005482701144</c:v>
                </c:pt>
                <c:pt idx="107">
                  <c:v>0.10222939057260767</c:v>
                </c:pt>
                <c:pt idx="108">
                  <c:v>0.10248948365801468</c:v>
                </c:pt>
                <c:pt idx="109">
                  <c:v>0.10261108065601617</c:v>
                </c:pt>
                <c:pt idx="110">
                  <c:v>0.10286594756622135</c:v>
                </c:pt>
                <c:pt idx="111">
                  <c:v>0.10328323665890676</c:v>
                </c:pt>
                <c:pt idx="112">
                  <c:v>0.10340753130466444</c:v>
                </c:pt>
                <c:pt idx="113">
                  <c:v>0.10359997486938569</c:v>
                </c:pt>
                <c:pt idx="114">
                  <c:v>0.10401589861701339</c:v>
                </c:pt>
                <c:pt idx="115">
                  <c:v>0.10420515006296389</c:v>
                </c:pt>
                <c:pt idx="116">
                  <c:v>0.10440638738274992</c:v>
                </c:pt>
                <c:pt idx="117">
                  <c:v>0.10472476499101881</c:v>
                </c:pt>
                <c:pt idx="118">
                  <c:v>0.10512471653213558</c:v>
                </c:pt>
                <c:pt idx="119">
                  <c:v>0.10553539071484658</c:v>
                </c:pt>
                <c:pt idx="120">
                  <c:v>0.10589365669060696</c:v>
                </c:pt>
                <c:pt idx="121">
                  <c:v>0.10612090408137087</c:v>
                </c:pt>
                <c:pt idx="122">
                  <c:v>0.10632126487815091</c:v>
                </c:pt>
                <c:pt idx="123">
                  <c:v>0.1065527460499236</c:v>
                </c:pt>
                <c:pt idx="124">
                  <c:v>0.10665995388445651</c:v>
                </c:pt>
                <c:pt idx="125">
                  <c:v>0.1069885705201679</c:v>
                </c:pt>
                <c:pt idx="126">
                  <c:v>0.10714355705800663</c:v>
                </c:pt>
                <c:pt idx="127">
                  <c:v>0.10737317468676538</c:v>
                </c:pt>
                <c:pt idx="128">
                  <c:v>0.10759832937395551</c:v>
                </c:pt>
                <c:pt idx="129">
                  <c:v>0.10773459903458994</c:v>
                </c:pt>
                <c:pt idx="130">
                  <c:v>0.10793643520479301</c:v>
                </c:pt>
                <c:pt idx="131">
                  <c:v>0.10814931521784954</c:v>
                </c:pt>
                <c:pt idx="132">
                  <c:v>0.10858229015379511</c:v>
                </c:pt>
                <c:pt idx="133">
                  <c:v>0.10887440532198588</c:v>
                </c:pt>
                <c:pt idx="134">
                  <c:v>0.10904483666912665</c:v>
                </c:pt>
                <c:pt idx="135">
                  <c:v>0.10944587904648763</c:v>
                </c:pt>
                <c:pt idx="136">
                  <c:v>0.10974622735930598</c:v>
                </c:pt>
                <c:pt idx="137">
                  <c:v>0.10983374138092931</c:v>
                </c:pt>
                <c:pt idx="138">
                  <c:v>0.11010436004625528</c:v>
                </c:pt>
                <c:pt idx="139">
                  <c:v>0.11030505462432681</c:v>
                </c:pt>
                <c:pt idx="140">
                  <c:v>0.11051228784364263</c:v>
                </c:pt>
                <c:pt idx="141">
                  <c:v>0.11064108343440358</c:v>
                </c:pt>
                <c:pt idx="142">
                  <c:v>0.11084383589120211</c:v>
                </c:pt>
                <c:pt idx="143">
                  <c:v>0.11098275406406047</c:v>
                </c:pt>
                <c:pt idx="144">
                  <c:v>0.11132666676232927</c:v>
                </c:pt>
                <c:pt idx="145">
                  <c:v>0.11134759346089025</c:v>
                </c:pt>
                <c:pt idx="146">
                  <c:v>0.11165662978293731</c:v>
                </c:pt>
                <c:pt idx="147">
                  <c:v>0.1118684252603762</c:v>
                </c:pt>
                <c:pt idx="148">
                  <c:v>0.11225817765543943</c:v>
                </c:pt>
                <c:pt idx="149">
                  <c:v>0.11248308675786593</c:v>
                </c:pt>
                <c:pt idx="150">
                  <c:v>0.11283582765529958</c:v>
                </c:pt>
                <c:pt idx="151">
                  <c:v>0.11298653309584894</c:v>
                </c:pt>
                <c:pt idx="152">
                  <c:v>0.11319253319727196</c:v>
                </c:pt>
                <c:pt idx="153">
                  <c:v>0.11342554751835442</c:v>
                </c:pt>
                <c:pt idx="154">
                  <c:v>0.11359450298503303</c:v>
                </c:pt>
                <c:pt idx="155">
                  <c:v>0.11389043489774013</c:v>
                </c:pt>
                <c:pt idx="156">
                  <c:v>0.11403212625409538</c:v>
                </c:pt>
                <c:pt idx="157">
                  <c:v>0.11415408816135175</c:v>
                </c:pt>
                <c:pt idx="158">
                  <c:v>0.11423857309540898</c:v>
                </c:pt>
                <c:pt idx="159">
                  <c:v>0.1145146337639338</c:v>
                </c:pt>
                <c:pt idx="160">
                  <c:v>0.11488346992697679</c:v>
                </c:pt>
                <c:pt idx="161">
                  <c:v>0.11510111207431277</c:v>
                </c:pt>
                <c:pt idx="162">
                  <c:v>0.11533826539095535</c:v>
                </c:pt>
                <c:pt idx="163">
                  <c:v>0.11556589542658427</c:v>
                </c:pt>
                <c:pt idx="164">
                  <c:v>0.11588662319843268</c:v>
                </c:pt>
                <c:pt idx="165">
                  <c:v>0.11628230176244135</c:v>
                </c:pt>
                <c:pt idx="166">
                  <c:v>0.11660811873148974</c:v>
                </c:pt>
                <c:pt idx="167">
                  <c:v>0.11697012543817194</c:v>
                </c:pt>
                <c:pt idx="168">
                  <c:v>0.11725022394453687</c:v>
                </c:pt>
                <c:pt idx="169">
                  <c:v>0.11749470247107389</c:v>
                </c:pt>
                <c:pt idx="170">
                  <c:v>0.11776056642627193</c:v>
                </c:pt>
                <c:pt idx="171">
                  <c:v>0.11806180933803932</c:v>
                </c:pt>
                <c:pt idx="172">
                  <c:v>0.11838390615242254</c:v>
                </c:pt>
                <c:pt idx="173">
                  <c:v>0.11862960572281901</c:v>
                </c:pt>
                <c:pt idx="174">
                  <c:v>0.11883019534994781</c:v>
                </c:pt>
                <c:pt idx="175">
                  <c:v>0.11913636490690568</c:v>
                </c:pt>
                <c:pt idx="176">
                  <c:v>0.11922548791384067</c:v>
                </c:pt>
                <c:pt idx="177">
                  <c:v>0.11956143053759476</c:v>
                </c:pt>
                <c:pt idx="178">
                  <c:v>0.11966167798957485</c:v>
                </c:pt>
                <c:pt idx="179">
                  <c:v>0.11998499199901382</c:v>
                </c:pt>
                <c:pt idx="180">
                  <c:v>0.12003748998413884</c:v>
                </c:pt>
                <c:pt idx="181">
                  <c:v>0.12031655431036009</c:v>
                </c:pt>
                <c:pt idx="182">
                  <c:v>0.12053747398286116</c:v>
                </c:pt>
                <c:pt idx="183">
                  <c:v>0.12072527240268521</c:v>
                </c:pt>
                <c:pt idx="184">
                  <c:v>0.12099630448755162</c:v>
                </c:pt>
                <c:pt idx="185">
                  <c:v>0.12116996779321194</c:v>
                </c:pt>
                <c:pt idx="186">
                  <c:v>0.12146794024603028</c:v>
                </c:pt>
                <c:pt idx="187">
                  <c:v>0.12172898669202822</c:v>
                </c:pt>
                <c:pt idx="188">
                  <c:v>0.12201103454859805</c:v>
                </c:pt>
                <c:pt idx="189">
                  <c:v>0.12217560863562452</c:v>
                </c:pt>
                <c:pt idx="190">
                  <c:v>0.1225679791153787</c:v>
                </c:pt>
                <c:pt idx="191">
                  <c:v>0.12284271855278686</c:v>
                </c:pt>
                <c:pt idx="192">
                  <c:v>0.1231506036186651</c:v>
                </c:pt>
                <c:pt idx="193">
                  <c:v>0.12340101474451788</c:v>
                </c:pt>
                <c:pt idx="194">
                  <c:v>0.12367204180542658</c:v>
                </c:pt>
                <c:pt idx="195">
                  <c:v>0.12386950547270682</c:v>
                </c:pt>
                <c:pt idx="196">
                  <c:v>0.12402733419244132</c:v>
                </c:pt>
                <c:pt idx="197">
                  <c:v>0.12420825459071431</c:v>
                </c:pt>
                <c:pt idx="198">
                  <c:v>0.12438553969165818</c:v>
                </c:pt>
                <c:pt idx="199">
                  <c:v>0.12472647936817775</c:v>
                </c:pt>
                <c:pt idx="200">
                  <c:v>0.12494085153845691</c:v>
                </c:pt>
                <c:pt idx="201">
                  <c:v>0.12517076650919548</c:v>
                </c:pt>
                <c:pt idx="202">
                  <c:v>0.12541387602822723</c:v>
                </c:pt>
                <c:pt idx="203">
                  <c:v>0.12572570368040006</c:v>
                </c:pt>
                <c:pt idx="204">
                  <c:v>0.12595182723087575</c:v>
                </c:pt>
                <c:pt idx="205">
                  <c:v>0.12613698540691895</c:v>
                </c:pt>
                <c:pt idx="206">
                  <c:v>0.12636630810229452</c:v>
                </c:pt>
                <c:pt idx="207">
                  <c:v>0.12663648398943386</c:v>
                </c:pt>
                <c:pt idx="208">
                  <c:v>0.12689385200895753</c:v>
                </c:pt>
                <c:pt idx="209">
                  <c:v>0.12706640911608447</c:v>
                </c:pt>
                <c:pt idx="210">
                  <c:v>0.12732997815336144</c:v>
                </c:pt>
                <c:pt idx="211">
                  <c:v>0.12741494009392146</c:v>
                </c:pt>
                <c:pt idx="212">
                  <c:v>0.12762213083448629</c:v>
                </c:pt>
                <c:pt idx="213">
                  <c:v>0.12788673997895589</c:v>
                </c:pt>
                <c:pt idx="214">
                  <c:v>0.12809638980143473</c:v>
                </c:pt>
                <c:pt idx="215">
                  <c:v>0.12832960713870678</c:v>
                </c:pt>
                <c:pt idx="216">
                  <c:v>0.12874081314722316</c:v>
                </c:pt>
                <c:pt idx="217">
                  <c:v>0.12892504542835809</c:v>
                </c:pt>
                <c:pt idx="218">
                  <c:v>0.12908997064723363</c:v>
                </c:pt>
                <c:pt idx="219">
                  <c:v>0.1292987640205546</c:v>
                </c:pt>
                <c:pt idx="220">
                  <c:v>0.12953490759831315</c:v>
                </c:pt>
                <c:pt idx="221">
                  <c:v>0.1296684431228394</c:v>
                </c:pt>
                <c:pt idx="222">
                  <c:v>0.12992303380401715</c:v>
                </c:pt>
                <c:pt idx="223">
                  <c:v>0.13019324398857543</c:v>
                </c:pt>
                <c:pt idx="224">
                  <c:v>0.13025859039685939</c:v>
                </c:pt>
                <c:pt idx="225">
                  <c:v>0.13040046286900078</c:v>
                </c:pt>
                <c:pt idx="226">
                  <c:v>0.13052374620356186</c:v>
                </c:pt>
                <c:pt idx="227">
                  <c:v>0.13075846578138509</c:v>
                </c:pt>
                <c:pt idx="228">
                  <c:v>0.13097476488821017</c:v>
                </c:pt>
                <c:pt idx="229">
                  <c:v>0.13117030492213971</c:v>
                </c:pt>
                <c:pt idx="230">
                  <c:v>0.13138299915950424</c:v>
                </c:pt>
                <c:pt idx="231">
                  <c:v>0.1316347627837022</c:v>
                </c:pt>
                <c:pt idx="232">
                  <c:v>0.13185238224835866</c:v>
                </c:pt>
                <c:pt idx="233">
                  <c:v>0.13190852741013312</c:v>
                </c:pt>
                <c:pt idx="234">
                  <c:v>0.13212378634847988</c:v>
                </c:pt>
                <c:pt idx="235">
                  <c:v>0.13241880132240613</c:v>
                </c:pt>
                <c:pt idx="236">
                  <c:v>0.13276960584374178</c:v>
                </c:pt>
                <c:pt idx="237">
                  <c:v>0.13292451679123857</c:v>
                </c:pt>
                <c:pt idx="238">
                  <c:v>0.1330312907785057</c:v>
                </c:pt>
                <c:pt idx="239">
                  <c:v>0.13322037394500405</c:v>
                </c:pt>
                <c:pt idx="240">
                  <c:v>0.13356940444578189</c:v>
                </c:pt>
                <c:pt idx="241">
                  <c:v>0.13375871819845725</c:v>
                </c:pt>
                <c:pt idx="242">
                  <c:v>0.13396146763100958</c:v>
                </c:pt>
                <c:pt idx="243">
                  <c:v>0.13412372037430154</c:v>
                </c:pt>
                <c:pt idx="244">
                  <c:v>0.1343090033383087</c:v>
                </c:pt>
                <c:pt idx="245">
                  <c:v>0.13447570251014224</c:v>
                </c:pt>
                <c:pt idx="246">
                  <c:v>0.13469093783442601</c:v>
                </c:pt>
                <c:pt idx="247">
                  <c:v>0.13485070304960128</c:v>
                </c:pt>
                <c:pt idx="248">
                  <c:v>0.13504412222737952</c:v>
                </c:pt>
                <c:pt idx="249">
                  <c:v>0.13524646431789739</c:v>
                </c:pt>
                <c:pt idx="250">
                  <c:v>0.13549086904743302</c:v>
                </c:pt>
                <c:pt idx="251">
                  <c:v>0.13565360283348493</c:v>
                </c:pt>
                <c:pt idx="252">
                  <c:v>0.13596874177401599</c:v>
                </c:pt>
                <c:pt idx="253">
                  <c:v>0.1360837291671477</c:v>
                </c:pt>
                <c:pt idx="254">
                  <c:v>0.13630894169468666</c:v>
                </c:pt>
                <c:pt idx="255">
                  <c:v>0.13644595658046357</c:v>
                </c:pt>
                <c:pt idx="256">
                  <c:v>0.13661962549556073</c:v>
                </c:pt>
                <c:pt idx="257">
                  <c:v>0.13680734554947976</c:v>
                </c:pt>
                <c:pt idx="258">
                  <c:v>0.13696743234770734</c:v>
                </c:pt>
                <c:pt idx="259">
                  <c:v>0.13715060810674379</c:v>
                </c:pt>
                <c:pt idx="260">
                  <c:v>0.13741071862829651</c:v>
                </c:pt>
                <c:pt idx="261">
                  <c:v>0.13752935510561373</c:v>
                </c:pt>
                <c:pt idx="262">
                  <c:v>0.13770883928420527</c:v>
                </c:pt>
                <c:pt idx="263">
                  <c:v>0.13787054021728562</c:v>
                </c:pt>
                <c:pt idx="264">
                  <c:v>0.13802021509243165</c:v>
                </c:pt>
                <c:pt idx="265">
                  <c:v>0.13814443571500015</c:v>
                </c:pt>
                <c:pt idx="266">
                  <c:v>0.13839096883152602</c:v>
                </c:pt>
                <c:pt idx="267">
                  <c:v>0.13851819976690122</c:v>
                </c:pt>
                <c:pt idx="268">
                  <c:v>0.13875234424867311</c:v>
                </c:pt>
                <c:pt idx="269">
                  <c:v>0.13893647219411911</c:v>
                </c:pt>
                <c:pt idx="270">
                  <c:v>0.13919550060333638</c:v>
                </c:pt>
                <c:pt idx="271">
                  <c:v>0.13936839833420969</c:v>
                </c:pt>
                <c:pt idx="272">
                  <c:v>0.13951240282742058</c:v>
                </c:pt>
                <c:pt idx="273">
                  <c:v>0.1398151996069219</c:v>
                </c:pt>
                <c:pt idx="274">
                  <c:v>0.13992193072380729</c:v>
                </c:pt>
                <c:pt idx="275">
                  <c:v>0.14005832767846949</c:v>
                </c:pt>
                <c:pt idx="276">
                  <c:v>0.14030822460087514</c:v>
                </c:pt>
                <c:pt idx="277">
                  <c:v>0.14050772768983427</c:v>
                </c:pt>
                <c:pt idx="278">
                  <c:v>0.14069880276250216</c:v>
                </c:pt>
                <c:pt idx="279">
                  <c:v>0.14098267249779661</c:v>
                </c:pt>
                <c:pt idx="280">
                  <c:v>0.14113069888901805</c:v>
                </c:pt>
                <c:pt idx="281">
                  <c:v>0.14131063023501372</c:v>
                </c:pt>
                <c:pt idx="282">
                  <c:v>0.14155052812118096</c:v>
                </c:pt>
                <c:pt idx="283">
                  <c:v>0.14174470233889211</c:v>
                </c:pt>
                <c:pt idx="284">
                  <c:v>0.14188456521245682</c:v>
                </c:pt>
                <c:pt idx="285">
                  <c:v>0.14203024913468285</c:v>
                </c:pt>
                <c:pt idx="286">
                  <c:v>0.14221694480700245</c:v>
                </c:pt>
                <c:pt idx="287">
                  <c:v>0.14236340009467854</c:v>
                </c:pt>
                <c:pt idx="288">
                  <c:v>0.14251230239564719</c:v>
                </c:pt>
                <c:pt idx="289">
                  <c:v>0.14265792796409255</c:v>
                </c:pt>
                <c:pt idx="290">
                  <c:v>0.14287770290244348</c:v>
                </c:pt>
                <c:pt idx="291">
                  <c:v>0.1430377574119801</c:v>
                </c:pt>
                <c:pt idx="292">
                  <c:v>0.14316267790893517</c:v>
                </c:pt>
                <c:pt idx="293">
                  <c:v>0.14335513621170712</c:v>
                </c:pt>
                <c:pt idx="294">
                  <c:v>0.14354274703630571</c:v>
                </c:pt>
                <c:pt idx="295">
                  <c:v>0.14375622030947799</c:v>
                </c:pt>
                <c:pt idx="296">
                  <c:v>0.14395382313199934</c:v>
                </c:pt>
                <c:pt idx="297">
                  <c:v>0.14410515615562899</c:v>
                </c:pt>
                <c:pt idx="298">
                  <c:v>0.14427060307606779</c:v>
                </c:pt>
                <c:pt idx="299">
                  <c:v>0.14449479138881757</c:v>
                </c:pt>
                <c:pt idx="300">
                  <c:v>0.14470320340533568</c:v>
                </c:pt>
                <c:pt idx="301">
                  <c:v>0.14477985545564545</c:v>
                </c:pt>
                <c:pt idx="302">
                  <c:v>0.14500738839676955</c:v>
                </c:pt>
                <c:pt idx="303">
                  <c:v>0.14522853149429998</c:v>
                </c:pt>
                <c:pt idx="304">
                  <c:v>0.14540300715895541</c:v>
                </c:pt>
                <c:pt idx="305">
                  <c:v>0.14557455859452825</c:v>
                </c:pt>
                <c:pt idx="306">
                  <c:v>0.14572450291071809</c:v>
                </c:pt>
                <c:pt idx="307">
                  <c:v>0.14584377608878263</c:v>
                </c:pt>
                <c:pt idx="308">
                  <c:v>0.14603951604235779</c:v>
                </c:pt>
                <c:pt idx="309">
                  <c:v>0.14618757168750127</c:v>
                </c:pt>
                <c:pt idx="310">
                  <c:v>0.14642386014561681</c:v>
                </c:pt>
                <c:pt idx="311">
                  <c:v>0.14664991468113214</c:v>
                </c:pt>
                <c:pt idx="312">
                  <c:v>0.14680065540371467</c:v>
                </c:pt>
                <c:pt idx="313">
                  <c:v>0.14697158925593029</c:v>
                </c:pt>
                <c:pt idx="314">
                  <c:v>0.14725220439963099</c:v>
                </c:pt>
                <c:pt idx="315">
                  <c:v>0.1473674790285231</c:v>
                </c:pt>
                <c:pt idx="316">
                  <c:v>0.14763692401401207</c:v>
                </c:pt>
                <c:pt idx="317">
                  <c:v>0.14776896225021249</c:v>
                </c:pt>
                <c:pt idx="318">
                  <c:v>0.14803232355264281</c:v>
                </c:pt>
                <c:pt idx="319">
                  <c:v>0.1482577038339172</c:v>
                </c:pt>
                <c:pt idx="320">
                  <c:v>0.14843033675845441</c:v>
                </c:pt>
                <c:pt idx="321">
                  <c:v>0.14866690012673281</c:v>
                </c:pt>
                <c:pt idx="322">
                  <c:v>0.14891277479452089</c:v>
                </c:pt>
                <c:pt idx="323">
                  <c:v>0.14898773831061973</c:v>
                </c:pt>
                <c:pt idx="324">
                  <c:v>0.14917125528545133</c:v>
                </c:pt>
                <c:pt idx="325">
                  <c:v>0.14933610118596094</c:v>
                </c:pt>
                <c:pt idx="326">
                  <c:v>0.14946540149307982</c:v>
                </c:pt>
                <c:pt idx="327">
                  <c:v>0.1496859478945059</c:v>
                </c:pt>
                <c:pt idx="328">
                  <c:v>0.14981535684078681</c:v>
                </c:pt>
                <c:pt idx="329">
                  <c:v>0.15000688112264177</c:v>
                </c:pt>
                <c:pt idx="330">
                  <c:v>0.15023514332817173</c:v>
                </c:pt>
                <c:pt idx="331">
                  <c:v>0.15034431537425244</c:v>
                </c:pt>
                <c:pt idx="332">
                  <c:v>0.15055449730416207</c:v>
                </c:pt>
                <c:pt idx="333">
                  <c:v>0.15084099872348289</c:v>
                </c:pt>
                <c:pt idx="334">
                  <c:v>0.1510682944466859</c:v>
                </c:pt>
                <c:pt idx="335">
                  <c:v>0.15120305468624579</c:v>
                </c:pt>
                <c:pt idx="336">
                  <c:v>0.15138404855168111</c:v>
                </c:pt>
                <c:pt idx="337">
                  <c:v>0.1515218246609516</c:v>
                </c:pt>
                <c:pt idx="338">
                  <c:v>0.15177587788010097</c:v>
                </c:pt>
                <c:pt idx="339">
                  <c:v>0.15197979679307103</c:v>
                </c:pt>
                <c:pt idx="340">
                  <c:v>0.15210379729641105</c:v>
                </c:pt>
                <c:pt idx="341">
                  <c:v>0.15222634242691127</c:v>
                </c:pt>
                <c:pt idx="342">
                  <c:v>0.15236794247271965</c:v>
                </c:pt>
                <c:pt idx="343">
                  <c:v>0.15257124362084615</c:v>
                </c:pt>
                <c:pt idx="344">
                  <c:v>0.15278478332586332</c:v>
                </c:pt>
                <c:pt idx="345">
                  <c:v>0.15283089339135839</c:v>
                </c:pt>
                <c:pt idx="346">
                  <c:v>0.15303745709603581</c:v>
                </c:pt>
                <c:pt idx="347">
                  <c:v>0.15320388843094593</c:v>
                </c:pt>
                <c:pt idx="348">
                  <c:v>0.15339826169455648</c:v>
                </c:pt>
                <c:pt idx="349">
                  <c:v>0.15365344494517594</c:v>
                </c:pt>
                <c:pt idx="350">
                  <c:v>0.15373621803565665</c:v>
                </c:pt>
                <c:pt idx="351">
                  <c:v>0.15385402186096866</c:v>
                </c:pt>
                <c:pt idx="352">
                  <c:v>0.15398474041087784</c:v>
                </c:pt>
                <c:pt idx="353">
                  <c:v>0.15414992877809208</c:v>
                </c:pt>
                <c:pt idx="354">
                  <c:v>0.1544159420559878</c:v>
                </c:pt>
                <c:pt idx="355">
                  <c:v>0.15461362945015328</c:v>
                </c:pt>
                <c:pt idx="356">
                  <c:v>0.15489474577944357</c:v>
                </c:pt>
                <c:pt idx="357">
                  <c:v>0.15512939503681464</c:v>
                </c:pt>
                <c:pt idx="358">
                  <c:v>0.15528969356323213</c:v>
                </c:pt>
                <c:pt idx="359">
                  <c:v>0.15545342261230369</c:v>
                </c:pt>
                <c:pt idx="360">
                  <c:v>0.1555644126787116</c:v>
                </c:pt>
                <c:pt idx="361">
                  <c:v>0.15577789838901254</c:v>
                </c:pt>
                <c:pt idx="362">
                  <c:v>0.15604186665463216</c:v>
                </c:pt>
                <c:pt idx="363">
                  <c:v>0.15623255591698637</c:v>
                </c:pt>
                <c:pt idx="364">
                  <c:v>0.1563606481892004</c:v>
                </c:pt>
                <c:pt idx="365">
                  <c:v>0.15653561162741356</c:v>
                </c:pt>
                <c:pt idx="366">
                  <c:v>0.15668852789989529</c:v>
                </c:pt>
                <c:pt idx="367">
                  <c:v>0.15695994763112586</c:v>
                </c:pt>
                <c:pt idx="368">
                  <c:v>0.15714431529660031</c:v>
                </c:pt>
                <c:pt idx="369">
                  <c:v>0.15733217065896687</c:v>
                </c:pt>
                <c:pt idx="370">
                  <c:v>0.1575299108692888</c:v>
                </c:pt>
                <c:pt idx="371">
                  <c:v>0.15771433041171906</c:v>
                </c:pt>
                <c:pt idx="372">
                  <c:v>0.15789193302246213</c:v>
                </c:pt>
                <c:pt idx="373">
                  <c:v>0.15791500642801581</c:v>
                </c:pt>
                <c:pt idx="374">
                  <c:v>0.15812534821767249</c:v>
                </c:pt>
                <c:pt idx="375">
                  <c:v>0.15828555459346585</c:v>
                </c:pt>
                <c:pt idx="376">
                  <c:v>0.15843089472746477</c:v>
                </c:pt>
                <c:pt idx="377">
                  <c:v>0.15859944491980743</c:v>
                </c:pt>
                <c:pt idx="378">
                  <c:v>0.15875641404318869</c:v>
                </c:pt>
                <c:pt idx="379">
                  <c:v>0.15894156965126038</c:v>
                </c:pt>
                <c:pt idx="380">
                  <c:v>0.15909994719458692</c:v>
                </c:pt>
                <c:pt idx="381">
                  <c:v>0.15936450157954807</c:v>
                </c:pt>
                <c:pt idx="382">
                  <c:v>0.15956447564606643</c:v>
                </c:pt>
                <c:pt idx="383">
                  <c:v>0.15974470205008479</c:v>
                </c:pt>
                <c:pt idx="384">
                  <c:v>0.15996104004808737</c:v>
                </c:pt>
                <c:pt idx="385">
                  <c:v>0.16017992702754491</c:v>
                </c:pt>
                <c:pt idx="386">
                  <c:v>0.16033407009635067</c:v>
                </c:pt>
                <c:pt idx="387">
                  <c:v>0.1605498190591253</c:v>
                </c:pt>
                <c:pt idx="388">
                  <c:v>0.1607232004093338</c:v>
                </c:pt>
                <c:pt idx="389">
                  <c:v>0.1608895297979713</c:v>
                </c:pt>
                <c:pt idx="390">
                  <c:v>0.16107392253247188</c:v>
                </c:pt>
                <c:pt idx="391">
                  <c:v>0.16126552326118634</c:v>
                </c:pt>
                <c:pt idx="392">
                  <c:v>0.1613552822684195</c:v>
                </c:pt>
                <c:pt idx="393">
                  <c:v>0.1615669169540889</c:v>
                </c:pt>
                <c:pt idx="394">
                  <c:v>0.16180229167765284</c:v>
                </c:pt>
                <c:pt idx="395">
                  <c:v>0.1619876816634653</c:v>
                </c:pt>
                <c:pt idx="396">
                  <c:v>0.16212384555684134</c:v>
                </c:pt>
                <c:pt idx="397">
                  <c:v>0.16233297014975845</c:v>
                </c:pt>
                <c:pt idx="398">
                  <c:v>0.16254867827018002</c:v>
                </c:pt>
                <c:pt idx="399">
                  <c:v>0.16280086744291503</c:v>
                </c:pt>
                <c:pt idx="400">
                  <c:v>0.16301918546493246</c:v>
                </c:pt>
                <c:pt idx="401">
                  <c:v>0.16309718697482153</c:v>
                </c:pt>
                <c:pt idx="402">
                  <c:v>0.1632523001944656</c:v>
                </c:pt>
                <c:pt idx="403">
                  <c:v>0.16335321135256162</c:v>
                </c:pt>
                <c:pt idx="404">
                  <c:v>0.16352406094407501</c:v>
                </c:pt>
                <c:pt idx="405">
                  <c:v>0.16369411113151289</c:v>
                </c:pt>
                <c:pt idx="406">
                  <c:v>0.16389048583741553</c:v>
                </c:pt>
                <c:pt idx="407">
                  <c:v>0.16403402581131249</c:v>
                </c:pt>
                <c:pt idx="408">
                  <c:v>0.16420114490566423</c:v>
                </c:pt>
                <c:pt idx="409">
                  <c:v>0.1643614460933949</c:v>
                </c:pt>
                <c:pt idx="410">
                  <c:v>0.16449010631606756</c:v>
                </c:pt>
                <c:pt idx="411">
                  <c:v>0.1646413586968436</c:v>
                </c:pt>
                <c:pt idx="412">
                  <c:v>0.16482213828509096</c:v>
                </c:pt>
                <c:pt idx="413">
                  <c:v>0.1650233921898295</c:v>
                </c:pt>
                <c:pt idx="414">
                  <c:v>0.16517641027009808</c:v>
                </c:pt>
                <c:pt idx="415">
                  <c:v>0.16528317597921827</c:v>
                </c:pt>
                <c:pt idx="416">
                  <c:v>0.16541482711268335</c:v>
                </c:pt>
                <c:pt idx="417">
                  <c:v>0.16554793476002752</c:v>
                </c:pt>
                <c:pt idx="418">
                  <c:v>0.16561492312283776</c:v>
                </c:pt>
                <c:pt idx="419">
                  <c:v>0.16577915507325405</c:v>
                </c:pt>
                <c:pt idx="420">
                  <c:v>0.16594341763512949</c:v>
                </c:pt>
                <c:pt idx="421">
                  <c:v>0.16608082319032241</c:v>
                </c:pt>
                <c:pt idx="422">
                  <c:v>0.16627625961626216</c:v>
                </c:pt>
                <c:pt idx="423">
                  <c:v>0.16653749902341386</c:v>
                </c:pt>
                <c:pt idx="424">
                  <c:v>0.16671549884339806</c:v>
                </c:pt>
                <c:pt idx="425">
                  <c:v>0.16684053827114459</c:v>
                </c:pt>
                <c:pt idx="426">
                  <c:v>0.16699731920447683</c:v>
                </c:pt>
                <c:pt idx="427">
                  <c:v>0.16706056750738663</c:v>
                </c:pt>
                <c:pt idx="428">
                  <c:v>0.16716736015754793</c:v>
                </c:pt>
                <c:pt idx="429">
                  <c:v>0.16738076001303961</c:v>
                </c:pt>
                <c:pt idx="430">
                  <c:v>0.16754632053193061</c:v>
                </c:pt>
                <c:pt idx="431">
                  <c:v>0.16766495548627433</c:v>
                </c:pt>
                <c:pt idx="432">
                  <c:v>0.16779376355612285</c:v>
                </c:pt>
                <c:pt idx="433">
                  <c:v>0.16800055938324196</c:v>
                </c:pt>
                <c:pt idx="434">
                  <c:v>0.16815290958796955</c:v>
                </c:pt>
                <c:pt idx="435">
                  <c:v>0.16828990998144677</c:v>
                </c:pt>
                <c:pt idx="436">
                  <c:v>0.16841785584631572</c:v>
                </c:pt>
                <c:pt idx="437">
                  <c:v>0.16857671616754358</c:v>
                </c:pt>
                <c:pt idx="438">
                  <c:v>0.16869176431205082</c:v>
                </c:pt>
                <c:pt idx="439">
                  <c:v>0.16883205678691729</c:v>
                </c:pt>
                <c:pt idx="440">
                  <c:v>0.16900940602834452</c:v>
                </c:pt>
                <c:pt idx="441">
                  <c:v>0.16909273614024595</c:v>
                </c:pt>
                <c:pt idx="442">
                  <c:v>0.1692036928410304</c:v>
                </c:pt>
                <c:pt idx="443">
                  <c:v>0.16929948456023655</c:v>
                </c:pt>
                <c:pt idx="444">
                  <c:v>0.16944570557813049</c:v>
                </c:pt>
                <c:pt idx="445">
                  <c:v>0.16954030147471799</c:v>
                </c:pt>
                <c:pt idx="446">
                  <c:v>0.16960135218173866</c:v>
                </c:pt>
                <c:pt idx="447">
                  <c:v>0.16976727006523817</c:v>
                </c:pt>
                <c:pt idx="448">
                  <c:v>0.16992824440521695</c:v>
                </c:pt>
                <c:pt idx="449">
                  <c:v>0.17008688632473981</c:v>
                </c:pt>
                <c:pt idx="450">
                  <c:v>0.17024272220256689</c:v>
                </c:pt>
                <c:pt idx="451">
                  <c:v>0.17039830236342599</c:v>
                </c:pt>
                <c:pt idx="452">
                  <c:v>0.17047463084838729</c:v>
                </c:pt>
                <c:pt idx="453">
                  <c:v>0.17069252977839544</c:v>
                </c:pt>
                <c:pt idx="454">
                  <c:v>0.17075618461038947</c:v>
                </c:pt>
                <c:pt idx="455">
                  <c:v>0.17086265570719483</c:v>
                </c:pt>
                <c:pt idx="456">
                  <c:v>0.17098630914847726</c:v>
                </c:pt>
                <c:pt idx="457">
                  <c:v>0.17117921598712704</c:v>
                </c:pt>
                <c:pt idx="458">
                  <c:v>0.17128024717227003</c:v>
                </c:pt>
                <c:pt idx="459">
                  <c:v>0.17141411074526405</c:v>
                </c:pt>
                <c:pt idx="460">
                  <c:v>0.17156270876128055</c:v>
                </c:pt>
                <c:pt idx="461">
                  <c:v>0.17169790173227725</c:v>
                </c:pt>
                <c:pt idx="462">
                  <c:v>0.17185781315901319</c:v>
                </c:pt>
                <c:pt idx="463">
                  <c:v>0.17187974380852869</c:v>
                </c:pt>
                <c:pt idx="464">
                  <c:v>0.17197680058101128</c:v>
                </c:pt>
                <c:pt idx="465">
                  <c:v>0.17202128684392401</c:v>
                </c:pt>
                <c:pt idx="466">
                  <c:v>0.17224801545512161</c:v>
                </c:pt>
                <c:pt idx="467">
                  <c:v>0.17236457476336511</c:v>
                </c:pt>
                <c:pt idx="468">
                  <c:v>0.17252492711384845</c:v>
                </c:pt>
                <c:pt idx="469">
                  <c:v>0.17272571226045966</c:v>
                </c:pt>
                <c:pt idx="470">
                  <c:v>0.17280918597532993</c:v>
                </c:pt>
                <c:pt idx="471">
                  <c:v>0.17296610300205723</c:v>
                </c:pt>
                <c:pt idx="472">
                  <c:v>0.17313122865178104</c:v>
                </c:pt>
                <c:pt idx="473">
                  <c:v>0.1733566906418888</c:v>
                </c:pt>
                <c:pt idx="474">
                  <c:v>0.17348169465560673</c:v>
                </c:pt>
                <c:pt idx="475">
                  <c:v>0.17361211023093706</c:v>
                </c:pt>
                <c:pt idx="476">
                  <c:v>0.17383256705964131</c:v>
                </c:pt>
                <c:pt idx="477">
                  <c:v>0.17405363294345122</c:v>
                </c:pt>
                <c:pt idx="478">
                  <c:v>0.17428841375242426</c:v>
                </c:pt>
                <c:pt idx="479">
                  <c:v>0.17442977017376299</c:v>
                </c:pt>
                <c:pt idx="480">
                  <c:v>0.17454144615355541</c:v>
                </c:pt>
                <c:pt idx="481">
                  <c:v>0.1746681868992401</c:v>
                </c:pt>
                <c:pt idx="482">
                  <c:v>0.17478367593743455</c:v>
                </c:pt>
                <c:pt idx="483">
                  <c:v>0.17488776365763628</c:v>
                </c:pt>
                <c:pt idx="484">
                  <c:v>0.1750194848983915</c:v>
                </c:pt>
                <c:pt idx="485">
                  <c:v>0.17516970195064724</c:v>
                </c:pt>
                <c:pt idx="486">
                  <c:v>0.1752415310657662</c:v>
                </c:pt>
                <c:pt idx="487">
                  <c:v>0.17536239925430933</c:v>
                </c:pt>
                <c:pt idx="488">
                  <c:v>0.1755176784224376</c:v>
                </c:pt>
                <c:pt idx="489">
                  <c:v>0.17571624904133784</c:v>
                </c:pt>
                <c:pt idx="490">
                  <c:v>0.17584163063996844</c:v>
                </c:pt>
                <c:pt idx="491">
                  <c:v>0.17601444348117906</c:v>
                </c:pt>
                <c:pt idx="492">
                  <c:v>0.17606177810244628</c:v>
                </c:pt>
                <c:pt idx="493">
                  <c:v>0.1762684266381932</c:v>
                </c:pt>
                <c:pt idx="494">
                  <c:v>0.17638825381433951</c:v>
                </c:pt>
                <c:pt idx="495">
                  <c:v>0.17649900708749544</c:v>
                </c:pt>
                <c:pt idx="496">
                  <c:v>0.17653994517049373</c:v>
                </c:pt>
                <c:pt idx="497">
                  <c:v>0.17662631759211853</c:v>
                </c:pt>
                <c:pt idx="498">
                  <c:v>0.17677093108334749</c:v>
                </c:pt>
                <c:pt idx="499">
                  <c:v>0.17690202264308677</c:v>
                </c:pt>
                <c:pt idx="500">
                  <c:v>0.17696787560697971</c:v>
                </c:pt>
                <c:pt idx="501">
                  <c:v>0.17705997749071056</c:v>
                </c:pt>
                <c:pt idx="502">
                  <c:v>0.17713233909745638</c:v>
                </c:pt>
                <c:pt idx="503">
                  <c:v>0.17732750359397853</c:v>
                </c:pt>
                <c:pt idx="504">
                  <c:v>0.17741346127519328</c:v>
                </c:pt>
                <c:pt idx="505">
                  <c:v>0.17747597114298586</c:v>
                </c:pt>
                <c:pt idx="506">
                  <c:v>0.17761880167205873</c:v>
                </c:pt>
                <c:pt idx="507">
                  <c:v>0.17763202641357301</c:v>
                </c:pt>
                <c:pt idx="508">
                  <c:v>0.17778352474409936</c:v>
                </c:pt>
                <c:pt idx="509">
                  <c:v>0.17791476420920166</c:v>
                </c:pt>
                <c:pt idx="510">
                  <c:v>0.17802698328156252</c:v>
                </c:pt>
                <c:pt idx="511">
                  <c:v>0.17826198123312334</c:v>
                </c:pt>
                <c:pt idx="512">
                  <c:v>0.17849809871984681</c:v>
                </c:pt>
                <c:pt idx="513">
                  <c:v>0.17865427026023634</c:v>
                </c:pt>
                <c:pt idx="514">
                  <c:v>0.17875734932200765</c:v>
                </c:pt>
                <c:pt idx="515">
                  <c:v>0.17888962424109722</c:v>
                </c:pt>
                <c:pt idx="516">
                  <c:v>0.17903763150056656</c:v>
                </c:pt>
                <c:pt idx="517">
                  <c:v>0.17920994532588572</c:v>
                </c:pt>
                <c:pt idx="518">
                  <c:v>0.17924069894372369</c:v>
                </c:pt>
                <c:pt idx="519">
                  <c:v>0.17945981106819689</c:v>
                </c:pt>
                <c:pt idx="520">
                  <c:v>0.17960814549573412</c:v>
                </c:pt>
                <c:pt idx="521">
                  <c:v>0.17975914400474621</c:v>
                </c:pt>
                <c:pt idx="522">
                  <c:v>0.17988758603397184</c:v>
                </c:pt>
                <c:pt idx="523">
                  <c:v>0.17996831029992694</c:v>
                </c:pt>
                <c:pt idx="524">
                  <c:v>0.18016523455971722</c:v>
                </c:pt>
                <c:pt idx="525">
                  <c:v>0.1803277809360789</c:v>
                </c:pt>
                <c:pt idx="526">
                  <c:v>0.18051703901676827</c:v>
                </c:pt>
                <c:pt idx="527">
                  <c:v>0.1807442687452365</c:v>
                </c:pt>
                <c:pt idx="528">
                  <c:v>0.18088425243641362</c:v>
                </c:pt>
                <c:pt idx="529">
                  <c:v>0.18108725334335202</c:v>
                </c:pt>
                <c:pt idx="530">
                  <c:v>0.18129909760421628</c:v>
                </c:pt>
                <c:pt idx="531">
                  <c:v>0.1814129234371919</c:v>
                </c:pt>
                <c:pt idx="532">
                  <c:v>0.18155415000358216</c:v>
                </c:pt>
                <c:pt idx="533">
                  <c:v>0.18170151408708968</c:v>
                </c:pt>
                <c:pt idx="534">
                  <c:v>0.18197077633105158</c:v>
                </c:pt>
                <c:pt idx="535">
                  <c:v>0.18218595862434903</c:v>
                </c:pt>
                <c:pt idx="536">
                  <c:v>0.1823667798697402</c:v>
                </c:pt>
                <c:pt idx="537">
                  <c:v>0.18245133407120279</c:v>
                </c:pt>
                <c:pt idx="538">
                  <c:v>0.18259301951919474</c:v>
                </c:pt>
                <c:pt idx="539">
                  <c:v>0.18270304154058681</c:v>
                </c:pt>
                <c:pt idx="540">
                  <c:v>0.18282336470726215</c:v>
                </c:pt>
                <c:pt idx="541">
                  <c:v>0.18293180388036812</c:v>
                </c:pt>
                <c:pt idx="542">
                  <c:v>0.18296081039679751</c:v>
                </c:pt>
                <c:pt idx="543">
                  <c:v>0.183061133386242</c:v>
                </c:pt>
                <c:pt idx="544">
                  <c:v>0.1831843609113574</c:v>
                </c:pt>
                <c:pt idx="545">
                  <c:v>0.18322805535150385</c:v>
                </c:pt>
                <c:pt idx="546">
                  <c:v>0.18333520688999533</c:v>
                </c:pt>
                <c:pt idx="547">
                  <c:v>0.18344712641754807</c:v>
                </c:pt>
                <c:pt idx="548">
                  <c:v>0.18359490769042897</c:v>
                </c:pt>
                <c:pt idx="549">
                  <c:v>0.18362614336592525</c:v>
                </c:pt>
                <c:pt idx="550">
                  <c:v>0.18375612363176042</c:v>
                </c:pt>
                <c:pt idx="551">
                  <c:v>0.18389690106911311</c:v>
                </c:pt>
                <c:pt idx="552">
                  <c:v>0.18400696505754047</c:v>
                </c:pt>
                <c:pt idx="553">
                  <c:v>0.18405066672234038</c:v>
                </c:pt>
                <c:pt idx="554">
                  <c:v>0.18419311642493449</c:v>
                </c:pt>
                <c:pt idx="555">
                  <c:v>0.18428381304902819</c:v>
                </c:pt>
                <c:pt idx="556">
                  <c:v>0.18445860072515161</c:v>
                </c:pt>
                <c:pt idx="557">
                  <c:v>0.18448909859527962</c:v>
                </c:pt>
                <c:pt idx="558">
                  <c:v>0.18465653278273053</c:v>
                </c:pt>
                <c:pt idx="559">
                  <c:v>0.18477652395007579</c:v>
                </c:pt>
                <c:pt idx="560">
                  <c:v>0.18491896388491882</c:v>
                </c:pt>
                <c:pt idx="561">
                  <c:v>0.18504980892475259</c:v>
                </c:pt>
                <c:pt idx="562">
                  <c:v>0.18511623081289269</c:v>
                </c:pt>
                <c:pt idx="563">
                  <c:v>0.1851908636187384</c:v>
                </c:pt>
                <c:pt idx="564">
                  <c:v>0.18530170933166371</c:v>
                </c:pt>
                <c:pt idx="565">
                  <c:v>0.18541728607441335</c:v>
                </c:pt>
                <c:pt idx="566">
                  <c:v>0.18551140535004404</c:v>
                </c:pt>
                <c:pt idx="567">
                  <c:v>0.18560282669082911</c:v>
                </c:pt>
                <c:pt idx="568">
                  <c:v>0.18569594820428331</c:v>
                </c:pt>
                <c:pt idx="569">
                  <c:v>0.18582736920153758</c:v>
                </c:pt>
                <c:pt idx="570">
                  <c:v>0.18589115002349735</c:v>
                </c:pt>
                <c:pt idx="571">
                  <c:v>0.18600527692457836</c:v>
                </c:pt>
                <c:pt idx="572">
                  <c:v>0.18611158662417612</c:v>
                </c:pt>
                <c:pt idx="573">
                  <c:v>0.18629541509833752</c:v>
                </c:pt>
                <c:pt idx="574">
                  <c:v>0.18638875525583279</c:v>
                </c:pt>
                <c:pt idx="575">
                  <c:v>0.18648782733851885</c:v>
                </c:pt>
                <c:pt idx="576">
                  <c:v>0.18662217970099618</c:v>
                </c:pt>
                <c:pt idx="577">
                  <c:v>0.18672182925229464</c:v>
                </c:pt>
                <c:pt idx="578">
                  <c:v>0.18685620509409115</c:v>
                </c:pt>
                <c:pt idx="579">
                  <c:v>0.1869632347601658</c:v>
                </c:pt>
                <c:pt idx="580">
                  <c:v>0.18705641300693043</c:v>
                </c:pt>
                <c:pt idx="581">
                  <c:v>0.18713010275115435</c:v>
                </c:pt>
                <c:pt idx="582">
                  <c:v>0.18728885169595619</c:v>
                </c:pt>
                <c:pt idx="583">
                  <c:v>0.18749166565790865</c:v>
                </c:pt>
                <c:pt idx="584">
                  <c:v>0.18754784273974487</c:v>
                </c:pt>
                <c:pt idx="585">
                  <c:v>0.18759703628267074</c:v>
                </c:pt>
                <c:pt idx="586">
                  <c:v>0.18762789671089763</c:v>
                </c:pt>
                <c:pt idx="587">
                  <c:v>0.18769388722673105</c:v>
                </c:pt>
                <c:pt idx="588">
                  <c:v>0.18778577379456268</c:v>
                </c:pt>
                <c:pt idx="589">
                  <c:v>0.18785246764047075</c:v>
                </c:pt>
                <c:pt idx="590">
                  <c:v>0.18793943554325623</c:v>
                </c:pt>
                <c:pt idx="591">
                  <c:v>0.18805071214265875</c:v>
                </c:pt>
                <c:pt idx="592">
                  <c:v>0.18817582062045549</c:v>
                </c:pt>
                <c:pt idx="593">
                  <c:v>0.18830085554226078</c:v>
                </c:pt>
                <c:pt idx="594">
                  <c:v>0.18839811660231914</c:v>
                </c:pt>
                <c:pt idx="595">
                  <c:v>0.18855597324335591</c:v>
                </c:pt>
                <c:pt idx="596">
                  <c:v>0.18867176151780723</c:v>
                </c:pt>
                <c:pt idx="597">
                  <c:v>0.18877403728728803</c:v>
                </c:pt>
                <c:pt idx="598">
                  <c:v>0.18893630863805691</c:v>
                </c:pt>
                <c:pt idx="599">
                  <c:v>0.18905868197423722</c:v>
                </c:pt>
                <c:pt idx="600">
                  <c:v>0.18914450654813039</c:v>
                </c:pt>
                <c:pt idx="601">
                  <c:v>0.18929814603802103</c:v>
                </c:pt>
                <c:pt idx="602">
                  <c:v>0.18930776351010725</c:v>
                </c:pt>
                <c:pt idx="603">
                  <c:v>0.18942431896885922</c:v>
                </c:pt>
                <c:pt idx="604">
                  <c:v>0.18955031133468303</c:v>
                </c:pt>
                <c:pt idx="605">
                  <c:v>0.18965593067454539</c:v>
                </c:pt>
                <c:pt idx="606">
                  <c:v>0.18980453111997778</c:v>
                </c:pt>
                <c:pt idx="607">
                  <c:v>0.18987855896303873</c:v>
                </c:pt>
                <c:pt idx="608">
                  <c:v>0.19001321435461005</c:v>
                </c:pt>
                <c:pt idx="609">
                  <c:v>0.1901126127813168</c:v>
                </c:pt>
                <c:pt idx="610">
                  <c:v>0.19020231677213564</c:v>
                </c:pt>
                <c:pt idx="611">
                  <c:v>0.19023529548016901</c:v>
                </c:pt>
                <c:pt idx="612">
                  <c:v>0.19036586283103143</c:v>
                </c:pt>
                <c:pt idx="613">
                  <c:v>0.19046806765486471</c:v>
                </c:pt>
                <c:pt idx="614">
                  <c:v>0.19053028541036185</c:v>
                </c:pt>
                <c:pt idx="615">
                  <c:v>0.19065931466692745</c:v>
                </c:pt>
                <c:pt idx="616">
                  <c:v>0.19084498470082376</c:v>
                </c:pt>
                <c:pt idx="617">
                  <c:v>0.19090323675910864</c:v>
                </c:pt>
                <c:pt idx="618">
                  <c:v>0.19091281399533222</c:v>
                </c:pt>
                <c:pt idx="619">
                  <c:v>0.19102539641959801</c:v>
                </c:pt>
                <c:pt idx="620">
                  <c:v>0.19114793365064983</c:v>
                </c:pt>
                <c:pt idx="621">
                  <c:v>0.19131677729505672</c:v>
                </c:pt>
                <c:pt idx="622">
                  <c:v>0.19149934190532716</c:v>
                </c:pt>
                <c:pt idx="623">
                  <c:v>0.19159956620656185</c:v>
                </c:pt>
                <c:pt idx="624">
                  <c:v>0.1916956132597448</c:v>
                </c:pt>
                <c:pt idx="625">
                  <c:v>0.19175923388111915</c:v>
                </c:pt>
                <c:pt idx="626">
                  <c:v>0.19182158714923081</c:v>
                </c:pt>
                <c:pt idx="627">
                  <c:v>0.19193620543817314</c:v>
                </c:pt>
                <c:pt idx="628">
                  <c:v>0.19202006878395578</c:v>
                </c:pt>
                <c:pt idx="629">
                  <c:v>0.19210843393085747</c:v>
                </c:pt>
                <c:pt idx="630">
                  <c:v>0.1921838015585248</c:v>
                </c:pt>
                <c:pt idx="631">
                  <c:v>0.19230561903543222</c:v>
                </c:pt>
                <c:pt idx="632">
                  <c:v>0.19237851718805568</c:v>
                </c:pt>
                <c:pt idx="633">
                  <c:v>0.19243129238221562</c:v>
                </c:pt>
                <c:pt idx="634">
                  <c:v>0.19252374963710095</c:v>
                </c:pt>
                <c:pt idx="635">
                  <c:v>0.19255516146784929</c:v>
                </c:pt>
                <c:pt idx="636">
                  <c:v>0.19262195897674553</c:v>
                </c:pt>
                <c:pt idx="637">
                  <c:v>0.19273159984820371</c:v>
                </c:pt>
                <c:pt idx="638">
                  <c:v>0.19291493864263498</c:v>
                </c:pt>
                <c:pt idx="639">
                  <c:v>0.19297047198611533</c:v>
                </c:pt>
                <c:pt idx="640">
                  <c:v>0.19306992501507189</c:v>
                </c:pt>
                <c:pt idx="641">
                  <c:v>0.1931684759510027</c:v>
                </c:pt>
                <c:pt idx="642">
                  <c:v>0.19335641553424934</c:v>
                </c:pt>
                <c:pt idx="643">
                  <c:v>0.19349530364044507</c:v>
                </c:pt>
                <c:pt idx="644">
                  <c:v>0.19357178377606168</c:v>
                </c:pt>
                <c:pt idx="645">
                  <c:v>0.19369099678912569</c:v>
                </c:pt>
                <c:pt idx="646">
                  <c:v>0.19384871921369676</c:v>
                </c:pt>
                <c:pt idx="647">
                  <c:v>0.19393208606609119</c:v>
                </c:pt>
                <c:pt idx="648">
                  <c:v>0.19400277490503667</c:v>
                </c:pt>
                <c:pt idx="649">
                  <c:v>0.19404644992663445</c:v>
                </c:pt>
                <c:pt idx="650">
                  <c:v>0.19414455059364308</c:v>
                </c:pt>
                <c:pt idx="651">
                  <c:v>0.19424182649609917</c:v>
                </c:pt>
                <c:pt idx="652">
                  <c:v>0.19432487552540215</c:v>
                </c:pt>
                <c:pt idx="653">
                  <c:v>0.19447035845295979</c:v>
                </c:pt>
                <c:pt idx="654">
                  <c:v>0.19461704776054581</c:v>
                </c:pt>
                <c:pt idx="655">
                  <c:v>0.19470092602704148</c:v>
                </c:pt>
                <c:pt idx="656">
                  <c:v>0.19480694771572768</c:v>
                </c:pt>
                <c:pt idx="657">
                  <c:v>0.19479710884869078</c:v>
                </c:pt>
                <c:pt idx="658">
                  <c:v>0.19488499581178625</c:v>
                </c:pt>
                <c:pt idx="659">
                  <c:v>0.19493966338384869</c:v>
                </c:pt>
                <c:pt idx="660">
                  <c:v>0.19498503759300564</c:v>
                </c:pt>
                <c:pt idx="661">
                  <c:v>0.19507332041957534</c:v>
                </c:pt>
                <c:pt idx="662">
                  <c:v>0.19516706443581452</c:v>
                </c:pt>
                <c:pt idx="663">
                  <c:v>0.19524930547243835</c:v>
                </c:pt>
                <c:pt idx="664">
                  <c:v>0.19524557749383528</c:v>
                </c:pt>
                <c:pt idx="665">
                  <c:v>0.19535785725115262</c:v>
                </c:pt>
                <c:pt idx="666">
                  <c:v>0.19540718769401225</c:v>
                </c:pt>
                <c:pt idx="667">
                  <c:v>0.19542911465692386</c:v>
                </c:pt>
                <c:pt idx="668">
                  <c:v>0.19559396160722106</c:v>
                </c:pt>
                <c:pt idx="669">
                  <c:v>0.19571732015882951</c:v>
                </c:pt>
                <c:pt idx="670">
                  <c:v>0.19575748360578971</c:v>
                </c:pt>
                <c:pt idx="671">
                  <c:v>0.19580430096800114</c:v>
                </c:pt>
                <c:pt idx="672">
                  <c:v>0.19583969411518509</c:v>
                </c:pt>
                <c:pt idx="673">
                  <c:v>0.19599120218592331</c:v>
                </c:pt>
                <c:pt idx="674">
                  <c:v>0.1960663220287775</c:v>
                </c:pt>
                <c:pt idx="675">
                  <c:v>0.19610990822716962</c:v>
                </c:pt>
                <c:pt idx="676">
                  <c:v>0.19614094745993629</c:v>
                </c:pt>
                <c:pt idx="677">
                  <c:v>0.19627636837830748</c:v>
                </c:pt>
                <c:pt idx="678">
                  <c:v>0.1963770825452997</c:v>
                </c:pt>
                <c:pt idx="679">
                  <c:v>0.19648547561695817</c:v>
                </c:pt>
                <c:pt idx="680">
                  <c:v>0.19657751056165645</c:v>
                </c:pt>
                <c:pt idx="681">
                  <c:v>0.19662532195107696</c:v>
                </c:pt>
                <c:pt idx="682">
                  <c:v>0.1967467301405009</c:v>
                </c:pt>
                <c:pt idx="683">
                  <c:v>0.19691384851982052</c:v>
                </c:pt>
                <c:pt idx="684">
                  <c:v>0.1969965157899923</c:v>
                </c:pt>
                <c:pt idx="685">
                  <c:v>0.19715914683963512</c:v>
                </c:pt>
                <c:pt idx="686">
                  <c:v>0.19724766522321976</c:v>
                </c:pt>
                <c:pt idx="687">
                  <c:v>0.19739651940711875</c:v>
                </c:pt>
                <c:pt idx="688">
                  <c:v>0.19746718285280793</c:v>
                </c:pt>
                <c:pt idx="689">
                  <c:v>0.19756325555836052</c:v>
                </c:pt>
                <c:pt idx="690">
                  <c:v>0.19763162631813072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849984"/>
        <c:axId val="403851520"/>
      </c:scatterChart>
      <c:valAx>
        <c:axId val="403849984"/>
        <c:scaling>
          <c:orientation val="minMax"/>
        </c:scaling>
        <c:delete val="0"/>
        <c:axPos val="b"/>
        <c:majorGridlines/>
        <c:numFmt formatCode="_-* #,##0.00_-;\-* #,##0.00_-;_-* &quot;-&quot;??_-;_-@_-" sourceLinked="1"/>
        <c:majorTickMark val="out"/>
        <c:minorTickMark val="none"/>
        <c:tickLblPos val="nextTo"/>
        <c:crossAx val="403851520"/>
        <c:crosses val="autoZero"/>
        <c:crossBetween val="midCat"/>
      </c:valAx>
      <c:valAx>
        <c:axId val="40385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38499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Output!$Y$12:$Y$131</c:f>
              <c:numCache>
                <c:formatCode>0.00000%</c:formatCode>
                <c:ptCount val="120"/>
                <c:pt idx="0">
                  <c:v>7.9873597621803766E-2</c:v>
                </c:pt>
                <c:pt idx="1">
                  <c:v>7.9324053869301719E-2</c:v>
                </c:pt>
                <c:pt idx="2">
                  <c:v>7.9476981077338194E-2</c:v>
                </c:pt>
                <c:pt idx="3">
                  <c:v>7.9738105702511802E-2</c:v>
                </c:pt>
                <c:pt idx="4">
                  <c:v>8.0557506560694214E-2</c:v>
                </c:pt>
                <c:pt idx="5">
                  <c:v>8.1073951214952561E-2</c:v>
                </c:pt>
                <c:pt idx="6">
                  <c:v>8.0341476228767278E-2</c:v>
                </c:pt>
                <c:pt idx="7">
                  <c:v>8.004862739648827E-2</c:v>
                </c:pt>
                <c:pt idx="8">
                  <c:v>7.9809953204409298E-2</c:v>
                </c:pt>
                <c:pt idx="9">
                  <c:v>8.0326657577497546E-2</c:v>
                </c:pt>
                <c:pt idx="10">
                  <c:v>8.0681830889157799E-2</c:v>
                </c:pt>
                <c:pt idx="11">
                  <c:v>8.0716401629940898E-2</c:v>
                </c:pt>
                <c:pt idx="12">
                  <c:v>8.0689106874313229E-2</c:v>
                </c:pt>
                <c:pt idx="13">
                  <c:v>8.0385025977633223E-2</c:v>
                </c:pt>
                <c:pt idx="14">
                  <c:v>7.9829670006015582E-2</c:v>
                </c:pt>
                <c:pt idx="15">
                  <c:v>7.9971367025637313E-2</c:v>
                </c:pt>
                <c:pt idx="16">
                  <c:v>8.0033041969477609E-2</c:v>
                </c:pt>
                <c:pt idx="17">
                  <c:v>7.9693928514405002E-2</c:v>
                </c:pt>
                <c:pt idx="18">
                  <c:v>7.9788579356071518E-2</c:v>
                </c:pt>
                <c:pt idx="19">
                  <c:v>7.9658467442662556E-2</c:v>
                </c:pt>
                <c:pt idx="20">
                  <c:v>7.9919162374475147E-2</c:v>
                </c:pt>
                <c:pt idx="21">
                  <c:v>8.0108771341566271E-2</c:v>
                </c:pt>
                <c:pt idx="22">
                  <c:v>8.0159475264024546E-2</c:v>
                </c:pt>
                <c:pt idx="23">
                  <c:v>7.9937399898173528E-2</c:v>
                </c:pt>
                <c:pt idx="24">
                  <c:v>8.013784402361139E-2</c:v>
                </c:pt>
                <c:pt idx="25">
                  <c:v>8.015082723559333E-2</c:v>
                </c:pt>
                <c:pt idx="26">
                  <c:v>7.9913023918119566E-2</c:v>
                </c:pt>
                <c:pt idx="27">
                  <c:v>7.9707582267976668E-2</c:v>
                </c:pt>
                <c:pt idx="28">
                  <c:v>8.0058477160727698E-2</c:v>
                </c:pt>
                <c:pt idx="29">
                  <c:v>8.0247377165710926E-2</c:v>
                </c:pt>
                <c:pt idx="30">
                  <c:v>8.0453733451362891E-2</c:v>
                </c:pt>
                <c:pt idx="31">
                  <c:v>8.0359500327014347E-2</c:v>
                </c:pt>
                <c:pt idx="32">
                  <c:v>8.0442044503539395E-2</c:v>
                </c:pt>
                <c:pt idx="33">
                  <c:v>8.0567314774794604E-2</c:v>
                </c:pt>
                <c:pt idx="34">
                  <c:v>8.0537835684555414E-2</c:v>
                </c:pt>
                <c:pt idx="35">
                  <c:v>8.0018703282494011E-2</c:v>
                </c:pt>
                <c:pt idx="36">
                  <c:v>8.0190782369062935E-2</c:v>
                </c:pt>
                <c:pt idx="37">
                  <c:v>8.0111231088729071E-2</c:v>
                </c:pt>
                <c:pt idx="38">
                  <c:v>8.019699049283921E-2</c:v>
                </c:pt>
                <c:pt idx="39">
                  <c:v>7.9912259691078957E-2</c:v>
                </c:pt>
                <c:pt idx="40">
                  <c:v>7.9754526431731407E-2</c:v>
                </c:pt>
                <c:pt idx="41">
                  <c:v>7.986916482436783E-2</c:v>
                </c:pt>
                <c:pt idx="42">
                  <c:v>7.9678228732635678E-2</c:v>
                </c:pt>
                <c:pt idx="43">
                  <c:v>7.9595742709433842E-2</c:v>
                </c:pt>
                <c:pt idx="44">
                  <c:v>7.9626385402810432E-2</c:v>
                </c:pt>
                <c:pt idx="45">
                  <c:v>7.9808876476568827E-2</c:v>
                </c:pt>
                <c:pt idx="46">
                  <c:v>7.9795570687458114E-2</c:v>
                </c:pt>
                <c:pt idx="47">
                  <c:v>7.9875221242881309E-2</c:v>
                </c:pt>
                <c:pt idx="48">
                  <c:v>7.999031433562756E-2</c:v>
                </c:pt>
                <c:pt idx="49">
                  <c:v>7.9927116048640556E-2</c:v>
                </c:pt>
                <c:pt idx="50">
                  <c:v>7.9876107861206705E-2</c:v>
                </c:pt>
                <c:pt idx="51">
                  <c:v>7.9930591582724739E-2</c:v>
                </c:pt>
                <c:pt idx="52">
                  <c:v>8.004908326916603E-2</c:v>
                </c:pt>
                <c:pt idx="53">
                  <c:v>8.0138055850331055E-2</c:v>
                </c:pt>
                <c:pt idx="54">
                  <c:v>8.011928701324314E-2</c:v>
                </c:pt>
                <c:pt idx="55">
                  <c:v>8.0185200243465427E-2</c:v>
                </c:pt>
                <c:pt idx="56">
                  <c:v>8.0155256297940916E-2</c:v>
                </c:pt>
                <c:pt idx="57">
                  <c:v>8.0091663865624441E-2</c:v>
                </c:pt>
                <c:pt idx="58">
                  <c:v>7.9982394963601794E-2</c:v>
                </c:pt>
                <c:pt idx="59">
                  <c:v>7.9985575950017027E-2</c:v>
                </c:pt>
                <c:pt idx="60">
                  <c:v>7.9653593121695176E-2</c:v>
                </c:pt>
                <c:pt idx="61">
                  <c:v>7.9403961225319578E-2</c:v>
                </c:pt>
                <c:pt idx="62">
                  <c:v>7.9651417663452864E-2</c:v>
                </c:pt>
                <c:pt idx="63">
                  <c:v>7.9562464843600245E-2</c:v>
                </c:pt>
                <c:pt idx="64">
                  <c:v>7.9905731702205343E-2</c:v>
                </c:pt>
                <c:pt idx="65">
                  <c:v>7.9827709381254247E-2</c:v>
                </c:pt>
                <c:pt idx="66">
                  <c:v>8.0022387556919206E-2</c:v>
                </c:pt>
                <c:pt idx="67">
                  <c:v>8.0089828170763905E-2</c:v>
                </c:pt>
                <c:pt idx="68">
                  <c:v>8.0056092635687845E-2</c:v>
                </c:pt>
                <c:pt idx="69">
                  <c:v>7.9821690980316051E-2</c:v>
                </c:pt>
                <c:pt idx="70">
                  <c:v>8.0050412950722599E-2</c:v>
                </c:pt>
                <c:pt idx="71">
                  <c:v>8.0148028207301256E-2</c:v>
                </c:pt>
                <c:pt idx="72">
                  <c:v>8.0091701803266788E-2</c:v>
                </c:pt>
                <c:pt idx="73">
                  <c:v>8.0190541406475621E-2</c:v>
                </c:pt>
                <c:pt idx="74">
                  <c:v>8.0337945484538681E-2</c:v>
                </c:pt>
                <c:pt idx="75">
                  <c:v>8.0647330537246459E-2</c:v>
                </c:pt>
                <c:pt idx="76">
                  <c:v>8.0522101299114135E-2</c:v>
                </c:pt>
                <c:pt idx="77">
                  <c:v>8.0857437232804585E-2</c:v>
                </c:pt>
                <c:pt idx="78">
                  <c:v>8.0869789231750852E-2</c:v>
                </c:pt>
                <c:pt idx="79">
                  <c:v>8.0983486664198578E-2</c:v>
                </c:pt>
                <c:pt idx="80">
                  <c:v>8.1094397908648211E-2</c:v>
                </c:pt>
                <c:pt idx="81">
                  <c:v>8.100516034027952E-2</c:v>
                </c:pt>
                <c:pt idx="82">
                  <c:v>8.1098656064520699E-2</c:v>
                </c:pt>
                <c:pt idx="83">
                  <c:v>8.1430297416598671E-2</c:v>
                </c:pt>
                <c:pt idx="84">
                  <c:v>8.149161260843564E-2</c:v>
                </c:pt>
                <c:pt idx="85">
                  <c:v>8.1495052036286361E-2</c:v>
                </c:pt>
                <c:pt idx="86">
                  <c:v>8.1424897908186869E-2</c:v>
                </c:pt>
                <c:pt idx="87">
                  <c:v>8.1395683766348537E-2</c:v>
                </c:pt>
                <c:pt idx="88">
                  <c:v>8.145445992207298E-2</c:v>
                </c:pt>
                <c:pt idx="89">
                  <c:v>8.1626915852233639E-2</c:v>
                </c:pt>
                <c:pt idx="90">
                  <c:v>8.1643702968931517E-2</c:v>
                </c:pt>
                <c:pt idx="91">
                  <c:v>8.1546293993081012E-2</c:v>
                </c:pt>
                <c:pt idx="92">
                  <c:v>8.1437979965715501E-2</c:v>
                </c:pt>
                <c:pt idx="93">
                  <c:v>8.134056186897172E-2</c:v>
                </c:pt>
                <c:pt idx="94">
                  <c:v>8.1332589886645296E-2</c:v>
                </c:pt>
                <c:pt idx="95">
                  <c:v>8.1232470266006745E-2</c:v>
                </c:pt>
                <c:pt idx="96">
                  <c:v>8.1258233621632467E-2</c:v>
                </c:pt>
                <c:pt idx="97">
                  <c:v>8.1284403791792775E-2</c:v>
                </c:pt>
                <c:pt idx="98">
                  <c:v>8.1378338942267245E-2</c:v>
                </c:pt>
                <c:pt idx="99">
                  <c:v>8.1514223088790694E-2</c:v>
                </c:pt>
                <c:pt idx="100">
                  <c:v>8.165451911282047E-2</c:v>
                </c:pt>
                <c:pt idx="101">
                  <c:v>8.1598087851364645E-2</c:v>
                </c:pt>
                <c:pt idx="102">
                  <c:v>8.1708537024642314E-2</c:v>
                </c:pt>
                <c:pt idx="103">
                  <c:v>8.1692320998578163E-2</c:v>
                </c:pt>
                <c:pt idx="104">
                  <c:v>8.1894767801613561E-2</c:v>
                </c:pt>
                <c:pt idx="105">
                  <c:v>8.1931295326493764E-2</c:v>
                </c:pt>
                <c:pt idx="106">
                  <c:v>8.20971475426166E-2</c:v>
                </c:pt>
                <c:pt idx="107">
                  <c:v>8.2029433753051981E-2</c:v>
                </c:pt>
                <c:pt idx="108">
                  <c:v>8.2062167184721618E-2</c:v>
                </c:pt>
                <c:pt idx="109">
                  <c:v>8.19404494836386E-2</c:v>
                </c:pt>
                <c:pt idx="110">
                  <c:v>8.1966756472814997E-2</c:v>
                </c:pt>
                <c:pt idx="111">
                  <c:v>8.2174226515234691E-2</c:v>
                </c:pt>
                <c:pt idx="112">
                  <c:v>8.2054398237490098E-2</c:v>
                </c:pt>
                <c:pt idx="113">
                  <c:v>8.2010284519042631E-2</c:v>
                </c:pt>
                <c:pt idx="114">
                  <c:v>8.2216363786169408E-2</c:v>
                </c:pt>
                <c:pt idx="115">
                  <c:v>8.2168314216420124E-2</c:v>
                </c:pt>
                <c:pt idx="116">
                  <c:v>8.2133382787552459E-2</c:v>
                </c:pt>
                <c:pt idx="117">
                  <c:v>8.2229991322434345E-2</c:v>
                </c:pt>
                <c:pt idx="118">
                  <c:v>8.2418537177846099E-2</c:v>
                </c:pt>
                <c:pt idx="119">
                  <c:v>8.2619409982820066E-2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09728"/>
        <c:axId val="404012032"/>
      </c:lineChart>
      <c:catAx>
        <c:axId val="40400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404012032"/>
        <c:crosses val="autoZero"/>
        <c:auto val="1"/>
        <c:lblAlgn val="ctr"/>
        <c:lblOffset val="100"/>
        <c:noMultiLvlLbl val="0"/>
      </c:catAx>
      <c:valAx>
        <c:axId val="40401203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04009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Feuil2!$M$11:$M$731</c:f>
              <c:numCache>
                <c:formatCode>0.00%</c:formatCode>
                <c:ptCount val="721"/>
                <c:pt idx="0">
                  <c:v>0</c:v>
                </c:pt>
                <c:pt idx="1">
                  <c:v>2.9582294022081749E-6</c:v>
                </c:pt>
                <c:pt idx="2">
                  <c:v>-5.5056299522876495E-8</c:v>
                </c:pt>
                <c:pt idx="3">
                  <c:v>-1.0901921513073757E-6</c:v>
                </c:pt>
                <c:pt idx="4">
                  <c:v>-9.2256939658304053E-7</c:v>
                </c:pt>
                <c:pt idx="5">
                  <c:v>7.5064417408114703E-7</c:v>
                </c:pt>
                <c:pt idx="6">
                  <c:v>7.9165043118242448E-7</c:v>
                </c:pt>
                <c:pt idx="7">
                  <c:v>5.9239744978878926E-7</c:v>
                </c:pt>
                <c:pt idx="8">
                  <c:v>-3.3271629999351814E-7</c:v>
                </c:pt>
                <c:pt idx="9">
                  <c:v>4.7770089406731515E-7</c:v>
                </c:pt>
                <c:pt idx="10">
                  <c:v>3.5224683195300178E-7</c:v>
                </c:pt>
                <c:pt idx="11">
                  <c:v>5.3395565184014959E-7</c:v>
                </c:pt>
                <c:pt idx="12">
                  <c:v>4.4242350706830223E-7</c:v>
                </c:pt>
                <c:pt idx="13">
                  <c:v>4.7646367082342968E-7</c:v>
                </c:pt>
                <c:pt idx="14">
                  <c:v>1.1292737247258237E-6</c:v>
                </c:pt>
                <c:pt idx="15">
                  <c:v>1.3349184201697471E-6</c:v>
                </c:pt>
                <c:pt idx="16">
                  <c:v>1.2023619070020402E-6</c:v>
                </c:pt>
                <c:pt idx="17">
                  <c:v>1.5227022605261015E-6</c:v>
                </c:pt>
                <c:pt idx="18">
                  <c:v>1.7747837170671143E-6</c:v>
                </c:pt>
                <c:pt idx="19">
                  <c:v>1.6177692212879929E-6</c:v>
                </c:pt>
                <c:pt idx="20">
                  <c:v>2.2742260243690604E-6</c:v>
                </c:pt>
                <c:pt idx="21">
                  <c:v>2.0840407240242664E-6</c:v>
                </c:pt>
                <c:pt idx="22">
                  <c:v>2.259981331541208E-6</c:v>
                </c:pt>
                <c:pt idx="23">
                  <c:v>2.1371263388167243E-6</c:v>
                </c:pt>
                <c:pt idx="24">
                  <c:v>2.1271503338563544E-6</c:v>
                </c:pt>
                <c:pt idx="25">
                  <c:v>2.1119522787916905E-6</c:v>
                </c:pt>
                <c:pt idx="26">
                  <c:v>2.2413346952543075E-6</c:v>
                </c:pt>
                <c:pt idx="27">
                  <c:v>2.4346739724423602E-6</c:v>
                </c:pt>
                <c:pt idx="28">
                  <c:v>2.4470003008627813E-6</c:v>
                </c:pt>
                <c:pt idx="29">
                  <c:v>2.4989997571078044E-6</c:v>
                </c:pt>
                <c:pt idx="30">
                  <c:v>2.5096490788313044E-6</c:v>
                </c:pt>
                <c:pt idx="31">
                  <c:v>2.5216205053621649E-6</c:v>
                </c:pt>
                <c:pt idx="32">
                  <c:v>2.6185397974846187E-6</c:v>
                </c:pt>
                <c:pt idx="33">
                  <c:v>2.6393404720327553E-6</c:v>
                </c:pt>
                <c:pt idx="34">
                  <c:v>2.5436049735603214E-6</c:v>
                </c:pt>
                <c:pt idx="35">
                  <c:v>2.5704108400819228E-6</c:v>
                </c:pt>
                <c:pt idx="36">
                  <c:v>2.1581553153549125E-6</c:v>
                </c:pt>
                <c:pt idx="37">
                  <c:v>2.4515607653796548E-6</c:v>
                </c:pt>
                <c:pt idx="38">
                  <c:v>2.321333443859987E-6</c:v>
                </c:pt>
                <c:pt idx="39">
                  <c:v>2.2675177019400436E-6</c:v>
                </c:pt>
                <c:pt idx="40">
                  <c:v>2.1273268856572027E-6</c:v>
                </c:pt>
                <c:pt idx="41">
                  <c:v>2.4281003999053604E-6</c:v>
                </c:pt>
                <c:pt idx="42">
                  <c:v>2.6359429711917629E-6</c:v>
                </c:pt>
                <c:pt idx="43">
                  <c:v>2.6730182439487979E-6</c:v>
                </c:pt>
                <c:pt idx="44">
                  <c:v>2.7358994731932137E-6</c:v>
                </c:pt>
                <c:pt idx="45">
                  <c:v>2.9127864058547037E-6</c:v>
                </c:pt>
                <c:pt idx="46">
                  <c:v>3.0164653540044623E-6</c:v>
                </c:pt>
                <c:pt idx="47">
                  <c:v>3.1283681329627271E-6</c:v>
                </c:pt>
                <c:pt idx="48">
                  <c:v>3.4545624361823285E-6</c:v>
                </c:pt>
                <c:pt idx="49">
                  <c:v>3.4724330198754056E-6</c:v>
                </c:pt>
                <c:pt idx="50">
                  <c:v>3.6007198369221449E-6</c:v>
                </c:pt>
                <c:pt idx="51">
                  <c:v>3.9537712245809502E-6</c:v>
                </c:pt>
                <c:pt idx="52">
                  <c:v>4.2321542951503964E-6</c:v>
                </c:pt>
                <c:pt idx="53">
                  <c:v>4.4241653882454678E-6</c:v>
                </c:pt>
                <c:pt idx="54">
                  <c:v>4.8718434575137273E-6</c:v>
                </c:pt>
                <c:pt idx="55">
                  <c:v>5.151869058658159E-6</c:v>
                </c:pt>
                <c:pt idx="56">
                  <c:v>5.3869843754903194E-6</c:v>
                </c:pt>
                <c:pt idx="57">
                  <c:v>5.7680769523666417E-6</c:v>
                </c:pt>
                <c:pt idx="58">
                  <c:v>6.1742740847069285E-6</c:v>
                </c:pt>
                <c:pt idx="59">
                  <c:v>6.5019433914069967E-6</c:v>
                </c:pt>
                <c:pt idx="60">
                  <c:v>7.0613916476675769E-6</c:v>
                </c:pt>
                <c:pt idx="61">
                  <c:v>7.4456570880418764E-6</c:v>
                </c:pt>
                <c:pt idx="62">
                  <c:v>7.8684986533444868E-6</c:v>
                </c:pt>
                <c:pt idx="63">
                  <c:v>8.3122010694777022E-6</c:v>
                </c:pt>
                <c:pt idx="64">
                  <c:v>8.6163929733224214E-6</c:v>
                </c:pt>
                <c:pt idx="65">
                  <c:v>8.9835388176426898E-6</c:v>
                </c:pt>
                <c:pt idx="66">
                  <c:v>9.1602327129776048E-6</c:v>
                </c:pt>
                <c:pt idx="67">
                  <c:v>9.3980372262978708E-6</c:v>
                </c:pt>
                <c:pt idx="68">
                  <c:v>9.5952295873001723E-6</c:v>
                </c:pt>
                <c:pt idx="69">
                  <c:v>9.8215915021991358E-6</c:v>
                </c:pt>
                <c:pt idx="70">
                  <c:v>1.0031013189583512E-5</c:v>
                </c:pt>
                <c:pt idx="71">
                  <c:v>1.0130479082673177E-5</c:v>
                </c:pt>
                <c:pt idx="72">
                  <c:v>1.0336388232446304E-5</c:v>
                </c:pt>
                <c:pt idx="73">
                  <c:v>1.0408824640208711E-5</c:v>
                </c:pt>
                <c:pt idx="74">
                  <c:v>1.0585818752111269E-5</c:v>
                </c:pt>
                <c:pt idx="75">
                  <c:v>1.0572110337483758E-5</c:v>
                </c:pt>
                <c:pt idx="76">
                  <c:v>1.0665578009754731E-5</c:v>
                </c:pt>
                <c:pt idx="77">
                  <c:v>1.0753421641598111E-5</c:v>
                </c:pt>
                <c:pt idx="78">
                  <c:v>1.072068810054061E-5</c:v>
                </c:pt>
                <c:pt idx="79">
                  <c:v>1.0745239339228279E-5</c:v>
                </c:pt>
                <c:pt idx="80">
                  <c:v>1.0702532932251735E-5</c:v>
                </c:pt>
                <c:pt idx="81">
                  <c:v>1.0614062938564236E-5</c:v>
                </c:pt>
                <c:pt idx="82">
                  <c:v>1.0607371191802164E-5</c:v>
                </c:pt>
                <c:pt idx="83">
                  <c:v>1.0615806444020564E-5</c:v>
                </c:pt>
                <c:pt idx="84">
                  <c:v>1.0456217993527251E-5</c:v>
                </c:pt>
                <c:pt idx="85">
                  <c:v>1.0315816076443562E-5</c:v>
                </c:pt>
                <c:pt idx="86">
                  <c:v>1.0234855678518517E-5</c:v>
                </c:pt>
                <c:pt idx="87">
                  <c:v>9.9885907928719264E-6</c:v>
                </c:pt>
                <c:pt idx="88">
                  <c:v>9.7250977787913359E-6</c:v>
                </c:pt>
                <c:pt idx="89">
                  <c:v>9.4324545571842925E-6</c:v>
                </c:pt>
                <c:pt idx="90">
                  <c:v>9.1557487802711342E-6</c:v>
                </c:pt>
                <c:pt idx="91">
                  <c:v>8.720650965095343E-6</c:v>
                </c:pt>
                <c:pt idx="92">
                  <c:v>8.3391908471466825E-6</c:v>
                </c:pt>
                <c:pt idx="93">
                  <c:v>7.9894666745070021E-6</c:v>
                </c:pt>
                <c:pt idx="94">
                  <c:v>7.6272097287744542E-6</c:v>
                </c:pt>
                <c:pt idx="95">
                  <c:v>7.2774843179845665E-6</c:v>
                </c:pt>
                <c:pt idx="96">
                  <c:v>6.8573722543062432E-6</c:v>
                </c:pt>
                <c:pt idx="97">
                  <c:v>6.4380185332600995E-6</c:v>
                </c:pt>
                <c:pt idx="98">
                  <c:v>6.0707533585026979E-6</c:v>
                </c:pt>
                <c:pt idx="99">
                  <c:v>5.8105261003420835E-6</c:v>
                </c:pt>
                <c:pt idx="100">
                  <c:v>5.4918800963090278E-6</c:v>
                </c:pt>
                <c:pt idx="101">
                  <c:v>5.2581096029015797E-6</c:v>
                </c:pt>
                <c:pt idx="102">
                  <c:v>4.8956645027618297E-6</c:v>
                </c:pt>
                <c:pt idx="103">
                  <c:v>4.4336663493759355E-6</c:v>
                </c:pt>
                <c:pt idx="104">
                  <c:v>4.0210633804446585E-6</c:v>
                </c:pt>
                <c:pt idx="105">
                  <c:v>3.4235114476028131E-6</c:v>
                </c:pt>
                <c:pt idx="106">
                  <c:v>2.8118143915877199E-6</c:v>
                </c:pt>
                <c:pt idx="107">
                  <c:v>2.1499067746032219E-6</c:v>
                </c:pt>
                <c:pt idx="108">
                  <c:v>1.4726281985213887E-6</c:v>
                </c:pt>
                <c:pt idx="109">
                  <c:v>7.6488467582705617E-7</c:v>
                </c:pt>
                <c:pt idx="110">
                  <c:v>4.7545700339497732E-8</c:v>
                </c:pt>
                <c:pt idx="111">
                  <c:v>-6.0396812945947426E-7</c:v>
                </c:pt>
                <c:pt idx="112">
                  <c:v>-1.4896239466863359E-6</c:v>
                </c:pt>
                <c:pt idx="113">
                  <c:v>-2.3239660284241764E-6</c:v>
                </c:pt>
                <c:pt idx="114">
                  <c:v>-3.157430894532888E-6</c:v>
                </c:pt>
                <c:pt idx="115">
                  <c:v>-3.813147655967828E-6</c:v>
                </c:pt>
                <c:pt idx="116">
                  <c:v>-4.62318556347565E-6</c:v>
                </c:pt>
                <c:pt idx="117">
                  <c:v>-5.4329914058355577E-6</c:v>
                </c:pt>
                <c:pt idx="118">
                  <c:v>-6.0612439218743659E-6</c:v>
                </c:pt>
                <c:pt idx="119">
                  <c:v>-6.7295908952650328E-6</c:v>
                </c:pt>
                <c:pt idx="120">
                  <c:v>-7.3982404178623076E-6</c:v>
                </c:pt>
                <c:pt idx="121">
                  <c:v>-8.273570287522982E-6</c:v>
                </c:pt>
                <c:pt idx="122">
                  <c:v>-9.0663990770073997E-6</c:v>
                </c:pt>
                <c:pt idx="123">
                  <c:v>-9.8157994755424492E-6</c:v>
                </c:pt>
                <c:pt idx="124">
                  <c:v>-1.0475378784634542E-5</c:v>
                </c:pt>
                <c:pt idx="125">
                  <c:v>-1.1127182181683033E-5</c:v>
                </c:pt>
                <c:pt idx="126">
                  <c:v>-1.1746622314729241E-5</c:v>
                </c:pt>
                <c:pt idx="127">
                  <c:v>-1.2193898299689161E-5</c:v>
                </c:pt>
                <c:pt idx="128">
                  <c:v>-1.2685370381910598E-5</c:v>
                </c:pt>
                <c:pt idx="129">
                  <c:v>-1.3126516519015082E-5</c:v>
                </c:pt>
                <c:pt idx="130">
                  <c:v>-1.3554643626455774E-5</c:v>
                </c:pt>
                <c:pt idx="131">
                  <c:v>-1.403760256064434E-5</c:v>
                </c:pt>
                <c:pt idx="132">
                  <c:v>-1.4412121153341371E-5</c:v>
                </c:pt>
                <c:pt idx="133">
                  <c:v>-1.4783712572867883E-5</c:v>
                </c:pt>
                <c:pt idx="134">
                  <c:v>-1.5216864540729992E-5</c:v>
                </c:pt>
                <c:pt idx="135">
                  <c:v>-1.5567962953406869E-5</c:v>
                </c:pt>
                <c:pt idx="136">
                  <c:v>-1.5983913428498E-5</c:v>
                </c:pt>
                <c:pt idx="137">
                  <c:v>-1.6267594762600212E-5</c:v>
                </c:pt>
                <c:pt idx="138">
                  <c:v>-1.6485797855752063E-5</c:v>
                </c:pt>
                <c:pt idx="139">
                  <c:v>-1.6654471163631175E-5</c:v>
                </c:pt>
                <c:pt idx="140">
                  <c:v>-1.665684106034928E-5</c:v>
                </c:pt>
                <c:pt idx="141">
                  <c:v>-1.6628579001914424E-5</c:v>
                </c:pt>
                <c:pt idx="142">
                  <c:v>-1.6627657407709828E-5</c:v>
                </c:pt>
                <c:pt idx="143">
                  <c:v>-1.6673526208187302E-5</c:v>
                </c:pt>
                <c:pt idx="144">
                  <c:v>-1.6774475790892578E-5</c:v>
                </c:pt>
                <c:pt idx="145">
                  <c:v>-1.684096478030573E-5</c:v>
                </c:pt>
                <c:pt idx="146">
                  <c:v>-1.7003396150798607E-5</c:v>
                </c:pt>
                <c:pt idx="147">
                  <c:v>-1.7108017064840914E-5</c:v>
                </c:pt>
                <c:pt idx="148">
                  <c:v>-1.7294433747773973E-5</c:v>
                </c:pt>
                <c:pt idx="149">
                  <c:v>-1.7524981480046206E-5</c:v>
                </c:pt>
                <c:pt idx="150">
                  <c:v>-1.7835760520530132E-5</c:v>
                </c:pt>
                <c:pt idx="151">
                  <c:v>-1.8111341064004638E-5</c:v>
                </c:pt>
                <c:pt idx="152">
                  <c:v>-1.836666667970506E-5</c:v>
                </c:pt>
                <c:pt idx="153">
                  <c:v>-1.8574612313276839E-5</c:v>
                </c:pt>
                <c:pt idx="154">
                  <c:v>-1.8838715436252096E-5</c:v>
                </c:pt>
                <c:pt idx="155">
                  <c:v>-1.9164123918103543E-5</c:v>
                </c:pt>
                <c:pt idx="156">
                  <c:v>-1.9485903868974967E-5</c:v>
                </c:pt>
                <c:pt idx="157">
                  <c:v>-1.9800392552182106E-5</c:v>
                </c:pt>
                <c:pt idx="158">
                  <c:v>-2.0148504990141931E-5</c:v>
                </c:pt>
                <c:pt idx="159">
                  <c:v>-2.0562841199550132E-5</c:v>
                </c:pt>
                <c:pt idx="160">
                  <c:v>-2.0968579631024283E-5</c:v>
                </c:pt>
                <c:pt idx="161">
                  <c:v>-2.1397416833918333E-5</c:v>
                </c:pt>
                <c:pt idx="162">
                  <c:v>-2.18205696272478E-5</c:v>
                </c:pt>
                <c:pt idx="163">
                  <c:v>-2.221517164329237E-5</c:v>
                </c:pt>
                <c:pt idx="164">
                  <c:v>-2.253171187150977E-5</c:v>
                </c:pt>
                <c:pt idx="165">
                  <c:v>-2.2811237318077701E-5</c:v>
                </c:pt>
                <c:pt idx="166">
                  <c:v>-2.3315485018011312E-5</c:v>
                </c:pt>
                <c:pt idx="167">
                  <c:v>-2.3933573396849386E-5</c:v>
                </c:pt>
                <c:pt idx="168">
                  <c:v>-2.4542529861775776E-5</c:v>
                </c:pt>
                <c:pt idx="169">
                  <c:v>-2.522131977394839E-5</c:v>
                </c:pt>
                <c:pt idx="170">
                  <c:v>-2.5984348609882878E-5</c:v>
                </c:pt>
                <c:pt idx="171">
                  <c:v>-2.6680298312381154E-5</c:v>
                </c:pt>
                <c:pt idx="172">
                  <c:v>-2.7424241230310752E-5</c:v>
                </c:pt>
                <c:pt idx="173">
                  <c:v>-2.8125865592343834E-5</c:v>
                </c:pt>
                <c:pt idx="174">
                  <c:v>-2.8878887662148189E-5</c:v>
                </c:pt>
                <c:pt idx="175">
                  <c:v>-2.9706215644748589E-5</c:v>
                </c:pt>
                <c:pt idx="176">
                  <c:v>-3.0674152032577132E-5</c:v>
                </c:pt>
                <c:pt idx="177">
                  <c:v>-3.1850864197443575E-5</c:v>
                </c:pt>
                <c:pt idx="178">
                  <c:v>-3.2956817689848775E-5</c:v>
                </c:pt>
                <c:pt idx="179">
                  <c:v>-3.4056394164716682E-5</c:v>
                </c:pt>
                <c:pt idx="180">
                  <c:v>-3.5171909924919774E-5</c:v>
                </c:pt>
                <c:pt idx="181">
                  <c:v>-3.641708636065253E-5</c:v>
                </c:pt>
                <c:pt idx="182">
                  <c:v>-3.7478756015977763E-5</c:v>
                </c:pt>
                <c:pt idx="183">
                  <c:v>-3.8558258685116899E-5</c:v>
                </c:pt>
                <c:pt idx="184">
                  <c:v>-3.9635431052413052E-5</c:v>
                </c:pt>
                <c:pt idx="185">
                  <c:v>-4.0721413659933203E-5</c:v>
                </c:pt>
                <c:pt idx="186">
                  <c:v>-4.1662030080740452E-5</c:v>
                </c:pt>
                <c:pt idx="187">
                  <c:v>-4.2563210642125072E-5</c:v>
                </c:pt>
                <c:pt idx="188">
                  <c:v>-4.3485424037474629E-5</c:v>
                </c:pt>
                <c:pt idx="189">
                  <c:v>-4.4424550842059839E-5</c:v>
                </c:pt>
                <c:pt idx="190">
                  <c:v>-4.5338007398889463E-5</c:v>
                </c:pt>
                <c:pt idx="191">
                  <c:v>-4.6214046809358623E-5</c:v>
                </c:pt>
                <c:pt idx="192">
                  <c:v>-4.7038103538650858E-5</c:v>
                </c:pt>
                <c:pt idx="193">
                  <c:v>-4.7898854510497295E-5</c:v>
                </c:pt>
                <c:pt idx="194">
                  <c:v>-4.8691202742824277E-5</c:v>
                </c:pt>
                <c:pt idx="195">
                  <c:v>-4.9440161169340448E-5</c:v>
                </c:pt>
                <c:pt idx="196">
                  <c:v>-5.0246801744015246E-5</c:v>
                </c:pt>
                <c:pt idx="197">
                  <c:v>-5.1074106393140736E-5</c:v>
                </c:pt>
                <c:pt idx="198">
                  <c:v>-5.2018674190558445E-5</c:v>
                </c:pt>
                <c:pt idx="199">
                  <c:v>-5.2997989860765343E-5</c:v>
                </c:pt>
                <c:pt idx="200">
                  <c:v>-5.4149212221173658E-5</c:v>
                </c:pt>
                <c:pt idx="201">
                  <c:v>-5.5262974319536876E-5</c:v>
                </c:pt>
                <c:pt idx="202">
                  <c:v>-5.636662588349127E-5</c:v>
                </c:pt>
                <c:pt idx="203">
                  <c:v>-5.7452551115142608E-5</c:v>
                </c:pt>
                <c:pt idx="204">
                  <c:v>-5.8673366116120465E-5</c:v>
                </c:pt>
                <c:pt idx="205">
                  <c:v>-5.9853635758520818E-5</c:v>
                </c:pt>
                <c:pt idx="206">
                  <c:v>-6.083845815608481E-5</c:v>
                </c:pt>
                <c:pt idx="207">
                  <c:v>-6.1819786042061585E-5</c:v>
                </c:pt>
                <c:pt idx="208">
                  <c:v>-6.2800312839084507E-5</c:v>
                </c:pt>
                <c:pt idx="209">
                  <c:v>-6.3787959991639179E-5</c:v>
                </c:pt>
                <c:pt idx="210">
                  <c:v>-6.4764535782398623E-5</c:v>
                </c:pt>
                <c:pt idx="211">
                  <c:v>-6.5695144066266892E-5</c:v>
                </c:pt>
                <c:pt idx="212">
                  <c:v>-6.6590949545521257E-5</c:v>
                </c:pt>
                <c:pt idx="213">
                  <c:v>-6.7516016376999687E-5</c:v>
                </c:pt>
                <c:pt idx="214">
                  <c:v>-6.8398304824807653E-5</c:v>
                </c:pt>
                <c:pt idx="215">
                  <c:v>-6.9350282598036259E-5</c:v>
                </c:pt>
                <c:pt idx="216">
                  <c:v>-7.0213318490271008E-5</c:v>
                </c:pt>
                <c:pt idx="217">
                  <c:v>-7.1230011803226183E-5</c:v>
                </c:pt>
                <c:pt idx="218">
                  <c:v>-7.2117112178574604E-5</c:v>
                </c:pt>
                <c:pt idx="219">
                  <c:v>-7.3022750067141054E-5</c:v>
                </c:pt>
                <c:pt idx="220">
                  <c:v>-7.384199670536825E-5</c:v>
                </c:pt>
                <c:pt idx="221">
                  <c:v>-7.4706637261036379E-5</c:v>
                </c:pt>
                <c:pt idx="222">
                  <c:v>-7.5580152198061884E-5</c:v>
                </c:pt>
                <c:pt idx="223">
                  <c:v>-7.6268386014989066E-5</c:v>
                </c:pt>
                <c:pt idx="224">
                  <c:v>-7.6916690637696128E-5</c:v>
                </c:pt>
                <c:pt idx="225">
                  <c:v>-7.7515914878803147E-5</c:v>
                </c:pt>
                <c:pt idx="226">
                  <c:v>-7.7917541520455477E-5</c:v>
                </c:pt>
                <c:pt idx="227">
                  <c:v>-7.8288898589691513E-5</c:v>
                </c:pt>
                <c:pt idx="228">
                  <c:v>-7.8627200514428362E-5</c:v>
                </c:pt>
                <c:pt idx="229">
                  <c:v>-7.8877002421032759E-5</c:v>
                </c:pt>
                <c:pt idx="230">
                  <c:v>-7.9059440660463227E-5</c:v>
                </c:pt>
                <c:pt idx="231">
                  <c:v>-7.9260609133361207E-5</c:v>
                </c:pt>
                <c:pt idx="232">
                  <c:v>-7.9329091246560166E-5</c:v>
                </c:pt>
                <c:pt idx="233">
                  <c:v>-7.9376206564003675E-5</c:v>
                </c:pt>
                <c:pt idx="234">
                  <c:v>-7.9400840742774315E-5</c:v>
                </c:pt>
                <c:pt idx="235">
                  <c:v>-7.9375685567911053E-5</c:v>
                </c:pt>
                <c:pt idx="236">
                  <c:v>-7.937968876368072E-5</c:v>
                </c:pt>
                <c:pt idx="237">
                  <c:v>-7.9330607492121563E-5</c:v>
                </c:pt>
                <c:pt idx="238">
                  <c:v>-7.9199991784794331E-5</c:v>
                </c:pt>
                <c:pt idx="239">
                  <c:v>-7.9023908144420889E-5</c:v>
                </c:pt>
                <c:pt idx="240">
                  <c:v>-7.8716843299735106E-5</c:v>
                </c:pt>
                <c:pt idx="241">
                  <c:v>-7.8407019483278662E-5</c:v>
                </c:pt>
                <c:pt idx="242">
                  <c:v>-7.818040433515798E-5</c:v>
                </c:pt>
                <c:pt idx="243">
                  <c:v>-7.785915180695633E-5</c:v>
                </c:pt>
                <c:pt idx="244">
                  <c:v>-7.7513504020260832E-5</c:v>
                </c:pt>
                <c:pt idx="245">
                  <c:v>-7.7165620959395581E-5</c:v>
                </c:pt>
                <c:pt idx="246">
                  <c:v>-7.679904339213256E-5</c:v>
                </c:pt>
                <c:pt idx="247">
                  <c:v>-7.6460233029030517E-5</c:v>
                </c:pt>
                <c:pt idx="248">
                  <c:v>-7.6027678129954313E-5</c:v>
                </c:pt>
                <c:pt idx="249">
                  <c:v>-7.5556315319916939E-5</c:v>
                </c:pt>
                <c:pt idx="250">
                  <c:v>-7.4940986699027073E-5</c:v>
                </c:pt>
                <c:pt idx="251">
                  <c:v>-7.4290576678457017E-5</c:v>
                </c:pt>
                <c:pt idx="252">
                  <c:v>-7.3758114789313628E-5</c:v>
                </c:pt>
                <c:pt idx="253">
                  <c:v>-7.3101530402552503E-5</c:v>
                </c:pt>
                <c:pt idx="254">
                  <c:v>-7.2540981055418605E-5</c:v>
                </c:pt>
                <c:pt idx="255">
                  <c:v>-7.2017768071810755E-5</c:v>
                </c:pt>
                <c:pt idx="256">
                  <c:v>-7.1470437960258898E-5</c:v>
                </c:pt>
                <c:pt idx="257">
                  <c:v>-7.0846517900660134E-5</c:v>
                </c:pt>
                <c:pt idx="258">
                  <c:v>-7.0102536387515839E-5</c:v>
                </c:pt>
                <c:pt idx="259">
                  <c:v>-6.9222541512463202E-5</c:v>
                </c:pt>
                <c:pt idx="260">
                  <c:v>-6.8284310656708744E-5</c:v>
                </c:pt>
                <c:pt idx="261">
                  <c:v>-6.7353175581999492E-5</c:v>
                </c:pt>
                <c:pt idx="262">
                  <c:v>-6.6427849352091242E-5</c:v>
                </c:pt>
                <c:pt idx="263">
                  <c:v>-6.5514020572797829E-5</c:v>
                </c:pt>
                <c:pt idx="264">
                  <c:v>-6.4751989775142099E-5</c:v>
                </c:pt>
                <c:pt idx="265">
                  <c:v>-6.3927420245881578E-5</c:v>
                </c:pt>
                <c:pt idx="266">
                  <c:v>-6.3142891337279565E-5</c:v>
                </c:pt>
                <c:pt idx="267">
                  <c:v>-6.2298038046847484E-5</c:v>
                </c:pt>
                <c:pt idx="268">
                  <c:v>-6.1361089567514224E-5</c:v>
                </c:pt>
                <c:pt idx="269">
                  <c:v>-6.0470544467614191E-5</c:v>
                </c:pt>
                <c:pt idx="270">
                  <c:v>-5.9629295215735817E-5</c:v>
                </c:pt>
                <c:pt idx="271">
                  <c:v>-5.8867445560443349E-5</c:v>
                </c:pt>
                <c:pt idx="272">
                  <c:v>-5.808935922890085E-5</c:v>
                </c:pt>
                <c:pt idx="273">
                  <c:v>-5.7265051174541955E-5</c:v>
                </c:pt>
                <c:pt idx="274">
                  <c:v>-5.6559305271758689E-5</c:v>
                </c:pt>
                <c:pt idx="275">
                  <c:v>-5.5846146687969084E-5</c:v>
                </c:pt>
                <c:pt idx="276">
                  <c:v>-5.5269935525971078E-5</c:v>
                </c:pt>
                <c:pt idx="277">
                  <c:v>-5.4676410801837022E-5</c:v>
                </c:pt>
                <c:pt idx="278">
                  <c:v>-5.4084000938152584E-5</c:v>
                </c:pt>
                <c:pt idx="279">
                  <c:v>-5.3592615644150986E-5</c:v>
                </c:pt>
                <c:pt idx="280">
                  <c:v>-5.3188279748014704E-5</c:v>
                </c:pt>
                <c:pt idx="281">
                  <c:v>-5.2811747006342898E-5</c:v>
                </c:pt>
                <c:pt idx="282">
                  <c:v>-5.2442361226780025E-5</c:v>
                </c:pt>
                <c:pt idx="283">
                  <c:v>-5.2082077630932234E-5</c:v>
                </c:pt>
                <c:pt idx="284">
                  <c:v>-5.1725616815956679E-5</c:v>
                </c:pt>
                <c:pt idx="285">
                  <c:v>-5.1236292338126439E-5</c:v>
                </c:pt>
                <c:pt idx="286">
                  <c:v>-5.0610222251988059E-5</c:v>
                </c:pt>
                <c:pt idx="287">
                  <c:v>-4.9970788000106015E-5</c:v>
                </c:pt>
                <c:pt idx="288">
                  <c:v>-4.9460745761498864E-5</c:v>
                </c:pt>
                <c:pt idx="289">
                  <c:v>-4.884848614268144E-5</c:v>
                </c:pt>
                <c:pt idx="290">
                  <c:v>-4.8183178776138244E-5</c:v>
                </c:pt>
                <c:pt idx="291">
                  <c:v>-4.7631536597879214E-5</c:v>
                </c:pt>
                <c:pt idx="292">
                  <c:v>-4.7191911417885854E-5</c:v>
                </c:pt>
                <c:pt idx="293">
                  <c:v>-4.6853948873088955E-5</c:v>
                </c:pt>
                <c:pt idx="294">
                  <c:v>-4.6528133280918094E-5</c:v>
                </c:pt>
                <c:pt idx="295">
                  <c:v>-4.6190795352110334E-5</c:v>
                </c:pt>
                <c:pt idx="296">
                  <c:v>-4.5927184426720717E-5</c:v>
                </c:pt>
                <c:pt idx="297">
                  <c:v>-4.5542793568361176E-5</c:v>
                </c:pt>
                <c:pt idx="298">
                  <c:v>-4.5166123674177799E-5</c:v>
                </c:pt>
                <c:pt idx="299">
                  <c:v>-4.485271145107661E-5</c:v>
                </c:pt>
                <c:pt idx="300">
                  <c:v>-4.4563877210833554E-5</c:v>
                </c:pt>
                <c:pt idx="301">
                  <c:v>-4.4289143877471876E-5</c:v>
                </c:pt>
                <c:pt idx="302">
                  <c:v>-4.3852328238080419E-5</c:v>
                </c:pt>
                <c:pt idx="303">
                  <c:v>-4.3472629361470186E-5</c:v>
                </c:pt>
                <c:pt idx="304">
                  <c:v>-4.2996879768953007E-5</c:v>
                </c:pt>
                <c:pt idx="305">
                  <c:v>-4.2434202896818318E-5</c:v>
                </c:pt>
                <c:pt idx="306">
                  <c:v>-4.1895710877312003E-5</c:v>
                </c:pt>
                <c:pt idx="307">
                  <c:v>-4.132753452806056E-5</c:v>
                </c:pt>
                <c:pt idx="308">
                  <c:v>-4.0719122587502474E-5</c:v>
                </c:pt>
                <c:pt idx="309">
                  <c:v>-4.0049821769806183E-5</c:v>
                </c:pt>
                <c:pt idx="310">
                  <c:v>-3.9441093064408045E-5</c:v>
                </c:pt>
                <c:pt idx="311">
                  <c:v>-3.8882194384011123E-5</c:v>
                </c:pt>
                <c:pt idx="312">
                  <c:v>-3.8210009157941226E-5</c:v>
                </c:pt>
                <c:pt idx="313">
                  <c:v>-3.7463534594043245E-5</c:v>
                </c:pt>
                <c:pt idx="314">
                  <c:v>-3.6834387586595976E-5</c:v>
                </c:pt>
                <c:pt idx="315">
                  <c:v>-3.6154761691535413E-5</c:v>
                </c:pt>
                <c:pt idx="316">
                  <c:v>-3.5391193783034826E-5</c:v>
                </c:pt>
                <c:pt idx="317">
                  <c:v>-3.4660040432372453E-5</c:v>
                </c:pt>
                <c:pt idx="318">
                  <c:v>-3.3820334393470756E-5</c:v>
                </c:pt>
                <c:pt idx="319">
                  <c:v>-3.2873504956247926E-5</c:v>
                </c:pt>
                <c:pt idx="320">
                  <c:v>-3.1780536429059508E-5</c:v>
                </c:pt>
                <c:pt idx="321">
                  <c:v>-3.0744891708320982E-5</c:v>
                </c:pt>
                <c:pt idx="322">
                  <c:v>-2.9643717025584944E-5</c:v>
                </c:pt>
                <c:pt idx="323">
                  <c:v>-2.848347738627563E-5</c:v>
                </c:pt>
                <c:pt idx="324">
                  <c:v>-2.7140279063525043E-5</c:v>
                </c:pt>
                <c:pt idx="325">
                  <c:v>-2.5666644001545377E-5</c:v>
                </c:pt>
                <c:pt idx="326">
                  <c:v>-2.4276752927675227E-5</c:v>
                </c:pt>
                <c:pt idx="327">
                  <c:v>-2.2911688052864275E-5</c:v>
                </c:pt>
                <c:pt idx="328">
                  <c:v>-2.1640412493040447E-5</c:v>
                </c:pt>
                <c:pt idx="329">
                  <c:v>-2.0405901338743475E-5</c:v>
                </c:pt>
                <c:pt idx="330">
                  <c:v>-1.9164441208544859E-5</c:v>
                </c:pt>
                <c:pt idx="331">
                  <c:v>-1.7916706946990296E-5</c:v>
                </c:pt>
                <c:pt idx="332">
                  <c:v>-1.6757741235906912E-5</c:v>
                </c:pt>
                <c:pt idx="333">
                  <c:v>-1.5581696605359088E-5</c:v>
                </c:pt>
                <c:pt idx="334">
                  <c:v>-1.4535061000542707E-5</c:v>
                </c:pt>
                <c:pt idx="335">
                  <c:v>-1.3599540396957641E-5</c:v>
                </c:pt>
                <c:pt idx="336">
                  <c:v>-1.2772380627651229E-5</c:v>
                </c:pt>
                <c:pt idx="337">
                  <c:v>-1.1891310614666785E-5</c:v>
                </c:pt>
                <c:pt idx="338">
                  <c:v>-1.1077732594128552E-5</c:v>
                </c:pt>
                <c:pt idx="339">
                  <c:v>-1.0455344259494535E-5</c:v>
                </c:pt>
                <c:pt idx="340">
                  <c:v>-9.8509487836519541E-6</c:v>
                </c:pt>
                <c:pt idx="341">
                  <c:v>-9.2624456972884364E-6</c:v>
                </c:pt>
                <c:pt idx="342">
                  <c:v>-8.77440618936038E-6</c:v>
                </c:pt>
                <c:pt idx="343">
                  <c:v>-8.4001528714251414E-6</c:v>
                </c:pt>
                <c:pt idx="344">
                  <c:v>-7.9553133346616303E-6</c:v>
                </c:pt>
                <c:pt idx="345">
                  <c:v>-7.4263114326735338E-6</c:v>
                </c:pt>
                <c:pt idx="346">
                  <c:v>-6.8192451778449625E-6</c:v>
                </c:pt>
                <c:pt idx="347">
                  <c:v>-6.1646607570648576E-6</c:v>
                </c:pt>
                <c:pt idx="348">
                  <c:v>-5.6203457282398908E-6</c:v>
                </c:pt>
                <c:pt idx="349">
                  <c:v>-4.9143344276426568E-6</c:v>
                </c:pt>
                <c:pt idx="350">
                  <c:v>-4.2325071760891675E-6</c:v>
                </c:pt>
                <c:pt idx="351">
                  <c:v>-3.6471471356715537E-6</c:v>
                </c:pt>
                <c:pt idx="352">
                  <c:v>-3.0721927169845287E-6</c:v>
                </c:pt>
                <c:pt idx="353">
                  <c:v>-2.5013650739149143E-6</c:v>
                </c:pt>
                <c:pt idx="354">
                  <c:v>-1.9258785866702738E-6</c:v>
                </c:pt>
                <c:pt idx="355">
                  <c:v>-1.4043118379937838E-6</c:v>
                </c:pt>
                <c:pt idx="356">
                  <c:v>-9.5683329650198684E-7</c:v>
                </c:pt>
                <c:pt idx="357">
                  <c:v>-4.8140825986524305E-7</c:v>
                </c:pt>
                <c:pt idx="358">
                  <c:v>-2.0966647746104017E-8</c:v>
                </c:pt>
                <c:pt idx="359">
                  <c:v>3.6396170180908599E-7</c:v>
                </c:pt>
                <c:pt idx="360">
                  <c:v>7.6936686081198469E-7</c:v>
                </c:pt>
                <c:pt idx="361">
                  <c:v>1.1248734458537551E-6</c:v>
                </c:pt>
                <c:pt idx="362">
                  <c:v>1.6166921982131016E-6</c:v>
                </c:pt>
                <c:pt idx="363">
                  <c:v>2.0966991825400322E-6</c:v>
                </c:pt>
                <c:pt idx="364">
                  <c:v>2.5139639338997086E-6</c:v>
                </c:pt>
                <c:pt idx="365">
                  <c:v>2.8176182342238079E-6</c:v>
                </c:pt>
                <c:pt idx="366">
                  <c:v>3.0962758623036615E-6</c:v>
                </c:pt>
                <c:pt idx="367">
                  <c:v>3.2598484055153601E-6</c:v>
                </c:pt>
                <c:pt idx="368">
                  <c:v>3.3149445549012294E-6</c:v>
                </c:pt>
                <c:pt idx="369">
                  <c:v>3.3187834171475444E-6</c:v>
                </c:pt>
                <c:pt idx="370">
                  <c:v>3.2820850653777697E-6</c:v>
                </c:pt>
                <c:pt idx="371">
                  <c:v>3.1913360694357795E-6</c:v>
                </c:pt>
                <c:pt idx="372">
                  <c:v>3.2319664581966986E-6</c:v>
                </c:pt>
                <c:pt idx="373">
                  <c:v>3.1150029850901886E-6</c:v>
                </c:pt>
                <c:pt idx="374">
                  <c:v>2.9921839068570294E-6</c:v>
                </c:pt>
                <c:pt idx="375">
                  <c:v>2.8865337015782783E-6</c:v>
                </c:pt>
                <c:pt idx="376">
                  <c:v>2.7746745141039517E-6</c:v>
                </c:pt>
                <c:pt idx="377">
                  <c:v>2.7062032327065944E-6</c:v>
                </c:pt>
                <c:pt idx="378">
                  <c:v>2.7045222622049114E-6</c:v>
                </c:pt>
                <c:pt idx="379">
                  <c:v>2.7354249354585858E-6</c:v>
                </c:pt>
                <c:pt idx="380">
                  <c:v>2.6468079618278961E-6</c:v>
                </c:pt>
                <c:pt idx="381">
                  <c:v>2.5623941179771931E-6</c:v>
                </c:pt>
                <c:pt idx="382">
                  <c:v>2.3068959989613197E-6</c:v>
                </c:pt>
                <c:pt idx="383">
                  <c:v>1.7997669706504293E-6</c:v>
                </c:pt>
                <c:pt idx="384">
                  <c:v>1.3523280111542996E-6</c:v>
                </c:pt>
                <c:pt idx="385">
                  <c:v>8.8753787776639503E-7</c:v>
                </c:pt>
                <c:pt idx="386">
                  <c:v>3.41085642244221E-7</c:v>
                </c:pt>
                <c:pt idx="387">
                  <c:v>-3.0681611998695929E-7</c:v>
                </c:pt>
                <c:pt idx="388">
                  <c:v>-8.865892466482922E-7</c:v>
                </c:pt>
                <c:pt idx="389">
                  <c:v>-1.5985385371898933E-6</c:v>
                </c:pt>
                <c:pt idx="390">
                  <c:v>-2.4977055324889447E-6</c:v>
                </c:pt>
                <c:pt idx="391">
                  <c:v>-3.2612346689553373E-6</c:v>
                </c:pt>
                <c:pt idx="392">
                  <c:v>-4.0624470931940534E-6</c:v>
                </c:pt>
                <c:pt idx="393">
                  <c:v>-4.7885094901682981E-6</c:v>
                </c:pt>
                <c:pt idx="394">
                  <c:v>-5.4027224522792613E-6</c:v>
                </c:pt>
                <c:pt idx="395">
                  <c:v>-6.0295949998005749E-6</c:v>
                </c:pt>
                <c:pt idx="396">
                  <c:v>-6.5774684622601012E-6</c:v>
                </c:pt>
                <c:pt idx="397">
                  <c:v>-7.2167098077420902E-6</c:v>
                </c:pt>
                <c:pt idx="398">
                  <c:v>-7.8016226465653718E-6</c:v>
                </c:pt>
                <c:pt idx="399">
                  <c:v>-8.412149149352767E-6</c:v>
                </c:pt>
                <c:pt idx="400">
                  <c:v>-9.0766783536287005E-6</c:v>
                </c:pt>
                <c:pt idx="401">
                  <c:v>-9.9532596227963968E-6</c:v>
                </c:pt>
                <c:pt idx="402">
                  <c:v>-1.0705432835263901E-5</c:v>
                </c:pt>
                <c:pt idx="403">
                  <c:v>-1.1376521875883228E-5</c:v>
                </c:pt>
                <c:pt idx="404">
                  <c:v>-1.1907973912522914E-5</c:v>
                </c:pt>
                <c:pt idx="405">
                  <c:v>-1.2471304110067867E-5</c:v>
                </c:pt>
                <c:pt idx="406">
                  <c:v>-1.306774007731569E-5</c:v>
                </c:pt>
                <c:pt idx="407">
                  <c:v>-1.3731847919644553E-5</c:v>
                </c:pt>
                <c:pt idx="408">
                  <c:v>-1.4349918070946828E-5</c:v>
                </c:pt>
                <c:pt idx="409">
                  <c:v>-1.5045365780763306E-5</c:v>
                </c:pt>
                <c:pt idx="410">
                  <c:v>-1.5749288484480026E-5</c:v>
                </c:pt>
                <c:pt idx="411">
                  <c:v>-1.6324497084083817E-5</c:v>
                </c:pt>
                <c:pt idx="412">
                  <c:v>-1.6940691591200985E-5</c:v>
                </c:pt>
                <c:pt idx="413">
                  <c:v>-1.7663437392212086E-5</c:v>
                </c:pt>
                <c:pt idx="414">
                  <c:v>-1.8416009562628732E-5</c:v>
                </c:pt>
                <c:pt idx="415">
                  <c:v>-1.9185239632560878E-5</c:v>
                </c:pt>
                <c:pt idx="416">
                  <c:v>-2.0053799278567722E-5</c:v>
                </c:pt>
                <c:pt idx="417">
                  <c:v>-2.086064771152172E-5</c:v>
                </c:pt>
                <c:pt idx="418">
                  <c:v>-2.1639217597128196E-5</c:v>
                </c:pt>
                <c:pt idx="419">
                  <c:v>-2.2400507433554054E-5</c:v>
                </c:pt>
                <c:pt idx="420">
                  <c:v>-2.31354414265382E-5</c:v>
                </c:pt>
                <c:pt idx="421">
                  <c:v>-2.3939708413408395E-5</c:v>
                </c:pt>
                <c:pt idx="422">
                  <c:v>-2.4663841225530496E-5</c:v>
                </c:pt>
                <c:pt idx="423">
                  <c:v>-2.5526518022176911E-5</c:v>
                </c:pt>
                <c:pt idx="424">
                  <c:v>-2.6345208710587542E-5</c:v>
                </c:pt>
                <c:pt idx="425">
                  <c:v>-2.6962300481814076E-5</c:v>
                </c:pt>
                <c:pt idx="426">
                  <c:v>-2.74669112866055E-5</c:v>
                </c:pt>
                <c:pt idx="427">
                  <c:v>-2.7981410789671216E-5</c:v>
                </c:pt>
                <c:pt idx="428">
                  <c:v>-2.8522446610688978E-5</c:v>
                </c:pt>
                <c:pt idx="429">
                  <c:v>-2.8935631080032748E-5</c:v>
                </c:pt>
                <c:pt idx="430">
                  <c:v>-2.9227581852562384E-5</c:v>
                </c:pt>
                <c:pt idx="431">
                  <c:v>-2.9430014861166545E-5</c:v>
                </c:pt>
                <c:pt idx="432">
                  <c:v>-2.9601912906556532E-5</c:v>
                </c:pt>
                <c:pt idx="433">
                  <c:v>-2.9740260189074601E-5</c:v>
                </c:pt>
                <c:pt idx="434">
                  <c:v>-2.9843114620060722E-5</c:v>
                </c:pt>
                <c:pt idx="435">
                  <c:v>-2.9854519791275291E-5</c:v>
                </c:pt>
                <c:pt idx="436">
                  <c:v>-2.9828993247075705E-5</c:v>
                </c:pt>
                <c:pt idx="437">
                  <c:v>-2.9816833693794773E-5</c:v>
                </c:pt>
                <c:pt idx="438">
                  <c:v>-2.9844732366914734E-5</c:v>
                </c:pt>
                <c:pt idx="439">
                  <c:v>-2.9806812261005261E-5</c:v>
                </c:pt>
                <c:pt idx="440">
                  <c:v>-2.9709192514718735E-5</c:v>
                </c:pt>
                <c:pt idx="441">
                  <c:v>-2.9737497633270694E-5</c:v>
                </c:pt>
                <c:pt idx="442">
                  <c:v>-2.9770234547647073E-5</c:v>
                </c:pt>
                <c:pt idx="443">
                  <c:v>-2.9779950190557056E-5</c:v>
                </c:pt>
                <c:pt idx="444">
                  <c:v>-2.9735888599800864E-5</c:v>
                </c:pt>
                <c:pt idx="445">
                  <c:v>-2.9761124107019477E-5</c:v>
                </c:pt>
                <c:pt idx="446">
                  <c:v>-2.9680217048273262E-5</c:v>
                </c:pt>
                <c:pt idx="447">
                  <c:v>-2.9590212061133755E-5</c:v>
                </c:pt>
                <c:pt idx="448">
                  <c:v>-2.9533871440262822E-5</c:v>
                </c:pt>
                <c:pt idx="449">
                  <c:v>-2.9454398274826252E-5</c:v>
                </c:pt>
                <c:pt idx="450">
                  <c:v>-2.9428171205607596E-5</c:v>
                </c:pt>
                <c:pt idx="451">
                  <c:v>-2.9321977023053294E-5</c:v>
                </c:pt>
                <c:pt idx="452">
                  <c:v>-2.9165862045801329E-5</c:v>
                </c:pt>
                <c:pt idx="453">
                  <c:v>-2.9140466865327196E-5</c:v>
                </c:pt>
                <c:pt idx="454">
                  <c:v>-2.9061796307751873E-5</c:v>
                </c:pt>
                <c:pt idx="455">
                  <c:v>-2.8949941585991804E-5</c:v>
                </c:pt>
                <c:pt idx="456">
                  <c:v>-2.8845875339829699E-5</c:v>
                </c:pt>
                <c:pt idx="457">
                  <c:v>-2.8793216745356953E-5</c:v>
                </c:pt>
                <c:pt idx="458">
                  <c:v>-2.8692339895055978E-5</c:v>
                </c:pt>
                <c:pt idx="459">
                  <c:v>-2.8467166517956444E-5</c:v>
                </c:pt>
                <c:pt idx="460">
                  <c:v>-2.8130973263543885E-5</c:v>
                </c:pt>
                <c:pt idx="461">
                  <c:v>-2.759815609646582E-5</c:v>
                </c:pt>
                <c:pt idx="462">
                  <c:v>-2.6991781270070854E-5</c:v>
                </c:pt>
                <c:pt idx="463">
                  <c:v>-2.632538835292686E-5</c:v>
                </c:pt>
                <c:pt idx="464">
                  <c:v>-2.5472616471544293E-5</c:v>
                </c:pt>
                <c:pt idx="465">
                  <c:v>-2.4497163336692322E-5</c:v>
                </c:pt>
                <c:pt idx="466">
                  <c:v>-2.3405304984084642E-5</c:v>
                </c:pt>
                <c:pt idx="467">
                  <c:v>-2.2258821702097684E-5</c:v>
                </c:pt>
                <c:pt idx="468">
                  <c:v>-2.1211149359685356E-5</c:v>
                </c:pt>
                <c:pt idx="469">
                  <c:v>-2.0131824164583423E-5</c:v>
                </c:pt>
                <c:pt idx="470">
                  <c:v>-1.9029504429306753E-5</c:v>
                </c:pt>
                <c:pt idx="471">
                  <c:v>-1.8010558008804689E-5</c:v>
                </c:pt>
                <c:pt idx="472">
                  <c:v>-1.7220137870815541E-5</c:v>
                </c:pt>
                <c:pt idx="473">
                  <c:v>-1.6422109949397988E-5</c:v>
                </c:pt>
                <c:pt idx="474">
                  <c:v>-1.5676283394893548E-5</c:v>
                </c:pt>
                <c:pt idx="475">
                  <c:v>-1.492454215969944E-5</c:v>
                </c:pt>
                <c:pt idx="476">
                  <c:v>-1.4120103929927443E-5</c:v>
                </c:pt>
                <c:pt idx="477">
                  <c:v>-1.325020335927931E-5</c:v>
                </c:pt>
                <c:pt idx="478">
                  <c:v>-1.2401887352655322E-5</c:v>
                </c:pt>
                <c:pt idx="479">
                  <c:v>-1.1556779917095555E-5</c:v>
                </c:pt>
                <c:pt idx="480">
                  <c:v>-1.0713273778406932E-5</c:v>
                </c:pt>
                <c:pt idx="481">
                  <c:v>-9.7378630668984445E-6</c:v>
                </c:pt>
                <c:pt idx="482">
                  <c:v>-8.9046578091670631E-6</c:v>
                </c:pt>
                <c:pt idx="483">
                  <c:v>-8.1634933400617782E-6</c:v>
                </c:pt>
                <c:pt idx="484">
                  <c:v>-7.4146889611353961E-6</c:v>
                </c:pt>
                <c:pt idx="485">
                  <c:v>-6.6113830246641858E-6</c:v>
                </c:pt>
                <c:pt idx="486">
                  <c:v>-5.7092966592323449E-6</c:v>
                </c:pt>
                <c:pt idx="487">
                  <c:v>-4.7982119432288944E-6</c:v>
                </c:pt>
                <c:pt idx="488">
                  <c:v>-3.7155535188865968E-6</c:v>
                </c:pt>
                <c:pt idx="489">
                  <c:v>-2.4688570054061387E-6</c:v>
                </c:pt>
                <c:pt idx="490">
                  <c:v>-1.4569619390635002E-6</c:v>
                </c:pt>
                <c:pt idx="491">
                  <c:v>-5.2846130366157595E-7</c:v>
                </c:pt>
                <c:pt idx="492">
                  <c:v>3.7293049423830354E-7</c:v>
                </c:pt>
                <c:pt idx="493">
                  <c:v>1.3452869566804582E-6</c:v>
                </c:pt>
                <c:pt idx="494">
                  <c:v>2.3501134275016877E-6</c:v>
                </c:pt>
                <c:pt idx="495">
                  <c:v>3.4198779438063612E-6</c:v>
                </c:pt>
                <c:pt idx="496">
                  <c:v>4.4473511845964653E-6</c:v>
                </c:pt>
                <c:pt idx="497">
                  <c:v>5.4295676708508017E-6</c:v>
                </c:pt>
                <c:pt idx="498">
                  <c:v>6.5477293808039946E-6</c:v>
                </c:pt>
                <c:pt idx="499">
                  <c:v>7.7212262310135532E-6</c:v>
                </c:pt>
                <c:pt idx="500">
                  <c:v>8.8316382559419648E-6</c:v>
                </c:pt>
                <c:pt idx="501">
                  <c:v>9.8149013717171996E-6</c:v>
                </c:pt>
                <c:pt idx="502">
                  <c:v>1.0689935867077768E-5</c:v>
                </c:pt>
                <c:pt idx="503">
                  <c:v>1.1554113799557009E-5</c:v>
                </c:pt>
                <c:pt idx="504">
                  <c:v>1.2422660798252702E-5</c:v>
                </c:pt>
                <c:pt idx="505">
                  <c:v>1.3255036457076284E-5</c:v>
                </c:pt>
                <c:pt idx="506">
                  <c:v>1.4023796343085385E-5</c:v>
                </c:pt>
                <c:pt idx="507">
                  <c:v>1.4908151788246143E-5</c:v>
                </c:pt>
                <c:pt idx="508">
                  <c:v>1.5877317445367814E-5</c:v>
                </c:pt>
                <c:pt idx="509">
                  <c:v>1.7066455674326006E-5</c:v>
                </c:pt>
                <c:pt idx="510">
                  <c:v>1.8256636937392066E-5</c:v>
                </c:pt>
                <c:pt idx="511">
                  <c:v>1.9443578957662258E-5</c:v>
                </c:pt>
                <c:pt idx="512">
                  <c:v>2.0584606075129894E-5</c:v>
                </c:pt>
                <c:pt idx="513">
                  <c:v>2.1786623703544741E-5</c:v>
                </c:pt>
                <c:pt idx="514">
                  <c:v>2.3045348043468361E-5</c:v>
                </c:pt>
                <c:pt idx="515">
                  <c:v>2.4373787105383751E-5</c:v>
                </c:pt>
                <c:pt idx="516">
                  <c:v>2.552221114373969E-5</c:v>
                </c:pt>
                <c:pt idx="517">
                  <c:v>2.6721998758804343E-5</c:v>
                </c:pt>
                <c:pt idx="518">
                  <c:v>2.806609864342783E-5</c:v>
                </c:pt>
                <c:pt idx="519">
                  <c:v>2.9483939231648472E-5</c:v>
                </c:pt>
                <c:pt idx="520">
                  <c:v>3.0896576741531144E-5</c:v>
                </c:pt>
                <c:pt idx="521">
                  <c:v>3.2264582728264678E-5</c:v>
                </c:pt>
                <c:pt idx="522">
                  <c:v>3.3549108572516334E-5</c:v>
                </c:pt>
                <c:pt idx="523">
                  <c:v>3.4768555800352915E-5</c:v>
                </c:pt>
                <c:pt idx="524">
                  <c:v>3.590761843090106E-5</c:v>
                </c:pt>
                <c:pt idx="525">
                  <c:v>3.7102081703499663E-5</c:v>
                </c:pt>
                <c:pt idx="526">
                  <c:v>3.8234157393445337E-5</c:v>
                </c:pt>
                <c:pt idx="527">
                  <c:v>3.921915741328906E-5</c:v>
                </c:pt>
                <c:pt idx="528">
                  <c:v>4.0163724184649058E-5</c:v>
                </c:pt>
                <c:pt idx="529">
                  <c:v>4.1070675849541084E-5</c:v>
                </c:pt>
                <c:pt idx="530">
                  <c:v>4.1949272478736949E-5</c:v>
                </c:pt>
                <c:pt idx="531">
                  <c:v>4.2869639491026172E-5</c:v>
                </c:pt>
                <c:pt idx="532">
                  <c:v>4.3871011523405508E-5</c:v>
                </c:pt>
                <c:pt idx="533">
                  <c:v>4.4758529854228846E-5</c:v>
                </c:pt>
                <c:pt idx="534">
                  <c:v>4.5620815544177018E-5</c:v>
                </c:pt>
                <c:pt idx="535">
                  <c:v>4.6415308495974597E-5</c:v>
                </c:pt>
                <c:pt idx="536">
                  <c:v>4.7219574347665168E-5</c:v>
                </c:pt>
                <c:pt idx="537">
                  <c:v>4.8059540914682439E-5</c:v>
                </c:pt>
                <c:pt idx="538">
                  <c:v>4.8997753661550979E-5</c:v>
                </c:pt>
                <c:pt idx="539">
                  <c:v>4.9817565127217335E-5</c:v>
                </c:pt>
                <c:pt idx="540">
                  <c:v>5.0569392399292187E-5</c:v>
                </c:pt>
                <c:pt idx="541">
                  <c:v>5.126785655328904E-5</c:v>
                </c:pt>
                <c:pt idx="542">
                  <c:v>5.2102123542540832E-5</c:v>
                </c:pt>
                <c:pt idx="543">
                  <c:v>5.3023474401626622E-5</c:v>
                </c:pt>
                <c:pt idx="544">
                  <c:v>5.4051566487347755E-5</c:v>
                </c:pt>
                <c:pt idx="545">
                  <c:v>5.5013742022898444E-5</c:v>
                </c:pt>
                <c:pt idx="546">
                  <c:v>5.6039942468159853E-5</c:v>
                </c:pt>
                <c:pt idx="547">
                  <c:v>5.7154002151866591E-5</c:v>
                </c:pt>
                <c:pt idx="548">
                  <c:v>5.8214603682792999E-5</c:v>
                </c:pt>
                <c:pt idx="549">
                  <c:v>5.9326836345396754E-5</c:v>
                </c:pt>
                <c:pt idx="550">
                  <c:v>6.0457682723380306E-5</c:v>
                </c:pt>
                <c:pt idx="551">
                  <c:v>6.1620825157761641E-5</c:v>
                </c:pt>
                <c:pt idx="552">
                  <c:v>6.2802459036111896E-5</c:v>
                </c:pt>
                <c:pt idx="553">
                  <c:v>6.3973502918640048E-5</c:v>
                </c:pt>
                <c:pt idx="554">
                  <c:v>6.5106738108586075E-5</c:v>
                </c:pt>
                <c:pt idx="555">
                  <c:v>6.6427850647556713E-5</c:v>
                </c:pt>
                <c:pt idx="556">
                  <c:v>6.7707384309289437E-5</c:v>
                </c:pt>
                <c:pt idx="557">
                  <c:v>6.8882129387941478E-5</c:v>
                </c:pt>
                <c:pt idx="558">
                  <c:v>7.0135587755400589E-5</c:v>
                </c:pt>
                <c:pt idx="559">
                  <c:v>7.1500959437332048E-5</c:v>
                </c:pt>
                <c:pt idx="560">
                  <c:v>7.3005558598482692E-5</c:v>
                </c:pt>
                <c:pt idx="561">
                  <c:v>7.4581995523336289E-5</c:v>
                </c:pt>
                <c:pt idx="562">
                  <c:v>7.6070744755471834E-5</c:v>
                </c:pt>
                <c:pt idx="563">
                  <c:v>7.7533076465808801E-5</c:v>
                </c:pt>
                <c:pt idx="564">
                  <c:v>7.892601207831057E-5</c:v>
                </c:pt>
                <c:pt idx="565">
                  <c:v>8.0255427998244915E-5</c:v>
                </c:pt>
                <c:pt idx="566">
                  <c:v>8.1526791821147013E-5</c:v>
                </c:pt>
                <c:pt idx="567">
                  <c:v>8.2807863778656954E-5</c:v>
                </c:pt>
                <c:pt idx="568">
                  <c:v>8.4121410653647741E-5</c:v>
                </c:pt>
                <c:pt idx="569">
                  <c:v>8.5418093275797108E-5</c:v>
                </c:pt>
                <c:pt idx="570">
                  <c:v>8.6552306161453117E-5</c:v>
                </c:pt>
                <c:pt idx="571">
                  <c:v>8.7470048284382651E-5</c:v>
                </c:pt>
                <c:pt idx="572">
                  <c:v>8.8172202937949508E-5</c:v>
                </c:pt>
                <c:pt idx="573">
                  <c:v>8.8829126894808368E-5</c:v>
                </c:pt>
                <c:pt idx="574">
                  <c:v>8.9517730049114806E-5</c:v>
                </c:pt>
                <c:pt idx="575">
                  <c:v>9.0060809587855402E-5</c:v>
                </c:pt>
                <c:pt idx="576">
                  <c:v>9.0671202164427193E-5</c:v>
                </c:pt>
                <c:pt idx="577">
                  <c:v>9.1507169065573393E-5</c:v>
                </c:pt>
                <c:pt idx="578">
                  <c:v>9.2268730692143461E-5</c:v>
                </c:pt>
                <c:pt idx="579">
                  <c:v>9.2984853028596492E-5</c:v>
                </c:pt>
                <c:pt idx="580">
                  <c:v>9.375873010579374E-5</c:v>
                </c:pt>
                <c:pt idx="581">
                  <c:v>9.4438658390983733E-5</c:v>
                </c:pt>
                <c:pt idx="582">
                  <c:v>9.501484788910098E-5</c:v>
                </c:pt>
                <c:pt idx="583">
                  <c:v>9.5723116223543625E-5</c:v>
                </c:pt>
                <c:pt idx="584">
                  <c:v>9.6477157217552539E-5</c:v>
                </c:pt>
                <c:pt idx="585">
                  <c:v>9.7095993013013998E-5</c:v>
                </c:pt>
                <c:pt idx="586">
                  <c:v>9.7730974771713733E-5</c:v>
                </c:pt>
                <c:pt idx="587">
                  <c:v>9.8381602654609192E-5</c:v>
                </c:pt>
                <c:pt idx="588">
                  <c:v>9.9174171199185521E-5</c:v>
                </c:pt>
                <c:pt idx="589">
                  <c:v>1.0008620412419681E-4</c:v>
                </c:pt>
                <c:pt idx="590">
                  <c:v>1.0106520434077695E-4</c:v>
                </c:pt>
                <c:pt idx="591">
                  <c:v>1.0213891507302938E-4</c:v>
                </c:pt>
                <c:pt idx="592">
                  <c:v>1.0319534422631015E-4</c:v>
                </c:pt>
                <c:pt idx="593">
                  <c:v>1.0432173329750181E-4</c:v>
                </c:pt>
                <c:pt idx="594">
                  <c:v>1.0550478925580239E-4</c:v>
                </c:pt>
                <c:pt idx="595">
                  <c:v>1.0665016420850163E-4</c:v>
                </c:pt>
                <c:pt idx="596">
                  <c:v>1.0764837505684507E-4</c:v>
                </c:pt>
                <c:pt idx="597">
                  <c:v>1.0853827701492579E-4</c:v>
                </c:pt>
                <c:pt idx="598">
                  <c:v>1.094797487500767E-4</c:v>
                </c:pt>
                <c:pt idx="599">
                  <c:v>1.1053633155123574E-4</c:v>
                </c:pt>
                <c:pt idx="600">
                  <c:v>1.112790479381549E-4</c:v>
                </c:pt>
                <c:pt idx="601">
                  <c:v>1.1200183224934109E-4</c:v>
                </c:pt>
                <c:pt idx="602">
                  <c:v>1.1273266294172489E-4</c:v>
                </c:pt>
                <c:pt idx="603">
                  <c:v>1.1359063964521028E-4</c:v>
                </c:pt>
                <c:pt idx="604">
                  <c:v>1.143382766822347E-4</c:v>
                </c:pt>
                <c:pt idx="605">
                  <c:v>1.1506250121879127E-4</c:v>
                </c:pt>
                <c:pt idx="606">
                  <c:v>1.1581418577616236E-4</c:v>
                </c:pt>
                <c:pt idx="607">
                  <c:v>1.1655737187325679E-4</c:v>
                </c:pt>
                <c:pt idx="608">
                  <c:v>1.172398219107286E-4</c:v>
                </c:pt>
                <c:pt idx="609">
                  <c:v>1.178675257576681E-4</c:v>
                </c:pt>
                <c:pt idx="610">
                  <c:v>1.1848842230214717E-4</c:v>
                </c:pt>
                <c:pt idx="611">
                  <c:v>1.1905681253716969E-4</c:v>
                </c:pt>
                <c:pt idx="612">
                  <c:v>1.1966132005211596E-4</c:v>
                </c:pt>
                <c:pt idx="613">
                  <c:v>1.2028343758229039E-4</c:v>
                </c:pt>
                <c:pt idx="614">
                  <c:v>1.2080081311064295E-4</c:v>
                </c:pt>
                <c:pt idx="615">
                  <c:v>1.2131676675408622E-4</c:v>
                </c:pt>
                <c:pt idx="616">
                  <c:v>1.219223314572861E-4</c:v>
                </c:pt>
                <c:pt idx="617">
                  <c:v>1.2239503169745973E-4</c:v>
                </c:pt>
                <c:pt idx="618">
                  <c:v>1.229432501914712E-4</c:v>
                </c:pt>
                <c:pt idx="619">
                  <c:v>1.2350653250312385E-4</c:v>
                </c:pt>
                <c:pt idx="620">
                  <c:v>1.2400984519975438E-4</c:v>
                </c:pt>
                <c:pt idx="621">
                  <c:v>1.2442143384776543E-4</c:v>
                </c:pt>
                <c:pt idx="622">
                  <c:v>1.2472937042493949E-4</c:v>
                </c:pt>
                <c:pt idx="623">
                  <c:v>1.2496550099630899E-4</c:v>
                </c:pt>
                <c:pt idx="624">
                  <c:v>1.2524649182707546E-4</c:v>
                </c:pt>
                <c:pt idx="625">
                  <c:v>1.2545061759611752E-4</c:v>
                </c:pt>
                <c:pt idx="626">
                  <c:v>1.2578088120069296E-4</c:v>
                </c:pt>
                <c:pt idx="627">
                  <c:v>1.2611647029541883E-4</c:v>
                </c:pt>
                <c:pt idx="628">
                  <c:v>1.2658003188688489E-4</c:v>
                </c:pt>
                <c:pt idx="629">
                  <c:v>1.2699483365548585E-4</c:v>
                </c:pt>
                <c:pt idx="630">
                  <c:v>1.2737602994031261E-4</c:v>
                </c:pt>
                <c:pt idx="631">
                  <c:v>1.2775832206191051E-4</c:v>
                </c:pt>
                <c:pt idx="632">
                  <c:v>1.2813929533850559E-4</c:v>
                </c:pt>
                <c:pt idx="633">
                  <c:v>1.2852397763962829E-4</c:v>
                </c:pt>
                <c:pt idx="634">
                  <c:v>1.286977089799959E-4</c:v>
                </c:pt>
                <c:pt idx="635">
                  <c:v>1.2886327939625689E-4</c:v>
                </c:pt>
                <c:pt idx="636">
                  <c:v>1.291020427295498E-4</c:v>
                </c:pt>
                <c:pt idx="637">
                  <c:v>1.2953317602487722E-4</c:v>
                </c:pt>
                <c:pt idx="638">
                  <c:v>1.2991976432742865E-4</c:v>
                </c:pt>
                <c:pt idx="639">
                  <c:v>1.3029888849568246E-4</c:v>
                </c:pt>
                <c:pt idx="640">
                  <c:v>1.3063998826379469E-4</c:v>
                </c:pt>
                <c:pt idx="641">
                  <c:v>1.3092784091300446E-4</c:v>
                </c:pt>
                <c:pt idx="642">
                  <c:v>1.3085488940672678E-4</c:v>
                </c:pt>
                <c:pt idx="643">
                  <c:v>1.3073437424601826E-4</c:v>
                </c:pt>
                <c:pt idx="644">
                  <c:v>1.3074126583695507E-4</c:v>
                </c:pt>
                <c:pt idx="645">
                  <c:v>1.3076553303338796E-4</c:v>
                </c:pt>
                <c:pt idx="646">
                  <c:v>1.3081368198272769E-4</c:v>
                </c:pt>
                <c:pt idx="647">
                  <c:v>1.3079145518176544E-4</c:v>
                </c:pt>
                <c:pt idx="648">
                  <c:v>1.3071849229453862E-4</c:v>
                </c:pt>
                <c:pt idx="649">
                  <c:v>1.3058451363526149E-4</c:v>
                </c:pt>
                <c:pt idx="650">
                  <c:v>1.3043477536512672E-4</c:v>
                </c:pt>
                <c:pt idx="651">
                  <c:v>1.302804648049688E-4</c:v>
                </c:pt>
                <c:pt idx="652">
                  <c:v>1.3002612303017035E-4</c:v>
                </c:pt>
                <c:pt idx="653">
                  <c:v>1.2975265642303432E-4</c:v>
                </c:pt>
                <c:pt idx="654">
                  <c:v>1.2945190998542126E-4</c:v>
                </c:pt>
                <c:pt idx="655">
                  <c:v>1.2895877757642272E-4</c:v>
                </c:pt>
                <c:pt idx="656">
                  <c:v>1.2834672257788261E-4</c:v>
                </c:pt>
                <c:pt idx="657">
                  <c:v>1.2787033796197826E-4</c:v>
                </c:pt>
                <c:pt idx="658">
                  <c:v>1.2732973796008001E-4</c:v>
                </c:pt>
                <c:pt idx="659">
                  <c:v>1.2672326200933656E-4</c:v>
                </c:pt>
                <c:pt idx="660">
                  <c:v>1.2628391269946335E-4</c:v>
                </c:pt>
                <c:pt idx="661">
                  <c:v>1.2573164549291305E-4</c:v>
                </c:pt>
                <c:pt idx="662">
                  <c:v>1.2509961632391643E-4</c:v>
                </c:pt>
                <c:pt idx="663">
                  <c:v>1.2462408214096443E-4</c:v>
                </c:pt>
                <c:pt idx="664">
                  <c:v>1.240936021197946E-4</c:v>
                </c:pt>
                <c:pt idx="665">
                  <c:v>1.2353662366281631E-4</c:v>
                </c:pt>
                <c:pt idx="666">
                  <c:v>1.2295644681316591E-4</c:v>
                </c:pt>
                <c:pt idx="667">
                  <c:v>1.223950240787329E-4</c:v>
                </c:pt>
                <c:pt idx="668">
                  <c:v>1.2174166487064278E-4</c:v>
                </c:pt>
                <c:pt idx="669">
                  <c:v>1.2099144122650063E-4</c:v>
                </c:pt>
                <c:pt idx="670">
                  <c:v>1.2035961327225633E-4</c:v>
                </c:pt>
                <c:pt idx="671">
                  <c:v>1.1983005508940485E-4</c:v>
                </c:pt>
                <c:pt idx="672">
                  <c:v>1.1942189532181298E-4</c:v>
                </c:pt>
                <c:pt idx="673">
                  <c:v>1.1907332114809762E-4</c:v>
                </c:pt>
                <c:pt idx="674">
                  <c:v>1.1869148136298743E-4</c:v>
                </c:pt>
                <c:pt idx="675">
                  <c:v>1.1834464837244194E-4</c:v>
                </c:pt>
                <c:pt idx="676">
                  <c:v>1.1793472142104799E-4</c:v>
                </c:pt>
                <c:pt idx="677">
                  <c:v>1.1739573130267657E-4</c:v>
                </c:pt>
                <c:pt idx="678">
                  <c:v>1.1691087260158432E-4</c:v>
                </c:pt>
                <c:pt idx="679">
                  <c:v>1.1658861566653939E-4</c:v>
                </c:pt>
                <c:pt idx="680">
                  <c:v>1.1624956867598273E-4</c:v>
                </c:pt>
                <c:pt idx="681">
                  <c:v>1.1590237390791177E-4</c:v>
                </c:pt>
                <c:pt idx="682">
                  <c:v>1.15553234491729E-4</c:v>
                </c:pt>
                <c:pt idx="683">
                  <c:v>1.1510238168431323E-4</c:v>
                </c:pt>
                <c:pt idx="684">
                  <c:v>1.1458720326595027E-4</c:v>
                </c:pt>
                <c:pt idx="685">
                  <c:v>1.1404899785362726E-4</c:v>
                </c:pt>
                <c:pt idx="686">
                  <c:v>1.1351791459012633E-4</c:v>
                </c:pt>
                <c:pt idx="687">
                  <c:v>1.1292115209585955E-4</c:v>
                </c:pt>
                <c:pt idx="688">
                  <c:v>1.1228305161146111E-4</c:v>
                </c:pt>
                <c:pt idx="689">
                  <c:v>1.1151060369202562E-4</c:v>
                </c:pt>
                <c:pt idx="690">
                  <c:v>1.1058846991596726E-4</c:v>
                </c:pt>
                <c:pt idx="691">
                  <c:v>1.0970773803871143E-4</c:v>
                </c:pt>
                <c:pt idx="692">
                  <c:v>1.0883984308981791E-4</c:v>
                </c:pt>
                <c:pt idx="693">
                  <c:v>1.0804924817735262E-4</c:v>
                </c:pt>
                <c:pt idx="694">
                  <c:v>1.0725973143303237E-4</c:v>
                </c:pt>
                <c:pt idx="695">
                  <c:v>1.0668204938082178E-4</c:v>
                </c:pt>
                <c:pt idx="696">
                  <c:v>1.0603115653304383E-4</c:v>
                </c:pt>
                <c:pt idx="697">
                  <c:v>1.0548391826706045E-4</c:v>
                </c:pt>
                <c:pt idx="698">
                  <c:v>1.0499166138187681E-4</c:v>
                </c:pt>
                <c:pt idx="699">
                  <c:v>1.0440834642818763E-4</c:v>
                </c:pt>
                <c:pt idx="700">
                  <c:v>1.0388625591555879E-4</c:v>
                </c:pt>
                <c:pt idx="701">
                  <c:v>1.0346204037156408E-4</c:v>
                </c:pt>
                <c:pt idx="702">
                  <c:v>1.0286025344247683E-4</c:v>
                </c:pt>
                <c:pt idx="703">
                  <c:v>1.0207575672624078E-4</c:v>
                </c:pt>
                <c:pt idx="704">
                  <c:v>1.0124999495166216E-4</c:v>
                </c:pt>
                <c:pt idx="705">
                  <c:v>1.0046501542979383E-4</c:v>
                </c:pt>
                <c:pt idx="706">
                  <c:v>9.9755834717158223E-5</c:v>
                </c:pt>
                <c:pt idx="707">
                  <c:v>9.894465613326589E-5</c:v>
                </c:pt>
                <c:pt idx="708">
                  <c:v>9.7979831361050956E-5</c:v>
                </c:pt>
                <c:pt idx="709">
                  <c:v>9.7014092302137589E-5</c:v>
                </c:pt>
                <c:pt idx="710">
                  <c:v>9.6202321373256225E-5</c:v>
                </c:pt>
                <c:pt idx="711">
                  <c:v>9.5514121227894579E-5</c:v>
                </c:pt>
                <c:pt idx="712">
                  <c:v>9.485707391318314E-5</c:v>
                </c:pt>
                <c:pt idx="713">
                  <c:v>9.4064488953728674E-5</c:v>
                </c:pt>
                <c:pt idx="714">
                  <c:v>9.3406273466495847E-5</c:v>
                </c:pt>
                <c:pt idx="715">
                  <c:v>9.2725545598924645E-5</c:v>
                </c:pt>
                <c:pt idx="716">
                  <c:v>9.2115942335503284E-5</c:v>
                </c:pt>
                <c:pt idx="717">
                  <c:v>9.1549842296713077E-5</c:v>
                </c:pt>
                <c:pt idx="718">
                  <c:v>9.0875502383772414E-5</c:v>
                </c:pt>
                <c:pt idx="719">
                  <c:v>9.0116171752144952E-5</c:v>
                </c:pt>
                <c:pt idx="720">
                  <c:v>8.9252911623038944E-5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04384"/>
        <c:axId val="407506304"/>
      </c:lineChart>
      <c:catAx>
        <c:axId val="407504384"/>
        <c:scaling>
          <c:orientation val="minMax"/>
        </c:scaling>
        <c:delete val="0"/>
        <c:axPos val="b"/>
        <c:majorTickMark val="out"/>
        <c:minorTickMark val="none"/>
        <c:tickLblPos val="nextTo"/>
        <c:crossAx val="407506304"/>
        <c:crosses val="autoZero"/>
        <c:auto val="1"/>
        <c:lblAlgn val="ctr"/>
        <c:lblOffset val="100"/>
        <c:noMultiLvlLbl val="0"/>
      </c:catAx>
      <c:valAx>
        <c:axId val="4075063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07504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Feuil2!$Q$11:$Q$731</c:f>
              <c:numCache>
                <c:formatCode>General</c:formatCode>
                <c:ptCount val="721"/>
                <c:pt idx="0">
                  <c:v>0</c:v>
                </c:pt>
                <c:pt idx="1">
                  <c:v>-2.4650909480339322E-7</c:v>
                </c:pt>
                <c:pt idx="2">
                  <c:v>9.1752903053077262E-9</c:v>
                </c:pt>
                <c:pt idx="3">
                  <c:v>2.7251405199102408E-7</c:v>
                </c:pt>
                <c:pt idx="4">
                  <c:v>3.0747200818748155E-7</c:v>
                </c:pt>
                <c:pt idx="5">
                  <c:v>-3.1270331790622663E-7</c:v>
                </c:pt>
                <c:pt idx="6">
                  <c:v>-3.9572621557404375E-7</c:v>
                </c:pt>
                <c:pt idx="7">
                  <c:v>-3.4546449168004756E-7</c:v>
                </c:pt>
                <c:pt idx="8">
                  <c:v>2.2173695690685946E-7</c:v>
                </c:pt>
                <c:pt idx="9">
                  <c:v>-3.5814156573721334E-7</c:v>
                </c:pt>
                <c:pt idx="10">
                  <c:v>-2.9341679019800893E-7</c:v>
                </c:pt>
                <c:pt idx="11">
                  <c:v>-4.89235179812475E-7</c:v>
                </c:pt>
                <c:pt idx="12">
                  <c:v>-4.4220240502657049E-7</c:v>
                </c:pt>
                <c:pt idx="13">
                  <c:v>-5.1588969429694487E-7</c:v>
                </c:pt>
                <c:pt idx="14">
                  <c:v>-1.3167180299422654E-6</c:v>
                </c:pt>
                <c:pt idx="15">
                  <c:v>-1.6676068262944099E-6</c:v>
                </c:pt>
                <c:pt idx="16">
                  <c:v>-1.6020820673423586E-6</c:v>
                </c:pt>
                <c:pt idx="17">
                  <c:v>-2.1556362408414742E-6</c:v>
                </c:pt>
                <c:pt idx="18">
                  <c:v>-2.6601822570304634E-6</c:v>
                </c:pt>
                <c:pt idx="19">
                  <c:v>-2.5594438404219488E-6</c:v>
                </c:pt>
                <c:pt idx="20">
                  <c:v>-3.7872256589688291E-6</c:v>
                </c:pt>
                <c:pt idx="21">
                  <c:v>-3.6438867551114029E-6</c:v>
                </c:pt>
                <c:pt idx="22">
                  <c:v>-4.1395117786890978E-6</c:v>
                </c:pt>
                <c:pt idx="23">
                  <c:v>-4.0922443603763625E-6</c:v>
                </c:pt>
                <c:pt idx="24">
                  <c:v>-4.2500605719197893E-6</c:v>
                </c:pt>
                <c:pt idx="25">
                  <c:v>-4.3953315506106705E-6</c:v>
                </c:pt>
                <c:pt idx="26">
                  <c:v>-4.8509828626253082E-6</c:v>
                </c:pt>
                <c:pt idx="27">
                  <c:v>-5.4718768831563125E-6</c:v>
                </c:pt>
                <c:pt idx="28">
                  <c:v>-5.7030313257433463E-6</c:v>
                </c:pt>
                <c:pt idx="29">
                  <c:v>-6.0319841501677018E-6</c:v>
                </c:pt>
                <c:pt idx="30">
                  <c:v>-6.2663162178067111E-6</c:v>
                </c:pt>
                <c:pt idx="31">
                  <c:v>-6.5058102984849597E-6</c:v>
                </c:pt>
                <c:pt idx="32">
                  <c:v>-6.9735080340249667E-6</c:v>
                </c:pt>
                <c:pt idx="33">
                  <c:v>-7.2482566532139359E-6</c:v>
                </c:pt>
                <c:pt idx="34">
                  <c:v>-7.1967250546700612E-6</c:v>
                </c:pt>
                <c:pt idx="35">
                  <c:v>-7.4861599285158675E-6</c:v>
                </c:pt>
                <c:pt idx="36">
                  <c:v>-6.4648104700637532E-6</c:v>
                </c:pt>
                <c:pt idx="37">
                  <c:v>-7.547396366547332E-6</c:v>
                </c:pt>
                <c:pt idx="38">
                  <c:v>-7.33932541807647E-6</c:v>
                </c:pt>
                <c:pt idx="39">
                  <c:v>-7.3575361804190109E-6</c:v>
                </c:pt>
                <c:pt idx="40">
                  <c:v>-7.0793509301392277E-6</c:v>
                </c:pt>
                <c:pt idx="41">
                  <c:v>-8.2819375937237538E-6</c:v>
                </c:pt>
                <c:pt idx="42">
                  <c:v>-9.2097732604656812E-6</c:v>
                </c:pt>
                <c:pt idx="43">
                  <c:v>-9.5612885825380189E-6</c:v>
                </c:pt>
                <c:pt idx="44">
                  <c:v>-1.0013388176410842E-5</c:v>
                </c:pt>
                <c:pt idx="45">
                  <c:v>-1.090263993008822E-5</c:v>
                </c:pt>
                <c:pt idx="46">
                  <c:v>-1.1541144891435984E-5</c:v>
                </c:pt>
                <c:pt idx="47">
                  <c:v>-1.2228986854267987E-5</c:v>
                </c:pt>
                <c:pt idx="48">
                  <c:v>-1.3790847001482476E-5</c:v>
                </c:pt>
                <c:pt idx="49">
                  <c:v>-1.4150401419277259E-5</c:v>
                </c:pt>
                <c:pt idx="50">
                  <c:v>-1.4972013057890088E-5</c:v>
                </c:pt>
                <c:pt idx="51">
                  <c:v>-1.6768124500243786E-5</c:v>
                </c:pt>
                <c:pt idx="52">
                  <c:v>-1.829993640944938E-5</c:v>
                </c:pt>
                <c:pt idx="53">
                  <c:v>-1.9497266994683571E-5</c:v>
                </c:pt>
                <c:pt idx="54">
                  <c:v>-2.1874365607965629E-5</c:v>
                </c:pt>
                <c:pt idx="55">
                  <c:v>-2.355905453732543E-5</c:v>
                </c:pt>
                <c:pt idx="56">
                  <c:v>-2.5081072041577279E-5</c:v>
                </c:pt>
                <c:pt idx="57">
                  <c:v>-2.7333814324292938E-5</c:v>
                </c:pt>
                <c:pt idx="58">
                  <c:v>-2.9770784352178836E-5</c:v>
                </c:pt>
                <c:pt idx="59">
                  <c:v>-3.1889949387631233E-5</c:v>
                </c:pt>
                <c:pt idx="60">
                  <c:v>-3.5219448695333888E-5</c:v>
                </c:pt>
                <c:pt idx="61">
                  <c:v>-3.7753426335607188E-5</c:v>
                </c:pt>
                <c:pt idx="62">
                  <c:v>-4.054990158597338E-5</c:v>
                </c:pt>
                <c:pt idx="63">
                  <c:v>-4.3525686623246962E-5</c:v>
                </c:pt>
                <c:pt idx="64">
                  <c:v>-4.583291467041839E-5</c:v>
                </c:pt>
                <c:pt idx="65">
                  <c:v>-4.8530604400687238E-5</c:v>
                </c:pt>
                <c:pt idx="66">
                  <c:v>-5.0244467010962524E-5</c:v>
                </c:pt>
                <c:pt idx="67">
                  <c:v>-5.2327774032190355E-5</c:v>
                </c:pt>
                <c:pt idx="68">
                  <c:v>-5.4220939626925535E-5</c:v>
                </c:pt>
                <c:pt idx="69">
                  <c:v>-5.6313910643757126E-5</c:v>
                </c:pt>
                <c:pt idx="70">
                  <c:v>-5.8345737499299055E-5</c:v>
                </c:pt>
                <c:pt idx="71">
                  <c:v>-5.9763470509843764E-5</c:v>
                </c:pt>
                <c:pt idx="72">
                  <c:v>-6.1834243036518188E-5</c:v>
                </c:pt>
                <c:pt idx="73">
                  <c:v>-6.3129434516140392E-5</c:v>
                </c:pt>
                <c:pt idx="74">
                  <c:v>-6.5079271093115842E-5</c:v>
                </c:pt>
                <c:pt idx="75">
                  <c:v>-6.587011898606665E-5</c:v>
                </c:pt>
                <c:pt idx="76">
                  <c:v>-6.733527607760692E-5</c:v>
                </c:pt>
                <c:pt idx="77">
                  <c:v>-6.8779889172310149E-5</c:v>
                </c:pt>
                <c:pt idx="78">
                  <c:v>-6.9457897039604255E-5</c:v>
                </c:pt>
                <c:pt idx="79">
                  <c:v>-7.0506384589497095E-5</c:v>
                </c:pt>
                <c:pt idx="80">
                  <c:v>-7.1112231357250977E-5</c:v>
                </c:pt>
                <c:pt idx="81">
                  <c:v>-7.1403278923742874E-5</c:v>
                </c:pt>
                <c:pt idx="82">
                  <c:v>-7.2236866122676879E-5</c:v>
                </c:pt>
                <c:pt idx="83">
                  <c:v>-7.3173958060612776E-5</c:v>
                </c:pt>
                <c:pt idx="84">
                  <c:v>-7.2940723062298041E-5</c:v>
                </c:pt>
                <c:pt idx="85">
                  <c:v>-7.2816854429280653E-5</c:v>
                </c:pt>
                <c:pt idx="86">
                  <c:v>-7.3094225790382161E-5</c:v>
                </c:pt>
                <c:pt idx="87">
                  <c:v>-7.2163461392937833E-5</c:v>
                </c:pt>
                <c:pt idx="88">
                  <c:v>-7.1064955388999707E-5</c:v>
                </c:pt>
                <c:pt idx="89">
                  <c:v>-6.9705958776977717E-5</c:v>
                </c:pt>
                <c:pt idx="90">
                  <c:v>-6.8415721136472207E-5</c:v>
                </c:pt>
                <c:pt idx="91">
                  <c:v>-6.5880772764037587E-5</c:v>
                </c:pt>
                <c:pt idx="92">
                  <c:v>-6.368100823950229E-5</c:v>
                </c:pt>
                <c:pt idx="93">
                  <c:v>-6.1660346837522084E-5</c:v>
                </c:pt>
                <c:pt idx="94">
                  <c:v>-5.9481140943562494E-5</c:v>
                </c:pt>
                <c:pt idx="95">
                  <c:v>-5.733773645677509E-5</c:v>
                </c:pt>
                <c:pt idx="96">
                  <c:v>-5.4573279003156117E-5</c:v>
                </c:pt>
                <c:pt idx="97">
                  <c:v>-5.1743171392448772E-5</c:v>
                </c:pt>
                <c:pt idx="98">
                  <c:v>-4.9265138092891014E-5</c:v>
                </c:pt>
                <c:pt idx="99">
                  <c:v>-4.7602613282182737E-5</c:v>
                </c:pt>
                <c:pt idx="100">
                  <c:v>-4.5413026531937462E-5</c:v>
                </c:pt>
                <c:pt idx="101">
                  <c:v>-4.3879651004719022E-5</c:v>
                </c:pt>
                <c:pt idx="102">
                  <c:v>-4.1224374448090018E-5</c:v>
                </c:pt>
                <c:pt idx="103">
                  <c:v>-3.7666320220064442E-5</c:v>
                </c:pt>
                <c:pt idx="104">
                  <c:v>-3.4460578620998383E-5</c:v>
                </c:pt>
                <c:pt idx="105">
                  <c:v>-2.9593292372953606E-5</c:v>
                </c:pt>
                <c:pt idx="106">
                  <c:v>-2.4513304519246937E-5</c:v>
                </c:pt>
                <c:pt idx="107">
                  <c:v>-1.8901124807624292E-5</c:v>
                </c:pt>
                <c:pt idx="108">
                  <c:v>-1.30550363174331E-5</c:v>
                </c:pt>
                <c:pt idx="109">
                  <c:v>-6.8370152125352135E-6</c:v>
                </c:pt>
                <c:pt idx="110">
                  <c:v>-4.2848673498241396E-7</c:v>
                </c:pt>
                <c:pt idx="111">
                  <c:v>5.4873946502276283E-6</c:v>
                </c:pt>
                <c:pt idx="112">
                  <c:v>1.364348914012492E-5</c:v>
                </c:pt>
                <c:pt idx="113">
                  <c:v>2.1455861612618143E-5</c:v>
                </c:pt>
                <c:pt idx="114">
                  <c:v>2.938245770223169E-5</c:v>
                </c:pt>
                <c:pt idx="115">
                  <c:v>3.5764095699608589E-5</c:v>
                </c:pt>
                <c:pt idx="116">
                  <c:v>4.3700419923298206E-5</c:v>
                </c:pt>
                <c:pt idx="117">
                  <c:v>5.1753005391397267E-5</c:v>
                </c:pt>
                <c:pt idx="118">
                  <c:v>5.8181135281554219E-5</c:v>
                </c:pt>
                <c:pt idx="119">
                  <c:v>6.5088588385386892E-5</c:v>
                </c:pt>
                <c:pt idx="120">
                  <c:v>7.209616590708734E-5</c:v>
                </c:pt>
                <c:pt idx="121">
                  <c:v>8.1229856974451842E-5</c:v>
                </c:pt>
                <c:pt idx="122">
                  <c:v>8.9674301081865693E-5</c:v>
                </c:pt>
                <c:pt idx="123">
                  <c:v>9.7800357831467899E-5</c:v>
                </c:pt>
                <c:pt idx="124">
                  <c:v>1.0513242804011114E-4</c:v>
                </c:pt>
                <c:pt idx="125">
                  <c:v>1.1247984691631352E-4</c:v>
                </c:pt>
                <c:pt idx="126">
                  <c:v>1.1959000738870351E-4</c:v>
                </c:pt>
                <c:pt idx="127">
                  <c:v>1.2502181331985884E-4</c:v>
                </c:pt>
                <c:pt idx="128">
                  <c:v>1.3097140358730996E-4</c:v>
                </c:pt>
                <c:pt idx="129">
                  <c:v>1.3646500926534078E-4</c:v>
                </c:pt>
                <c:pt idx="130">
                  <c:v>1.4188152489935657E-4</c:v>
                </c:pt>
                <c:pt idx="131">
                  <c:v>1.4793245916777664E-4</c:v>
                </c:pt>
                <c:pt idx="132">
                  <c:v>1.5289642986204832E-4</c:v>
                </c:pt>
                <c:pt idx="133">
                  <c:v>1.5787655302113013E-4</c:v>
                </c:pt>
                <c:pt idx="134">
                  <c:v>1.6356539009532156E-4</c:v>
                </c:pt>
                <c:pt idx="135">
                  <c:v>1.6842216661305809E-4</c:v>
                </c:pt>
                <c:pt idx="136">
                  <c:v>1.7402953912848407E-4</c:v>
                </c:pt>
                <c:pt idx="137">
                  <c:v>1.7824126005361318E-4</c:v>
                </c:pt>
                <c:pt idx="138">
                  <c:v>1.8176685532811376E-4</c:v>
                </c:pt>
                <c:pt idx="139">
                  <c:v>1.8477036310515782E-4</c:v>
                </c:pt>
                <c:pt idx="140">
                  <c:v>1.8593873923455906E-4</c:v>
                </c:pt>
                <c:pt idx="141">
                  <c:v>1.8676237414838592E-4</c:v>
                </c:pt>
                <c:pt idx="142">
                  <c:v>1.8789062090984743E-4</c:v>
                </c:pt>
                <c:pt idx="143">
                  <c:v>1.8955128200393023E-4</c:v>
                </c:pt>
                <c:pt idx="144">
                  <c:v>1.9184976986208468E-4</c:v>
                </c:pt>
                <c:pt idx="145">
                  <c:v>1.937676865018112E-4</c:v>
                </c:pt>
                <c:pt idx="146">
                  <c:v>1.9680724808213146E-4</c:v>
                </c:pt>
                <c:pt idx="147">
                  <c:v>1.9919764352482883E-4</c:v>
                </c:pt>
                <c:pt idx="148">
                  <c:v>2.0256154464060039E-4</c:v>
                </c:pt>
                <c:pt idx="149">
                  <c:v>2.0647161535414238E-4</c:v>
                </c:pt>
                <c:pt idx="150">
                  <c:v>2.1136431483936846E-4</c:v>
                </c:pt>
                <c:pt idx="151">
                  <c:v>2.1587967351133219E-4</c:v>
                </c:pt>
                <c:pt idx="152">
                  <c:v>2.2018868476181286E-4</c:v>
                </c:pt>
                <c:pt idx="153">
                  <c:v>2.2395920023632332E-4</c:v>
                </c:pt>
                <c:pt idx="154">
                  <c:v>2.2843614466716566E-4</c:v>
                </c:pt>
                <c:pt idx="155">
                  <c:v>2.3369307044429632E-4</c:v>
                </c:pt>
                <c:pt idx="156">
                  <c:v>2.3894490660769652E-4</c:v>
                </c:pt>
                <c:pt idx="157">
                  <c:v>2.4414490209867523E-4</c:v>
                </c:pt>
                <c:pt idx="158">
                  <c:v>2.4979835314253851E-4</c:v>
                </c:pt>
                <c:pt idx="159">
                  <c:v>2.5631820618710055E-4</c:v>
                </c:pt>
                <c:pt idx="160">
                  <c:v>2.6277975140098775E-4</c:v>
                </c:pt>
                <c:pt idx="161">
                  <c:v>2.6957995205834084E-4</c:v>
                </c:pt>
                <c:pt idx="162">
                  <c:v>2.7635862098362995E-4</c:v>
                </c:pt>
                <c:pt idx="163">
                  <c:v>2.8282300287052475E-4</c:v>
                </c:pt>
                <c:pt idx="164">
                  <c:v>2.8833319606547114E-4</c:v>
                </c:pt>
                <c:pt idx="165">
                  <c:v>2.9340155271662116E-4</c:v>
                </c:pt>
                <c:pt idx="166">
                  <c:v>3.0140409621970399E-4</c:v>
                </c:pt>
                <c:pt idx="167">
                  <c:v>3.1094375088347448E-4</c:v>
                </c:pt>
                <c:pt idx="168">
                  <c:v>3.2043610939114231E-4</c:v>
                </c:pt>
                <c:pt idx="169">
                  <c:v>3.3091487358027916E-4</c:v>
                </c:pt>
                <c:pt idx="170">
                  <c:v>3.4258376062490381E-4</c:v>
                </c:pt>
                <c:pt idx="171">
                  <c:v>3.5345482073156909E-4</c:v>
                </c:pt>
                <c:pt idx="172">
                  <c:v>3.6504760599531672E-4</c:v>
                </c:pt>
                <c:pt idx="173">
                  <c:v>3.7616433042542141E-4</c:v>
                </c:pt>
                <c:pt idx="174">
                  <c:v>3.8805710781397718E-4</c:v>
                </c:pt>
                <c:pt idx="175">
                  <c:v>4.0104672980323386E-4</c:v>
                </c:pt>
                <c:pt idx="176">
                  <c:v>4.1604784117121874E-4</c:v>
                </c:pt>
                <c:pt idx="177">
                  <c:v>4.3401758151162539E-4</c:v>
                </c:pt>
                <c:pt idx="178">
                  <c:v>4.51171004694495E-4</c:v>
                </c:pt>
                <c:pt idx="179">
                  <c:v>4.6838214607025641E-4</c:v>
                </c:pt>
                <c:pt idx="180">
                  <c:v>4.8596104713849453E-4</c:v>
                </c:pt>
                <c:pt idx="181">
                  <c:v>5.05491697063154E-4</c:v>
                </c:pt>
                <c:pt idx="182">
                  <c:v>5.2263219999060251E-4</c:v>
                </c:pt>
                <c:pt idx="183">
                  <c:v>5.4016704411075089E-4</c:v>
                </c:pt>
                <c:pt idx="184">
                  <c:v>5.5781448464897743E-4</c:v>
                </c:pt>
                <c:pt idx="185">
                  <c:v>5.7573039157554629E-4</c:v>
                </c:pt>
                <c:pt idx="186">
                  <c:v>5.9172527864359559E-4</c:v>
                </c:pt>
                <c:pt idx="187">
                  <c:v>6.0728016755151604E-4</c:v>
                </c:pt>
                <c:pt idx="188">
                  <c:v>6.2325211788971657E-4</c:v>
                </c:pt>
                <c:pt idx="189">
                  <c:v>6.3958375530659417E-4</c:v>
                </c:pt>
                <c:pt idx="190">
                  <c:v>6.5565969682623848E-4</c:v>
                </c:pt>
                <c:pt idx="191">
                  <c:v>6.7130045217311807E-4</c:v>
                </c:pt>
                <c:pt idx="192">
                  <c:v>6.8628315480090407E-4</c:v>
                </c:pt>
                <c:pt idx="193">
                  <c:v>7.0189511482310341E-4</c:v>
                </c:pt>
                <c:pt idx="194">
                  <c:v>7.1659483693353732E-4</c:v>
                </c:pt>
                <c:pt idx="195">
                  <c:v>7.3073906360787699E-4</c:v>
                </c:pt>
                <c:pt idx="196">
                  <c:v>7.4581973689014092E-4</c:v>
                </c:pt>
                <c:pt idx="197">
                  <c:v>7.6129603490970865E-4</c:v>
                </c:pt>
                <c:pt idx="198">
                  <c:v>7.786173006377739E-4</c:v>
                </c:pt>
                <c:pt idx="199">
                  <c:v>7.9656550761297851E-4</c:v>
                </c:pt>
                <c:pt idx="200">
                  <c:v>8.1721644444465724E-4</c:v>
                </c:pt>
                <c:pt idx="201">
                  <c:v>8.3742956933885448E-4</c:v>
                </c:pt>
                <c:pt idx="202">
                  <c:v>8.5761405366902022E-4</c:v>
                </c:pt>
                <c:pt idx="203">
                  <c:v>8.7765171427978128E-4</c:v>
                </c:pt>
                <c:pt idx="204">
                  <c:v>8.9988097686855006E-4</c:v>
                </c:pt>
                <c:pt idx="205">
                  <c:v>9.2162570779730224E-4</c:v>
                </c:pt>
                <c:pt idx="206">
                  <c:v>9.4048230056986704E-4</c:v>
                </c:pt>
                <c:pt idx="207">
                  <c:v>9.5939381957810266E-4</c:v>
                </c:pt>
                <c:pt idx="208">
                  <c:v>9.7840125065196126E-4</c:v>
                </c:pt>
                <c:pt idx="209">
                  <c:v>9.9762801662095502E-4</c:v>
                </c:pt>
                <c:pt idx="210">
                  <c:v>1.0167898368614869E-3</c:v>
                </c:pt>
                <c:pt idx="211">
                  <c:v>1.0353347468653462E-3</c:v>
                </c:pt>
                <c:pt idx="212">
                  <c:v>1.0534302090640102E-3</c:v>
                </c:pt>
                <c:pt idx="213">
                  <c:v>1.0720854494902232E-3</c:v>
                </c:pt>
                <c:pt idx="214">
                  <c:v>1.0901570994699128E-3</c:v>
                </c:pt>
                <c:pt idx="215">
                  <c:v>1.1094369264632586E-3</c:v>
                </c:pt>
                <c:pt idx="216">
                  <c:v>1.1273904237779631E-3</c:v>
                </c:pt>
                <c:pt idx="217">
                  <c:v>1.1479099303917106E-3</c:v>
                </c:pt>
                <c:pt idx="218">
                  <c:v>1.1664391254493367E-3</c:v>
                </c:pt>
                <c:pt idx="219">
                  <c:v>1.1853590412653769E-3</c:v>
                </c:pt>
                <c:pt idx="220">
                  <c:v>1.20296140264331E-3</c:v>
                </c:pt>
                <c:pt idx="221">
                  <c:v>1.2213864647897532E-3</c:v>
                </c:pt>
                <c:pt idx="222">
                  <c:v>1.2400388303298593E-3</c:v>
                </c:pt>
                <c:pt idx="223">
                  <c:v>1.2557211128731982E-3</c:v>
                </c:pt>
                <c:pt idx="224">
                  <c:v>1.2708006926972493E-3</c:v>
                </c:pt>
                <c:pt idx="225">
                  <c:v>1.2851166791062463E-3</c:v>
                </c:pt>
                <c:pt idx="226">
                  <c:v>1.2961877643667963E-3</c:v>
                </c:pt>
                <c:pt idx="227">
                  <c:v>1.3067725542030839E-3</c:v>
                </c:pt>
                <c:pt idx="228">
                  <c:v>1.3168169945197983E-3</c:v>
                </c:pt>
                <c:pt idx="229">
                  <c:v>1.3253812917836116E-3</c:v>
                </c:pt>
                <c:pt idx="230">
                  <c:v>1.3328113309216683E-3</c:v>
                </c:pt>
                <c:pt idx="231">
                  <c:v>1.3405596360389627E-3</c:v>
                </c:pt>
                <c:pt idx="232">
                  <c:v>1.3460619086897996E-3</c:v>
                </c:pt>
                <c:pt idx="233">
                  <c:v>1.3511996321161623E-3</c:v>
                </c:pt>
                <c:pt idx="234">
                  <c:v>1.3559565369563042E-3</c:v>
                </c:pt>
                <c:pt idx="235">
                  <c:v>1.3598661086916541E-3</c:v>
                </c:pt>
                <c:pt idx="236">
                  <c:v>1.3642841691599017E-3</c:v>
                </c:pt>
                <c:pt idx="237">
                  <c:v>1.3678052885601755E-3</c:v>
                </c:pt>
                <c:pt idx="238">
                  <c:v>1.3699332251752017E-3</c:v>
                </c:pt>
                <c:pt idx="239">
                  <c:v>1.3712860377900205E-3</c:v>
                </c:pt>
                <c:pt idx="240">
                  <c:v>1.3703754942111512E-3</c:v>
                </c:pt>
                <c:pt idx="241">
                  <c:v>1.3694224148510514E-3</c:v>
                </c:pt>
                <c:pt idx="242">
                  <c:v>1.3699306046169868E-3</c:v>
                </c:pt>
                <c:pt idx="243">
                  <c:v>1.3687837062628105E-3</c:v>
                </c:pt>
                <c:pt idx="244">
                  <c:v>1.3671960810975881E-3</c:v>
                </c:pt>
                <c:pt idx="245">
                  <c:v>1.3655503994726148E-3</c:v>
                </c:pt>
                <c:pt idx="246">
                  <c:v>1.3635494525030545E-3</c:v>
                </c:pt>
                <c:pt idx="247">
                  <c:v>1.3620114636687664E-3</c:v>
                </c:pt>
                <c:pt idx="248">
                  <c:v>1.358762189773044E-3</c:v>
                </c:pt>
                <c:pt idx="249">
                  <c:v>1.3547661967417968E-3</c:v>
                </c:pt>
                <c:pt idx="250">
                  <c:v>1.3481217255437716E-3</c:v>
                </c:pt>
                <c:pt idx="251">
                  <c:v>1.3407597545330718E-3</c:v>
                </c:pt>
                <c:pt idx="252">
                  <c:v>1.3354394317286467E-3</c:v>
                </c:pt>
                <c:pt idx="253">
                  <c:v>1.3277798386212014E-3</c:v>
                </c:pt>
                <c:pt idx="254">
                  <c:v>1.3217715717972478E-3</c:v>
                </c:pt>
                <c:pt idx="255">
                  <c:v>1.3163608117540138E-3</c:v>
                </c:pt>
                <c:pt idx="256">
                  <c:v>1.3104275249141706E-3</c:v>
                </c:pt>
                <c:pt idx="257">
                  <c:v>1.303005398636925E-3</c:v>
                </c:pt>
                <c:pt idx="258">
                  <c:v>1.293280632850502E-3</c:v>
                </c:pt>
                <c:pt idx="259">
                  <c:v>1.2809377623829166E-3</c:v>
                </c:pt>
                <c:pt idx="260">
                  <c:v>1.2673993852565513E-3</c:v>
                </c:pt>
                <c:pt idx="261">
                  <c:v>1.2538756837937592E-3</c:v>
                </c:pt>
                <c:pt idx="262">
                  <c:v>1.2403469499849828E-3</c:v>
                </c:pt>
                <c:pt idx="263">
                  <c:v>1.2269210447947154E-3</c:v>
                </c:pt>
                <c:pt idx="264">
                  <c:v>1.2162372940855981E-3</c:v>
                </c:pt>
                <c:pt idx="265">
                  <c:v>1.2042854053597729E-3</c:v>
                </c:pt>
                <c:pt idx="266">
                  <c:v>1.1929927613891778E-3</c:v>
                </c:pt>
                <c:pt idx="267">
                  <c:v>1.1804640204380323E-3</c:v>
                </c:pt>
                <c:pt idx="268">
                  <c:v>1.1660853966170004E-3</c:v>
                </c:pt>
                <c:pt idx="269">
                  <c:v>1.1524821012374176E-3</c:v>
                </c:pt>
                <c:pt idx="270">
                  <c:v>1.1397165974491585E-3</c:v>
                </c:pt>
                <c:pt idx="271">
                  <c:v>1.1283750545517668E-3</c:v>
                </c:pt>
                <c:pt idx="272">
                  <c:v>1.1166340338366609E-3</c:v>
                </c:pt>
                <c:pt idx="273">
                  <c:v>1.1039116535179749E-3</c:v>
                </c:pt>
                <c:pt idx="274">
                  <c:v>1.0933851589141064E-3</c:v>
                </c:pt>
                <c:pt idx="275">
                  <c:v>1.0826309955360713E-3</c:v>
                </c:pt>
                <c:pt idx="276">
                  <c:v>1.0744556103218228E-3</c:v>
                </c:pt>
                <c:pt idx="277">
                  <c:v>1.0658754774592882E-3</c:v>
                </c:pt>
                <c:pt idx="278">
                  <c:v>1.0572470840910508E-3</c:v>
                </c:pt>
                <c:pt idx="279">
                  <c:v>1.0505267154058417E-3</c:v>
                </c:pt>
                <c:pt idx="280">
                  <c:v>1.0454551127039302E-3</c:v>
                </c:pt>
                <c:pt idx="281">
                  <c:v>1.0408782775366276E-3</c:v>
                </c:pt>
                <c:pt idx="282">
                  <c:v>1.036391417134408E-3</c:v>
                </c:pt>
                <c:pt idx="283">
                  <c:v>1.032034237613666E-3</c:v>
                </c:pt>
                <c:pt idx="284">
                  <c:v>1.0277007576185992E-3</c:v>
                </c:pt>
                <c:pt idx="285">
                  <c:v>1.0206674859379872E-3</c:v>
                </c:pt>
                <c:pt idx="286">
                  <c:v>1.010836706330176E-3</c:v>
                </c:pt>
                <c:pt idx="287">
                  <c:v>1.0006576088845698E-3</c:v>
                </c:pt>
                <c:pt idx="288">
                  <c:v>9.9299295336652271E-4</c:v>
                </c:pt>
                <c:pt idx="289">
                  <c:v>9.8320258140094374E-4</c:v>
                </c:pt>
                <c:pt idx="290">
                  <c:v>9.7226541914974263E-4</c:v>
                </c:pt>
                <c:pt idx="291">
                  <c:v>9.6355159002958768E-4</c:v>
                </c:pt>
                <c:pt idx="292">
                  <c:v>9.570488596329918E-4</c:v>
                </c:pt>
                <c:pt idx="293">
                  <c:v>9.5256701438717339E-4</c:v>
                </c:pt>
                <c:pt idx="294">
                  <c:v>9.4830160216197168E-4</c:v>
                </c:pt>
                <c:pt idx="295">
                  <c:v>9.4377441691162467E-4</c:v>
                </c:pt>
                <c:pt idx="296">
                  <c:v>9.407344392969863E-4</c:v>
                </c:pt>
                <c:pt idx="297">
                  <c:v>9.3520387559731244E-4</c:v>
                </c:pt>
                <c:pt idx="298">
                  <c:v>9.2981242805023623E-4</c:v>
                </c:pt>
                <c:pt idx="299">
                  <c:v>9.2570996846275122E-4</c:v>
                </c:pt>
                <c:pt idx="300">
                  <c:v>9.2211155384580579E-4</c:v>
                </c:pt>
                <c:pt idx="301">
                  <c:v>9.1880826602963594E-4</c:v>
                </c:pt>
                <c:pt idx="302">
                  <c:v>9.1213571146164796E-4</c:v>
                </c:pt>
                <c:pt idx="303">
                  <c:v>9.0663298101101297E-4</c:v>
                </c:pt>
                <c:pt idx="304">
                  <c:v>8.9910238451684776E-4</c:v>
                </c:pt>
                <c:pt idx="305">
                  <c:v>8.897140751203958E-4</c:v>
                </c:pt>
                <c:pt idx="306">
                  <c:v>8.807844734383119E-4</c:v>
                </c:pt>
                <c:pt idx="307">
                  <c:v>8.7118064941837936E-4</c:v>
                </c:pt>
                <c:pt idx="308">
                  <c:v>8.6067024807578996E-4</c:v>
                </c:pt>
                <c:pt idx="309">
                  <c:v>8.4880314895541265E-4</c:v>
                </c:pt>
                <c:pt idx="310">
                  <c:v>8.3814696046224935E-4</c:v>
                </c:pt>
                <c:pt idx="311">
                  <c:v>8.2847886604797694E-4</c:v>
                </c:pt>
                <c:pt idx="312">
                  <c:v>8.1631875877852256E-4</c:v>
                </c:pt>
                <c:pt idx="313">
                  <c:v>8.0248008714645103E-4</c:v>
                </c:pt>
                <c:pt idx="314">
                  <c:v>7.9106591159228135E-4</c:v>
                </c:pt>
                <c:pt idx="315">
                  <c:v>7.7848474594244266E-4</c:v>
                </c:pt>
                <c:pt idx="316">
                  <c:v>7.6400636050122372E-4</c:v>
                </c:pt>
                <c:pt idx="317">
                  <c:v>7.5013832109194212E-4</c:v>
                </c:pt>
                <c:pt idx="318">
                  <c:v>7.3382716959535799E-4</c:v>
                </c:pt>
                <c:pt idx="319">
                  <c:v>7.1508805955489141E-4</c:v>
                </c:pt>
                <c:pt idx="320">
                  <c:v>6.9305415425047201E-4</c:v>
                </c:pt>
                <c:pt idx="321">
                  <c:v>6.7214925743841469E-4</c:v>
                </c:pt>
                <c:pt idx="322">
                  <c:v>6.4969270140458057E-4</c:v>
                </c:pt>
                <c:pt idx="323">
                  <c:v>6.2581736477196337E-4</c:v>
                </c:pt>
                <c:pt idx="324">
                  <c:v>5.977840773944143E-4</c:v>
                </c:pt>
                <c:pt idx="325">
                  <c:v>5.6672268588375818E-4</c:v>
                </c:pt>
                <c:pt idx="326">
                  <c:v>5.3735410061228617E-4</c:v>
                </c:pt>
                <c:pt idx="327">
                  <c:v>5.0838414928855435E-4</c:v>
                </c:pt>
                <c:pt idx="328">
                  <c:v>4.8135122744186187E-4</c:v>
                </c:pt>
                <c:pt idx="329">
                  <c:v>4.5499899192580351E-4</c:v>
                </c:pt>
                <c:pt idx="330">
                  <c:v>4.2835591925516336E-4</c:v>
                </c:pt>
                <c:pt idx="331">
                  <c:v>4.0143699170214209E-4</c:v>
                </c:pt>
                <c:pt idx="332">
                  <c:v>3.7637594772266247E-4</c:v>
                </c:pt>
                <c:pt idx="333">
                  <c:v>3.5080439128531982E-4</c:v>
                </c:pt>
                <c:pt idx="334">
                  <c:v>3.2802460949821199E-4</c:v>
                </c:pt>
                <c:pt idx="335">
                  <c:v>3.0764461847432312E-4</c:v>
                </c:pt>
                <c:pt idx="336">
                  <c:v>2.8961953447059763E-4</c:v>
                </c:pt>
                <c:pt idx="337">
                  <c:v>2.7027946932556279E-4</c:v>
                </c:pt>
                <c:pt idx="338">
                  <c:v>2.5238151616802096E-4</c:v>
                </c:pt>
                <c:pt idx="339">
                  <c:v>2.387611082783625E-4</c:v>
                </c:pt>
                <c:pt idx="340">
                  <c:v>2.2548511165776386E-4</c:v>
                </c:pt>
                <c:pt idx="341">
                  <c:v>2.1250868172206783E-4</c:v>
                </c:pt>
                <c:pt idx="342">
                  <c:v>2.0177889965655726E-4</c:v>
                </c:pt>
                <c:pt idx="343">
                  <c:v>1.9361932865979981E-4</c:v>
                </c:pt>
                <c:pt idx="344">
                  <c:v>1.8378886096648284E-4</c:v>
                </c:pt>
                <c:pt idx="345">
                  <c:v>1.7196121798668251E-4</c:v>
                </c:pt>
                <c:pt idx="346">
                  <c:v>1.5826517982797661E-4</c:v>
                </c:pt>
                <c:pt idx="347">
                  <c:v>1.4339938439600353E-4</c:v>
                </c:pt>
                <c:pt idx="348">
                  <c:v>1.3103488521604145E-4</c:v>
                </c:pt>
                <c:pt idx="349">
                  <c:v>1.1483428177827548E-4</c:v>
                </c:pt>
                <c:pt idx="350">
                  <c:v>9.9124980206699576E-5</c:v>
                </c:pt>
                <c:pt idx="351">
                  <c:v>8.5607811845300752E-5</c:v>
                </c:pt>
                <c:pt idx="352">
                  <c:v>7.2273473139983224E-5</c:v>
                </c:pt>
                <c:pt idx="353">
                  <c:v>5.8975755653056794E-5</c:v>
                </c:pt>
                <c:pt idx="354">
                  <c:v>4.5508018807538519E-5</c:v>
                </c:pt>
                <c:pt idx="355">
                  <c:v>3.3256908258172402E-5</c:v>
                </c:pt>
                <c:pt idx="356">
                  <c:v>2.2709656786301657E-5</c:v>
                </c:pt>
                <c:pt idx="357">
                  <c:v>1.145092612186982E-5</c:v>
                </c:pt>
                <c:pt idx="358">
                  <c:v>4.998121994059801E-7</c:v>
                </c:pt>
                <c:pt idx="359">
                  <c:v>-8.6952354887426253E-6</c:v>
                </c:pt>
                <c:pt idx="360">
                  <c:v>-1.8420612400538161E-5</c:v>
                </c:pt>
                <c:pt idx="361">
                  <c:v>-2.699083021007187E-5</c:v>
                </c:pt>
                <c:pt idx="362">
                  <c:v>-3.8875672887406232E-5</c:v>
                </c:pt>
                <c:pt idx="363">
                  <c:v>-5.052672908456568E-5</c:v>
                </c:pt>
                <c:pt idx="364">
                  <c:v>-6.0712087739056564E-5</c:v>
                </c:pt>
                <c:pt idx="365">
                  <c:v>-6.8190680733271059E-5</c:v>
                </c:pt>
                <c:pt idx="366">
                  <c:v>-7.5094251641760756E-5</c:v>
                </c:pt>
                <c:pt idx="367">
                  <c:v>-7.9229356635401871E-5</c:v>
                </c:pt>
                <c:pt idx="368">
                  <c:v>-8.0738932025536947E-5</c:v>
                </c:pt>
                <c:pt idx="369">
                  <c:v>-8.1002964351761797E-5</c:v>
                </c:pt>
                <c:pt idx="370">
                  <c:v>-8.0275422522202433E-5</c:v>
                </c:pt>
                <c:pt idx="371">
                  <c:v>-7.821914712557998E-5</c:v>
                </c:pt>
                <c:pt idx="372">
                  <c:v>-7.9380017423136273E-5</c:v>
                </c:pt>
                <c:pt idx="373">
                  <c:v>-7.6666191997865063E-5</c:v>
                </c:pt>
                <c:pt idx="374">
                  <c:v>-7.3795905363938097E-5</c:v>
                </c:pt>
                <c:pt idx="375">
                  <c:v>-7.1337289756834288E-5</c:v>
                </c:pt>
                <c:pt idx="376">
                  <c:v>-6.8713913385476388E-5</c:v>
                </c:pt>
                <c:pt idx="377">
                  <c:v>-6.7155741480640074E-5</c:v>
                </c:pt>
                <c:pt idx="378">
                  <c:v>-6.725138029062272E-5</c:v>
                </c:pt>
                <c:pt idx="379">
                  <c:v>-6.8158586346456218E-5</c:v>
                </c:pt>
                <c:pt idx="380">
                  <c:v>-6.6084666583421381E-5</c:v>
                </c:pt>
                <c:pt idx="381">
                  <c:v>-6.4106710657041432E-5</c:v>
                </c:pt>
                <c:pt idx="382">
                  <c:v>-5.7831141748398984E-5</c:v>
                </c:pt>
                <c:pt idx="383">
                  <c:v>-4.5208894343118367E-5</c:v>
                </c:pt>
                <c:pt idx="384">
                  <c:v>-3.4037683860455026E-5</c:v>
                </c:pt>
                <c:pt idx="385">
                  <c:v>-2.2383746578813479E-5</c:v>
                </c:pt>
                <c:pt idx="386">
                  <c:v>-8.6193531176892435E-6</c:v>
                </c:pt>
                <c:pt idx="387">
                  <c:v>7.7687839676876536E-6</c:v>
                </c:pt>
                <c:pt idx="388">
                  <c:v>2.2493566318115832E-5</c:v>
                </c:pt>
                <c:pt idx="389">
                  <c:v>4.0636521352221955E-5</c:v>
                </c:pt>
                <c:pt idx="390">
                  <c:v>6.3619390301861145E-5</c:v>
                </c:pt>
                <c:pt idx="391">
                  <c:v>8.3230620980923042E-5</c:v>
                </c:pt>
                <c:pt idx="392">
                  <c:v>1.0388186587584336E-4</c:v>
                </c:pt>
                <c:pt idx="393">
                  <c:v>1.2268765983258767E-4</c:v>
                </c:pt>
                <c:pt idx="394">
                  <c:v>1.3869429493218455E-4</c:v>
                </c:pt>
                <c:pt idx="395">
                  <c:v>1.5508744109937744E-4</c:v>
                </c:pt>
                <c:pt idx="396">
                  <c:v>1.6950673594973154E-4</c:v>
                </c:pt>
                <c:pt idx="397">
                  <c:v>1.8633891692121374E-4</c:v>
                </c:pt>
                <c:pt idx="398">
                  <c:v>2.0182835691040513E-4</c:v>
                </c:pt>
                <c:pt idx="399">
                  <c:v>2.1803943981513196E-4</c:v>
                </c:pt>
                <c:pt idx="400">
                  <c:v>2.3571301005398393E-4</c:v>
                </c:pt>
                <c:pt idx="401">
                  <c:v>2.5896933232305575E-4</c:v>
                </c:pt>
                <c:pt idx="402">
                  <c:v>2.7906866081139903E-4</c:v>
                </c:pt>
                <c:pt idx="403">
                  <c:v>2.9712379300650404E-4</c:v>
                </c:pt>
                <c:pt idx="404">
                  <c:v>3.1159057022045467E-4</c:v>
                </c:pt>
                <c:pt idx="405">
                  <c:v>3.2694397352528437E-4</c:v>
                </c:pt>
                <c:pt idx="406">
                  <c:v>3.4322158991562102E-4</c:v>
                </c:pt>
                <c:pt idx="407">
                  <c:v>3.6133848345487607E-4</c:v>
                </c:pt>
                <c:pt idx="408">
                  <c:v>3.7830612492273374E-4</c:v>
                </c:pt>
                <c:pt idx="409">
                  <c:v>3.9737732947742188E-4</c:v>
                </c:pt>
                <c:pt idx="410">
                  <c:v>4.1674034702632312E-4</c:v>
                </c:pt>
                <c:pt idx="411">
                  <c:v>4.3275829310696068E-4</c:v>
                </c:pt>
                <c:pt idx="412">
                  <c:v>4.4991998758336926E-4</c:v>
                </c:pt>
                <c:pt idx="413">
                  <c:v>4.6997572449081204E-4</c:v>
                </c:pt>
                <c:pt idx="414">
                  <c:v>4.9089695569415337E-4</c:v>
                </c:pt>
                <c:pt idx="415">
                  <c:v>5.1233516956505909E-4</c:v>
                </c:pt>
                <c:pt idx="416">
                  <c:v>5.3650484549494504E-4</c:v>
                </c:pt>
                <c:pt idx="417">
                  <c:v>5.591041913287631E-4</c:v>
                </c:pt>
                <c:pt idx="418">
                  <c:v>5.8102246922375755E-4</c:v>
                </c:pt>
                <c:pt idx="419">
                  <c:v>6.0254986602470417E-4</c:v>
                </c:pt>
                <c:pt idx="420">
                  <c:v>6.2343955782029337E-4</c:v>
                </c:pt>
                <c:pt idx="421">
                  <c:v>6.4627241552928094E-4</c:v>
                </c:pt>
                <c:pt idx="422">
                  <c:v>6.6701519100953455E-4</c:v>
                </c:pt>
                <c:pt idx="423">
                  <c:v>6.9157999149338512E-4</c:v>
                </c:pt>
                <c:pt idx="424">
                  <c:v>7.1503300645792134E-4</c:v>
                </c:pt>
                <c:pt idx="425">
                  <c:v>7.330843566440981E-4</c:v>
                </c:pt>
                <c:pt idx="426">
                  <c:v>7.481303083022306E-4</c:v>
                </c:pt>
                <c:pt idx="427">
                  <c:v>7.6349358034488723E-4</c:v>
                </c:pt>
                <c:pt idx="428">
                  <c:v>7.7962978433643304E-4</c:v>
                </c:pt>
                <c:pt idx="429">
                  <c:v>7.9231860650808006E-4</c:v>
                </c:pt>
                <c:pt idx="430">
                  <c:v>8.0171960077957127E-4</c:v>
                </c:pt>
                <c:pt idx="431">
                  <c:v>8.086859217244502E-4</c:v>
                </c:pt>
                <c:pt idx="432">
                  <c:v>8.1482929488851941E-4</c:v>
                </c:pt>
                <c:pt idx="433">
                  <c:v>8.2006217928776159E-4</c:v>
                </c:pt>
                <c:pt idx="434">
                  <c:v>8.2432571454527093E-4</c:v>
                </c:pt>
                <c:pt idx="435">
                  <c:v>8.2606831864295849E-4</c:v>
                </c:pt>
                <c:pt idx="436">
                  <c:v>8.2678451398998654E-4</c:v>
                </c:pt>
                <c:pt idx="437">
                  <c:v>8.2786598229001029E-4</c:v>
                </c:pt>
                <c:pt idx="438">
                  <c:v>8.3005733568086715E-4</c:v>
                </c:pt>
                <c:pt idx="439">
                  <c:v>8.3041376521808541E-4</c:v>
                </c:pt>
                <c:pt idx="440">
                  <c:v>8.290991942779824E-4</c:v>
                </c:pt>
                <c:pt idx="441">
                  <c:v>8.3129442936258346E-4</c:v>
                </c:pt>
                <c:pt idx="442">
                  <c:v>8.3361304899676192E-4</c:v>
                </c:pt>
                <c:pt idx="443">
                  <c:v>8.3528588718351227E-4</c:v>
                </c:pt>
                <c:pt idx="444">
                  <c:v>8.3544757142073323E-4</c:v>
                </c:pt>
                <c:pt idx="445">
                  <c:v>8.375538014965267E-4</c:v>
                </c:pt>
                <c:pt idx="446">
                  <c:v>8.3666944017457556E-4</c:v>
                </c:pt>
                <c:pt idx="447">
                  <c:v>8.3552177390289195E-4</c:v>
                </c:pt>
                <c:pt idx="448">
                  <c:v>8.3531721791141322E-4</c:v>
                </c:pt>
                <c:pt idx="449">
                  <c:v>8.344488905746017E-4</c:v>
                </c:pt>
                <c:pt idx="450">
                  <c:v>8.3508209057225891E-4</c:v>
                </c:pt>
                <c:pt idx="451">
                  <c:v>8.3344120199757565E-4</c:v>
                </c:pt>
                <c:pt idx="452">
                  <c:v>8.3036969940297745E-4</c:v>
                </c:pt>
                <c:pt idx="453">
                  <c:v>8.3101048932421318E-4</c:v>
                </c:pt>
                <c:pt idx="454">
                  <c:v>8.3012601321252877E-4</c:v>
                </c:pt>
                <c:pt idx="455">
                  <c:v>8.2828340036433801E-4</c:v>
                </c:pt>
                <c:pt idx="456">
                  <c:v>8.2664902725149147E-4</c:v>
                </c:pt>
                <c:pt idx="457">
                  <c:v>8.2648044482114269E-4</c:v>
                </c:pt>
                <c:pt idx="458">
                  <c:v>8.2491702338871598E-4</c:v>
                </c:pt>
                <c:pt idx="459">
                  <c:v>8.1976193110211426E-4</c:v>
                </c:pt>
                <c:pt idx="460">
                  <c:v>8.1138193093321931E-4</c:v>
                </c:pt>
                <c:pt idx="461">
                  <c:v>7.9728723717475969E-4</c:v>
                </c:pt>
                <c:pt idx="462">
                  <c:v>7.8101259218288366E-4</c:v>
                </c:pt>
                <c:pt idx="463">
                  <c:v>7.6294080833316791E-4</c:v>
                </c:pt>
                <c:pt idx="464">
                  <c:v>7.3939728407379501E-4</c:v>
                </c:pt>
                <c:pt idx="465">
                  <c:v>7.1220834035790048E-4</c:v>
                </c:pt>
                <c:pt idx="466">
                  <c:v>6.8153898178646699E-4</c:v>
                </c:pt>
                <c:pt idx="467">
                  <c:v>6.4917661048902175E-4</c:v>
                </c:pt>
                <c:pt idx="468">
                  <c:v>6.1959406355738267E-4</c:v>
                </c:pt>
                <c:pt idx="469">
                  <c:v>5.889888896111195E-4</c:v>
                </c:pt>
                <c:pt idx="470">
                  <c:v>5.5760928655546049E-4</c:v>
                </c:pt>
                <c:pt idx="471">
                  <c:v>5.2857318748911197E-4</c:v>
                </c:pt>
                <c:pt idx="472">
                  <c:v>5.0615994697500444E-4</c:v>
                </c:pt>
                <c:pt idx="473">
                  <c:v>4.8344955208534657E-4</c:v>
                </c:pt>
                <c:pt idx="474">
                  <c:v>4.6220565515364687E-4</c:v>
                </c:pt>
                <c:pt idx="475">
                  <c:v>4.4071885208962769E-4</c:v>
                </c:pt>
                <c:pt idx="476">
                  <c:v>4.1760389872869119E-4</c:v>
                </c:pt>
                <c:pt idx="477">
                  <c:v>3.9247614030357703E-4</c:v>
                </c:pt>
                <c:pt idx="478">
                  <c:v>3.6790964868771425E-4</c:v>
                </c:pt>
                <c:pt idx="479">
                  <c:v>3.4336156497538628E-4</c:v>
                </c:pt>
                <c:pt idx="480">
                  <c:v>3.1878405395913134E-4</c:v>
                </c:pt>
                <c:pt idx="481">
                  <c:v>2.9019910802652316E-4</c:v>
                </c:pt>
                <c:pt idx="482">
                  <c:v>2.6576984573500884E-4</c:v>
                </c:pt>
                <c:pt idx="483">
                  <c:v>2.4401647673033544E-4</c:v>
                </c:pt>
                <c:pt idx="484">
                  <c:v>2.2196701943699715E-4</c:v>
                </c:pt>
                <c:pt idx="485">
                  <c:v>1.9821560495814072E-4</c:v>
                </c:pt>
                <c:pt idx="486">
                  <c:v>1.7142555229154866E-4</c:v>
                </c:pt>
                <c:pt idx="487">
                  <c:v>1.4428432311497374E-4</c:v>
                </c:pt>
                <c:pt idx="488">
                  <c:v>1.1189418700552345E-4</c:v>
                </c:pt>
                <c:pt idx="489">
                  <c:v>7.44598097600635E-5</c:v>
                </c:pt>
                <c:pt idx="490">
                  <c:v>4.4006190931922262E-5</c:v>
                </c:pt>
                <c:pt idx="491">
                  <c:v>1.5985118881123306E-5</c:v>
                </c:pt>
                <c:pt idx="492">
                  <c:v>-1.1297080426686534E-5</c:v>
                </c:pt>
                <c:pt idx="493">
                  <c:v>-4.0811932863649147E-5</c:v>
                </c:pt>
                <c:pt idx="494">
                  <c:v>-7.1399227280388722E-5</c:v>
                </c:pt>
                <c:pt idx="495">
                  <c:v>-1.0405102280275358E-4</c:v>
                </c:pt>
                <c:pt idx="496">
                  <c:v>-1.3550864328115697E-4</c:v>
                </c:pt>
                <c:pt idx="497">
                  <c:v>-1.6567582968285421E-4</c:v>
                </c:pt>
                <c:pt idx="498">
                  <c:v>-2.0008342961652659E-4</c:v>
                </c:pt>
                <c:pt idx="499">
                  <c:v>-2.3628260215957653E-4</c:v>
                </c:pt>
                <c:pt idx="500">
                  <c:v>-2.7065149014937617E-4</c:v>
                </c:pt>
                <c:pt idx="501">
                  <c:v>-3.0121426011253671E-4</c:v>
                </c:pt>
                <c:pt idx="502">
                  <c:v>-3.2853639057606188E-4</c:v>
                </c:pt>
                <c:pt idx="503">
                  <c:v>-3.5559920377115084E-4</c:v>
                </c:pt>
                <c:pt idx="504">
                  <c:v>-3.8287136619774564E-4</c:v>
                </c:pt>
                <c:pt idx="505">
                  <c:v>-4.0910183923359433E-4</c:v>
                </c:pt>
                <c:pt idx="506">
                  <c:v>-4.3343771440396139E-4</c:v>
                </c:pt>
                <c:pt idx="507">
                  <c:v>-4.6141734150850766E-4</c:v>
                </c:pt>
                <c:pt idx="508">
                  <c:v>-4.9210117190423563E-4</c:v>
                </c:pt>
                <c:pt idx="509">
                  <c:v>-5.2969583357198591E-4</c:v>
                </c:pt>
                <c:pt idx="510">
                  <c:v>-5.6742624393613106E-4</c:v>
                </c:pt>
                <c:pt idx="511">
                  <c:v>-6.051574934600179E-4</c:v>
                </c:pt>
                <c:pt idx="512">
                  <c:v>-6.4155974816337835E-4</c:v>
                </c:pt>
                <c:pt idx="513">
                  <c:v>-6.7996240033740829E-4</c:v>
                </c:pt>
                <c:pt idx="514">
                  <c:v>-7.2023918576424872E-4</c:v>
                </c:pt>
                <c:pt idx="515">
                  <c:v>-7.6280356258739968E-4</c:v>
                </c:pt>
                <c:pt idx="516">
                  <c:v>-7.9983746553835555E-4</c:v>
                </c:pt>
                <c:pt idx="517">
                  <c:v>-8.3857715319357595E-4</c:v>
                </c:pt>
                <c:pt idx="518">
                  <c:v>-8.8195216996755921E-4</c:v>
                </c:pt>
                <c:pt idx="519">
                  <c:v>-9.2776150994056117E-4</c:v>
                </c:pt>
                <c:pt idx="520">
                  <c:v>-9.7352733580302608E-4</c:v>
                </c:pt>
                <c:pt idx="521">
                  <c:v>-1.0179997136312569E-3</c:v>
                </c:pt>
                <c:pt idx="522">
                  <c:v>-1.0599526637816714E-3</c:v>
                </c:pt>
                <c:pt idx="523">
                  <c:v>-1.0999530652159306E-3</c:v>
                </c:pt>
                <c:pt idx="524">
                  <c:v>-1.1375059262158649E-3</c:v>
                </c:pt>
                <c:pt idx="525">
                  <c:v>-1.1769064111668559E-3</c:v>
                </c:pt>
                <c:pt idx="526">
                  <c:v>-1.2144182644685531E-3</c:v>
                </c:pt>
                <c:pt idx="527">
                  <c:v>-1.2473412767856074E-3</c:v>
                </c:pt>
                <c:pt idx="528">
                  <c:v>-1.2790547808334551E-3</c:v>
                </c:pt>
                <c:pt idx="529">
                  <c:v>-1.3096416294166024E-3</c:v>
                </c:pt>
                <c:pt idx="530">
                  <c:v>-1.3393967498546155E-3</c:v>
                </c:pt>
                <c:pt idx="531">
                  <c:v>-1.3705591154123953E-3</c:v>
                </c:pt>
                <c:pt idx="532">
                  <c:v>-1.404385816060838E-3</c:v>
                </c:pt>
                <c:pt idx="533">
                  <c:v>-1.4346447588399203E-3</c:v>
                </c:pt>
                <c:pt idx="534">
                  <c:v>-1.4641644414620236E-3</c:v>
                </c:pt>
                <c:pt idx="535">
                  <c:v>-1.4915785051896613E-3</c:v>
                </c:pt>
                <c:pt idx="536">
                  <c:v>-1.5193722463996417E-3</c:v>
                </c:pt>
                <c:pt idx="537">
                  <c:v>-1.5483832812731579E-3</c:v>
                </c:pt>
                <c:pt idx="538">
                  <c:v>-1.5806293954901962E-3</c:v>
                </c:pt>
                <c:pt idx="539">
                  <c:v>-1.6091259839202676E-3</c:v>
                </c:pt>
                <c:pt idx="540">
                  <c:v>-1.6354978973367462E-3</c:v>
                </c:pt>
                <c:pt idx="541">
                  <c:v>-1.660205498718037E-3</c:v>
                </c:pt>
                <c:pt idx="542">
                  <c:v>-1.6893647100995057E-3</c:v>
                </c:pt>
                <c:pt idx="543">
                  <c:v>-1.7214152677692551E-3</c:v>
                </c:pt>
                <c:pt idx="544">
                  <c:v>-1.7570086450099387E-3</c:v>
                </c:pt>
                <c:pt idx="545">
                  <c:v>-1.7905376891423908E-3</c:v>
                </c:pt>
                <c:pt idx="546">
                  <c:v>-1.826219436389831E-3</c:v>
                </c:pt>
                <c:pt idx="547">
                  <c:v>-1.8648391118288865E-3</c:v>
                </c:pt>
                <c:pt idx="548">
                  <c:v>-1.9017941050013532E-3</c:v>
                </c:pt>
                <c:pt idx="549">
                  <c:v>-1.9405102917638972E-3</c:v>
                </c:pt>
                <c:pt idx="550">
                  <c:v>-1.9799190216076568E-3</c:v>
                </c:pt>
                <c:pt idx="551">
                  <c:v>-2.0204765446559803E-3</c:v>
                </c:pt>
                <c:pt idx="552">
                  <c:v>-2.0617304408108161E-3</c:v>
                </c:pt>
                <c:pt idx="553">
                  <c:v>-2.1027177734128655E-3</c:v>
                </c:pt>
                <c:pt idx="554">
                  <c:v>-2.1425470903290167E-3</c:v>
                </c:pt>
                <c:pt idx="555">
                  <c:v>-2.1886467968701417E-3</c:v>
                </c:pt>
                <c:pt idx="556">
                  <c:v>-2.2334738720747316E-3</c:v>
                </c:pt>
                <c:pt idx="557">
                  <c:v>-2.2749229865491882E-3</c:v>
                </c:pt>
                <c:pt idx="558">
                  <c:v>-2.3190607928109674E-3</c:v>
                </c:pt>
                <c:pt idx="559">
                  <c:v>-2.3669894803731717E-3</c:v>
                </c:pt>
                <c:pt idx="560">
                  <c:v>-2.4196358399608542E-3</c:v>
                </c:pt>
                <c:pt idx="561">
                  <c:v>-2.4747782149704411E-3</c:v>
                </c:pt>
                <c:pt idx="562">
                  <c:v>-2.5271244671664084E-3</c:v>
                </c:pt>
                <c:pt idx="563">
                  <c:v>-2.5787015155874782E-3</c:v>
                </c:pt>
                <c:pt idx="564">
                  <c:v>-2.6280629436380432E-3</c:v>
                </c:pt>
                <c:pt idx="565">
                  <c:v>-2.6754095754760732E-3</c:v>
                </c:pt>
                <c:pt idx="566">
                  <c:v>-2.7209076262395548E-3</c:v>
                </c:pt>
                <c:pt idx="567">
                  <c:v>-2.7668238339880746E-3</c:v>
                </c:pt>
                <c:pt idx="568">
                  <c:v>-2.8139119263891343E-3</c:v>
                </c:pt>
                <c:pt idx="569">
                  <c:v>-2.8605200598416092E-3</c:v>
                </c:pt>
                <c:pt idx="570">
                  <c:v>-2.901754111487409E-3</c:v>
                </c:pt>
                <c:pt idx="571">
                  <c:v>-2.9357992293037594E-3</c:v>
                </c:pt>
                <c:pt idx="572">
                  <c:v>-2.9626716380739548E-3</c:v>
                </c:pt>
                <c:pt idx="573">
                  <c:v>-2.9880743990532421E-3</c:v>
                </c:pt>
                <c:pt idx="574">
                  <c:v>-3.0145831199590578E-3</c:v>
                </c:pt>
                <c:pt idx="575">
                  <c:v>-3.0362178541724072E-3</c:v>
                </c:pt>
                <c:pt idx="576">
                  <c:v>-3.0601620441735866E-3</c:v>
                </c:pt>
                <c:pt idx="577">
                  <c:v>-3.0917720019647543E-3</c:v>
                </c:pt>
                <c:pt idx="578">
                  <c:v>-3.1209219881067618E-3</c:v>
                </c:pt>
                <c:pt idx="579">
                  <c:v>-3.1485876397977508E-3</c:v>
                </c:pt>
                <c:pt idx="580">
                  <c:v>-3.1782618372431237E-3</c:v>
                </c:pt>
                <c:pt idx="581">
                  <c:v>-3.2047959267086368E-3</c:v>
                </c:pt>
                <c:pt idx="582">
                  <c:v>-3.2278383553185908E-3</c:v>
                </c:pt>
                <c:pt idx="583">
                  <c:v>-3.2554052724005356E-3</c:v>
                </c:pt>
                <c:pt idx="584">
                  <c:v>-3.284578433686125E-3</c:v>
                </c:pt>
                <c:pt idx="585">
                  <c:v>-3.309188563535459E-3</c:v>
                </c:pt>
                <c:pt idx="586">
                  <c:v>-3.334386906252651E-3</c:v>
                </c:pt>
                <c:pt idx="587">
                  <c:v>-3.3601596135300893E-3</c:v>
                </c:pt>
                <c:pt idx="588">
                  <c:v>-3.3908070650643385E-3</c:v>
                </c:pt>
                <c:pt idx="589">
                  <c:v>-3.4255880304127073E-3</c:v>
                </c:pt>
                <c:pt idx="590">
                  <c:v>-3.4627223942742535E-3</c:v>
                </c:pt>
                <c:pt idx="591">
                  <c:v>-3.5031657810286054E-3</c:v>
                </c:pt>
                <c:pt idx="592">
                  <c:v>-3.5430829192276692E-3</c:v>
                </c:pt>
                <c:pt idx="593">
                  <c:v>-3.5854661799269438E-3</c:v>
                </c:pt>
                <c:pt idx="594">
                  <c:v>-3.6298785129047495E-3</c:v>
                </c:pt>
                <c:pt idx="595">
                  <c:v>-3.6730767017145727E-3</c:v>
                </c:pt>
                <c:pt idx="596">
                  <c:v>-3.711274630297634E-3</c:v>
                </c:pt>
                <c:pt idx="597">
                  <c:v>-3.7457974810767292E-3</c:v>
                </c:pt>
                <c:pt idx="598">
                  <c:v>-3.7821485228877183E-3</c:v>
                </c:pt>
                <c:pt idx="599">
                  <c:v>-3.822534077624784E-3</c:v>
                </c:pt>
                <c:pt idx="600">
                  <c:v>-3.8521077938823423E-3</c:v>
                </c:pt>
                <c:pt idx="601">
                  <c:v>-3.8810293207885982E-3</c:v>
                </c:pt>
                <c:pt idx="602">
                  <c:v>-3.9102786945823809E-3</c:v>
                </c:pt>
                <c:pt idx="603">
                  <c:v>-3.9439835533376932E-3</c:v>
                </c:pt>
                <c:pt idx="604">
                  <c:v>-3.9738939776774451E-3</c:v>
                </c:pt>
                <c:pt idx="605">
                  <c:v>-4.0030219346444129E-3</c:v>
                </c:pt>
                <c:pt idx="606">
                  <c:v>-4.0331286692650847E-3</c:v>
                </c:pt>
                <c:pt idx="607">
                  <c:v>-4.0629815838192362E-3</c:v>
                </c:pt>
                <c:pt idx="608">
                  <c:v>-4.0907654562210016E-3</c:v>
                </c:pt>
                <c:pt idx="609">
                  <c:v>-4.1166624198333279E-3</c:v>
                </c:pt>
                <c:pt idx="610">
                  <c:v>-4.1423418129246103E-3</c:v>
                </c:pt>
                <c:pt idx="611">
                  <c:v>-4.1661920016285992E-3</c:v>
                </c:pt>
                <c:pt idx="612">
                  <c:v>-4.1913275849057019E-3</c:v>
                </c:pt>
                <c:pt idx="613">
                  <c:v>-4.217105081732897E-3</c:v>
                </c:pt>
                <c:pt idx="614">
                  <c:v>-4.2392475793094908E-3</c:v>
                </c:pt>
                <c:pt idx="615">
                  <c:v>-4.2613644718034749E-3</c:v>
                </c:pt>
                <c:pt idx="616">
                  <c:v>-4.2866548443629693E-3</c:v>
                </c:pt>
                <c:pt idx="617">
                  <c:v>-4.3073016052465052E-3</c:v>
                </c:pt>
                <c:pt idx="618">
                  <c:v>-4.3306365595133789E-3</c:v>
                </c:pt>
                <c:pt idx="619">
                  <c:v>-4.3545436463631182E-3</c:v>
                </c:pt>
                <c:pt idx="620">
                  <c:v>-4.3763825775072762E-3</c:v>
                </c:pt>
                <c:pt idx="621">
                  <c:v>-4.394995447095762E-3</c:v>
                </c:pt>
                <c:pt idx="622">
                  <c:v>-4.4099447361372057E-3</c:v>
                </c:pt>
                <c:pt idx="623">
                  <c:v>-4.4223519881314566E-3</c:v>
                </c:pt>
                <c:pt idx="624">
                  <c:v>-4.4363648819309986E-3</c:v>
                </c:pt>
                <c:pt idx="625">
                  <c:v>-4.4476735802527756E-3</c:v>
                </c:pt>
                <c:pt idx="626">
                  <c:v>-4.4634436802049038E-3</c:v>
                </c:pt>
                <c:pt idx="627">
                  <c:v>-4.4793991965716984E-3</c:v>
                </c:pt>
                <c:pt idx="628">
                  <c:v>-4.4999327431768377E-3</c:v>
                </c:pt>
                <c:pt idx="629">
                  <c:v>-4.5187326060477373E-3</c:v>
                </c:pt>
                <c:pt idx="630">
                  <c:v>-4.5363489004279778E-3</c:v>
                </c:pt>
                <c:pt idx="631">
                  <c:v>-4.5540117777741473E-3</c:v>
                </c:pt>
                <c:pt idx="632">
                  <c:v>-4.5716483763277305E-3</c:v>
                </c:pt>
                <c:pt idx="633">
                  <c:v>-4.5894069849207186E-3</c:v>
                </c:pt>
                <c:pt idx="634">
                  <c:v>-4.59963847813738E-3</c:v>
                </c:pt>
                <c:pt idx="635">
                  <c:v>-4.6095795575969989E-3</c:v>
                </c:pt>
                <c:pt idx="636">
                  <c:v>-4.6221386181636293E-3</c:v>
                </c:pt>
                <c:pt idx="637">
                  <c:v>-4.6415891301263557E-3</c:v>
                </c:pt>
                <c:pt idx="638">
                  <c:v>-4.6594591592978851E-3</c:v>
                </c:pt>
                <c:pt idx="639">
                  <c:v>-4.6770678890030171E-3</c:v>
                </c:pt>
                <c:pt idx="640">
                  <c:v>-4.6933244686718778E-3</c:v>
                </c:pt>
                <c:pt idx="641">
                  <c:v>-4.7076745858974922E-3</c:v>
                </c:pt>
                <c:pt idx="642">
                  <c:v>-4.7090563517209194E-3</c:v>
                </c:pt>
                <c:pt idx="643">
                  <c:v>-4.7087223303710068E-3</c:v>
                </c:pt>
                <c:pt idx="644">
                  <c:v>-4.7129559967967749E-3</c:v>
                </c:pt>
                <c:pt idx="645">
                  <c:v>-4.7178186011186396E-3</c:v>
                </c:pt>
                <c:pt idx="646">
                  <c:v>-4.7235289347379306E-3</c:v>
                </c:pt>
                <c:pt idx="647">
                  <c:v>-4.7266796317791959E-3</c:v>
                </c:pt>
                <c:pt idx="648">
                  <c:v>-4.7279861964920622E-3</c:v>
                </c:pt>
                <c:pt idx="649">
                  <c:v>-4.7270646081981615E-3</c:v>
                </c:pt>
                <c:pt idx="650">
                  <c:v>-4.7255706189528457E-3</c:v>
                </c:pt>
                <c:pt idx="651">
                  <c:v>-4.723905774453141E-3</c:v>
                </c:pt>
                <c:pt idx="652">
                  <c:v>-4.7185950728644288E-3</c:v>
                </c:pt>
                <c:pt idx="653">
                  <c:v>-4.7125775116447777E-3</c:v>
                </c:pt>
                <c:pt idx="654">
                  <c:v>-4.7055455138831359E-3</c:v>
                </c:pt>
                <c:pt idx="655">
                  <c:v>-4.6915100670918974E-3</c:v>
                </c:pt>
                <c:pt idx="656">
                  <c:v>-4.6731077519437392E-3</c:v>
                </c:pt>
                <c:pt idx="657">
                  <c:v>-4.6596013063836539E-3</c:v>
                </c:pt>
                <c:pt idx="658">
                  <c:v>-4.6437177802065577E-3</c:v>
                </c:pt>
                <c:pt idx="659">
                  <c:v>-4.6254024189471554E-3</c:v>
                </c:pt>
                <c:pt idx="660">
                  <c:v>-4.6131525871605517E-3</c:v>
                </c:pt>
                <c:pt idx="661">
                  <c:v>-4.5967347035257289E-3</c:v>
                </c:pt>
                <c:pt idx="662">
                  <c:v>-4.5773682951778527E-3</c:v>
                </c:pt>
                <c:pt idx="663">
                  <c:v>-4.5637004504766043E-3</c:v>
                </c:pt>
                <c:pt idx="664">
                  <c:v>-4.5479655156160925E-3</c:v>
                </c:pt>
                <c:pt idx="665">
                  <c:v>-4.5312064861787738E-3</c:v>
                </c:pt>
                <c:pt idx="666">
                  <c:v>-4.5135435151744119E-3</c:v>
                </c:pt>
                <c:pt idx="667">
                  <c:v>-4.4965152645926043E-3</c:v>
                </c:pt>
                <c:pt idx="668">
                  <c:v>-4.4760468254892993E-3</c:v>
                </c:pt>
                <c:pt idx="669">
                  <c:v>-4.451956063162843E-3</c:v>
                </c:pt>
                <c:pt idx="670">
                  <c:v>-4.4321596111364103E-3</c:v>
                </c:pt>
                <c:pt idx="671">
                  <c:v>-4.4160742352459259E-3</c:v>
                </c:pt>
                <c:pt idx="672">
                  <c:v>-4.4044098408728694E-3</c:v>
                </c:pt>
                <c:pt idx="673">
                  <c:v>-4.3948865299088258E-3</c:v>
                </c:pt>
                <c:pt idx="674">
                  <c:v>-4.3840913915792479E-3</c:v>
                </c:pt>
                <c:pt idx="675">
                  <c:v>-4.3745690505864188E-3</c:v>
                </c:pt>
                <c:pt idx="676">
                  <c:v>-4.3626958027036533E-3</c:v>
                </c:pt>
                <c:pt idx="677">
                  <c:v>-4.3460245191155877E-3</c:v>
                </c:pt>
                <c:pt idx="678">
                  <c:v>-4.3313124123334212E-3</c:v>
                </c:pt>
                <c:pt idx="679">
                  <c:v>-4.3226071114190745E-3</c:v>
                </c:pt>
                <c:pt idx="680">
                  <c:v>-4.3132544448956089E-3</c:v>
                </c:pt>
                <c:pt idx="681">
                  <c:v>-4.3035855367146159E-3</c:v>
                </c:pt>
                <c:pt idx="682">
                  <c:v>-4.2938408466427491E-3</c:v>
                </c:pt>
                <c:pt idx="683">
                  <c:v>-4.2803161584875626E-3</c:v>
                </c:pt>
                <c:pt idx="684">
                  <c:v>-4.2643588653258346E-3</c:v>
                </c:pt>
                <c:pt idx="685">
                  <c:v>-4.2475088539285499E-3</c:v>
                </c:pt>
                <c:pt idx="686">
                  <c:v>-4.2308614072522621E-3</c:v>
                </c:pt>
                <c:pt idx="687">
                  <c:v>-4.2117317331820114E-3</c:v>
                </c:pt>
                <c:pt idx="688">
                  <c:v>-4.1910245893264086E-3</c:v>
                </c:pt>
                <c:pt idx="689">
                  <c:v>-4.1652522316113494E-3</c:v>
                </c:pt>
                <c:pt idx="690">
                  <c:v>-4.1338460064396232E-3</c:v>
                </c:pt>
                <c:pt idx="691">
                  <c:v>-4.1039391028195871E-3</c:v>
                </c:pt>
                <c:pt idx="692">
                  <c:v>-4.0744560751815317E-3</c:v>
                </c:pt>
                <c:pt idx="693">
                  <c:v>-4.0478396026312202E-3</c:v>
                </c:pt>
                <c:pt idx="694">
                  <c:v>-4.021214875933099E-3</c:v>
                </c:pt>
                <c:pt idx="695">
                  <c:v>-4.0025045003433402E-3</c:v>
                </c:pt>
                <c:pt idx="696">
                  <c:v>-3.9810050534158092E-3</c:v>
                </c:pt>
                <c:pt idx="697">
                  <c:v>-3.9633293512045809E-3</c:v>
                </c:pt>
                <c:pt idx="698">
                  <c:v>-3.9476737811612317E-3</c:v>
                </c:pt>
                <c:pt idx="699">
                  <c:v>-3.9285702688044433E-3</c:v>
                </c:pt>
                <c:pt idx="700">
                  <c:v>-3.9117353170632363E-3</c:v>
                </c:pt>
                <c:pt idx="701">
                  <c:v>-3.8985430199010018E-3</c:v>
                </c:pt>
                <c:pt idx="702">
                  <c:v>-3.8786391231540041E-3</c:v>
                </c:pt>
                <c:pt idx="703">
                  <c:v>-3.8518162169537407E-3</c:v>
                </c:pt>
                <c:pt idx="704">
                  <c:v>-3.8234028725978586E-3</c:v>
                </c:pt>
                <c:pt idx="705">
                  <c:v>-3.7964955763478692E-3</c:v>
                </c:pt>
                <c:pt idx="706">
                  <c:v>-3.7723994446940967E-3</c:v>
                </c:pt>
                <c:pt idx="707">
                  <c:v>-3.7443887113687291E-3</c:v>
                </c:pt>
                <c:pt idx="708">
                  <c:v>-3.7104939658666458E-3</c:v>
                </c:pt>
                <c:pt idx="709">
                  <c:v>-3.676503491975569E-3</c:v>
                </c:pt>
                <c:pt idx="710">
                  <c:v>-3.6483129605258124E-3</c:v>
                </c:pt>
                <c:pt idx="711">
                  <c:v>-3.6247587549258498E-3</c:v>
                </c:pt>
                <c:pt idx="712">
                  <c:v>-3.6023521878917331E-3</c:v>
                </c:pt>
                <c:pt idx="713">
                  <c:v>-3.5747545596812591E-3</c:v>
                </c:pt>
                <c:pt idx="714">
                  <c:v>-3.5522345127674271E-3</c:v>
                </c:pt>
                <c:pt idx="715">
                  <c:v>-3.5288188746699367E-3</c:v>
                </c:pt>
                <c:pt idx="716">
                  <c:v>-3.5080605023163347E-3</c:v>
                </c:pt>
                <c:pt idx="717">
                  <c:v>-3.4889225637924071E-3</c:v>
                </c:pt>
                <c:pt idx="718">
                  <c:v>-3.4656108274255804E-3</c:v>
                </c:pt>
                <c:pt idx="719">
                  <c:v>-3.4390061865030574E-3</c:v>
                </c:pt>
                <c:pt idx="720">
                  <c:v>-3.408394160338446E-3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959296"/>
        <c:axId val="437965952"/>
      </c:lineChart>
      <c:catAx>
        <c:axId val="437959296"/>
        <c:scaling>
          <c:orientation val="minMax"/>
        </c:scaling>
        <c:delete val="0"/>
        <c:axPos val="b"/>
        <c:majorTickMark val="out"/>
        <c:minorTickMark val="none"/>
        <c:tickLblPos val="nextTo"/>
        <c:crossAx val="437965952"/>
        <c:crosses val="autoZero"/>
        <c:auto val="1"/>
        <c:lblAlgn val="ctr"/>
        <c:lblOffset val="100"/>
        <c:noMultiLvlLbl val="0"/>
      </c:catAx>
      <c:valAx>
        <c:axId val="437965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7959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Feuil2!$S$12:$S$731</c:f>
              <c:numCache>
                <c:formatCode>General</c:formatCode>
                <c:ptCount val="720"/>
                <c:pt idx="0">
                  <c:v>4.97126692658834E-2</c:v>
                </c:pt>
                <c:pt idx="1">
                  <c:v>4.9626704241842443E-2</c:v>
                </c:pt>
                <c:pt idx="2">
                  <c:v>5.008385821700187E-2</c:v>
                </c:pt>
                <c:pt idx="3">
                  <c:v>5.0936834648007606E-2</c:v>
                </c:pt>
                <c:pt idx="4">
                  <c:v>5.0759111431317609E-2</c:v>
                </c:pt>
                <c:pt idx="5">
                  <c:v>5.1433046278426438E-2</c:v>
                </c:pt>
                <c:pt idx="6">
                  <c:v>5.1576185127121914E-2</c:v>
                </c:pt>
                <c:pt idx="7">
                  <c:v>5.1774596649838106E-2</c:v>
                </c:pt>
                <c:pt idx="8">
                  <c:v>5.1917263101087859E-2</c:v>
                </c:pt>
                <c:pt idx="9">
                  <c:v>5.206317741679943E-2</c:v>
                </c:pt>
                <c:pt idx="10">
                  <c:v>5.2422797279514564E-2</c:v>
                </c:pt>
                <c:pt idx="11">
                  <c:v>5.2509404029358067E-2</c:v>
                </c:pt>
                <c:pt idx="12">
                  <c:v>5.2617570533851243E-2</c:v>
                </c:pt>
                <c:pt idx="13">
                  <c:v>5.2748493102458403E-2</c:v>
                </c:pt>
                <c:pt idx="14">
                  <c:v>5.2593758939083718E-2</c:v>
                </c:pt>
                <c:pt idx="15">
                  <c:v>5.2420872165921534E-2</c:v>
                </c:pt>
                <c:pt idx="16">
                  <c:v>5.2787218254310195E-2</c:v>
                </c:pt>
                <c:pt idx="17">
                  <c:v>5.2708663910627243E-2</c:v>
                </c:pt>
                <c:pt idx="18">
                  <c:v>5.2896950494031626E-2</c:v>
                </c:pt>
                <c:pt idx="19">
                  <c:v>5.3060990995120773E-2</c:v>
                </c:pt>
                <c:pt idx="20">
                  <c:v>5.3100038307220168E-2</c:v>
                </c:pt>
                <c:pt idx="21">
                  <c:v>5.3508256924681759E-2</c:v>
                </c:pt>
                <c:pt idx="22">
                  <c:v>5.3964507515891873E-2</c:v>
                </c:pt>
                <c:pt idx="23">
                  <c:v>5.4220772201419666E-2</c:v>
                </c:pt>
                <c:pt idx="24">
                  <c:v>5.4530524993870122E-2</c:v>
                </c:pt>
                <c:pt idx="25">
                  <c:v>5.4785435895183122E-2</c:v>
                </c:pt>
                <c:pt idx="26">
                  <c:v>5.4906426926626416E-2</c:v>
                </c:pt>
                <c:pt idx="27">
                  <c:v>5.5125725583965758E-2</c:v>
                </c:pt>
                <c:pt idx="28">
                  <c:v>5.5221996233436127E-2</c:v>
                </c:pt>
                <c:pt idx="29">
                  <c:v>5.5434527257497312E-2</c:v>
                </c:pt>
                <c:pt idx="30">
                  <c:v>5.5820744042797757E-2</c:v>
                </c:pt>
                <c:pt idx="31">
                  <c:v>5.6139144536490236E-2</c:v>
                </c:pt>
                <c:pt idx="32">
                  <c:v>5.6461729280573969E-2</c:v>
                </c:pt>
                <c:pt idx="33">
                  <c:v>5.6589362354828102E-2</c:v>
                </c:pt>
                <c:pt idx="34">
                  <c:v>5.6932006050905752E-2</c:v>
                </c:pt>
                <c:pt idx="35">
                  <c:v>5.6992546438102289E-2</c:v>
                </c:pt>
                <c:pt idx="36">
                  <c:v>5.7357216188784255E-2</c:v>
                </c:pt>
                <c:pt idx="37">
                  <c:v>5.7519187816117409E-2</c:v>
                </c:pt>
                <c:pt idx="38">
                  <c:v>5.7699641267230962E-2</c:v>
                </c:pt>
                <c:pt idx="39">
                  <c:v>5.778808466682106E-2</c:v>
                </c:pt>
                <c:pt idx="40">
                  <c:v>5.7901574020499287E-2</c:v>
                </c:pt>
                <c:pt idx="41">
                  <c:v>5.8241466758082651E-2</c:v>
                </c:pt>
                <c:pt idx="42">
                  <c:v>5.8298442846799692E-2</c:v>
                </c:pt>
                <c:pt idx="43">
                  <c:v>5.8686771737906762E-2</c:v>
                </c:pt>
                <c:pt idx="44">
                  <c:v>5.8749362120300054E-2</c:v>
                </c:pt>
                <c:pt idx="45">
                  <c:v>5.8944877758623407E-2</c:v>
                </c:pt>
                <c:pt idx="46">
                  <c:v>5.9200260556003574E-2</c:v>
                </c:pt>
                <c:pt idx="47">
                  <c:v>5.9462612018783653E-2</c:v>
                </c:pt>
                <c:pt idx="48">
                  <c:v>5.974681421901986E-2</c:v>
                </c:pt>
                <c:pt idx="49">
                  <c:v>5.9975445735714152E-2</c:v>
                </c:pt>
                <c:pt idx="50">
                  <c:v>6.0180870078238809E-2</c:v>
                </c:pt>
                <c:pt idx="51">
                  <c:v>6.0653956823354213E-2</c:v>
                </c:pt>
                <c:pt idx="52">
                  <c:v>6.0819452265086622E-2</c:v>
                </c:pt>
                <c:pt idx="53">
                  <c:v>6.1232480121153954E-2</c:v>
                </c:pt>
                <c:pt idx="54">
                  <c:v>6.1386304207613838E-2</c:v>
                </c:pt>
                <c:pt idx="55">
                  <c:v>6.1621798259371523E-2</c:v>
                </c:pt>
                <c:pt idx="56">
                  <c:v>6.1944527076795763E-2</c:v>
                </c:pt>
                <c:pt idx="57">
                  <c:v>6.2116913311928798E-2</c:v>
                </c:pt>
                <c:pt idx="58">
                  <c:v>6.2116069632156989E-2</c:v>
                </c:pt>
                <c:pt idx="59">
                  <c:v>6.243874949189096E-2</c:v>
                </c:pt>
                <c:pt idx="60">
                  <c:v>6.2576267200555383E-2</c:v>
                </c:pt>
                <c:pt idx="61">
                  <c:v>6.2700533214389634E-2</c:v>
                </c:pt>
                <c:pt idx="62">
                  <c:v>6.300472667718747E-2</c:v>
                </c:pt>
                <c:pt idx="63">
                  <c:v>6.3342733367384996E-2</c:v>
                </c:pt>
                <c:pt idx="64">
                  <c:v>6.3635199041664398E-2</c:v>
                </c:pt>
                <c:pt idx="65">
                  <c:v>6.4077538820631275E-2</c:v>
                </c:pt>
                <c:pt idx="66">
                  <c:v>6.4436730968081266E-2</c:v>
                </c:pt>
                <c:pt idx="67">
                  <c:v>6.4667694439621323E-2</c:v>
                </c:pt>
                <c:pt idx="68">
                  <c:v>6.4709897582323123E-2</c:v>
                </c:pt>
                <c:pt idx="69">
                  <c:v>6.4837163586543609E-2</c:v>
                </c:pt>
                <c:pt idx="70">
                  <c:v>6.5176373133522383E-2</c:v>
                </c:pt>
                <c:pt idx="71">
                  <c:v>6.5323208965637022E-2</c:v>
                </c:pt>
                <c:pt idx="72">
                  <c:v>6.5330161944380488E-2</c:v>
                </c:pt>
                <c:pt idx="73">
                  <c:v>6.5399471398020825E-2</c:v>
                </c:pt>
                <c:pt idx="74">
                  <c:v>6.5729055517716684E-2</c:v>
                </c:pt>
                <c:pt idx="75">
                  <c:v>6.6140792904847256E-2</c:v>
                </c:pt>
                <c:pt idx="76">
                  <c:v>6.6429195662221746E-2</c:v>
                </c:pt>
                <c:pt idx="77">
                  <c:v>6.6814542195007487E-2</c:v>
                </c:pt>
                <c:pt idx="78">
                  <c:v>6.7024044402594476E-2</c:v>
                </c:pt>
                <c:pt idx="79">
                  <c:v>6.7288941255676665E-2</c:v>
                </c:pt>
                <c:pt idx="80">
                  <c:v>6.771493288073907E-2</c:v>
                </c:pt>
                <c:pt idx="81">
                  <c:v>6.7982647693329332E-2</c:v>
                </c:pt>
                <c:pt idx="82">
                  <c:v>6.8098828220263766E-2</c:v>
                </c:pt>
                <c:pt idx="83">
                  <c:v>6.8463855487145647E-2</c:v>
                </c:pt>
                <c:pt idx="84">
                  <c:v>6.8659938165262599E-2</c:v>
                </c:pt>
                <c:pt idx="85">
                  <c:v>6.9003914161084742E-2</c:v>
                </c:pt>
                <c:pt idx="86">
                  <c:v>6.9222399667825119E-2</c:v>
                </c:pt>
                <c:pt idx="87">
                  <c:v>6.9455055283258252E-2</c:v>
                </c:pt>
                <c:pt idx="88">
                  <c:v>6.964386519899371E-2</c:v>
                </c:pt>
                <c:pt idx="89">
                  <c:v>7.0028979677530953E-2</c:v>
                </c:pt>
                <c:pt idx="90">
                  <c:v>7.034163923115086E-2</c:v>
                </c:pt>
                <c:pt idx="91">
                  <c:v>7.0600574571497335E-2</c:v>
                </c:pt>
                <c:pt idx="92">
                  <c:v>7.0791205769587792E-2</c:v>
                </c:pt>
                <c:pt idx="93">
                  <c:v>7.0982702906353723E-2</c:v>
                </c:pt>
                <c:pt idx="94">
                  <c:v>7.1077599041245471E-2</c:v>
                </c:pt>
                <c:pt idx="95">
                  <c:v>7.1442315312468321E-2</c:v>
                </c:pt>
                <c:pt idx="96">
                  <c:v>7.1717185268176595E-2</c:v>
                </c:pt>
                <c:pt idx="97">
                  <c:v>7.1899988261658151E-2</c:v>
                </c:pt>
                <c:pt idx="98">
                  <c:v>7.2241451721848648E-2</c:v>
                </c:pt>
                <c:pt idx="99">
                  <c:v>7.2469858296596981E-2</c:v>
                </c:pt>
                <c:pt idx="100">
                  <c:v>7.2705508336625424E-2</c:v>
                </c:pt>
                <c:pt idx="101">
                  <c:v>7.3076540687698796E-2</c:v>
                </c:pt>
                <c:pt idx="102">
                  <c:v>7.3359702868625407E-2</c:v>
                </c:pt>
                <c:pt idx="103">
                  <c:v>7.3629149626151066E-2</c:v>
                </c:pt>
                <c:pt idx="104">
                  <c:v>7.3896099275808758E-2</c:v>
                </c:pt>
                <c:pt idx="105">
                  <c:v>7.4208294389928584E-2</c:v>
                </c:pt>
                <c:pt idx="106">
                  <c:v>7.4644988797882839E-2</c:v>
                </c:pt>
                <c:pt idx="107">
                  <c:v>7.4859175877759351E-2</c:v>
                </c:pt>
                <c:pt idx="108">
                  <c:v>7.5109443913174617E-2</c:v>
                </c:pt>
                <c:pt idx="109">
                  <c:v>7.5465348767204052E-2</c:v>
                </c:pt>
                <c:pt idx="110">
                  <c:v>7.5682299588190019E-2</c:v>
                </c:pt>
                <c:pt idx="111">
                  <c:v>7.5993667647190288E-2</c:v>
                </c:pt>
                <c:pt idx="112">
                  <c:v>7.633924683524336E-2</c:v>
                </c:pt>
                <c:pt idx="113">
                  <c:v>7.6628891641973632E-2</c:v>
                </c:pt>
                <c:pt idx="114">
                  <c:v>7.6900396854421446E-2</c:v>
                </c:pt>
                <c:pt idx="115">
                  <c:v>7.7227419245635406E-2</c:v>
                </c:pt>
                <c:pt idx="116">
                  <c:v>7.7435386545239238E-2</c:v>
                </c:pt>
                <c:pt idx="117">
                  <c:v>7.7760486764698614E-2</c:v>
                </c:pt>
                <c:pt idx="118">
                  <c:v>7.7982721109209577E-2</c:v>
                </c:pt>
                <c:pt idx="119">
                  <c:v>7.8226021734105422E-2</c:v>
                </c:pt>
                <c:pt idx="120">
                  <c:v>7.8495165787249827E-2</c:v>
                </c:pt>
                <c:pt idx="121">
                  <c:v>7.8638246971625025E-2</c:v>
                </c:pt>
                <c:pt idx="122">
                  <c:v>7.8922341389703235E-2</c:v>
                </c:pt>
                <c:pt idx="123">
                  <c:v>7.9186544957114496E-2</c:v>
                </c:pt>
                <c:pt idx="124">
                  <c:v>7.9532469313547807E-2</c:v>
                </c:pt>
                <c:pt idx="125">
                  <c:v>7.9683482051512114E-2</c:v>
                </c:pt>
                <c:pt idx="126">
                  <c:v>7.9803389928207236E-2</c:v>
                </c:pt>
                <c:pt idx="127">
                  <c:v>8.0013378608003477E-2</c:v>
                </c:pt>
                <c:pt idx="128">
                  <c:v>8.0293726304124402E-2</c:v>
                </c:pt>
                <c:pt idx="129">
                  <c:v>8.0517035347866556E-2</c:v>
                </c:pt>
                <c:pt idx="130">
                  <c:v>8.0724552860620108E-2</c:v>
                </c:pt>
                <c:pt idx="131">
                  <c:v>8.098745135369842E-2</c:v>
                </c:pt>
                <c:pt idx="132">
                  <c:v>8.1370629910626033E-2</c:v>
                </c:pt>
                <c:pt idx="133">
                  <c:v>8.1539359438892747E-2</c:v>
                </c:pt>
                <c:pt idx="134">
                  <c:v>8.1790444221238587E-2</c:v>
                </c:pt>
                <c:pt idx="135">
                  <c:v>8.2066369680249898E-2</c:v>
                </c:pt>
                <c:pt idx="136">
                  <c:v>8.2213776511830552E-2</c:v>
                </c:pt>
                <c:pt idx="137">
                  <c:v>8.2468001507320948E-2</c:v>
                </c:pt>
                <c:pt idx="138">
                  <c:v>8.2776900688785252E-2</c:v>
                </c:pt>
                <c:pt idx="139">
                  <c:v>8.2976483260617781E-2</c:v>
                </c:pt>
                <c:pt idx="140">
                  <c:v>8.3189025140724321E-2</c:v>
                </c:pt>
                <c:pt idx="141">
                  <c:v>8.3451185010788118E-2</c:v>
                </c:pt>
                <c:pt idx="142">
                  <c:v>8.3753266805844412E-2</c:v>
                </c:pt>
                <c:pt idx="143">
                  <c:v>8.3989976770194111E-2</c:v>
                </c:pt>
                <c:pt idx="144">
                  <c:v>8.4270493452426182E-2</c:v>
                </c:pt>
                <c:pt idx="145">
                  <c:v>8.4569880783650506E-2</c:v>
                </c:pt>
                <c:pt idx="146">
                  <c:v>8.4960438675786287E-2</c:v>
                </c:pt>
                <c:pt idx="147">
                  <c:v>8.5176414088711419E-2</c:v>
                </c:pt>
                <c:pt idx="148">
                  <c:v>8.5624225241966834E-2</c:v>
                </c:pt>
                <c:pt idx="149">
                  <c:v>8.5791514192569474E-2</c:v>
                </c:pt>
                <c:pt idx="150">
                  <c:v>8.606987748197574E-2</c:v>
                </c:pt>
                <c:pt idx="151">
                  <c:v>8.6392856372513732E-2</c:v>
                </c:pt>
                <c:pt idx="152">
                  <c:v>8.6610803650548962E-2</c:v>
                </c:pt>
                <c:pt idx="153">
                  <c:v>8.6841441764370045E-2</c:v>
                </c:pt>
                <c:pt idx="154">
                  <c:v>8.7131721108499371E-2</c:v>
                </c:pt>
                <c:pt idx="155">
                  <c:v>8.7469667255845651E-2</c:v>
                </c:pt>
                <c:pt idx="156">
                  <c:v>8.7635497569535398E-2</c:v>
                </c:pt>
                <c:pt idx="157">
                  <c:v>8.7873153591939354E-2</c:v>
                </c:pt>
                <c:pt idx="158">
                  <c:v>8.8287804221511945E-2</c:v>
                </c:pt>
                <c:pt idx="159">
                  <c:v>8.8559503375012741E-2</c:v>
                </c:pt>
                <c:pt idx="160">
                  <c:v>8.8821702380503215E-2</c:v>
                </c:pt>
                <c:pt idx="161">
                  <c:v>8.9107948343225052E-2</c:v>
                </c:pt>
                <c:pt idx="162">
                  <c:v>8.9388124948345318E-2</c:v>
                </c:pt>
                <c:pt idx="163">
                  <c:v>8.96495989315685E-2</c:v>
                </c:pt>
                <c:pt idx="164">
                  <c:v>8.9935912888288116E-2</c:v>
                </c:pt>
                <c:pt idx="165">
                  <c:v>9.021624134128968E-2</c:v>
                </c:pt>
                <c:pt idx="166">
                  <c:v>9.0396092316707116E-2</c:v>
                </c:pt>
                <c:pt idx="167">
                  <c:v>9.0695869533919796E-2</c:v>
                </c:pt>
                <c:pt idx="168">
                  <c:v>9.0923931043428677E-2</c:v>
                </c:pt>
                <c:pt idx="169">
                  <c:v>9.1241165924419804E-2</c:v>
                </c:pt>
                <c:pt idx="170">
                  <c:v>9.1522242417644978E-2</c:v>
                </c:pt>
                <c:pt idx="171">
                  <c:v>9.1791940743010711E-2</c:v>
                </c:pt>
                <c:pt idx="172">
                  <c:v>9.2094504062874144E-2</c:v>
                </c:pt>
                <c:pt idx="173">
                  <c:v>9.2437324653999342E-2</c:v>
                </c:pt>
                <c:pt idx="174">
                  <c:v>9.2691533900853398E-2</c:v>
                </c:pt>
                <c:pt idx="175">
                  <c:v>9.3086955893255802E-2</c:v>
                </c:pt>
                <c:pt idx="176">
                  <c:v>9.3341898870012471E-2</c:v>
                </c:pt>
                <c:pt idx="177">
                  <c:v>9.3526713104574444E-2</c:v>
                </c:pt>
                <c:pt idx="178">
                  <c:v>9.3727606721798806E-2</c:v>
                </c:pt>
                <c:pt idx="179">
                  <c:v>9.4098613665549641E-2</c:v>
                </c:pt>
                <c:pt idx="180">
                  <c:v>9.4332051681420656E-2</c:v>
                </c:pt>
                <c:pt idx="181">
                  <c:v>9.4537859200438557E-2</c:v>
                </c:pt>
                <c:pt idx="182">
                  <c:v>9.4738526938031489E-2</c:v>
                </c:pt>
                <c:pt idx="183">
                  <c:v>9.5073734932833914E-2</c:v>
                </c:pt>
                <c:pt idx="184">
                  <c:v>9.5340081794517778E-2</c:v>
                </c:pt>
                <c:pt idx="185">
                  <c:v>9.5624092217800091E-2</c:v>
                </c:pt>
                <c:pt idx="186">
                  <c:v>9.5869547903048705E-2</c:v>
                </c:pt>
                <c:pt idx="187">
                  <c:v>9.6018011487810556E-2</c:v>
                </c:pt>
                <c:pt idx="188">
                  <c:v>9.6254418896281516E-2</c:v>
                </c:pt>
                <c:pt idx="189">
                  <c:v>9.6493855960180799E-2</c:v>
                </c:pt>
                <c:pt idx="190">
                  <c:v>9.6741306717393061E-2</c:v>
                </c:pt>
                <c:pt idx="191">
                  <c:v>9.7064431362009151E-2</c:v>
                </c:pt>
                <c:pt idx="192">
                  <c:v>9.7359780469423757E-2</c:v>
                </c:pt>
                <c:pt idx="193">
                  <c:v>9.767908082329467E-2</c:v>
                </c:pt>
                <c:pt idx="194">
                  <c:v>9.795923525810378E-2</c:v>
                </c:pt>
                <c:pt idx="195">
                  <c:v>9.8307676519546111E-2</c:v>
                </c:pt>
                <c:pt idx="196">
                  <c:v>9.867532783817598E-2</c:v>
                </c:pt>
                <c:pt idx="197">
                  <c:v>9.8954647140669094E-2</c:v>
                </c:pt>
                <c:pt idx="198">
                  <c:v>9.9274909692964375E-2</c:v>
                </c:pt>
                <c:pt idx="199">
                  <c:v>9.9531018797019116E-2</c:v>
                </c:pt>
                <c:pt idx="200">
                  <c:v>9.9834920136096947E-2</c:v>
                </c:pt>
                <c:pt idx="201">
                  <c:v>0.10010501533630045</c:v>
                </c:pt>
                <c:pt idx="202">
                  <c:v>0.10040226753293582</c:v>
                </c:pt>
                <c:pt idx="203">
                  <c:v>0.10067158168937079</c:v>
                </c:pt>
                <c:pt idx="204">
                  <c:v>0.10090351638461852</c:v>
                </c:pt>
                <c:pt idx="205">
                  <c:v>0.101233086880519</c:v>
                </c:pt>
                <c:pt idx="206">
                  <c:v>0.10148755434902268</c:v>
                </c:pt>
                <c:pt idx="207">
                  <c:v>0.10167064054421115</c:v>
                </c:pt>
                <c:pt idx="208">
                  <c:v>0.10199114282508248</c:v>
                </c:pt>
                <c:pt idx="209">
                  <c:v>0.1022908627823392</c:v>
                </c:pt>
                <c:pt idx="210">
                  <c:v>0.10260877860210388</c:v>
                </c:pt>
                <c:pt idx="211">
                  <c:v>0.10285059897762892</c:v>
                </c:pt>
                <c:pt idx="212">
                  <c:v>0.10320055053390165</c:v>
                </c:pt>
                <c:pt idx="213">
                  <c:v>0.10344983942026645</c:v>
                </c:pt>
                <c:pt idx="214">
                  <c:v>0.10357313759054725</c:v>
                </c:pt>
                <c:pt idx="215">
                  <c:v>0.10382236588473182</c:v>
                </c:pt>
                <c:pt idx="216">
                  <c:v>0.10400408776238801</c:v>
                </c:pt>
                <c:pt idx="217">
                  <c:v>0.1043084989747514</c:v>
                </c:pt>
                <c:pt idx="218">
                  <c:v>0.10448494037179663</c:v>
                </c:pt>
                <c:pt idx="219">
                  <c:v>0.10475123467179449</c:v>
                </c:pt>
                <c:pt idx="220">
                  <c:v>0.10493718266001692</c:v>
                </c:pt>
                <c:pt idx="221">
                  <c:v>0.10522407849886341</c:v>
                </c:pt>
                <c:pt idx="222">
                  <c:v>0.10553271883282446</c:v>
                </c:pt>
                <c:pt idx="223">
                  <c:v>0.10582882082922519</c:v>
                </c:pt>
                <c:pt idx="224">
                  <c:v>0.10613430870060667</c:v>
                </c:pt>
                <c:pt idx="225">
                  <c:v>0.10639040656273424</c:v>
                </c:pt>
                <c:pt idx="226">
                  <c:v>0.1066679551733208</c:v>
                </c:pt>
                <c:pt idx="227">
                  <c:v>0.10685137364858205</c:v>
                </c:pt>
                <c:pt idx="228">
                  <c:v>0.10707239558416032</c:v>
                </c:pt>
                <c:pt idx="229">
                  <c:v>0.1073725901344845</c:v>
                </c:pt>
                <c:pt idx="230">
                  <c:v>0.10763341261508108</c:v>
                </c:pt>
                <c:pt idx="231">
                  <c:v>0.10783522036574987</c:v>
                </c:pt>
                <c:pt idx="232">
                  <c:v>0.10801402029515882</c:v>
                </c:pt>
                <c:pt idx="233">
                  <c:v>0.10820066379524285</c:v>
                </c:pt>
                <c:pt idx="234">
                  <c:v>0.10841647539326436</c:v>
                </c:pt>
                <c:pt idx="235">
                  <c:v>0.10877218871714182</c:v>
                </c:pt>
                <c:pt idx="236">
                  <c:v>0.10900207576641874</c:v>
                </c:pt>
                <c:pt idx="237">
                  <c:v>0.10921731774158941</c:v>
                </c:pt>
                <c:pt idx="238">
                  <c:v>0.10938269114116064</c:v>
                </c:pt>
                <c:pt idx="239">
                  <c:v>0.10966792848454145</c:v>
                </c:pt>
                <c:pt idx="240">
                  <c:v>0.10990975750594557</c:v>
                </c:pt>
                <c:pt idx="241">
                  <c:v>0.11010746674709536</c:v>
                </c:pt>
                <c:pt idx="242">
                  <c:v>0.11032836736272314</c:v>
                </c:pt>
                <c:pt idx="243">
                  <c:v>0.11051469154768565</c:v>
                </c:pt>
                <c:pt idx="244">
                  <c:v>0.1108363563259772</c:v>
                </c:pt>
                <c:pt idx="245">
                  <c:v>0.11107365122482428</c:v>
                </c:pt>
                <c:pt idx="246">
                  <c:v>0.11138731937347179</c:v>
                </c:pt>
                <c:pt idx="247">
                  <c:v>0.11165492033974769</c:v>
                </c:pt>
                <c:pt idx="248">
                  <c:v>0.1118776546295263</c:v>
                </c:pt>
                <c:pt idx="249">
                  <c:v>0.11213749562924429</c:v>
                </c:pt>
                <c:pt idx="250">
                  <c:v>0.1123512459418522</c:v>
                </c:pt>
                <c:pt idx="251">
                  <c:v>0.11262298832144768</c:v>
                </c:pt>
                <c:pt idx="252">
                  <c:v>0.11279579327897189</c:v>
                </c:pt>
                <c:pt idx="253">
                  <c:v>0.11307815862056966</c:v>
                </c:pt>
                <c:pt idx="254">
                  <c:v>0.11335354441931303</c:v>
                </c:pt>
                <c:pt idx="255">
                  <c:v>0.11369798699956403</c:v>
                </c:pt>
                <c:pt idx="256">
                  <c:v>0.11394904529345642</c:v>
                </c:pt>
                <c:pt idx="257">
                  <c:v>0.11409596299035007</c:v>
                </c:pt>
                <c:pt idx="258">
                  <c:v>0.1143558224401431</c:v>
                </c:pt>
                <c:pt idx="259">
                  <c:v>0.11458963213431943</c:v>
                </c:pt>
                <c:pt idx="260">
                  <c:v>0.11477242392646841</c:v>
                </c:pt>
                <c:pt idx="261">
                  <c:v>0.11503757598577172</c:v>
                </c:pt>
                <c:pt idx="262">
                  <c:v>0.11529554483153343</c:v>
                </c:pt>
                <c:pt idx="263">
                  <c:v>0.11551241359001442</c:v>
                </c:pt>
                <c:pt idx="264">
                  <c:v>0.11568123789658873</c:v>
                </c:pt>
                <c:pt idx="265">
                  <c:v>0.11586722225048046</c:v>
                </c:pt>
                <c:pt idx="266">
                  <c:v>0.11605200388959658</c:v>
                </c:pt>
                <c:pt idx="267">
                  <c:v>0.11623628529750793</c:v>
                </c:pt>
                <c:pt idx="268">
                  <c:v>0.11648743428560426</c:v>
                </c:pt>
                <c:pt idx="269">
                  <c:v>0.11674678154408037</c:v>
                </c:pt>
                <c:pt idx="270">
                  <c:v>0.11698612283181052</c:v>
                </c:pt>
                <c:pt idx="271">
                  <c:v>0.11722087330996023</c:v>
                </c:pt>
                <c:pt idx="272">
                  <c:v>0.11751622761884956</c:v>
                </c:pt>
                <c:pt idx="273">
                  <c:v>0.11772487149012316</c:v>
                </c:pt>
                <c:pt idx="274">
                  <c:v>0.11808350983748576</c:v>
                </c:pt>
                <c:pt idx="275">
                  <c:v>0.11833128814351773</c:v>
                </c:pt>
                <c:pt idx="276">
                  <c:v>0.1185829232084102</c:v>
                </c:pt>
                <c:pt idx="277">
                  <c:v>0.11872552923117098</c:v>
                </c:pt>
                <c:pt idx="278">
                  <c:v>0.11902217028212239</c:v>
                </c:pt>
                <c:pt idx="279">
                  <c:v>0.11921892279847926</c:v>
                </c:pt>
                <c:pt idx="280">
                  <c:v>0.1194541060234936</c:v>
                </c:pt>
                <c:pt idx="281">
                  <c:v>0.11968260802503433</c:v>
                </c:pt>
                <c:pt idx="282">
                  <c:v>0.11991186121674581</c:v>
                </c:pt>
                <c:pt idx="283">
                  <c:v>0.12016519457386846</c:v>
                </c:pt>
                <c:pt idx="284">
                  <c:v>0.12037191713597463</c:v>
                </c:pt>
                <c:pt idx="285">
                  <c:v>0.12060551767455405</c:v>
                </c:pt>
                <c:pt idx="286">
                  <c:v>0.12079706304492864</c:v>
                </c:pt>
                <c:pt idx="287">
                  <c:v>0.1210649371191749</c:v>
                </c:pt>
                <c:pt idx="288">
                  <c:v>0.12125810714348778</c:v>
                </c:pt>
                <c:pt idx="289">
                  <c:v>0.12141446751751211</c:v>
                </c:pt>
                <c:pt idx="290">
                  <c:v>0.1215666617188491</c:v>
                </c:pt>
                <c:pt idx="291">
                  <c:v>0.12184304309977688</c:v>
                </c:pt>
                <c:pt idx="292">
                  <c:v>0.12209761195319245</c:v>
                </c:pt>
                <c:pt idx="293">
                  <c:v>0.12231946766514119</c:v>
                </c:pt>
                <c:pt idx="294">
                  <c:v>0.12261851387120191</c:v>
                </c:pt>
                <c:pt idx="295">
                  <c:v>0.12279393876213483</c:v>
                </c:pt>
                <c:pt idx="296">
                  <c:v>0.12299371847419673</c:v>
                </c:pt>
                <c:pt idx="297">
                  <c:v>0.12319303643990592</c:v>
                </c:pt>
                <c:pt idx="298">
                  <c:v>0.12336176111674257</c:v>
                </c:pt>
                <c:pt idx="299">
                  <c:v>0.12366475534061432</c:v>
                </c:pt>
                <c:pt idx="300">
                  <c:v>0.12394647582539037</c:v>
                </c:pt>
                <c:pt idx="301">
                  <c:v>0.12413201345236057</c:v>
                </c:pt>
                <c:pt idx="302">
                  <c:v>0.12443925523425417</c:v>
                </c:pt>
                <c:pt idx="303">
                  <c:v>0.12467737299156248</c:v>
                </c:pt>
                <c:pt idx="304">
                  <c:v>0.12488205007636104</c:v>
                </c:pt>
                <c:pt idx="305">
                  <c:v>0.12509136404884846</c:v>
                </c:pt>
                <c:pt idx="306">
                  <c:v>0.12531699504958496</c:v>
                </c:pt>
                <c:pt idx="307">
                  <c:v>0.12557901670981242</c:v>
                </c:pt>
                <c:pt idx="308">
                  <c:v>0.12580147428765145</c:v>
                </c:pt>
                <c:pt idx="309">
                  <c:v>0.12602004283540483</c:v>
                </c:pt>
                <c:pt idx="310">
                  <c:v>0.12618503078302754</c:v>
                </c:pt>
                <c:pt idx="311">
                  <c:v>0.12638658346620796</c:v>
                </c:pt>
                <c:pt idx="312">
                  <c:v>0.12661648575770362</c:v>
                </c:pt>
                <c:pt idx="313">
                  <c:v>0.12690651503134201</c:v>
                </c:pt>
                <c:pt idx="314">
                  <c:v>0.12716419761775027</c:v>
                </c:pt>
                <c:pt idx="315">
                  <c:v>0.12742021281751328</c:v>
                </c:pt>
                <c:pt idx="316">
                  <c:v>0.1276214061006391</c:v>
                </c:pt>
                <c:pt idx="317">
                  <c:v>0.12781828771981249</c:v>
                </c:pt>
                <c:pt idx="318">
                  <c:v>0.12805767744023056</c:v>
                </c:pt>
                <c:pt idx="319">
                  <c:v>0.12829741181455273</c:v>
                </c:pt>
                <c:pt idx="320">
                  <c:v>0.12849492152561523</c:v>
                </c:pt>
                <c:pt idx="321">
                  <c:v>0.12868886094506735</c:v>
                </c:pt>
                <c:pt idx="322">
                  <c:v>0.12893784694138244</c:v>
                </c:pt>
                <c:pt idx="323">
                  <c:v>0.12916871175059313</c:v>
                </c:pt>
                <c:pt idx="324">
                  <c:v>0.12938715309565138</c:v>
                </c:pt>
                <c:pt idx="325">
                  <c:v>0.12960962997458689</c:v>
                </c:pt>
                <c:pt idx="326">
                  <c:v>0.12984485618129973</c:v>
                </c:pt>
                <c:pt idx="327">
                  <c:v>0.1299348971932828</c:v>
                </c:pt>
                <c:pt idx="328">
                  <c:v>0.13011779528511166</c:v>
                </c:pt>
                <c:pt idx="329">
                  <c:v>0.13038895103730669</c:v>
                </c:pt>
                <c:pt idx="330">
                  <c:v>0.13057744934226412</c:v>
                </c:pt>
                <c:pt idx="331">
                  <c:v>0.13076686477856261</c:v>
                </c:pt>
                <c:pt idx="332">
                  <c:v>0.13101064261489012</c:v>
                </c:pt>
                <c:pt idx="333">
                  <c:v>0.13131636607786792</c:v>
                </c:pt>
                <c:pt idx="334">
                  <c:v>0.13151836377603762</c:v>
                </c:pt>
                <c:pt idx="335">
                  <c:v>0.13167753136703378</c:v>
                </c:pt>
                <c:pt idx="336">
                  <c:v>0.13192582256195098</c:v>
                </c:pt>
                <c:pt idx="337">
                  <c:v>0.13209690188652951</c:v>
                </c:pt>
                <c:pt idx="338">
                  <c:v>0.13231185790971473</c:v>
                </c:pt>
                <c:pt idx="339">
                  <c:v>0.13256829772439208</c:v>
                </c:pt>
                <c:pt idx="340">
                  <c:v>0.13279255817773536</c:v>
                </c:pt>
                <c:pt idx="341">
                  <c:v>0.1328991508251875</c:v>
                </c:pt>
                <c:pt idx="342">
                  <c:v>0.13306947565563979</c:v>
                </c:pt>
                <c:pt idx="343">
                  <c:v>0.133319013705892</c:v>
                </c:pt>
                <c:pt idx="344">
                  <c:v>0.13349298026963641</c:v>
                </c:pt>
                <c:pt idx="345">
                  <c:v>0.13374615083434346</c:v>
                </c:pt>
                <c:pt idx="346">
                  <c:v>0.13392551896499927</c:v>
                </c:pt>
                <c:pt idx="347">
                  <c:v>0.13408184959023561</c:v>
                </c:pt>
                <c:pt idx="348">
                  <c:v>0.13431889727863391</c:v>
                </c:pt>
                <c:pt idx="349">
                  <c:v>0.13454839097425531</c:v>
                </c:pt>
                <c:pt idx="350">
                  <c:v>0.13469086113017636</c:v>
                </c:pt>
                <c:pt idx="351">
                  <c:v>0.13488921409858254</c:v>
                </c:pt>
                <c:pt idx="352">
                  <c:v>0.13508475002901391</c:v>
                </c:pt>
                <c:pt idx="353">
                  <c:v>0.1352612038073838</c:v>
                </c:pt>
                <c:pt idx="354">
                  <c:v>0.13554729504404275</c:v>
                </c:pt>
                <c:pt idx="355">
                  <c:v>0.13567383675159461</c:v>
                </c:pt>
                <c:pt idx="356">
                  <c:v>0.13583811185663591</c:v>
                </c:pt>
                <c:pt idx="357">
                  <c:v>0.13606738034649815</c:v>
                </c:pt>
                <c:pt idx="358">
                  <c:v>0.13624080822546278</c:v>
                </c:pt>
                <c:pt idx="359">
                  <c:v>0.13648425933531583</c:v>
                </c:pt>
                <c:pt idx="360">
                  <c:v>0.13667962172168488</c:v>
                </c:pt>
                <c:pt idx="361">
                  <c:v>0.13692413243712215</c:v>
                </c:pt>
                <c:pt idx="362">
                  <c:v>0.1370790048501335</c:v>
                </c:pt>
                <c:pt idx="363">
                  <c:v>0.13719117357802188</c:v>
                </c:pt>
                <c:pt idx="364">
                  <c:v>0.13740003893347064</c:v>
                </c:pt>
                <c:pt idx="365">
                  <c:v>0.1376493025397407</c:v>
                </c:pt>
                <c:pt idx="366">
                  <c:v>0.13781693857325697</c:v>
                </c:pt>
                <c:pt idx="367">
                  <c:v>0.13796759645740411</c:v>
                </c:pt>
                <c:pt idx="368">
                  <c:v>0.13809880777396275</c:v>
                </c:pt>
                <c:pt idx="369">
                  <c:v>0.13824343088098853</c:v>
                </c:pt>
                <c:pt idx="370">
                  <c:v>0.13851329407366794</c:v>
                </c:pt>
                <c:pt idx="371">
                  <c:v>0.13871235955992639</c:v>
                </c:pt>
                <c:pt idx="372">
                  <c:v>0.13890492299830953</c:v>
                </c:pt>
                <c:pt idx="373">
                  <c:v>0.13912251978899948</c:v>
                </c:pt>
                <c:pt idx="374">
                  <c:v>0.13935284546264812</c:v>
                </c:pt>
                <c:pt idx="375">
                  <c:v>0.13957188410797006</c:v>
                </c:pt>
                <c:pt idx="376">
                  <c:v>0.13972830478891315</c:v>
                </c:pt>
                <c:pt idx="377">
                  <c:v>0.13994717685097036</c:v>
                </c:pt>
                <c:pt idx="378">
                  <c:v>0.14019524292810134</c:v>
                </c:pt>
                <c:pt idx="379">
                  <c:v>0.14036884748693751</c:v>
                </c:pt>
                <c:pt idx="380">
                  <c:v>0.14061057243134295</c:v>
                </c:pt>
                <c:pt idx="381">
                  <c:v>0.14082404781262964</c:v>
                </c:pt>
                <c:pt idx="382">
                  <c:v>0.14105204147976247</c:v>
                </c:pt>
                <c:pt idx="383">
                  <c:v>0.14123166814614721</c:v>
                </c:pt>
                <c:pt idx="384">
                  <c:v>0.1414499256374564</c:v>
                </c:pt>
                <c:pt idx="385">
                  <c:v>0.14161699339990649</c:v>
                </c:pt>
                <c:pt idx="386">
                  <c:v>0.1418566297947256</c:v>
                </c:pt>
                <c:pt idx="387">
                  <c:v>0.1420891051700526</c:v>
                </c:pt>
                <c:pt idx="388">
                  <c:v>0.14233248658057226</c:v>
                </c:pt>
                <c:pt idx="389">
                  <c:v>0.14256387834745013</c:v>
                </c:pt>
                <c:pt idx="390">
                  <c:v>0.14276279248026491</c:v>
                </c:pt>
                <c:pt idx="391">
                  <c:v>0.14301111372830028</c:v>
                </c:pt>
                <c:pt idx="392">
                  <c:v>0.14313140280469513</c:v>
                </c:pt>
                <c:pt idx="393">
                  <c:v>0.14329616811860085</c:v>
                </c:pt>
                <c:pt idx="394">
                  <c:v>0.14345227989528411</c:v>
                </c:pt>
                <c:pt idx="395">
                  <c:v>0.14361810022176696</c:v>
                </c:pt>
                <c:pt idx="396">
                  <c:v>0.14384672594579936</c:v>
                </c:pt>
                <c:pt idx="397">
                  <c:v>0.14397886912311364</c:v>
                </c:pt>
                <c:pt idx="398">
                  <c:v>0.1441650237773146</c:v>
                </c:pt>
                <c:pt idx="399">
                  <c:v>0.14428640856487229</c:v>
                </c:pt>
                <c:pt idx="400">
                  <c:v>0.14448078456590849</c:v>
                </c:pt>
                <c:pt idx="401">
                  <c:v>0.1446330636169787</c:v>
                </c:pt>
                <c:pt idx="402">
                  <c:v>0.14484790005920889</c:v>
                </c:pt>
                <c:pt idx="403">
                  <c:v>0.14503252631233099</c:v>
                </c:pt>
                <c:pt idx="404">
                  <c:v>0.14520437318666918</c:v>
                </c:pt>
                <c:pt idx="405">
                  <c:v>0.14541301960397993</c:v>
                </c:pt>
                <c:pt idx="406">
                  <c:v>0.14562507118316451</c:v>
                </c:pt>
                <c:pt idx="407">
                  <c:v>0.14578560204119767</c:v>
                </c:pt>
                <c:pt idx="408">
                  <c:v>0.14597396419526151</c:v>
                </c:pt>
                <c:pt idx="409">
                  <c:v>0.14610567975018102</c:v>
                </c:pt>
                <c:pt idx="410">
                  <c:v>0.14627180912192231</c:v>
                </c:pt>
                <c:pt idx="411">
                  <c:v>0.14651259566829553</c:v>
                </c:pt>
                <c:pt idx="412">
                  <c:v>0.14671449784585971</c:v>
                </c:pt>
                <c:pt idx="413">
                  <c:v>0.14685839809908274</c:v>
                </c:pt>
                <c:pt idx="414">
                  <c:v>0.14704419125491711</c:v>
                </c:pt>
                <c:pt idx="415">
                  <c:v>0.14721552245005193</c:v>
                </c:pt>
                <c:pt idx="416">
                  <c:v>0.14738602898537764</c:v>
                </c:pt>
                <c:pt idx="417">
                  <c:v>0.14755036544744554</c:v>
                </c:pt>
                <c:pt idx="418">
                  <c:v>0.14775510063265102</c:v>
                </c:pt>
                <c:pt idx="419">
                  <c:v>0.1479936960349226</c:v>
                </c:pt>
                <c:pt idx="420">
                  <c:v>0.14820698083936981</c:v>
                </c:pt>
                <c:pt idx="421">
                  <c:v>0.14842381028052487</c:v>
                </c:pt>
                <c:pt idx="422">
                  <c:v>0.14862990800368636</c:v>
                </c:pt>
                <c:pt idx="423">
                  <c:v>0.14874720819874268</c:v>
                </c:pt>
                <c:pt idx="424">
                  <c:v>0.14887543864021924</c:v>
                </c:pt>
                <c:pt idx="425">
                  <c:v>0.14902074507730415</c:v>
                </c:pt>
                <c:pt idx="426">
                  <c:v>0.14917182602214543</c:v>
                </c:pt>
                <c:pt idx="427">
                  <c:v>0.14932037898734374</c:v>
                </c:pt>
                <c:pt idx="428">
                  <c:v>0.14945668525535524</c:v>
                </c:pt>
                <c:pt idx="429">
                  <c:v>0.14958085535219776</c:v>
                </c:pt>
                <c:pt idx="430">
                  <c:v>0.14965983386948553</c:v>
                </c:pt>
                <c:pt idx="431">
                  <c:v>0.14986914063619808</c:v>
                </c:pt>
                <c:pt idx="432">
                  <c:v>0.1500414900512072</c:v>
                </c:pt>
                <c:pt idx="433">
                  <c:v>0.15018009493350615</c:v>
                </c:pt>
                <c:pt idx="434">
                  <c:v>0.150340164065834</c:v>
                </c:pt>
                <c:pt idx="435">
                  <c:v>0.15048739436679151</c:v>
                </c:pt>
                <c:pt idx="436">
                  <c:v>0.15067172626215034</c:v>
                </c:pt>
                <c:pt idx="437">
                  <c:v>0.15083642868031988</c:v>
                </c:pt>
                <c:pt idx="438">
                  <c:v>0.15097854714637718</c:v>
                </c:pt>
                <c:pt idx="439">
                  <c:v>0.15113887931930542</c:v>
                </c:pt>
                <c:pt idx="440">
                  <c:v>0.15129993523378571</c:v>
                </c:pt>
                <c:pt idx="441">
                  <c:v>0.15144860973763868</c:v>
                </c:pt>
                <c:pt idx="442">
                  <c:v>0.15160598065407513</c:v>
                </c:pt>
                <c:pt idx="443">
                  <c:v>0.15170389719588137</c:v>
                </c:pt>
                <c:pt idx="444">
                  <c:v>0.15191265952139119</c:v>
                </c:pt>
                <c:pt idx="445">
                  <c:v>0.15207338210966445</c:v>
                </c:pt>
                <c:pt idx="446">
                  <c:v>0.15226905792314346</c:v>
                </c:pt>
                <c:pt idx="447">
                  <c:v>0.15244055446321242</c:v>
                </c:pt>
                <c:pt idx="448">
                  <c:v>0.15258740350603275</c:v>
                </c:pt>
                <c:pt idx="449">
                  <c:v>0.15284848403499546</c:v>
                </c:pt>
                <c:pt idx="450">
                  <c:v>0.15302372348915569</c:v>
                </c:pt>
                <c:pt idx="451">
                  <c:v>0.15324445536587983</c:v>
                </c:pt>
                <c:pt idx="452">
                  <c:v>0.15340386810203108</c:v>
                </c:pt>
                <c:pt idx="453">
                  <c:v>0.15357220517056086</c:v>
                </c:pt>
                <c:pt idx="454">
                  <c:v>0.15376474866194703</c:v>
                </c:pt>
                <c:pt idx="455">
                  <c:v>0.15394708474441693</c:v>
                </c:pt>
                <c:pt idx="456">
                  <c:v>0.15408656179174346</c:v>
                </c:pt>
                <c:pt idx="457">
                  <c:v>0.15424870328737161</c:v>
                </c:pt>
                <c:pt idx="458">
                  <c:v>0.15437644011030144</c:v>
                </c:pt>
                <c:pt idx="459">
                  <c:v>0.15454655267993256</c:v>
                </c:pt>
                <c:pt idx="460">
                  <c:v>0.15467742948613744</c:v>
                </c:pt>
                <c:pt idx="461">
                  <c:v>0.15482468414815162</c:v>
                </c:pt>
                <c:pt idx="462">
                  <c:v>0.15497185574441363</c:v>
                </c:pt>
                <c:pt idx="463">
                  <c:v>0.15507766968507597</c:v>
                </c:pt>
                <c:pt idx="464">
                  <c:v>0.15519050675064244</c:v>
                </c:pt>
                <c:pt idx="465">
                  <c:v>0.15534135726206927</c:v>
                </c:pt>
                <c:pt idx="466">
                  <c:v>0.15550658178315388</c:v>
                </c:pt>
                <c:pt idx="467">
                  <c:v>0.15566543097686461</c:v>
                </c:pt>
                <c:pt idx="468">
                  <c:v>0.15584814445299572</c:v>
                </c:pt>
                <c:pt idx="469">
                  <c:v>0.15597438744073458</c:v>
                </c:pt>
                <c:pt idx="470">
                  <c:v>0.15609531457422635</c:v>
                </c:pt>
                <c:pt idx="471">
                  <c:v>0.15619928545804451</c:v>
                </c:pt>
                <c:pt idx="472">
                  <c:v>0.15630717975574185</c:v>
                </c:pt>
                <c:pt idx="473">
                  <c:v>0.15647769921236601</c:v>
                </c:pt>
                <c:pt idx="474">
                  <c:v>0.1565574333099416</c:v>
                </c:pt>
                <c:pt idx="475">
                  <c:v>0.15668057046926939</c:v>
                </c:pt>
                <c:pt idx="476">
                  <c:v>0.15680441005088128</c:v>
                </c:pt>
                <c:pt idx="477">
                  <c:v>0.15699970527151888</c:v>
                </c:pt>
                <c:pt idx="478">
                  <c:v>0.1571805916805232</c:v>
                </c:pt>
                <c:pt idx="479">
                  <c:v>0.15725675343036283</c:v>
                </c:pt>
                <c:pt idx="480">
                  <c:v>0.1573601291267876</c:v>
                </c:pt>
                <c:pt idx="481">
                  <c:v>0.15749531667569672</c:v>
                </c:pt>
                <c:pt idx="482">
                  <c:v>0.15768957230450198</c:v>
                </c:pt>
                <c:pt idx="483">
                  <c:v>0.15786746498951149</c:v>
                </c:pt>
                <c:pt idx="484">
                  <c:v>0.1579806915606794</c:v>
                </c:pt>
                <c:pt idx="485">
                  <c:v>0.15811868462783524</c:v>
                </c:pt>
                <c:pt idx="486">
                  <c:v>0.15830315203092538</c:v>
                </c:pt>
                <c:pt idx="487">
                  <c:v>0.15851682191344252</c:v>
                </c:pt>
                <c:pt idx="488">
                  <c:v>0.1586763489871067</c:v>
                </c:pt>
                <c:pt idx="489">
                  <c:v>0.1588404886891428</c:v>
                </c:pt>
                <c:pt idx="490">
                  <c:v>0.15896004117240572</c:v>
                </c:pt>
                <c:pt idx="491">
                  <c:v>0.1591012016068192</c:v>
                </c:pt>
                <c:pt idx="492">
                  <c:v>0.15920267689523829</c:v>
                </c:pt>
                <c:pt idx="493">
                  <c:v>0.15933029541610497</c:v>
                </c:pt>
                <c:pt idx="494">
                  <c:v>0.1595136290995729</c:v>
                </c:pt>
                <c:pt idx="495">
                  <c:v>0.15960210308588688</c:v>
                </c:pt>
                <c:pt idx="496">
                  <c:v>0.15970468867620008</c:v>
                </c:pt>
                <c:pt idx="497">
                  <c:v>0.15985181160604184</c:v>
                </c:pt>
                <c:pt idx="498">
                  <c:v>0.15995381894689106</c:v>
                </c:pt>
                <c:pt idx="499">
                  <c:v>0.16015453492669637</c:v>
                </c:pt>
                <c:pt idx="500">
                  <c:v>0.16032647460574589</c:v>
                </c:pt>
                <c:pt idx="501">
                  <c:v>0.16044814923187531</c:v>
                </c:pt>
                <c:pt idx="502">
                  <c:v>0.16059496983993482</c:v>
                </c:pt>
                <c:pt idx="503">
                  <c:v>0.16070563317224973</c:v>
                </c:pt>
                <c:pt idx="504">
                  <c:v>0.16089929958742213</c:v>
                </c:pt>
                <c:pt idx="505">
                  <c:v>0.1610273845975225</c:v>
                </c:pt>
                <c:pt idx="506">
                  <c:v>0.16120321299680712</c:v>
                </c:pt>
                <c:pt idx="507">
                  <c:v>0.16132675495278029</c:v>
                </c:pt>
                <c:pt idx="508">
                  <c:v>0.16150087185480652</c:v>
                </c:pt>
                <c:pt idx="509">
                  <c:v>0.16165316998503856</c:v>
                </c:pt>
                <c:pt idx="510">
                  <c:v>0.16182280647255448</c:v>
                </c:pt>
                <c:pt idx="511">
                  <c:v>0.16194210282299418</c:v>
                </c:pt>
                <c:pt idx="512">
                  <c:v>0.16204485573356406</c:v>
                </c:pt>
                <c:pt idx="513">
                  <c:v>0.16215889801484856</c:v>
                </c:pt>
                <c:pt idx="514">
                  <c:v>0.16233440845614122</c:v>
                </c:pt>
                <c:pt idx="515">
                  <c:v>0.16244362396854561</c:v>
                </c:pt>
                <c:pt idx="516">
                  <c:v>0.16257762717999882</c:v>
                </c:pt>
                <c:pt idx="517">
                  <c:v>0.16266375705118241</c:v>
                </c:pt>
                <c:pt idx="518">
                  <c:v>0.16277505565811334</c:v>
                </c:pt>
                <c:pt idx="519">
                  <c:v>0.16292658404257593</c:v>
                </c:pt>
                <c:pt idx="520">
                  <c:v>0.16304349700661613</c:v>
                </c:pt>
                <c:pt idx="521">
                  <c:v>0.16315535596756742</c:v>
                </c:pt>
                <c:pt idx="522">
                  <c:v>0.16330740372668495</c:v>
                </c:pt>
                <c:pt idx="523">
                  <c:v>0.16346919578727723</c:v>
                </c:pt>
                <c:pt idx="524">
                  <c:v>0.16355925919778175</c:v>
                </c:pt>
                <c:pt idx="525">
                  <c:v>0.16369806281233473</c:v>
                </c:pt>
                <c:pt idx="526">
                  <c:v>0.163863274462935</c:v>
                </c:pt>
                <c:pt idx="527">
                  <c:v>0.1640863548177558</c:v>
                </c:pt>
                <c:pt idx="528">
                  <c:v>0.16422087745841485</c:v>
                </c:pt>
                <c:pt idx="529">
                  <c:v>0.1643690148639019</c:v>
                </c:pt>
                <c:pt idx="530">
                  <c:v>0.16450390102834142</c:v>
                </c:pt>
                <c:pt idx="531">
                  <c:v>0.16471907320694051</c:v>
                </c:pt>
                <c:pt idx="532">
                  <c:v>0.16488233403630859</c:v>
                </c:pt>
                <c:pt idx="533">
                  <c:v>0.16500597578895637</c:v>
                </c:pt>
                <c:pt idx="534">
                  <c:v>0.16515148053585502</c:v>
                </c:pt>
                <c:pt idx="535">
                  <c:v>0.16529876067817384</c:v>
                </c:pt>
                <c:pt idx="536">
                  <c:v>0.16542302443583839</c:v>
                </c:pt>
                <c:pt idx="537">
                  <c:v>0.16554865285558629</c:v>
                </c:pt>
                <c:pt idx="538">
                  <c:v>0.16571290900379923</c:v>
                </c:pt>
                <c:pt idx="539">
                  <c:v>0.16589316503163162</c:v>
                </c:pt>
                <c:pt idx="540">
                  <c:v>0.16606687880715201</c:v>
                </c:pt>
                <c:pt idx="541">
                  <c:v>0.16614185046435812</c:v>
                </c:pt>
                <c:pt idx="542">
                  <c:v>0.1662690987839214</c:v>
                </c:pt>
                <c:pt idx="543">
                  <c:v>0.16633050497413779</c:v>
                </c:pt>
                <c:pt idx="544">
                  <c:v>0.16638848998929198</c:v>
                </c:pt>
                <c:pt idx="545">
                  <c:v>0.16649196420208481</c:v>
                </c:pt>
                <c:pt idx="546">
                  <c:v>0.16662030326887489</c:v>
                </c:pt>
                <c:pt idx="547">
                  <c:v>0.16681257731172724</c:v>
                </c:pt>
                <c:pt idx="548">
                  <c:v>0.16690746419571417</c:v>
                </c:pt>
                <c:pt idx="549">
                  <c:v>0.16703373281260489</c:v>
                </c:pt>
                <c:pt idx="550">
                  <c:v>0.1671576420071729</c:v>
                </c:pt>
                <c:pt idx="551">
                  <c:v>0.1673137780684498</c:v>
                </c:pt>
                <c:pt idx="552">
                  <c:v>0.16739762120836821</c:v>
                </c:pt>
                <c:pt idx="553">
                  <c:v>0.16749129250055167</c:v>
                </c:pt>
                <c:pt idx="554">
                  <c:v>0.16754089154933458</c:v>
                </c:pt>
                <c:pt idx="555">
                  <c:v>0.16765716629710797</c:v>
                </c:pt>
                <c:pt idx="556">
                  <c:v>0.16774185761908514</c:v>
                </c:pt>
                <c:pt idx="557">
                  <c:v>0.1678728087679621</c:v>
                </c:pt>
                <c:pt idx="558">
                  <c:v>0.16798131945999092</c:v>
                </c:pt>
                <c:pt idx="559">
                  <c:v>0.16809241580113157</c:v>
                </c:pt>
                <c:pt idx="560">
                  <c:v>0.16817856729331823</c:v>
                </c:pt>
                <c:pt idx="561">
                  <c:v>0.16825602809660636</c:v>
                </c:pt>
                <c:pt idx="562">
                  <c:v>0.16841693093208432</c:v>
                </c:pt>
                <c:pt idx="563">
                  <c:v>0.16847259848185184</c:v>
                </c:pt>
                <c:pt idx="564">
                  <c:v>0.1685635879625024</c:v>
                </c:pt>
                <c:pt idx="565">
                  <c:v>0.16863245869769192</c:v>
                </c:pt>
                <c:pt idx="566">
                  <c:v>0.16872893267607966</c:v>
                </c:pt>
                <c:pt idx="567">
                  <c:v>0.16880330661929646</c:v>
                </c:pt>
                <c:pt idx="568">
                  <c:v>0.1688974482029883</c:v>
                </c:pt>
                <c:pt idx="569">
                  <c:v>0.16905437602086748</c:v>
                </c:pt>
                <c:pt idx="570">
                  <c:v>0.16916498348842263</c:v>
                </c:pt>
                <c:pt idx="571">
                  <c:v>0.16926435979122034</c:v>
                </c:pt>
                <c:pt idx="572">
                  <c:v>0.16941299223561412</c:v>
                </c:pt>
                <c:pt idx="573">
                  <c:v>0.16953034058945834</c:v>
                </c:pt>
                <c:pt idx="574">
                  <c:v>0.16962676622387476</c:v>
                </c:pt>
                <c:pt idx="575">
                  <c:v>0.16978796352885958</c:v>
                </c:pt>
                <c:pt idx="576">
                  <c:v>0.16987565790776724</c:v>
                </c:pt>
                <c:pt idx="577">
                  <c:v>0.17003578664602476</c:v>
                </c:pt>
                <c:pt idx="578">
                  <c:v>0.17007909434328827</c:v>
                </c:pt>
                <c:pt idx="579">
                  <c:v>0.17020680681792286</c:v>
                </c:pt>
                <c:pt idx="580">
                  <c:v>0.17032736264561912</c:v>
                </c:pt>
                <c:pt idx="581">
                  <c:v>0.17046289613470256</c:v>
                </c:pt>
                <c:pt idx="582">
                  <c:v>0.17057038033155175</c:v>
                </c:pt>
                <c:pt idx="583">
                  <c:v>0.17065355525922987</c:v>
                </c:pt>
                <c:pt idx="584">
                  <c:v>0.17078599261153141</c:v>
                </c:pt>
                <c:pt idx="585">
                  <c:v>0.17083718572700429</c:v>
                </c:pt>
                <c:pt idx="586">
                  <c:v>0.17098920446616214</c:v>
                </c:pt>
                <c:pt idx="587">
                  <c:v>0.17108358286314851</c:v>
                </c:pt>
                <c:pt idx="588">
                  <c:v>0.17116987763481142</c:v>
                </c:pt>
                <c:pt idx="589">
                  <c:v>0.17127996407079965</c:v>
                </c:pt>
                <c:pt idx="590">
                  <c:v>0.1713693252514743</c:v>
                </c:pt>
                <c:pt idx="591">
                  <c:v>0.1714686463512238</c:v>
                </c:pt>
                <c:pt idx="592">
                  <c:v>0.17155427621555411</c:v>
                </c:pt>
                <c:pt idx="593">
                  <c:v>0.1716976591802217</c:v>
                </c:pt>
                <c:pt idx="594">
                  <c:v>0.17180931324409265</c:v>
                </c:pt>
                <c:pt idx="595">
                  <c:v>0.17198723783640621</c:v>
                </c:pt>
                <c:pt idx="596">
                  <c:v>0.17208471499637631</c:v>
                </c:pt>
                <c:pt idx="597">
                  <c:v>0.17217911227939967</c:v>
                </c:pt>
                <c:pt idx="598">
                  <c:v>0.17227648000062254</c:v>
                </c:pt>
                <c:pt idx="599">
                  <c:v>0.17235648823980798</c:v>
                </c:pt>
                <c:pt idx="600">
                  <c:v>0.17243158645094361</c:v>
                </c:pt>
                <c:pt idx="601">
                  <c:v>0.17249275941431796</c:v>
                </c:pt>
                <c:pt idx="602">
                  <c:v>0.17258196304567369</c:v>
                </c:pt>
                <c:pt idx="603">
                  <c:v>0.17267152658419735</c:v>
                </c:pt>
                <c:pt idx="604">
                  <c:v>0.17278378084795881</c:v>
                </c:pt>
                <c:pt idx="605">
                  <c:v>0.17284227484570741</c:v>
                </c:pt>
                <c:pt idx="606">
                  <c:v>0.17299182079868725</c:v>
                </c:pt>
                <c:pt idx="607">
                  <c:v>0.17307942806586343</c:v>
                </c:pt>
                <c:pt idx="608">
                  <c:v>0.17313211382122204</c:v>
                </c:pt>
                <c:pt idx="609">
                  <c:v>0.17318922278822174</c:v>
                </c:pt>
                <c:pt idx="610">
                  <c:v>0.17328477203422255</c:v>
                </c:pt>
                <c:pt idx="611">
                  <c:v>0.17340039123889506</c:v>
                </c:pt>
                <c:pt idx="612">
                  <c:v>0.17343421771486542</c:v>
                </c:pt>
                <c:pt idx="613">
                  <c:v>0.17354056674653193</c:v>
                </c:pt>
                <c:pt idx="614">
                  <c:v>0.17366375564563621</c:v>
                </c:pt>
                <c:pt idx="615">
                  <c:v>0.17376945354540765</c:v>
                </c:pt>
                <c:pt idx="616">
                  <c:v>0.17383549278910199</c:v>
                </c:pt>
                <c:pt idx="617">
                  <c:v>0.17396173394899292</c:v>
                </c:pt>
                <c:pt idx="618">
                  <c:v>0.17410564990269642</c:v>
                </c:pt>
                <c:pt idx="619">
                  <c:v>0.1742502633935637</c:v>
                </c:pt>
                <c:pt idx="620">
                  <c:v>0.17435819903949662</c:v>
                </c:pt>
                <c:pt idx="621">
                  <c:v>0.1744359148986169</c:v>
                </c:pt>
                <c:pt idx="622">
                  <c:v>0.1744990065315582</c:v>
                </c:pt>
                <c:pt idx="623">
                  <c:v>0.17460437050518568</c:v>
                </c:pt>
                <c:pt idx="624">
                  <c:v>0.17467993928610001</c:v>
                </c:pt>
                <c:pt idx="625">
                  <c:v>0.17478822019077314</c:v>
                </c:pt>
                <c:pt idx="626">
                  <c:v>0.17488627390192152</c:v>
                </c:pt>
                <c:pt idx="627">
                  <c:v>0.17496635465846094</c:v>
                </c:pt>
                <c:pt idx="628">
                  <c:v>0.17502635134370018</c:v>
                </c:pt>
                <c:pt idx="629">
                  <c:v>0.1751005480850677</c:v>
                </c:pt>
                <c:pt idx="630">
                  <c:v>0.17521427481473412</c:v>
                </c:pt>
                <c:pt idx="631">
                  <c:v>0.17531057149156892</c:v>
                </c:pt>
                <c:pt idx="632">
                  <c:v>0.17545367101370574</c:v>
                </c:pt>
                <c:pt idx="633">
                  <c:v>0.17555585661306453</c:v>
                </c:pt>
                <c:pt idx="634">
                  <c:v>0.17569474861471257</c:v>
                </c:pt>
                <c:pt idx="635">
                  <c:v>0.17585598384102305</c:v>
                </c:pt>
                <c:pt idx="636">
                  <c:v>0.17594273510073119</c:v>
                </c:pt>
                <c:pt idx="637">
                  <c:v>0.17607476677466152</c:v>
                </c:pt>
                <c:pt idx="638">
                  <c:v>0.17618271271592562</c:v>
                </c:pt>
                <c:pt idx="639">
                  <c:v>0.17627731206762176</c:v>
                </c:pt>
                <c:pt idx="640">
                  <c:v>0.17639388198373485</c:v>
                </c:pt>
                <c:pt idx="641">
                  <c:v>0.17652427816014954</c:v>
                </c:pt>
                <c:pt idx="642">
                  <c:v>0.17661647163051727</c:v>
                </c:pt>
                <c:pt idx="643">
                  <c:v>0.17667953012911525</c:v>
                </c:pt>
                <c:pt idx="644">
                  <c:v>0.17679983764344329</c:v>
                </c:pt>
                <c:pt idx="645">
                  <c:v>0.17686979079799478</c:v>
                </c:pt>
                <c:pt idx="646">
                  <c:v>0.17698363003516165</c:v>
                </c:pt>
                <c:pt idx="647">
                  <c:v>0.17710718154236546</c:v>
                </c:pt>
                <c:pt idx="648">
                  <c:v>0.17718510408876595</c:v>
                </c:pt>
                <c:pt idx="649">
                  <c:v>0.17728948416235282</c:v>
                </c:pt>
                <c:pt idx="650">
                  <c:v>0.17742707310543762</c:v>
                </c:pt>
                <c:pt idx="651">
                  <c:v>0.17751035853772773</c:v>
                </c:pt>
                <c:pt idx="652">
                  <c:v>0.17757709370552036</c:v>
                </c:pt>
                <c:pt idx="653">
                  <c:v>0.17763999680390077</c:v>
                </c:pt>
                <c:pt idx="654">
                  <c:v>0.17769288643252873</c:v>
                </c:pt>
                <c:pt idx="655">
                  <c:v>0.17781297152850856</c:v>
                </c:pt>
                <c:pt idx="656">
                  <c:v>0.17791118100594541</c:v>
                </c:pt>
                <c:pt idx="657">
                  <c:v>0.17800352941033612</c:v>
                </c:pt>
                <c:pt idx="658">
                  <c:v>0.17805289367856261</c:v>
                </c:pt>
                <c:pt idx="659">
                  <c:v>0.1781010479559029</c:v>
                </c:pt>
                <c:pt idx="660">
                  <c:v>0.17818065318130505</c:v>
                </c:pt>
                <c:pt idx="661">
                  <c:v>0.17827062295903168</c:v>
                </c:pt>
                <c:pt idx="662">
                  <c:v>0.17835296763159358</c:v>
                </c:pt>
                <c:pt idx="663">
                  <c:v>0.17840523028291963</c:v>
                </c:pt>
                <c:pt idx="664">
                  <c:v>0.17849330700234067</c:v>
                </c:pt>
                <c:pt idx="665">
                  <c:v>0.17856059210401568</c:v>
                </c:pt>
                <c:pt idx="666">
                  <c:v>0.17862667799948953</c:v>
                </c:pt>
                <c:pt idx="667">
                  <c:v>0.17871535685210577</c:v>
                </c:pt>
                <c:pt idx="668">
                  <c:v>0.17880449333208828</c:v>
                </c:pt>
                <c:pt idx="669">
                  <c:v>0.17887984662149145</c:v>
                </c:pt>
                <c:pt idx="670">
                  <c:v>0.17897144683828278</c:v>
                </c:pt>
                <c:pt idx="671">
                  <c:v>0.17912476178503431</c:v>
                </c:pt>
                <c:pt idx="672">
                  <c:v>0.17923569534865771</c:v>
                </c:pt>
                <c:pt idx="673">
                  <c:v>0.17935921035500099</c:v>
                </c:pt>
                <c:pt idx="674">
                  <c:v>0.17947767675831433</c:v>
                </c:pt>
                <c:pt idx="675">
                  <c:v>0.17958118701182443</c:v>
                </c:pt>
                <c:pt idx="676">
                  <c:v>0.17963612016418321</c:v>
                </c:pt>
                <c:pt idx="677">
                  <c:v>0.17969128763637299</c:v>
                </c:pt>
                <c:pt idx="678">
                  <c:v>0.17975188519595028</c:v>
                </c:pt>
                <c:pt idx="679">
                  <c:v>0.17984558027741027</c:v>
                </c:pt>
                <c:pt idx="680">
                  <c:v>0.17993899781349171</c:v>
                </c:pt>
                <c:pt idx="681">
                  <c:v>0.18004315870156165</c:v>
                </c:pt>
                <c:pt idx="682">
                  <c:v>0.18011291420208678</c:v>
                </c:pt>
                <c:pt idx="683">
                  <c:v>0.18026815720430533</c:v>
                </c:pt>
                <c:pt idx="684">
                  <c:v>0.18037230353135161</c:v>
                </c:pt>
                <c:pt idx="685">
                  <c:v>0.18042362876745377</c:v>
                </c:pt>
                <c:pt idx="686">
                  <c:v>0.18053693910559721</c:v>
                </c:pt>
                <c:pt idx="687">
                  <c:v>0.18065489425449041</c:v>
                </c:pt>
                <c:pt idx="688">
                  <c:v>0.18077525587115392</c:v>
                </c:pt>
                <c:pt idx="689">
                  <c:v>0.18085404620935841</c:v>
                </c:pt>
                <c:pt idx="690">
                  <c:v>0.18092918328992547</c:v>
                </c:pt>
                <c:pt idx="691">
                  <c:v>0.18103747930337624</c:v>
                </c:pt>
                <c:pt idx="692">
                  <c:v>0.18109345037590097</c:v>
                </c:pt>
                <c:pt idx="693">
                  <c:v>0.18114187466011977</c:v>
                </c:pt>
                <c:pt idx="694">
                  <c:v>0.18123480414765111</c:v>
                </c:pt>
                <c:pt idx="695">
                  <c:v>0.18138105455380596</c:v>
                </c:pt>
                <c:pt idx="696">
                  <c:v>0.18147525640512455</c:v>
                </c:pt>
                <c:pt idx="697">
                  <c:v>0.1815749577418555</c:v>
                </c:pt>
                <c:pt idx="698">
                  <c:v>0.18168901584203839</c:v>
                </c:pt>
                <c:pt idx="699">
                  <c:v>0.18177276679375368</c:v>
                </c:pt>
                <c:pt idx="700">
                  <c:v>0.1818840465098</c:v>
                </c:pt>
                <c:pt idx="701">
                  <c:v>0.18193831402916621</c:v>
                </c:pt>
                <c:pt idx="702">
                  <c:v>0.18209306296072636</c:v>
                </c:pt>
                <c:pt idx="703">
                  <c:v>0.18209832097013628</c:v>
                </c:pt>
                <c:pt idx="704">
                  <c:v>0.18218671101447032</c:v>
                </c:pt>
                <c:pt idx="705">
                  <c:v>0.18227425959397262</c:v>
                </c:pt>
                <c:pt idx="706">
                  <c:v>0.18236329665450149</c:v>
                </c:pt>
                <c:pt idx="707">
                  <c:v>0.18242108016127234</c:v>
                </c:pt>
                <c:pt idx="708">
                  <c:v>0.18248088426206699</c:v>
                </c:pt>
                <c:pt idx="709">
                  <c:v>0.18252993644751378</c:v>
                </c:pt>
                <c:pt idx="710">
                  <c:v>0.18261652875263229</c:v>
                </c:pt>
                <c:pt idx="711">
                  <c:v>0.1826935065268516</c:v>
                </c:pt>
                <c:pt idx="712">
                  <c:v>0.18279084486953265</c:v>
                </c:pt>
                <c:pt idx="713">
                  <c:v>0.18285057631543852</c:v>
                </c:pt>
                <c:pt idx="714">
                  <c:v>0.18292913963549898</c:v>
                </c:pt>
                <c:pt idx="715">
                  <c:v>0.18301134499548363</c:v>
                </c:pt>
                <c:pt idx="716">
                  <c:v>0.1830807402770343</c:v>
                </c:pt>
                <c:pt idx="717">
                  <c:v>0.18317481895276561</c:v>
                </c:pt>
                <c:pt idx="718">
                  <c:v>0.18327145269194361</c:v>
                </c:pt>
                <c:pt idx="719">
                  <c:v>0.18335021341326693</c:v>
                </c:pt>
              </c:numCache>
            </c:numRef>
          </c:val>
          <c:smooth val="0"/>
        </c:ser>
        <c:ser>
          <c:idx val="2"/>
          <c:order val="1"/>
          <c:marker>
            <c:symbol val="none"/>
          </c:marker>
          <c:val>
            <c:numRef>
              <c:f>Feuil2!$T$12:$T$731</c:f>
              <c:numCache>
                <c:formatCode>General</c:formatCode>
                <c:ptCount val="720"/>
                <c:pt idx="0">
                  <c:v>5.045675591732407E-2</c:v>
                </c:pt>
                <c:pt idx="1">
                  <c:v>5.0133557371698674E-2</c:v>
                </c:pt>
                <c:pt idx="2">
                  <c:v>5.0283621567953879E-2</c:v>
                </c:pt>
                <c:pt idx="3">
                  <c:v>5.0729638680610506E-2</c:v>
                </c:pt>
                <c:pt idx="4">
                  <c:v>5.0660242289735063E-2</c:v>
                </c:pt>
                <c:pt idx="5">
                  <c:v>5.0486126219359141E-2</c:v>
                </c:pt>
                <c:pt idx="6">
                  <c:v>5.0808054495000469E-2</c:v>
                </c:pt>
                <c:pt idx="7">
                  <c:v>5.0644658257664357E-2</c:v>
                </c:pt>
                <c:pt idx="8">
                  <c:v>5.0550291068891112E-2</c:v>
                </c:pt>
                <c:pt idx="9">
                  <c:v>5.0937415226952769E-2</c:v>
                </c:pt>
                <c:pt idx="10">
                  <c:v>5.0922559409290413E-2</c:v>
                </c:pt>
                <c:pt idx="11">
                  <c:v>5.1010916696485401E-2</c:v>
                </c:pt>
                <c:pt idx="12">
                  <c:v>5.13062388057084E-2</c:v>
                </c:pt>
                <c:pt idx="13">
                  <c:v>5.1648779317479368E-2</c:v>
                </c:pt>
                <c:pt idx="14">
                  <c:v>5.1962802784276924E-2</c:v>
                </c:pt>
                <c:pt idx="15">
                  <c:v>5.1819461291888559E-2</c:v>
                </c:pt>
                <c:pt idx="16">
                  <c:v>5.2028631288092111E-2</c:v>
                </c:pt>
                <c:pt idx="17">
                  <c:v>5.2049876328964968E-2</c:v>
                </c:pt>
                <c:pt idx="18">
                  <c:v>5.2249786614660988E-2</c:v>
                </c:pt>
                <c:pt idx="19">
                  <c:v>5.2373375547976282E-2</c:v>
                </c:pt>
                <c:pt idx="20">
                  <c:v>5.2600855740738438E-2</c:v>
                </c:pt>
                <c:pt idx="21">
                  <c:v>5.2920301219245673E-2</c:v>
                </c:pt>
                <c:pt idx="22">
                  <c:v>5.2980995506940257E-2</c:v>
                </c:pt>
                <c:pt idx="23">
                  <c:v>5.324525232679804E-2</c:v>
                </c:pt>
                <c:pt idx="24">
                  <c:v>5.3488931695530553E-2</c:v>
                </c:pt>
                <c:pt idx="25">
                  <c:v>5.3427278755744358E-2</c:v>
                </c:pt>
                <c:pt idx="26">
                  <c:v>5.3470497932224526E-2</c:v>
                </c:pt>
                <c:pt idx="27">
                  <c:v>5.3645649822969786E-2</c:v>
                </c:pt>
                <c:pt idx="28">
                  <c:v>5.378238923672532E-2</c:v>
                </c:pt>
                <c:pt idx="29">
                  <c:v>5.4170543545329373E-2</c:v>
                </c:pt>
                <c:pt idx="30">
                  <c:v>5.4354046739873055E-2</c:v>
                </c:pt>
                <c:pt idx="31">
                  <c:v>5.4518536968188369E-2</c:v>
                </c:pt>
                <c:pt idx="32">
                  <c:v>5.4934971431493902E-2</c:v>
                </c:pt>
                <c:pt idx="33">
                  <c:v>5.4972188251841726E-2</c:v>
                </c:pt>
                <c:pt idx="34">
                  <c:v>5.5215078646761701E-2</c:v>
                </c:pt>
                <c:pt idx="35">
                  <c:v>5.5596337007072893E-2</c:v>
                </c:pt>
                <c:pt idx="36">
                  <c:v>5.5919328593409763E-2</c:v>
                </c:pt>
                <c:pt idx="37">
                  <c:v>5.6108172913614224E-2</c:v>
                </c:pt>
                <c:pt idx="38">
                  <c:v>5.6358956050196092E-2</c:v>
                </c:pt>
                <c:pt idx="39">
                  <c:v>5.6719289358906869E-2</c:v>
                </c:pt>
                <c:pt idx="40">
                  <c:v>5.7003300956048969E-2</c:v>
                </c:pt>
                <c:pt idx="41">
                  <c:v>5.7469101226106066E-2</c:v>
                </c:pt>
                <c:pt idx="42">
                  <c:v>5.7929786556782492E-2</c:v>
                </c:pt>
                <c:pt idx="43">
                  <c:v>5.8004861131393096E-2</c:v>
                </c:pt>
                <c:pt idx="44">
                  <c:v>5.8196434032864772E-2</c:v>
                </c:pt>
                <c:pt idx="45">
                  <c:v>5.8379491082153345E-2</c:v>
                </c:pt>
                <c:pt idx="46">
                  <c:v>5.8617322719387514E-2</c:v>
                </c:pt>
                <c:pt idx="47">
                  <c:v>5.9112371151228166E-2</c:v>
                </c:pt>
                <c:pt idx="48">
                  <c:v>5.9299921914424306E-2</c:v>
                </c:pt>
                <c:pt idx="49">
                  <c:v>5.937535554361488E-2</c:v>
                </c:pt>
                <c:pt idx="50">
                  <c:v>5.9752452900258102E-2</c:v>
                </c:pt>
                <c:pt idx="51">
                  <c:v>6.0159890883823577E-2</c:v>
                </c:pt>
                <c:pt idx="52">
                  <c:v>6.0237602781356731E-2</c:v>
                </c:pt>
                <c:pt idx="53">
                  <c:v>6.0444706267634943E-2</c:v>
                </c:pt>
                <c:pt idx="54">
                  <c:v>6.0767889999455156E-2</c:v>
                </c:pt>
                <c:pt idx="55">
                  <c:v>6.1123462587571883E-2</c:v>
                </c:pt>
                <c:pt idx="56">
                  <c:v>6.1428477112404109E-2</c:v>
                </c:pt>
                <c:pt idx="57">
                  <c:v>6.1636894237905505E-2</c:v>
                </c:pt>
                <c:pt idx="58">
                  <c:v>6.1902083110870809E-2</c:v>
                </c:pt>
                <c:pt idx="59">
                  <c:v>6.214296026614613E-2</c:v>
                </c:pt>
                <c:pt idx="60">
                  <c:v>6.2291555879128713E-2</c:v>
                </c:pt>
                <c:pt idx="61">
                  <c:v>6.2679699720233878E-2</c:v>
                </c:pt>
                <c:pt idx="62">
                  <c:v>6.302177474776699E-2</c:v>
                </c:pt>
                <c:pt idx="63">
                  <c:v>6.3247854326009864E-2</c:v>
                </c:pt>
                <c:pt idx="64">
                  <c:v>6.355932459145229E-2</c:v>
                </c:pt>
                <c:pt idx="65">
                  <c:v>6.3753911294906915E-2</c:v>
                </c:pt>
                <c:pt idx="66">
                  <c:v>6.3989901278491329E-2</c:v>
                </c:pt>
                <c:pt idx="67">
                  <c:v>6.4328147803114299E-2</c:v>
                </c:pt>
                <c:pt idx="68">
                  <c:v>6.4679134472215502E-2</c:v>
                </c:pt>
                <c:pt idx="69">
                  <c:v>6.4963943352815134E-2</c:v>
                </c:pt>
                <c:pt idx="70">
                  <c:v>6.5246971279173394E-2</c:v>
                </c:pt>
                <c:pt idx="71">
                  <c:v>6.5701297095334066E-2</c:v>
                </c:pt>
                <c:pt idx="72">
                  <c:v>6.5973226903279461E-2</c:v>
                </c:pt>
                <c:pt idx="73">
                  <c:v>6.6261340778637753E-2</c:v>
                </c:pt>
                <c:pt idx="74">
                  <c:v>6.6429155077346924E-2</c:v>
                </c:pt>
                <c:pt idx="75">
                  <c:v>6.669671276469992E-2</c:v>
                </c:pt>
                <c:pt idx="76">
                  <c:v>6.6969807349006372E-2</c:v>
                </c:pt>
                <c:pt idx="77">
                  <c:v>6.7205791311239896E-2</c:v>
                </c:pt>
                <c:pt idx="78">
                  <c:v>6.7490907375320819E-2</c:v>
                </c:pt>
                <c:pt idx="79">
                  <c:v>6.7642957598873135E-2</c:v>
                </c:pt>
                <c:pt idx="80">
                  <c:v>6.785199851723521E-2</c:v>
                </c:pt>
                <c:pt idx="81">
                  <c:v>6.8185303583453857E-2</c:v>
                </c:pt>
                <c:pt idx="82">
                  <c:v>6.8268609526874427E-2</c:v>
                </c:pt>
                <c:pt idx="83">
                  <c:v>6.8727901135723898E-2</c:v>
                </c:pt>
                <c:pt idx="84">
                  <c:v>6.8951080697417136E-2</c:v>
                </c:pt>
                <c:pt idx="85">
                  <c:v>6.9254839005733246E-2</c:v>
                </c:pt>
                <c:pt idx="86">
                  <c:v>6.9576747347061985E-2</c:v>
                </c:pt>
                <c:pt idx="87">
                  <c:v>6.9679874369406022E-2</c:v>
                </c:pt>
                <c:pt idx="88">
                  <c:v>6.9988665638172479E-2</c:v>
                </c:pt>
                <c:pt idx="89">
                  <c:v>7.0017384676907962E-2</c:v>
                </c:pt>
                <c:pt idx="90">
                  <c:v>7.0346818116957949E-2</c:v>
                </c:pt>
                <c:pt idx="91">
                  <c:v>7.0618736286238382E-2</c:v>
                </c:pt>
                <c:pt idx="92">
                  <c:v>7.0761383944619019E-2</c:v>
                </c:pt>
                <c:pt idx="93">
                  <c:v>7.1105132245984679E-2</c:v>
                </c:pt>
                <c:pt idx="94">
                  <c:v>7.1335899348598963E-2</c:v>
                </c:pt>
                <c:pt idx="95">
                  <c:v>7.1594341481016177E-2</c:v>
                </c:pt>
                <c:pt idx="96">
                  <c:v>7.1866318326442025E-2</c:v>
                </c:pt>
                <c:pt idx="97">
                  <c:v>7.2013853046731191E-2</c:v>
                </c:pt>
                <c:pt idx="98">
                  <c:v>7.2339344925368795E-2</c:v>
                </c:pt>
                <c:pt idx="99">
                  <c:v>7.264326347000373E-2</c:v>
                </c:pt>
                <c:pt idx="100">
                  <c:v>7.2938062688649094E-2</c:v>
                </c:pt>
                <c:pt idx="101">
                  <c:v>7.3168274777917694E-2</c:v>
                </c:pt>
                <c:pt idx="102">
                  <c:v>7.3572571118667315E-2</c:v>
                </c:pt>
                <c:pt idx="103">
                  <c:v>7.3726658548040003E-2</c:v>
                </c:pt>
                <c:pt idx="104">
                  <c:v>7.4031129065515178E-2</c:v>
                </c:pt>
                <c:pt idx="105">
                  <c:v>7.430961445433315E-2</c:v>
                </c:pt>
                <c:pt idx="106">
                  <c:v>7.449634270866895E-2</c:v>
                </c:pt>
                <c:pt idx="107">
                  <c:v>7.4809488814774713E-2</c:v>
                </c:pt>
                <c:pt idx="108">
                  <c:v>7.5118489347861583E-2</c:v>
                </c:pt>
                <c:pt idx="109">
                  <c:v>7.5323814693258079E-2</c:v>
                </c:pt>
                <c:pt idx="110">
                  <c:v>7.5564624496524693E-2</c:v>
                </c:pt>
                <c:pt idx="111">
                  <c:v>7.5872972801802621E-2</c:v>
                </c:pt>
                <c:pt idx="112">
                  <c:v>7.6095509766013425E-2</c:v>
                </c:pt>
                <c:pt idx="113">
                  <c:v>7.6283545283293702E-2</c:v>
                </c:pt>
                <c:pt idx="114">
                  <c:v>7.6645208617889135E-2</c:v>
                </c:pt>
                <c:pt idx="115">
                  <c:v>7.695915496634903E-2</c:v>
                </c:pt>
                <c:pt idx="116">
                  <c:v>7.7202280813921303E-2</c:v>
                </c:pt>
                <c:pt idx="117">
                  <c:v>7.756548257098933E-2</c:v>
                </c:pt>
                <c:pt idx="118">
                  <c:v>7.7857866885805538E-2</c:v>
                </c:pt>
                <c:pt idx="119">
                  <c:v>7.8152293820232602E-2</c:v>
                </c:pt>
                <c:pt idx="120">
                  <c:v>7.8476996492855638E-2</c:v>
                </c:pt>
                <c:pt idx="121">
                  <c:v>7.8843210879084316E-2</c:v>
                </c:pt>
                <c:pt idx="122">
                  <c:v>7.9038837242753082E-2</c:v>
                </c:pt>
                <c:pt idx="123">
                  <c:v>7.9337281676616717E-2</c:v>
                </c:pt>
                <c:pt idx="124">
                  <c:v>7.9526799917292876E-2</c:v>
                </c:pt>
                <c:pt idx="125">
                  <c:v>7.9800329253407756E-2</c:v>
                </c:pt>
                <c:pt idx="126">
                  <c:v>8.0073130592525701E-2</c:v>
                </c:pt>
                <c:pt idx="127">
                  <c:v>8.0311085738244026E-2</c:v>
                </c:pt>
                <c:pt idx="128">
                  <c:v>8.0515351599075066E-2</c:v>
                </c:pt>
                <c:pt idx="129">
                  <c:v>8.0802824872425752E-2</c:v>
                </c:pt>
                <c:pt idx="130">
                  <c:v>8.0998362083246997E-2</c:v>
                </c:pt>
                <c:pt idx="131">
                  <c:v>8.1263579496240967E-2</c:v>
                </c:pt>
                <c:pt idx="132">
                  <c:v>8.1547087419739608E-2</c:v>
                </c:pt>
                <c:pt idx="133">
                  <c:v>8.1807297499409709E-2</c:v>
                </c:pt>
                <c:pt idx="134">
                  <c:v>8.2158949248195751E-2</c:v>
                </c:pt>
                <c:pt idx="135">
                  <c:v>8.241943588324703E-2</c:v>
                </c:pt>
                <c:pt idx="136">
                  <c:v>8.2686398957350499E-2</c:v>
                </c:pt>
                <c:pt idx="137">
                  <c:v>8.2913357080301564E-2</c:v>
                </c:pt>
                <c:pt idx="138">
                  <c:v>8.3127170981267137E-2</c:v>
                </c:pt>
                <c:pt idx="139">
                  <c:v>8.3327433485295394E-2</c:v>
                </c:pt>
                <c:pt idx="140">
                  <c:v>8.3607737055839099E-2</c:v>
                </c:pt>
                <c:pt idx="141">
                  <c:v>8.376923550984712E-2</c:v>
                </c:pt>
                <c:pt idx="142">
                  <c:v>8.4090734712955625E-2</c:v>
                </c:pt>
                <c:pt idx="143">
                  <c:v>8.4449603947671703E-2</c:v>
                </c:pt>
                <c:pt idx="144">
                  <c:v>8.4748528515955754E-2</c:v>
                </c:pt>
                <c:pt idx="145">
                  <c:v>8.5063441043541604E-2</c:v>
                </c:pt>
                <c:pt idx="146">
                  <c:v>8.5336652174006725E-2</c:v>
                </c:pt>
                <c:pt idx="147">
                  <c:v>8.5658128668894745E-2</c:v>
                </c:pt>
                <c:pt idx="148">
                  <c:v>8.5873581883635239E-2</c:v>
                </c:pt>
                <c:pt idx="149">
                  <c:v>8.6250624110924712E-2</c:v>
                </c:pt>
                <c:pt idx="150">
                  <c:v>8.6667439089844242E-2</c:v>
                </c:pt>
                <c:pt idx="151">
                  <c:v>8.6878552843223739E-2</c:v>
                </c:pt>
                <c:pt idx="152">
                  <c:v>8.7114424346792951E-2</c:v>
                </c:pt>
                <c:pt idx="153">
                  <c:v>8.7339135955229491E-2</c:v>
                </c:pt>
                <c:pt idx="154">
                  <c:v>8.7532159353391578E-2</c:v>
                </c:pt>
                <c:pt idx="155">
                  <c:v>8.7769820342760721E-2</c:v>
                </c:pt>
                <c:pt idx="156">
                  <c:v>8.7994339738607902E-2</c:v>
                </c:pt>
                <c:pt idx="157">
                  <c:v>8.8191780156128913E-2</c:v>
                </c:pt>
                <c:pt idx="158">
                  <c:v>8.8508718352557275E-2</c:v>
                </c:pt>
                <c:pt idx="159">
                  <c:v>8.8803939108350022E-2</c:v>
                </c:pt>
                <c:pt idx="160">
                  <c:v>8.8976286548131292E-2</c:v>
                </c:pt>
                <c:pt idx="161">
                  <c:v>8.9231715580853813E-2</c:v>
                </c:pt>
                <c:pt idx="162">
                  <c:v>8.9469435515719772E-2</c:v>
                </c:pt>
                <c:pt idx="163">
                  <c:v>8.9681873254588082E-2</c:v>
                </c:pt>
                <c:pt idx="164">
                  <c:v>8.9963265936820275E-2</c:v>
                </c:pt>
                <c:pt idx="165">
                  <c:v>9.0278006017878623E-2</c:v>
                </c:pt>
                <c:pt idx="166">
                  <c:v>9.0609832174017982E-2</c:v>
                </c:pt>
                <c:pt idx="167">
                  <c:v>9.0790224106815934E-2</c:v>
                </c:pt>
                <c:pt idx="168">
                  <c:v>9.101306690707868E-2</c:v>
                </c:pt>
                <c:pt idx="169">
                  <c:v>9.1311829107173684E-2</c:v>
                </c:pt>
                <c:pt idx="170">
                  <c:v>9.1601437049816312E-2</c:v>
                </c:pt>
                <c:pt idx="171">
                  <c:v>9.1873916466936628E-2</c:v>
                </c:pt>
                <c:pt idx="172">
                  <c:v>9.2154552468450696E-2</c:v>
                </c:pt>
                <c:pt idx="173">
                  <c:v>9.2370544484092654E-2</c:v>
                </c:pt>
                <c:pt idx="174">
                  <c:v>9.2726707933830282E-2</c:v>
                </c:pt>
                <c:pt idx="175">
                  <c:v>9.3007686568967227E-2</c:v>
                </c:pt>
                <c:pt idx="176">
                  <c:v>9.3290771604006728E-2</c:v>
                </c:pt>
                <c:pt idx="177">
                  <c:v>9.357338170146319E-2</c:v>
                </c:pt>
                <c:pt idx="178">
                  <c:v>9.3962400087628142E-2</c:v>
                </c:pt>
                <c:pt idx="179">
                  <c:v>9.4258374140980136E-2</c:v>
                </c:pt>
                <c:pt idx="180">
                  <c:v>9.456953165874768E-2</c:v>
                </c:pt>
                <c:pt idx="181">
                  <c:v>9.4804869507694248E-2</c:v>
                </c:pt>
                <c:pt idx="182">
                  <c:v>9.5121220948651261E-2</c:v>
                </c:pt>
                <c:pt idx="183">
                  <c:v>9.5360458611932639E-2</c:v>
                </c:pt>
                <c:pt idx="184">
                  <c:v>9.5656613760693801E-2</c:v>
                </c:pt>
                <c:pt idx="185">
                  <c:v>9.5938379446628586E-2</c:v>
                </c:pt>
                <c:pt idx="186">
                  <c:v>9.6215812477471657E-2</c:v>
                </c:pt>
                <c:pt idx="187">
                  <c:v>9.6531380193337568E-2</c:v>
                </c:pt>
                <c:pt idx="188">
                  <c:v>9.6784671554438373E-2</c:v>
                </c:pt>
                <c:pt idx="189">
                  <c:v>9.7122433701924846E-2</c:v>
                </c:pt>
                <c:pt idx="190">
                  <c:v>9.7353649837038245E-2</c:v>
                </c:pt>
                <c:pt idx="191">
                  <c:v>9.7579206891142606E-2</c:v>
                </c:pt>
                <c:pt idx="192">
                  <c:v>9.7747795058069686E-2</c:v>
                </c:pt>
                <c:pt idx="193">
                  <c:v>9.8021544167105443E-2</c:v>
                </c:pt>
                <c:pt idx="194">
                  <c:v>9.8349230527225773E-2</c:v>
                </c:pt>
                <c:pt idx="195">
                  <c:v>9.8518291679527623E-2</c:v>
                </c:pt>
                <c:pt idx="196">
                  <c:v>9.8715735231497057E-2</c:v>
                </c:pt>
                <c:pt idx="197">
                  <c:v>9.902405461135258E-2</c:v>
                </c:pt>
                <c:pt idx="198">
                  <c:v>9.9273821897640904E-2</c:v>
                </c:pt>
                <c:pt idx="199">
                  <c:v>9.9426842962345621E-2</c:v>
                </c:pt>
                <c:pt idx="200">
                  <c:v>9.9636045101607132E-2</c:v>
                </c:pt>
                <c:pt idx="201">
                  <c:v>9.9807817093661197E-2</c:v>
                </c:pt>
                <c:pt idx="202">
                  <c:v>0.1000810527081762</c:v>
                </c:pt>
                <c:pt idx="203">
                  <c:v>0.10031559810205191</c:v>
                </c:pt>
                <c:pt idx="204">
                  <c:v>0.1005375306184048</c:v>
                </c:pt>
                <c:pt idx="205">
                  <c:v>0.10081722642129662</c:v>
                </c:pt>
                <c:pt idx="206">
                  <c:v>0.10108794345911101</c:v>
                </c:pt>
                <c:pt idx="207">
                  <c:v>0.10133430138930931</c:v>
                </c:pt>
                <c:pt idx="208">
                  <c:v>0.10163636666615081</c:v>
                </c:pt>
                <c:pt idx="209">
                  <c:v>0.1018946633703957</c:v>
                </c:pt>
                <c:pt idx="210">
                  <c:v>0.10209255877464629</c:v>
                </c:pt>
                <c:pt idx="211">
                  <c:v>0.10232302421743428</c:v>
                </c:pt>
                <c:pt idx="212">
                  <c:v>0.10249065789724039</c:v>
                </c:pt>
                <c:pt idx="213">
                  <c:v>0.1027190546311406</c:v>
                </c:pt>
                <c:pt idx="214">
                  <c:v>0.10295938844123959</c:v>
                </c:pt>
                <c:pt idx="215">
                  <c:v>0.10323733612501758</c:v>
                </c:pt>
                <c:pt idx="216">
                  <c:v>0.10347429331109038</c:v>
                </c:pt>
                <c:pt idx="217">
                  <c:v>0.10368751206838946</c:v>
                </c:pt>
                <c:pt idx="218">
                  <c:v>0.10386140156953086</c:v>
                </c:pt>
                <c:pt idx="219">
                  <c:v>0.10409357512521163</c:v>
                </c:pt>
                <c:pt idx="220">
                  <c:v>0.10428733894338069</c:v>
                </c:pt>
                <c:pt idx="221">
                  <c:v>0.1044971739395063</c:v>
                </c:pt>
                <c:pt idx="222">
                  <c:v>0.1048169954635341</c:v>
                </c:pt>
                <c:pt idx="223">
                  <c:v>0.10511441986940673</c:v>
                </c:pt>
                <c:pt idx="224">
                  <c:v>0.10540968809490285</c:v>
                </c:pt>
                <c:pt idx="225">
                  <c:v>0.10559704430581446</c:v>
                </c:pt>
                <c:pt idx="226">
                  <c:v>0.10583669692891683</c:v>
                </c:pt>
                <c:pt idx="227">
                  <c:v>0.1061600561890506</c:v>
                </c:pt>
                <c:pt idx="228">
                  <c:v>0.10640022028186487</c:v>
                </c:pt>
                <c:pt idx="229">
                  <c:v>0.10663427125994272</c:v>
                </c:pt>
                <c:pt idx="230">
                  <c:v>0.10685080688397933</c:v>
                </c:pt>
                <c:pt idx="231">
                  <c:v>0.10718220106982349</c:v>
                </c:pt>
                <c:pt idx="232">
                  <c:v>0.10740940073108328</c:v>
                </c:pt>
                <c:pt idx="233">
                  <c:v>0.10768385948447526</c:v>
                </c:pt>
                <c:pt idx="234">
                  <c:v>0.10785123266890558</c:v>
                </c:pt>
                <c:pt idx="235">
                  <c:v>0.10805426735109944</c:v>
                </c:pt>
                <c:pt idx="236">
                  <c:v>0.10830489114505459</c:v>
                </c:pt>
                <c:pt idx="237">
                  <c:v>0.10865787149431598</c:v>
                </c:pt>
                <c:pt idx="238">
                  <c:v>0.10895454312469664</c:v>
                </c:pt>
                <c:pt idx="239">
                  <c:v>0.10925695378106864</c:v>
                </c:pt>
                <c:pt idx="240">
                  <c:v>0.10946258346969952</c:v>
                </c:pt>
                <c:pt idx="241">
                  <c:v>0.10972108610094608</c:v>
                </c:pt>
                <c:pt idx="242">
                  <c:v>0.11005021765993177</c:v>
                </c:pt>
                <c:pt idx="243">
                  <c:v>0.11022297490851198</c:v>
                </c:pt>
                <c:pt idx="244">
                  <c:v>0.11048865420468079</c:v>
                </c:pt>
                <c:pt idx="245">
                  <c:v>0.11079234324873592</c:v>
                </c:pt>
                <c:pt idx="246">
                  <c:v>0.11101387469824857</c:v>
                </c:pt>
                <c:pt idx="247">
                  <c:v>0.11130852579737607</c:v>
                </c:pt>
                <c:pt idx="248">
                  <c:v>0.11158039411059351</c:v>
                </c:pt>
                <c:pt idx="249">
                  <c:v>0.11185180486554926</c:v>
                </c:pt>
                <c:pt idx="250">
                  <c:v>0.11212065141621541</c:v>
                </c:pt>
                <c:pt idx="251">
                  <c:v>0.11232565367300808</c:v>
                </c:pt>
                <c:pt idx="252">
                  <c:v>0.11264454048293651</c:v>
                </c:pt>
                <c:pt idx="253">
                  <c:v>0.11297511121041778</c:v>
                </c:pt>
                <c:pt idx="254">
                  <c:v>0.11323072044577104</c:v>
                </c:pt>
                <c:pt idx="255">
                  <c:v>0.11355284603381997</c:v>
                </c:pt>
                <c:pt idx="256">
                  <c:v>0.11390129488522228</c:v>
                </c:pt>
                <c:pt idx="257">
                  <c:v>0.11414199326999273</c:v>
                </c:pt>
                <c:pt idx="258">
                  <c:v>0.11443123367405016</c:v>
                </c:pt>
                <c:pt idx="259">
                  <c:v>0.11467334595281785</c:v>
                </c:pt>
                <c:pt idx="260">
                  <c:v>0.11496886403805345</c:v>
                </c:pt>
                <c:pt idx="261">
                  <c:v>0.11523054975285443</c:v>
                </c:pt>
                <c:pt idx="262">
                  <c:v>0.11545123489124318</c:v>
                </c:pt>
                <c:pt idx="263">
                  <c:v>0.11567319196119383</c:v>
                </c:pt>
                <c:pt idx="264">
                  <c:v>0.1159294248749921</c:v>
                </c:pt>
                <c:pt idx="265">
                  <c:v>0.11614045950213703</c:v>
                </c:pt>
                <c:pt idx="266">
                  <c:v>0.11638641674086271</c:v>
                </c:pt>
                <c:pt idx="267">
                  <c:v>0.11661742989447341</c:v>
                </c:pt>
                <c:pt idx="268">
                  <c:v>0.11679935279099371</c:v>
                </c:pt>
                <c:pt idx="269">
                  <c:v>0.11699085409327684</c:v>
                </c:pt>
                <c:pt idx="270">
                  <c:v>0.11727225005414722</c:v>
                </c:pt>
                <c:pt idx="271">
                  <c:v>0.11748743810363114</c:v>
                </c:pt>
                <c:pt idx="272">
                  <c:v>0.11769865887701086</c:v>
                </c:pt>
                <c:pt idx="273">
                  <c:v>0.11792066091646602</c:v>
                </c:pt>
                <c:pt idx="274">
                  <c:v>0.11818648982917521</c:v>
                </c:pt>
                <c:pt idx="275">
                  <c:v>0.11833448051150015</c:v>
                </c:pt>
                <c:pt idx="276">
                  <c:v>0.11858808103553636</c:v>
                </c:pt>
                <c:pt idx="277">
                  <c:v>0.11883105084593197</c:v>
                </c:pt>
                <c:pt idx="278">
                  <c:v>0.11901984671452057</c:v>
                </c:pt>
                <c:pt idx="279">
                  <c:v>0.11922099587786779</c:v>
                </c:pt>
                <c:pt idx="280">
                  <c:v>0.1194272696712774</c:v>
                </c:pt>
                <c:pt idx="281">
                  <c:v>0.11970170937548577</c:v>
                </c:pt>
                <c:pt idx="282">
                  <c:v>0.11992866581227067</c:v>
                </c:pt>
                <c:pt idx="283">
                  <c:v>0.12010281697807138</c:v>
                </c:pt>
                <c:pt idx="284">
                  <c:v>0.12032119498633125</c:v>
                </c:pt>
                <c:pt idx="285">
                  <c:v>0.12059561267381376</c:v>
                </c:pt>
                <c:pt idx="286">
                  <c:v>0.12075281929370257</c:v>
                </c:pt>
                <c:pt idx="287">
                  <c:v>0.12095870210067457</c:v>
                </c:pt>
                <c:pt idx="288">
                  <c:v>0.12124610415135535</c:v>
                </c:pt>
                <c:pt idx="289">
                  <c:v>0.12145177494881911</c:v>
                </c:pt>
                <c:pt idx="290">
                  <c:v>0.12166442820100365</c:v>
                </c:pt>
                <c:pt idx="291">
                  <c:v>0.12187032243834707</c:v>
                </c:pt>
                <c:pt idx="292">
                  <c:v>0.12210712566700657</c:v>
                </c:pt>
                <c:pt idx="293">
                  <c:v>0.1223544579280335</c:v>
                </c:pt>
                <c:pt idx="294">
                  <c:v>0.12264150484634831</c:v>
                </c:pt>
                <c:pt idx="295">
                  <c:v>0.12288165271122305</c:v>
                </c:pt>
                <c:pt idx="296">
                  <c:v>0.12310265459903494</c:v>
                </c:pt>
                <c:pt idx="297">
                  <c:v>0.12333067927167102</c:v>
                </c:pt>
                <c:pt idx="298">
                  <c:v>0.12353671948471955</c:v>
                </c:pt>
                <c:pt idx="299">
                  <c:v>0.12373241632326004</c:v>
                </c:pt>
                <c:pt idx="300">
                  <c:v>0.12400715336143306</c:v>
                </c:pt>
                <c:pt idx="301">
                  <c:v>0.12423762253708837</c:v>
                </c:pt>
                <c:pt idx="302">
                  <c:v>0.12445963170491518</c:v>
                </c:pt>
                <c:pt idx="303">
                  <c:v>0.12469356045945512</c:v>
                </c:pt>
                <c:pt idx="304">
                  <c:v>0.12492528677714414</c:v>
                </c:pt>
                <c:pt idx="305">
                  <c:v>0.12517658842211477</c:v>
                </c:pt>
                <c:pt idx="306">
                  <c:v>0.12531920102791613</c:v>
                </c:pt>
                <c:pt idx="307">
                  <c:v>0.12558946971432822</c:v>
                </c:pt>
                <c:pt idx="308">
                  <c:v>0.12583519771942933</c:v>
                </c:pt>
                <c:pt idx="309">
                  <c:v>0.12607295507503027</c:v>
                </c:pt>
                <c:pt idx="310">
                  <c:v>0.12634181683253101</c:v>
                </c:pt>
                <c:pt idx="311">
                  <c:v>0.12654349889497596</c:v>
                </c:pt>
                <c:pt idx="312">
                  <c:v>0.12669551428946746</c:v>
                </c:pt>
                <c:pt idx="313">
                  <c:v>0.12685706331993166</c:v>
                </c:pt>
                <c:pt idx="314">
                  <c:v>0.12700809847288397</c:v>
                </c:pt>
                <c:pt idx="315">
                  <c:v>0.12714847747822411</c:v>
                </c:pt>
                <c:pt idx="316">
                  <c:v>0.12736265821194065</c:v>
                </c:pt>
                <c:pt idx="317">
                  <c:v>0.12753436153128034</c:v>
                </c:pt>
                <c:pt idx="318">
                  <c:v>0.12781429684588971</c:v>
                </c:pt>
                <c:pt idx="319">
                  <c:v>0.12810055598525183</c:v>
                </c:pt>
                <c:pt idx="320">
                  <c:v>0.12828492002988187</c:v>
                </c:pt>
                <c:pt idx="321">
                  <c:v>0.12853266528985294</c:v>
                </c:pt>
                <c:pt idx="322">
                  <c:v>0.12869901697567737</c:v>
                </c:pt>
                <c:pt idx="323">
                  <c:v>0.12900338226465743</c:v>
                </c:pt>
                <c:pt idx="324">
                  <c:v>0.12918341980270026</c:v>
                </c:pt>
                <c:pt idx="325">
                  <c:v>0.1293718215905181</c:v>
                </c:pt>
                <c:pt idx="326">
                  <c:v>0.12951530752906959</c:v>
                </c:pt>
                <c:pt idx="327">
                  <c:v>0.12983479987174368</c:v>
                </c:pt>
                <c:pt idx="328">
                  <c:v>0.12997459926986119</c:v>
                </c:pt>
                <c:pt idx="329">
                  <c:v>0.1301996308074902</c:v>
                </c:pt>
                <c:pt idx="330">
                  <c:v>0.1303545090801041</c:v>
                </c:pt>
                <c:pt idx="331">
                  <c:v>0.13052584182583477</c:v>
                </c:pt>
                <c:pt idx="332">
                  <c:v>0.13073506094506218</c:v>
                </c:pt>
                <c:pt idx="333">
                  <c:v>0.13087658497069596</c:v>
                </c:pt>
                <c:pt idx="334">
                  <c:v>0.13111750249529835</c:v>
                </c:pt>
                <c:pt idx="335">
                  <c:v>0.13126580048814959</c:v>
                </c:pt>
                <c:pt idx="336">
                  <c:v>0.13141496946796144</c:v>
                </c:pt>
                <c:pt idx="337">
                  <c:v>0.13154715648730728</c:v>
                </c:pt>
                <c:pt idx="338">
                  <c:v>0.13168982264147733</c:v>
                </c:pt>
                <c:pt idx="339">
                  <c:v>0.13202631605275558</c:v>
                </c:pt>
                <c:pt idx="340">
                  <c:v>0.13213769451224236</c:v>
                </c:pt>
                <c:pt idx="341">
                  <c:v>0.13236255256866472</c:v>
                </c:pt>
                <c:pt idx="342">
                  <c:v>0.13256758157561915</c:v>
                </c:pt>
                <c:pt idx="343">
                  <c:v>0.1327812464354578</c:v>
                </c:pt>
                <c:pt idx="344">
                  <c:v>0.13298211922467393</c:v>
                </c:pt>
                <c:pt idx="345">
                  <c:v>0.13318838569253216</c:v>
                </c:pt>
                <c:pt idx="346">
                  <c:v>0.13342204422265566</c:v>
                </c:pt>
                <c:pt idx="347">
                  <c:v>0.13362821516075549</c:v>
                </c:pt>
                <c:pt idx="348">
                  <c:v>0.13391554533469074</c:v>
                </c:pt>
                <c:pt idx="349">
                  <c:v>0.13405417059356187</c:v>
                </c:pt>
                <c:pt idx="350">
                  <c:v>0.13421316573275621</c:v>
                </c:pt>
                <c:pt idx="351">
                  <c:v>0.13445875371044774</c:v>
                </c:pt>
                <c:pt idx="352">
                  <c:v>0.13469176086459492</c:v>
                </c:pt>
                <c:pt idx="353">
                  <c:v>0.13480382817431463</c:v>
                </c:pt>
                <c:pt idx="354">
                  <c:v>0.13497889100872984</c:v>
                </c:pt>
                <c:pt idx="355">
                  <c:v>0.13518662558180794</c:v>
                </c:pt>
                <c:pt idx="356">
                  <c:v>0.13537115617095508</c:v>
                </c:pt>
                <c:pt idx="357">
                  <c:v>0.13556712282554528</c:v>
                </c:pt>
                <c:pt idx="358">
                  <c:v>0.13578809637534037</c:v>
                </c:pt>
                <c:pt idx="359">
                  <c:v>0.13598250805468898</c:v>
                </c:pt>
                <c:pt idx="360">
                  <c:v>0.13622090261377157</c:v>
                </c:pt>
                <c:pt idx="361">
                  <c:v>0.13639712045232666</c:v>
                </c:pt>
                <c:pt idx="362">
                  <c:v>0.13662678562629066</c:v>
                </c:pt>
                <c:pt idx="363">
                  <c:v>0.13681761876868054</c:v>
                </c:pt>
                <c:pt idx="364">
                  <c:v>0.13691994223185666</c:v>
                </c:pt>
                <c:pt idx="365">
                  <c:v>0.13710882986260187</c:v>
                </c:pt>
                <c:pt idx="366">
                  <c:v>0.13729313968589235</c:v>
                </c:pt>
                <c:pt idx="367">
                  <c:v>0.13742642557419052</c:v>
                </c:pt>
                <c:pt idx="368">
                  <c:v>0.13762766558675907</c:v>
                </c:pt>
                <c:pt idx="369">
                  <c:v>0.13776008640066462</c:v>
                </c:pt>
                <c:pt idx="370">
                  <c:v>0.13800674580359518</c:v>
                </c:pt>
                <c:pt idx="371">
                  <c:v>0.1382359451271033</c:v>
                </c:pt>
                <c:pt idx="372">
                  <c:v>0.13846948891585198</c:v>
                </c:pt>
                <c:pt idx="373">
                  <c:v>0.13871099270733042</c:v>
                </c:pt>
                <c:pt idx="374">
                  <c:v>0.13889018038948375</c:v>
                </c:pt>
                <c:pt idx="375">
                  <c:v>0.13907709703632651</c:v>
                </c:pt>
                <c:pt idx="376">
                  <c:v>0.13928687549407406</c:v>
                </c:pt>
                <c:pt idx="377">
                  <c:v>0.13950500403717533</c:v>
                </c:pt>
                <c:pt idx="378">
                  <c:v>0.13970258063747509</c:v>
                </c:pt>
                <c:pt idx="379">
                  <c:v>0.13991636469177857</c:v>
                </c:pt>
                <c:pt idx="380">
                  <c:v>0.14008945492135569</c:v>
                </c:pt>
                <c:pt idx="381">
                  <c:v>0.14028423207776375</c:v>
                </c:pt>
                <c:pt idx="382">
                  <c:v>0.14057445428539522</c:v>
                </c:pt>
                <c:pt idx="383">
                  <c:v>0.14071940269712854</c:v>
                </c:pt>
                <c:pt idx="384">
                  <c:v>0.14084357797317407</c:v>
                </c:pt>
                <c:pt idx="385">
                  <c:v>0.14102776573042125</c:v>
                </c:pt>
                <c:pt idx="386">
                  <c:v>0.14125963420802304</c:v>
                </c:pt>
                <c:pt idx="387">
                  <c:v>0.1414433166010127</c:v>
                </c:pt>
                <c:pt idx="388">
                  <c:v>0.1415414421058154</c:v>
                </c:pt>
                <c:pt idx="389">
                  <c:v>0.14172256118054441</c:v>
                </c:pt>
                <c:pt idx="390">
                  <c:v>0.1419275737282901</c:v>
                </c:pt>
                <c:pt idx="391">
                  <c:v>0.14214615547316151</c:v>
                </c:pt>
                <c:pt idx="392">
                  <c:v>0.14230977594801858</c:v>
                </c:pt>
                <c:pt idx="393">
                  <c:v>0.14242264271619323</c:v>
                </c:pt>
                <c:pt idx="394">
                  <c:v>0.14259377676053134</c:v>
                </c:pt>
                <c:pt idx="395">
                  <c:v>0.1426978810470147</c:v>
                </c:pt>
                <c:pt idx="396">
                  <c:v>0.14284104311818197</c:v>
                </c:pt>
                <c:pt idx="397">
                  <c:v>0.1430473753702379</c:v>
                </c:pt>
                <c:pt idx="398">
                  <c:v>0.14319804457903915</c:v>
                </c:pt>
                <c:pt idx="399">
                  <c:v>0.14339863909483386</c:v>
                </c:pt>
                <c:pt idx="400">
                  <c:v>0.14356316564885413</c:v>
                </c:pt>
                <c:pt idx="401">
                  <c:v>0.14376850011967643</c:v>
                </c:pt>
                <c:pt idx="402">
                  <c:v>0.14400515459631894</c:v>
                </c:pt>
                <c:pt idx="403">
                  <c:v>0.1441894489777116</c:v>
                </c:pt>
                <c:pt idx="404">
                  <c:v>0.14439777405177975</c:v>
                </c:pt>
                <c:pt idx="405">
                  <c:v>0.14455935803374978</c:v>
                </c:pt>
                <c:pt idx="406">
                  <c:v>0.14477249451557642</c:v>
                </c:pt>
                <c:pt idx="407">
                  <c:v>0.14492649856538459</c:v>
                </c:pt>
                <c:pt idx="408">
                  <c:v>0.14512978073707522</c:v>
                </c:pt>
                <c:pt idx="409">
                  <c:v>0.14530339272717477</c:v>
                </c:pt>
                <c:pt idx="410">
                  <c:v>0.14547130923161256</c:v>
                </c:pt>
                <c:pt idx="411">
                  <c:v>0.14561965796455772</c:v>
                </c:pt>
                <c:pt idx="412">
                  <c:v>0.1458257459292705</c:v>
                </c:pt>
                <c:pt idx="413">
                  <c:v>0.14594901708296854</c:v>
                </c:pt>
                <c:pt idx="414">
                  <c:v>0.14616995688134896</c:v>
                </c:pt>
                <c:pt idx="415">
                  <c:v>0.14634107168086677</c:v>
                </c:pt>
                <c:pt idx="416">
                  <c:v>0.14651866201069019</c:v>
                </c:pt>
                <c:pt idx="417">
                  <c:v>0.14657841493039073</c:v>
                </c:pt>
                <c:pt idx="418">
                  <c:v>0.14679422783161789</c:v>
                </c:pt>
                <c:pt idx="419">
                  <c:v>0.14694046561641039</c:v>
                </c:pt>
                <c:pt idx="420">
                  <c:v>0.1471395447807238</c:v>
                </c:pt>
                <c:pt idx="421">
                  <c:v>0.1472900415904618</c:v>
                </c:pt>
                <c:pt idx="422">
                  <c:v>0.14747241836706482</c:v>
                </c:pt>
                <c:pt idx="423">
                  <c:v>0.14765805646853938</c:v>
                </c:pt>
                <c:pt idx="424">
                  <c:v>0.14780817591009446</c:v>
                </c:pt>
                <c:pt idx="425">
                  <c:v>0.14798506357015476</c:v>
                </c:pt>
                <c:pt idx="426">
                  <c:v>0.14819174946692437</c:v>
                </c:pt>
                <c:pt idx="427">
                  <c:v>0.14836541871512679</c:v>
                </c:pt>
                <c:pt idx="428">
                  <c:v>0.1485615196643236</c:v>
                </c:pt>
                <c:pt idx="429">
                  <c:v>0.14873884095839451</c:v>
                </c:pt>
                <c:pt idx="430">
                  <c:v>0.14889067050652208</c:v>
                </c:pt>
                <c:pt idx="431">
                  <c:v>0.14902042432501669</c:v>
                </c:pt>
                <c:pt idx="432">
                  <c:v>0.14918187471002728</c:v>
                </c:pt>
                <c:pt idx="433">
                  <c:v>0.14939106105527078</c:v>
                </c:pt>
                <c:pt idx="434">
                  <c:v>0.14954757931977336</c:v>
                </c:pt>
                <c:pt idx="435">
                  <c:v>0.14969205409235639</c:v>
                </c:pt>
                <c:pt idx="436">
                  <c:v>0.14981108057021711</c:v>
                </c:pt>
                <c:pt idx="437">
                  <c:v>0.14993828872499698</c:v>
                </c:pt>
                <c:pt idx="438">
                  <c:v>0.15012236641709273</c:v>
                </c:pt>
                <c:pt idx="439">
                  <c:v>0.15031841537901611</c:v>
                </c:pt>
                <c:pt idx="440">
                  <c:v>0.15049088385846243</c:v>
                </c:pt>
                <c:pt idx="441">
                  <c:v>0.15066674590382459</c:v>
                </c:pt>
                <c:pt idx="442">
                  <c:v>0.1508357576133976</c:v>
                </c:pt>
                <c:pt idx="443">
                  <c:v>0.15100072942171702</c:v>
                </c:pt>
                <c:pt idx="444">
                  <c:v>0.1511512223426813</c:v>
                </c:pt>
                <c:pt idx="445">
                  <c:v>0.15133433951313058</c:v>
                </c:pt>
                <c:pt idx="446">
                  <c:v>0.15150897319220125</c:v>
                </c:pt>
                <c:pt idx="447">
                  <c:v>0.15164357956253058</c:v>
                </c:pt>
                <c:pt idx="448">
                  <c:v>0.15181977119224904</c:v>
                </c:pt>
                <c:pt idx="449">
                  <c:v>0.15191718688742162</c:v>
                </c:pt>
                <c:pt idx="450">
                  <c:v>0.15206013019950515</c:v>
                </c:pt>
                <c:pt idx="451">
                  <c:v>0.15215160266373959</c:v>
                </c:pt>
                <c:pt idx="452">
                  <c:v>0.15228428096085317</c:v>
                </c:pt>
                <c:pt idx="453">
                  <c:v>0.15242791392695473</c:v>
                </c:pt>
                <c:pt idx="454">
                  <c:v>0.15261880168876779</c:v>
                </c:pt>
                <c:pt idx="455">
                  <c:v>0.15279335898830759</c:v>
                </c:pt>
                <c:pt idx="456">
                  <c:v>0.15299964677597042</c:v>
                </c:pt>
                <c:pt idx="457">
                  <c:v>0.15313680696880941</c:v>
                </c:pt>
                <c:pt idx="458">
                  <c:v>0.15329071646237394</c:v>
                </c:pt>
                <c:pt idx="459">
                  <c:v>0.15341634784145219</c:v>
                </c:pt>
                <c:pt idx="460">
                  <c:v>0.15352742572410766</c:v>
                </c:pt>
                <c:pt idx="461">
                  <c:v>0.15370367541102881</c:v>
                </c:pt>
                <c:pt idx="462">
                  <c:v>0.153920953718922</c:v>
                </c:pt>
                <c:pt idx="463">
                  <c:v>0.15410815836631733</c:v>
                </c:pt>
                <c:pt idx="464">
                  <c:v>0.15429930762794389</c:v>
                </c:pt>
                <c:pt idx="465">
                  <c:v>0.15448419188497231</c:v>
                </c:pt>
                <c:pt idx="466">
                  <c:v>0.15471282281356438</c:v>
                </c:pt>
                <c:pt idx="467">
                  <c:v>0.15488987778202773</c:v>
                </c:pt>
                <c:pt idx="468">
                  <c:v>0.15507294886729747</c:v>
                </c:pt>
                <c:pt idx="469">
                  <c:v>0.15530112350479836</c:v>
                </c:pt>
                <c:pt idx="470">
                  <c:v>0.15544920920512212</c:v>
                </c:pt>
                <c:pt idx="471">
                  <c:v>0.15554192191544125</c:v>
                </c:pt>
                <c:pt idx="472">
                  <c:v>0.15573477861682547</c:v>
                </c:pt>
                <c:pt idx="473">
                  <c:v>0.15587370540503487</c:v>
                </c:pt>
                <c:pt idx="474">
                  <c:v>0.15602817859577531</c:v>
                </c:pt>
                <c:pt idx="475">
                  <c:v>0.15622372120680222</c:v>
                </c:pt>
                <c:pt idx="476">
                  <c:v>0.15636126030170497</c:v>
                </c:pt>
                <c:pt idx="477">
                  <c:v>0.15654743212933914</c:v>
                </c:pt>
                <c:pt idx="478">
                  <c:v>0.15677092012315105</c:v>
                </c:pt>
                <c:pt idx="479">
                  <c:v>0.1569687953910246</c:v>
                </c:pt>
                <c:pt idx="480">
                  <c:v>0.15718524351394869</c:v>
                </c:pt>
                <c:pt idx="481">
                  <c:v>0.15734720926033252</c:v>
                </c:pt>
                <c:pt idx="482">
                  <c:v>0.15752048960298912</c:v>
                </c:pt>
                <c:pt idx="483">
                  <c:v>0.15763402116443057</c:v>
                </c:pt>
                <c:pt idx="484">
                  <c:v>0.15772971327304897</c:v>
                </c:pt>
                <c:pt idx="485">
                  <c:v>0.15786531912518431</c:v>
                </c:pt>
                <c:pt idx="486">
                  <c:v>0.15799041395697536</c:v>
                </c:pt>
                <c:pt idx="487">
                  <c:v>0.15810250794528768</c:v>
                </c:pt>
                <c:pt idx="488">
                  <c:v>0.15831311887512728</c:v>
                </c:pt>
                <c:pt idx="489">
                  <c:v>0.1584550326748137</c:v>
                </c:pt>
                <c:pt idx="490">
                  <c:v>0.15864611865975459</c:v>
                </c:pt>
                <c:pt idx="491">
                  <c:v>0.15878665560247884</c:v>
                </c:pt>
                <c:pt idx="492">
                  <c:v>0.1589562951081103</c:v>
                </c:pt>
                <c:pt idx="493">
                  <c:v>0.15911041724421693</c:v>
                </c:pt>
                <c:pt idx="494">
                  <c:v>0.15925996305685108</c:v>
                </c:pt>
                <c:pt idx="495">
                  <c:v>0.15937886664228182</c:v>
                </c:pt>
                <c:pt idx="496">
                  <c:v>0.15955546143078303</c:v>
                </c:pt>
                <c:pt idx="497">
                  <c:v>0.15971228413241714</c:v>
                </c:pt>
                <c:pt idx="498">
                  <c:v>0.15986597301792171</c:v>
                </c:pt>
                <c:pt idx="499">
                  <c:v>0.16008020466754444</c:v>
                </c:pt>
                <c:pt idx="500">
                  <c:v>0.16029458364994187</c:v>
                </c:pt>
                <c:pt idx="501">
                  <c:v>0.16052156870523665</c:v>
                </c:pt>
                <c:pt idx="502">
                  <c:v>0.16059213241593306</c:v>
                </c:pt>
                <c:pt idx="503">
                  <c:v>0.16078585453853106</c:v>
                </c:pt>
                <c:pt idx="504">
                  <c:v>0.16091290167332326</c:v>
                </c:pt>
                <c:pt idx="505">
                  <c:v>0.16111310446529495</c:v>
                </c:pt>
                <c:pt idx="506">
                  <c:v>0.16126253246587902</c:v>
                </c:pt>
                <c:pt idx="507">
                  <c:v>0.16143428327913736</c:v>
                </c:pt>
                <c:pt idx="508">
                  <c:v>0.16164254628623567</c:v>
                </c:pt>
                <c:pt idx="509">
                  <c:v>0.16178438225421507</c:v>
                </c:pt>
                <c:pt idx="510">
                  <c:v>0.16193084799407398</c:v>
                </c:pt>
                <c:pt idx="511">
                  <c:v>0.16202721505752404</c:v>
                </c:pt>
                <c:pt idx="512">
                  <c:v>0.16220579388924283</c:v>
                </c:pt>
                <c:pt idx="513">
                  <c:v>0.16237303533281047</c:v>
                </c:pt>
                <c:pt idx="514">
                  <c:v>0.16257026010508041</c:v>
                </c:pt>
                <c:pt idx="515">
                  <c:v>0.16269504130223467</c:v>
                </c:pt>
                <c:pt idx="516">
                  <c:v>0.16290180902098539</c:v>
                </c:pt>
                <c:pt idx="517">
                  <c:v>0.16311017331257194</c:v>
                </c:pt>
                <c:pt idx="518">
                  <c:v>0.1632400794194491</c:v>
                </c:pt>
                <c:pt idx="519">
                  <c:v>0.16339018842532763</c:v>
                </c:pt>
                <c:pt idx="520">
                  <c:v>0.16356832308350824</c:v>
                </c:pt>
                <c:pt idx="521">
                  <c:v>0.16375089045908275</c:v>
                </c:pt>
                <c:pt idx="522">
                  <c:v>0.16390570132349336</c:v>
                </c:pt>
                <c:pt idx="523">
                  <c:v>0.16408127783148144</c:v>
                </c:pt>
                <c:pt idx="524">
                  <c:v>0.16427919615595432</c:v>
                </c:pt>
                <c:pt idx="525">
                  <c:v>0.16440679998485755</c:v>
                </c:pt>
                <c:pt idx="526">
                  <c:v>0.16455292413292494</c:v>
                </c:pt>
                <c:pt idx="527">
                  <c:v>0.16471636380046381</c:v>
                </c:pt>
                <c:pt idx="528">
                  <c:v>0.16488378510538534</c:v>
                </c:pt>
                <c:pt idx="529">
                  <c:v>0.1649751680202596</c:v>
                </c:pt>
                <c:pt idx="530">
                  <c:v>0.1650960558649521</c:v>
                </c:pt>
                <c:pt idx="531">
                  <c:v>0.16522779951028552</c:v>
                </c:pt>
                <c:pt idx="532">
                  <c:v>0.16539372213810588</c:v>
                </c:pt>
                <c:pt idx="533">
                  <c:v>0.16552486029664651</c:v>
                </c:pt>
                <c:pt idx="534">
                  <c:v>0.16560343037654851</c:v>
                </c:pt>
                <c:pt idx="535">
                  <c:v>0.1658104573930797</c:v>
                </c:pt>
                <c:pt idx="536">
                  <c:v>0.16595119527517424</c:v>
                </c:pt>
                <c:pt idx="537">
                  <c:v>0.16612009745641321</c:v>
                </c:pt>
                <c:pt idx="538">
                  <c:v>0.16629599710938314</c:v>
                </c:pt>
                <c:pt idx="539">
                  <c:v>0.16647244053689195</c:v>
                </c:pt>
                <c:pt idx="540">
                  <c:v>0.16663884110160052</c:v>
                </c:pt>
                <c:pt idx="541">
                  <c:v>0.16676341141227044</c:v>
                </c:pt>
                <c:pt idx="542">
                  <c:v>0.16691059855504176</c:v>
                </c:pt>
                <c:pt idx="543">
                  <c:v>0.16710156924339736</c:v>
                </c:pt>
                <c:pt idx="544">
                  <c:v>0.16721116480477316</c:v>
                </c:pt>
                <c:pt idx="545">
                  <c:v>0.16734878533872474</c:v>
                </c:pt>
                <c:pt idx="546">
                  <c:v>0.16750171195378333</c:v>
                </c:pt>
                <c:pt idx="547">
                  <c:v>0.1676761775812155</c:v>
                </c:pt>
                <c:pt idx="548">
                  <c:v>0.16782388446255253</c:v>
                </c:pt>
                <c:pt idx="549">
                  <c:v>0.16801353007764067</c:v>
                </c:pt>
                <c:pt idx="550">
                  <c:v>0.16817003934313055</c:v>
                </c:pt>
                <c:pt idx="551">
                  <c:v>0.16831670192177028</c:v>
                </c:pt>
                <c:pt idx="552">
                  <c:v>0.16848522644686523</c:v>
                </c:pt>
                <c:pt idx="553">
                  <c:v>0.16860521055150418</c:v>
                </c:pt>
                <c:pt idx="554">
                  <c:v>0.16874788916554967</c:v>
                </c:pt>
                <c:pt idx="555">
                  <c:v>0.16894715232920587</c:v>
                </c:pt>
                <c:pt idx="556">
                  <c:v>0.16911187306879599</c:v>
                </c:pt>
                <c:pt idx="557">
                  <c:v>0.1692677598058076</c:v>
                </c:pt>
                <c:pt idx="558">
                  <c:v>0.16947165213155974</c:v>
                </c:pt>
                <c:pt idx="559">
                  <c:v>0.16961587669738304</c:v>
                </c:pt>
                <c:pt idx="560">
                  <c:v>0.16975266636709457</c:v>
                </c:pt>
                <c:pt idx="561">
                  <c:v>0.16988575545015225</c:v>
                </c:pt>
                <c:pt idx="562">
                  <c:v>0.17000172449327883</c:v>
                </c:pt>
                <c:pt idx="563">
                  <c:v>0.17012454674060531</c:v>
                </c:pt>
                <c:pt idx="564">
                  <c:v>0.17023179392419457</c:v>
                </c:pt>
                <c:pt idx="565">
                  <c:v>0.17030802867835321</c:v>
                </c:pt>
                <c:pt idx="566">
                  <c:v>0.17045487034384918</c:v>
                </c:pt>
                <c:pt idx="567">
                  <c:v>0.17058897515750457</c:v>
                </c:pt>
                <c:pt idx="568">
                  <c:v>0.17067886686438047</c:v>
                </c:pt>
                <c:pt idx="569">
                  <c:v>0.17081511286739443</c:v>
                </c:pt>
                <c:pt idx="570">
                  <c:v>0.17096223479510073</c:v>
                </c:pt>
                <c:pt idx="571">
                  <c:v>0.17111621188027648</c:v>
                </c:pt>
                <c:pt idx="572">
                  <c:v>0.17124039828360907</c:v>
                </c:pt>
                <c:pt idx="573">
                  <c:v>0.17142004634435803</c:v>
                </c:pt>
                <c:pt idx="574">
                  <c:v>0.17159085492743345</c:v>
                </c:pt>
                <c:pt idx="575">
                  <c:v>0.17170675930814858</c:v>
                </c:pt>
                <c:pt idx="576">
                  <c:v>0.17186152645367062</c:v>
                </c:pt>
                <c:pt idx="577">
                  <c:v>0.17200038967544146</c:v>
                </c:pt>
                <c:pt idx="578">
                  <c:v>0.1721109477378521</c:v>
                </c:pt>
                <c:pt idx="579">
                  <c:v>0.17223804777613963</c:v>
                </c:pt>
                <c:pt idx="580">
                  <c:v>0.17236166453300372</c:v>
                </c:pt>
                <c:pt idx="581">
                  <c:v>0.1724458199556487</c:v>
                </c:pt>
                <c:pt idx="582">
                  <c:v>0.17259446166978534</c:v>
                </c:pt>
                <c:pt idx="583">
                  <c:v>0.17274198895451062</c:v>
                </c:pt>
                <c:pt idx="584">
                  <c:v>0.17285315819685335</c:v>
                </c:pt>
                <c:pt idx="585">
                  <c:v>0.1729477655333797</c:v>
                </c:pt>
                <c:pt idx="586">
                  <c:v>0.17306172197997738</c:v>
                </c:pt>
                <c:pt idx="587">
                  <c:v>0.17314055218029384</c:v>
                </c:pt>
                <c:pt idx="588">
                  <c:v>0.1731745359305582</c:v>
                </c:pt>
                <c:pt idx="589">
                  <c:v>0.17325776747322338</c:v>
                </c:pt>
                <c:pt idx="590">
                  <c:v>0.17339346322214683</c:v>
                </c:pt>
                <c:pt idx="591">
                  <c:v>0.17346288921043454</c:v>
                </c:pt>
                <c:pt idx="592">
                  <c:v>0.17355936270954611</c:v>
                </c:pt>
                <c:pt idx="593">
                  <c:v>0.17365075700314114</c:v>
                </c:pt>
                <c:pt idx="594">
                  <c:v>0.1737739460918174</c:v>
                </c:pt>
                <c:pt idx="595">
                  <c:v>0.17389281141664817</c:v>
                </c:pt>
                <c:pt idx="596">
                  <c:v>0.17401408685688122</c:v>
                </c:pt>
                <c:pt idx="597">
                  <c:v>0.17413325639288679</c:v>
                </c:pt>
                <c:pt idx="598">
                  <c:v>0.17420529605819829</c:v>
                </c:pt>
                <c:pt idx="599">
                  <c:v>0.17428867917355681</c:v>
                </c:pt>
                <c:pt idx="600">
                  <c:v>0.17438078034933535</c:v>
                </c:pt>
                <c:pt idx="601">
                  <c:v>0.17449926284562517</c:v>
                </c:pt>
                <c:pt idx="602">
                  <c:v>0.17461692514567267</c:v>
                </c:pt>
                <c:pt idx="603">
                  <c:v>0.17475898302192741</c:v>
                </c:pt>
                <c:pt idx="604">
                  <c:v>0.17486287773421011</c:v>
                </c:pt>
                <c:pt idx="605">
                  <c:v>0.17494870249992467</c:v>
                </c:pt>
                <c:pt idx="606">
                  <c:v>0.17508538391399239</c:v>
                </c:pt>
                <c:pt idx="607">
                  <c:v>0.17512096164143606</c:v>
                </c:pt>
                <c:pt idx="608">
                  <c:v>0.17526790923244601</c:v>
                </c:pt>
                <c:pt idx="609">
                  <c:v>0.17536958533120839</c:v>
                </c:pt>
                <c:pt idx="610">
                  <c:v>0.17546620406767385</c:v>
                </c:pt>
                <c:pt idx="611">
                  <c:v>0.17563001624214244</c:v>
                </c:pt>
                <c:pt idx="612">
                  <c:v>0.17579783706025809</c:v>
                </c:pt>
                <c:pt idx="613">
                  <c:v>0.17590031693816405</c:v>
                </c:pt>
                <c:pt idx="614">
                  <c:v>0.17606829024137988</c:v>
                </c:pt>
                <c:pt idx="615">
                  <c:v>0.17617315768464986</c:v>
                </c:pt>
                <c:pt idx="616">
                  <c:v>0.17627218817503737</c:v>
                </c:pt>
                <c:pt idx="617">
                  <c:v>0.17637504867474027</c:v>
                </c:pt>
                <c:pt idx="618">
                  <c:v>0.17647519566960854</c:v>
                </c:pt>
                <c:pt idx="619">
                  <c:v>0.17661375812560429</c:v>
                </c:pt>
                <c:pt idx="620">
                  <c:v>0.17668229763821813</c:v>
                </c:pt>
                <c:pt idx="621">
                  <c:v>0.17675530038795881</c:v>
                </c:pt>
                <c:pt idx="622">
                  <c:v>0.17686678440484258</c:v>
                </c:pt>
                <c:pt idx="623">
                  <c:v>0.17698436127086026</c:v>
                </c:pt>
                <c:pt idx="624">
                  <c:v>0.17710099105983929</c:v>
                </c:pt>
                <c:pt idx="625">
                  <c:v>0.17721108248363035</c:v>
                </c:pt>
                <c:pt idx="626">
                  <c:v>0.17728005386374501</c:v>
                </c:pt>
                <c:pt idx="627">
                  <c:v>0.17735527869393553</c:v>
                </c:pt>
                <c:pt idx="628">
                  <c:v>0.17746125556038569</c:v>
                </c:pt>
                <c:pt idx="629">
                  <c:v>0.17756055282660116</c:v>
                </c:pt>
                <c:pt idx="630">
                  <c:v>0.17764343803434418</c:v>
                </c:pt>
                <c:pt idx="631">
                  <c:v>0.17776248298357541</c:v>
                </c:pt>
                <c:pt idx="632">
                  <c:v>0.1778699373068667</c:v>
                </c:pt>
                <c:pt idx="633">
                  <c:v>0.17804918027443384</c:v>
                </c:pt>
                <c:pt idx="634">
                  <c:v>0.17814876112667521</c:v>
                </c:pt>
                <c:pt idx="635">
                  <c:v>0.17821694447245068</c:v>
                </c:pt>
                <c:pt idx="636">
                  <c:v>0.17832488354733991</c:v>
                </c:pt>
                <c:pt idx="637">
                  <c:v>0.17847384898140237</c:v>
                </c:pt>
                <c:pt idx="638">
                  <c:v>0.17854773969644019</c:v>
                </c:pt>
                <c:pt idx="639">
                  <c:v>0.17867523066683541</c:v>
                </c:pt>
                <c:pt idx="640">
                  <c:v>0.1787315879304727</c:v>
                </c:pt>
                <c:pt idx="641">
                  <c:v>0.17885262723101267</c:v>
                </c:pt>
                <c:pt idx="642">
                  <c:v>0.17896105677500038</c:v>
                </c:pt>
                <c:pt idx="643">
                  <c:v>0.17904787700057009</c:v>
                </c:pt>
                <c:pt idx="644">
                  <c:v>0.17913546059576146</c:v>
                </c:pt>
                <c:pt idx="645">
                  <c:v>0.17920516573425341</c:v>
                </c:pt>
                <c:pt idx="646">
                  <c:v>0.17927872057352234</c:v>
                </c:pt>
                <c:pt idx="647">
                  <c:v>0.17942858503485182</c:v>
                </c:pt>
                <c:pt idx="648">
                  <c:v>0.17950188767142497</c:v>
                </c:pt>
                <c:pt idx="649">
                  <c:v>0.17959797489362112</c:v>
                </c:pt>
                <c:pt idx="650">
                  <c:v>0.17969012010459706</c:v>
                </c:pt>
                <c:pt idx="651">
                  <c:v>0.17977789585038925</c:v>
                </c:pt>
                <c:pt idx="652">
                  <c:v>0.17988578532967375</c:v>
                </c:pt>
                <c:pt idx="653">
                  <c:v>0.17996496530068418</c:v>
                </c:pt>
                <c:pt idx="654">
                  <c:v>0.18005433830507131</c:v>
                </c:pt>
                <c:pt idx="655">
                  <c:v>0.18016324192305319</c:v>
                </c:pt>
                <c:pt idx="656">
                  <c:v>0.18027602983425042</c:v>
                </c:pt>
                <c:pt idx="657">
                  <c:v>0.18039559036973346</c:v>
                </c:pt>
                <c:pt idx="658">
                  <c:v>0.18051948865991915</c:v>
                </c:pt>
                <c:pt idx="659">
                  <c:v>0.18064399500378123</c:v>
                </c:pt>
                <c:pt idx="660">
                  <c:v>0.18074990629788129</c:v>
                </c:pt>
                <c:pt idx="661">
                  <c:v>0.18088496354756758</c:v>
                </c:pt>
                <c:pt idx="662">
                  <c:v>0.18103050689327613</c:v>
                </c:pt>
                <c:pt idx="663">
                  <c:v>0.18115570516884325</c:v>
                </c:pt>
                <c:pt idx="664">
                  <c:v>0.18121797772967294</c:v>
                </c:pt>
                <c:pt idx="665">
                  <c:v>0.18131212537727881</c:v>
                </c:pt>
                <c:pt idx="666">
                  <c:v>0.18143655314873</c:v>
                </c:pt>
                <c:pt idx="667">
                  <c:v>0.18150837973657047</c:v>
                </c:pt>
                <c:pt idx="668">
                  <c:v>0.18160423736411949</c:v>
                </c:pt>
                <c:pt idx="669">
                  <c:v>0.18171417679360544</c:v>
                </c:pt>
                <c:pt idx="670">
                  <c:v>0.18179291594150879</c:v>
                </c:pt>
                <c:pt idx="671">
                  <c:v>0.18191471559263164</c:v>
                </c:pt>
                <c:pt idx="672">
                  <c:v>0.18204714586278148</c:v>
                </c:pt>
                <c:pt idx="673">
                  <c:v>0.18216191810527393</c:v>
                </c:pt>
                <c:pt idx="674">
                  <c:v>0.18230593314918553</c:v>
                </c:pt>
                <c:pt idx="675">
                  <c:v>0.18239181775064942</c:v>
                </c:pt>
                <c:pt idx="676">
                  <c:v>0.1824549615803468</c:v>
                </c:pt>
                <c:pt idx="677">
                  <c:v>0.1825716820775227</c:v>
                </c:pt>
                <c:pt idx="678">
                  <c:v>0.18262003106121488</c:v>
                </c:pt>
                <c:pt idx="679">
                  <c:v>0.18274651522627344</c:v>
                </c:pt>
                <c:pt idx="680">
                  <c:v>0.18284890870156442</c:v>
                </c:pt>
                <c:pt idx="681">
                  <c:v>0.18300574518653248</c:v>
                </c:pt>
                <c:pt idx="682">
                  <c:v>0.18308425897739766</c:v>
                </c:pt>
                <c:pt idx="683">
                  <c:v>0.18318665936168341</c:v>
                </c:pt>
                <c:pt idx="684">
                  <c:v>0.18329593776904515</c:v>
                </c:pt>
                <c:pt idx="685">
                  <c:v>0.1833218985599156</c:v>
                </c:pt>
                <c:pt idx="686">
                  <c:v>0.18339467413749777</c:v>
                </c:pt>
                <c:pt idx="687">
                  <c:v>0.18346118217726898</c:v>
                </c:pt>
                <c:pt idx="688">
                  <c:v>0.1834918297589844</c:v>
                </c:pt>
                <c:pt idx="689">
                  <c:v>0.18361717294604232</c:v>
                </c:pt>
                <c:pt idx="690">
                  <c:v>0.18366200430470098</c:v>
                </c:pt>
                <c:pt idx="691">
                  <c:v>0.18377963000716085</c:v>
                </c:pt>
                <c:pt idx="692">
                  <c:v>0.18389456503447274</c:v>
                </c:pt>
                <c:pt idx="693">
                  <c:v>0.1840139666916156</c:v>
                </c:pt>
                <c:pt idx="694">
                  <c:v>0.18413009089420612</c:v>
                </c:pt>
                <c:pt idx="695">
                  <c:v>0.18420874624230474</c:v>
                </c:pt>
                <c:pt idx="696">
                  <c:v>0.18422970723290025</c:v>
                </c:pt>
                <c:pt idx="697">
                  <c:v>0.18424100753210762</c:v>
                </c:pt>
                <c:pt idx="698">
                  <c:v>0.18430459709268962</c:v>
                </c:pt>
                <c:pt idx="699">
                  <c:v>0.18440576232825379</c:v>
                </c:pt>
                <c:pt idx="700">
                  <c:v>0.18453356144698743</c:v>
                </c:pt>
                <c:pt idx="701">
                  <c:v>0.18463023039080159</c:v>
                </c:pt>
                <c:pt idx="702">
                  <c:v>0.18472009921396065</c:v>
                </c:pt>
                <c:pt idx="703">
                  <c:v>0.18480869144888121</c:v>
                </c:pt>
                <c:pt idx="704">
                  <c:v>0.18485708139899457</c:v>
                </c:pt>
                <c:pt idx="705">
                  <c:v>0.18495660268920427</c:v>
                </c:pt>
                <c:pt idx="706">
                  <c:v>0.18503573657546296</c:v>
                </c:pt>
                <c:pt idx="707">
                  <c:v>0.18508796660485147</c:v>
                </c:pt>
                <c:pt idx="708">
                  <c:v>0.1851714936614719</c:v>
                </c:pt>
                <c:pt idx="709">
                  <c:v>0.18531053911106218</c:v>
                </c:pt>
                <c:pt idx="710">
                  <c:v>0.18536474014994367</c:v>
                </c:pt>
                <c:pt idx="711">
                  <c:v>0.1854776596105806</c:v>
                </c:pt>
                <c:pt idx="712">
                  <c:v>0.18553761542159233</c:v>
                </c:pt>
                <c:pt idx="713">
                  <c:v>0.18560066795592645</c:v>
                </c:pt>
                <c:pt idx="714">
                  <c:v>0.1856857724976442</c:v>
                </c:pt>
                <c:pt idx="715">
                  <c:v>0.18575184385950441</c:v>
                </c:pt>
                <c:pt idx="716">
                  <c:v>0.18584368370953727</c:v>
                </c:pt>
                <c:pt idx="717">
                  <c:v>0.18589159913101122</c:v>
                </c:pt>
                <c:pt idx="718">
                  <c:v>0.18599059212700816</c:v>
                </c:pt>
                <c:pt idx="719">
                  <c:v>0.18612031669700865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45248"/>
        <c:axId val="449047168"/>
      </c:lineChart>
      <c:catAx>
        <c:axId val="449045248"/>
        <c:scaling>
          <c:orientation val="minMax"/>
        </c:scaling>
        <c:delete val="0"/>
        <c:axPos val="b"/>
        <c:majorTickMark val="out"/>
        <c:minorTickMark val="none"/>
        <c:tickLblPos val="nextTo"/>
        <c:crossAx val="449047168"/>
        <c:crosses val="autoZero"/>
        <c:auto val="1"/>
        <c:lblAlgn val="ctr"/>
        <c:lblOffset val="100"/>
        <c:noMultiLvlLbl val="0"/>
      </c:catAx>
      <c:valAx>
        <c:axId val="44904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9045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Feuil2!$U$12:$U$731</c:f>
              <c:numCache>
                <c:formatCode>General</c:formatCode>
                <c:ptCount val="720"/>
                <c:pt idx="0">
                  <c:v>-7.4408665144067021E-4</c:v>
                </c:pt>
                <c:pt idx="1">
                  <c:v>-5.0685312985623149E-4</c:v>
                </c:pt>
                <c:pt idx="2">
                  <c:v>-1.9976335095200914E-4</c:v>
                </c:pt>
                <c:pt idx="3">
                  <c:v>2.0719596739710022E-4</c:v>
                </c:pt>
                <c:pt idx="4">
                  <c:v>9.8869141582545728E-5</c:v>
                </c:pt>
                <c:pt idx="5">
                  <c:v>9.4692005906729659E-4</c:v>
                </c:pt>
                <c:pt idx="6">
                  <c:v>7.6813063212144428E-4</c:v>
                </c:pt>
                <c:pt idx="7">
                  <c:v>1.1299383921737488E-3</c:v>
                </c:pt>
                <c:pt idx="8">
                  <c:v>1.3669720321967463E-3</c:v>
                </c:pt>
                <c:pt idx="9">
                  <c:v>1.1257621898466616E-3</c:v>
                </c:pt>
                <c:pt idx="10">
                  <c:v>1.5002378702241512E-3</c:v>
                </c:pt>
                <c:pt idx="11">
                  <c:v>1.4984873328726667E-3</c:v>
                </c:pt>
                <c:pt idx="12">
                  <c:v>1.3113317281428435E-3</c:v>
                </c:pt>
                <c:pt idx="13">
                  <c:v>1.0997137849790353E-3</c:v>
                </c:pt>
                <c:pt idx="14">
                  <c:v>6.3095615480679434E-4</c:v>
                </c:pt>
                <c:pt idx="15">
                  <c:v>6.0141087403297461E-4</c:v>
                </c:pt>
                <c:pt idx="16">
                  <c:v>7.585869662180833E-4</c:v>
                </c:pt>
                <c:pt idx="17">
                  <c:v>6.5878758166227486E-4</c:v>
                </c:pt>
                <c:pt idx="18">
                  <c:v>6.4716387937063802E-4</c:v>
                </c:pt>
                <c:pt idx="19">
                  <c:v>6.8761544714449063E-4</c:v>
                </c:pt>
                <c:pt idx="20">
                  <c:v>4.9918256648173037E-4</c:v>
                </c:pt>
                <c:pt idx="21">
                  <c:v>5.8795570543608566E-4</c:v>
                </c:pt>
                <c:pt idx="22">
                  <c:v>9.8351200895161611E-4</c:v>
                </c:pt>
                <c:pt idx="23">
                  <c:v>9.755198746216262E-4</c:v>
                </c:pt>
                <c:pt idx="24">
                  <c:v>1.0415932983395687E-3</c:v>
                </c:pt>
                <c:pt idx="25">
                  <c:v>1.3581571394387648E-3</c:v>
                </c:pt>
                <c:pt idx="26">
                  <c:v>1.4359289944018902E-3</c:v>
                </c:pt>
                <c:pt idx="27">
                  <c:v>1.4800757609959719E-3</c:v>
                </c:pt>
                <c:pt idx="28">
                  <c:v>1.4396069967108072E-3</c:v>
                </c:pt>
                <c:pt idx="29">
                  <c:v>1.263983712167939E-3</c:v>
                </c:pt>
                <c:pt idx="30">
                  <c:v>1.4666973029247021E-3</c:v>
                </c:pt>
                <c:pt idx="31">
                  <c:v>1.620607568301867E-3</c:v>
                </c:pt>
                <c:pt idx="32">
                  <c:v>1.5267578490800668E-3</c:v>
                </c:pt>
                <c:pt idx="33">
                  <c:v>1.6171741029863754E-3</c:v>
                </c:pt>
                <c:pt idx="34">
                  <c:v>1.7169274041440516E-3</c:v>
                </c:pt>
                <c:pt idx="35">
                  <c:v>1.3962094310293952E-3</c:v>
                </c:pt>
                <c:pt idx="36">
                  <c:v>1.4378875953744916E-3</c:v>
                </c:pt>
                <c:pt idx="37">
                  <c:v>1.4110149025031854E-3</c:v>
                </c:pt>
                <c:pt idx="38">
                  <c:v>1.3406852170348704E-3</c:v>
                </c:pt>
                <c:pt idx="39">
                  <c:v>1.0687953079141915E-3</c:v>
                </c:pt>
                <c:pt idx="40">
                  <c:v>8.9827306445031813E-4</c:v>
                </c:pt>
                <c:pt idx="41">
                  <c:v>7.7236553197658486E-4</c:v>
                </c:pt>
                <c:pt idx="42">
                  <c:v>3.6865629001719968E-4</c:v>
                </c:pt>
                <c:pt idx="43">
                  <c:v>6.8191060651366653E-4</c:v>
                </c:pt>
                <c:pt idx="44">
                  <c:v>5.5292808743528238E-4</c:v>
                </c:pt>
                <c:pt idx="45">
                  <c:v>5.6538667647006158E-4</c:v>
                </c:pt>
                <c:pt idx="46">
                  <c:v>5.829378366160598E-4</c:v>
                </c:pt>
                <c:pt idx="47">
                  <c:v>3.5024086755548745E-4</c:v>
                </c:pt>
                <c:pt idx="48">
                  <c:v>4.4689230459555446E-4</c:v>
                </c:pt>
                <c:pt idx="49">
                  <c:v>6.0009019209927156E-4</c:v>
                </c:pt>
                <c:pt idx="50">
                  <c:v>4.2841717798070694E-4</c:v>
                </c:pt>
                <c:pt idx="51">
                  <c:v>4.9406593953063571E-4</c:v>
                </c:pt>
                <c:pt idx="52">
                  <c:v>5.8184948372989181E-4</c:v>
                </c:pt>
                <c:pt idx="53">
                  <c:v>7.8777385351901097E-4</c:v>
                </c:pt>
                <c:pt idx="54">
                  <c:v>6.1841420815868242E-4</c:v>
                </c:pt>
                <c:pt idx="55">
                  <c:v>4.9833567179963928E-4</c:v>
                </c:pt>
                <c:pt idx="56">
                  <c:v>5.160499643916544E-4</c:v>
                </c:pt>
                <c:pt idx="57">
                  <c:v>4.8001907402329264E-4</c:v>
                </c:pt>
                <c:pt idx="58">
                  <c:v>2.1398652128618023E-4</c:v>
                </c:pt>
                <c:pt idx="59">
                  <c:v>2.9578922574483024E-4</c:v>
                </c:pt>
                <c:pt idx="60">
                  <c:v>2.8471132142666999E-4</c:v>
                </c:pt>
                <c:pt idx="61">
                  <c:v>2.0833494155755861E-5</c:v>
                </c:pt>
                <c:pt idx="62">
                  <c:v>-1.7048070579520069E-5</c:v>
                </c:pt>
                <c:pt idx="63">
                  <c:v>9.487904137513159E-5</c:v>
                </c:pt>
                <c:pt idx="64">
                  <c:v>7.5874450212107258E-5</c:v>
                </c:pt>
                <c:pt idx="65">
                  <c:v>3.2362752572435982E-4</c:v>
                </c:pt>
                <c:pt idx="66">
                  <c:v>4.4682968958993652E-4</c:v>
                </c:pt>
                <c:pt idx="67">
                  <c:v>3.3954663650702377E-4</c:v>
                </c:pt>
                <c:pt idx="68">
                  <c:v>3.0763110107620562E-5</c:v>
                </c:pt>
                <c:pt idx="69">
                  <c:v>-1.2677976627152587E-4</c:v>
                </c:pt>
                <c:pt idx="70">
                  <c:v>-7.0598145651010191E-5</c:v>
                </c:pt>
                <c:pt idx="71">
                  <c:v>-3.7808812969704342E-4</c:v>
                </c:pt>
                <c:pt idx="72">
                  <c:v>-6.4306495889897286E-4</c:v>
                </c:pt>
                <c:pt idx="73">
                  <c:v>-8.6186938061692808E-4</c:v>
                </c:pt>
                <c:pt idx="74">
                  <c:v>-7.0009955963024062E-4</c:v>
                </c:pt>
                <c:pt idx="75">
                  <c:v>-5.5591985985266323E-4</c:v>
                </c:pt>
                <c:pt idx="76">
                  <c:v>-5.4061168678462557E-4</c:v>
                </c:pt>
                <c:pt idx="77">
                  <c:v>-3.9124911623240888E-4</c:v>
                </c:pt>
                <c:pt idx="78">
                  <c:v>-4.6686297272634236E-4</c:v>
                </c:pt>
                <c:pt idx="79">
                  <c:v>-3.5401634319646991E-4</c:v>
                </c:pt>
                <c:pt idx="80">
                  <c:v>-1.3706563649613923E-4</c:v>
                </c:pt>
                <c:pt idx="81">
                  <c:v>-2.0265589012452567E-4</c:v>
                </c:pt>
                <c:pt idx="82">
                  <c:v>-1.6978130661066126E-4</c:v>
                </c:pt>
                <c:pt idx="83">
                  <c:v>-2.6404564857825108E-4</c:v>
                </c:pt>
                <c:pt idx="84">
                  <c:v>-2.9114253215453689E-4</c:v>
                </c:pt>
                <c:pt idx="85">
                  <c:v>-2.5092484464850351E-4</c:v>
                </c:pt>
                <c:pt idx="86">
                  <c:v>-3.5434767923686605E-4</c:v>
                </c:pt>
                <c:pt idx="87">
                  <c:v>-2.2481908614777057E-4</c:v>
                </c:pt>
                <c:pt idx="88">
                  <c:v>-3.4480043917876901E-4</c:v>
                </c:pt>
                <c:pt idx="89">
                  <c:v>1.1595000622990903E-5</c:v>
                </c:pt>
                <c:pt idx="90">
                  <c:v>-5.1788858070889177E-6</c:v>
                </c:pt>
                <c:pt idx="91">
                  <c:v>-1.8161714741046775E-5</c:v>
                </c:pt>
                <c:pt idx="92">
                  <c:v>2.982182496877317E-5</c:v>
                </c:pt>
                <c:pt idx="93">
                  <c:v>-1.2242933963095559E-4</c:v>
                </c:pt>
                <c:pt idx="94">
                  <c:v>-2.5830030735349285E-4</c:v>
                </c:pt>
                <c:pt idx="95">
                  <c:v>-1.5202616854785578E-4</c:v>
                </c:pt>
                <c:pt idx="96">
                  <c:v>-1.4913305826542989E-4</c:v>
                </c:pt>
                <c:pt idx="97">
                  <c:v>-1.1386478507303954E-4</c:v>
                </c:pt>
                <c:pt idx="98">
                  <c:v>-9.7893203520146854E-5</c:v>
                </c:pt>
                <c:pt idx="99">
                  <c:v>-1.7340517340674877E-4</c:v>
                </c:pt>
                <c:pt idx="100">
                  <c:v>-2.3255435202367003E-4</c:v>
                </c:pt>
                <c:pt idx="101">
                  <c:v>-9.173409021889789E-5</c:v>
                </c:pt>
                <c:pt idx="102">
                  <c:v>-2.1286825004190879E-4</c:v>
                </c:pt>
                <c:pt idx="103">
                  <c:v>-9.750892188893634E-5</c:v>
                </c:pt>
                <c:pt idx="104">
                  <c:v>-1.350297897064201E-4</c:v>
                </c:pt>
                <c:pt idx="105">
                  <c:v>-1.0132006440456698E-4</c:v>
                </c:pt>
                <c:pt idx="106">
                  <c:v>1.4864608921388855E-4</c:v>
                </c:pt>
                <c:pt idx="107">
                  <c:v>4.9687062984637986E-5</c:v>
                </c:pt>
                <c:pt idx="108">
                  <c:v>-9.0454346869661695E-6</c:v>
                </c:pt>
                <c:pt idx="109">
                  <c:v>1.4153407394597306E-4</c:v>
                </c:pt>
                <c:pt idx="110">
                  <c:v>1.1767509166532575E-4</c:v>
                </c:pt>
                <c:pt idx="111">
                  <c:v>1.2069484538766717E-4</c:v>
                </c:pt>
                <c:pt idx="112">
                  <c:v>2.437370692299351E-4</c:v>
                </c:pt>
                <c:pt idx="113">
                  <c:v>3.4534635867992935E-4</c:v>
                </c:pt>
                <c:pt idx="114">
                  <c:v>2.5518823653231104E-4</c:v>
                </c:pt>
                <c:pt idx="115">
                  <c:v>2.6826427928637597E-4</c:v>
                </c:pt>
                <c:pt idx="116">
                  <c:v>2.3310573131793411E-4</c:v>
                </c:pt>
                <c:pt idx="117">
                  <c:v>1.9500419370928335E-4</c:v>
                </c:pt>
                <c:pt idx="118">
                  <c:v>1.2485422340403896E-4</c:v>
                </c:pt>
                <c:pt idx="119">
                  <c:v>7.3727913872820294E-5</c:v>
                </c:pt>
                <c:pt idx="120">
                  <c:v>1.8169294394188018E-5</c:v>
                </c:pt>
                <c:pt idx="121">
                  <c:v>-2.0496390745929072E-4</c:v>
                </c:pt>
                <c:pt idx="122">
                  <c:v>-1.1649585304984722E-4</c:v>
                </c:pt>
                <c:pt idx="123">
                  <c:v>-1.5073671950222023E-4</c:v>
                </c:pt>
                <c:pt idx="124">
                  <c:v>5.669396254931458E-6</c:v>
                </c:pt>
                <c:pt idx="125">
                  <c:v>-1.1684720189564235E-4</c:v>
                </c:pt>
                <c:pt idx="126">
                  <c:v>-2.6974066431846577E-4</c:v>
                </c:pt>
                <c:pt idx="127">
                  <c:v>-2.9770713024054873E-4</c:v>
                </c:pt>
                <c:pt idx="128">
                  <c:v>-2.2162529495066419E-4</c:v>
                </c:pt>
                <c:pt idx="129">
                  <c:v>-2.8578952455919626E-4</c:v>
                </c:pt>
                <c:pt idx="130">
                  <c:v>-2.73809222626889E-4</c:v>
                </c:pt>
                <c:pt idx="131">
                  <c:v>-2.7612814254254769E-4</c:v>
                </c:pt>
                <c:pt idx="132">
                  <c:v>-1.7645750911357561E-4</c:v>
                </c:pt>
                <c:pt idx="133">
                  <c:v>-2.6793806051696178E-4</c:v>
                </c:pt>
                <c:pt idx="134">
                  <c:v>-3.6850502695716381E-4</c:v>
                </c:pt>
                <c:pt idx="135">
                  <c:v>-3.5306620299713209E-4</c:v>
                </c:pt>
                <c:pt idx="136">
                  <c:v>-4.7262244551994625E-4</c:v>
                </c:pt>
                <c:pt idx="137">
                  <c:v>-4.4535557298061579E-4</c:v>
                </c:pt>
                <c:pt idx="138">
                  <c:v>-3.5027029248188568E-4</c:v>
                </c:pt>
                <c:pt idx="139">
                  <c:v>-3.509502246776125E-4</c:v>
                </c:pt>
                <c:pt idx="140">
                  <c:v>-4.1871191511477779E-4</c:v>
                </c:pt>
                <c:pt idx="141">
                  <c:v>-3.1805049905900273E-4</c:v>
                </c:pt>
                <c:pt idx="142">
                  <c:v>-3.3746790711121355E-4</c:v>
                </c:pt>
                <c:pt idx="143">
                  <c:v>-4.596271774775923E-4</c:v>
                </c:pt>
                <c:pt idx="144">
                  <c:v>-4.7803506352957215E-4</c:v>
                </c:pt>
                <c:pt idx="145">
                  <c:v>-4.9356025989109875E-4</c:v>
                </c:pt>
                <c:pt idx="146">
                  <c:v>-3.7621349822043737E-4</c:v>
                </c:pt>
                <c:pt idx="147">
                  <c:v>-4.8171458018332614E-4</c:v>
                </c:pt>
                <c:pt idx="148">
                  <c:v>-2.493566416684051E-4</c:v>
                </c:pt>
                <c:pt idx="149">
                  <c:v>-4.5910991835523829E-4</c:v>
                </c:pt>
                <c:pt idx="150">
                  <c:v>-5.9756160786850199E-4</c:v>
                </c:pt>
                <c:pt idx="151">
                  <c:v>-4.8569647071000643E-4</c:v>
                </c:pt>
                <c:pt idx="152">
                  <c:v>-5.0362069624398931E-4</c:v>
                </c:pt>
                <c:pt idx="153">
                  <c:v>-4.9769419085944622E-4</c:v>
                </c:pt>
                <c:pt idx="154">
                  <c:v>-4.004382448922067E-4</c:v>
                </c:pt>
                <c:pt idx="155">
                  <c:v>-3.0015308691506981E-4</c:v>
                </c:pt>
                <c:pt idx="156">
                  <c:v>-3.588421690725041E-4</c:v>
                </c:pt>
                <c:pt idx="157">
                  <c:v>-3.1862656418955859E-4</c:v>
                </c:pt>
                <c:pt idx="158">
                  <c:v>-2.2091413104532998E-4</c:v>
                </c:pt>
                <c:pt idx="159">
                  <c:v>-2.4443573333728097E-4</c:v>
                </c:pt>
                <c:pt idx="160">
                  <c:v>-1.5458416762807736E-4</c:v>
                </c:pt>
                <c:pt idx="161">
                  <c:v>-1.2376723762876074E-4</c:v>
                </c:pt>
                <c:pt idx="162">
                  <c:v>-8.1310567374454079E-5</c:v>
                </c:pt>
                <c:pt idx="163">
                  <c:v>-3.2274323019582107E-5</c:v>
                </c:pt>
                <c:pt idx="164">
                  <c:v>-2.7353048532158253E-5</c:v>
                </c:pt>
                <c:pt idx="165">
                  <c:v>-6.1764676588943468E-5</c:v>
                </c:pt>
                <c:pt idx="166">
                  <c:v>-2.1373985731086564E-4</c:v>
                </c:pt>
                <c:pt idx="167">
                  <c:v>-9.4354572896138134E-5</c:v>
                </c:pt>
                <c:pt idx="168">
                  <c:v>-8.9135863650002811E-5</c:v>
                </c:pt>
                <c:pt idx="169">
                  <c:v>-7.0663182753880061E-5</c:v>
                </c:pt>
                <c:pt idx="170">
                  <c:v>-7.9194632171333823E-5</c:v>
                </c:pt>
                <c:pt idx="171">
                  <c:v>-8.1975723925917232E-5</c:v>
                </c:pt>
                <c:pt idx="172">
                  <c:v>-6.0048405576551556E-5</c:v>
                </c:pt>
                <c:pt idx="173">
                  <c:v>6.6780169906688336E-5</c:v>
                </c:pt>
                <c:pt idx="174">
                  <c:v>-3.517403297688404E-5</c:v>
                </c:pt>
                <c:pt idx="175">
                  <c:v>7.9269324288575027E-5</c:v>
                </c:pt>
                <c:pt idx="176">
                  <c:v>5.1127266005743244E-5</c:v>
                </c:pt>
                <c:pt idx="177">
                  <c:v>-4.6668596888746472E-5</c:v>
                </c:pt>
                <c:pt idx="178">
                  <c:v>-2.3479336582933608E-4</c:v>
                </c:pt>
                <c:pt idx="179">
                  <c:v>-1.5976047543049543E-4</c:v>
                </c:pt>
                <c:pt idx="180">
                  <c:v>-2.3747997732702364E-4</c:v>
                </c:pt>
                <c:pt idx="181">
                  <c:v>-2.6701030725569119E-4</c:v>
                </c:pt>
                <c:pt idx="182">
                  <c:v>-3.8269401061977182E-4</c:v>
                </c:pt>
                <c:pt idx="183">
                  <c:v>-2.8672367909872432E-4</c:v>
                </c:pt>
                <c:pt idx="184">
                  <c:v>-3.1653196617602297E-4</c:v>
                </c:pt>
                <c:pt idx="185">
                  <c:v>-3.1428722882849425E-4</c:v>
                </c:pt>
                <c:pt idx="186">
                  <c:v>-3.4626457442295255E-4</c:v>
                </c:pt>
                <c:pt idx="187">
                  <c:v>-5.1336870552701197E-4</c:v>
                </c:pt>
                <c:pt idx="188">
                  <c:v>-5.3025265815685729E-4</c:v>
                </c:pt>
                <c:pt idx="189">
                  <c:v>-6.2857774174404635E-4</c:v>
                </c:pt>
                <c:pt idx="190">
                  <c:v>-6.1234311964518395E-4</c:v>
                </c:pt>
                <c:pt idx="191">
                  <c:v>-5.1477552913345437E-4</c:v>
                </c:pt>
                <c:pt idx="192">
                  <c:v>-3.8801458864592964E-4</c:v>
                </c:pt>
                <c:pt idx="193">
                  <c:v>-3.424633438107727E-4</c:v>
                </c:pt>
                <c:pt idx="194">
                  <c:v>-3.8999526912199267E-4</c:v>
                </c:pt>
                <c:pt idx="195">
                  <c:v>-2.1061515998151148E-4</c:v>
                </c:pt>
                <c:pt idx="196">
                  <c:v>-4.0407393321076346E-5</c:v>
                </c:pt>
                <c:pt idx="197">
                  <c:v>-6.9407470683485739E-5</c:v>
                </c:pt>
                <c:pt idx="198">
                  <c:v>1.0877953234705862E-6</c:v>
                </c:pt>
                <c:pt idx="199">
                  <c:v>1.04175834673495E-4</c:v>
                </c:pt>
                <c:pt idx="200">
                  <c:v>1.9887503448981492E-4</c:v>
                </c:pt>
                <c:pt idx="201">
                  <c:v>2.9719824263925443E-4</c:v>
                </c:pt>
                <c:pt idx="202">
                  <c:v>3.2121482475962193E-4</c:v>
                </c:pt>
                <c:pt idx="203">
                  <c:v>3.5598358731887825E-4</c:v>
                </c:pt>
                <c:pt idx="204">
                  <c:v>3.659857662137167E-4</c:v>
                </c:pt>
                <c:pt idx="205">
                  <c:v>4.1586045922238635E-4</c:v>
                </c:pt>
                <c:pt idx="206">
                  <c:v>3.9961088991166682E-4</c:v>
                </c:pt>
                <c:pt idx="207">
                  <c:v>3.3633915490184629E-4</c:v>
                </c:pt>
                <c:pt idx="208">
                  <c:v>3.5477615893167447E-4</c:v>
                </c:pt>
                <c:pt idx="209">
                  <c:v>3.9619941194350694E-4</c:v>
                </c:pt>
                <c:pt idx="210">
                  <c:v>5.1621982745758688E-4</c:v>
                </c:pt>
                <c:pt idx="211">
                  <c:v>5.2757476019464622E-4</c:v>
                </c:pt>
                <c:pt idx="212">
                  <c:v>7.0989263666125513E-4</c:v>
                </c:pt>
                <c:pt idx="213">
                  <c:v>7.3078478912584621E-4</c:v>
                </c:pt>
                <c:pt idx="214">
                  <c:v>6.1374914930766022E-4</c:v>
                </c:pt>
                <c:pt idx="215">
                  <c:v>5.8502975971423676E-4</c:v>
                </c:pt>
                <c:pt idx="216">
                  <c:v>5.2979445129762437E-4</c:v>
                </c:pt>
                <c:pt idx="217">
                  <c:v>6.2098690636194775E-4</c:v>
                </c:pt>
                <c:pt idx="218">
                  <c:v>6.2353880226577452E-4</c:v>
                </c:pt>
                <c:pt idx="219">
                  <c:v>6.5765954658286718E-4</c:v>
                </c:pt>
                <c:pt idx="220">
                  <c:v>6.4984371663623364E-4</c:v>
                </c:pt>
                <c:pt idx="221">
                  <c:v>7.2690455935710274E-4</c:v>
                </c:pt>
                <c:pt idx="222">
                  <c:v>7.1572336929036362E-4</c:v>
                </c:pt>
                <c:pt idx="223">
                  <c:v>7.1440095981846474E-4</c:v>
                </c:pt>
                <c:pt idx="224">
                  <c:v>7.246206057038157E-4</c:v>
                </c:pt>
                <c:pt idx="225">
                  <c:v>7.933622569197829E-4</c:v>
                </c:pt>
                <c:pt idx="226">
                  <c:v>8.3125824440397067E-4</c:v>
                </c:pt>
                <c:pt idx="227">
                  <c:v>6.9131745953145141E-4</c:v>
                </c:pt>
                <c:pt idx="228">
                  <c:v>6.7217530229544964E-4</c:v>
                </c:pt>
                <c:pt idx="229">
                  <c:v>7.3831887454177403E-4</c:v>
                </c:pt>
                <c:pt idx="230">
                  <c:v>7.8260573110175424E-4</c:v>
                </c:pt>
                <c:pt idx="231">
                  <c:v>6.530192959263853E-4</c:v>
                </c:pt>
                <c:pt idx="232">
                  <c:v>6.0461956407553696E-4</c:v>
                </c:pt>
                <c:pt idx="233">
                  <c:v>5.1680431076758793E-4</c:v>
                </c:pt>
                <c:pt idx="234">
                  <c:v>5.6524272435878875E-4</c:v>
                </c:pt>
                <c:pt idx="235">
                  <c:v>7.1792136604238721E-4</c:v>
                </c:pt>
                <c:pt idx="236">
                  <c:v>6.9718462136414416E-4</c:v>
                </c:pt>
                <c:pt idx="237">
                  <c:v>5.5944624727342906E-4</c:v>
                </c:pt>
                <c:pt idx="238">
                  <c:v>4.2814801646400003E-4</c:v>
                </c:pt>
                <c:pt idx="239">
                  <c:v>4.1097470347280229E-4</c:v>
                </c:pt>
                <c:pt idx="240">
                  <c:v>4.4717403624605634E-4</c:v>
                </c:pt>
                <c:pt idx="241">
                  <c:v>3.8638064614927858E-4</c:v>
                </c:pt>
                <c:pt idx="242">
                  <c:v>2.7814970279137208E-4</c:v>
                </c:pt>
                <c:pt idx="243">
                  <c:v>2.9171663917366975E-4</c:v>
                </c:pt>
                <c:pt idx="244">
                  <c:v>3.4770212129640876E-4</c:v>
                </c:pt>
                <c:pt idx="245">
                  <c:v>2.8130797608835745E-4</c:v>
                </c:pt>
                <c:pt idx="246">
                  <c:v>3.7344467522322511E-4</c:v>
                </c:pt>
                <c:pt idx="247">
                  <c:v>3.4639454237161971E-4</c:v>
                </c:pt>
                <c:pt idx="248">
                  <c:v>2.9726051893279315E-4</c:v>
                </c:pt>
                <c:pt idx="249">
                  <c:v>2.8569076369502899E-4</c:v>
                </c:pt>
                <c:pt idx="250">
                  <c:v>2.3059452563678473E-4</c:v>
                </c:pt>
                <c:pt idx="251">
                  <c:v>2.9733464843960389E-4</c:v>
                </c:pt>
                <c:pt idx="252">
                  <c:v>1.51252796035381E-4</c:v>
                </c:pt>
                <c:pt idx="253">
                  <c:v>1.0304741015187968E-4</c:v>
                </c:pt>
                <c:pt idx="254">
                  <c:v>1.2282397354199115E-4</c:v>
                </c:pt>
                <c:pt idx="255">
                  <c:v>1.4514096574405611E-4</c:v>
                </c:pt>
                <c:pt idx="256">
                  <c:v>4.7750408234140118E-5</c:v>
                </c:pt>
                <c:pt idx="257">
                  <c:v>-4.6030279642658711E-5</c:v>
                </c:pt>
                <c:pt idx="258">
                  <c:v>-7.541123390705784E-5</c:v>
                </c:pt>
                <c:pt idx="259">
                  <c:v>-8.3713818498420967E-5</c:v>
                </c:pt>
                <c:pt idx="260">
                  <c:v>-1.9644011158503893E-4</c:v>
                </c:pt>
                <c:pt idx="261">
                  <c:v>-1.9297376708271585E-4</c:v>
                </c:pt>
                <c:pt idx="262">
                  <c:v>-1.5569005970975103E-4</c:v>
                </c:pt>
                <c:pt idx="263">
                  <c:v>-1.6077837117940696E-4</c:v>
                </c:pt>
                <c:pt idx="264">
                  <c:v>-2.4818697840336967E-4</c:v>
                </c:pt>
                <c:pt idx="265">
                  <c:v>-2.732372516565662E-4</c:v>
                </c:pt>
                <c:pt idx="266">
                  <c:v>-3.3441285126613318E-4</c:v>
                </c:pt>
                <c:pt idx="267">
                  <c:v>-3.8114459696547698E-4</c:v>
                </c:pt>
                <c:pt idx="268">
                  <c:v>-3.1191850538944688E-4</c:v>
                </c:pt>
                <c:pt idx="269">
                  <c:v>-2.4407254919646404E-4</c:v>
                </c:pt>
                <c:pt idx="270">
                  <c:v>-2.8612722233670174E-4</c:v>
                </c:pt>
                <c:pt idx="271">
                  <c:v>-2.6656479367091757E-4</c:v>
                </c:pt>
                <c:pt idx="272">
                  <c:v>-1.8243125816130856E-4</c:v>
                </c:pt>
                <c:pt idx="273">
                  <c:v>-1.9578942634286556E-4</c:v>
                </c:pt>
                <c:pt idx="274">
                  <c:v>-1.0297999168944194E-4</c:v>
                </c:pt>
                <c:pt idx="275">
                  <c:v>-3.1923679824213957E-6</c:v>
                </c:pt>
                <c:pt idx="276">
                  <c:v>-5.1578271261648601E-6</c:v>
                </c:pt>
                <c:pt idx="277">
                  <c:v>-1.0552161476098942E-4</c:v>
                </c:pt>
                <c:pt idx="278">
                  <c:v>2.3235676018251716E-6</c:v>
                </c:pt>
                <c:pt idx="279">
                  <c:v>-2.0730793885287424E-6</c:v>
                </c:pt>
                <c:pt idx="280">
                  <c:v>2.6836352216202952E-5</c:v>
                </c:pt>
                <c:pt idx="281">
                  <c:v>-1.9101350451439236E-5</c:v>
                </c:pt>
                <c:pt idx="282">
                  <c:v>-1.6804595524860799E-5</c:v>
                </c:pt>
                <c:pt idx="283">
                  <c:v>6.2377595797080687E-5</c:v>
                </c:pt>
                <c:pt idx="284">
                  <c:v>5.0722149643384062E-5</c:v>
                </c:pt>
                <c:pt idx="285">
                  <c:v>9.9050007402873286E-6</c:v>
                </c:pt>
                <c:pt idx="286">
                  <c:v>4.424375122606683E-5</c:v>
                </c:pt>
                <c:pt idx="287">
                  <c:v>1.0623501850033634E-4</c:v>
                </c:pt>
                <c:pt idx="288">
                  <c:v>1.2002992132428836E-5</c:v>
                </c:pt>
                <c:pt idx="289">
                  <c:v>-3.7307431306990435E-5</c:v>
                </c:pt>
                <c:pt idx="290">
                  <c:v>-9.7766482154551526E-5</c:v>
                </c:pt>
                <c:pt idx="291">
                  <c:v>-2.7279338570190825E-5</c:v>
                </c:pt>
                <c:pt idx="292">
                  <c:v>-9.5137138141215827E-6</c:v>
                </c:pt>
                <c:pt idx="293">
                  <c:v>-3.4990262892303781E-5</c:v>
                </c:pt>
                <c:pt idx="294">
                  <c:v>-2.2990975146394699E-5</c:v>
                </c:pt>
                <c:pt idx="295">
                  <c:v>-8.7713949088213949E-5</c:v>
                </c:pt>
                <c:pt idx="296">
                  <c:v>-1.0893612483821313E-4</c:v>
                </c:pt>
                <c:pt idx="297">
                  <c:v>-1.3764283176509462E-4</c:v>
                </c:pt>
                <c:pt idx="298">
                  <c:v>-1.7495836797697117E-4</c:v>
                </c:pt>
                <c:pt idx="299">
                  <c:v>-6.7660982645725842E-5</c:v>
                </c:pt>
                <c:pt idx="300">
                  <c:v>-6.0677536042691438E-5</c:v>
                </c:pt>
                <c:pt idx="301">
                  <c:v>-1.0560908472780073E-4</c:v>
                </c:pt>
                <c:pt idx="302">
                  <c:v>-2.0376470661012669E-5</c:v>
                </c:pt>
                <c:pt idx="303">
                  <c:v>-1.6187467892642138E-5</c:v>
                </c:pt>
                <c:pt idx="304">
                  <c:v>-4.3236700783100268E-5</c:v>
                </c:pt>
                <c:pt idx="305">
                  <c:v>-8.5224373266301612E-5</c:v>
                </c:pt>
                <c:pt idx="306">
                  <c:v>-2.2059783311711989E-6</c:v>
                </c:pt>
                <c:pt idx="307">
                  <c:v>-1.0453004515798003E-5</c:v>
                </c:pt>
                <c:pt idx="308">
                  <c:v>-3.3723431777876733E-5</c:v>
                </c:pt>
                <c:pt idx="309">
                  <c:v>-5.2912239625446666E-5</c:v>
                </c:pt>
                <c:pt idx="310">
                  <c:v>-1.5678604950347674E-4</c:v>
                </c:pt>
                <c:pt idx="311">
                  <c:v>-1.569154287680008E-4</c:v>
                </c:pt>
                <c:pt idx="312">
                  <c:v>-7.9028531763836174E-5</c:v>
                </c:pt>
                <c:pt idx="313">
                  <c:v>4.9451711410353205E-5</c:v>
                </c:pt>
                <c:pt idx="314">
                  <c:v>1.5609914486630627E-4</c:v>
                </c:pt>
                <c:pt idx="315">
                  <c:v>2.7173533928917526E-4</c:v>
                </c:pt>
                <c:pt idx="316">
                  <c:v>2.5874788869845178E-4</c:v>
                </c:pt>
                <c:pt idx="317">
                  <c:v>2.8392618853215201E-4</c:v>
                </c:pt>
                <c:pt idx="318">
                  <c:v>2.433805943408418E-4</c:v>
                </c:pt>
                <c:pt idx="319">
                  <c:v>1.9685582930090151E-4</c:v>
                </c:pt>
                <c:pt idx="320">
                  <c:v>2.1000149573335847E-4</c:v>
                </c:pt>
                <c:pt idx="321">
                  <c:v>1.5619565521440837E-4</c:v>
                </c:pt>
                <c:pt idx="322">
                  <c:v>2.3882996570506743E-4</c:v>
                </c:pt>
                <c:pt idx="323">
                  <c:v>1.6532948593570018E-4</c:v>
                </c:pt>
                <c:pt idx="324">
                  <c:v>2.037332929511193E-4</c:v>
                </c:pt>
                <c:pt idx="325">
                  <c:v>2.378083840687828E-4</c:v>
                </c:pt>
                <c:pt idx="326">
                  <c:v>3.2954865223014385E-4</c:v>
                </c:pt>
                <c:pt idx="327">
                  <c:v>1.000973215391221E-4</c:v>
                </c:pt>
                <c:pt idx="328">
                  <c:v>1.4319601525047965E-4</c:v>
                </c:pt>
                <c:pt idx="329">
                  <c:v>1.8932022981649199E-4</c:v>
                </c:pt>
                <c:pt idx="330">
                  <c:v>2.2294026216002072E-4</c:v>
                </c:pt>
                <c:pt idx="331">
                  <c:v>2.4102295272784846E-4</c:v>
                </c:pt>
                <c:pt idx="332">
                  <c:v>2.7558166982794008E-4</c:v>
                </c:pt>
                <c:pt idx="333">
                  <c:v>4.3978110717196595E-4</c:v>
                </c:pt>
                <c:pt idx="334">
                  <c:v>4.0086128073926752E-4</c:v>
                </c:pt>
                <c:pt idx="335">
                  <c:v>4.1173087888418669E-4</c:v>
                </c:pt>
                <c:pt idx="336">
                  <c:v>5.1085309398954393E-4</c:v>
                </c:pt>
                <c:pt idx="337">
                  <c:v>5.4974539922222898E-4</c:v>
                </c:pt>
                <c:pt idx="338">
                  <c:v>6.2203526823739752E-4</c:v>
                </c:pt>
                <c:pt idx="339">
                  <c:v>5.4198167163649336E-4</c:v>
                </c:pt>
                <c:pt idx="340">
                  <c:v>6.5486366549299957E-4</c:v>
                </c:pt>
                <c:pt idx="341">
                  <c:v>5.3659825652277449E-4</c:v>
                </c:pt>
                <c:pt idx="342">
                  <c:v>5.0189408002063174E-4</c:v>
                </c:pt>
                <c:pt idx="343">
                  <c:v>5.3776727043419736E-4</c:v>
                </c:pt>
                <c:pt idx="344">
                  <c:v>5.1086104496247953E-4</c:v>
                </c:pt>
                <c:pt idx="345">
                  <c:v>5.5776514181130055E-4</c:v>
                </c:pt>
                <c:pt idx="346">
                  <c:v>5.0347474234360701E-4</c:v>
                </c:pt>
                <c:pt idx="347">
                  <c:v>4.5363442948012644E-4</c:v>
                </c:pt>
                <c:pt idx="348">
                  <c:v>4.0335194394316987E-4</c:v>
                </c:pt>
                <c:pt idx="349">
                  <c:v>4.9422038069343865E-4</c:v>
                </c:pt>
                <c:pt idx="350">
                  <c:v>4.7769539742015255E-4</c:v>
                </c:pt>
                <c:pt idx="351">
                  <c:v>4.304603881347957E-4</c:v>
                </c:pt>
                <c:pt idx="352">
                  <c:v>3.9298916441898868E-4</c:v>
                </c:pt>
                <c:pt idx="353">
                  <c:v>4.5737563306916251E-4</c:v>
                </c:pt>
                <c:pt idx="354">
                  <c:v>5.6840403531291384E-4</c:v>
                </c:pt>
                <c:pt idx="355">
                  <c:v>4.8721116978667212E-4</c:v>
                </c:pt>
                <c:pt idx="356">
                  <c:v>4.6695568568083656E-4</c:v>
                </c:pt>
                <c:pt idx="357">
                  <c:v>5.0025752095286813E-4</c:v>
                </c:pt>
                <c:pt idx="358">
                  <c:v>4.5271185012241144E-4</c:v>
                </c:pt>
                <c:pt idx="359">
                  <c:v>5.0175128062684982E-4</c:v>
                </c:pt>
                <c:pt idx="360">
                  <c:v>4.587191079133135E-4</c:v>
                </c:pt>
                <c:pt idx="361">
                  <c:v>5.2701198479548905E-4</c:v>
                </c:pt>
                <c:pt idx="362">
                  <c:v>4.5221922384283686E-4</c:v>
                </c:pt>
                <c:pt idx="363">
                  <c:v>3.7355480934134211E-4</c:v>
                </c:pt>
                <c:pt idx="364">
                  <c:v>4.8009670161397455E-4</c:v>
                </c:pt>
                <c:pt idx="365">
                  <c:v>5.4047267713883129E-4</c:v>
                </c:pt>
                <c:pt idx="366">
                  <c:v>5.2379888736461822E-4</c:v>
                </c:pt>
                <c:pt idx="367">
                  <c:v>5.4117088321359308E-4</c:v>
                </c:pt>
                <c:pt idx="368">
                  <c:v>4.7114218720367695E-4</c:v>
                </c:pt>
                <c:pt idx="369">
                  <c:v>4.8334448032391619E-4</c:v>
                </c:pt>
                <c:pt idx="370">
                  <c:v>5.0654827007276526E-4</c:v>
                </c:pt>
                <c:pt idx="371">
                  <c:v>4.7641443282309126E-4</c:v>
                </c:pt>
                <c:pt idx="372">
                  <c:v>4.3543408245755311E-4</c:v>
                </c:pt>
                <c:pt idx="373">
                  <c:v>4.1152708166905527E-4</c:v>
                </c:pt>
                <c:pt idx="374">
                  <c:v>4.6266507316436445E-4</c:v>
                </c:pt>
                <c:pt idx="375">
                  <c:v>4.9478707164354874E-4</c:v>
                </c:pt>
                <c:pt idx="376">
                  <c:v>4.4142929483909077E-4</c:v>
                </c:pt>
                <c:pt idx="377">
                  <c:v>4.4217281379502205E-4</c:v>
                </c:pt>
                <c:pt idx="378">
                  <c:v>4.9266229062625011E-4</c:v>
                </c:pt>
                <c:pt idx="379">
                  <c:v>4.5248279515894274E-4</c:v>
                </c:pt>
                <c:pt idx="380">
                  <c:v>5.2111750998726225E-4</c:v>
                </c:pt>
                <c:pt idx="381">
                  <c:v>5.3981573486588941E-4</c:v>
                </c:pt>
                <c:pt idx="382">
                  <c:v>4.7758719436724606E-4</c:v>
                </c:pt>
                <c:pt idx="383">
                  <c:v>5.1226544901866733E-4</c:v>
                </c:pt>
                <c:pt idx="384">
                  <c:v>6.0634766428233067E-4</c:v>
                </c:pt>
                <c:pt idx="385">
                  <c:v>5.8922766948524274E-4</c:v>
                </c:pt>
                <c:pt idx="386">
                  <c:v>5.9699558670256447E-4</c:v>
                </c:pt>
                <c:pt idx="387">
                  <c:v>6.4578856903990678E-4</c:v>
                </c:pt>
                <c:pt idx="388">
                  <c:v>7.9104447475686346E-4</c:v>
                </c:pt>
                <c:pt idx="389">
                  <c:v>8.4131716690571956E-4</c:v>
                </c:pt>
                <c:pt idx="390">
                  <c:v>8.3521875197481443E-4</c:v>
                </c:pt>
                <c:pt idx="391">
                  <c:v>8.6495825513877023E-4</c:v>
                </c:pt>
                <c:pt idx="392">
                  <c:v>8.21626856676555E-4</c:v>
                </c:pt>
                <c:pt idx="393">
                  <c:v>8.7352540240762111E-4</c:v>
                </c:pt>
                <c:pt idx="394">
                  <c:v>8.5850313475277495E-4</c:v>
                </c:pt>
                <c:pt idx="395">
                  <c:v>9.2021917475226811E-4</c:v>
                </c:pt>
                <c:pt idx="396">
                  <c:v>1.005682827617399E-3</c:v>
                </c:pt>
                <c:pt idx="397">
                  <c:v>9.3149375287573943E-4</c:v>
                </c:pt>
                <c:pt idx="398">
                  <c:v>9.6697919827545831E-4</c:v>
                </c:pt>
                <c:pt idx="399">
                  <c:v>8.8776947003843532E-4</c:v>
                </c:pt>
                <c:pt idx="400">
                  <c:v>9.1761891705435805E-4</c:v>
                </c:pt>
                <c:pt idx="401">
                  <c:v>8.6456349730226756E-4</c:v>
                </c:pt>
                <c:pt idx="402">
                  <c:v>8.4274546288995444E-4</c:v>
                </c:pt>
                <c:pt idx="403">
                  <c:v>8.4307733461938539E-4</c:v>
                </c:pt>
                <c:pt idx="404">
                  <c:v>8.0659913488942414E-4</c:v>
                </c:pt>
                <c:pt idx="405">
                  <c:v>8.5366157023014644E-4</c:v>
                </c:pt>
                <c:pt idx="406">
                  <c:v>8.525766675880897E-4</c:v>
                </c:pt>
                <c:pt idx="407">
                  <c:v>8.5910347581308333E-4</c:v>
                </c:pt>
                <c:pt idx="408">
                  <c:v>8.4418345818629281E-4</c:v>
                </c:pt>
                <c:pt idx="409">
                  <c:v>8.0228702300624843E-4</c:v>
                </c:pt>
                <c:pt idx="410">
                  <c:v>8.0049989030975266E-4</c:v>
                </c:pt>
                <c:pt idx="411">
                  <c:v>8.9293770373780057E-4</c:v>
                </c:pt>
                <c:pt idx="412">
                  <c:v>8.8875191658921437E-4</c:v>
                </c:pt>
                <c:pt idx="413">
                  <c:v>9.0938101611420796E-4</c:v>
                </c:pt>
                <c:pt idx="414">
                  <c:v>8.7423437356815015E-4</c:v>
                </c:pt>
                <c:pt idx="415">
                  <c:v>8.7445076918515885E-4</c:v>
                </c:pt>
                <c:pt idx="416">
                  <c:v>8.6736697468745017E-4</c:v>
                </c:pt>
                <c:pt idx="417">
                  <c:v>9.7195051705481483E-4</c:v>
                </c:pt>
                <c:pt idx="418">
                  <c:v>9.6087280103313022E-4</c:v>
                </c:pt>
                <c:pt idx="419">
                  <c:v>1.0532304185122132E-3</c:v>
                </c:pt>
                <c:pt idx="420">
                  <c:v>1.0674360586460097E-3</c:v>
                </c:pt>
                <c:pt idx="421">
                  <c:v>1.1337686900630695E-3</c:v>
                </c:pt>
                <c:pt idx="422">
                  <c:v>1.1574896366215448E-3</c:v>
                </c:pt>
                <c:pt idx="423">
                  <c:v>1.0891517302032971E-3</c:v>
                </c:pt>
                <c:pt idx="424">
                  <c:v>1.0672627301247795E-3</c:v>
                </c:pt>
                <c:pt idx="425">
                  <c:v>1.0356815071493886E-3</c:v>
                </c:pt>
                <c:pt idx="426">
                  <c:v>9.8007655522105996E-4</c:v>
                </c:pt>
                <c:pt idx="427">
                  <c:v>9.5496027221694813E-4</c:v>
                </c:pt>
                <c:pt idx="428">
                  <c:v>8.9516559103164361E-4</c:v>
                </c:pt>
                <c:pt idx="429">
                  <c:v>8.4201439380324206E-4</c:v>
                </c:pt>
                <c:pt idx="430">
                  <c:v>7.6916336296345422E-4</c:v>
                </c:pt>
                <c:pt idx="431">
                  <c:v>8.4871631118138557E-4</c:v>
                </c:pt>
                <c:pt idx="432">
                  <c:v>8.5961534117992566E-4</c:v>
                </c:pt>
                <c:pt idx="433">
                  <c:v>7.8903387823536786E-4</c:v>
                </c:pt>
                <c:pt idx="434">
                  <c:v>7.9258474606064278E-4</c:v>
                </c:pt>
                <c:pt idx="435">
                  <c:v>7.9534027443511901E-4</c:v>
                </c:pt>
                <c:pt idx="436">
                  <c:v>8.6064569193322615E-4</c:v>
                </c:pt>
                <c:pt idx="437">
                  <c:v>8.9813995532289637E-4</c:v>
                </c:pt>
                <c:pt idx="438">
                  <c:v>8.5618072928445033E-4</c:v>
                </c:pt>
                <c:pt idx="439">
                  <c:v>8.2046394028931213E-4</c:v>
                </c:pt>
                <c:pt idx="440">
                  <c:v>8.0905137532327753E-4</c:v>
                </c:pt>
                <c:pt idx="441">
                  <c:v>7.8186383381409486E-4</c:v>
                </c:pt>
                <c:pt idx="442">
                  <c:v>7.7022304067753122E-4</c:v>
                </c:pt>
                <c:pt idx="443">
                  <c:v>7.0316777416434828E-4</c:v>
                </c:pt>
                <c:pt idx="444">
                  <c:v>7.6143717870988392E-4</c:v>
                </c:pt>
                <c:pt idx="445">
                  <c:v>7.3904259653387316E-4</c:v>
                </c:pt>
                <c:pt idx="446">
                  <c:v>7.6008473094221762E-4</c:v>
                </c:pt>
                <c:pt idx="447">
                  <c:v>7.9697490068184051E-4</c:v>
                </c:pt>
                <c:pt idx="448">
                  <c:v>7.6763231378371155E-4</c:v>
                </c:pt>
                <c:pt idx="449">
                  <c:v>9.3129714757383963E-4</c:v>
                </c:pt>
                <c:pt idx="450">
                  <c:v>9.6359328965053836E-4</c:v>
                </c:pt>
                <c:pt idx="451">
                  <c:v>1.0928527021402401E-3</c:v>
                </c:pt>
                <c:pt idx="452">
                  <c:v>1.1195871411779079E-3</c:v>
                </c:pt>
                <c:pt idx="453">
                  <c:v>1.144291243606127E-3</c:v>
                </c:pt>
                <c:pt idx="454">
                  <c:v>1.1459469731792404E-3</c:v>
                </c:pt>
                <c:pt idx="455">
                  <c:v>1.1537257561093361E-3</c:v>
                </c:pt>
                <c:pt idx="456">
                  <c:v>1.0869150157730434E-3</c:v>
                </c:pt>
                <c:pt idx="457">
                  <c:v>1.1118963185622055E-3</c:v>
                </c:pt>
                <c:pt idx="458">
                  <c:v>1.0857236479275001E-3</c:v>
                </c:pt>
                <c:pt idx="459">
                  <c:v>1.1302048384803642E-3</c:v>
                </c:pt>
                <c:pt idx="460">
                  <c:v>1.1500037620297832E-3</c:v>
                </c:pt>
                <c:pt idx="461">
                  <c:v>1.1210087371228139E-3</c:v>
                </c:pt>
                <c:pt idx="462">
                  <c:v>1.050902025491629E-3</c:v>
                </c:pt>
                <c:pt idx="463">
                  <c:v>9.6951131875863683E-4</c:v>
                </c:pt>
                <c:pt idx="464">
                  <c:v>8.9119912269855495E-4</c:v>
                </c:pt>
                <c:pt idx="465">
                  <c:v>8.5716537709695784E-4</c:v>
                </c:pt>
                <c:pt idx="466">
                  <c:v>7.9375896958949754E-4</c:v>
                </c:pt>
                <c:pt idx="467">
                  <c:v>7.7555319483688101E-4</c:v>
                </c:pt>
                <c:pt idx="468">
                  <c:v>7.751955856982462E-4</c:v>
                </c:pt>
                <c:pt idx="469">
                  <c:v>6.7326393593622469E-4</c:v>
                </c:pt>
                <c:pt idx="470">
                  <c:v>6.4610536910422733E-4</c:v>
                </c:pt>
                <c:pt idx="471">
                  <c:v>6.5736354260326202E-4</c:v>
                </c:pt>
                <c:pt idx="472">
                  <c:v>5.7240113891637856E-4</c:v>
                </c:pt>
                <c:pt idx="473">
                  <c:v>6.039938073311435E-4</c:v>
                </c:pt>
                <c:pt idx="474">
                  <c:v>5.2925471416628844E-4</c:v>
                </c:pt>
                <c:pt idx="475">
                  <c:v>4.5684926246716828E-4</c:v>
                </c:pt>
                <c:pt idx="476">
                  <c:v>4.4314974917630812E-4</c:v>
                </c:pt>
                <c:pt idx="477">
                  <c:v>4.5227314217974324E-4</c:v>
                </c:pt>
                <c:pt idx="478">
                  <c:v>4.0967155737214878E-4</c:v>
                </c:pt>
                <c:pt idx="479">
                  <c:v>2.8795803933823194E-4</c:v>
                </c:pt>
                <c:pt idx="480">
                  <c:v>1.7488561283890425E-4</c:v>
                </c:pt>
                <c:pt idx="481">
                  <c:v>1.4810741536419592E-4</c:v>
                </c:pt>
                <c:pt idx="482">
                  <c:v>1.6908270151286264E-4</c:v>
                </c:pt>
                <c:pt idx="483">
                  <c:v>2.334438250809201E-4</c:v>
                </c:pt>
                <c:pt idx="484">
                  <c:v>2.5097828763043228E-4</c:v>
                </c:pt>
                <c:pt idx="485">
                  <c:v>2.5336550265092628E-4</c:v>
                </c:pt>
                <c:pt idx="486">
                  <c:v>3.1273807395001962E-4</c:v>
                </c:pt>
                <c:pt idx="487">
                  <c:v>4.1431396815483357E-4</c:v>
                </c:pt>
                <c:pt idx="488">
                  <c:v>3.632301119794179E-4</c:v>
                </c:pt>
                <c:pt idx="489">
                  <c:v>3.8545601432909971E-4</c:v>
                </c:pt>
                <c:pt idx="490">
                  <c:v>3.1392251265113802E-4</c:v>
                </c:pt>
                <c:pt idx="491">
                  <c:v>3.1454600434036029E-4</c:v>
                </c:pt>
                <c:pt idx="492">
                  <c:v>2.4638178712799164E-4</c:v>
                </c:pt>
                <c:pt idx="493">
                  <c:v>2.1987817188803827E-4</c:v>
                </c:pt>
                <c:pt idx="494">
                  <c:v>2.5366604272181181E-4</c:v>
                </c:pt>
                <c:pt idx="495">
                  <c:v>2.2323644360505712E-4</c:v>
                </c:pt>
                <c:pt idx="496">
                  <c:v>1.4922724541704957E-4</c:v>
                </c:pt>
                <c:pt idx="497">
                  <c:v>1.3952747362469542E-4</c:v>
                </c:pt>
                <c:pt idx="498">
                  <c:v>8.7845928969348952E-5</c:v>
                </c:pt>
                <c:pt idx="499">
                  <c:v>7.4330259151933475E-5</c:v>
                </c:pt>
                <c:pt idx="500">
                  <c:v>3.18909558040259E-5</c:v>
                </c:pt>
                <c:pt idx="501">
                  <c:v>-7.3419473361341359E-5</c:v>
                </c:pt>
                <c:pt idx="502">
                  <c:v>2.837424001755906E-6</c:v>
                </c:pt>
                <c:pt idx="503">
                  <c:v>-8.0221366281330031E-5</c:v>
                </c:pt>
                <c:pt idx="504">
                  <c:v>-1.3602085901120997E-5</c:v>
                </c:pt>
                <c:pt idx="505">
                  <c:v>-8.571986777244911E-5</c:v>
                </c:pt>
                <c:pt idx="506">
                  <c:v>-5.9319469071894559E-5</c:v>
                </c:pt>
                <c:pt idx="507">
                  <c:v>-1.0752832635707588E-4</c:v>
                </c:pt>
                <c:pt idx="508">
                  <c:v>-1.416744314291507E-4</c:v>
                </c:pt>
                <c:pt idx="509">
                  <c:v>-1.3121226917650608E-4</c:v>
                </c:pt>
                <c:pt idx="510">
                  <c:v>-1.0804152151949742E-4</c:v>
                </c:pt>
                <c:pt idx="511">
                  <c:v>-8.5112234529866049E-5</c:v>
                </c:pt>
                <c:pt idx="512">
                  <c:v>-1.6093815567877479E-4</c:v>
                </c:pt>
                <c:pt idx="513">
                  <c:v>-2.1413731796190993E-4</c:v>
                </c:pt>
                <c:pt idx="514">
                  <c:v>-2.3585164893918931E-4</c:v>
                </c:pt>
                <c:pt idx="515">
                  <c:v>-2.5141733368905239E-4</c:v>
                </c:pt>
                <c:pt idx="516">
                  <c:v>-3.2418184098656488E-4</c:v>
                </c:pt>
                <c:pt idx="517">
                  <c:v>-4.4641626138952617E-4</c:v>
                </c:pt>
                <c:pt idx="518">
                  <c:v>-4.6502376133575329E-4</c:v>
                </c:pt>
                <c:pt idx="519">
                  <c:v>-4.636043827516978E-4</c:v>
                </c:pt>
                <c:pt idx="520">
                  <c:v>-5.2482607689210981E-4</c:v>
                </c:pt>
                <c:pt idx="521">
                  <c:v>-5.9553449151533711E-4</c:v>
                </c:pt>
                <c:pt idx="522">
                  <c:v>-5.9829759680840588E-4</c:v>
                </c:pt>
                <c:pt idx="523">
                  <c:v>-6.1208204420420964E-4</c:v>
                </c:pt>
                <c:pt idx="524">
                  <c:v>-7.1993695817257342E-4</c:v>
                </c:pt>
                <c:pt idx="525">
                  <c:v>-7.0873717252281643E-4</c:v>
                </c:pt>
                <c:pt idx="526">
                  <c:v>-6.8964966998993904E-4</c:v>
                </c:pt>
                <c:pt idx="527">
                  <c:v>-6.3000898270801353E-4</c:v>
                </c:pt>
                <c:pt idx="528">
                  <c:v>-6.6290764697049531E-4</c:v>
                </c:pt>
                <c:pt idx="529">
                  <c:v>-6.0615315635770273E-4</c:v>
                </c:pt>
                <c:pt idx="530">
                  <c:v>-5.9215483661068102E-4</c:v>
                </c:pt>
                <c:pt idx="531">
                  <c:v>-5.0872630334500291E-4</c:v>
                </c:pt>
                <c:pt idx="532">
                  <c:v>-5.1138810179729433E-4</c:v>
                </c:pt>
                <c:pt idx="533">
                  <c:v>-5.1888450769013716E-4</c:v>
                </c:pt>
                <c:pt idx="534">
                  <c:v>-4.5194984069349409E-4</c:v>
                </c:pt>
                <c:pt idx="535">
                  <c:v>-5.1169671490586266E-4</c:v>
                </c:pt>
                <c:pt idx="536">
                  <c:v>-5.281708393358453E-4</c:v>
                </c:pt>
                <c:pt idx="537">
                  <c:v>-5.7144460082692028E-4</c:v>
                </c:pt>
                <c:pt idx="538">
                  <c:v>-5.8308810558391211E-4</c:v>
                </c:pt>
                <c:pt idx="539">
                  <c:v>-5.7927550526032379E-4</c:v>
                </c:pt>
                <c:pt idx="540">
                  <c:v>-5.7196229444850255E-4</c:v>
                </c:pt>
                <c:pt idx="541">
                  <c:v>-6.2156094791232519E-4</c:v>
                </c:pt>
                <c:pt idx="542">
                  <c:v>-6.4149977112035184E-4</c:v>
                </c:pt>
                <c:pt idx="543">
                  <c:v>-7.7106426925957483E-4</c:v>
                </c:pt>
                <c:pt idx="544">
                  <c:v>-8.2267481548117805E-4</c:v>
                </c:pt>
                <c:pt idx="545">
                  <c:v>-8.568211366399292E-4</c:v>
                </c:pt>
                <c:pt idx="546">
                  <c:v>-8.8140868490843571E-4</c:v>
                </c:pt>
                <c:pt idx="547">
                  <c:v>-8.6360026948825719E-4</c:v>
                </c:pt>
                <c:pt idx="548">
                  <c:v>-9.1642026683835809E-4</c:v>
                </c:pt>
                <c:pt idx="549">
                  <c:v>-9.7979726503577558E-4</c:v>
                </c:pt>
                <c:pt idx="550">
                  <c:v>-1.0123973359576488E-3</c:v>
                </c:pt>
                <c:pt idx="551">
                  <c:v>-1.0029238533204865E-3</c:v>
                </c:pt>
                <c:pt idx="552">
                  <c:v>-1.0876052384970192E-3</c:v>
                </c:pt>
                <c:pt idx="553">
                  <c:v>-1.1139180509525115E-3</c:v>
                </c:pt>
                <c:pt idx="554">
                  <c:v>-1.2069976162150942E-3</c:v>
                </c:pt>
                <c:pt idx="555">
                  <c:v>-1.2899860320979006E-3</c:v>
                </c:pt>
                <c:pt idx="556">
                  <c:v>-1.3700154497108541E-3</c:v>
                </c:pt>
                <c:pt idx="557">
                  <c:v>-1.3949510378455099E-3</c:v>
                </c:pt>
                <c:pt idx="558">
                  <c:v>-1.4903326715688114E-3</c:v>
                </c:pt>
                <c:pt idx="559">
                  <c:v>-1.5234608962514662E-3</c:v>
                </c:pt>
                <c:pt idx="560">
                  <c:v>-1.5740990737763416E-3</c:v>
                </c:pt>
                <c:pt idx="561">
                  <c:v>-1.6297273535458845E-3</c:v>
                </c:pt>
                <c:pt idx="562">
                  <c:v>-1.5847935611945085E-3</c:v>
                </c:pt>
                <c:pt idx="563">
                  <c:v>-1.6519482587534773E-3</c:v>
                </c:pt>
                <c:pt idx="564">
                  <c:v>-1.6682059616921763E-3</c:v>
                </c:pt>
                <c:pt idx="565">
                  <c:v>-1.67556998066129E-3</c:v>
                </c:pt>
                <c:pt idx="566">
                  <c:v>-1.7259376677695171E-3</c:v>
                </c:pt>
                <c:pt idx="567">
                  <c:v>-1.7856685382081072E-3</c:v>
                </c:pt>
                <c:pt idx="568">
                  <c:v>-1.7814186613921701E-3</c:v>
                </c:pt>
                <c:pt idx="569">
                  <c:v>-1.7607368465269446E-3</c:v>
                </c:pt>
                <c:pt idx="570">
                  <c:v>-1.7972513066780993E-3</c:v>
                </c:pt>
                <c:pt idx="571">
                  <c:v>-1.8518520890561385E-3</c:v>
                </c:pt>
                <c:pt idx="572">
                  <c:v>-1.827406047994945E-3</c:v>
                </c:pt>
                <c:pt idx="573">
                  <c:v>-1.8897057548996898E-3</c:v>
                </c:pt>
                <c:pt idx="574">
                  <c:v>-1.9640887035586863E-3</c:v>
                </c:pt>
                <c:pt idx="575">
                  <c:v>-1.9187957792889954E-3</c:v>
                </c:pt>
                <c:pt idx="576">
                  <c:v>-1.9858685459033798E-3</c:v>
                </c:pt>
                <c:pt idx="577">
                  <c:v>-1.9646030294167005E-3</c:v>
                </c:pt>
                <c:pt idx="578">
                  <c:v>-2.0318533945638262E-3</c:v>
                </c:pt>
                <c:pt idx="579">
                  <c:v>-2.0312409582167734E-3</c:v>
                </c:pt>
                <c:pt idx="580">
                  <c:v>-2.0343018873845986E-3</c:v>
                </c:pt>
                <c:pt idx="581">
                  <c:v>-1.9829238209461419E-3</c:v>
                </c:pt>
                <c:pt idx="582">
                  <c:v>-2.0240813382335909E-3</c:v>
                </c:pt>
                <c:pt idx="583">
                  <c:v>-2.0884336952807503E-3</c:v>
                </c:pt>
                <c:pt idx="584">
                  <c:v>-2.0671655853219395E-3</c:v>
                </c:pt>
                <c:pt idx="585">
                  <c:v>-2.1105798063754122E-3</c:v>
                </c:pt>
                <c:pt idx="586">
                  <c:v>-2.0725175138152363E-3</c:v>
                </c:pt>
                <c:pt idx="587">
                  <c:v>-2.0569693171453296E-3</c:v>
                </c:pt>
                <c:pt idx="588">
                  <c:v>-2.0046582957467807E-3</c:v>
                </c:pt>
                <c:pt idx="589">
                  <c:v>-1.9778034024237334E-3</c:v>
                </c:pt>
                <c:pt idx="590">
                  <c:v>-2.0241379706725238E-3</c:v>
                </c:pt>
                <c:pt idx="591">
                  <c:v>-1.9942428592107375E-3</c:v>
                </c:pt>
                <c:pt idx="592">
                  <c:v>-2.0050864939920032E-3</c:v>
                </c:pt>
                <c:pt idx="593">
                  <c:v>-1.9530978229194418E-3</c:v>
                </c:pt>
                <c:pt idx="594">
                  <c:v>-1.9646328477247454E-3</c:v>
                </c:pt>
                <c:pt idx="595">
                  <c:v>-1.9055735802419593E-3</c:v>
                </c:pt>
                <c:pt idx="596">
                  <c:v>-1.9293718605049026E-3</c:v>
                </c:pt>
                <c:pt idx="597">
                  <c:v>-1.9541441134871274E-3</c:v>
                </c:pt>
                <c:pt idx="598">
                  <c:v>-1.9288160575757496E-3</c:v>
                </c:pt>
                <c:pt idx="599">
                  <c:v>-1.9321909337488286E-3</c:v>
                </c:pt>
                <c:pt idx="600">
                  <c:v>-1.9491938983917378E-3</c:v>
                </c:pt>
                <c:pt idx="601">
                  <c:v>-2.006503431307205E-3</c:v>
                </c:pt>
                <c:pt idx="602">
                  <c:v>-2.0349620999989826E-3</c:v>
                </c:pt>
                <c:pt idx="603">
                  <c:v>-2.087456437730062E-3</c:v>
                </c:pt>
                <c:pt idx="604">
                  <c:v>-2.0790968862512971E-3</c:v>
                </c:pt>
                <c:pt idx="605">
                  <c:v>-2.1064276542172577E-3</c:v>
                </c:pt>
                <c:pt idx="606">
                  <c:v>-2.093563115305147E-3</c:v>
                </c:pt>
                <c:pt idx="607">
                  <c:v>-2.0415335755726294E-3</c:v>
                </c:pt>
                <c:pt idx="608">
                  <c:v>-2.1357954112239674E-3</c:v>
                </c:pt>
                <c:pt idx="609">
                  <c:v>-2.1803625429866469E-3</c:v>
                </c:pt>
                <c:pt idx="610">
                  <c:v>-2.1814320334513082E-3</c:v>
                </c:pt>
                <c:pt idx="611">
                  <c:v>-2.2296250032473874E-3</c:v>
                </c:pt>
                <c:pt idx="612">
                  <c:v>-2.3636193453926702E-3</c:v>
                </c:pt>
                <c:pt idx="613">
                  <c:v>-2.3597501916321206E-3</c:v>
                </c:pt>
                <c:pt idx="614">
                  <c:v>-2.4045345957436626E-3</c:v>
                </c:pt>
                <c:pt idx="615">
                  <c:v>-2.4037041392422076E-3</c:v>
                </c:pt>
                <c:pt idx="616">
                  <c:v>-2.4366953859353835E-3</c:v>
                </c:pt>
                <c:pt idx="617">
                  <c:v>-2.4133147257473508E-3</c:v>
                </c:pt>
                <c:pt idx="618">
                  <c:v>-2.3695457669121178E-3</c:v>
                </c:pt>
                <c:pt idx="619">
                  <c:v>-2.3634947320405886E-3</c:v>
                </c:pt>
                <c:pt idx="620">
                  <c:v>-2.3240985987215135E-3</c:v>
                </c:pt>
                <c:pt idx="621">
                  <c:v>-2.3193854893419075E-3</c:v>
                </c:pt>
                <c:pt idx="622">
                  <c:v>-2.3677778732843768E-3</c:v>
                </c:pt>
                <c:pt idx="623">
                  <c:v>-2.3799907656745778E-3</c:v>
                </c:pt>
                <c:pt idx="624">
                  <c:v>-2.4210517737392745E-3</c:v>
                </c:pt>
                <c:pt idx="625">
                  <c:v>-2.4228622928572086E-3</c:v>
                </c:pt>
                <c:pt idx="626">
                  <c:v>-2.3937799618234945E-3</c:v>
                </c:pt>
                <c:pt idx="627">
                  <c:v>-2.3889240354745822E-3</c:v>
                </c:pt>
                <c:pt idx="628">
                  <c:v>-2.4349042166855184E-3</c:v>
                </c:pt>
                <c:pt idx="629">
                  <c:v>-2.4600047415334614E-3</c:v>
                </c:pt>
                <c:pt idx="630">
                  <c:v>-2.4291632196100643E-3</c:v>
                </c:pt>
                <c:pt idx="631">
                  <c:v>-2.4519114920064922E-3</c:v>
                </c:pt>
                <c:pt idx="632">
                  <c:v>-2.416266293160968E-3</c:v>
                </c:pt>
                <c:pt idx="633">
                  <c:v>-2.4933236613693122E-3</c:v>
                </c:pt>
                <c:pt idx="634">
                  <c:v>-2.4540125119626444E-3</c:v>
                </c:pt>
                <c:pt idx="635">
                  <c:v>-2.3609606314276277E-3</c:v>
                </c:pt>
                <c:pt idx="636">
                  <c:v>-2.3821484466087228E-3</c:v>
                </c:pt>
                <c:pt idx="637">
                  <c:v>-2.3990822067408435E-3</c:v>
                </c:pt>
                <c:pt idx="638">
                  <c:v>-2.3650269805145785E-3</c:v>
                </c:pt>
                <c:pt idx="639">
                  <c:v>-2.3979185992136498E-3</c:v>
                </c:pt>
                <c:pt idx="640">
                  <c:v>-2.3377059467378503E-3</c:v>
                </c:pt>
                <c:pt idx="641">
                  <c:v>-2.3283490708631283E-3</c:v>
                </c:pt>
                <c:pt idx="642">
                  <c:v>-2.3445851444831023E-3</c:v>
                </c:pt>
                <c:pt idx="643">
                  <c:v>-2.3683468714548461E-3</c:v>
                </c:pt>
                <c:pt idx="644">
                  <c:v>-2.3356229523181782E-3</c:v>
                </c:pt>
                <c:pt idx="645">
                  <c:v>-2.3353749362586274E-3</c:v>
                </c:pt>
                <c:pt idx="646">
                  <c:v>-2.295090538360689E-3</c:v>
                </c:pt>
                <c:pt idx="647">
                  <c:v>-2.3214034924863569E-3</c:v>
                </c:pt>
                <c:pt idx="648">
                  <c:v>-2.3167835826590211E-3</c:v>
                </c:pt>
                <c:pt idx="649">
                  <c:v>-2.3084907312682923E-3</c:v>
                </c:pt>
                <c:pt idx="650">
                  <c:v>-2.2630469991594404E-3</c:v>
                </c:pt>
                <c:pt idx="651">
                  <c:v>-2.2675373126615217E-3</c:v>
                </c:pt>
                <c:pt idx="652">
                  <c:v>-2.3086916241533972E-3</c:v>
                </c:pt>
                <c:pt idx="653">
                  <c:v>-2.3249684967834028E-3</c:v>
                </c:pt>
                <c:pt idx="654">
                  <c:v>-2.3614518725425804E-3</c:v>
                </c:pt>
                <c:pt idx="655">
                  <c:v>-2.3502703945446346E-3</c:v>
                </c:pt>
                <c:pt idx="656">
                  <c:v>-2.3648488283050106E-3</c:v>
                </c:pt>
                <c:pt idx="657">
                  <c:v>-2.3920609593973408E-3</c:v>
                </c:pt>
                <c:pt idx="658">
                  <c:v>-2.4665949813565402E-3</c:v>
                </c:pt>
                <c:pt idx="659">
                  <c:v>-2.54294704787833E-3</c:v>
                </c:pt>
                <c:pt idx="660">
                  <c:v>-2.5692531165762422E-3</c:v>
                </c:pt>
                <c:pt idx="661">
                  <c:v>-2.6143405885359072E-3</c:v>
                </c:pt>
                <c:pt idx="662">
                  <c:v>-2.6775392616825433E-3</c:v>
                </c:pt>
                <c:pt idx="663">
                  <c:v>-2.750474885923615E-3</c:v>
                </c:pt>
                <c:pt idx="664">
                  <c:v>-2.7246707273322623E-3</c:v>
                </c:pt>
                <c:pt idx="665">
                  <c:v>-2.7515332732631348E-3</c:v>
                </c:pt>
                <c:pt idx="666">
                  <c:v>-2.8098751492404705E-3</c:v>
                </c:pt>
                <c:pt idx="667">
                  <c:v>-2.793022884464702E-3</c:v>
                </c:pt>
                <c:pt idx="668">
                  <c:v>-2.7997440320312039E-3</c:v>
                </c:pt>
                <c:pt idx="669">
                  <c:v>-2.8343301721139857E-3</c:v>
                </c:pt>
                <c:pt idx="670">
                  <c:v>-2.8214691032260042E-3</c:v>
                </c:pt>
                <c:pt idx="671">
                  <c:v>-2.789953807597334E-3</c:v>
                </c:pt>
                <c:pt idx="672">
                  <c:v>-2.8114505141237645E-3</c:v>
                </c:pt>
                <c:pt idx="673">
                  <c:v>-2.8027077502729425E-3</c:v>
                </c:pt>
                <c:pt idx="674">
                  <c:v>-2.8282563908711977E-3</c:v>
                </c:pt>
                <c:pt idx="675">
                  <c:v>-2.8106307388249818E-3</c:v>
                </c:pt>
                <c:pt idx="676">
                  <c:v>-2.8188414161635922E-3</c:v>
                </c:pt>
                <c:pt idx="677">
                  <c:v>-2.8803944411497084E-3</c:v>
                </c:pt>
                <c:pt idx="678">
                  <c:v>-2.8681458652645986E-3</c:v>
                </c:pt>
                <c:pt idx="679">
                  <c:v>-2.9009349488631764E-3</c:v>
                </c:pt>
                <c:pt idx="680">
                  <c:v>-2.9099108880727143E-3</c:v>
                </c:pt>
                <c:pt idx="681">
                  <c:v>-2.9625864849708305E-3</c:v>
                </c:pt>
                <c:pt idx="682">
                  <c:v>-2.9713447753108857E-3</c:v>
                </c:pt>
                <c:pt idx="683">
                  <c:v>-2.9185021573780723E-3</c:v>
                </c:pt>
                <c:pt idx="684">
                  <c:v>-2.9236342376935398E-3</c:v>
                </c:pt>
                <c:pt idx="685">
                  <c:v>-2.8982697924618273E-3</c:v>
                </c:pt>
                <c:pt idx="686">
                  <c:v>-2.8577350319005657E-3</c:v>
                </c:pt>
                <c:pt idx="687">
                  <c:v>-2.8062879227785664E-3</c:v>
                </c:pt>
                <c:pt idx="688">
                  <c:v>-2.7165738878304757E-3</c:v>
                </c:pt>
                <c:pt idx="689">
                  <c:v>-2.763126736683913E-3</c:v>
                </c:pt>
                <c:pt idx="690">
                  <c:v>-2.7328210147755105E-3</c:v>
                </c:pt>
                <c:pt idx="691">
                  <c:v>-2.7421507037846127E-3</c:v>
                </c:pt>
                <c:pt idx="692">
                  <c:v>-2.8011146585717739E-3</c:v>
                </c:pt>
                <c:pt idx="693">
                  <c:v>-2.8720920314958265E-3</c:v>
                </c:pt>
                <c:pt idx="694">
                  <c:v>-2.8952867465550092E-3</c:v>
                </c:pt>
                <c:pt idx="695">
                  <c:v>-2.8276916884987791E-3</c:v>
                </c:pt>
                <c:pt idx="696">
                  <c:v>-2.7544508277757007E-3</c:v>
                </c:pt>
                <c:pt idx="697">
                  <c:v>-2.6660497902521174E-3</c:v>
                </c:pt>
                <c:pt idx="698">
                  <c:v>-2.6155812506512277E-3</c:v>
                </c:pt>
                <c:pt idx="699">
                  <c:v>-2.6329955345001099E-3</c:v>
                </c:pt>
                <c:pt idx="700">
                  <c:v>-2.6495149371874305E-3</c:v>
                </c:pt>
                <c:pt idx="701">
                  <c:v>-2.691916361635377E-3</c:v>
                </c:pt>
                <c:pt idx="702">
                  <c:v>-2.6270362532342939E-3</c:v>
                </c:pt>
                <c:pt idx="703">
                  <c:v>-2.7103704787449223E-3</c:v>
                </c:pt>
                <c:pt idx="704">
                  <c:v>-2.670370384524251E-3</c:v>
                </c:pt>
                <c:pt idx="705">
                  <c:v>-2.6823430952316596E-3</c:v>
                </c:pt>
                <c:pt idx="706">
                  <c:v>-2.6724399209614724E-3</c:v>
                </c:pt>
                <c:pt idx="707">
                  <c:v>-2.6668864435791251E-3</c:v>
                </c:pt>
                <c:pt idx="708">
                  <c:v>-2.6906093994049085E-3</c:v>
                </c:pt>
                <c:pt idx="709">
                  <c:v>-2.7806026635484038E-3</c:v>
                </c:pt>
                <c:pt idx="710">
                  <c:v>-2.7482113973113786E-3</c:v>
                </c:pt>
                <c:pt idx="711">
                  <c:v>-2.7841530837290074E-3</c:v>
                </c:pt>
                <c:pt idx="712">
                  <c:v>-2.7467705520596852E-3</c:v>
                </c:pt>
                <c:pt idx="713">
                  <c:v>-2.7500916404879228E-3</c:v>
                </c:pt>
                <c:pt idx="714">
                  <c:v>-2.7566328621452252E-3</c:v>
                </c:pt>
                <c:pt idx="715">
                  <c:v>-2.7404988640207795E-3</c:v>
                </c:pt>
                <c:pt idx="716">
                  <c:v>-2.7629434325029678E-3</c:v>
                </c:pt>
                <c:pt idx="717">
                  <c:v>-2.7167801782456147E-3</c:v>
                </c:pt>
                <c:pt idx="718">
                  <c:v>-2.7191394350645492E-3</c:v>
                </c:pt>
                <c:pt idx="719">
                  <c:v>-2.7701032837417205E-3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69504"/>
        <c:axId val="496471040"/>
      </c:lineChart>
      <c:catAx>
        <c:axId val="496469504"/>
        <c:scaling>
          <c:orientation val="minMax"/>
        </c:scaling>
        <c:delete val="0"/>
        <c:axPos val="b"/>
        <c:majorTickMark val="out"/>
        <c:minorTickMark val="none"/>
        <c:tickLblPos val="nextTo"/>
        <c:crossAx val="496471040"/>
        <c:crosses val="autoZero"/>
        <c:auto val="1"/>
        <c:lblAlgn val="ctr"/>
        <c:lblOffset val="100"/>
        <c:noMultiLvlLbl val="0"/>
      </c:catAx>
      <c:valAx>
        <c:axId val="49647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646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Feuil2!$W$12:$W$731</c:f>
              <c:numCache>
                <c:formatCode>General</c:formatCode>
                <c:ptCount val="720"/>
                <c:pt idx="0">
                  <c:v>5.7046484007929879E-3</c:v>
                </c:pt>
                <c:pt idx="1">
                  <c:v>8.040829532146165E-3</c:v>
                </c:pt>
                <c:pt idx="2">
                  <c:v>9.9272996140752773E-3</c:v>
                </c:pt>
                <c:pt idx="3">
                  <c:v>1.1648059746603816E-2</c:v>
                </c:pt>
                <c:pt idx="4">
                  <c:v>1.2965547156526855E-2</c:v>
                </c:pt>
                <c:pt idx="5">
                  <c:v>1.4381642451383354E-2</c:v>
                </c:pt>
                <c:pt idx="6">
                  <c:v>1.5566549726047757E-2</c:v>
                </c:pt>
                <c:pt idx="7">
                  <c:v>1.6694790221889518E-2</c:v>
                </c:pt>
                <c:pt idx="8">
                  <c:v>1.7745706934122193E-2</c:v>
                </c:pt>
                <c:pt idx="9">
                  <c:v>1.8747313545035921E-2</c:v>
                </c:pt>
                <c:pt idx="10">
                  <c:v>1.9788435414312962E-2</c:v>
                </c:pt>
                <c:pt idx="11">
                  <c:v>2.0691636833809968E-2</c:v>
                </c:pt>
                <c:pt idx="12">
                  <c:v>2.1570373212392357E-2</c:v>
                </c:pt>
                <c:pt idx="13">
                  <c:v>2.2429490463442187E-2</c:v>
                </c:pt>
                <c:pt idx="14">
                  <c:v>2.3136761920397715E-2</c:v>
                </c:pt>
                <c:pt idx="15">
                  <c:v>2.380474739428004E-2</c:v>
                </c:pt>
                <c:pt idx="16">
                  <c:v>2.4699907541940222E-2</c:v>
                </c:pt>
                <c:pt idx="17">
                  <c:v>2.5366259980036429E-2</c:v>
                </c:pt>
                <c:pt idx="18">
                  <c:v>2.6144646579195518E-2</c:v>
                </c:pt>
                <c:pt idx="19">
                  <c:v>2.689691810476396E-2</c:v>
                </c:pt>
                <c:pt idx="20">
                  <c:v>2.7570371491162808E-2</c:v>
                </c:pt>
                <c:pt idx="21">
                  <c:v>2.8428365636144468E-2</c:v>
                </c:pt>
                <c:pt idx="22">
                  <c:v>2.9307689640196741E-2</c:v>
                </c:pt>
                <c:pt idx="23">
                  <c:v>3.0071347263151246E-2</c:v>
                </c:pt>
                <c:pt idx="24">
                  <c:v>3.0858068871064563E-2</c:v>
                </c:pt>
                <c:pt idx="25">
                  <c:v>3.1607430494293078E-2</c:v>
                </c:pt>
                <c:pt idx="26">
                  <c:v>3.2270434497302949E-2</c:v>
                </c:pt>
                <c:pt idx="27">
                  <c:v>3.2984609364892503E-2</c:v>
                </c:pt>
                <c:pt idx="28">
                  <c:v>3.3616962361903556E-2</c:v>
                </c:pt>
                <c:pt idx="29">
                  <c:v>3.4314152908941818E-2</c:v>
                </c:pt>
                <c:pt idx="30">
                  <c:v>3.511704273105902E-2</c:v>
                </c:pt>
                <c:pt idx="31">
                  <c:v>3.5874678850775645E-2</c:v>
                </c:pt>
                <c:pt idx="32">
                  <c:v>3.6632479994371588E-2</c:v>
                </c:pt>
                <c:pt idx="33">
                  <c:v>3.7257611759582136E-2</c:v>
                </c:pt>
                <c:pt idx="34">
                  <c:v>3.8023187334797891E-2</c:v>
                </c:pt>
                <c:pt idx="35">
                  <c:v>3.8593148380575037E-2</c:v>
                </c:pt>
                <c:pt idx="36">
                  <c:v>3.9368794115139674E-2</c:v>
                </c:pt>
                <c:pt idx="37">
                  <c:v>4.0000774648851226E-2</c:v>
                </c:pt>
                <c:pt idx="38">
                  <c:v>4.0641689577166608E-2</c:v>
                </c:pt>
                <c:pt idx="39">
                  <c:v>4.1212297216602925E-2</c:v>
                </c:pt>
                <c:pt idx="40">
                  <c:v>4.1796098430426448E-2</c:v>
                </c:pt>
                <c:pt idx="41">
                  <c:v>4.2544118109572961E-2</c:v>
                </c:pt>
                <c:pt idx="42">
                  <c:v>4.3079255200129347E-2</c:v>
                </c:pt>
                <c:pt idx="43">
                  <c:v>4.3861590659510022E-2</c:v>
                </c:pt>
                <c:pt idx="44">
                  <c:v>4.4393813709140403E-2</c:v>
                </c:pt>
                <c:pt idx="45">
                  <c:v>4.5024995793577403E-2</c:v>
                </c:pt>
                <c:pt idx="46">
                  <c:v>4.5700941719021497E-2</c:v>
                </c:pt>
                <c:pt idx="47">
                  <c:v>4.6380958346239572E-2</c:v>
                </c:pt>
                <c:pt idx="48">
                  <c:v>4.7078302999022444E-2</c:v>
                </c:pt>
                <c:pt idx="49">
                  <c:v>4.7729902575694413E-2</c:v>
                </c:pt>
                <c:pt idx="50">
                  <c:v>4.8360834089410575E-2</c:v>
                </c:pt>
                <c:pt idx="51">
                  <c:v>4.9211966459258787E-2</c:v>
                </c:pt>
                <c:pt idx="52">
                  <c:v>4.9808706420199224E-2</c:v>
                </c:pt>
                <c:pt idx="53">
                  <c:v>5.0612061241996735E-2</c:v>
                </c:pt>
                <c:pt idx="54">
                  <c:v>5.1197035822308695E-2</c:v>
                </c:pt>
                <c:pt idx="55">
                  <c:v>5.1850233715689704E-2</c:v>
                </c:pt>
                <c:pt idx="56">
                  <c:v>5.2578125394299069E-2</c:v>
                </c:pt>
                <c:pt idx="57">
                  <c:v>5.3175357264430297E-2</c:v>
                </c:pt>
                <c:pt idx="58">
                  <c:v>5.3618771758978209E-2</c:v>
                </c:pt>
                <c:pt idx="59">
                  <c:v>5.4345525514567429E-2</c:v>
                </c:pt>
                <c:pt idx="60">
                  <c:v>5.4907598422537618E-2</c:v>
                </c:pt>
                <c:pt idx="61">
                  <c:v>5.5456109893572719E-2</c:v>
                </c:pt>
                <c:pt idx="62">
                  <c:v>5.6166532848458406E-2</c:v>
                </c:pt>
                <c:pt idx="63">
                  <c:v>5.6909052409723632E-2</c:v>
                </c:pt>
                <c:pt idx="64">
                  <c:v>5.7610492578766173E-2</c:v>
                </c:pt>
                <c:pt idx="65">
                  <c:v>5.8452423791847299E-2</c:v>
                </c:pt>
                <c:pt idx="66">
                  <c:v>5.9218446647271682E-2</c:v>
                </c:pt>
                <c:pt idx="67">
                  <c:v>5.9864824610619385E-2</c:v>
                </c:pt>
                <c:pt idx="68">
                  <c:v>6.0330661506647641E-2</c:v>
                </c:pt>
                <c:pt idx="69">
                  <c:v>6.0874902765151458E-2</c:v>
                </c:pt>
                <c:pt idx="70">
                  <c:v>6.1622053080745913E-2</c:v>
                </c:pt>
                <c:pt idx="71">
                  <c:v>6.2182250689170417E-2</c:v>
                </c:pt>
                <c:pt idx="72">
                  <c:v>6.2603763502672161E-2</c:v>
                </c:pt>
                <c:pt idx="73">
                  <c:v>6.3083084093808889E-2</c:v>
                </c:pt>
                <c:pt idx="74">
                  <c:v>6.3818698362129583E-2</c:v>
                </c:pt>
                <c:pt idx="75">
                  <c:v>6.4637752972424231E-2</c:v>
                </c:pt>
                <c:pt idx="76">
                  <c:v>6.5335587353387833E-2</c:v>
                </c:pt>
                <c:pt idx="77">
                  <c:v>6.6133611417690003E-2</c:v>
                </c:pt>
                <c:pt idx="78">
                  <c:v>6.6755377276414563E-2</c:v>
                </c:pt>
                <c:pt idx="79">
                  <c:v>6.7435815744968819E-2</c:v>
                </c:pt>
                <c:pt idx="80">
                  <c:v>6.8284476429695234E-2</c:v>
                </c:pt>
                <c:pt idx="81">
                  <c:v>6.8974048058888154E-2</c:v>
                </c:pt>
                <c:pt idx="82">
                  <c:v>6.9509121849929661E-2</c:v>
                </c:pt>
                <c:pt idx="83">
                  <c:v>7.030744980760617E-2</c:v>
                </c:pt>
                <c:pt idx="84">
                  <c:v>7.0932497638753061E-2</c:v>
                </c:pt>
                <c:pt idx="85">
                  <c:v>7.1714585899429154E-2</c:v>
                </c:pt>
                <c:pt idx="86">
                  <c:v>7.2361674674551624E-2</c:v>
                </c:pt>
                <c:pt idx="87">
                  <c:v>7.3016864601896228E-2</c:v>
                </c:pt>
                <c:pt idx="88">
                  <c:v>7.3614665746376234E-2</c:v>
                </c:pt>
                <c:pt idx="89">
                  <c:v>7.4410761479485263E-2</c:v>
                </c:pt>
                <c:pt idx="90">
                  <c:v>7.5111408463851989E-2</c:v>
                </c:pt>
                <c:pt idx="91">
                  <c:v>7.5731126816142913E-2</c:v>
                </c:pt>
                <c:pt idx="92">
                  <c:v>7.6248436954961502E-2</c:v>
                </c:pt>
                <c:pt idx="93">
                  <c:v>7.6734406276193545E-2</c:v>
                </c:pt>
                <c:pt idx="94">
                  <c:v>7.7075522374119784E-2</c:v>
                </c:pt>
                <c:pt idx="95">
                  <c:v>7.767593405238378E-2</c:v>
                </c:pt>
                <c:pt idx="96">
                  <c:v>7.8131943821666383E-2</c:v>
                </c:pt>
                <c:pt idx="97">
                  <c:v>7.8441372345985652E-2</c:v>
                </c:pt>
                <c:pt idx="98">
                  <c:v>7.8891363377034479E-2</c:v>
                </c:pt>
                <c:pt idx="99">
                  <c:v>7.9178769551753278E-2</c:v>
                </c:pt>
                <c:pt idx="100">
                  <c:v>7.9443605306181345E-2</c:v>
                </c:pt>
                <c:pt idx="101">
                  <c:v>7.9838648090257397E-2</c:v>
                </c:pt>
                <c:pt idx="102">
                  <c:v>8.0112100654100279E-2</c:v>
                </c:pt>
                <c:pt idx="103">
                  <c:v>8.0353326653595486E-2</c:v>
                </c:pt>
                <c:pt idx="104">
                  <c:v>8.058049906021901E-2</c:v>
                </c:pt>
                <c:pt idx="105">
                  <c:v>8.0854659472402016E-2</c:v>
                </c:pt>
                <c:pt idx="106">
                  <c:v>8.1274837744807399E-2</c:v>
                </c:pt>
                <c:pt idx="107">
                  <c:v>8.1439025739128826E-2</c:v>
                </c:pt>
                <c:pt idx="108">
                  <c:v>8.1654383528869376E-2</c:v>
                </c:pt>
                <c:pt idx="109">
                  <c:v>8.2004474182773304E-2</c:v>
                </c:pt>
                <c:pt idx="110">
                  <c:v>8.219900851776421E-2</c:v>
                </c:pt>
                <c:pt idx="111">
                  <c:v>8.2515089357452456E-2</c:v>
                </c:pt>
                <c:pt idx="112">
                  <c:v>8.2880434950733994E-2</c:v>
                </c:pt>
                <c:pt idx="113">
                  <c:v>8.3186239934298925E-2</c:v>
                </c:pt>
                <c:pt idx="114">
                  <c:v>8.3476937437641341E-2</c:v>
                </c:pt>
                <c:pt idx="115">
                  <c:v>8.3841692481022509E-2</c:v>
                </c:pt>
                <c:pt idx="116">
                  <c:v>8.4068098488350729E-2</c:v>
                </c:pt>
                <c:pt idx="117">
                  <c:v>8.4441876801036028E-2</c:v>
                </c:pt>
                <c:pt idx="118">
                  <c:v>8.4695194061792808E-2</c:v>
                </c:pt>
                <c:pt idx="119">
                  <c:v>8.4978252653965761E-2</c:v>
                </c:pt>
                <c:pt idx="120">
                  <c:v>8.5296744842831562E-2</c:v>
                </c:pt>
                <c:pt idx="121">
                  <c:v>8.5461693290362142E-2</c:v>
                </c:pt>
                <c:pt idx="122">
                  <c:v>8.5802334057212229E-2</c:v>
                </c:pt>
                <c:pt idx="123">
                  <c:v>8.6118670846387912E-2</c:v>
                </c:pt>
                <c:pt idx="124">
                  <c:v>8.653684462731441E-2</c:v>
                </c:pt>
                <c:pt idx="125">
                  <c:v>8.6709881126992447E-2</c:v>
                </c:pt>
                <c:pt idx="126">
                  <c:v>8.6839647973073489E-2</c:v>
                </c:pt>
                <c:pt idx="127">
                  <c:v>8.7078499955524163E-2</c:v>
                </c:pt>
                <c:pt idx="128">
                  <c:v>8.740141565130162E-2</c:v>
                </c:pt>
                <c:pt idx="129">
                  <c:v>8.7646153800910884E-2</c:v>
                </c:pt>
                <c:pt idx="130">
                  <c:v>8.7863695749402337E-2</c:v>
                </c:pt>
                <c:pt idx="131">
                  <c:v>8.8143042341050859E-2</c:v>
                </c:pt>
                <c:pt idx="132">
                  <c:v>8.8567391272770662E-2</c:v>
                </c:pt>
                <c:pt idx="133">
                  <c:v>8.8710079838772563E-2</c:v>
                </c:pt>
                <c:pt idx="134">
                  <c:v>8.8951892351544409E-2</c:v>
                </c:pt>
                <c:pt idx="135">
                  <c:v>8.9221788164756358E-2</c:v>
                </c:pt>
                <c:pt idx="136">
                  <c:v>8.9322349382659927E-2</c:v>
                </c:pt>
                <c:pt idx="137">
                  <c:v>8.9559673083853597E-2</c:v>
                </c:pt>
                <c:pt idx="138">
                  <c:v>8.9869042720359921E-2</c:v>
                </c:pt>
                <c:pt idx="139">
                  <c:v>9.0038799916113119E-2</c:v>
                </c:pt>
                <c:pt idx="140">
                  <c:v>9.0230072783269333E-2</c:v>
                </c:pt>
                <c:pt idx="141">
                  <c:v>9.0492486426303004E-2</c:v>
                </c:pt>
                <c:pt idx="142">
                  <c:v>9.081636294971536E-2</c:v>
                </c:pt>
                <c:pt idx="143">
                  <c:v>9.1065622774213442E-2</c:v>
                </c:pt>
                <c:pt idx="144">
                  <c:v>9.138440981271316E-2</c:v>
                </c:pt>
                <c:pt idx="145">
                  <c:v>9.1740100459961976E-2</c:v>
                </c:pt>
                <c:pt idx="146">
                  <c:v>9.2227063698566078E-2</c:v>
                </c:pt>
                <c:pt idx="147">
                  <c:v>9.249159016852973E-2</c:v>
                </c:pt>
                <c:pt idx="148">
                  <c:v>9.3072421711762582E-2</c:v>
                </c:pt>
                <c:pt idx="149">
                  <c:v>9.3285689362902144E-2</c:v>
                </c:pt>
                <c:pt idx="150">
                  <c:v>9.3651478628082055E-2</c:v>
                </c:pt>
                <c:pt idx="151">
                  <c:v>9.4079781810727528E-2</c:v>
                </c:pt>
                <c:pt idx="152">
                  <c:v>9.4367617049278416E-2</c:v>
                </c:pt>
                <c:pt idx="153">
                  <c:v>9.4671759723925192E-2</c:v>
                </c:pt>
                <c:pt idx="154">
                  <c:v>9.5054627235671346E-2</c:v>
                </c:pt>
                <c:pt idx="155">
                  <c:v>9.5498077570081719E-2</c:v>
                </c:pt>
                <c:pt idx="156">
                  <c:v>9.5702700139816479E-2</c:v>
                </c:pt>
                <c:pt idx="157">
                  <c:v>9.5999170634347666E-2</c:v>
                </c:pt>
                <c:pt idx="158">
                  <c:v>9.6532165205076362E-2</c:v>
                </c:pt>
                <c:pt idx="159">
                  <c:v>9.6865185306552207E-2</c:v>
                </c:pt>
                <c:pt idx="160">
                  <c:v>9.7179727389033646E-2</c:v>
                </c:pt>
                <c:pt idx="161">
                  <c:v>9.7522080517865248E-2</c:v>
                </c:pt>
                <c:pt idx="162">
                  <c:v>9.7850807547509619E-2</c:v>
                </c:pt>
                <c:pt idx="163">
                  <c:v>9.8147901274930338E-2</c:v>
                </c:pt>
                <c:pt idx="164">
                  <c:v>9.8473820407088311E-2</c:v>
                </c:pt>
                <c:pt idx="165">
                  <c:v>9.8787014901077039E-2</c:v>
                </c:pt>
                <c:pt idx="166">
                  <c:v>9.8956141514204052E-2</c:v>
                </c:pt>
                <c:pt idx="167">
                  <c:v>9.9286279825111179E-2</c:v>
                </c:pt>
                <c:pt idx="168">
                  <c:v>9.9511595071886824E-2</c:v>
                </c:pt>
                <c:pt idx="169">
                  <c:v>9.985776117129333E-2</c:v>
                </c:pt>
                <c:pt idx="170">
                  <c:v>0.10015123567512937</c:v>
                </c:pt>
                <c:pt idx="171">
                  <c:v>0.10042825775193447</c:v>
                </c:pt>
                <c:pt idx="172">
                  <c:v>0.10075227590512852</c:v>
                </c:pt>
                <c:pt idx="173">
                  <c:v>0.10113556913096375</c:v>
                </c:pt>
                <c:pt idx="174">
                  <c:v>0.101399126963063</c:v>
                </c:pt>
                <c:pt idx="175">
                  <c:v>0.10186845874094773</c:v>
                </c:pt>
                <c:pt idx="176">
                  <c:v>0.10214798959731287</c:v>
                </c:pt>
                <c:pt idx="177">
                  <c:v>0.10233736153796198</c:v>
                </c:pt>
                <c:pt idx="178">
                  <c:v>0.10256000545705572</c:v>
                </c:pt>
                <c:pt idx="179">
                  <c:v>0.10303717602442193</c:v>
                </c:pt>
                <c:pt idx="180">
                  <c:v>0.10333339810298039</c:v>
                </c:pt>
                <c:pt idx="181">
                  <c:v>0.1036026232636839</c:v>
                </c:pt>
                <c:pt idx="182">
                  <c:v>0.10387591418179101</c:v>
                </c:pt>
                <c:pt idx="183">
                  <c:v>0.10435143629688248</c:v>
                </c:pt>
                <c:pt idx="184">
                  <c:v>0.10473683543919515</c:v>
                </c:pt>
                <c:pt idx="185">
                  <c:v>0.10515398814157297</c:v>
                </c:pt>
                <c:pt idx="186">
                  <c:v>0.10552055557141796</c:v>
                </c:pt>
                <c:pt idx="187">
                  <c:v>0.10575056624220565</c:v>
                </c:pt>
                <c:pt idx="188">
                  <c:v>0.10610923100874814</c:v>
                </c:pt>
                <c:pt idx="189">
                  <c:v>0.10647226322023441</c:v>
                </c:pt>
                <c:pt idx="190">
                  <c:v>0.10684456041431613</c:v>
                </c:pt>
                <c:pt idx="191">
                  <c:v>0.10732290387410169</c:v>
                </c:pt>
                <c:pt idx="192">
                  <c:v>0.10775658847112016</c:v>
                </c:pt>
                <c:pt idx="193">
                  <c:v>0.10821995758814106</c:v>
                </c:pt>
                <c:pt idx="194">
                  <c:v>0.10862158900228376</c:v>
                </c:pt>
                <c:pt idx="195">
                  <c:v>0.10911931374081027</c:v>
                </c:pt>
                <c:pt idx="196">
                  <c:v>0.1096420172299602</c:v>
                </c:pt>
                <c:pt idx="197">
                  <c:v>0.11003233928156138</c:v>
                </c:pt>
                <c:pt idx="198">
                  <c:v>0.11048022848396591</c:v>
                </c:pt>
                <c:pt idx="199">
                  <c:v>0.110831606059167</c:v>
                </c:pt>
                <c:pt idx="200">
                  <c:v>0.11125115642222172</c:v>
                </c:pt>
                <c:pt idx="201">
                  <c:v>0.11161903471955148</c:v>
                </c:pt>
                <c:pt idx="202">
                  <c:v>0.11202566645844693</c:v>
                </c:pt>
                <c:pt idx="203">
                  <c:v>0.11239088538518534</c:v>
                </c:pt>
                <c:pt idx="204">
                  <c:v>0.11270037668144775</c:v>
                </c:pt>
                <c:pt idx="205">
                  <c:v>0.11315372239153691</c:v>
                </c:pt>
                <c:pt idx="206">
                  <c:v>0.11349495004226123</c:v>
                </c:pt>
                <c:pt idx="207">
                  <c:v>0.1137291950231544</c:v>
                </c:pt>
                <c:pt idx="208">
                  <c:v>0.11416819547656341</c:v>
                </c:pt>
                <c:pt idx="209">
                  <c:v>0.11457619930030975</c:v>
                </c:pt>
                <c:pt idx="210">
                  <c:v>0.11501155050574793</c:v>
                </c:pt>
                <c:pt idx="211">
                  <c:v>0.11533264365680763</c:v>
                </c:pt>
                <c:pt idx="212">
                  <c:v>0.11581564239443647</c:v>
                </c:pt>
                <c:pt idx="213">
                  <c:v>0.11614664772409825</c:v>
                </c:pt>
                <c:pt idx="214">
                  <c:v>0.11628752808592419</c:v>
                </c:pt>
                <c:pt idx="215">
                  <c:v>0.11661747569733506</c:v>
                </c:pt>
                <c:pt idx="216">
                  <c:v>0.11684536465370372</c:v>
                </c:pt>
                <c:pt idx="217">
                  <c:v>0.11725701822719714</c:v>
                </c:pt>
                <c:pt idx="218">
                  <c:v>0.11747374621404155</c:v>
                </c:pt>
                <c:pt idx="219">
                  <c:v>0.11782442463242281</c:v>
                </c:pt>
                <c:pt idx="220">
                  <c:v>0.11805192932913865</c:v>
                </c:pt>
                <c:pt idx="221">
                  <c:v>0.11843029279270068</c:v>
                </c:pt>
                <c:pt idx="222">
                  <c:v>0.11883813121429455</c:v>
                </c:pt>
                <c:pt idx="223">
                  <c:v>0.11922335358652901</c:v>
                </c:pt>
                <c:pt idx="224">
                  <c:v>0.11961879280045257</c:v>
                </c:pt>
                <c:pt idx="225">
                  <c:v>0.11993348580979038</c:v>
                </c:pt>
                <c:pt idx="226">
                  <c:v>0.1202762220138912</c:v>
                </c:pt>
                <c:pt idx="227">
                  <c:v>0.12046935837427593</c:v>
                </c:pt>
                <c:pt idx="228">
                  <c:v>0.1207136884660986</c:v>
                </c:pt>
                <c:pt idx="229">
                  <c:v>0.12107490608396312</c:v>
                </c:pt>
                <c:pt idx="230">
                  <c:v>0.12137395281521829</c:v>
                </c:pt>
                <c:pt idx="231">
                  <c:v>0.12158041546522837</c:v>
                </c:pt>
                <c:pt idx="232">
                  <c:v>0.12175260781211289</c:v>
                </c:pt>
                <c:pt idx="233">
                  <c:v>0.12193996164990201</c:v>
                </c:pt>
                <c:pt idx="234">
                  <c:v>0.12217685744999553</c:v>
                </c:pt>
                <c:pt idx="235">
                  <c:v>0.12263714333573703</c:v>
                </c:pt>
                <c:pt idx="236">
                  <c:v>0.1229121685753603</c:v>
                </c:pt>
                <c:pt idx="237">
                  <c:v>0.12317478807528608</c:v>
                </c:pt>
                <c:pt idx="238">
                  <c:v>0.12337209861698975</c:v>
                </c:pt>
                <c:pt idx="239">
                  <c:v>0.12376948474771714</c:v>
                </c:pt>
                <c:pt idx="240">
                  <c:v>0.12411524941417847</c:v>
                </c:pt>
                <c:pt idx="241">
                  <c:v>0.12440772387531088</c:v>
                </c:pt>
                <c:pt idx="242">
                  <c:v>0.12474951270332285</c:v>
                </c:pt>
                <c:pt idx="243">
                  <c:v>0.1250483139063493</c:v>
                </c:pt>
                <c:pt idx="244">
                  <c:v>0.12556792265959915</c:v>
                </c:pt>
                <c:pt idx="245">
                  <c:v>0.12596384618402068</c:v>
                </c:pt>
                <c:pt idx="246">
                  <c:v>0.1264857184389882</c:v>
                </c:pt>
                <c:pt idx="247">
                  <c:v>0.12693904905318507</c:v>
                </c:pt>
                <c:pt idx="248">
                  <c:v>0.12732441336090677</c:v>
                </c:pt>
                <c:pt idx="249">
                  <c:v>0.12776896864174436</c:v>
                </c:pt>
                <c:pt idx="250">
                  <c:v>0.12813956208864671</c:v>
                </c:pt>
                <c:pt idx="251">
                  <c:v>0.12859891381365912</c:v>
                </c:pt>
                <c:pt idx="252">
                  <c:v>0.12889697397278491</c:v>
                </c:pt>
                <c:pt idx="253">
                  <c:v>0.12936376636651067</c:v>
                </c:pt>
                <c:pt idx="254">
                  <c:v>0.12981590833173592</c:v>
                </c:pt>
                <c:pt idx="255">
                  <c:v>0.13037355199333456</c:v>
                </c:pt>
                <c:pt idx="256">
                  <c:v>0.13077998180422218</c:v>
                </c:pt>
                <c:pt idx="257">
                  <c:v>0.13101767161408259</c:v>
                </c:pt>
                <c:pt idx="258">
                  <c:v>0.13143097617830019</c:v>
                </c:pt>
                <c:pt idx="259">
                  <c:v>0.1318000839339232</c:v>
                </c:pt>
                <c:pt idx="260">
                  <c:v>0.13208642814811206</c:v>
                </c:pt>
                <c:pt idx="261">
                  <c:v>0.13250338090265257</c:v>
                </c:pt>
                <c:pt idx="262">
                  <c:v>0.13290840452182359</c:v>
                </c:pt>
                <c:pt idx="263">
                  <c:v>0.13324850534138105</c:v>
                </c:pt>
                <c:pt idx="264">
                  <c:v>0.13351205199675634</c:v>
                </c:pt>
                <c:pt idx="265">
                  <c:v>0.13380351999830994</c:v>
                </c:pt>
                <c:pt idx="266">
                  <c:v>0.1340929297400579</c:v>
                </c:pt>
                <c:pt idx="267">
                  <c:v>0.13438113464082277</c:v>
                </c:pt>
                <c:pt idx="268">
                  <c:v>0.13477720786381125</c:v>
                </c:pt>
                <c:pt idx="269">
                  <c:v>0.13518685729400468</c:v>
                </c:pt>
                <c:pt idx="270">
                  <c:v>0.1355651340245537</c:v>
                </c:pt>
                <c:pt idx="271">
                  <c:v>0.13593696104459232</c:v>
                </c:pt>
                <c:pt idx="272">
                  <c:v>0.13640682159053311</c:v>
                </c:pt>
                <c:pt idx="273">
                  <c:v>0.13673752041905626</c:v>
                </c:pt>
                <c:pt idx="274">
                  <c:v>0.13731027546150021</c:v>
                </c:pt>
                <c:pt idx="275">
                  <c:v>0.13770480856664333</c:v>
                </c:pt>
                <c:pt idx="276">
                  <c:v>0.13810612672062925</c:v>
                </c:pt>
                <c:pt idx="277">
                  <c:v>0.13833087958302173</c:v>
                </c:pt>
                <c:pt idx="278">
                  <c:v>0.13880492072329972</c:v>
                </c:pt>
                <c:pt idx="279">
                  <c:v>0.13911601375279656</c:v>
                </c:pt>
                <c:pt idx="280">
                  <c:v>0.13948809150049618</c:v>
                </c:pt>
                <c:pt idx="281">
                  <c:v>0.13984732469166253</c:v>
                </c:pt>
                <c:pt idx="282">
                  <c:v>0.14020564656847187</c:v>
                </c:pt>
                <c:pt idx="283">
                  <c:v>0.14059995576730411</c:v>
                </c:pt>
                <c:pt idx="284">
                  <c:v>0.14091374965814701</c:v>
                </c:pt>
                <c:pt idx="285">
                  <c:v>0.14126697243026737</c:v>
                </c:pt>
                <c:pt idx="286">
                  <c:v>0.14154743216213861</c:v>
                </c:pt>
                <c:pt idx="287">
                  <c:v>0.14194861336909725</c:v>
                </c:pt>
                <c:pt idx="288">
                  <c:v>0.14222287805562733</c:v>
                </c:pt>
                <c:pt idx="289">
                  <c:v>0.14243309918664071</c:v>
                </c:pt>
                <c:pt idx="290">
                  <c:v>0.14263577818325154</c:v>
                </c:pt>
                <c:pt idx="291">
                  <c:v>0.14304310394646122</c:v>
                </c:pt>
                <c:pt idx="292">
                  <c:v>0.14341708941008566</c:v>
                </c:pt>
                <c:pt idx="293">
                  <c:v>0.14374124012905465</c:v>
                </c:pt>
                <c:pt idx="294">
                  <c:v>0.14419765426438147</c:v>
                </c:pt>
                <c:pt idx="295">
                  <c:v>0.14445851638660723</c:v>
                </c:pt>
                <c:pt idx="296">
                  <c:v>0.14476839139535672</c:v>
                </c:pt>
                <c:pt idx="297">
                  <c:v>0.14508853915344008</c:v>
                </c:pt>
                <c:pt idx="298">
                  <c:v>0.14537074278977943</c:v>
                </c:pt>
                <c:pt idx="299">
                  <c:v>0.14588957465553304</c:v>
                </c:pt>
                <c:pt idx="300">
                  <c:v>0.14639058358526288</c:v>
                </c:pt>
                <c:pt idx="301">
                  <c:v>0.14674801305863538</c:v>
                </c:pt>
                <c:pt idx="302">
                  <c:v>0.14732110499621931</c:v>
                </c:pt>
                <c:pt idx="303">
                  <c:v>0.14779145872017418</c:v>
                </c:pt>
                <c:pt idx="304">
                  <c:v>0.14821587570176162</c:v>
                </c:pt>
                <c:pt idx="305">
                  <c:v>0.14865597976984846</c:v>
                </c:pt>
                <c:pt idx="306">
                  <c:v>0.14913042749682656</c:v>
                </c:pt>
                <c:pt idx="307">
                  <c:v>0.14967078532004649</c:v>
                </c:pt>
                <c:pt idx="308">
                  <c:v>0.15014794612632157</c:v>
                </c:pt>
                <c:pt idx="309">
                  <c:v>0.15062038037643782</c:v>
                </c:pt>
                <c:pt idx="310">
                  <c:v>0.15100284671619546</c:v>
                </c:pt>
                <c:pt idx="311">
                  <c:v>0.15144290303502639</c:v>
                </c:pt>
                <c:pt idx="312">
                  <c:v>0.15192560437869082</c:v>
                </c:pt>
                <c:pt idx="313">
                  <c:v>0.15250525152900662</c:v>
                </c:pt>
                <c:pt idx="314">
                  <c:v>0.15302694228410404</c:v>
                </c:pt>
                <c:pt idx="315">
                  <c:v>0.15354187774977102</c:v>
                </c:pt>
                <c:pt idx="316">
                  <c:v>0.15396288119390336</c:v>
                </c:pt>
                <c:pt idx="317">
                  <c:v>0.15437355051660243</c:v>
                </c:pt>
                <c:pt idx="318">
                  <c:v>0.15485355839243733</c:v>
                </c:pt>
                <c:pt idx="319">
                  <c:v>0.15533256624247704</c:v>
                </c:pt>
                <c:pt idx="320">
                  <c:v>0.15573947735251042</c:v>
                </c:pt>
                <c:pt idx="321">
                  <c:v>0.15613996599674296</c:v>
                </c:pt>
                <c:pt idx="322">
                  <c:v>0.15663394252625218</c:v>
                </c:pt>
                <c:pt idx="323">
                  <c:v>0.15709669517721819</c:v>
                </c:pt>
                <c:pt idx="324">
                  <c:v>0.15753793209854794</c:v>
                </c:pt>
                <c:pt idx="325">
                  <c:v>0.15798756490160423</c:v>
                </c:pt>
                <c:pt idx="326">
                  <c:v>0.15845954828749295</c:v>
                </c:pt>
                <c:pt idx="327">
                  <c:v>0.15868654699082757</c:v>
                </c:pt>
                <c:pt idx="328">
                  <c:v>0.15907158403858201</c:v>
                </c:pt>
                <c:pt idx="329">
                  <c:v>0.15960638604776267</c:v>
                </c:pt>
                <c:pt idx="330">
                  <c:v>0.16000132927002808</c:v>
                </c:pt>
                <c:pt idx="331">
                  <c:v>0.16039883317507531</c:v>
                </c:pt>
                <c:pt idx="332">
                  <c:v>0.16088944324083873</c:v>
                </c:pt>
                <c:pt idx="333">
                  <c:v>0.16148587912889412</c:v>
                </c:pt>
                <c:pt idx="334">
                  <c:v>0.16190634009872146</c:v>
                </c:pt>
                <c:pt idx="335">
                  <c:v>0.16225354907283268</c:v>
                </c:pt>
                <c:pt idx="336">
                  <c:v>0.16275293014619469</c:v>
                </c:pt>
                <c:pt idx="337">
                  <c:v>0.16312055676043377</c:v>
                </c:pt>
                <c:pt idx="338">
                  <c:v>0.16356342814267466</c:v>
                </c:pt>
                <c:pt idx="339">
                  <c:v>0.16407728928843204</c:v>
                </c:pt>
                <c:pt idx="340">
                  <c:v>0.16453657509486019</c:v>
                </c:pt>
                <c:pt idx="341">
                  <c:v>0.16479412966012161</c:v>
                </c:pt>
                <c:pt idx="342">
                  <c:v>0.16516177422692582</c:v>
                </c:pt>
                <c:pt idx="343">
                  <c:v>0.16566562002176241</c:v>
                </c:pt>
                <c:pt idx="344">
                  <c:v>0.16603785815236885</c:v>
                </c:pt>
                <c:pt idx="345">
                  <c:v>0.16654581017118136</c:v>
                </c:pt>
                <c:pt idx="346">
                  <c:v>0.16692734816942931</c:v>
                </c:pt>
                <c:pt idx="347">
                  <c:v>0.1672701145264523</c:v>
                </c:pt>
                <c:pt idx="348">
                  <c:v>0.1677517589030344</c:v>
                </c:pt>
                <c:pt idx="349">
                  <c:v>0.16821977422061793</c:v>
                </c:pt>
                <c:pt idx="350">
                  <c:v>0.16853773604488009</c:v>
                </c:pt>
                <c:pt idx="351">
                  <c:v>0.16895144014558419</c:v>
                </c:pt>
                <c:pt idx="352">
                  <c:v>0.16935939806185052</c:v>
                </c:pt>
                <c:pt idx="353">
                  <c:v>0.16973434753284752</c:v>
                </c:pt>
                <c:pt idx="354">
                  <c:v>0.17029972737871721</c:v>
                </c:pt>
                <c:pt idx="355">
                  <c:v>0.17058915098572025</c:v>
                </c:pt>
                <c:pt idx="356">
                  <c:v>0.17094390901825327</c:v>
                </c:pt>
                <c:pt idx="357">
                  <c:v>0.17141289193727213</c:v>
                </c:pt>
                <c:pt idx="358">
                  <c:v>0.17178573808220884</c:v>
                </c:pt>
                <c:pt idx="359">
                  <c:v>0.17228063111157779</c:v>
                </c:pt>
                <c:pt idx="360">
                  <c:v>0.17269261406625205</c:v>
                </c:pt>
                <c:pt idx="361">
                  <c:v>0.17318864962474392</c:v>
                </c:pt>
                <c:pt idx="362">
                  <c:v>0.17352839748845725</c:v>
                </c:pt>
                <c:pt idx="363">
                  <c:v>0.17379379976282375</c:v>
                </c:pt>
                <c:pt idx="364">
                  <c:v>0.17422744770861215</c:v>
                </c:pt>
                <c:pt idx="365">
                  <c:v>0.17473245629814935</c:v>
                </c:pt>
                <c:pt idx="366">
                  <c:v>0.17509635965825157</c:v>
                </c:pt>
                <c:pt idx="367">
                  <c:v>0.17543072935069554</c:v>
                </c:pt>
                <c:pt idx="368">
                  <c:v>0.17573171095145557</c:v>
                </c:pt>
                <c:pt idx="369">
                  <c:v>0.17605497593962213</c:v>
                </c:pt>
                <c:pt idx="370">
                  <c:v>0.17659807576741576</c:v>
                </c:pt>
                <c:pt idx="371">
                  <c:v>0.17701551858776671</c:v>
                </c:pt>
                <c:pt idx="372">
                  <c:v>0.1774229499988462</c:v>
                </c:pt>
                <c:pt idx="373">
                  <c:v>0.17787490672828479</c:v>
                </c:pt>
                <c:pt idx="374">
                  <c:v>0.17834964354184518</c:v>
                </c:pt>
                <c:pt idx="375">
                  <c:v>0.17880438153339812</c:v>
                </c:pt>
                <c:pt idx="376">
                  <c:v>0.17914919145550995</c:v>
                </c:pt>
                <c:pt idx="377">
                  <c:v>0.17960417465341943</c:v>
                </c:pt>
                <c:pt idx="378">
                  <c:v>0.18011061468634151</c:v>
                </c:pt>
                <c:pt idx="379">
                  <c:v>0.18048708230492122</c:v>
                </c:pt>
                <c:pt idx="380">
                  <c:v>0.18098334436032132</c:v>
                </c:pt>
                <c:pt idx="381">
                  <c:v>0.18143085238447826</c:v>
                </c:pt>
                <c:pt idx="382">
                  <c:v>0.18190631579380814</c:v>
                </c:pt>
                <c:pt idx="383">
                  <c:v>0.18229543398809261</c:v>
                </c:pt>
                <c:pt idx="384">
                  <c:v>0.18275338221891232</c:v>
                </c:pt>
                <c:pt idx="385">
                  <c:v>0.18312171216081605</c:v>
                </c:pt>
                <c:pt idx="386">
                  <c:v>0.18362021764508726</c:v>
                </c:pt>
                <c:pt idx="387">
                  <c:v>0.18410587268902145</c:v>
                </c:pt>
                <c:pt idx="388">
                  <c:v>0.18461125419306665</c:v>
                </c:pt>
                <c:pt idx="389">
                  <c:v>0.18509690011184102</c:v>
                </c:pt>
                <c:pt idx="390">
                  <c:v>0.18552484970335878</c:v>
                </c:pt>
                <c:pt idx="391">
                  <c:v>0.18604163926784834</c:v>
                </c:pt>
                <c:pt idx="392">
                  <c:v>0.18633104552186025</c:v>
                </c:pt>
                <c:pt idx="393">
                  <c:v>0.18669820416995989</c:v>
                </c:pt>
                <c:pt idx="394">
                  <c:v>0.18704989725982263</c:v>
                </c:pt>
                <c:pt idx="395">
                  <c:v>0.1874181085712596</c:v>
                </c:pt>
                <c:pt idx="396">
                  <c:v>0.18789783634920124</c:v>
                </c:pt>
                <c:pt idx="397">
                  <c:v>0.18820495696624978</c:v>
                </c:pt>
                <c:pt idx="398">
                  <c:v>0.18860895555724771</c:v>
                </c:pt>
                <c:pt idx="399">
                  <c:v>0.1888982027401335</c:v>
                </c:pt>
                <c:pt idx="400">
                  <c:v>0.18931951935190874</c:v>
                </c:pt>
                <c:pt idx="401">
                  <c:v>0.18966491667227303</c:v>
                </c:pt>
                <c:pt idx="402">
                  <c:v>0.19012122691669095</c:v>
                </c:pt>
                <c:pt idx="403">
                  <c:v>0.19052264354686418</c:v>
                </c:pt>
                <c:pt idx="404">
                  <c:v>0.1909005704608415</c:v>
                </c:pt>
                <c:pt idx="405">
                  <c:v>0.19134467985324571</c:v>
                </c:pt>
                <c:pt idx="406">
                  <c:v>0.19179642121528007</c:v>
                </c:pt>
                <c:pt idx="407">
                  <c:v>0.19215579669989891</c:v>
                </c:pt>
                <c:pt idx="408">
                  <c:v>0.1925657152777091</c:v>
                </c:pt>
                <c:pt idx="409">
                  <c:v>0.19287460397926715</c:v>
                </c:pt>
                <c:pt idx="410">
                  <c:v>0.19324336089587429</c:v>
                </c:pt>
                <c:pt idx="411">
                  <c:v>0.19374634388918111</c:v>
                </c:pt>
                <c:pt idx="412">
                  <c:v>0.19418039313870447</c:v>
                </c:pt>
                <c:pt idx="413">
                  <c:v>0.19451156275837633</c:v>
                </c:pt>
                <c:pt idx="414">
                  <c:v>0.19491800254820282</c:v>
                </c:pt>
                <c:pt idx="415">
                  <c:v>0.19529953070199899</c:v>
                </c:pt>
                <c:pt idx="416">
                  <c:v>0.19567944415103783</c:v>
                </c:pt>
                <c:pt idx="417">
                  <c:v>0.19604886128060717</c:v>
                </c:pt>
                <c:pt idx="418">
                  <c:v>0.19649056193318848</c:v>
                </c:pt>
                <c:pt idx="419">
                  <c:v>0.19699310020643426</c:v>
                </c:pt>
                <c:pt idx="420">
                  <c:v>0.19745178154778881</c:v>
                </c:pt>
                <c:pt idx="421">
                  <c:v>0.19791669226987349</c:v>
                </c:pt>
                <c:pt idx="422">
                  <c:v>0.19836328444181442</c:v>
                </c:pt>
                <c:pt idx="423">
                  <c:v>0.19864953909862737</c:v>
                </c:pt>
                <c:pt idx="424">
                  <c:v>0.19895513279917484</c:v>
                </c:pt>
                <c:pt idx="425">
                  <c:v>0.19929075746126884</c:v>
                </c:pt>
                <c:pt idx="426">
                  <c:v>0.1996370451009028</c:v>
                </c:pt>
                <c:pt idx="427">
                  <c:v>0.19997869502279669</c:v>
                </c:pt>
                <c:pt idx="428">
                  <c:v>0.20029879453971272</c:v>
                </c:pt>
                <c:pt idx="429">
                  <c:v>0.20059565490678555</c:v>
                </c:pt>
                <c:pt idx="430">
                  <c:v>0.20080925842004382</c:v>
                </c:pt>
                <c:pt idx="431">
                  <c:v>0.20125827550577305</c:v>
                </c:pt>
                <c:pt idx="432">
                  <c:v>0.20164004655755438</c:v>
                </c:pt>
                <c:pt idx="433">
                  <c:v>0.20196009748715441</c:v>
                </c:pt>
                <c:pt idx="434">
                  <c:v>0.20231893298152812</c:v>
                </c:pt>
                <c:pt idx="435">
                  <c:v>0.20265302245838379</c:v>
                </c:pt>
                <c:pt idx="436">
                  <c:v>0.2030535387284147</c:v>
                </c:pt>
                <c:pt idx="437">
                  <c:v>0.20341800102162019</c:v>
                </c:pt>
                <c:pt idx="438">
                  <c:v>0.20373977037210228</c:v>
                </c:pt>
                <c:pt idx="439">
                  <c:v>0.20409423178040687</c:v>
                </c:pt>
                <c:pt idx="440">
                  <c:v>0.20445122756381864</c:v>
                </c:pt>
                <c:pt idx="441">
                  <c:v>0.20478481497235829</c:v>
                </c:pt>
                <c:pt idx="442">
                  <c:v>0.20513320232654436</c:v>
                </c:pt>
                <c:pt idx="443">
                  <c:v>0.2053732098754153</c:v>
                </c:pt>
                <c:pt idx="444">
                  <c:v>0.2058154220238424</c:v>
                </c:pt>
                <c:pt idx="445">
                  <c:v>0.2061697540058004</c:v>
                </c:pt>
                <c:pt idx="446">
                  <c:v>0.20658906045369016</c:v>
                </c:pt>
                <c:pt idx="447">
                  <c:v>0.2069651158436987</c:v>
                </c:pt>
                <c:pt idx="448">
                  <c:v>0.20729524537043453</c:v>
                </c:pt>
                <c:pt idx="449">
                  <c:v>0.20783377665358438</c:v>
                </c:pt>
                <c:pt idx="450">
                  <c:v>0.20821670553999647</c:v>
                </c:pt>
                <c:pt idx="451">
                  <c:v>0.20868330631809653</c:v>
                </c:pt>
                <c:pt idx="452">
                  <c:v>0.20903944861814347</c:v>
                </c:pt>
                <c:pt idx="453">
                  <c:v>0.20941161834512617</c:v>
                </c:pt>
                <c:pt idx="454">
                  <c:v>0.20982777336762171</c:v>
                </c:pt>
                <c:pt idx="455">
                  <c:v>0.21022378016317667</c:v>
                </c:pt>
                <c:pt idx="456">
                  <c:v>0.21054260189620144</c:v>
                </c:pt>
                <c:pt idx="457">
                  <c:v>0.2109012701142437</c:v>
                </c:pt>
                <c:pt idx="458">
                  <c:v>0.21119519483444896</c:v>
                </c:pt>
                <c:pt idx="459">
                  <c:v>0.21156539937807212</c:v>
                </c:pt>
                <c:pt idx="460">
                  <c:v>0.21186115905332545</c:v>
                </c:pt>
                <c:pt idx="461">
                  <c:v>0.21218565821570579</c:v>
                </c:pt>
                <c:pt idx="462">
                  <c:v>0.21250913587691192</c:v>
                </c:pt>
                <c:pt idx="463">
                  <c:v>0.2127557717491648</c:v>
                </c:pt>
                <c:pt idx="464">
                  <c:v>0.2130146993006479</c:v>
                </c:pt>
                <c:pt idx="465">
                  <c:v>0.21334221785156701</c:v>
                </c:pt>
                <c:pt idx="466">
                  <c:v>0.21369653117772486</c:v>
                </c:pt>
                <c:pt idx="467">
                  <c:v>0.2140397978524953</c:v>
                </c:pt>
                <c:pt idx="468">
                  <c:v>0.21442688701260801</c:v>
                </c:pt>
                <c:pt idx="469">
                  <c:v>0.21470955554850196</c:v>
                </c:pt>
                <c:pt idx="470">
                  <c:v>0.21498176781260345</c:v>
                </c:pt>
                <c:pt idx="471">
                  <c:v>0.2152242174886716</c:v>
                </c:pt>
                <c:pt idx="472">
                  <c:v>0.21547333260764262</c:v>
                </c:pt>
                <c:pt idx="473">
                  <c:v>0.21583847344958271</c:v>
                </c:pt>
                <c:pt idx="474">
                  <c:v>0.21603697324864435</c:v>
                </c:pt>
                <c:pt idx="475">
                  <c:v>0.21631399543968297</c:v>
                </c:pt>
                <c:pt idx="476">
                  <c:v>0.21659142171637613</c:v>
                </c:pt>
                <c:pt idx="477">
                  <c:v>0.21700070187176584</c:v>
                </c:pt>
                <c:pt idx="478">
                  <c:v>0.21738395878944597</c:v>
                </c:pt>
                <c:pt idx="479">
                  <c:v>0.21757431268337246</c:v>
                </c:pt>
                <c:pt idx="480">
                  <c:v>0.21781365422490689</c:v>
                </c:pt>
                <c:pt idx="481">
                  <c:v>0.21811241573167872</c:v>
                </c:pt>
                <c:pt idx="482">
                  <c:v>0.2185209464021621</c:v>
                </c:pt>
                <c:pt idx="483">
                  <c:v>0.21889869305050683</c:v>
                </c:pt>
                <c:pt idx="484">
                  <c:v>0.21915606550346384</c:v>
                </c:pt>
                <c:pt idx="485">
                  <c:v>0.21945720341541988</c:v>
                </c:pt>
                <c:pt idx="486">
                  <c:v>0.2198448508298543</c:v>
                </c:pt>
                <c:pt idx="487">
                  <c:v>0.22028395889502253</c:v>
                </c:pt>
                <c:pt idx="488">
                  <c:v>0.22062109591129228</c:v>
                </c:pt>
                <c:pt idx="489">
                  <c:v>0.22096797565777879</c:v>
                </c:pt>
                <c:pt idx="490">
                  <c:v>0.22123242181007863</c:v>
                </c:pt>
                <c:pt idx="491">
                  <c:v>0.22153703819335038</c:v>
                </c:pt>
                <c:pt idx="492">
                  <c:v>0.22176757161384644</c:v>
                </c:pt>
                <c:pt idx="493">
                  <c:v>0.22204611589615839</c:v>
                </c:pt>
                <c:pt idx="494">
                  <c:v>0.22242706906517357</c:v>
                </c:pt>
                <c:pt idx="495">
                  <c:v>0.22263349453339401</c:v>
                </c:pt>
                <c:pt idx="496">
                  <c:v>0.22286635140616562</c:v>
                </c:pt>
                <c:pt idx="497">
                  <c:v>0.22317991793625505</c:v>
                </c:pt>
                <c:pt idx="498">
                  <c:v>0.22340965223216194</c:v>
                </c:pt>
                <c:pt idx="499">
                  <c:v>0.22382248608837468</c:v>
                </c:pt>
                <c:pt idx="500">
                  <c:v>0.22418152837719935</c:v>
                </c:pt>
                <c:pt idx="501">
                  <c:v>0.22444843304077927</c:v>
                </c:pt>
                <c:pt idx="502">
                  <c:v>0.22476036295327381</c:v>
                </c:pt>
                <c:pt idx="503">
                  <c:v>0.22500518179050724</c:v>
                </c:pt>
                <c:pt idx="504">
                  <c:v>0.22540345855109095</c:v>
                </c:pt>
                <c:pt idx="505">
                  <c:v>0.22568077116069843</c:v>
                </c:pt>
                <c:pt idx="506">
                  <c:v>0.2260452319841243</c:v>
                </c:pt>
                <c:pt idx="507">
                  <c:v>0.22631172704100386</c:v>
                </c:pt>
                <c:pt idx="508">
                  <c:v>0.22667002942819495</c:v>
                </c:pt>
                <c:pt idx="509">
                  <c:v>0.22698879814527295</c:v>
                </c:pt>
                <c:pt idx="510">
                  <c:v>0.22733925236305358</c:v>
                </c:pt>
                <c:pt idx="511">
                  <c:v>0.22759705239186193</c:v>
                </c:pt>
                <c:pt idx="512">
                  <c:v>0.22782308083951358</c:v>
                </c:pt>
                <c:pt idx="513">
                  <c:v>0.22806893925952398</c:v>
                </c:pt>
                <c:pt idx="514">
                  <c:v>0.22842713372570136</c:v>
                </c:pt>
                <c:pt idx="515">
                  <c:v>0.22866301263517438</c:v>
                </c:pt>
                <c:pt idx="516">
                  <c:v>0.22894259931005989</c:v>
                </c:pt>
                <c:pt idx="517">
                  <c:v>0.2291316701213312</c:v>
                </c:pt>
                <c:pt idx="518">
                  <c:v>0.22936697968882086</c:v>
                </c:pt>
                <c:pt idx="519">
                  <c:v>0.22967734171071938</c:v>
                </c:pt>
                <c:pt idx="520">
                  <c:v>0.22992210828407214</c:v>
                </c:pt>
                <c:pt idx="521">
                  <c:v>0.23015963469726167</c:v>
                </c:pt>
                <c:pt idx="522">
                  <c:v>0.23047177342980477</c:v>
                </c:pt>
                <c:pt idx="523">
                  <c:v>0.23080160943444689</c:v>
                </c:pt>
                <c:pt idx="524">
                  <c:v>0.23099612874902614</c:v>
                </c:pt>
                <c:pt idx="525">
                  <c:v>0.23127951891137222</c:v>
                </c:pt>
                <c:pt idx="526">
                  <c:v>0.23161177227093341</c:v>
                </c:pt>
                <c:pt idx="527">
                  <c:v>0.23205100096550577</c:v>
                </c:pt>
                <c:pt idx="528">
                  <c:v>0.232324797201406</c:v>
                </c:pt>
                <c:pt idx="529">
                  <c:v>0.23262414475529863</c:v>
                </c:pt>
                <c:pt idx="530">
                  <c:v>0.23289870104085453</c:v>
                </c:pt>
                <c:pt idx="531">
                  <c:v>0.23332054774378674</c:v>
                </c:pt>
                <c:pt idx="532">
                  <c:v>0.23364727761957624</c:v>
                </c:pt>
                <c:pt idx="533">
                  <c:v>0.23390039470203211</c:v>
                </c:pt>
                <c:pt idx="534">
                  <c:v>0.23419581888626018</c:v>
                </c:pt>
                <c:pt idx="535">
                  <c:v>0.23449486481331291</c:v>
                </c:pt>
                <c:pt idx="536">
                  <c:v>0.23475152478087657</c:v>
                </c:pt>
                <c:pt idx="537">
                  <c:v>0.23500928293218057</c:v>
                </c:pt>
                <c:pt idx="538">
                  <c:v>0.23533980804695048</c:v>
                </c:pt>
                <c:pt idx="539">
                  <c:v>0.23570296649710895</c:v>
                </c:pt>
                <c:pt idx="540">
                  <c:v>0.2360554290487909</c:v>
                </c:pt>
                <c:pt idx="541">
                  <c:v>0.2362211693704338</c:v>
                </c:pt>
                <c:pt idx="542">
                  <c:v>0.23648255758876427</c:v>
                </c:pt>
                <c:pt idx="543">
                  <c:v>0.23662036495190114</c:v>
                </c:pt>
                <c:pt idx="544">
                  <c:v>0.2367521233824762</c:v>
                </c:pt>
                <c:pt idx="545">
                  <c:v>0.23696531886569588</c:v>
                </c:pt>
                <c:pt idx="546">
                  <c:v>0.23722149477635698</c:v>
                </c:pt>
                <c:pt idx="547">
                  <c:v>0.23759563236057044</c:v>
                </c:pt>
                <c:pt idx="548">
                  <c:v>0.23778571389666539</c:v>
                </c:pt>
                <c:pt idx="549">
                  <c:v>0.23803307132419804</c:v>
                </c:pt>
                <c:pt idx="550">
                  <c:v>0.23827605528551743</c:v>
                </c:pt>
                <c:pt idx="551">
                  <c:v>0.23857847926755868</c:v>
                </c:pt>
                <c:pt idx="552">
                  <c:v>0.23874437822724659</c:v>
                </c:pt>
                <c:pt idx="553">
                  <c:v>0.23892801218650347</c:v>
                </c:pt>
                <c:pt idx="554">
                  <c:v>0.23902635445744472</c:v>
                </c:pt>
                <c:pt idx="555">
                  <c:v>0.23924856479275416</c:v>
                </c:pt>
                <c:pt idx="556">
                  <c:v>0.23941011369554543</c:v>
                </c:pt>
                <c:pt idx="557">
                  <c:v>0.23965630360925708</c:v>
                </c:pt>
                <c:pt idx="558">
                  <c:v>0.23985792316034849</c:v>
                </c:pt>
                <c:pt idx="559">
                  <c:v>0.24006288746318313</c:v>
                </c:pt>
                <c:pt idx="560">
                  <c:v>0.24022036442277986</c:v>
                </c:pt>
                <c:pt idx="561">
                  <c:v>0.24036209015479934</c:v>
                </c:pt>
                <c:pt idx="562">
                  <c:v>0.24065883861125312</c:v>
                </c:pt>
                <c:pt idx="563">
                  <c:v>0.24075798114869834</c:v>
                </c:pt>
                <c:pt idx="564">
                  <c:v>0.24092326676083084</c:v>
                </c:pt>
                <c:pt idx="565">
                  <c:v>0.24104636191209103</c:v>
                </c:pt>
                <c:pt idx="566">
                  <c:v>0.24122067789242096</c:v>
                </c:pt>
                <c:pt idx="567">
                  <c:v>0.24135212631522107</c:v>
                </c:pt>
                <c:pt idx="568">
                  <c:v>0.241518739254829</c:v>
                </c:pt>
                <c:pt idx="569">
                  <c:v>0.24180061389147176</c:v>
                </c:pt>
                <c:pt idx="570">
                  <c:v>0.24199771178612742</c:v>
                </c:pt>
                <c:pt idx="571">
                  <c:v>0.24217696810254002</c:v>
                </c:pt>
                <c:pt idx="572">
                  <c:v>0.24244874540429573</c:v>
                </c:pt>
                <c:pt idx="573">
                  <c:v>0.242661018434953</c:v>
                </c:pt>
                <c:pt idx="574">
                  <c:v>0.24283359679708447</c:v>
                </c:pt>
                <c:pt idx="575">
                  <c:v>0.2431261425396066</c:v>
                </c:pt>
                <c:pt idx="576">
                  <c:v>0.24327990456446938</c:v>
                </c:pt>
                <c:pt idx="577">
                  <c:v>0.24356898596256901</c:v>
                </c:pt>
                <c:pt idx="578">
                  <c:v>0.24364133492296361</c:v>
                </c:pt>
                <c:pt idx="579">
                  <c:v>0.24387032982788465</c:v>
                </c:pt>
                <c:pt idx="580">
                  <c:v>0.24408622623502688</c:v>
                </c:pt>
                <c:pt idx="581">
                  <c:v>0.24432920613800443</c:v>
                </c:pt>
                <c:pt idx="582">
                  <c:v>0.24451782418517329</c:v>
                </c:pt>
                <c:pt idx="583">
                  <c:v>0.24466069410541913</c:v>
                </c:pt>
                <c:pt idx="584">
                  <c:v>0.24489579590430693</c:v>
                </c:pt>
                <c:pt idx="585">
                  <c:v>0.24497904341439181</c:v>
                </c:pt>
                <c:pt idx="586">
                  <c:v>0.24524940045506766</c:v>
                </c:pt>
                <c:pt idx="587">
                  <c:v>0.24540826196819521</c:v>
                </c:pt>
                <c:pt idx="588">
                  <c:v>0.24554973699113816</c:v>
                </c:pt>
                <c:pt idx="589">
                  <c:v>0.24573441844506183</c:v>
                </c:pt>
                <c:pt idx="590">
                  <c:v>0.24587883629995308</c:v>
                </c:pt>
                <c:pt idx="591">
                  <c:v>0.24604125075219177</c:v>
                </c:pt>
                <c:pt idx="592">
                  <c:v>0.24617627781869497</c:v>
                </c:pt>
                <c:pt idx="593">
                  <c:v>0.24641850516981925</c:v>
                </c:pt>
                <c:pt idx="594">
                  <c:v>0.2466025142082798</c:v>
                </c:pt>
                <c:pt idx="595">
                  <c:v>0.24691083434409561</c:v>
                </c:pt>
                <c:pt idx="596">
                  <c:v>0.24707026232462045</c:v>
                </c:pt>
                <c:pt idx="597">
                  <c:v>0.247222021882821</c:v>
                </c:pt>
                <c:pt idx="598">
                  <c:v>0.2473771226074877</c:v>
                </c:pt>
                <c:pt idx="599">
                  <c:v>0.24750143917943387</c:v>
                </c:pt>
                <c:pt idx="600">
                  <c:v>0.24761583719805325</c:v>
                </c:pt>
                <c:pt idx="601">
                  <c:v>0.24770456628096507</c:v>
                </c:pt>
                <c:pt idx="602">
                  <c:v>0.24784341340441948</c:v>
                </c:pt>
                <c:pt idx="603">
                  <c:v>0.24798253067663845</c:v>
                </c:pt>
                <c:pt idx="604">
                  <c:v>0.24816244506890703</c:v>
                </c:pt>
                <c:pt idx="605">
                  <c:v>0.24823973647996064</c:v>
                </c:pt>
                <c:pt idx="606">
                  <c:v>0.24848584978872704</c:v>
                </c:pt>
                <c:pt idx="607">
                  <c:v>0.24861795235995909</c:v>
                </c:pt>
                <c:pt idx="608">
                  <c:v>0.24868403544710774</c:v>
                </c:pt>
                <c:pt idx="609">
                  <c:v>0.24875661409137587</c:v>
                </c:pt>
                <c:pt idx="610">
                  <c:v>0.24889821045440549</c:v>
                </c:pt>
                <c:pt idx="611">
                  <c:v>0.24907537706052391</c:v>
                </c:pt>
                <c:pt idx="612">
                  <c:v>0.24909933449648902</c:v>
                </c:pt>
                <c:pt idx="613">
                  <c:v>0.24925956560423643</c:v>
                </c:pt>
                <c:pt idx="614">
                  <c:v>0.24945056495634585</c:v>
                </c:pt>
                <c:pt idx="615">
                  <c:v>0.24960746086231175</c:v>
                </c:pt>
                <c:pt idx="616">
                  <c:v>0.24969189792871757</c:v>
                </c:pt>
                <c:pt idx="617">
                  <c:v>0.24988744739976632</c:v>
                </c:pt>
                <c:pt idx="618">
                  <c:v>0.25011657810003546</c:v>
                </c:pt>
                <c:pt idx="619">
                  <c:v>0.25034918825591507</c:v>
                </c:pt>
                <c:pt idx="620">
                  <c:v>0.25051334425323973</c:v>
                </c:pt>
                <c:pt idx="621">
                  <c:v>0.25062055984798204</c:v>
                </c:pt>
                <c:pt idx="622">
                  <c:v>0.25069990704324713</c:v>
                </c:pt>
                <c:pt idx="623">
                  <c:v>0.25085777392976494</c:v>
                </c:pt>
                <c:pt idx="624">
                  <c:v>0.25096197026884703</c:v>
                </c:pt>
                <c:pt idx="625">
                  <c:v>0.2511232353961857</c:v>
                </c:pt>
                <c:pt idx="626">
                  <c:v>0.25126357137105659</c:v>
                </c:pt>
                <c:pt idx="627">
                  <c:v>0.25137030977797192</c:v>
                </c:pt>
                <c:pt idx="628">
                  <c:v>0.25143816246059025</c:v>
                </c:pt>
                <c:pt idx="629">
                  <c:v>0.25153195544371376</c:v>
                </c:pt>
                <c:pt idx="630">
                  <c:v>0.25169790821652194</c:v>
                </c:pt>
                <c:pt idx="631">
                  <c:v>0.25183172467772397</c:v>
                </c:pt>
                <c:pt idx="632">
                  <c:v>0.25204946830848196</c:v>
                </c:pt>
                <c:pt idx="633">
                  <c:v>0.25219315388822022</c:v>
                </c:pt>
                <c:pt idx="634">
                  <c:v>0.25240450818713184</c:v>
                </c:pt>
                <c:pt idx="635">
                  <c:v>0.25265566581306281</c:v>
                </c:pt>
                <c:pt idx="636">
                  <c:v>0.2527657185094182</c:v>
                </c:pt>
                <c:pt idx="637">
                  <c:v>0.25295965504476742</c:v>
                </c:pt>
                <c:pt idx="638">
                  <c:v>0.25310799751562285</c:v>
                </c:pt>
                <c:pt idx="639">
                  <c:v>0.25323169406051454</c:v>
                </c:pt>
                <c:pt idx="640">
                  <c:v>0.25339593649633624</c:v>
                </c:pt>
                <c:pt idx="641">
                  <c:v>0.25359012664207276</c:v>
                </c:pt>
                <c:pt idx="642">
                  <c:v>0.25371485732220561</c:v>
                </c:pt>
                <c:pt idx="643">
                  <c:v>0.25378318214970602</c:v>
                </c:pt>
                <c:pt idx="644">
                  <c:v>0.25395773643729069</c:v>
                </c:pt>
                <c:pt idx="645">
                  <c:v>0.25403799890582179</c:v>
                </c:pt>
                <c:pt idx="646">
                  <c:v>0.2541988946943019</c:v>
                </c:pt>
                <c:pt idx="647">
                  <c:v>0.25437807457341993</c:v>
                </c:pt>
                <c:pt idx="648">
                  <c:v>0.25447281018485274</c:v>
                </c:pt>
                <c:pt idx="649">
                  <c:v>0.25461764352521077</c:v>
                </c:pt>
                <c:pt idx="650">
                  <c:v>0.25482463549354828</c:v>
                </c:pt>
                <c:pt idx="651">
                  <c:v>0.25493242553148093</c:v>
                </c:pt>
                <c:pt idx="652">
                  <c:v>0.25501064518011496</c:v>
                </c:pt>
                <c:pt idx="653">
                  <c:v>0.25508201785107887</c:v>
                </c:pt>
                <c:pt idx="654">
                  <c:v>0.25513883673829557</c:v>
                </c:pt>
                <c:pt idx="655">
                  <c:v>0.25532079803835628</c:v>
                </c:pt>
                <c:pt idx="656">
                  <c:v>0.25546029452706742</c:v>
                </c:pt>
                <c:pt idx="657">
                  <c:v>0.25558959076219212</c:v>
                </c:pt>
                <c:pt idx="658">
                  <c:v>0.2556413351413363</c:v>
                </c:pt>
                <c:pt idx="659">
                  <c:v>0.25568909797866302</c:v>
                </c:pt>
                <c:pt idx="660">
                  <c:v>0.25579537823812254</c:v>
                </c:pt>
                <c:pt idx="661">
                  <c:v>0.25592241543020006</c:v>
                </c:pt>
                <c:pt idx="662">
                  <c:v>0.25603455087539684</c:v>
                </c:pt>
                <c:pt idx="663">
                  <c:v>0.25609006507168747</c:v>
                </c:pt>
                <c:pt idx="664">
                  <c:v>0.25621041036846859</c:v>
                </c:pt>
                <c:pt idx="665">
                  <c:v>0.25629138438631427</c:v>
                </c:pt>
                <c:pt idx="666">
                  <c:v>0.25636851725672605</c:v>
                </c:pt>
                <c:pt idx="667">
                  <c:v>0.25648624222275923</c:v>
                </c:pt>
                <c:pt idx="668">
                  <c:v>0.25660450047043509</c:v>
                </c:pt>
                <c:pt idx="669">
                  <c:v>0.25669436343112739</c:v>
                </c:pt>
                <c:pt idx="670">
                  <c:v>0.25681133306308068</c:v>
                </c:pt>
                <c:pt idx="671">
                  <c:v>0.25703835247168361</c:v>
                </c:pt>
                <c:pt idx="672">
                  <c:v>0.25718379043045553</c:v>
                </c:pt>
                <c:pt idx="673">
                  <c:v>0.25735093350966021</c:v>
                </c:pt>
                <c:pt idx="674">
                  <c:v>0.25750881746151411</c:v>
                </c:pt>
                <c:pt idx="675">
                  <c:v>0.25764063071566379</c:v>
                </c:pt>
                <c:pt idx="676">
                  <c:v>0.2576854536819535</c:v>
                </c:pt>
                <c:pt idx="677">
                  <c:v>0.25772897357738611</c:v>
                </c:pt>
                <c:pt idx="678">
                  <c:v>0.25778151137536742</c:v>
                </c:pt>
                <c:pt idx="679">
                  <c:v>0.25789484848416599</c:v>
                </c:pt>
                <c:pt idx="680">
                  <c:v>0.25800870916745672</c:v>
                </c:pt>
                <c:pt idx="681">
                  <c:v>0.25814427835932602</c:v>
                </c:pt>
                <c:pt idx="682">
                  <c:v>0.2582205033212876</c:v>
                </c:pt>
                <c:pt idx="683">
                  <c:v>0.25845341347682205</c:v>
                </c:pt>
                <c:pt idx="684">
                  <c:v>0.25859266287991439</c:v>
                </c:pt>
                <c:pt idx="685">
                  <c:v>0.25863218035187036</c:v>
                </c:pt>
                <c:pt idx="686">
                  <c:v>0.25878622981645527</c:v>
                </c:pt>
                <c:pt idx="687">
                  <c:v>0.25894953828275225</c:v>
                </c:pt>
                <c:pt idx="688">
                  <c:v>0.25911809497418092</c:v>
                </c:pt>
                <c:pt idx="689">
                  <c:v>0.25921312908169597</c:v>
                </c:pt>
                <c:pt idx="690">
                  <c:v>0.25930155144629174</c:v>
                </c:pt>
                <c:pt idx="691">
                  <c:v>0.25945011144339625</c:v>
                </c:pt>
                <c:pt idx="692">
                  <c:v>0.25950429251316981</c:v>
                </c:pt>
                <c:pt idx="693">
                  <c:v>0.25954457810430825</c:v>
                </c:pt>
                <c:pt idx="694">
                  <c:v>0.25966523506198202</c:v>
                </c:pt>
                <c:pt idx="695">
                  <c:v>0.25988381433634655</c:v>
                </c:pt>
                <c:pt idx="696">
                  <c:v>0.26000266581035136</c:v>
                </c:pt>
                <c:pt idx="697">
                  <c:v>0.26012948028649419</c:v>
                </c:pt>
                <c:pt idx="698">
                  <c:v>0.26028455903737624</c:v>
                </c:pt>
                <c:pt idx="699">
                  <c:v>0.26038337672857537</c:v>
                </c:pt>
                <c:pt idx="700">
                  <c:v>0.26052986133696249</c:v>
                </c:pt>
                <c:pt idx="701">
                  <c:v>0.26057557134865311</c:v>
                </c:pt>
                <c:pt idx="702">
                  <c:v>0.26080820118056269</c:v>
                </c:pt>
                <c:pt idx="703">
                  <c:v>0.26077002779865882</c:v>
                </c:pt>
                <c:pt idx="704">
                  <c:v>0.26088455709428238</c:v>
                </c:pt>
                <c:pt idx="705">
                  <c:v>0.26099564731652752</c:v>
                </c:pt>
                <c:pt idx="706">
                  <c:v>0.26110930481368561</c:v>
                </c:pt>
                <c:pt idx="707">
                  <c:v>0.26116584529356646</c:v>
                </c:pt>
                <c:pt idx="708">
                  <c:v>0.26122544096162043</c:v>
                </c:pt>
                <c:pt idx="709">
                  <c:v>0.26126539414407218</c:v>
                </c:pt>
                <c:pt idx="710">
                  <c:v>0.26137154288420178</c:v>
                </c:pt>
                <c:pt idx="711">
                  <c:v>0.26146033680317848</c:v>
                </c:pt>
                <c:pt idx="712">
                  <c:v>0.26158768726659032</c:v>
                </c:pt>
                <c:pt idx="713">
                  <c:v>0.26164643253366132</c:v>
                </c:pt>
                <c:pt idx="714">
                  <c:v>0.26173971517156092</c:v>
                </c:pt>
                <c:pt idx="715">
                  <c:v>0.26183736171117844</c:v>
                </c:pt>
                <c:pt idx="716">
                  <c:v>0.26191094637473861</c:v>
                </c:pt>
                <c:pt idx="717">
                  <c:v>0.26202925724008863</c:v>
                </c:pt>
                <c:pt idx="718">
                  <c:v>0.26215196067737445</c:v>
                </c:pt>
                <c:pt idx="719">
                  <c:v>0.26224398700335971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Feuil2!$X$12:$X$731</c:f>
              <c:numCache>
                <c:formatCode>General</c:formatCode>
                <c:ptCount val="720"/>
                <c:pt idx="0">
                  <c:v>5.790460779191809E-3</c:v>
                </c:pt>
                <c:pt idx="1">
                  <c:v>8.123366880112861E-3</c:v>
                </c:pt>
                <c:pt idx="2">
                  <c:v>9.9670036371580107E-3</c:v>
                </c:pt>
                <c:pt idx="3">
                  <c:v>1.1600191214508525E-2</c:v>
                </c:pt>
                <c:pt idx="4">
                  <c:v>1.2940250820580295E-2</c:v>
                </c:pt>
                <c:pt idx="5">
                  <c:v>1.4114802871774046E-2</c:v>
                </c:pt>
                <c:pt idx="6">
                  <c:v>1.5332761203115277E-2</c:v>
                </c:pt>
                <c:pt idx="7">
                  <c:v>1.6326769639161444E-2</c:v>
                </c:pt>
                <c:pt idx="8">
                  <c:v>1.7273826660433388E-2</c:v>
                </c:pt>
                <c:pt idx="9">
                  <c:v>1.8337691856312163E-2</c:v>
                </c:pt>
                <c:pt idx="10">
                  <c:v>1.9215983902564293E-2</c:v>
                </c:pt>
                <c:pt idx="11">
                  <c:v>2.0094426094324842E-2</c:v>
                </c:pt>
                <c:pt idx="12">
                  <c:v>2.1026499083315279E-2</c:v>
                </c:pt>
                <c:pt idx="13">
                  <c:v>2.1956634018362387E-2</c:v>
                </c:pt>
                <c:pt idx="14">
                  <c:v>2.2856405108523044E-2</c:v>
                </c:pt>
                <c:pt idx="15">
                  <c:v>2.3528749011829119E-2</c:v>
                </c:pt>
                <c:pt idx="16">
                  <c:v>2.4341122325439214E-2</c:v>
                </c:pt>
                <c:pt idx="17">
                  <c:v>2.5046033450401406E-2</c:v>
                </c:pt>
                <c:pt idx="18">
                  <c:v>2.5821405433945687E-2</c:v>
                </c:pt>
                <c:pt idx="19">
                  <c:v>2.6545078118063663E-2</c:v>
                </c:pt>
                <c:pt idx="20">
                  <c:v>2.7309077723501059E-2</c:v>
                </c:pt>
                <c:pt idx="21">
                  <c:v>2.8113253547392997E-2</c:v>
                </c:pt>
                <c:pt idx="22">
                  <c:v>2.8767246368034495E-2</c:v>
                </c:pt>
                <c:pt idx="23">
                  <c:v>2.9523853603108507E-2</c:v>
                </c:pt>
                <c:pt idx="24">
                  <c:v>3.0261356063591229E-2</c:v>
                </c:pt>
                <c:pt idx="25">
                  <c:v>3.0813493908970008E-2</c:v>
                </c:pt>
                <c:pt idx="26">
                  <c:v>3.1415220300313372E-2</c:v>
                </c:pt>
                <c:pt idx="27">
                  <c:v>3.2086961666516096E-2</c:v>
                </c:pt>
                <c:pt idx="28">
                  <c:v>3.2728654943791811E-2</c:v>
                </c:pt>
                <c:pt idx="29">
                  <c:v>3.35213831534103E-2</c:v>
                </c:pt>
                <c:pt idx="30">
                  <c:v>3.4181534630830492E-2</c:v>
                </c:pt>
                <c:pt idx="31">
                  <c:v>3.4824361856155568E-2</c:v>
                </c:pt>
                <c:pt idx="32">
                  <c:v>3.5628012269231776E-2</c:v>
                </c:pt>
                <c:pt idx="33">
                  <c:v>3.6177418342342164E-2</c:v>
                </c:pt>
                <c:pt idx="34">
                  <c:v>3.6859564931887835E-2</c:v>
                </c:pt>
                <c:pt idx="35">
                  <c:v>3.763367869591789E-2</c:v>
                </c:pt>
                <c:pt idx="36">
                  <c:v>3.8367536411476007E-2</c:v>
                </c:pt>
                <c:pt idx="37">
                  <c:v>3.9005020943853476E-2</c:v>
                </c:pt>
                <c:pt idx="38">
                  <c:v>3.9683416005071262E-2</c:v>
                </c:pt>
                <c:pt idx="39">
                  <c:v>4.0439268878607729E-2</c:v>
                </c:pt>
                <c:pt idx="40">
                  <c:v>4.1139540964394726E-2</c:v>
                </c:pt>
                <c:pt idx="41">
                  <c:v>4.197382308616586E-2</c:v>
                </c:pt>
                <c:pt idx="42">
                  <c:v>4.2806484137995461E-2</c:v>
                </c:pt>
                <c:pt idx="43">
                  <c:v>4.3347186560894702E-2</c:v>
                </c:pt>
                <c:pt idx="44">
                  <c:v>4.3973413984255208E-2</c:v>
                </c:pt>
                <c:pt idx="45">
                  <c:v>4.4590546126392974E-2</c:v>
                </c:pt>
                <c:pt idx="46">
                  <c:v>4.5248303579390414E-2</c:v>
                </c:pt>
                <c:pt idx="47">
                  <c:v>4.6109442377913236E-2</c:v>
                </c:pt>
                <c:pt idx="48">
                  <c:v>4.6726424817076645E-2</c:v>
                </c:pt>
                <c:pt idx="49">
                  <c:v>4.7250454421218863E-2</c:v>
                </c:pt>
                <c:pt idx="50">
                  <c:v>4.8018263911793681E-2</c:v>
                </c:pt>
                <c:pt idx="51">
                  <c:v>4.881245621175799E-2</c:v>
                </c:pt>
                <c:pt idx="52">
                  <c:v>4.9332577397328561E-2</c:v>
                </c:pt>
                <c:pt idx="53">
                  <c:v>4.995895849172563E-2</c:v>
                </c:pt>
                <c:pt idx="54">
                  <c:v>5.0682894873666541E-2</c:v>
                </c:pt>
                <c:pt idx="55">
                  <c:v>5.1435294116826381E-2</c:v>
                </c:pt>
                <c:pt idx="56">
                  <c:v>5.214525063622532E-2</c:v>
                </c:pt>
                <c:pt idx="57">
                  <c:v>5.277137306597076E-2</c:v>
                </c:pt>
                <c:pt idx="58">
                  <c:v>5.3446780409426867E-2</c:v>
                </c:pt>
                <c:pt idx="59">
                  <c:v>5.4101008174635833E-2</c:v>
                </c:pt>
                <c:pt idx="60">
                  <c:v>5.4672173629555322E-2</c:v>
                </c:pt>
                <c:pt idx="61">
                  <c:v>5.5458429503468167E-2</c:v>
                </c:pt>
                <c:pt idx="62">
                  <c:v>5.6204756375453295E-2</c:v>
                </c:pt>
                <c:pt idx="63">
                  <c:v>5.684592332621944E-2</c:v>
                </c:pt>
                <c:pt idx="64">
                  <c:v>5.7565689626673987E-2</c:v>
                </c:pt>
                <c:pt idx="65">
                  <c:v>5.8177206708181904E-2</c:v>
                </c:pt>
                <c:pt idx="66">
                  <c:v>5.882646296821481E-2</c:v>
                </c:pt>
                <c:pt idx="67">
                  <c:v>5.9572194615156823E-2</c:v>
                </c:pt>
                <c:pt idx="68">
                  <c:v>6.0330855103073171E-2</c:v>
                </c:pt>
                <c:pt idx="69">
                  <c:v>6.1027057411211755E-2</c:v>
                </c:pt>
                <c:pt idx="70">
                  <c:v>6.1721566589359872E-2</c:v>
                </c:pt>
                <c:pt idx="71">
                  <c:v>6.2582361402529249E-2</c:v>
                </c:pt>
                <c:pt idx="72">
                  <c:v>6.3266520252987776E-2</c:v>
                </c:pt>
                <c:pt idx="73">
                  <c:v>6.3966796478755028E-2</c:v>
                </c:pt>
                <c:pt idx="74">
                  <c:v>6.4547970511282055E-2</c:v>
                </c:pt>
                <c:pt idx="75">
                  <c:v>6.5228365310882122E-2</c:v>
                </c:pt>
                <c:pt idx="76">
                  <c:v>6.5915178765777571E-2</c:v>
                </c:pt>
                <c:pt idx="77">
                  <c:v>6.656595381766453E-2</c:v>
                </c:pt>
                <c:pt idx="78">
                  <c:v>6.726775418369163E-2</c:v>
                </c:pt>
                <c:pt idx="79">
                  <c:v>6.7835903216338631E-2</c:v>
                </c:pt>
                <c:pt idx="80">
                  <c:v>6.846339001559773E-2</c:v>
                </c:pt>
                <c:pt idx="81">
                  <c:v>6.9222286462307325E-2</c:v>
                </c:pt>
                <c:pt idx="82">
                  <c:v>6.9724847563069278E-2</c:v>
                </c:pt>
                <c:pt idx="83">
                  <c:v>7.062302969122411E-2</c:v>
                </c:pt>
                <c:pt idx="84">
                  <c:v>7.1278255080448508E-2</c:v>
                </c:pt>
                <c:pt idx="85">
                  <c:v>7.2019607952940948E-2</c:v>
                </c:pt>
                <c:pt idx="86">
                  <c:v>7.2778148745901633E-2</c:v>
                </c:pt>
                <c:pt idx="87">
                  <c:v>7.3295866926390993E-2</c:v>
                </c:pt>
                <c:pt idx="88">
                  <c:v>7.4023819605794752E-2</c:v>
                </c:pt>
                <c:pt idx="89">
                  <c:v>7.4434475924499616E-2</c:v>
                </c:pt>
                <c:pt idx="90">
                  <c:v>7.5152028117278308E-2</c:v>
                </c:pt>
                <c:pt idx="91">
                  <c:v>7.5784856740754691E-2</c:v>
                </c:pt>
                <c:pt idx="92">
                  <c:v>7.6248283600271582E-2</c:v>
                </c:pt>
                <c:pt idx="93">
                  <c:v>7.6901662851229249E-2</c:v>
                </c:pt>
                <c:pt idx="94">
                  <c:v>7.7393647258533968E-2</c:v>
                </c:pt>
                <c:pt idx="95">
                  <c:v>7.7875025445750284E-2</c:v>
                </c:pt>
                <c:pt idx="96">
                  <c:v>7.8327067329954148E-2</c:v>
                </c:pt>
                <c:pt idx="97">
                  <c:v>7.8596080793219419E-2</c:v>
                </c:pt>
                <c:pt idx="98">
                  <c:v>7.9027613032941549E-2</c:v>
                </c:pt>
                <c:pt idx="99">
                  <c:v>7.9400411323499745E-2</c:v>
                </c:pt>
                <c:pt idx="100">
                  <c:v>7.9732987961362758E-2</c:v>
                </c:pt>
                <c:pt idx="101">
                  <c:v>7.9965781706524255E-2</c:v>
                </c:pt>
                <c:pt idx="102">
                  <c:v>8.0377645967692077E-2</c:v>
                </c:pt>
                <c:pt idx="103">
                  <c:v>8.0484397282980166E-2</c:v>
                </c:pt>
                <c:pt idx="104">
                  <c:v>8.0753121911311607E-2</c:v>
                </c:pt>
                <c:pt idx="105">
                  <c:v>8.0985825450845386E-2</c:v>
                </c:pt>
                <c:pt idx="106">
                  <c:v>8.1110255212564653E-2</c:v>
                </c:pt>
                <c:pt idx="107">
                  <c:v>8.1387271179155091E-2</c:v>
                </c:pt>
                <c:pt idx="108">
                  <c:v>8.1668610304682934E-2</c:v>
                </c:pt>
                <c:pt idx="109">
                  <c:v>8.183675648995789E-2</c:v>
                </c:pt>
                <c:pt idx="110">
                  <c:v>8.2056038321559416E-2</c:v>
                </c:pt>
                <c:pt idx="111">
                  <c:v>8.2363811192621386E-2</c:v>
                </c:pt>
                <c:pt idx="112">
                  <c:v>8.2577033189273452E-2</c:v>
                </c:pt>
                <c:pt idx="113">
                  <c:v>8.2755417708476456E-2</c:v>
                </c:pt>
                <c:pt idx="114">
                  <c:v>8.3150330814972293E-2</c:v>
                </c:pt>
                <c:pt idx="115">
                  <c:v>8.3494123691254599E-2</c:v>
                </c:pt>
                <c:pt idx="116">
                  <c:v>8.3758104075609241E-2</c:v>
                </c:pt>
                <c:pt idx="117">
                  <c:v>8.4174184450791278E-2</c:v>
                </c:pt>
                <c:pt idx="118">
                  <c:v>8.4509155749719414E-2</c:v>
                </c:pt>
                <c:pt idx="119">
                  <c:v>8.4851027571008958E-2</c:v>
                </c:pt>
                <c:pt idx="120">
                  <c:v>8.5233150434146338E-2</c:v>
                </c:pt>
                <c:pt idx="121">
                  <c:v>8.5669900249616682E-2</c:v>
                </c:pt>
                <c:pt idx="122">
                  <c:v>8.5897494116311562E-2</c:v>
                </c:pt>
                <c:pt idx="123">
                  <c:v>8.6253297663841669E-2</c:v>
                </c:pt>
                <c:pt idx="124">
                  <c:v>8.6473009968762962E-2</c:v>
                </c:pt>
                <c:pt idx="125">
                  <c:v>8.6796073834313966E-2</c:v>
                </c:pt>
                <c:pt idx="126">
                  <c:v>8.7115873866376384E-2</c:v>
                </c:pt>
                <c:pt idx="127">
                  <c:v>8.7388127705666591E-2</c:v>
                </c:pt>
                <c:pt idx="128">
                  <c:v>8.7613264033576499E-2</c:v>
                </c:pt>
                <c:pt idx="129">
                  <c:v>8.7937612578214835E-2</c:v>
                </c:pt>
                <c:pt idx="130">
                  <c:v>8.8138042375849712E-2</c:v>
                </c:pt>
                <c:pt idx="131">
                  <c:v>8.841896315094383E-2</c:v>
                </c:pt>
                <c:pt idx="132">
                  <c:v>8.8714354660865039E-2</c:v>
                </c:pt>
                <c:pt idx="133">
                  <c:v>8.8972340533723632E-2</c:v>
                </c:pt>
                <c:pt idx="134">
                  <c:v>8.9342178911487116E-2</c:v>
                </c:pt>
                <c:pt idx="135">
                  <c:v>8.9590751477579958E-2</c:v>
                </c:pt>
                <c:pt idx="136">
                  <c:v>8.9845218245138941E-2</c:v>
                </c:pt>
                <c:pt idx="137">
                  <c:v>9.0047148183434511E-2</c:v>
                </c:pt>
                <c:pt idx="138">
                  <c:v>9.0232994154772234E-2</c:v>
                </c:pt>
                <c:pt idx="139">
                  <c:v>9.0404356499600949E-2</c:v>
                </c:pt>
                <c:pt idx="140">
                  <c:v>9.0685065491981159E-2</c:v>
                </c:pt>
                <c:pt idx="141">
                  <c:v>9.0816525717975133E-2</c:v>
                </c:pt>
                <c:pt idx="142">
                  <c:v>9.1166227247447426E-2</c:v>
                </c:pt>
                <c:pt idx="143">
                  <c:v>9.1576426498142141E-2</c:v>
                </c:pt>
                <c:pt idx="144">
                  <c:v>9.1920172497877053E-2</c:v>
                </c:pt>
                <c:pt idx="145">
                  <c:v>9.2296570004948217E-2</c:v>
                </c:pt>
                <c:pt idx="146">
                  <c:v>9.2628349012350217E-2</c:v>
                </c:pt>
                <c:pt idx="147">
                  <c:v>9.3032875109576543E-2</c:v>
                </c:pt>
                <c:pt idx="148">
                  <c:v>9.3303576157677259E-2</c:v>
                </c:pt>
                <c:pt idx="149">
                  <c:v>9.3795730350742915E-2</c:v>
                </c:pt>
                <c:pt idx="150">
                  <c:v>9.4346399347384133E-2</c:v>
                </c:pt>
                <c:pt idx="151">
                  <c:v>9.4624322320062043E-2</c:v>
                </c:pt>
                <c:pt idx="152">
                  <c:v>9.4936096641353038E-2</c:v>
                </c:pt>
                <c:pt idx="153">
                  <c:v>9.5231739954244707E-2</c:v>
                </c:pt>
                <c:pt idx="154">
                  <c:v>9.5482090468252415E-2</c:v>
                </c:pt>
                <c:pt idx="155">
                  <c:v>9.5788271813299478E-2</c:v>
                </c:pt>
                <c:pt idx="156">
                  <c:v>9.6071157502627624E-2</c:v>
                </c:pt>
                <c:pt idx="157">
                  <c:v>9.6311257922214955E-2</c:v>
                </c:pt>
                <c:pt idx="158">
                  <c:v>9.6708635471949814E-2</c:v>
                </c:pt>
                <c:pt idx="159">
                  <c:v>9.7071419299871384E-2</c:v>
                </c:pt>
                <c:pt idx="160">
                  <c:v>9.7260223192251971E-2</c:v>
                </c:pt>
                <c:pt idx="161">
                  <c:v>9.7557440122647637E-2</c:v>
                </c:pt>
                <c:pt idx="162">
                  <c:v>9.7824978382556702E-2</c:v>
                </c:pt>
                <c:pt idx="163">
                  <c:v>9.8052036304443105E-2</c:v>
                </c:pt>
                <c:pt idx="164">
                  <c:v>9.8368852504322993E-2</c:v>
                </c:pt>
                <c:pt idx="165">
                  <c:v>9.872599398146735E-2</c:v>
                </c:pt>
                <c:pt idx="166">
                  <c:v>9.91017737190239E-2</c:v>
                </c:pt>
                <c:pt idx="167">
                  <c:v>9.9261898479589494E-2</c:v>
                </c:pt>
                <c:pt idx="168">
                  <c:v>9.9475230108517235E-2</c:v>
                </c:pt>
                <c:pt idx="169">
                  <c:v>9.9790260189688867E-2</c:v>
                </c:pt>
                <c:pt idx="170">
                  <c:v>0.10009068564232994</c:v>
                </c:pt>
                <c:pt idx="171">
                  <c:v>0.10036630420599932</c:v>
                </c:pt>
                <c:pt idx="172">
                  <c:v>0.10065445923168731</c:v>
                </c:pt>
                <c:pt idx="173">
                  <c:v>0.10085385078787086</c:v>
                </c:pt>
                <c:pt idx="174">
                  <c:v>0.10125471443673312</c:v>
                </c:pt>
                <c:pt idx="175">
                  <c:v>0.10155537746544735</c:v>
                </c:pt>
                <c:pt idx="176">
                  <c:v>0.10186592039493682</c:v>
                </c:pt>
                <c:pt idx="177">
                  <c:v>0.10218554517211313</c:v>
                </c:pt>
                <c:pt idx="178">
                  <c:v>0.10266706207907332</c:v>
                </c:pt>
                <c:pt idx="179">
                  <c:v>0.10302967410067315</c:v>
                </c:pt>
                <c:pt idx="180">
                  <c:v>0.10342763929148049</c:v>
                </c:pt>
                <c:pt idx="181">
                  <c:v>0.10373142977573238</c:v>
                </c:pt>
                <c:pt idx="182">
                  <c:v>0.10416239404176549</c:v>
                </c:pt>
                <c:pt idx="183">
                  <c:v>0.10449293072101033</c:v>
                </c:pt>
                <c:pt idx="184">
                  <c:v>0.10491320666894462</c:v>
                </c:pt>
                <c:pt idx="185">
                  <c:v>0.10532022319039433</c:v>
                </c:pt>
                <c:pt idx="186">
                  <c:v>0.10572616329132832</c:v>
                </c:pt>
                <c:pt idx="187">
                  <c:v>0.10619055720229383</c:v>
                </c:pt>
                <c:pt idx="188">
                  <c:v>0.10656709718679827</c:v>
                </c:pt>
                <c:pt idx="189">
                  <c:v>0.10706613667789756</c:v>
                </c:pt>
                <c:pt idx="190">
                  <c:v>0.10740895263881005</c:v>
                </c:pt>
                <c:pt idx="191">
                  <c:v>0.10773975041105803</c:v>
                </c:pt>
                <c:pt idx="192">
                  <c:v>0.10798259473576263</c:v>
                </c:pt>
                <c:pt idx="193">
                  <c:v>0.10837331381710892</c:v>
                </c:pt>
                <c:pt idx="194">
                  <c:v>0.10883835204450816</c:v>
                </c:pt>
                <c:pt idx="195">
                  <c:v>0.10906712712385565</c:v>
                </c:pt>
                <c:pt idx="196">
                  <c:v>0.10933322310843971</c:v>
                </c:pt>
                <c:pt idx="197">
                  <c:v>0.10975779834304965</c:v>
                </c:pt>
                <c:pt idx="198">
                  <c:v>0.11009340993321307</c:v>
                </c:pt>
                <c:pt idx="199">
                  <c:v>0.11028296009712421</c:v>
                </c:pt>
                <c:pt idx="200">
                  <c:v>0.11055272146475435</c:v>
                </c:pt>
                <c:pt idx="201">
                  <c:v>0.11076509088432213</c:v>
                </c:pt>
                <c:pt idx="202">
                  <c:v>0.11112574226470738</c:v>
                </c:pt>
                <c:pt idx="203">
                  <c:v>0.11142792733482162</c:v>
                </c:pt>
                <c:pt idx="204">
                  <c:v>0.11171128648372865</c:v>
                </c:pt>
                <c:pt idx="205">
                  <c:v>0.11208041832383303</c:v>
                </c:pt>
                <c:pt idx="206">
                  <c:v>0.11243574909725253</c:v>
                </c:pt>
                <c:pt idx="207">
                  <c:v>0.11275435499310356</c:v>
                </c:pt>
                <c:pt idx="208">
                  <c:v>0.11315565047308467</c:v>
                </c:pt>
                <c:pt idx="209">
                  <c:v>0.11349157352475928</c:v>
                </c:pt>
                <c:pt idx="210">
                  <c:v>0.11373725638354965</c:v>
                </c:pt>
                <c:pt idx="211">
                  <c:v>0.11403146024346771</c:v>
                </c:pt>
                <c:pt idx="212">
                  <c:v>0.11423036022980342</c:v>
                </c:pt>
                <c:pt idx="213">
                  <c:v>0.11451969404827164</c:v>
                </c:pt>
                <c:pt idx="214">
                  <c:v>0.11482616065594409</c:v>
                </c:pt>
                <c:pt idx="215">
                  <c:v>0.11518941170069531</c:v>
                </c:pt>
                <c:pt idx="216">
                  <c:v>0.11548966540416906</c:v>
                </c:pt>
                <c:pt idx="217">
                  <c:v>0.11575327276766427</c:v>
                </c:pt>
                <c:pt idx="218">
                  <c:v>0.11595586613969631</c:v>
                </c:pt>
                <c:pt idx="219">
                  <c:v>0.11624499801816833</c:v>
                </c:pt>
                <c:pt idx="220">
                  <c:v>0.11647426505134033</c:v>
                </c:pt>
                <c:pt idx="221">
                  <c:v>0.11672512971903905</c:v>
                </c:pt>
                <c:pt idx="222">
                  <c:v>0.1171408043170285</c:v>
                </c:pt>
                <c:pt idx="223">
                  <c:v>0.117519234223688</c:v>
                </c:pt>
                <c:pt idx="224">
                  <c:v>0.1178906544175336</c:v>
                </c:pt>
                <c:pt idx="225">
                  <c:v>0.11809367340969425</c:v>
                </c:pt>
                <c:pt idx="226">
                  <c:v>0.11837184678775212</c:v>
                </c:pt>
                <c:pt idx="227">
                  <c:v>0.11877297160676645</c:v>
                </c:pt>
                <c:pt idx="228">
                  <c:v>0.11904136985964271</c:v>
                </c:pt>
                <c:pt idx="229">
                  <c:v>0.11929628576543246</c:v>
                </c:pt>
                <c:pt idx="230">
                  <c:v>0.11952233466566786</c:v>
                </c:pt>
                <c:pt idx="231">
                  <c:v>0.11992414745588731</c:v>
                </c:pt>
                <c:pt idx="232">
                  <c:v>0.12016744069870806</c:v>
                </c:pt>
                <c:pt idx="233">
                  <c:v>0.12048691121316717</c:v>
                </c:pt>
                <c:pt idx="234">
                  <c:v>0.12064643984435496</c:v>
                </c:pt>
                <c:pt idx="235">
                  <c:v>0.12086764070281299</c:v>
                </c:pt>
                <c:pt idx="236">
                  <c:v>0.12117176311374203</c:v>
                </c:pt>
                <c:pt idx="237">
                  <c:v>0.1216451974238541</c:v>
                </c:pt>
                <c:pt idx="238">
                  <c:v>0.12204428396052767</c:v>
                </c:pt>
                <c:pt idx="239">
                  <c:v>0.12246767085637855</c:v>
                </c:pt>
                <c:pt idx="240">
                  <c:v>0.12275672468234336</c:v>
                </c:pt>
                <c:pt idx="241">
                  <c:v>0.12314244552988753</c:v>
                </c:pt>
                <c:pt idx="242">
                  <c:v>0.12365221460701216</c:v>
                </c:pt>
                <c:pt idx="243">
                  <c:v>0.1239299152702549</c:v>
                </c:pt>
                <c:pt idx="244">
                  <c:v>0.12436182051150688</c:v>
                </c:pt>
                <c:pt idx="245">
                  <c:v>0.12486135578607059</c:v>
                </c:pt>
                <c:pt idx="246">
                  <c:v>0.12523869653280942</c:v>
                </c:pt>
                <c:pt idx="247">
                  <c:v>0.12573473079759509</c:v>
                </c:pt>
                <c:pt idx="248">
                  <c:v>0.12619801943046949</c:v>
                </c:pt>
                <c:pt idx="249">
                  <c:v>0.12666290439506711</c:v>
                </c:pt>
                <c:pt idx="250">
                  <c:v>0.12712279011019192</c:v>
                </c:pt>
                <c:pt idx="251">
                  <c:v>0.12747872630282092</c:v>
                </c:pt>
                <c:pt idx="252">
                  <c:v>0.12800996946021503</c:v>
                </c:pt>
                <c:pt idx="253">
                  <c:v>0.12855498109853228</c:v>
                </c:pt>
                <c:pt idx="254">
                  <c:v>0.12897785702998443</c:v>
                </c:pt>
                <c:pt idx="255">
                  <c:v>0.1295022347378359</c:v>
                </c:pt>
                <c:pt idx="256">
                  <c:v>0.1300658795182961</c:v>
                </c:pt>
                <c:pt idx="257">
                  <c:v>0.13045681779725765</c:v>
                </c:pt>
                <c:pt idx="258">
                  <c:v>0.13092249523650559</c:v>
                </c:pt>
                <c:pt idx="259">
                  <c:v>0.13131124480216086</c:v>
                </c:pt>
                <c:pt idx="260">
                  <c:v>0.13178350880808001</c:v>
                </c:pt>
                <c:pt idx="261">
                  <c:v>0.13220153150663611</c:v>
                </c:pt>
                <c:pt idx="262">
                  <c:v>0.13255366671272364</c:v>
                </c:pt>
                <c:pt idx="263">
                  <c:v>0.13290713136749036</c:v>
                </c:pt>
                <c:pt idx="264">
                  <c:v>0.13331632536543464</c:v>
                </c:pt>
                <c:pt idx="265">
                  <c:v>0.13365363074904754</c:v>
                </c:pt>
                <c:pt idx="266">
                  <c:v>0.13404741617550889</c:v>
                </c:pt>
                <c:pt idx="267">
                  <c:v>0.13441796241731749</c:v>
                </c:pt>
                <c:pt idx="268">
                  <c:v>0.13470994419336435</c:v>
                </c:pt>
                <c:pt idx="269">
                  <c:v>0.13501705998757688</c:v>
                </c:pt>
                <c:pt idx="270">
                  <c:v>0.13546862577705582</c:v>
                </c:pt>
                <c:pt idx="271">
                  <c:v>0.13581491584981642</c:v>
                </c:pt>
                <c:pt idx="272">
                  <c:v>0.13615549997819301</c:v>
                </c:pt>
                <c:pt idx="273">
                  <c:v>0.13651298170924933</c:v>
                </c:pt>
                <c:pt idx="274">
                  <c:v>0.13694096834368358</c:v>
                </c:pt>
                <c:pt idx="275">
                  <c:v>0.13717812033106444</c:v>
                </c:pt>
                <c:pt idx="276">
                  <c:v>0.13758652501116145</c:v>
                </c:pt>
                <c:pt idx="277">
                  <c:v>0.1379779439646821</c:v>
                </c:pt>
                <c:pt idx="278">
                  <c:v>0.1382802603925638</c:v>
                </c:pt>
                <c:pt idx="279">
                  <c:v>0.13860076969322729</c:v>
                </c:pt>
                <c:pt idx="280">
                  <c:v>0.13892787466364537</c:v>
                </c:pt>
                <c:pt idx="281">
                  <c:v>0.1393636695832591</c:v>
                </c:pt>
                <c:pt idx="282">
                  <c:v>0.13972016218361308</c:v>
                </c:pt>
                <c:pt idx="283">
                  <c:v>0.13998739103469221</c:v>
                </c:pt>
                <c:pt idx="284">
                  <c:v>0.14032335819243907</c:v>
                </c:pt>
                <c:pt idx="285">
                  <c:v>0.14074770191354022</c:v>
                </c:pt>
                <c:pt idx="286">
                  <c:v>0.14097696977833701</c:v>
                </c:pt>
                <c:pt idx="287">
                  <c:v>0.14128029146952098</c:v>
                </c:pt>
                <c:pt idx="288">
                  <c:v>0.14171320997929326</c:v>
                </c:pt>
                <c:pt idx="289">
                  <c:v>0.14200946846203835</c:v>
                </c:pt>
                <c:pt idx="290">
                  <c:v>0.14231547558713128</c:v>
                </c:pt>
                <c:pt idx="291">
                  <c:v>0.14261030346847564</c:v>
                </c:pt>
                <c:pt idx="292">
                  <c:v>0.14295712836309685</c:v>
                </c:pt>
                <c:pt idx="293">
                  <c:v>0.14332501467807854</c:v>
                </c:pt>
                <c:pt idx="294">
                  <c:v>0.14376363368560369</c:v>
                </c:pt>
                <c:pt idx="295">
                  <c:v>0.1441323100679795</c:v>
                </c:pt>
                <c:pt idx="296">
                  <c:v>0.14447977102216342</c:v>
                </c:pt>
                <c:pt idx="297">
                  <c:v>0.1448498105083959</c:v>
                </c:pt>
                <c:pt idx="298">
                  <c:v>0.14519557889233761</c:v>
                </c:pt>
                <c:pt idx="299">
                  <c:v>0.14553895347348583</c:v>
                </c:pt>
                <c:pt idx="300">
                  <c:v>0.14602973283919621</c:v>
                </c:pt>
                <c:pt idx="301">
                  <c:v>0.14646458567608728</c:v>
                </c:pt>
                <c:pt idx="302">
                  <c:v>0.14689902972031457</c:v>
                </c:pt>
                <c:pt idx="303">
                  <c:v>0.14736583602976841</c:v>
                </c:pt>
                <c:pt idx="304">
                  <c:v>0.14783947921309132</c:v>
                </c:pt>
                <c:pt idx="305">
                  <c:v>0.14835345781238973</c:v>
                </c:pt>
                <c:pt idx="306">
                  <c:v>0.14869451768047354</c:v>
                </c:pt>
                <c:pt idx="307">
                  <c:v>0.14925340893000125</c:v>
                </c:pt>
                <c:pt idx="308">
                  <c:v>0.14977490998264531</c:v>
                </c:pt>
                <c:pt idx="309">
                  <c:v>0.15028436576666784</c:v>
                </c:pt>
                <c:pt idx="310">
                  <c:v>0.15084483274059943</c:v>
                </c:pt>
                <c:pt idx="311">
                  <c:v>0.15129116486172725</c:v>
                </c:pt>
                <c:pt idx="312">
                  <c:v>0.15165050777743871</c:v>
                </c:pt>
                <c:pt idx="313">
                  <c:v>0.15202054062886267</c:v>
                </c:pt>
                <c:pt idx="314">
                  <c:v>0.15236943266723113</c:v>
                </c:pt>
                <c:pt idx="315">
                  <c:v>0.15269713368253696</c:v>
                </c:pt>
                <c:pt idx="316">
                  <c:v>0.15314624150039252</c:v>
                </c:pt>
                <c:pt idx="317">
                  <c:v>0.15352219641859238</c:v>
                </c:pt>
                <c:pt idx="318">
                  <c:v>0.15407915149462226</c:v>
                </c:pt>
                <c:pt idx="319">
                  <c:v>0.15464700423692251</c:v>
                </c:pt>
                <c:pt idx="320">
                  <c:v>0.1550418623545087</c:v>
                </c:pt>
                <c:pt idx="321">
                  <c:v>0.15554399250464745</c:v>
                </c:pt>
                <c:pt idx="322">
                  <c:v>0.15591012996792256</c:v>
                </c:pt>
                <c:pt idx="323">
                  <c:v>0.15651078011878886</c:v>
                </c:pt>
                <c:pt idx="324">
                  <c:v>0.15690248527348818</c:v>
                </c:pt>
                <c:pt idx="325">
                  <c:v>0.15730895065283679</c:v>
                </c:pt>
                <c:pt idx="326">
                  <c:v>0.15763977482760064</c:v>
                </c:pt>
                <c:pt idx="327">
                  <c:v>0.15826916239494765</c:v>
                </c:pt>
                <c:pt idx="328">
                  <c:v>0.15859427554489786</c:v>
                </c:pt>
                <c:pt idx="329">
                  <c:v>0.15906398546836076</c:v>
                </c:pt>
                <c:pt idx="330">
                  <c:v>0.15941519298032142</c:v>
                </c:pt>
                <c:pt idx="331">
                  <c:v>0.15979436491806145</c:v>
                </c:pt>
                <c:pt idx="332">
                  <c:v>0.16023877859132055</c:v>
                </c:pt>
                <c:pt idx="333">
                  <c:v>0.160566467965648</c:v>
                </c:pt>
                <c:pt idx="334">
                  <c:v>0.16106310404525567</c:v>
                </c:pt>
                <c:pt idx="335">
                  <c:v>0.16140039907192419</c:v>
                </c:pt>
                <c:pt idx="336">
                  <c:v>0.16173966540423468</c:v>
                </c:pt>
                <c:pt idx="337">
                  <c:v>0.16204921845128997</c:v>
                </c:pt>
                <c:pt idx="338">
                  <c:v>0.16237451724902388</c:v>
                </c:pt>
                <c:pt idx="339">
                  <c:v>0.16303145801267127</c:v>
                </c:pt>
                <c:pt idx="340">
                  <c:v>0.16330307408060768</c:v>
                </c:pt>
                <c:pt idx="341">
                  <c:v>0.16376819919327779</c:v>
                </c:pt>
                <c:pt idx="342">
                  <c:v>0.16419888370143218</c:v>
                </c:pt>
                <c:pt idx="343">
                  <c:v>0.16464541793728357</c:v>
                </c:pt>
                <c:pt idx="344">
                  <c:v>0.16506931155977908</c:v>
                </c:pt>
                <c:pt idx="345">
                  <c:v>0.16550290274570853</c:v>
                </c:pt>
                <c:pt idx="346">
                  <c:v>0.16598493825367394</c:v>
                </c:pt>
                <c:pt idx="347">
                  <c:v>0.1664193821103673</c:v>
                </c:pt>
                <c:pt idx="348">
                  <c:v>0.16699561770734445</c:v>
                </c:pt>
                <c:pt idx="349">
                  <c:v>0.16731436634207433</c:v>
                </c:pt>
                <c:pt idx="350">
                  <c:v>0.16766728646503276</c:v>
                </c:pt>
                <c:pt idx="351">
                  <c:v>0.16816903099201452</c:v>
                </c:pt>
                <c:pt idx="352">
                  <c:v>0.16864824846186774</c:v>
                </c:pt>
                <c:pt idx="353">
                  <c:v>0.16891822565566073</c:v>
                </c:pt>
                <c:pt idx="354">
                  <c:v>0.1692970135088725</c:v>
                </c:pt>
                <c:pt idx="355">
                  <c:v>0.16973209036875994</c:v>
                </c:pt>
                <c:pt idx="356">
                  <c:v>0.17012731773453343</c:v>
                </c:pt>
                <c:pt idx="357">
                  <c:v>0.17054364601861124</c:v>
                </c:pt>
                <c:pt idx="358">
                  <c:v>0.1710033749386044</c:v>
                </c:pt>
                <c:pt idx="359">
                  <c:v>0.17141755325236335</c:v>
                </c:pt>
                <c:pt idx="360">
                  <c:v>0.17190837604369141</c:v>
                </c:pt>
                <c:pt idx="361">
                  <c:v>0.17229119884422053</c:v>
                </c:pt>
                <c:pt idx="362">
                  <c:v>0.17276687248205255</c:v>
                </c:pt>
                <c:pt idx="363">
                  <c:v>0.17317435613714116</c:v>
                </c:pt>
                <c:pt idx="364">
                  <c:v>0.17342556152220814</c:v>
                </c:pt>
                <c:pt idx="365">
                  <c:v>0.17382824701093699</c:v>
                </c:pt>
                <c:pt idx="366">
                  <c:v>0.17422287968274947</c:v>
                </c:pt>
                <c:pt idx="367">
                  <c:v>0.17452706255024777</c:v>
                </c:pt>
                <c:pt idx="368">
                  <c:v>0.17495014928635275</c:v>
                </c:pt>
                <c:pt idx="369">
                  <c:v>0.17525112174878141</c:v>
                </c:pt>
                <c:pt idx="370">
                  <c:v>0.17575197480136265</c:v>
                </c:pt>
                <c:pt idx="371">
                  <c:v>0.17622235503929037</c:v>
                </c:pt>
                <c:pt idx="372">
                  <c:v>0.17669976038139432</c:v>
                </c:pt>
                <c:pt idx="373">
                  <c:v>0.17719172624180229</c:v>
                </c:pt>
                <c:pt idx="374">
                  <c:v>0.17757487812751221</c:v>
                </c:pt>
                <c:pt idx="375">
                  <c:v>0.17797126386433723</c:v>
                </c:pt>
                <c:pt idx="376">
                  <c:v>0.17840858928722261</c:v>
                </c:pt>
                <c:pt idx="377">
                  <c:v>0.1788618745403216</c:v>
                </c:pt>
                <c:pt idx="378">
                  <c:v>0.1792794359852142</c:v>
                </c:pt>
                <c:pt idx="379">
                  <c:v>0.17972510239977868</c:v>
                </c:pt>
                <c:pt idx="380">
                  <c:v>0.18009881720297868</c:v>
                </c:pt>
                <c:pt idx="381">
                  <c:v>0.18050943683353718</c:v>
                </c:pt>
                <c:pt idx="382">
                  <c:v>0.1810874629704711</c:v>
                </c:pt>
                <c:pt idx="383">
                  <c:v>0.18140880327922623</c:v>
                </c:pt>
                <c:pt idx="384">
                  <c:v>0.18169363145295833</c:v>
                </c:pt>
                <c:pt idx="385">
                  <c:v>0.18208418609633134</c:v>
                </c:pt>
                <c:pt idx="386">
                  <c:v>0.18255951075873059</c:v>
                </c:pt>
                <c:pt idx="387">
                  <c:v>0.18295019867797607</c:v>
                </c:pt>
                <c:pt idx="388">
                  <c:v>0.18318772856795087</c:v>
                </c:pt>
                <c:pt idx="389">
                  <c:v>0.18357100066563858</c:v>
                </c:pt>
                <c:pt idx="390">
                  <c:v>0.18399827161843724</c:v>
                </c:pt>
                <c:pt idx="391">
                  <c:v>0.18445023238572866</c:v>
                </c:pt>
                <c:pt idx="392">
                  <c:v>0.18480543847936207</c:v>
                </c:pt>
                <c:pt idx="393">
                  <c:v>0.18507079718146305</c:v>
                </c:pt>
                <c:pt idx="394">
                  <c:v>0.18543935304037809</c:v>
                </c:pt>
                <c:pt idx="395">
                  <c:v>0.18568900822233333</c:v>
                </c:pt>
                <c:pt idx="396">
                  <c:v>0.1860065051348565</c:v>
                </c:pt>
                <c:pt idx="397">
                  <c:v>0.1864362448729536</c:v>
                </c:pt>
                <c:pt idx="398">
                  <c:v>0.18676719674101813</c:v>
                </c:pt>
                <c:pt idx="399">
                  <c:v>0.18718698317276095</c:v>
                </c:pt>
                <c:pt idx="400">
                  <c:v>0.18754141994366388</c:v>
                </c:pt>
                <c:pt idx="401">
                  <c:v>0.18796954135665173</c:v>
                </c:pt>
                <c:pt idx="402">
                  <c:v>0.1884540221368885</c:v>
                </c:pt>
                <c:pt idx="403">
                  <c:v>0.18884602183679244</c:v>
                </c:pt>
                <c:pt idx="404">
                  <c:v>0.1892798326291886</c:v>
                </c:pt>
                <c:pt idx="405">
                  <c:v>0.18962999038020609</c:v>
                </c:pt>
                <c:pt idx="406">
                  <c:v>0.19007281918712832</c:v>
                </c:pt>
                <c:pt idx="407">
                  <c:v>0.19041026795015328</c:v>
                </c:pt>
                <c:pt idx="408">
                  <c:v>0.19083549811156172</c:v>
                </c:pt>
                <c:pt idx="409">
                  <c:v>0.19120788119304866</c:v>
                </c:pt>
                <c:pt idx="410">
                  <c:v>0.19157014143211606</c:v>
                </c:pt>
                <c:pt idx="411">
                  <c:v>0.19189700143176114</c:v>
                </c:pt>
                <c:pt idx="412">
                  <c:v>0.19232654237770894</c:v>
                </c:pt>
                <c:pt idx="413">
                  <c:v>0.19260816339174885</c:v>
                </c:pt>
                <c:pt idx="414">
                  <c:v>0.19306490541991242</c:v>
                </c:pt>
                <c:pt idx="415">
                  <c:v>0.19343172570995537</c:v>
                </c:pt>
                <c:pt idx="416">
                  <c:v>0.19381090750034433</c:v>
                </c:pt>
                <c:pt idx="417">
                  <c:v>0.19397911691255701</c:v>
                </c:pt>
                <c:pt idx="418">
                  <c:v>0.19442777004509246</c:v>
                </c:pt>
                <c:pt idx="419">
                  <c:v>0.19475140451769068</c:v>
                </c:pt>
                <c:pt idx="420">
                  <c:v>0.19517069812563528</c:v>
                </c:pt>
                <c:pt idx="421">
                  <c:v>0.1955034150095937</c:v>
                </c:pt>
                <c:pt idx="422">
                  <c:v>0.19589238870574519</c:v>
                </c:pt>
                <c:pt idx="423">
                  <c:v>0.19628761612652385</c:v>
                </c:pt>
                <c:pt idx="424">
                  <c:v>0.1966214762622438</c:v>
                </c:pt>
                <c:pt idx="425">
                  <c:v>0.19700456369845473</c:v>
                </c:pt>
                <c:pt idx="426">
                  <c:v>0.19744156454930256</c:v>
                </c:pt>
                <c:pt idx="427">
                  <c:v>0.19781849711580252</c:v>
                </c:pt>
                <c:pt idx="428">
                  <c:v>0.19823851170732479</c:v>
                </c:pt>
                <c:pt idx="429">
                  <c:v>0.19862520766524214</c:v>
                </c:pt>
                <c:pt idx="430">
                  <c:v>0.19896575416128501</c:v>
                </c:pt>
                <c:pt idx="431">
                  <c:v>0.19926640861782038</c:v>
                </c:pt>
                <c:pt idx="432">
                  <c:v>0.19962452268432918</c:v>
                </c:pt>
                <c:pt idx="433">
                  <c:v>0.20006904589897487</c:v>
                </c:pt>
                <c:pt idx="434">
                  <c:v>0.20041953130033111</c:v>
                </c:pt>
                <c:pt idx="435">
                  <c:v>0.2007472967630114</c:v>
                </c:pt>
                <c:pt idx="436">
                  <c:v>0.20102782904759464</c:v>
                </c:pt>
                <c:pt idx="437">
                  <c:v>0.20132206005184086</c:v>
                </c:pt>
                <c:pt idx="438">
                  <c:v>0.20171880814222715</c:v>
                </c:pt>
                <c:pt idx="439">
                  <c:v>0.20213790928327363</c:v>
                </c:pt>
                <c:pt idx="440">
                  <c:v>0.20251347573897768</c:v>
                </c:pt>
                <c:pt idx="441">
                  <c:v>0.20289425847057033</c:v>
                </c:pt>
                <c:pt idx="442">
                  <c:v>0.2032619823069339</c:v>
                </c:pt>
                <c:pt idx="443">
                  <c:v>0.20362300466327546</c:v>
                </c:pt>
                <c:pt idx="444">
                  <c:v>0.20395717184522907</c:v>
                </c:pt>
                <c:pt idx="445">
                  <c:v>0.20435189912723861</c:v>
                </c:pt>
                <c:pt idx="446">
                  <c:v>0.20473268167965816</c:v>
                </c:pt>
                <c:pt idx="447">
                  <c:v>0.20504080402601763</c:v>
                </c:pt>
                <c:pt idx="448">
                  <c:v>0.205424017743774</c:v>
                </c:pt>
                <c:pt idx="449">
                  <c:v>0.20566300248838626</c:v>
                </c:pt>
                <c:pt idx="450">
                  <c:v>0.20598701250641921</c:v>
                </c:pt>
                <c:pt idx="451">
                  <c:v>0.2062185917821234</c:v>
                </c:pt>
                <c:pt idx="452">
                  <c:v>0.20652452610479771</c:v>
                </c:pt>
                <c:pt idx="453">
                  <c:v>0.20685103102533031</c:v>
                </c:pt>
                <c:pt idx="454">
                  <c:v>0.20726413609445946</c:v>
                </c:pt>
                <c:pt idx="455">
                  <c:v>0.20764580150289857</c:v>
                </c:pt>
                <c:pt idx="456">
                  <c:v>0.20808573661152205</c:v>
                </c:pt>
                <c:pt idx="457">
                  <c:v>0.20839861753357308</c:v>
                </c:pt>
                <c:pt idx="458">
                  <c:v>0.20874231841862584</c:v>
                </c:pt>
                <c:pt idx="459">
                  <c:v>0.20903494634724984</c:v>
                </c:pt>
                <c:pt idx="460">
                  <c:v>0.20930151005428593</c:v>
                </c:pt>
                <c:pt idx="461">
                  <c:v>0.20968738008622523</c:v>
                </c:pt>
                <c:pt idx="462">
                  <c:v>0.21014859188069512</c:v>
                </c:pt>
                <c:pt idx="463">
                  <c:v>0.2105568511419231</c:v>
                </c:pt>
                <c:pt idx="464">
                  <c:v>0.21097396847094091</c:v>
                </c:pt>
                <c:pt idx="465">
                  <c:v>0.21138064047883254</c:v>
                </c:pt>
                <c:pt idx="466">
                  <c:v>0.2118689937114219</c:v>
                </c:pt>
                <c:pt idx="467">
                  <c:v>0.21226191643595835</c:v>
                </c:pt>
                <c:pt idx="468">
                  <c:v>0.21266656141905932</c:v>
                </c:pt>
                <c:pt idx="469">
                  <c:v>0.21315363149236746</c:v>
                </c:pt>
                <c:pt idx="470">
                  <c:v>0.21349180212789851</c:v>
                </c:pt>
                <c:pt idx="471">
                  <c:v>0.21372591728315923</c:v>
                </c:pt>
                <c:pt idx="472">
                  <c:v>0.21414359739542993</c:v>
                </c:pt>
                <c:pt idx="473">
                  <c:v>0.21446244787005253</c:v>
                </c:pt>
                <c:pt idx="474">
                  <c:v>0.21481017626406551</c:v>
                </c:pt>
                <c:pt idx="475">
                  <c:v>0.21523318293831858</c:v>
                </c:pt>
                <c:pt idx="476">
                  <c:v>0.21554990920508244</c:v>
                </c:pt>
                <c:pt idx="477">
                  <c:v>0.21595622772283496</c:v>
                </c:pt>
                <c:pt idx="478">
                  <c:v>0.21643168428345302</c:v>
                </c:pt>
                <c:pt idx="479">
                  <c:v>0.21685988938870496</c:v>
                </c:pt>
                <c:pt idx="480">
                  <c:v>0.21732364030283893</c:v>
                </c:pt>
                <c:pt idx="481">
                  <c:v>0.21768566377208284</c:v>
                </c:pt>
                <c:pt idx="482">
                  <c:v>0.21806800235428722</c:v>
                </c:pt>
                <c:pt idx="483">
                  <c:v>0.21833981859990853</c:v>
                </c:pt>
                <c:pt idx="484">
                  <c:v>0.21857848017228826</c:v>
                </c:pt>
                <c:pt idx="485">
                  <c:v>0.21889059328615396</c:v>
                </c:pt>
                <c:pt idx="486">
                  <c:v>0.21918438820372804</c:v>
                </c:pt>
                <c:pt idx="487">
                  <c:v>0.21945485360980707</c:v>
                </c:pt>
                <c:pt idx="488">
                  <c:v>0.21990780380574865</c:v>
                </c:pt>
                <c:pt idx="489">
                  <c:v>0.22023124751215864</c:v>
                </c:pt>
                <c:pt idx="490">
                  <c:v>0.22064385220223504</c:v>
                </c:pt>
                <c:pt idx="491">
                  <c:v>0.22096309787567134</c:v>
                </c:pt>
                <c:pt idx="492">
                  <c:v>0.22133657033895771</c:v>
                </c:pt>
                <c:pt idx="493">
                  <c:v>0.2216818402714329</c:v>
                </c:pt>
                <c:pt idx="494">
                  <c:v>0.22201943710823066</c:v>
                </c:pt>
                <c:pt idx="495">
                  <c:v>0.22230039277936395</c:v>
                </c:pt>
                <c:pt idx="496">
                  <c:v>0.22268762799969105</c:v>
                </c:pt>
                <c:pt idx="497">
                  <c:v>0.22303929325783151</c:v>
                </c:pt>
                <c:pt idx="498">
                  <c:v>0.22338580494258381</c:v>
                </c:pt>
                <c:pt idx="499">
                  <c:v>0.22384389663598445</c:v>
                </c:pt>
                <c:pt idx="500">
                  <c:v>0.22429947956017071</c:v>
                </c:pt>
                <c:pt idx="501">
                  <c:v>0.22477734393726673</c:v>
                </c:pt>
                <c:pt idx="502">
                  <c:v>0.22496425405494533</c:v>
                </c:pt>
                <c:pt idx="503">
                  <c:v>0.22537895184863174</c:v>
                </c:pt>
                <c:pt idx="504">
                  <c:v>0.22566957494179216</c:v>
                </c:pt>
                <c:pt idx="505">
                  <c:v>0.22609489734689936</c:v>
                </c:pt>
                <c:pt idx="506">
                  <c:v>0.22642719697249664</c:v>
                </c:pt>
                <c:pt idx="507">
                  <c:v>0.22680126803703365</c:v>
                </c:pt>
                <c:pt idx="508">
                  <c:v>0.22724527313786416</c:v>
                </c:pt>
                <c:pt idx="509">
                  <c:v>0.22756722207150709</c:v>
                </c:pt>
                <c:pt idx="510">
                  <c:v>0.22789734694761163</c:v>
                </c:pt>
                <c:pt idx="511">
                  <c:v>0.22813444142497477</c:v>
                </c:pt>
                <c:pt idx="512">
                  <c:v>0.22852400763877098</c:v>
                </c:pt>
                <c:pt idx="513">
                  <c:v>0.22889265242305759</c:v>
                </c:pt>
                <c:pt idx="514">
                  <c:v>0.22931672922689431</c:v>
                </c:pt>
                <c:pt idx="515">
                  <c:v>0.22960378447578886</c:v>
                </c:pt>
                <c:pt idx="516">
                  <c:v>0.23004171543788093</c:v>
                </c:pt>
                <c:pt idx="517">
                  <c:v>0.23048367796284505</c:v>
                </c:pt>
                <c:pt idx="518">
                  <c:v>0.23078118952743926</c:v>
                </c:pt>
                <c:pt idx="519">
                  <c:v>0.23111664166806709</c:v>
                </c:pt>
                <c:pt idx="520">
                  <c:v>0.23150198327147517</c:v>
                </c:pt>
                <c:pt idx="521">
                  <c:v>0.23189625627752389</c:v>
                </c:pt>
                <c:pt idx="522">
                  <c:v>0.23223794325309483</c:v>
                </c:pt>
                <c:pt idx="523">
                  <c:v>0.23261636581141498</c:v>
                </c:pt>
                <c:pt idx="524">
                  <c:v>0.23303521472156943</c:v>
                </c:pt>
                <c:pt idx="525">
                  <c:v>0.23332083033610623</c:v>
                </c:pt>
                <c:pt idx="526">
                  <c:v>0.23363795277295782</c:v>
                </c:pt>
                <c:pt idx="527">
                  <c:v>0.23398607259771897</c:v>
                </c:pt>
                <c:pt idx="528">
                  <c:v>0.23433990119827536</c:v>
                </c:pt>
                <c:pt idx="529">
                  <c:v>0.23455226721580075</c:v>
                </c:pt>
                <c:pt idx="530">
                  <c:v>0.23482011044417059</c:v>
                </c:pt>
                <c:pt idx="531">
                  <c:v>0.23510793458579282</c:v>
                </c:pt>
                <c:pt idx="532">
                  <c:v>0.23545843624822341</c:v>
                </c:pt>
                <c:pt idx="533">
                  <c:v>0.23574382631879154</c:v>
                </c:pt>
                <c:pt idx="534">
                  <c:v>0.23593194208744467</c:v>
                </c:pt>
                <c:pt idx="535">
                  <c:v>0.23635945154190505</c:v>
                </c:pt>
                <c:pt idx="536">
                  <c:v>0.2366648425793669</c:v>
                </c:pt>
                <c:pt idx="537">
                  <c:v>0.23702314430676361</c:v>
                </c:pt>
                <c:pt idx="538">
                  <c:v>0.2373932323273385</c:v>
                </c:pt>
                <c:pt idx="539">
                  <c:v>0.23776598758973322</c:v>
                </c:pt>
                <c:pt idx="540">
                  <c:v>0.23812054379734413</c:v>
                </c:pt>
                <c:pt idx="541">
                  <c:v>0.23839675758068643</c:v>
                </c:pt>
                <c:pt idx="542">
                  <c:v>0.23871531884881325</c:v>
                </c:pt>
                <c:pt idx="543">
                  <c:v>0.23911631040962403</c:v>
                </c:pt>
                <c:pt idx="544">
                  <c:v>0.23936503272805504</c:v>
                </c:pt>
                <c:pt idx="545">
                  <c:v>0.23966409538230929</c:v>
                </c:pt>
                <c:pt idx="546">
                  <c:v>0.23999018783398032</c:v>
                </c:pt>
                <c:pt idx="547">
                  <c:v>0.24035445563865077</c:v>
                </c:pt>
                <c:pt idx="548">
                  <c:v>0.24066704538983191</c:v>
                </c:pt>
                <c:pt idx="549">
                  <c:v>0.24105705734063185</c:v>
                </c:pt>
                <c:pt idx="550">
                  <c:v>0.24138614655791935</c:v>
                </c:pt>
                <c:pt idx="551">
                  <c:v>0.24169686636011392</c:v>
                </c:pt>
                <c:pt idx="552">
                  <c:v>0.24204606456221453</c:v>
                </c:pt>
                <c:pt idx="553">
                  <c:v>0.24230369805503615</c:v>
                </c:pt>
                <c:pt idx="554">
                  <c:v>0.2426041116969388</c:v>
                </c:pt>
                <c:pt idx="555">
                  <c:v>0.24300895137960357</c:v>
                </c:pt>
                <c:pt idx="556">
                  <c:v>0.24334554997862914</c:v>
                </c:pt>
                <c:pt idx="557">
                  <c:v>0.24366594181826567</c:v>
                </c:pt>
                <c:pt idx="558">
                  <c:v>0.24407520630423479</c:v>
                </c:pt>
                <c:pt idx="559">
                  <c:v>0.24437485018601365</c:v>
                </c:pt>
                <c:pt idx="560">
                  <c:v>0.24466114060581812</c:v>
                </c:pt>
                <c:pt idx="561">
                  <c:v>0.24493929122898794</c:v>
                </c:pt>
                <c:pt idx="562">
                  <c:v>0.24518487527476582</c:v>
                </c:pt>
                <c:pt idx="563">
                  <c:v>0.24544010238358191</c:v>
                </c:pt>
                <c:pt idx="564">
                  <c:v>0.24566554019177753</c:v>
                </c:pt>
                <c:pt idx="565">
                  <c:v>0.24583109257226887</c:v>
                </c:pt>
                <c:pt idx="566">
                  <c:v>0.24612824127381949</c:v>
                </c:pt>
                <c:pt idx="567">
                  <c:v>0.24640067647516281</c:v>
                </c:pt>
                <c:pt idx="568">
                  <c:v>0.24658887189180451</c:v>
                </c:pt>
                <c:pt idx="569">
                  <c:v>0.24685848075422528</c:v>
                </c:pt>
                <c:pt idx="570">
                  <c:v>0.24714538688499857</c:v>
                </c:pt>
                <c:pt idx="571">
                  <c:v>0.24744373757894259</c:v>
                </c:pt>
                <c:pt idx="572">
                  <c:v>0.24768657199438177</c:v>
                </c:pt>
                <c:pt idx="573">
                  <c:v>0.24803207579314007</c:v>
                </c:pt>
                <c:pt idx="574">
                  <c:v>0.24835735182952048</c:v>
                </c:pt>
                <c:pt idx="575">
                  <c:v>0.2485812628287597</c:v>
                </c:pt>
                <c:pt idx="576">
                  <c:v>0.24888026244516931</c:v>
                </c:pt>
                <c:pt idx="577">
                  <c:v>0.24914867165373225</c:v>
                </c:pt>
                <c:pt idx="578">
                  <c:v>0.24936415390857927</c:v>
                </c:pt>
                <c:pt idx="579">
                  <c:v>0.24961125275429777</c:v>
                </c:pt>
                <c:pt idx="580">
                  <c:v>0.24985015627125631</c:v>
                </c:pt>
                <c:pt idx="581">
                  <c:v>0.25001266182317672</c:v>
                </c:pt>
                <c:pt idx="582">
                  <c:v>0.25029582612421758</c:v>
                </c:pt>
                <c:pt idx="583">
                  <c:v>0.25057739604605422</c:v>
                </c:pt>
                <c:pt idx="584">
                  <c:v>0.25078905161212389</c:v>
                </c:pt>
                <c:pt idx="585">
                  <c:v>0.2509695594096058</c:v>
                </c:pt>
                <c:pt idx="586">
                  <c:v>0.25118595658533294</c:v>
                </c:pt>
                <c:pt idx="587">
                  <c:v>0.25133573216302374</c:v>
                </c:pt>
                <c:pt idx="588">
                  <c:v>0.25140225521813964</c:v>
                </c:pt>
                <c:pt idx="589">
                  <c:v>0.25156085131065897</c:v>
                </c:pt>
                <c:pt idx="590">
                  <c:v>0.25181744600366712</c:v>
                </c:pt>
                <c:pt idx="591">
                  <c:v>0.2519498551677134</c:v>
                </c:pt>
                <c:pt idx="592">
                  <c:v>0.2521322201705587</c:v>
                </c:pt>
                <c:pt idx="593">
                  <c:v>0.2523062007834514</c:v>
                </c:pt>
                <c:pt idx="594">
                  <c:v>0.25253942366513948</c:v>
                </c:pt>
                <c:pt idx="595">
                  <c:v>0.25276259690557079</c:v>
                </c:pt>
                <c:pt idx="596">
                  <c:v>0.25298867867468083</c:v>
                </c:pt>
                <c:pt idx="597">
                  <c:v>0.2532100350346545</c:v>
                </c:pt>
                <c:pt idx="598">
                  <c:v>0.25334403423641949</c:v>
                </c:pt>
                <c:pt idx="599">
                  <c:v>0.25349389350475704</c:v>
                </c:pt>
                <c:pt idx="600">
                  <c:v>0.25365877666274322</c:v>
                </c:pt>
                <c:pt idx="601">
                  <c:v>0.25387317180093039</c:v>
                </c:pt>
                <c:pt idx="602">
                  <c:v>0.25408683152597844</c:v>
                </c:pt>
                <c:pt idx="603">
                  <c:v>0.25434309510567288</c:v>
                </c:pt>
                <c:pt idx="604">
                  <c:v>0.2545264997711581</c:v>
                </c:pt>
                <c:pt idx="605">
                  <c:v>0.25467417681606247</c:v>
                </c:pt>
                <c:pt idx="606">
                  <c:v>0.25491590943396047</c:v>
                </c:pt>
                <c:pt idx="607">
                  <c:v>0.25496942995143118</c:v>
                </c:pt>
                <c:pt idx="608">
                  <c:v>0.25522771850619363</c:v>
                </c:pt>
                <c:pt idx="609">
                  <c:v>0.25539994384359449</c:v>
                </c:pt>
                <c:pt idx="610">
                  <c:v>0.25555920082207584</c:v>
                </c:pt>
                <c:pt idx="611">
                  <c:v>0.25584244761166181</c:v>
                </c:pt>
                <c:pt idx="612">
                  <c:v>0.25613220848946078</c:v>
                </c:pt>
                <c:pt idx="613">
                  <c:v>0.25629983588502375</c:v>
                </c:pt>
                <c:pt idx="614">
                  <c:v>0.25658862145171729</c:v>
                </c:pt>
                <c:pt idx="615">
                  <c:v>0.25676052821068918</c:v>
                </c:pt>
                <c:pt idx="616">
                  <c:v>0.25691984727244688</c:v>
                </c:pt>
                <c:pt idx="617">
                  <c:v>0.25708732937472412</c:v>
                </c:pt>
                <c:pt idx="618">
                  <c:v>0.25725094469285592</c:v>
                </c:pt>
                <c:pt idx="619">
                  <c:v>0.25748681691897496</c:v>
                </c:pt>
                <c:pt idx="620">
                  <c:v>0.25759026116896805</c:v>
                </c:pt>
                <c:pt idx="621">
                  <c:v>0.25769879731883</c:v>
                </c:pt>
                <c:pt idx="622">
                  <c:v>0.25787640043782434</c:v>
                </c:pt>
                <c:pt idx="623">
                  <c:v>0.25806643050497635</c:v>
                </c:pt>
                <c:pt idx="624">
                  <c:v>0.25825458315416666</c:v>
                </c:pt>
                <c:pt idx="625">
                  <c:v>0.25842979141554745</c:v>
                </c:pt>
                <c:pt idx="626">
                  <c:v>0.25852685516391216</c:v>
                </c:pt>
                <c:pt idx="627">
                  <c:v>0.25863814971713711</c:v>
                </c:pt>
                <c:pt idx="628">
                  <c:v>0.25880370424111293</c:v>
                </c:pt>
                <c:pt idx="629">
                  <c:v>0.25895572548738249</c:v>
                </c:pt>
                <c:pt idx="630">
                  <c:v>0.25907623837804911</c:v>
                </c:pt>
                <c:pt idx="631">
                  <c:v>0.25926394470283337</c:v>
                </c:pt>
                <c:pt idx="632">
                  <c:v>0.25942744093701081</c:v>
                </c:pt>
                <c:pt idx="633">
                  <c:v>0.259720931366272</c:v>
                </c:pt>
                <c:pt idx="634">
                  <c:v>0.25986630635128088</c:v>
                </c:pt>
                <c:pt idx="635">
                  <c:v>0.25995364947251576</c:v>
                </c:pt>
                <c:pt idx="636">
                  <c:v>0.2601157776823711</c:v>
                </c:pt>
                <c:pt idx="637">
                  <c:v>0.26035295679798404</c:v>
                </c:pt>
                <c:pt idx="638">
                  <c:v>0.26044993435973218</c:v>
                </c:pt>
                <c:pt idx="639">
                  <c:v>0.26064532617222896</c:v>
                </c:pt>
                <c:pt idx="640">
                  <c:v>0.26070776042448035</c:v>
                </c:pt>
                <c:pt idx="641">
                  <c:v>0.26088607673953718</c:v>
                </c:pt>
                <c:pt idx="642">
                  <c:v>0.26104113986841471</c:v>
                </c:pt>
                <c:pt idx="643">
                  <c:v>0.26115654993456272</c:v>
                </c:pt>
                <c:pt idx="644">
                  <c:v>0.26127420193614181</c:v>
                </c:pt>
                <c:pt idx="645">
                  <c:v>0.26135808336995875</c:v>
                </c:pt>
                <c:pt idx="646">
                  <c:v>0.26144700418581085</c:v>
                </c:pt>
                <c:pt idx="647">
                  <c:v>0.26167616953067929</c:v>
                </c:pt>
                <c:pt idx="648">
                  <c:v>0.26176220717174642</c:v>
                </c:pt>
                <c:pt idx="649">
                  <c:v>0.26189124082045651</c:v>
                </c:pt>
                <c:pt idx="650">
                  <c:v>0.26201375928200771</c:v>
                </c:pt>
                <c:pt idx="651">
                  <c:v>0.26212691319466458</c:v>
                </c:pt>
                <c:pt idx="652">
                  <c:v>0.26227772019374873</c:v>
                </c:pt>
                <c:pt idx="653">
                  <c:v>0.26237506552230883</c:v>
                </c:pt>
                <c:pt idx="654">
                  <c:v>0.2624906751707084</c:v>
                </c:pt>
                <c:pt idx="655">
                  <c:v>0.26264071719161769</c:v>
                </c:pt>
                <c:pt idx="656">
                  <c:v>0.26279891054411342</c:v>
                </c:pt>
                <c:pt idx="657">
                  <c:v>0.26296865532206121</c:v>
                </c:pt>
                <c:pt idx="658">
                  <c:v>0.26314649850404143</c:v>
                </c:pt>
                <c:pt idx="659">
                  <c:v>0.26332752875360838</c:v>
                </c:pt>
                <c:pt idx="660">
                  <c:v>0.26347210349408062</c:v>
                </c:pt>
                <c:pt idx="661">
                  <c:v>0.2636701277353416</c:v>
                </c:pt>
                <c:pt idx="662">
                  <c:v>0.2638902163520675</c:v>
                </c:pt>
                <c:pt idx="663">
                  <c:v>0.26407021598289859</c:v>
                </c:pt>
                <c:pt idx="664">
                  <c:v>0.26413249674489292</c:v>
                </c:pt>
                <c:pt idx="665">
                  <c:v>0.26425177550241236</c:v>
                </c:pt>
                <c:pt idx="666">
                  <c:v>0.26442550121887609</c:v>
                </c:pt>
                <c:pt idx="667">
                  <c:v>0.2644991604937223</c:v>
                </c:pt>
                <c:pt idx="668">
                  <c:v>0.26461436762412616</c:v>
                </c:pt>
                <c:pt idx="669">
                  <c:v>0.26475515212012335</c:v>
                </c:pt>
                <c:pt idx="670">
                  <c:v>0.26483811334162366</c:v>
                </c:pt>
                <c:pt idx="671">
                  <c:v>0.26499957154444903</c:v>
                </c:pt>
                <c:pt idx="672">
                  <c:v>0.26517826775078945</c:v>
                </c:pt>
                <c:pt idx="673">
                  <c:v>0.26532223325680254</c:v>
                </c:pt>
                <c:pt idx="674">
                  <c:v>0.26552073099922374</c:v>
                </c:pt>
                <c:pt idx="675">
                  <c:v>0.2656123852645777</c:v>
                </c:pt>
                <c:pt idx="676">
                  <c:v>0.26566146114485917</c:v>
                </c:pt>
                <c:pt idx="677">
                  <c:v>0.26580833714733376</c:v>
                </c:pt>
                <c:pt idx="678">
                  <c:v>0.26583266990512999</c:v>
                </c:pt>
                <c:pt idx="679">
                  <c:v>0.26599991151041408</c:v>
                </c:pt>
                <c:pt idx="680">
                  <c:v>0.26612378404077863</c:v>
                </c:pt>
                <c:pt idx="681">
                  <c:v>0.26634937945305137</c:v>
                </c:pt>
                <c:pt idx="682">
                  <c:v>0.2664327766257874</c:v>
                </c:pt>
                <c:pt idx="683">
                  <c:v>0.26655822276829294</c:v>
                </c:pt>
                <c:pt idx="684">
                  <c:v>0.26669574184037959</c:v>
                </c:pt>
                <c:pt idx="685">
                  <c:v>0.26667790432280991</c:v>
                </c:pt>
                <c:pt idx="686">
                  <c:v>0.26674509004422237</c:v>
                </c:pt>
                <c:pt idx="687">
                  <c:v>0.26680056095566651</c:v>
                </c:pt>
                <c:pt idx="688">
                  <c:v>0.26678800692307653</c:v>
                </c:pt>
                <c:pt idx="689">
                  <c:v>0.2669476818558793</c:v>
                </c:pt>
                <c:pt idx="690">
                  <c:v>0.26696112253851861</c:v>
                </c:pt>
                <c:pt idx="691">
                  <c:v>0.26710736712179683</c:v>
                </c:pt>
                <c:pt idx="692">
                  <c:v>0.26725191172953056</c:v>
                </c:pt>
                <c:pt idx="693">
                  <c:v>0.26740444950784997</c:v>
                </c:pt>
                <c:pt idx="694">
                  <c:v>0.26755503204721115</c:v>
                </c:pt>
                <c:pt idx="695">
                  <c:v>0.26763576702042291</c:v>
                </c:pt>
                <c:pt idx="696">
                  <c:v>0.26760910560636297</c:v>
                </c:pt>
                <c:pt idx="697">
                  <c:v>0.26756406148660461</c:v>
                </c:pt>
                <c:pt idx="698">
                  <c:v>0.26761430091315291</c:v>
                </c:pt>
                <c:pt idx="699">
                  <c:v>0.26773369661754098</c:v>
                </c:pt>
                <c:pt idx="700">
                  <c:v>0.26790138461762369</c:v>
                </c:pt>
                <c:pt idx="701">
                  <c:v>0.26801123524386522</c:v>
                </c:pt>
                <c:pt idx="702">
                  <c:v>0.26810767458446111</c:v>
                </c:pt>
                <c:pt idx="703">
                  <c:v>0.26820277545328364</c:v>
                </c:pt>
                <c:pt idx="704">
                  <c:v>0.26822659757756778</c:v>
                </c:pt>
                <c:pt idx="705">
                  <c:v>0.26834347347994186</c:v>
                </c:pt>
                <c:pt idx="706">
                  <c:v>0.26842048718589245</c:v>
                </c:pt>
                <c:pt idx="707">
                  <c:v>0.26844452277518444</c:v>
                </c:pt>
                <c:pt idx="708">
                  <c:v>0.26852479937738472</c:v>
                </c:pt>
                <c:pt idx="709">
                  <c:v>0.26870978113228006</c:v>
                </c:pt>
                <c:pt idx="710">
                  <c:v>0.26874118681391845</c:v>
                </c:pt>
                <c:pt idx="711">
                  <c:v>0.26888026754988514</c:v>
                </c:pt>
                <c:pt idx="712">
                  <c:v>0.26892112399656182</c:v>
                </c:pt>
                <c:pt idx="713">
                  <c:v>0.26897082263905653</c:v>
                </c:pt>
                <c:pt idx="714">
                  <c:v>0.26906023371530852</c:v>
                </c:pt>
                <c:pt idx="715">
                  <c:v>0.2691145183532932</c:v>
                </c:pt>
                <c:pt idx="716">
                  <c:v>0.26921588676504421</c:v>
                </c:pt>
                <c:pt idx="717">
                  <c:v>0.26923458058049698</c:v>
                </c:pt>
                <c:pt idx="718">
                  <c:v>0.26934355717850178</c:v>
                </c:pt>
                <c:pt idx="719">
                  <c:v>0.26950744001011967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45376"/>
        <c:axId val="75446912"/>
      </c:lineChart>
      <c:catAx>
        <c:axId val="7544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75446912"/>
        <c:crosses val="autoZero"/>
        <c:auto val="1"/>
        <c:lblAlgn val="ctr"/>
        <c:lblOffset val="100"/>
        <c:noMultiLvlLbl val="0"/>
      </c:catAx>
      <c:valAx>
        <c:axId val="7544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5445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Feuil2!$Y$12:$Y$731</c:f>
              <c:numCache>
                <c:formatCode>0.0%</c:formatCode>
                <c:ptCount val="720"/>
                <c:pt idx="0">
                  <c:v>-1.4819611369649599E-2</c:v>
                </c:pt>
                <c:pt idx="1">
                  <c:v>-1.0160485077777115E-2</c:v>
                </c:pt>
                <c:pt idx="2">
                  <c:v>-3.9835465630525535E-3</c:v>
                </c:pt>
                <c:pt idx="3">
                  <c:v>4.1265295726695683E-3</c:v>
                </c:pt>
                <c:pt idx="4">
                  <c:v>1.9548566946112622E-3</c:v>
                </c:pt>
                <c:pt idx="5">
                  <c:v>1.8904945540749951E-2</c:v>
                </c:pt>
                <c:pt idx="6">
                  <c:v>1.524764651555266E-2</c:v>
                </c:pt>
                <c:pt idx="7">
                  <c:v>2.2540930683883742E-2</c:v>
                </c:pt>
                <c:pt idx="8">
                  <c:v>2.7317645531876877E-2</c:v>
                </c:pt>
                <c:pt idx="9">
                  <c:v>2.2337690693758683E-2</c:v>
                </c:pt>
                <c:pt idx="10">
                  <c:v>2.9790382561273754E-2</c:v>
                </c:pt>
                <c:pt idx="11">
                  <c:v>2.9720218765232342E-2</c:v>
                </c:pt>
                <c:pt idx="12">
                  <c:v>2.586612858954962E-2</c:v>
                </c:pt>
                <c:pt idx="13">
                  <c:v>2.1535925984117021E-2</c:v>
                </c:pt>
                <c:pt idx="14">
                  <c:v>1.2266006423299114E-2</c:v>
                </c:pt>
                <c:pt idx="15">
                  <c:v>1.1730261660412244E-2</c:v>
                </c:pt>
                <c:pt idx="16">
                  <c:v>1.4739879768240538E-2</c:v>
                </c:pt>
                <c:pt idx="17">
                  <c:v>1.2785518723720024E-2</c:v>
                </c:pt>
                <c:pt idx="18">
                  <c:v>1.2518340493770541E-2</c:v>
                </c:pt>
                <c:pt idx="19">
                  <c:v>1.3254434028614703E-2</c:v>
                </c:pt>
                <c:pt idx="20">
                  <c:v>9.5680187484650236E-3</c:v>
                </c:pt>
                <c:pt idx="21">
                  <c:v>1.1208666695950331E-2</c:v>
                </c:pt>
                <c:pt idx="22">
                  <c:v>1.8786757176827873E-2</c:v>
                </c:pt>
                <c:pt idx="23">
                  <c:v>1.8544112411704061E-2</c:v>
                </c:pt>
                <c:pt idx="24">
                  <c:v>1.97186407053076E-2</c:v>
                </c:pt>
                <c:pt idx="25">
                  <c:v>2.5765873473113432E-2</c:v>
                </c:pt>
                <c:pt idx="26">
                  <c:v>2.7222925346827687E-2</c:v>
                </c:pt>
                <c:pt idx="27">
                  <c:v>2.7975465789056964E-2</c:v>
                </c:pt>
                <c:pt idx="28">
                  <c:v>2.7141580356336847E-2</c:v>
                </c:pt>
                <c:pt idx="29">
                  <c:v>2.3649673162453144E-2</c:v>
                </c:pt>
                <c:pt idx="30">
                  <c:v>2.7368815073175012E-2</c:v>
                </c:pt>
                <c:pt idx="31">
                  <c:v>3.0160408938963101E-2</c:v>
                </c:pt>
                <c:pt idx="32">
                  <c:v>2.8193201393030387E-2</c:v>
                </c:pt>
                <c:pt idx="33">
                  <c:v>2.985822280125805E-2</c:v>
                </c:pt>
                <c:pt idx="34">
                  <c:v>3.1569075898217891E-2</c:v>
                </c:pt>
                <c:pt idx="35">
                  <c:v>2.549497465846251E-2</c:v>
                </c:pt>
                <c:pt idx="36">
                  <c:v>2.6096481486994394E-2</c:v>
                </c:pt>
                <c:pt idx="37">
                  <c:v>2.552885964171403E-2</c:v>
                </c:pt>
                <c:pt idx="38">
                  <c:v>2.4147960749469899E-2</c:v>
                </c:pt>
                <c:pt idx="39">
                  <c:v>1.9115784222402787E-2</c:v>
                </c:pt>
                <c:pt idx="40">
                  <c:v>1.5959280308935897E-2</c:v>
                </c:pt>
                <c:pt idx="41">
                  <c:v>1.3586921120727347E-2</c:v>
                </c:pt>
                <c:pt idx="42">
                  <c:v>6.3721902797377883E-3</c:v>
                </c:pt>
                <c:pt idx="43">
                  <c:v>1.1867070032161697E-2</c:v>
                </c:pt>
                <c:pt idx="44">
                  <c:v>9.5603158089048179E-3</c:v>
                </c:pt>
                <c:pt idx="45">
                  <c:v>9.7430891730496683E-3</c:v>
                </c:pt>
                <c:pt idx="46">
                  <c:v>1.0003427837618428E-2</c:v>
                </c:pt>
                <c:pt idx="47">
                  <c:v>5.8885112099380521E-3</c:v>
                </c:pt>
                <c:pt idx="48">
                  <c:v>7.5306035786670833E-3</c:v>
                </c:pt>
                <c:pt idx="49">
                  <c:v>1.0146953301262807E-2</c:v>
                </c:pt>
                <c:pt idx="50">
                  <c:v>7.1341641639974807E-3</c:v>
                </c:pt>
                <c:pt idx="51">
                  <c:v>8.1845962794342419E-3</c:v>
                </c:pt>
                <c:pt idx="52">
                  <c:v>9.6514118659538628E-3</c:v>
                </c:pt>
                <c:pt idx="53">
                  <c:v>1.3072785542141974E-2</c:v>
                </c:pt>
                <c:pt idx="54">
                  <c:v>1.0144269578991283E-2</c:v>
                </c:pt>
                <c:pt idx="55">
                  <c:v>8.0672154400607266E-3</c:v>
                </c:pt>
                <c:pt idx="56">
                  <c:v>8.3013266365055127E-3</c:v>
                </c:pt>
                <c:pt idx="57">
                  <c:v>7.6553664418492762E-3</c:v>
                </c:pt>
                <c:pt idx="58">
                  <c:v>3.2179927066477987E-3</c:v>
                </c:pt>
                <c:pt idx="59">
                  <c:v>4.5196447937219109E-3</c:v>
                </c:pt>
                <c:pt idx="60">
                  <c:v>4.3061173052578727E-3</c:v>
                </c:pt>
                <c:pt idx="61">
                  <c:v>-4.1826101391917447E-5</c:v>
                </c:pt>
                <c:pt idx="62">
                  <c:v>-6.8007637537914611E-4</c:v>
                </c:pt>
                <c:pt idx="63">
                  <c:v>1.1105296529694275E-3</c:v>
                </c:pt>
                <c:pt idx="64">
                  <c:v>7.7829263199569176E-4</c:v>
                </c:pt>
                <c:pt idx="65">
                  <c:v>4.7306685768859769E-3</c:v>
                </c:pt>
                <c:pt idx="66">
                  <c:v>6.6633902376327381E-3</c:v>
                </c:pt>
                <c:pt idx="67">
                  <c:v>4.9121909533966779E-3</c:v>
                </c:pt>
                <c:pt idx="68">
                  <c:v>-3.2089123417344823E-6</c:v>
                </c:pt>
                <c:pt idx="69">
                  <c:v>-2.4932325515066855E-3</c:v>
                </c:pt>
                <c:pt idx="70">
                  <c:v>-1.6122971938808961E-3</c:v>
                </c:pt>
                <c:pt idx="71">
                  <c:v>-6.3933463741536745E-3</c:v>
                </c:pt>
                <c:pt idx="72">
                  <c:v>-1.047563146614372E-2</c:v>
                </c:pt>
                <c:pt idx="73">
                  <c:v>-1.3815173396085956E-2</c:v>
                </c:pt>
                <c:pt idx="74">
                  <c:v>-1.1298142193719385E-2</c:v>
                </c:pt>
                <c:pt idx="75">
                  <c:v>-9.0545322674115969E-3</c:v>
                </c:pt>
                <c:pt idx="76">
                  <c:v>-8.7929885535052987E-3</c:v>
                </c:pt>
                <c:pt idx="77">
                  <c:v>-6.4949478701797903E-3</c:v>
                </c:pt>
                <c:pt idx="78">
                  <c:v>-7.6169765661849853E-3</c:v>
                </c:pt>
                <c:pt idx="79">
                  <c:v>-5.8978719586569861E-3</c:v>
                </c:pt>
                <c:pt idx="80">
                  <c:v>-2.6132738367430353E-3</c:v>
                </c:pt>
                <c:pt idx="81">
                  <c:v>-3.5861052286150219E-3</c:v>
                </c:pt>
                <c:pt idx="82">
                  <c:v>-3.0939574725420416E-3</c:v>
                </c:pt>
                <c:pt idx="83">
                  <c:v>-4.4685123959947726E-3</c:v>
                </c:pt>
                <c:pt idx="84">
                  <c:v>-4.8508123733557174E-3</c:v>
                </c:pt>
                <c:pt idx="85">
                  <c:v>-4.2352640090890237E-3</c:v>
                </c:pt>
                <c:pt idx="86">
                  <c:v>-5.7225153226154735E-3</c:v>
                </c:pt>
                <c:pt idx="87">
                  <c:v>-3.8065219253762272E-3</c:v>
                </c:pt>
                <c:pt idx="88">
                  <c:v>-5.5273270360461924E-3</c:v>
                </c:pt>
                <c:pt idx="89">
                  <c:v>-3.185949080692918E-4</c:v>
                </c:pt>
                <c:pt idx="90">
                  <c:v>-5.4049976353176543E-4</c:v>
                </c:pt>
                <c:pt idx="91">
                  <c:v>-7.0897969492211832E-4</c:v>
                </c:pt>
                <c:pt idx="92">
                  <c:v>2.0112543217543077E-6</c:v>
                </c:pt>
                <c:pt idx="93">
                  <c:v>-2.174940941904846E-3</c:v>
                </c:pt>
                <c:pt idx="94">
                  <c:v>-4.1104780002354513E-3</c:v>
                </c:pt>
                <c:pt idx="95">
                  <c:v>-2.5565499622879351E-3</c:v>
                </c:pt>
                <c:pt idx="96">
                  <c:v>-2.4911376735937685E-3</c:v>
                </c:pt>
                <c:pt idx="97">
                  <c:v>-1.9683990050444189E-3</c:v>
                </c:pt>
                <c:pt idx="98">
                  <c:v>-1.7240765686580284E-3</c:v>
                </c:pt>
                <c:pt idx="99">
                  <c:v>-2.7914436216638361E-3</c:v>
                </c:pt>
                <c:pt idx="100">
                  <c:v>-3.6293968479099714E-3</c:v>
                </c:pt>
                <c:pt idx="101">
                  <c:v>-1.5898502278567372E-3</c:v>
                </c:pt>
                <c:pt idx="102">
                  <c:v>-3.3037209586671556E-3</c:v>
                </c:pt>
                <c:pt idx="103">
                  <c:v>-1.6285222205720817E-3</c:v>
                </c:pt>
                <c:pt idx="104">
                  <c:v>-2.1376616408983473E-3</c:v>
                </c:pt>
                <c:pt idx="105">
                  <c:v>-1.619616491073228E-3</c:v>
                </c:pt>
                <c:pt idx="106">
                  <c:v>2.0291211242207119E-3</c:v>
                </c:pt>
                <c:pt idx="107">
                  <c:v>6.3590484388909019E-4</c:v>
                </c:pt>
                <c:pt idx="108">
                  <c:v>-1.7420127219602843E-4</c:v>
                </c:pt>
                <c:pt idx="109">
                  <c:v>2.0494176456760105E-3</c:v>
                </c:pt>
                <c:pt idx="110">
                  <c:v>1.7423482674672197E-3</c:v>
                </c:pt>
                <c:pt idx="111">
                  <c:v>1.8367067118505442E-3</c:v>
                </c:pt>
                <c:pt idx="112">
                  <c:v>3.6741664085353509E-3</c:v>
                </c:pt>
                <c:pt idx="113">
                  <c:v>5.2059700470623582E-3</c:v>
                </c:pt>
                <c:pt idx="114">
                  <c:v>3.9279052707057449E-3</c:v>
                </c:pt>
                <c:pt idx="115">
                  <c:v>4.1627934326631255E-3</c:v>
                </c:pt>
                <c:pt idx="116">
                  <c:v>3.7010676896609418E-3</c:v>
                </c:pt>
                <c:pt idx="117">
                  <c:v>3.180219113393834E-3</c:v>
                </c:pt>
                <c:pt idx="118">
                  <c:v>2.2013983032129758E-3</c:v>
                </c:pt>
                <c:pt idx="119">
                  <c:v>1.4993935441776074E-3</c:v>
                </c:pt>
                <c:pt idx="120">
                  <c:v>7.4612293880127467E-4</c:v>
                </c:pt>
                <c:pt idx="121">
                  <c:v>-2.4303396951308454E-3</c:v>
                </c:pt>
                <c:pt idx="122">
                  <c:v>-1.1078327729849846E-3</c:v>
                </c:pt>
                <c:pt idx="123">
                  <c:v>-1.5608309606717219E-3</c:v>
                </c:pt>
                <c:pt idx="124">
                  <c:v>7.382032679850159E-4</c:v>
                </c:pt>
                <c:pt idx="125">
                  <c:v>-9.9304845845971101E-4</c:v>
                </c:pt>
                <c:pt idx="126">
                  <c:v>-3.1707871486956751E-3</c:v>
                </c:pt>
                <c:pt idx="127">
                  <c:v>-3.543132897700807E-3</c:v>
                </c:pt>
                <c:pt idx="128">
                  <c:v>-2.4179944054326663E-3</c:v>
                </c:pt>
                <c:pt idx="129">
                  <c:v>-3.314381284171386E-3</c:v>
                </c:pt>
                <c:pt idx="130">
                  <c:v>-3.1126925338036404E-3</c:v>
                </c:pt>
                <c:pt idx="131">
                  <c:v>-3.1206067121816172E-3</c:v>
                </c:pt>
                <c:pt idx="132">
                  <c:v>-1.6565908488674896E-3</c:v>
                </c:pt>
                <c:pt idx="133">
                  <c:v>-2.9476654584765782E-3</c:v>
                </c:pt>
                <c:pt idx="134">
                  <c:v>-4.3684468489331163E-3</c:v>
                </c:pt>
                <c:pt idx="135">
                  <c:v>-4.1183192097226096E-3</c:v>
                </c:pt>
                <c:pt idx="136">
                  <c:v>-5.8196626675488528E-3</c:v>
                </c:pt>
                <c:pt idx="137">
                  <c:v>-5.4135540038190433E-3</c:v>
                </c:pt>
                <c:pt idx="138">
                  <c:v>-4.0334629014753265E-3</c:v>
                </c:pt>
                <c:pt idx="139">
                  <c:v>-4.0435726511636183E-3</c:v>
                </c:pt>
                <c:pt idx="140">
                  <c:v>-5.0172837858517561E-3</c:v>
                </c:pt>
                <c:pt idx="141">
                  <c:v>-3.5680652734768614E-3</c:v>
                </c:pt>
                <c:pt idx="142">
                  <c:v>-3.8376524760912467E-3</c:v>
                </c:pt>
                <c:pt idx="143">
                  <c:v>-5.5778953543144105E-3</c:v>
                </c:pt>
                <c:pt idx="144">
                  <c:v>-5.8285648362579323E-3</c:v>
                </c:pt>
                <c:pt idx="145">
                  <c:v>-6.0291465322753757E-3</c:v>
                </c:pt>
                <c:pt idx="146">
                  <c:v>-4.3322084228299973E-3</c:v>
                </c:pt>
                <c:pt idx="147">
                  <c:v>-5.8182114699698584E-3</c:v>
                </c:pt>
                <c:pt idx="148">
                  <c:v>-2.4774446536115491E-3</c:v>
                </c:pt>
                <c:pt idx="149">
                  <c:v>-5.4377847044156935E-3</c:v>
                </c:pt>
                <c:pt idx="150">
                  <c:v>-7.3656305286582402E-3</c:v>
                </c:pt>
                <c:pt idx="151">
                  <c:v>-5.7547625809423186E-3</c:v>
                </c:pt>
                <c:pt idx="152">
                  <c:v>-5.9880236515538199E-3</c:v>
                </c:pt>
                <c:pt idx="153">
                  <c:v>-5.8801848059120143E-3</c:v>
                </c:pt>
                <c:pt idx="154">
                  <c:v>-4.4768943629611702E-3</c:v>
                </c:pt>
                <c:pt idx="155">
                  <c:v>-3.0295383529141962E-3</c:v>
                </c:pt>
                <c:pt idx="156">
                  <c:v>-3.8352547464733933E-3</c:v>
                </c:pt>
                <c:pt idx="157">
                  <c:v>-3.2404029871496709E-3</c:v>
                </c:pt>
                <c:pt idx="158">
                  <c:v>-1.8247622460213497E-3</c:v>
                </c:pt>
                <c:pt idx="159">
                  <c:v>-2.1245593688300479E-3</c:v>
                </c:pt>
                <c:pt idx="160">
                  <c:v>-8.2763333844315667E-4</c:v>
                </c:pt>
                <c:pt idx="161">
                  <c:v>-3.6244908371863005E-4</c:v>
                </c:pt>
                <c:pt idx="162">
                  <c:v>2.6403445602518616E-4</c:v>
                </c:pt>
                <c:pt idx="163">
                  <c:v>9.7769484551624153E-4</c:v>
                </c:pt>
                <c:pt idx="164">
                  <c:v>1.067084753893166E-3</c:v>
                </c:pt>
                <c:pt idx="165">
                  <c:v>6.1808361859738703E-4</c:v>
                </c:pt>
                <c:pt idx="166">
                  <c:v>-1.4695216781159814E-3</c:v>
                </c:pt>
                <c:pt idx="167">
                  <c:v>2.4562642761360998E-4</c:v>
                </c:pt>
                <c:pt idx="168">
                  <c:v>3.6556802462195392E-4</c:v>
                </c:pt>
                <c:pt idx="169">
                  <c:v>6.7642855601479646E-4</c:v>
                </c:pt>
                <c:pt idx="170">
                  <c:v>6.0495172363794758E-4</c:v>
                </c:pt>
                <c:pt idx="171">
                  <c:v>6.1727435741776304E-4</c:v>
                </c:pt>
                <c:pt idx="172">
                  <c:v>9.718066560375771E-4</c:v>
                </c:pt>
                <c:pt idx="173">
                  <c:v>2.7933325390363528E-3</c:v>
                </c:pt>
                <c:pt idx="174">
                  <c:v>1.426230147734131E-3</c:v>
                </c:pt>
                <c:pt idx="175">
                  <c:v>3.0828626047587626E-3</c:v>
                </c:pt>
                <c:pt idx="176">
                  <c:v>2.7690242358040518E-3</c:v>
                </c:pt>
                <c:pt idx="177">
                  <c:v>1.4856931632858394E-3</c:v>
                </c:pt>
                <c:pt idx="178">
                  <c:v>-1.0427552892781078E-3</c:v>
                </c:pt>
                <c:pt idx="179">
                  <c:v>7.2813233801483079E-5</c:v>
                </c:pt>
                <c:pt idx="180">
                  <c:v>-9.1117992391287483E-4</c:v>
                </c:pt>
                <c:pt idx="181">
                  <c:v>-1.2417308074029743E-3</c:v>
                </c:pt>
                <c:pt idx="182">
                  <c:v>-2.7503194661558927E-3</c:v>
                </c:pt>
                <c:pt idx="183">
                  <c:v>-1.3541052313446045E-3</c:v>
                </c:pt>
                <c:pt idx="184">
                  <c:v>-1.681115613080153E-3</c:v>
                </c:pt>
                <c:pt idx="185">
                  <c:v>-1.5783772934173657E-3</c:v>
                </c:pt>
                <c:pt idx="186">
                  <c:v>-1.9447193912051075E-3</c:v>
                </c:pt>
                <c:pt idx="187">
                  <c:v>-4.1434094676610078E-3</c:v>
                </c:pt>
                <c:pt idx="188">
                  <c:v>-4.2965060524032817E-3</c:v>
                </c:pt>
                <c:pt idx="189">
                  <c:v>-5.5467907602736455E-3</c:v>
                </c:pt>
                <c:pt idx="190">
                  <c:v>-5.2546106318700492E-3</c:v>
                </c:pt>
                <c:pt idx="191">
                  <c:v>-3.869013389820819E-3</c:v>
                </c:pt>
                <c:pt idx="192">
                  <c:v>-2.0929879041665655E-3</c:v>
                </c:pt>
                <c:pt idx="193">
                  <c:v>-1.4150737258682433E-3</c:v>
                </c:pt>
                <c:pt idx="194">
                  <c:v>-1.9916053316918481E-3</c:v>
                </c:pt>
                <c:pt idx="195">
                  <c:v>4.7848163173269675E-4</c:v>
                </c:pt>
                <c:pt idx="196">
                  <c:v>2.8243393246920601E-3</c:v>
                </c:pt>
                <c:pt idx="197">
                  <c:v>2.5013342346176248E-3</c:v>
                </c:pt>
                <c:pt idx="198">
                  <c:v>3.5135486400821314E-3</c:v>
                </c:pt>
                <c:pt idx="199">
                  <c:v>4.9748933249489369E-3</c:v>
                </c:pt>
                <c:pt idx="200">
                  <c:v>6.3176640811148932E-3</c:v>
                </c:pt>
                <c:pt idx="201">
                  <c:v>7.7095033138299129E-3</c:v>
                </c:pt>
                <c:pt idx="202">
                  <c:v>8.0982513628200525E-3</c:v>
                </c:pt>
                <c:pt idx="203">
                  <c:v>8.6419811747031616E-3</c:v>
                </c:pt>
                <c:pt idx="204">
                  <c:v>8.8539862788454826E-3</c:v>
                </c:pt>
                <c:pt idx="205">
                  <c:v>9.5761961255604877E-3</c:v>
                </c:pt>
                <c:pt idx="206">
                  <c:v>9.4204997388556144E-3</c:v>
                </c:pt>
                <c:pt idx="207">
                  <c:v>8.6456973667266013E-3</c:v>
                </c:pt>
                <c:pt idx="208">
                  <c:v>8.9482495946553442E-3</c:v>
                </c:pt>
                <c:pt idx="209">
                  <c:v>9.5568837567827636E-3</c:v>
                </c:pt>
                <c:pt idx="210">
                  <c:v>1.1203840876036875E-2</c:v>
                </c:pt>
                <c:pt idx="211">
                  <c:v>1.1410740602302072E-2</c:v>
                </c:pt>
                <c:pt idx="212">
                  <c:v>1.3877940693208357E-2</c:v>
                </c:pt>
                <c:pt idx="213">
                  <c:v>1.4206758840455969E-2</c:v>
                </c:pt>
                <c:pt idx="214">
                  <c:v>1.2726781263364018E-2</c:v>
                </c:pt>
                <c:pt idx="215">
                  <c:v>1.2397528345316822E-2</c:v>
                </c:pt>
                <c:pt idx="216">
                  <c:v>1.1738706184577063E-2</c:v>
                </c:pt>
                <c:pt idx="217">
                  <c:v>1.2990954152554579E-2</c:v>
                </c:pt>
                <c:pt idx="218">
                  <c:v>1.3090153390916681E-2</c:v>
                </c:pt>
                <c:pt idx="219">
                  <c:v>1.3587050119847843E-2</c:v>
                </c:pt>
                <c:pt idx="220">
                  <c:v>1.3545174782626068E-2</c:v>
                </c:pt>
                <c:pt idx="221">
                  <c:v>1.4608363064286145E-2</c:v>
                </c:pt>
                <c:pt idx="222">
                  <c:v>1.4489629870326093E-2</c:v>
                </c:pt>
                <c:pt idx="223">
                  <c:v>1.4500769802476388E-2</c:v>
                </c:pt>
                <c:pt idx="224">
                  <c:v>1.4658824242322233E-2</c:v>
                </c:pt>
                <c:pt idx="225">
                  <c:v>1.5579263028878687E-2</c:v>
                </c:pt>
                <c:pt idx="226">
                  <c:v>1.608807565158421E-2</c:v>
                </c:pt>
                <c:pt idx="227">
                  <c:v>1.4282599353713898E-2</c:v>
                </c:pt>
                <c:pt idx="228">
                  <c:v>1.404821372962739E-2</c:v>
                </c:pt>
                <c:pt idx="229">
                  <c:v>1.490926818985705E-2</c:v>
                </c:pt>
                <c:pt idx="230">
                  <c:v>1.5491817112925688E-2</c:v>
                </c:pt>
                <c:pt idx="231">
                  <c:v>1.3810963383753094E-2</c:v>
                </c:pt>
                <c:pt idx="232">
                  <c:v>1.3191319580311722E-2</c:v>
                </c:pt>
                <c:pt idx="233">
                  <c:v>1.2059819793737381E-2</c:v>
                </c:pt>
                <c:pt idx="234">
                  <c:v>1.2685145186339231E-2</c:v>
                </c:pt>
                <c:pt idx="235">
                  <c:v>1.464000308630875E-2</c:v>
                </c:pt>
                <c:pt idx="236">
                  <c:v>1.4363127323521629E-2</c:v>
                </c:pt>
                <c:pt idx="237">
                  <c:v>1.2574196793831094E-2</c:v>
                </c:pt>
                <c:pt idx="238">
                  <c:v>1.0879777514951172E-2</c:v>
                </c:pt>
                <c:pt idx="239">
                  <c:v>1.0629857514521168E-2</c:v>
                </c:pt>
                <c:pt idx="240">
                  <c:v>1.1066804978306033E-2</c:v>
                </c:pt>
                <c:pt idx="241">
                  <c:v>1.0274916499983355E-2</c:v>
                </c:pt>
                <c:pt idx="242">
                  <c:v>8.8740674786786933E-3</c:v>
                </c:pt>
                <c:pt idx="243">
                  <c:v>9.0244444503613241E-3</c:v>
                </c:pt>
                <c:pt idx="244">
                  <c:v>9.6983313940846028E-3</c:v>
                </c:pt>
                <c:pt idx="245">
                  <c:v>8.8297166966457841E-3</c:v>
                </c:pt>
                <c:pt idx="246">
                  <c:v>9.9571613303408579E-3</c:v>
                </c:pt>
                <c:pt idx="247">
                  <c:v>9.5782465827096708E-3</c:v>
                </c:pt>
                <c:pt idx="248">
                  <c:v>8.9256070382142116E-3</c:v>
                </c:pt>
                <c:pt idx="249">
                  <c:v>8.7323455273644601E-3</c:v>
                </c:pt>
                <c:pt idx="250">
                  <c:v>7.9983453602099353E-3</c:v>
                </c:pt>
                <c:pt idx="251">
                  <c:v>8.7872505736936724E-3</c:v>
                </c:pt>
                <c:pt idx="252">
                  <c:v>6.9291830652733477E-3</c:v>
                </c:pt>
                <c:pt idx="253">
                  <c:v>6.2913569047822193E-3</c:v>
                </c:pt>
                <c:pt idx="254">
                  <c:v>6.4976370444476128E-3</c:v>
                </c:pt>
                <c:pt idx="255">
                  <c:v>6.728202468957889E-3</c:v>
                </c:pt>
                <c:pt idx="256">
                  <c:v>5.4903122061742415E-3</c:v>
                </c:pt>
                <c:pt idx="257">
                  <c:v>4.2991529787010929E-3</c:v>
                </c:pt>
                <c:pt idx="258">
                  <c:v>3.8838317347682505E-3</c:v>
                </c:pt>
                <c:pt idx="259">
                  <c:v>3.7227514863547029E-3</c:v>
                </c:pt>
                <c:pt idx="260">
                  <c:v>2.2986134059701513E-3</c:v>
                </c:pt>
                <c:pt idx="261">
                  <c:v>2.283251885030646E-3</c:v>
                </c:pt>
                <c:pt idx="262">
                  <c:v>2.6761825447556564E-3</c:v>
                </c:pt>
                <c:pt idx="263">
                  <c:v>2.568515100568991E-3</c:v>
                </c:pt>
                <c:pt idx="264">
                  <c:v>1.4681370101161662E-3</c:v>
                </c:pt>
                <c:pt idx="265">
                  <c:v>1.1214753271000522E-3</c:v>
                </c:pt>
                <c:pt idx="266">
                  <c:v>3.3953332221958732E-4</c:v>
                </c:pt>
                <c:pt idx="267">
                  <c:v>-2.7397957707753218E-4</c:v>
                </c:pt>
                <c:pt idx="268">
                  <c:v>4.9932223526383268E-4</c:v>
                </c:pt>
                <c:pt idx="269">
                  <c:v>1.2575989022678424E-3</c:v>
                </c:pt>
                <c:pt idx="270">
                  <c:v>7.1240294159857775E-4</c:v>
                </c:pt>
                <c:pt idx="271">
                  <c:v>8.9861407351499167E-4</c:v>
                </c:pt>
                <c:pt idx="272">
                  <c:v>1.8458425284351154E-3</c:v>
                </c:pt>
                <c:pt idx="273">
                  <c:v>1.6448158042958738E-3</c:v>
                </c:pt>
                <c:pt idx="274">
                  <c:v>2.6968344264206578E-3</c:v>
                </c:pt>
                <c:pt idx="275">
                  <c:v>3.8394478238059637E-3</c:v>
                </c:pt>
                <c:pt idx="276">
                  <c:v>3.7765450462947658E-3</c:v>
                </c:pt>
                <c:pt idx="277">
                  <c:v>2.5579133026505385E-3</c:v>
                </c:pt>
                <c:pt idx="278">
                  <c:v>3.7941809571839791E-3</c:v>
                </c:pt>
                <c:pt idx="279">
                  <c:v>3.717468962904702E-3</c:v>
                </c:pt>
                <c:pt idx="280">
                  <c:v>4.0324293321778448E-3</c:v>
                </c:pt>
                <c:pt idx="281">
                  <c:v>3.4704533100320401E-3</c:v>
                </c:pt>
                <c:pt idx="282">
                  <c:v>3.4746909627887401E-3</c:v>
                </c:pt>
                <c:pt idx="283">
                  <c:v>4.3758564831035685E-3</c:v>
                </c:pt>
                <c:pt idx="284">
                  <c:v>4.2073641431690234E-3</c:v>
                </c:pt>
                <c:pt idx="285">
                  <c:v>3.6893711916243799E-3</c:v>
                </c:pt>
                <c:pt idx="286">
                  <c:v>4.0464934428550148E-3</c:v>
                </c:pt>
                <c:pt idx="287">
                  <c:v>4.7304680123798626E-3</c:v>
                </c:pt>
                <c:pt idx="288">
                  <c:v>3.5964754196771143E-3</c:v>
                </c:pt>
                <c:pt idx="289">
                  <c:v>2.9831160498681175E-3</c:v>
                </c:pt>
                <c:pt idx="290">
                  <c:v>2.2506519041505246E-3</c:v>
                </c:pt>
                <c:pt idx="291">
                  <c:v>3.0348471846652902E-3</c:v>
                </c:pt>
                <c:pt idx="292">
                  <c:v>3.2174754225655633E-3</c:v>
                </c:pt>
                <c:pt idx="293">
                  <c:v>2.904067038897562E-3</c:v>
                </c:pt>
                <c:pt idx="294">
                  <c:v>3.0189872615973279E-3</c:v>
                </c:pt>
                <c:pt idx="295">
                  <c:v>2.2632421451780349E-3</c:v>
                </c:pt>
                <c:pt idx="296">
                  <c:v>1.9976524820837227E-3</c:v>
                </c:pt>
                <c:pt idx="297">
                  <c:v>1.6481115453743644E-3</c:v>
                </c:pt>
                <c:pt idx="298">
                  <c:v>1.2063996629794183E-3</c:v>
                </c:pt>
                <c:pt idx="299">
                  <c:v>2.4091226003701838E-3</c:v>
                </c:pt>
                <c:pt idx="300">
                  <c:v>2.4710772186649077E-3</c:v>
                </c:pt>
                <c:pt idx="301">
                  <c:v>1.9351256908950454E-3</c:v>
                </c:pt>
                <c:pt idx="302">
                  <c:v>2.8732339261079431E-3</c:v>
                </c:pt>
                <c:pt idx="303">
                  <c:v>2.8882046332625588E-3</c:v>
                </c:pt>
                <c:pt idx="304">
                  <c:v>2.545980888689181E-3</c:v>
                </c:pt>
                <c:pt idx="305">
                  <c:v>2.0391972113067425E-3</c:v>
                </c:pt>
                <c:pt idx="306">
                  <c:v>2.9315796113595916E-3</c:v>
                </c:pt>
                <c:pt idx="307">
                  <c:v>2.7964278540597576E-3</c:v>
                </c:pt>
                <c:pt idx="308">
                  <c:v>2.4906450868138474E-3</c:v>
                </c:pt>
                <c:pt idx="309">
                  <c:v>2.235858720604833E-3</c:v>
                </c:pt>
                <c:pt idx="310">
                  <c:v>1.0475266054870147E-3</c:v>
                </c:pt>
                <c:pt idx="311">
                  <c:v>1.0029546235421627E-3</c:v>
                </c:pt>
                <c:pt idx="312">
                  <c:v>1.8140170137499467E-3</c:v>
                </c:pt>
                <c:pt idx="313">
                  <c:v>3.1884566265771852E-3</c:v>
                </c:pt>
                <c:pt idx="314">
                  <c:v>4.3152330842426423E-3</c:v>
                </c:pt>
                <c:pt idx="315">
                  <c:v>5.5321540546420245E-3</c:v>
                </c:pt>
                <c:pt idx="316">
                  <c:v>5.3324174691466997E-3</c:v>
                </c:pt>
                <c:pt idx="317">
                  <c:v>5.5454788810391786E-3</c:v>
                </c:pt>
                <c:pt idx="318">
                  <c:v>5.026032985663953E-3</c:v>
                </c:pt>
                <c:pt idx="319">
                  <c:v>4.4330765341191736E-3</c:v>
                </c:pt>
                <c:pt idx="320">
                  <c:v>4.4995266917433607E-3</c:v>
                </c:pt>
                <c:pt idx="321">
                  <c:v>3.8315429769986142E-3</c:v>
                </c:pt>
                <c:pt idx="322">
                  <c:v>4.6424985886326375E-3</c:v>
                </c:pt>
                <c:pt idx="323">
                  <c:v>3.7436083187665226E-3</c:v>
                </c:pt>
                <c:pt idx="324">
                  <c:v>4.0499474814064129E-3</c:v>
                </c:pt>
                <c:pt idx="325">
                  <c:v>4.3138947018028784E-3</c:v>
                </c:pt>
                <c:pt idx="326">
                  <c:v>5.2002958059844673E-3</c:v>
                </c:pt>
                <c:pt idx="327">
                  <c:v>2.6371820610155972E-3</c:v>
                </c:pt>
                <c:pt idx="328">
                  <c:v>3.009619937694552E-3</c:v>
                </c:pt>
                <c:pt idx="329">
                  <c:v>3.4099521510468911E-3</c:v>
                </c:pt>
                <c:pt idx="330">
                  <c:v>3.6767906417740637E-3</c:v>
                </c:pt>
                <c:pt idx="331">
                  <c:v>3.7827883187482314E-3</c:v>
                </c:pt>
                <c:pt idx="332">
                  <c:v>4.0605941660205591E-3</c:v>
                </c:pt>
                <c:pt idx="333">
                  <c:v>5.7260471311035843E-3</c:v>
                </c:pt>
                <c:pt idx="334">
                  <c:v>5.2354389819089242E-3</c:v>
                </c:pt>
                <c:pt idx="335">
                  <c:v>5.2859224996606446E-3</c:v>
                </c:pt>
                <c:pt idx="336">
                  <c:v>6.2647881670063743E-3</c:v>
                </c:pt>
                <c:pt idx="337">
                  <c:v>6.6111908430204203E-3</c:v>
                </c:pt>
                <c:pt idx="338">
                  <c:v>7.322028812116077E-3</c:v>
                </c:pt>
                <c:pt idx="339">
                  <c:v>6.4149047583166308E-3</c:v>
                </c:pt>
                <c:pt idx="340">
                  <c:v>7.5534463830340126E-3</c:v>
                </c:pt>
                <c:pt idx="341">
                  <c:v>6.2645279846609281E-3</c:v>
                </c:pt>
                <c:pt idx="342">
                  <c:v>5.8641721782013434E-3</c:v>
                </c:pt>
                <c:pt idx="343">
                  <c:v>6.196358800992785E-3</c:v>
                </c:pt>
                <c:pt idx="344">
                  <c:v>5.8675145818307683E-3</c:v>
                </c:pt>
                <c:pt idx="345">
                  <c:v>6.3014449183120824E-3</c:v>
                </c:pt>
                <c:pt idx="346">
                  <c:v>5.6776833227789592E-3</c:v>
                </c:pt>
                <c:pt idx="347">
                  <c:v>5.1119791775262602E-3</c:v>
                </c:pt>
                <c:pt idx="348">
                  <c:v>4.527910409092728E-3</c:v>
                </c:pt>
                <c:pt idx="349">
                  <c:v>5.411417431378851E-3</c:v>
                </c:pt>
                <c:pt idx="350">
                  <c:v>5.1915289988835323E-3</c:v>
                </c:pt>
                <c:pt idx="351">
                  <c:v>4.6525162745738591E-3</c:v>
                </c:pt>
                <c:pt idx="352">
                  <c:v>4.2167624417610572E-3</c:v>
                </c:pt>
                <c:pt idx="353">
                  <c:v>4.8314613418356522E-3</c:v>
                </c:pt>
                <c:pt idx="354">
                  <c:v>5.9228089678744489E-3</c:v>
                </c:pt>
                <c:pt idx="355">
                  <c:v>5.0494907303519909E-3</c:v>
                </c:pt>
                <c:pt idx="356">
                  <c:v>4.7998833731925927E-3</c:v>
                </c:pt>
                <c:pt idx="357">
                  <c:v>5.0969117815506948E-3</c:v>
                </c:pt>
                <c:pt idx="358">
                  <c:v>4.5751327649838913E-3</c:v>
                </c:pt>
                <c:pt idx="359">
                  <c:v>5.0349444548645206E-3</c:v>
                </c:pt>
                <c:pt idx="360">
                  <c:v>4.5619535278567103E-3</c:v>
                </c:pt>
                <c:pt idx="361">
                  <c:v>5.2089183112298265E-3</c:v>
                </c:pt>
                <c:pt idx="362">
                  <c:v>4.4078184403308907E-3</c:v>
                </c:pt>
                <c:pt idx="363">
                  <c:v>3.5769939585745814E-3</c:v>
                </c:pt>
                <c:pt idx="364">
                  <c:v>4.6238061988417289E-3</c:v>
                </c:pt>
                <c:pt idx="365">
                  <c:v>5.201739664068894E-3</c:v>
                </c:pt>
                <c:pt idx="366">
                  <c:v>5.0135778784776708E-3</c:v>
                </c:pt>
                <c:pt idx="367">
                  <c:v>5.1778033002050083E-3</c:v>
                </c:pt>
                <c:pt idx="368">
                  <c:v>4.4673392294372061E-3</c:v>
                </c:pt>
                <c:pt idx="369">
                  <c:v>4.5868704452176612E-3</c:v>
                </c:pt>
                <c:pt idx="370">
                  <c:v>4.8141761536926175E-3</c:v>
                </c:pt>
                <c:pt idx="371">
                  <c:v>4.5009246885816534E-3</c:v>
                </c:pt>
                <c:pt idx="372">
                  <c:v>4.0927594688919822E-3</c:v>
                </c:pt>
                <c:pt idx="373">
                  <c:v>3.85560037690591E-3</c:v>
                </c:pt>
                <c:pt idx="374">
                  <c:v>4.3630350334613599E-3</c:v>
                </c:pt>
                <c:pt idx="375">
                  <c:v>4.6811920698386356E-3</c:v>
                </c:pt>
                <c:pt idx="376">
                  <c:v>4.1511575829740188E-3</c:v>
                </c:pt>
                <c:pt idx="377">
                  <c:v>4.150130456843204E-3</c:v>
                </c:pt>
                <c:pt idx="378">
                  <c:v>4.6362188533204396E-3</c:v>
                </c:pt>
                <c:pt idx="379">
                  <c:v>4.2396965975715073E-3</c:v>
                </c:pt>
                <c:pt idx="380">
                  <c:v>4.9113435117440485E-3</c:v>
                </c:pt>
                <c:pt idx="381">
                  <c:v>5.104528423025334E-3</c:v>
                </c:pt>
                <c:pt idx="382">
                  <c:v>4.5218636889874375E-3</c:v>
                </c:pt>
                <c:pt idx="383">
                  <c:v>4.8874734458264069E-3</c:v>
                </c:pt>
                <c:pt idx="384">
                  <c:v>5.8326247182107771E-3</c:v>
                </c:pt>
                <c:pt idx="385">
                  <c:v>5.6980569632543165E-3</c:v>
                </c:pt>
                <c:pt idx="386">
                  <c:v>5.8101979017597394E-3</c:v>
                </c:pt>
                <c:pt idx="387">
                  <c:v>6.3168775950857015E-3</c:v>
                </c:pt>
                <c:pt idx="388">
                  <c:v>7.7708569031562647E-3</c:v>
                </c:pt>
                <c:pt idx="389">
                  <c:v>8.3123120790835614E-3</c:v>
                </c:pt>
                <c:pt idx="390">
                  <c:v>8.2966979607681512E-3</c:v>
                </c:pt>
                <c:pt idx="391">
                  <c:v>8.6278388567799791E-3</c:v>
                </c:pt>
                <c:pt idx="392">
                  <c:v>8.2552064216905308E-3</c:v>
                </c:pt>
                <c:pt idx="393">
                  <c:v>8.7934293971898558E-3</c:v>
                </c:pt>
                <c:pt idx="394">
                  <c:v>8.685018541311651E-3</c:v>
                </c:pt>
                <c:pt idx="395">
                  <c:v>9.3118077665423904E-3</c:v>
                </c:pt>
                <c:pt idx="396">
                  <c:v>1.0168091771701748E-2</c:v>
                </c:pt>
                <c:pt idx="397">
                  <c:v>9.4869540764537241E-3</c:v>
                </c:pt>
                <c:pt idx="398">
                  <c:v>9.8612542693108374E-3</c:v>
                </c:pt>
                <c:pt idx="399">
                  <c:v>9.1417658341830244E-3</c:v>
                </c:pt>
                <c:pt idx="400">
                  <c:v>9.4811024080920792E-3</c:v>
                </c:pt>
                <c:pt idx="401">
                  <c:v>9.019415078555193E-3</c:v>
                </c:pt>
                <c:pt idx="402">
                  <c:v>8.8467455398295591E-3</c:v>
                </c:pt>
                <c:pt idx="403">
                  <c:v>8.878247440768039E-3</c:v>
                </c:pt>
                <c:pt idx="404">
                  <c:v>8.5626546111123858E-3</c:v>
                </c:pt>
                <c:pt idx="405">
                  <c:v>9.0422905659683916E-3</c:v>
                </c:pt>
                <c:pt idx="406">
                  <c:v>9.0681141865678327E-3</c:v>
                </c:pt>
                <c:pt idx="407">
                  <c:v>9.1671986418431217E-3</c:v>
                </c:pt>
                <c:pt idx="408">
                  <c:v>9.0665373228198121E-3</c:v>
                </c:pt>
                <c:pt idx="409">
                  <c:v>8.7168100803109994E-3</c:v>
                </c:pt>
                <c:pt idx="410">
                  <c:v>8.7342393300426924E-3</c:v>
                </c:pt>
                <c:pt idx="411">
                  <c:v>9.6371618296369199E-3</c:v>
                </c:pt>
                <c:pt idx="412">
                  <c:v>9.6390791311309343E-3</c:v>
                </c:pt>
                <c:pt idx="413">
                  <c:v>9.8822362100827732E-3</c:v>
                </c:pt>
                <c:pt idx="414">
                  <c:v>9.598311636493273E-3</c:v>
                </c:pt>
                <c:pt idx="415">
                  <c:v>9.656146039064506E-3</c:v>
                </c:pt>
                <c:pt idx="416">
                  <c:v>9.6410293661628454E-3</c:v>
                </c:pt>
                <c:pt idx="417">
                  <c:v>1.0669933965021361E-2</c:v>
                </c:pt>
                <c:pt idx="418">
                  <c:v>1.0609553808170524E-2</c:v>
                </c:pt>
                <c:pt idx="419">
                  <c:v>1.1510549535163728E-2</c:v>
                </c:pt>
                <c:pt idx="420">
                  <c:v>1.1687632641889323E-2</c:v>
                </c:pt>
                <c:pt idx="421">
                  <c:v>1.2343913584125232E-2</c:v>
                </c:pt>
                <c:pt idx="422">
                  <c:v>1.2613536199105768E-2</c:v>
                </c:pt>
                <c:pt idx="423">
                  <c:v>1.2032969877126876E-2</c:v>
                </c:pt>
                <c:pt idx="424">
                  <c:v>1.1868777415843024E-2</c:v>
                </c:pt>
                <c:pt idx="425">
                  <c:v>1.1604775645266185E-2</c:v>
                </c:pt>
                <c:pt idx="426">
                  <c:v>1.1119647256705223E-2</c:v>
                </c:pt>
                <c:pt idx="427">
                  <c:v>1.0920100690733792E-2</c:v>
                </c:pt>
                <c:pt idx="428">
                  <c:v>1.0392949455904299E-2</c:v>
                </c:pt>
                <c:pt idx="429">
                  <c:v>9.9204288554570752E-3</c:v>
                </c:pt>
                <c:pt idx="430">
                  <c:v>9.2654349816623238E-3</c:v>
                </c:pt>
                <c:pt idx="431">
                  <c:v>9.9959993346039333E-3</c:v>
                </c:pt>
                <c:pt idx="432">
                  <c:v>1.009657453965418E-2</c:v>
                </c:pt>
                <c:pt idx="433">
                  <c:v>9.4519948334956805E-3</c:v>
                </c:pt>
                <c:pt idx="434">
                  <c:v>9.4771286454649051E-3</c:v>
                </c:pt>
                <c:pt idx="435">
                  <c:v>9.4931574477048475E-3</c:v>
                </c:pt>
                <c:pt idx="436">
                  <c:v>1.0076762458298472E-2</c:v>
                </c:pt>
                <c:pt idx="437">
                  <c:v>1.0410885768005862E-2</c:v>
                </c:pt>
                <c:pt idx="438">
                  <c:v>1.0018709948207638E-2</c:v>
                </c:pt>
                <c:pt idx="439">
                  <c:v>9.6781573732003245E-3</c:v>
                </c:pt>
                <c:pt idx="440">
                  <c:v>9.5685080598713057E-3</c:v>
                </c:pt>
                <c:pt idx="441">
                  <c:v>9.3179398768554744E-3</c:v>
                </c:pt>
                <c:pt idx="442">
                  <c:v>9.2059518379823402E-3</c:v>
                </c:pt>
                <c:pt idx="443">
                  <c:v>8.5953216093344054E-3</c:v>
                </c:pt>
                <c:pt idx="444">
                  <c:v>9.1109822802575291E-3</c:v>
                </c:pt>
                <c:pt idx="445">
                  <c:v>8.8957082675797938E-3</c:v>
                </c:pt>
                <c:pt idx="446">
                  <c:v>9.0673299387376005E-3</c:v>
                </c:pt>
                <c:pt idx="447">
                  <c:v>9.3850188835433723E-3</c:v>
                </c:pt>
                <c:pt idx="448">
                  <c:v>9.1090985718842443E-3</c:v>
                </c:pt>
                <c:pt idx="449">
                  <c:v>1.0555005708042797E-2</c:v>
                </c:pt>
                <c:pt idx="450">
                  <c:v>1.0824435028435442E-2</c:v>
                </c:pt>
                <c:pt idx="451">
                  <c:v>1.1951951153740703E-2</c:v>
                </c:pt>
                <c:pt idx="452">
                  <c:v>1.2177355207049878E-2</c:v>
                </c:pt>
                <c:pt idx="453">
                  <c:v>1.2378895609576723E-2</c:v>
                </c:pt>
                <c:pt idx="454">
                  <c:v>1.2368938116693151E-2</c:v>
                </c:pt>
                <c:pt idx="455">
                  <c:v>1.2415269856742572E-2</c:v>
                </c:pt>
                <c:pt idx="456">
                  <c:v>1.1806985546857218E-2</c:v>
                </c:pt>
                <c:pt idx="457">
                  <c:v>1.2008969206657172E-2</c:v>
                </c:pt>
                <c:pt idx="458">
                  <c:v>1.1750738587198883E-2</c:v>
                </c:pt>
                <c:pt idx="459">
                  <c:v>1.2105406655874118E-2</c:v>
                </c:pt>
                <c:pt idx="460">
                  <c:v>1.2229481757564109E-2</c:v>
                </c:pt>
                <c:pt idx="461">
                  <c:v>1.1914298936126944E-2</c:v>
                </c:pt>
                <c:pt idx="462">
                  <c:v>1.1232737631460932E-2</c:v>
                </c:pt>
                <c:pt idx="463">
                  <c:v>1.0443358149194282E-2</c:v>
                </c:pt>
                <c:pt idx="464">
                  <c:v>9.6729034605427255E-3</c:v>
                </c:pt>
                <c:pt idx="465">
                  <c:v>9.279834559546174E-3</c:v>
                </c:pt>
                <c:pt idx="466">
                  <c:v>8.6257900898523143E-3</c:v>
                </c:pt>
                <c:pt idx="467">
                  <c:v>8.3758850687347675E-3</c:v>
                </c:pt>
                <c:pt idx="468">
                  <c:v>8.2773971695528914E-3</c:v>
                </c:pt>
                <c:pt idx="469">
                  <c:v>7.2995428003779228E-3</c:v>
                </c:pt>
                <c:pt idx="470">
                  <c:v>6.9790299667447098E-3</c:v>
                </c:pt>
                <c:pt idx="471">
                  <c:v>7.0103814481576876E-3</c:v>
                </c:pt>
                <c:pt idx="472">
                  <c:v>6.2095492388560825E-3</c:v>
                </c:pt>
                <c:pt idx="473">
                  <c:v>6.4161609325841251E-3</c:v>
                </c:pt>
                <c:pt idx="474">
                  <c:v>5.7110748006217182E-3</c:v>
                </c:pt>
                <c:pt idx="475">
                  <c:v>5.0215886166313783E-3</c:v>
                </c:pt>
                <c:pt idx="476">
                  <c:v>4.8318856414026889E-3</c:v>
                </c:pt>
                <c:pt idx="477">
                  <c:v>4.836508582986454E-3</c:v>
                </c:pt>
                <c:pt idx="478">
                  <c:v>4.3998849297213205E-3</c:v>
                </c:pt>
                <c:pt idx="479">
                  <c:v>3.2944003461468085E-3</c:v>
                </c:pt>
                <c:pt idx="480">
                  <c:v>2.2547658477702903E-3</c:v>
                </c:pt>
                <c:pt idx="481">
                  <c:v>1.9604045218277744E-3</c:v>
                </c:pt>
                <c:pt idx="482">
                  <c:v>2.077077072219824E-3</c:v>
                </c:pt>
                <c:pt idx="483">
                  <c:v>2.5596542773647091E-3</c:v>
                </c:pt>
                <c:pt idx="484">
                  <c:v>2.6424620151093148E-3</c:v>
                </c:pt>
                <c:pt idx="485">
                  <c:v>2.5885540386159089E-3</c:v>
                </c:pt>
                <c:pt idx="486">
                  <c:v>3.0132740362529553E-3</c:v>
                </c:pt>
                <c:pt idx="487">
                  <c:v>3.7780220923691044E-3</c:v>
                </c:pt>
                <c:pt idx="488">
                  <c:v>3.2435961489283294E-3</c:v>
                </c:pt>
                <c:pt idx="489">
                  <c:v>3.3452480242590621E-3</c:v>
                </c:pt>
                <c:pt idx="490">
                  <c:v>2.667509663057066E-3</c:v>
                </c:pt>
                <c:pt idx="491">
                  <c:v>2.5974487287554471E-3</c:v>
                </c:pt>
                <c:pt idx="492">
                  <c:v>1.947266437844819E-3</c:v>
                </c:pt>
                <c:pt idx="493">
                  <c:v>1.6432361995888378E-3</c:v>
                </c:pt>
                <c:pt idx="494">
                  <c:v>1.8360192344069048E-3</c:v>
                </c:pt>
                <c:pt idx="495">
                  <c:v>1.4984307938703534E-3</c:v>
                </c:pt>
                <c:pt idx="496">
                  <c:v>8.0257447654341618E-4</c:v>
                </c:pt>
                <c:pt idx="497">
                  <c:v>6.3049284441984987E-4</c:v>
                </c:pt>
                <c:pt idx="498">
                  <c:v>1.0675382701363922E-4</c:v>
                </c:pt>
                <c:pt idx="499">
                  <c:v>-9.5649458982438595E-5</c:v>
                </c:pt>
                <c:pt idx="500">
                  <c:v>-5.2586471980520244E-4</c:v>
                </c:pt>
                <c:pt idx="501">
                  <c:v>-1.4632742371902818E-3</c:v>
                </c:pt>
                <c:pt idx="502">
                  <c:v>-9.0632666299828024E-4</c:v>
                </c:pt>
                <c:pt idx="503">
                  <c:v>-1.6584071185827831E-3</c:v>
                </c:pt>
                <c:pt idx="504">
                  <c:v>-1.1792302563153889E-3</c:v>
                </c:pt>
                <c:pt idx="505">
                  <c:v>-1.8316476446857965E-3</c:v>
                </c:pt>
                <c:pt idx="506">
                  <c:v>-1.6869218604456115E-3</c:v>
                </c:pt>
                <c:pt idx="507">
                  <c:v>-2.1584579322099229E-3</c:v>
                </c:pt>
                <c:pt idx="508">
                  <c:v>-2.5313781084468356E-3</c:v>
                </c:pt>
                <c:pt idx="509">
                  <c:v>-2.5417717058231482E-3</c:v>
                </c:pt>
                <c:pt idx="510">
                  <c:v>-2.4488858340520059E-3</c:v>
                </c:pt>
                <c:pt idx="511">
                  <c:v>-2.3555804628017096E-3</c:v>
                </c:pt>
                <c:pt idx="512">
                  <c:v>-3.0671910863971918E-3</c:v>
                </c:pt>
                <c:pt idx="513">
                  <c:v>-3.5986876591003192E-3</c:v>
                </c:pt>
                <c:pt idx="514">
                  <c:v>-3.879331020427812E-3</c:v>
                </c:pt>
                <c:pt idx="515">
                  <c:v>-4.0973707936146075E-3</c:v>
                </c:pt>
                <c:pt idx="516">
                  <c:v>-4.7778991985383268E-3</c:v>
                </c:pt>
                <c:pt idx="517">
                  <c:v>-5.86595915799204E-3</c:v>
                </c:pt>
                <c:pt idx="518">
                  <c:v>-6.1279250770577276E-3</c:v>
                </c:pt>
                <c:pt idx="519">
                  <c:v>-6.2275911719712473E-3</c:v>
                </c:pt>
                <c:pt idx="520">
                  <c:v>-6.8244555190283274E-3</c:v>
                </c:pt>
                <c:pt idx="521">
                  <c:v>-7.488786615787002E-3</c:v>
                </c:pt>
                <c:pt idx="522">
                  <c:v>-7.6050011404263929E-3</c:v>
                </c:pt>
                <c:pt idx="523">
                  <c:v>-7.8014991363046793E-3</c:v>
                </c:pt>
                <c:pt idx="524">
                  <c:v>-8.7501194829270323E-3</c:v>
                </c:pt>
                <c:pt idx="525">
                  <c:v>-8.7489463405108214E-3</c:v>
                </c:pt>
                <c:pt idx="526">
                  <c:v>-8.6723089206033332E-3</c:v>
                </c:pt>
                <c:pt idx="527">
                  <c:v>-8.2700291121176051E-3</c:v>
                </c:pt>
                <c:pt idx="528">
                  <c:v>-8.5990648052906016E-3</c:v>
                </c:pt>
                <c:pt idx="529">
                  <c:v>-8.2204383841155693E-3</c:v>
                </c:pt>
                <c:pt idx="530">
                  <c:v>-8.182473808063695E-3</c:v>
                </c:pt>
                <c:pt idx="531">
                  <c:v>-7.6024096981458511E-3</c:v>
                </c:pt>
                <c:pt idx="532">
                  <c:v>-7.6920523957689779E-3</c:v>
                </c:pt>
                <c:pt idx="533">
                  <c:v>-7.8196389935004662E-3</c:v>
                </c:pt>
                <c:pt idx="534">
                  <c:v>-7.3585763157962836E-3</c:v>
                </c:pt>
                <c:pt idx="535">
                  <c:v>-7.8887758303227695E-3</c:v>
                </c:pt>
                <c:pt idx="536">
                  <c:v>-8.0845037126656694E-3</c:v>
                </c:pt>
                <c:pt idx="537">
                  <c:v>-8.4964756520850004E-3</c:v>
                </c:pt>
                <c:pt idx="538">
                  <c:v>-8.6498855096112104E-3</c:v>
                </c:pt>
                <c:pt idx="539">
                  <c:v>-8.67668716428871E-3</c:v>
                </c:pt>
                <c:pt idx="540">
                  <c:v>-8.672560189979972E-3</c:v>
                </c:pt>
                <c:pt idx="541">
                  <c:v>-9.12591359182513E-3</c:v>
                </c:pt>
                <c:pt idx="542">
                  <c:v>-9.3532382874140785E-3</c:v>
                </c:pt>
                <c:pt idx="543">
                  <c:v>-1.043820663444972E-2</c:v>
                </c:pt>
                <c:pt idx="544">
                  <c:v>-1.0916002708496686E-2</c:v>
                </c:pt>
                <c:pt idx="545">
                  <c:v>-1.1260662604919425E-2</c:v>
                </c:pt>
                <c:pt idx="546">
                  <c:v>-1.1536692739865906E-2</c:v>
                </c:pt>
                <c:pt idx="547">
                  <c:v>-1.1478144937025592E-2</c:v>
                </c:pt>
                <c:pt idx="548">
                  <c:v>-1.1972272682781893E-2</c:v>
                </c:pt>
                <c:pt idx="549">
                  <c:v>-1.2544689833165479E-2</c:v>
                </c:pt>
                <c:pt idx="550">
                  <c:v>-1.288429894072507E-2</c:v>
                </c:pt>
                <c:pt idx="551">
                  <c:v>-1.2902058431775609E-2</c:v>
                </c:pt>
                <c:pt idx="552">
                  <c:v>-1.3640735456449837E-2</c:v>
                </c:pt>
                <c:pt idx="553">
                  <c:v>-1.3931631649162557E-2</c:v>
                </c:pt>
                <c:pt idx="554">
                  <c:v>-1.4747306690182649E-2</c:v>
                </c:pt>
                <c:pt idx="555">
                  <c:v>-1.5474271896162906E-2</c:v>
                </c:pt>
                <c:pt idx="556">
                  <c:v>-1.6172213888560161E-2</c:v>
                </c:pt>
                <c:pt idx="557">
                  <c:v>-1.6455472517366121E-2</c:v>
                </c:pt>
                <c:pt idx="558">
                  <c:v>-1.7278621650039905E-2</c:v>
                </c:pt>
                <c:pt idx="559">
                  <c:v>-1.764487106405721E-2</c:v>
                </c:pt>
                <c:pt idx="560">
                  <c:v>-1.815072132845541E-2</c:v>
                </c:pt>
                <c:pt idx="561">
                  <c:v>-1.8687083853400566E-2</c:v>
                </c:pt>
                <c:pt idx="562">
                  <c:v>-1.8459689483050767E-2</c:v>
                </c:pt>
                <c:pt idx="563">
                  <c:v>-1.9076431232766478E-2</c:v>
                </c:pt>
                <c:pt idx="564">
                  <c:v>-1.9303779550215561E-2</c:v>
                </c:pt>
                <c:pt idx="565">
                  <c:v>-1.9463488568970289E-2</c:v>
                </c:pt>
                <c:pt idx="566">
                  <c:v>-1.9939050293455884E-2</c:v>
                </c:pt>
                <c:pt idx="567">
                  <c:v>-2.0489189527248097E-2</c:v>
                </c:pt>
                <c:pt idx="568">
                  <c:v>-2.0561076410618107E-2</c:v>
                </c:pt>
                <c:pt idx="569">
                  <c:v>-2.0488932959889627E-2</c:v>
                </c:pt>
                <c:pt idx="570">
                  <c:v>-2.082852997481377E-2</c:v>
                </c:pt>
                <c:pt idx="571">
                  <c:v>-2.1284715175797442E-2</c:v>
                </c:pt>
                <c:pt idx="572">
                  <c:v>-2.1146994558125853E-2</c:v>
                </c:pt>
                <c:pt idx="573">
                  <c:v>-2.165468857611208E-2</c:v>
                </c:pt>
                <c:pt idx="574">
                  <c:v>-2.2241157717882598E-2</c:v>
                </c:pt>
                <c:pt idx="575">
                  <c:v>-2.1945018007696659E-2</c:v>
                </c:pt>
                <c:pt idx="576">
                  <c:v>-2.2502217836312899E-2</c:v>
                </c:pt>
                <c:pt idx="577">
                  <c:v>-2.2395004774169114E-2</c:v>
                </c:pt>
                <c:pt idx="578">
                  <c:v>-2.2949645712565969E-2</c:v>
                </c:pt>
                <c:pt idx="579">
                  <c:v>-2.2999455605730024E-2</c:v>
                </c:pt>
                <c:pt idx="580">
                  <c:v>-2.3069547452960859E-2</c:v>
                </c:pt>
                <c:pt idx="581">
                  <c:v>-2.2732671392427073E-2</c:v>
                </c:pt>
                <c:pt idx="582">
                  <c:v>-2.3084691536872759E-2</c:v>
                </c:pt>
                <c:pt idx="583">
                  <c:v>-2.3612273229735581E-2</c:v>
                </c:pt>
                <c:pt idx="584">
                  <c:v>-2.3498855591716938E-2</c:v>
                </c:pt>
                <c:pt idx="585">
                  <c:v>-2.3869492416954463E-2</c:v>
                </c:pt>
                <c:pt idx="586">
                  <c:v>-2.3634108415008126E-2</c:v>
                </c:pt>
                <c:pt idx="587">
                  <c:v>-2.358387382413174E-2</c:v>
                </c:pt>
                <c:pt idx="588">
                  <c:v>-2.3279497719395081E-2</c:v>
                </c:pt>
                <c:pt idx="589">
                  <c:v>-2.3161127159654571E-2</c:v>
                </c:pt>
                <c:pt idx="590">
                  <c:v>-2.3582995530927464E-2</c:v>
                </c:pt>
                <c:pt idx="591">
                  <c:v>-2.3451509474329724E-2</c:v>
                </c:pt>
                <c:pt idx="592">
                  <c:v>-2.3622297649363189E-2</c:v>
                </c:pt>
                <c:pt idx="593">
                  <c:v>-2.3335516905053866E-2</c:v>
                </c:pt>
                <c:pt idx="594">
                  <c:v>-2.3508842186683143E-2</c:v>
                </c:pt>
                <c:pt idx="595">
                  <c:v>-2.3151220287791818E-2</c:v>
                </c:pt>
                <c:pt idx="596">
                  <c:v>-2.3393996842328679E-2</c:v>
                </c:pt>
                <c:pt idx="597">
                  <c:v>-2.364840378863331E-2</c:v>
                </c:pt>
                <c:pt idx="598">
                  <c:v>-2.3552603663694271E-2</c:v>
                </c:pt>
                <c:pt idx="599">
                  <c:v>-2.3639442522550236E-2</c:v>
                </c:pt>
                <c:pt idx="600">
                  <c:v>-2.3823104188208211E-2</c:v>
                </c:pt>
                <c:pt idx="601">
                  <c:v>-2.4297981059622553E-2</c:v>
                </c:pt>
                <c:pt idx="602">
                  <c:v>-2.4571986214565467E-2</c:v>
                </c:pt>
                <c:pt idx="603">
                  <c:v>-2.5007812484124203E-2</c:v>
                </c:pt>
                <c:pt idx="604">
                  <c:v>-2.5003505363775158E-2</c:v>
                </c:pt>
                <c:pt idx="605">
                  <c:v>-2.5265381895193451E-2</c:v>
                </c:pt>
                <c:pt idx="606">
                  <c:v>-2.5224238296900903E-2</c:v>
                </c:pt>
                <c:pt idx="607">
                  <c:v>-2.4910741623738852E-2</c:v>
                </c:pt>
                <c:pt idx="608">
                  <c:v>-2.563860656430661E-2</c:v>
                </c:pt>
                <c:pt idx="609">
                  <c:v>-2.6011476949607149E-2</c:v>
                </c:pt>
                <c:pt idx="610">
                  <c:v>-2.6064373132500984E-2</c:v>
                </c:pt>
                <c:pt idx="611">
                  <c:v>-2.645014779333843E-2</c:v>
                </c:pt>
                <c:pt idx="612">
                  <c:v>-2.7457983650116202E-2</c:v>
                </c:pt>
                <c:pt idx="613">
                  <c:v>-2.7468883296303037E-2</c:v>
                </c:pt>
                <c:pt idx="614">
                  <c:v>-2.7819068729494023E-2</c:v>
                </c:pt>
                <c:pt idx="615">
                  <c:v>-2.7858905721318106E-2</c:v>
                </c:pt>
                <c:pt idx="616">
                  <c:v>-2.8133090613527201E-2</c:v>
                </c:pt>
                <c:pt idx="617">
                  <c:v>-2.8005588577504015E-2</c:v>
                </c:pt>
                <c:pt idx="618">
                  <c:v>-2.7733101627045564E-2</c:v>
                </c:pt>
                <c:pt idx="619">
                  <c:v>-2.7720365448091755E-2</c:v>
                </c:pt>
                <c:pt idx="620">
                  <c:v>-2.7473542220162406E-2</c:v>
                </c:pt>
                <c:pt idx="621">
                  <c:v>-2.7467095479264625E-2</c:v>
                </c:pt>
                <c:pt idx="622">
                  <c:v>-2.7829197950618667E-2</c:v>
                </c:pt>
                <c:pt idx="623">
                  <c:v>-2.7933337013674064E-2</c:v>
                </c:pt>
                <c:pt idx="624">
                  <c:v>-2.823807731213146E-2</c:v>
                </c:pt>
                <c:pt idx="625">
                  <c:v>-2.8272885952274063E-2</c:v>
                </c:pt>
                <c:pt idx="626">
                  <c:v>-2.8094890908917258E-2</c:v>
                </c:pt>
                <c:pt idx="627">
                  <c:v>-2.8100417309332548E-2</c:v>
                </c:pt>
                <c:pt idx="628">
                  <c:v>-2.8459955015406657E-2</c:v>
                </c:pt>
                <c:pt idx="629">
                  <c:v>-2.8668105444266234E-2</c:v>
                </c:pt>
                <c:pt idx="630">
                  <c:v>-2.8479378146445744E-2</c:v>
                </c:pt>
                <c:pt idx="631">
                  <c:v>-2.8666616307285508E-2</c:v>
                </c:pt>
                <c:pt idx="632">
                  <c:v>-2.8439445734347868E-2</c:v>
                </c:pt>
                <c:pt idx="633">
                  <c:v>-2.8984100120277634E-2</c:v>
                </c:pt>
                <c:pt idx="634">
                  <c:v>-2.8713988623297548E-2</c:v>
                </c:pt>
                <c:pt idx="635">
                  <c:v>-2.8074172739108061E-2</c:v>
                </c:pt>
                <c:pt idx="636">
                  <c:v>-2.8256875605324083E-2</c:v>
                </c:pt>
                <c:pt idx="637">
                  <c:v>-2.839722599714245E-2</c:v>
                </c:pt>
                <c:pt idx="638">
                  <c:v>-2.8189436338919127E-2</c:v>
                </c:pt>
                <c:pt idx="639">
                  <c:v>-2.844337253458229E-2</c:v>
                </c:pt>
                <c:pt idx="640">
                  <c:v>-2.8046054004066123E-2</c:v>
                </c:pt>
                <c:pt idx="641">
                  <c:v>-2.7966038619793965E-2</c:v>
                </c:pt>
                <c:pt idx="642">
                  <c:v>-2.8065624253334587E-2</c:v>
                </c:pt>
                <c:pt idx="643">
                  <c:v>-2.8233516588820895E-2</c:v>
                </c:pt>
                <c:pt idx="644">
                  <c:v>-2.8003015393916808E-2</c:v>
                </c:pt>
                <c:pt idx="645">
                  <c:v>-2.8007874750807682E-2</c:v>
                </c:pt>
                <c:pt idx="646">
                  <c:v>-2.7723054291942439E-2</c:v>
                </c:pt>
                <c:pt idx="647">
                  <c:v>-2.7889795889127433E-2</c:v>
                </c:pt>
                <c:pt idx="648">
                  <c:v>-2.7847400377820741E-2</c:v>
                </c:pt>
                <c:pt idx="649">
                  <c:v>-2.7773350771331251E-2</c:v>
                </c:pt>
                <c:pt idx="650">
                  <c:v>-2.7437962831263762E-2</c:v>
                </c:pt>
                <c:pt idx="651">
                  <c:v>-2.744658141165679E-2</c:v>
                </c:pt>
                <c:pt idx="652">
                  <c:v>-2.7707557501511992E-2</c:v>
                </c:pt>
                <c:pt idx="653">
                  <c:v>-2.7796268127505686E-2</c:v>
                </c:pt>
                <c:pt idx="654">
                  <c:v>-2.8007998484638086E-2</c:v>
                </c:pt>
                <c:pt idx="655">
                  <c:v>-2.7870465903125474E-2</c:v>
                </c:pt>
                <c:pt idx="656">
                  <c:v>-2.7924834246274899E-2</c:v>
                </c:pt>
                <c:pt idx="657">
                  <c:v>-2.8060623996543854E-2</c:v>
                </c:pt>
                <c:pt idx="658">
                  <c:v>-2.8520855893470531E-2</c:v>
                </c:pt>
                <c:pt idx="659">
                  <c:v>-2.9007338545650185E-2</c:v>
                </c:pt>
                <c:pt idx="660">
                  <c:v>-2.9136766868871011E-2</c:v>
                </c:pt>
                <c:pt idx="661">
                  <c:v>-2.938411101661953E-2</c:v>
                </c:pt>
                <c:pt idx="662">
                  <c:v>-2.9768687847790742E-2</c:v>
                </c:pt>
                <c:pt idx="663">
                  <c:v>-3.0219806809746119E-2</c:v>
                </c:pt>
                <c:pt idx="664">
                  <c:v>-2.9992850081130729E-2</c:v>
                </c:pt>
                <c:pt idx="665">
                  <c:v>-3.0124267286239736E-2</c:v>
                </c:pt>
                <c:pt idx="666">
                  <c:v>-3.046976908434007E-2</c:v>
                </c:pt>
                <c:pt idx="667">
                  <c:v>-3.0294683189186378E-2</c:v>
                </c:pt>
                <c:pt idx="668">
                  <c:v>-3.0269963137711242E-2</c:v>
                </c:pt>
                <c:pt idx="669">
                  <c:v>-3.0446201422130059E-2</c:v>
                </c:pt>
                <c:pt idx="670">
                  <c:v>-3.0308252000681546E-2</c:v>
                </c:pt>
                <c:pt idx="671">
                  <c:v>-3.0042384696573277E-2</c:v>
                </c:pt>
                <c:pt idx="672">
                  <c:v>-3.0147558426043441E-2</c:v>
                </c:pt>
                <c:pt idx="673">
                  <c:v>-3.0043843854679952E-2</c:v>
                </c:pt>
                <c:pt idx="674">
                  <c:v>-3.0174342724798575E-2</c:v>
                </c:pt>
                <c:pt idx="675">
                  <c:v>-3.0012736570898979E-2</c:v>
                </c:pt>
                <c:pt idx="676">
                  <c:v>-3.0023201063990701E-2</c:v>
                </c:pt>
                <c:pt idx="677">
                  <c:v>-3.0395448301794192E-2</c:v>
                </c:pt>
                <c:pt idx="678">
                  <c:v>-3.0286565351940631E-2</c:v>
                </c:pt>
                <c:pt idx="679">
                  <c:v>-3.0470171889251829E-2</c:v>
                </c:pt>
                <c:pt idx="680">
                  <c:v>-3.0493609966399826E-2</c:v>
                </c:pt>
                <c:pt idx="681">
                  <c:v>-3.0805782655002001E-2</c:v>
                </c:pt>
                <c:pt idx="682">
                  <c:v>-3.0823059416725584E-2</c:v>
                </c:pt>
                <c:pt idx="683">
                  <c:v>-3.0405399643274378E-2</c:v>
                </c:pt>
                <c:pt idx="684">
                  <c:v>-3.0383233360039785E-2</c:v>
                </c:pt>
                <c:pt idx="685">
                  <c:v>-3.0170193482547791E-2</c:v>
                </c:pt>
                <c:pt idx="686">
                  <c:v>-2.9836951174800008E-2</c:v>
                </c:pt>
                <c:pt idx="687">
                  <c:v>-2.9426559842274269E-2</c:v>
                </c:pt>
                <c:pt idx="688">
                  <c:v>-2.8749088226844743E-2</c:v>
                </c:pt>
                <c:pt idx="689">
                  <c:v>-2.8974039858338574E-2</c:v>
                </c:pt>
                <c:pt idx="690">
                  <c:v>-2.8691709936609633E-2</c:v>
                </c:pt>
                <c:pt idx="691">
                  <c:v>-2.8667332394875511E-2</c:v>
                </c:pt>
                <c:pt idx="692">
                  <c:v>-2.8989948719998826E-2</c:v>
                </c:pt>
                <c:pt idx="693">
                  <c:v>-2.9393196029488644E-2</c:v>
                </c:pt>
                <c:pt idx="694">
                  <c:v>-2.9488501579880366E-2</c:v>
                </c:pt>
                <c:pt idx="695">
                  <c:v>-2.8964561689113877E-2</c:v>
                </c:pt>
                <c:pt idx="696">
                  <c:v>-2.8423695743747368E-2</c:v>
                </c:pt>
                <c:pt idx="697">
                  <c:v>-2.7786172622748295E-2</c:v>
                </c:pt>
                <c:pt idx="698">
                  <c:v>-2.7389200991001394E-2</c:v>
                </c:pt>
                <c:pt idx="699">
                  <c:v>-2.7453846795629899E-2</c:v>
                </c:pt>
                <c:pt idx="700">
                  <c:v>-2.7515808815929077E-2</c:v>
                </c:pt>
                <c:pt idx="701">
                  <c:v>-2.7743851441326184E-2</c:v>
                </c:pt>
                <c:pt idx="702">
                  <c:v>-2.7225902485677911E-2</c:v>
                </c:pt>
                <c:pt idx="703">
                  <c:v>-2.7713164571331883E-2</c:v>
                </c:pt>
                <c:pt idx="704">
                  <c:v>-2.7372529605913409E-2</c:v>
                </c:pt>
                <c:pt idx="705">
                  <c:v>-2.7382168338681678E-2</c:v>
                </c:pt>
                <c:pt idx="706">
                  <c:v>-2.7237795627513162E-2</c:v>
                </c:pt>
                <c:pt idx="707">
                  <c:v>-2.7114270786272265E-2</c:v>
                </c:pt>
                <c:pt idx="708">
                  <c:v>-2.7183181712411519E-2</c:v>
                </c:pt>
                <c:pt idx="709">
                  <c:v>-2.7704190583755395E-2</c:v>
                </c:pt>
                <c:pt idx="710">
                  <c:v>-2.7422830185012015E-2</c:v>
                </c:pt>
                <c:pt idx="711">
                  <c:v>-2.7595668564001419E-2</c:v>
                </c:pt>
                <c:pt idx="712">
                  <c:v>-2.7269842625175289E-2</c:v>
                </c:pt>
                <c:pt idx="713">
                  <c:v>-2.7231169661938059E-2</c:v>
                </c:pt>
                <c:pt idx="714">
                  <c:v>-2.7207731304854987E-2</c:v>
                </c:pt>
                <c:pt idx="715">
                  <c:v>-2.7041115011719019E-2</c:v>
                </c:pt>
                <c:pt idx="716">
                  <c:v>-2.7134135648840485E-2</c:v>
                </c:pt>
                <c:pt idx="717">
                  <c:v>-2.6762250691842571E-2</c:v>
                </c:pt>
                <c:pt idx="718">
                  <c:v>-2.6700458613016842E-2</c:v>
                </c:pt>
                <c:pt idx="719">
                  <c:v>-2.6950844126927387E-2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67008"/>
        <c:axId val="76955648"/>
      </c:lineChart>
      <c:catAx>
        <c:axId val="75467008"/>
        <c:scaling>
          <c:orientation val="minMax"/>
        </c:scaling>
        <c:delete val="0"/>
        <c:axPos val="b"/>
        <c:majorTickMark val="out"/>
        <c:minorTickMark val="none"/>
        <c:tickLblPos val="nextTo"/>
        <c:crossAx val="76955648"/>
        <c:crosses val="autoZero"/>
        <c:auto val="1"/>
        <c:lblAlgn val="ctr"/>
        <c:lblOffset val="100"/>
        <c:noMultiLvlLbl val="0"/>
      </c:catAx>
      <c:valAx>
        <c:axId val="7695564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75467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612320</xdr:colOff>
      <xdr:row>47</xdr:row>
      <xdr:rowOff>95250</xdr:rowOff>
    </xdr:from>
    <xdr:to>
      <xdr:col>11</xdr:col>
      <xdr:colOff>517071</xdr:colOff>
      <xdr:row>66</xdr:row>
      <xdr:rowOff>176892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258533</xdr:colOff>
      <xdr:row>20</xdr:row>
      <xdr:rowOff>13608</xdr:rowOff>
    </xdr:from>
    <xdr:to>
      <xdr:col>12</xdr:col>
      <xdr:colOff>81641</xdr:colOff>
      <xdr:row>45</xdr:row>
      <xdr:rowOff>108857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190500</xdr:colOff>
      <xdr:row>20</xdr:row>
      <xdr:rowOff>108858</xdr:rowOff>
    </xdr:from>
    <xdr:to>
      <xdr:col>21</xdr:col>
      <xdr:colOff>54429</xdr:colOff>
      <xdr:row>41</xdr:row>
      <xdr:rowOff>122464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217713</xdr:colOff>
      <xdr:row>60</xdr:row>
      <xdr:rowOff>81642</xdr:rowOff>
    </xdr:from>
    <xdr:to>
      <xdr:col>24</xdr:col>
      <xdr:colOff>752474</xdr:colOff>
      <xdr:row>79</xdr:row>
      <xdr:rowOff>136071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204107</xdr:colOff>
      <xdr:row>21</xdr:row>
      <xdr:rowOff>40821</xdr:rowOff>
    </xdr:from>
    <xdr:to>
      <xdr:col>32</xdr:col>
      <xdr:colOff>421821</xdr:colOff>
      <xdr:row>43</xdr:row>
      <xdr:rowOff>40821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612322</xdr:colOff>
      <xdr:row>26</xdr:row>
      <xdr:rowOff>136070</xdr:rowOff>
    </xdr:from>
    <xdr:to>
      <xdr:col>23</xdr:col>
      <xdr:colOff>0</xdr:colOff>
      <xdr:row>56</xdr:row>
      <xdr:rowOff>72116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161924</xdr:rowOff>
    </xdr:from>
    <xdr:to>
      <xdr:col>9</xdr:col>
      <xdr:colOff>457200</xdr:colOff>
      <xdr:row>32</xdr:row>
      <xdr:rowOff>133349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76199</xdr:colOff>
      <xdr:row>15</xdr:row>
      <xdr:rowOff>9525</xdr:rowOff>
    </xdr:from>
    <xdr:to>
      <xdr:col>17</xdr:col>
      <xdr:colOff>180974</xdr:colOff>
      <xdr:row>40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76200</xdr:colOff>
      <xdr:row>15</xdr:row>
      <xdr:rowOff>9524</xdr:rowOff>
    </xdr:from>
    <xdr:to>
      <xdr:col>18</xdr:col>
      <xdr:colOff>419100</xdr:colOff>
      <xdr:row>44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581024</xdr:colOff>
      <xdr:row>1</xdr:row>
      <xdr:rowOff>161924</xdr:rowOff>
    </xdr:from>
    <xdr:to>
      <xdr:col>15</xdr:col>
      <xdr:colOff>704849</xdr:colOff>
      <xdr:row>21</xdr:row>
      <xdr:rowOff>171449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76200</xdr:colOff>
      <xdr:row>15</xdr:row>
      <xdr:rowOff>9524</xdr:rowOff>
    </xdr:from>
    <xdr:to>
      <xdr:col>22</xdr:col>
      <xdr:colOff>457200</xdr:colOff>
      <xdr:row>41</xdr:row>
      <xdr:rowOff>95249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76200</xdr:colOff>
      <xdr:row>15</xdr:row>
      <xdr:rowOff>9525</xdr:rowOff>
    </xdr:from>
    <xdr:to>
      <xdr:col>17</xdr:col>
      <xdr:colOff>457200</xdr:colOff>
      <xdr:row>30</xdr:row>
      <xdr:rowOff>38100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5:F13"/>
  <sheetViews>
    <sheetView zoomScale="70" zoomScaleNormal="70" workbookViewId="0">
      <selection activeCell="K32" sqref="K32"/>
    </sheetView>
  </sheetViews>
  <sheetFormatPr defaultColWidth="11" defaultRowHeight="14.25" x14ac:dyDescent="0.2"/>
  <cols>
    <col min="1" max="11" width="11" style="1"/>
    <col min="12" max="12" width="12.25" style="1" bestFit="1" customWidth="1"/>
    <col min="13" max="16384" width="11" style="1"/>
  </cols>
  <sheetData>
    <row r="5" spans="5:6" x14ac:dyDescent="0.2">
      <c r="E5" s="1" t="s">
        <v>1</v>
      </c>
      <c r="F5" s="1" t="s">
        <v>7</v>
      </c>
    </row>
    <row r="6" spans="5:6" x14ac:dyDescent="0.2">
      <c r="E6" s="1" t="s">
        <v>0</v>
      </c>
      <c r="F6" s="1" t="s">
        <v>9</v>
      </c>
    </row>
    <row r="7" spans="5:6" x14ac:dyDescent="0.2">
      <c r="E7" s="1" t="s">
        <v>2</v>
      </c>
      <c r="F7" s="1">
        <v>12000</v>
      </c>
    </row>
    <row r="8" spans="5:6" x14ac:dyDescent="0.2">
      <c r="E8" s="1" t="s">
        <v>3</v>
      </c>
      <c r="F8" s="1">
        <v>0.04</v>
      </c>
    </row>
    <row r="9" spans="5:6" x14ac:dyDescent="0.2">
      <c r="E9" s="1" t="s">
        <v>4</v>
      </c>
      <c r="F9" s="1">
        <v>0.01</v>
      </c>
    </row>
    <row r="10" spans="5:6" x14ac:dyDescent="0.2">
      <c r="E10" s="1" t="s">
        <v>5</v>
      </c>
      <c r="F10" s="1">
        <v>0.25</v>
      </c>
    </row>
    <row r="13" spans="5:6" x14ac:dyDescent="0.2">
      <c r="F13" s="1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6:AG1212"/>
  <sheetViews>
    <sheetView tabSelected="1" zoomScale="70" zoomScaleNormal="70" workbookViewId="0">
      <selection activeCell="P17" sqref="P17"/>
    </sheetView>
  </sheetViews>
  <sheetFormatPr defaultColWidth="11" defaultRowHeight="14.25" x14ac:dyDescent="0.2"/>
  <cols>
    <col min="1" max="19" width="11" style="1"/>
    <col min="20" max="20" width="14.25" style="1" bestFit="1" customWidth="1"/>
    <col min="21" max="22" width="12.375" style="1" bestFit="1" customWidth="1"/>
    <col min="23" max="23" width="16.5" style="1" bestFit="1" customWidth="1"/>
    <col min="24" max="24" width="12.375" style="1" bestFit="1" customWidth="1"/>
    <col min="25" max="25" width="11.125" style="1" bestFit="1" customWidth="1"/>
    <col min="26" max="29" width="11" style="1"/>
    <col min="30" max="30" width="12.25" style="1" bestFit="1" customWidth="1"/>
    <col min="31" max="16384" width="11" style="1"/>
  </cols>
  <sheetData>
    <row r="6" spans="2:33" ht="15" x14ac:dyDescent="0.25">
      <c r="S6" s="1">
        <v>18</v>
      </c>
      <c r="T6" s="7">
        <f>8%*S6*8%</f>
        <v>0.1152</v>
      </c>
      <c r="U6" s="1">
        <f>sigma*sigma/alpha/alpha*(S6+2/alpha*EXP(-alpha*S6)-1/2/alpha*EXP(-2*alpha*S6)-3/2/alpha)</f>
        <v>0.11725098840450432</v>
      </c>
      <c r="V6" s="1">
        <f>2*sigma/alpha*corel*(S6-1/alpha*(1-EXP(-alpha*S6)))</f>
        <v>0.64610079987491176</v>
      </c>
      <c r="W6" s="5">
        <f>U6-T6</f>
        <v>2.0509884045043225E-3</v>
      </c>
      <c r="X6" s="1">
        <f>V6*V6-4*W6*S6</f>
        <v>0.26977507847468957</v>
      </c>
      <c r="Y6" s="3">
        <f>(-V6+SQRT(X6))/2/S6</f>
        <v>-3.5195009315473697E-3</v>
      </c>
    </row>
    <row r="11" spans="2:33" x14ac:dyDescent="0.2">
      <c r="C11" s="1">
        <v>0</v>
      </c>
      <c r="D11" s="1">
        <v>0</v>
      </c>
      <c r="E11" s="1">
        <v>1</v>
      </c>
      <c r="G11" s="1">
        <v>0</v>
      </c>
      <c r="H11" s="1">
        <v>0</v>
      </c>
      <c r="I11" s="1">
        <v>1</v>
      </c>
      <c r="K11" s="1">
        <v>0</v>
      </c>
      <c r="L11" s="1">
        <v>0</v>
      </c>
      <c r="M11" s="1">
        <v>1</v>
      </c>
      <c r="O11" s="1">
        <v>0</v>
      </c>
      <c r="P11" s="1">
        <v>0</v>
      </c>
      <c r="R11" s="1">
        <v>0</v>
      </c>
      <c r="V11" s="1">
        <v>2</v>
      </c>
      <c r="W11" s="1">
        <v>1</v>
      </c>
      <c r="X11" s="1" t="s">
        <v>6</v>
      </c>
    </row>
    <row r="12" spans="2:33" ht="15" x14ac:dyDescent="0.25">
      <c r="B12" s="1">
        <v>1</v>
      </c>
      <c r="C12" s="1">
        <v>0.9999997383545508</v>
      </c>
      <c r="D12" s="1">
        <v>1.0091769214894037</v>
      </c>
      <c r="E12" s="1">
        <v>0.99090009715243765</v>
      </c>
      <c r="G12" s="1">
        <v>0.99999646761142069</v>
      </c>
      <c r="H12" s="1">
        <v>1.0852424858265532</v>
      </c>
      <c r="I12" s="1">
        <v>0.92099983277758335</v>
      </c>
      <c r="K12" s="1">
        <v>0.99999961725938824</v>
      </c>
      <c r="L12" s="1">
        <v>1.0955317872850858</v>
      </c>
      <c r="M12" s="1">
        <v>0.91227843796262953</v>
      </c>
      <c r="O12" s="1">
        <v>4.8785300414055563E-4</v>
      </c>
      <c r="P12" s="1">
        <v>0.9999593464093679</v>
      </c>
      <c r="R12" s="1">
        <v>9.1901099015218955E-3</v>
      </c>
      <c r="S12" s="2">
        <f>optim_vol_implied(P12,R12)</f>
        <v>2.3087955661811238E-2</v>
      </c>
      <c r="T12" s="4">
        <f>S12*S12</f>
        <v>5.3305369664176155E-4</v>
      </c>
      <c r="U12" s="1">
        <f t="shared" ref="U12:U56" si="0">sigma*sigma/alpha/alpha*(B12/12+2/alpha*EXP(-alpha*B12/12)-1/2/alpha*EXP(-2*alpha*B12/12)-3/2/alpha)</f>
        <v>1.9241972903927262E-8</v>
      </c>
      <c r="V12" s="6">
        <f>2*sigma/alpha*corel*(B12/12-1/alpha*(1-EXP(-alpha*Output!B12/12)))</f>
        <v>1.7341837051898859E-5</v>
      </c>
      <c r="W12" s="5">
        <f>U12-T12</f>
        <v>-5.3303445466885762E-4</v>
      </c>
      <c r="X12" s="1">
        <f>V12*V12-4*W12*B12/12</f>
        <v>1.7767845229559821E-4</v>
      </c>
      <c r="Y12" s="3">
        <f>(-V12+SQRT(X12))/2/B12*12</f>
        <v>7.9873597621803766E-2</v>
      </c>
      <c r="Z12" s="1">
        <f>S12/SQRT(B12/12)</f>
        <v>7.9979024498309181E-2</v>
      </c>
      <c r="AA12" s="8">
        <v>0</v>
      </c>
      <c r="AB12" s="1">
        <v>8.3330000000000001E-2</v>
      </c>
      <c r="AC12" s="1">
        <v>5.0000000290000002E-4</v>
      </c>
      <c r="AD12" s="8">
        <f>(AC12-O12)*10000</f>
        <v>0.12146998759444386</v>
      </c>
      <c r="AE12" s="3">
        <f>AD12/AC12/10000</f>
        <v>2.4293997377983587E-2</v>
      </c>
      <c r="AF12" s="11">
        <f>AA12</f>
        <v>0</v>
      </c>
      <c r="AG12" s="1">
        <f>Z12</f>
        <v>7.9979024498309181E-2</v>
      </c>
    </row>
    <row r="13" spans="2:33" ht="15" x14ac:dyDescent="0.25">
      <c r="B13" s="1">
        <v>2</v>
      </c>
      <c r="C13" s="1">
        <v>0.99999948513628789</v>
      </c>
      <c r="D13" s="1">
        <v>1.0123396927755772</v>
      </c>
      <c r="E13" s="1">
        <v>0.98779794377489627</v>
      </c>
      <c r="G13" s="1">
        <v>0.99999204606546521</v>
      </c>
      <c r="H13" s="1">
        <v>1.116438090898356</v>
      </c>
      <c r="I13" s="1">
        <v>0.89482490464793729</v>
      </c>
      <c r="K13" s="1">
        <v>0.99998476394275315</v>
      </c>
      <c r="L13" s="1">
        <v>1.1219890581805458</v>
      </c>
      <c r="M13" s="1">
        <v>0.89033921631244684</v>
      </c>
      <c r="O13" s="1">
        <v>4.9689879021003083E-4</v>
      </c>
      <c r="P13" s="1">
        <v>0.99991718696415377</v>
      </c>
      <c r="R13" s="1">
        <v>1.2911664689906732E-2</v>
      </c>
      <c r="S13" s="2">
        <f>optim_vol_implied(P13,R13)</f>
        <v>3.2471026049104693E-2</v>
      </c>
      <c r="T13" s="4">
        <f t="shared" ref="T13:T56" si="1">S13*S13</f>
        <v>1.0543675326816354E-3</v>
      </c>
      <c r="U13" s="1">
        <f t="shared" si="0"/>
        <v>1.5355177751530391E-7</v>
      </c>
      <c r="V13" s="6">
        <f>2*sigma/alpha*corel*(B13/12-1/alpha*(1-EXP(-alpha*Output!B13/12)))</f>
        <v>6.9290380315948502E-5</v>
      </c>
      <c r="W13" s="5">
        <f t="shared" ref="W13:W56" si="2">U13-T13</f>
        <v>-1.0542139809041201E-3</v>
      </c>
      <c r="X13" s="1">
        <f t="shared" ref="X13:X56" si="3">V13*V13-4*W13*B13/12</f>
        <v>7.0281412175955107E-4</v>
      </c>
      <c r="Y13" s="3">
        <f t="shared" ref="Y13:Y56" si="4">(-V13+SQRT(X13))/2/B13*12</f>
        <v>7.9324053869301719E-2</v>
      </c>
      <c r="Z13" s="1">
        <f t="shared" ref="Z13:Z76" si="5">S13/SQRT(B13/12)</f>
        <v>7.9537445244927327E-2</v>
      </c>
      <c r="AA13" s="8">
        <f>AA12+1/12</f>
        <v>8.3333333333333329E-2</v>
      </c>
      <c r="AB13" s="1">
        <v>0.16669999999999999</v>
      </c>
      <c r="AC13" s="1">
        <v>5.0000000000000001E-4</v>
      </c>
      <c r="AD13" s="8">
        <f t="shared" ref="AD13:AD76" si="6">(AC13-O13)*10000</f>
        <v>3.1012097899691792E-2</v>
      </c>
      <c r="AE13" s="3">
        <f t="shared" ref="AE13:AE76" si="7">AD13/AC13/10000</f>
        <v>6.2024195799383584E-3</v>
      </c>
      <c r="AF13" s="11">
        <f t="shared" ref="AF13:AF76" si="8">AA13</f>
        <v>8.3333333333333329E-2</v>
      </c>
      <c r="AG13" s="1">
        <f t="shared" ref="AG13:AG76" si="9">Z13</f>
        <v>7.9537445244927327E-2</v>
      </c>
    </row>
    <row r="14" spans="2:33" ht="15" x14ac:dyDescent="0.25">
      <c r="B14" s="1">
        <v>3</v>
      </c>
      <c r="C14" s="1">
        <v>0.99999912346041275</v>
      </c>
      <c r="D14" s="1">
        <v>1.0144181739652227</v>
      </c>
      <c r="E14" s="1">
        <v>0.98576770386726953</v>
      </c>
      <c r="G14" s="1">
        <v>0.99997615327833123</v>
      </c>
      <c r="H14" s="1">
        <v>1.1378727072718411</v>
      </c>
      <c r="I14" s="1">
        <v>0.87753698293102778</v>
      </c>
      <c r="K14" s="1">
        <v>0.99998474066388876</v>
      </c>
      <c r="L14" s="1">
        <v>1.1481943860490109</v>
      </c>
      <c r="M14" s="1">
        <v>0.86951470536509379</v>
      </c>
      <c r="O14" s="1">
        <v>4.9865718535607425E-4</v>
      </c>
      <c r="P14" s="1">
        <v>0.99987534347393148</v>
      </c>
      <c r="R14" s="1">
        <v>1.5853737380024581E-2</v>
      </c>
      <c r="S14" s="2">
        <f t="shared" ref="S14:S77" si="10">optim_vol_implied(P14,R14)</f>
        <v>3.990039552248556E-2</v>
      </c>
      <c r="T14" s="4">
        <f t="shared" si="1"/>
        <v>1.5920415628507857E-3</v>
      </c>
      <c r="U14" s="1">
        <f t="shared" si="0"/>
        <v>5.1694524749734683E-7</v>
      </c>
      <c r="V14" s="6">
        <f>2*sigma/alpha*corel*(B14/12-1/alpha*(1-EXP(-alpha*Output!B14/12)))</f>
        <v>1.5573046615033337E-4</v>
      </c>
      <c r="W14" s="5">
        <f t="shared" si="2"/>
        <v>-1.5915246176032884E-3</v>
      </c>
      <c r="X14" s="1">
        <f t="shared" si="3"/>
        <v>1.5915488695813758E-3</v>
      </c>
      <c r="Y14" s="3">
        <f t="shared" si="4"/>
        <v>7.9476981077338194E-2</v>
      </c>
      <c r="Z14" s="1">
        <f t="shared" si="5"/>
        <v>7.980079104497112E-2</v>
      </c>
      <c r="AA14" s="8">
        <f t="shared" ref="AA14:AA77" si="11">AA13+1/12</f>
        <v>0.16666666666666666</v>
      </c>
      <c r="AB14" s="1">
        <v>0.25</v>
      </c>
      <c r="AC14" s="1">
        <v>4.999999971E-4</v>
      </c>
      <c r="AD14" s="8">
        <f t="shared" si="6"/>
        <v>1.3428117439257545E-2</v>
      </c>
      <c r="AE14" s="3">
        <f t="shared" si="7"/>
        <v>2.6856235034281254E-3</v>
      </c>
      <c r="AF14" s="11">
        <f t="shared" si="8"/>
        <v>0.16666666666666666</v>
      </c>
      <c r="AG14" s="1">
        <f t="shared" si="9"/>
        <v>7.980079104497112E-2</v>
      </c>
    </row>
    <row r="15" spans="2:33" ht="15" x14ac:dyDescent="0.25">
      <c r="B15" s="1">
        <v>4</v>
      </c>
      <c r="C15" s="1">
        <v>0.99999911064876246</v>
      </c>
      <c r="D15" s="1">
        <v>1.0168919375454519</v>
      </c>
      <c r="E15" s="1">
        <v>0.98336341610956912</v>
      </c>
      <c r="G15" s="1">
        <v>0.99998760599828473</v>
      </c>
      <c r="H15" s="1">
        <v>1.1636037836230084</v>
      </c>
      <c r="I15" s="1">
        <v>0.85770988613789667</v>
      </c>
      <c r="K15" s="1">
        <v>0.99999384096476041</v>
      </c>
      <c r="L15" s="1">
        <v>1.2089081595549325</v>
      </c>
      <c r="M15" s="1">
        <v>0.82541138965206451</v>
      </c>
      <c r="O15" s="1">
        <v>4.9846826526778003E-4</v>
      </c>
      <c r="P15" s="1">
        <v>0.99983385771473576</v>
      </c>
      <c r="R15" s="1">
        <v>1.8380554458067831E-2</v>
      </c>
      <c r="S15" s="2">
        <f t="shared" si="10"/>
        <v>4.6288898863387856E-2</v>
      </c>
      <c r="T15" s="4">
        <f t="shared" si="1"/>
        <v>2.1426621579849494E-3</v>
      </c>
      <c r="U15" s="1">
        <f t="shared" si="0"/>
        <v>1.2222986756071919E-6</v>
      </c>
      <c r="V15" s="6">
        <f>2*sigma/alpha*corel*(B15/12-1/alpha*(1-EXP(-alpha*Output!B15/12)))</f>
        <v>2.765473141531985E-4</v>
      </c>
      <c r="W15" s="5">
        <f t="shared" si="2"/>
        <v>-2.1414398593093422E-3</v>
      </c>
      <c r="X15" s="1">
        <f t="shared" si="3"/>
        <v>2.8553296241627547E-3</v>
      </c>
      <c r="Y15" s="3">
        <f t="shared" si="4"/>
        <v>7.9738105702511802E-2</v>
      </c>
      <c r="Z15" s="1">
        <f t="shared" si="5"/>
        <v>8.0174724657805022E-2</v>
      </c>
      <c r="AA15" s="8">
        <f t="shared" si="11"/>
        <v>0.25</v>
      </c>
      <c r="AB15" s="1">
        <v>0.33329999999999999</v>
      </c>
      <c r="AC15" s="1">
        <v>5.0000000000000001E-4</v>
      </c>
      <c r="AD15" s="8">
        <f t="shared" si="6"/>
        <v>1.5317347322199798E-2</v>
      </c>
      <c r="AE15" s="3">
        <f t="shared" si="7"/>
        <v>3.0634694644399597E-3</v>
      </c>
      <c r="AF15" s="11">
        <f t="shared" si="8"/>
        <v>0.25</v>
      </c>
      <c r="AG15" s="1">
        <f t="shared" si="9"/>
        <v>8.0174724657805022E-2</v>
      </c>
    </row>
    <row r="16" spans="2:33" ht="15" x14ac:dyDescent="0.25">
      <c r="B16" s="1">
        <v>5</v>
      </c>
      <c r="C16" s="1">
        <v>0.99999863507941589</v>
      </c>
      <c r="D16" s="1">
        <v>1.0201052427015513</v>
      </c>
      <c r="E16" s="1">
        <v>0.98025967330961461</v>
      </c>
      <c r="G16" s="1">
        <v>0.99996079052579867</v>
      </c>
      <c r="H16" s="1">
        <v>1.1966048937314391</v>
      </c>
      <c r="I16" s="1">
        <v>0.83364514948820345</v>
      </c>
      <c r="K16" s="1">
        <v>1.0000102154971764</v>
      </c>
      <c r="L16" s="1">
        <v>1.2575334065763044</v>
      </c>
      <c r="M16" s="1">
        <v>0.79310413983209216</v>
      </c>
      <c r="O16" s="1">
        <v>4.9982438355272826E-4</v>
      </c>
      <c r="P16" s="1">
        <v>0.99979176152482807</v>
      </c>
      <c r="R16" s="1">
        <v>2.0778471571079673E-2</v>
      </c>
      <c r="S16" s="2">
        <f t="shared" si="10"/>
        <v>5.2355662451260179E-2</v>
      </c>
      <c r="T16" s="4">
        <f t="shared" si="1"/>
        <v>2.741115390710295E-3</v>
      </c>
      <c r="U16" s="1">
        <f t="shared" si="0"/>
        <v>2.3813576541797943E-6</v>
      </c>
      <c r="V16" s="6">
        <f>2*sigma/alpha*corel*(B16/12-1/alpha*(1-EXP(-alpha*Output!B16/12)))</f>
        <v>4.3162652588799727E-4</v>
      </c>
      <c r="W16" s="5">
        <f t="shared" si="2"/>
        <v>-2.7387340330561152E-3</v>
      </c>
      <c r="X16" s="1">
        <f t="shared" si="3"/>
        <v>4.5647430232180417E-3</v>
      </c>
      <c r="Y16" s="3">
        <f t="shared" si="4"/>
        <v>8.0557506560694214E-2</v>
      </c>
      <c r="Z16" s="1">
        <f t="shared" si="5"/>
        <v>8.110904350135506E-2</v>
      </c>
      <c r="AA16" s="8">
        <f t="shared" si="11"/>
        <v>0.33333333333333331</v>
      </c>
      <c r="AB16" s="1">
        <v>0.41670000000000001</v>
      </c>
      <c r="AC16" s="1">
        <v>5.0000001080000001E-4</v>
      </c>
      <c r="AD16" s="8">
        <f t="shared" si="6"/>
        <v>1.7562724727174586E-3</v>
      </c>
      <c r="AE16" s="3">
        <f t="shared" si="7"/>
        <v>3.5125448695639481E-4</v>
      </c>
      <c r="AF16" s="11">
        <f t="shared" si="8"/>
        <v>0.33333333333333331</v>
      </c>
      <c r="AG16" s="1">
        <f t="shared" si="9"/>
        <v>8.110904350135506E-2</v>
      </c>
    </row>
    <row r="17" spans="2:33" ht="15" x14ac:dyDescent="0.25">
      <c r="B17" s="1">
        <v>6</v>
      </c>
      <c r="C17" s="1">
        <v>0.99999795057555951</v>
      </c>
      <c r="D17" s="1">
        <v>1.0211745402781622</v>
      </c>
      <c r="E17" s="1">
        <v>0.97922709839294753</v>
      </c>
      <c r="G17" s="1">
        <v>0.9999122934904684</v>
      </c>
      <c r="H17" s="1">
        <v>1.205604522327234</v>
      </c>
      <c r="I17" s="1">
        <v>0.8270154553737602</v>
      </c>
      <c r="K17" s="1">
        <v>1.0000367365671583</v>
      </c>
      <c r="L17" s="1">
        <v>1.3134121552294111</v>
      </c>
      <c r="M17" s="1">
        <v>0.75893299358515343</v>
      </c>
      <c r="O17" s="1">
        <v>5.004934130728477E-4</v>
      </c>
      <c r="P17" s="1">
        <v>0.99974978460255892</v>
      </c>
      <c r="R17" s="1">
        <v>2.2928302120798782E-2</v>
      </c>
      <c r="S17" s="2">
        <f t="shared" si="10"/>
        <v>5.7800801225816489E-2</v>
      </c>
      <c r="T17" s="4">
        <f t="shared" si="1"/>
        <v>3.340932622346349E-3</v>
      </c>
      <c r="U17" s="1">
        <f t="shared" si="0"/>
        <v>4.1047458578802321E-6</v>
      </c>
      <c r="V17" s="6">
        <f>2*sigma/alpha*corel*(B17/12-1/alpha*(1-EXP(-alpha*Output!B17/12)))</f>
        <v>6.2085408361016448E-4</v>
      </c>
      <c r="W17" s="5">
        <f t="shared" si="2"/>
        <v>-3.3368278764884687E-3</v>
      </c>
      <c r="X17" s="1">
        <f t="shared" si="3"/>
        <v>6.6740412127700727E-3</v>
      </c>
      <c r="Y17" s="3">
        <f t="shared" si="4"/>
        <v>8.1073951214952561E-2</v>
      </c>
      <c r="Z17" s="1">
        <f t="shared" si="5"/>
        <v>8.1742677009581086E-2</v>
      </c>
      <c r="AA17" s="8">
        <f t="shared" si="11"/>
        <v>0.41666666666666663</v>
      </c>
      <c r="AB17" s="1">
        <v>0.5</v>
      </c>
      <c r="AC17" s="1">
        <v>5.0000001639999997E-4</v>
      </c>
      <c r="AD17" s="8">
        <f t="shared" si="6"/>
        <v>-4.9339667284773684E-3</v>
      </c>
      <c r="AE17" s="3">
        <f t="shared" si="7"/>
        <v>-9.8679331332865309E-4</v>
      </c>
      <c r="AF17" s="11">
        <f t="shared" si="8"/>
        <v>0.41666666666666663</v>
      </c>
      <c r="AG17" s="1">
        <f t="shared" si="9"/>
        <v>8.1742677009581086E-2</v>
      </c>
    </row>
    <row r="18" spans="2:33" ht="15" x14ac:dyDescent="0.25">
      <c r="B18" s="1">
        <v>7</v>
      </c>
      <c r="C18" s="1">
        <v>0.99999799494513086</v>
      </c>
      <c r="D18" s="1">
        <v>1.0202628442228387</v>
      </c>
      <c r="E18" s="1">
        <v>0.98009604673158435</v>
      </c>
      <c r="G18" s="1">
        <v>0.99992271730508397</v>
      </c>
      <c r="H18" s="1">
        <v>1.1986334474161371</v>
      </c>
      <c r="I18" s="1">
        <v>0.83141647149723685</v>
      </c>
      <c r="K18" s="1">
        <v>1.0000309267508243</v>
      </c>
      <c r="L18" s="1">
        <v>1.3374761568878411</v>
      </c>
      <c r="M18" s="1">
        <v>0.74489809670829388</v>
      </c>
      <c r="O18" s="1">
        <v>4.99874960027691E-4</v>
      </c>
      <c r="P18" s="1">
        <v>0.99970844878263598</v>
      </c>
      <c r="R18" s="1">
        <v>2.4567285029577092E-2</v>
      </c>
      <c r="S18" s="2">
        <f t="shared" si="10"/>
        <v>6.1964441380035276E-2</v>
      </c>
      <c r="T18" s="4">
        <f t="shared" si="1"/>
        <v>3.8395919955398279E-3</v>
      </c>
      <c r="U18" s="1">
        <f t="shared" si="0"/>
        <v>6.5019737585103599E-6</v>
      </c>
      <c r="V18" s="6">
        <f>2*sigma/alpha*corel*(B18/12-1/alpha*(1-EXP(-alpha*Output!B18/12)))</f>
        <v>8.4411634900290189E-4</v>
      </c>
      <c r="W18" s="5">
        <f t="shared" si="2"/>
        <v>-3.8330900217813176E-3</v>
      </c>
      <c r="X18" s="1">
        <f t="shared" si="3"/>
        <v>8.9445892499003948E-3</v>
      </c>
      <c r="Y18" s="3">
        <f t="shared" si="4"/>
        <v>8.0341476228767278E-2</v>
      </c>
      <c r="Z18" s="1">
        <f t="shared" si="5"/>
        <v>8.1130498005618723E-2</v>
      </c>
      <c r="AA18" s="8">
        <f t="shared" si="11"/>
        <v>0.49999999999999994</v>
      </c>
      <c r="AB18" s="1">
        <v>0.58330000000000004</v>
      </c>
      <c r="AC18" s="1">
        <v>5.0000000000000001E-4</v>
      </c>
      <c r="AD18" s="8">
        <f t="shared" si="6"/>
        <v>1.2503997230900801E-3</v>
      </c>
      <c r="AE18" s="3">
        <f t="shared" si="7"/>
        <v>2.5007994461801603E-4</v>
      </c>
      <c r="AF18" s="11">
        <f t="shared" si="8"/>
        <v>0.49999999999999994</v>
      </c>
      <c r="AG18" s="1">
        <f t="shared" si="9"/>
        <v>8.1130498005618723E-2</v>
      </c>
    </row>
    <row r="19" spans="2:33" ht="15" x14ac:dyDescent="0.25">
      <c r="B19" s="1">
        <v>8</v>
      </c>
      <c r="C19" s="1">
        <v>0.99999774094708882</v>
      </c>
      <c r="D19" s="1">
        <v>1.0226535980001561</v>
      </c>
      <c r="E19" s="1">
        <v>0.9777987639018153</v>
      </c>
      <c r="G19" s="1">
        <v>0.99990702717927327</v>
      </c>
      <c r="H19" s="1">
        <v>1.2188668604171071</v>
      </c>
      <c r="I19" s="1">
        <v>0.8172130609628987</v>
      </c>
      <c r="K19" s="1">
        <v>1.0000323373398383</v>
      </c>
      <c r="L19" s="1">
        <v>1.3804025476711046</v>
      </c>
      <c r="M19" s="1">
        <v>0.72137947331635299</v>
      </c>
      <c r="O19" s="1">
        <v>4.9971476883734238E-4</v>
      </c>
      <c r="P19" s="1">
        <v>0.99966691230680227</v>
      </c>
      <c r="R19" s="1">
        <v>2.6196257572546372E-2</v>
      </c>
      <c r="S19" s="2">
        <f t="shared" si="10"/>
        <v>6.6103662311264133E-2</v>
      </c>
      <c r="T19" s="4">
        <f t="shared" si="1"/>
        <v>4.3696941709616419E-3</v>
      </c>
      <c r="U19" s="1">
        <f t="shared" si="0"/>
        <v>9.6814472794193307E-6</v>
      </c>
      <c r="V19" s="6">
        <f>2*sigma/alpha*corel*(B19/12-1/alpha*(1-EXP(-alpha*Output!B19/12)))</f>
        <v>1.1013000619114616E-3</v>
      </c>
      <c r="W19" s="5">
        <f t="shared" si="2"/>
        <v>-4.3600127236822226E-3</v>
      </c>
      <c r="X19" s="1">
        <f t="shared" si="3"/>
        <v>1.1627913458312293E-2</v>
      </c>
      <c r="Y19" s="3">
        <f t="shared" si="4"/>
        <v>8.004862739648827E-2</v>
      </c>
      <c r="Z19" s="1">
        <f t="shared" si="5"/>
        <v>8.0960121395922222E-2</v>
      </c>
      <c r="AA19" s="8">
        <f t="shared" si="11"/>
        <v>0.58333333333333326</v>
      </c>
      <c r="AB19" s="1">
        <v>0.66669999999999996</v>
      </c>
      <c r="AC19" s="1">
        <v>4.9999995770000003E-4</v>
      </c>
      <c r="AD19" s="8">
        <f t="shared" si="6"/>
        <v>2.851888626576515E-3</v>
      </c>
      <c r="AE19" s="3">
        <f t="shared" si="7"/>
        <v>5.7037777356926263E-4</v>
      </c>
      <c r="AF19" s="11">
        <f t="shared" si="8"/>
        <v>0.58333333333333326</v>
      </c>
      <c r="AG19" s="1">
        <f t="shared" si="9"/>
        <v>8.0960121395922222E-2</v>
      </c>
    </row>
    <row r="20" spans="2:33" ht="15" x14ac:dyDescent="0.25">
      <c r="B20" s="1">
        <v>9</v>
      </c>
      <c r="C20" s="1">
        <v>0.99999775672821267</v>
      </c>
      <c r="D20" s="1">
        <v>1.0249981833212614</v>
      </c>
      <c r="E20" s="1">
        <v>0.97555618263757371</v>
      </c>
      <c r="G20" s="1">
        <v>0.99991077358741642</v>
      </c>
      <c r="H20" s="1">
        <v>1.2500970376189631</v>
      </c>
      <c r="I20" s="1">
        <v>0.79640581782572262</v>
      </c>
      <c r="K20" s="1">
        <v>1.0000261707242803</v>
      </c>
      <c r="L20" s="1">
        <v>1.4070620865057346</v>
      </c>
      <c r="M20" s="1">
        <v>0.70729407561536328</v>
      </c>
      <c r="O20" s="1">
        <v>4.9949877437711389E-4</v>
      </c>
      <c r="P20" s="1">
        <v>0.99962544608205628</v>
      </c>
      <c r="R20" s="1">
        <v>2.7734221615534835E-2</v>
      </c>
      <c r="S20" s="2">
        <f t="shared" si="10"/>
        <v>7.001493223370947E-2</v>
      </c>
      <c r="T20" s="4">
        <f t="shared" si="1"/>
        <v>4.9020907356909296E-3</v>
      </c>
      <c r="U20" s="1">
        <f t="shared" si="0"/>
        <v>1.3750476393958877E-5</v>
      </c>
      <c r="V20" s="6">
        <f>2*sigma/alpha*corel*(B20/12-1/alpha*(1-EXP(-alpha*Output!B20/12)))</f>
        <v>1.3922923390879832E-3</v>
      </c>
      <c r="W20" s="5">
        <f t="shared" si="2"/>
        <v>-4.8883402592969707E-3</v>
      </c>
      <c r="X20" s="1">
        <f t="shared" si="3"/>
        <v>1.4666959255848395E-2</v>
      </c>
      <c r="Y20" s="3">
        <f t="shared" si="4"/>
        <v>7.9809953204409298E-2</v>
      </c>
      <c r="Z20" s="1">
        <f t="shared" si="5"/>
        <v>8.0846279944851149E-2</v>
      </c>
      <c r="AA20" s="8">
        <f t="shared" si="11"/>
        <v>0.66666666666666663</v>
      </c>
      <c r="AB20" s="1">
        <v>0.75</v>
      </c>
      <c r="AC20" s="1">
        <v>4.9999993739999996E-4</v>
      </c>
      <c r="AD20" s="8">
        <f t="shared" si="6"/>
        <v>5.0116302288607129E-3</v>
      </c>
      <c r="AE20" s="3">
        <f t="shared" si="7"/>
        <v>1.0023261712633793E-3</v>
      </c>
      <c r="AF20" s="11">
        <f t="shared" si="8"/>
        <v>0.66666666666666663</v>
      </c>
      <c r="AG20" s="1">
        <f t="shared" si="9"/>
        <v>8.0846279944851149E-2</v>
      </c>
    </row>
    <row r="21" spans="2:33" ht="15" x14ac:dyDescent="0.25">
      <c r="B21" s="1">
        <v>10</v>
      </c>
      <c r="C21" s="1">
        <v>0.99999779705182068</v>
      </c>
      <c r="D21" s="1">
        <v>1.0266827199885311</v>
      </c>
      <c r="E21" s="1">
        <v>0.97394962659622553</v>
      </c>
      <c r="G21" s="1">
        <v>0.99991444030637888</v>
      </c>
      <c r="H21" s="1">
        <v>1.2651016533748338</v>
      </c>
      <c r="I21" s="1">
        <v>0.78657354872482188</v>
      </c>
      <c r="K21" s="1">
        <v>1.0000479177388548</v>
      </c>
      <c r="L21" s="1">
        <v>1.3997629908436411</v>
      </c>
      <c r="M21" s="1">
        <v>0.71062988001711036</v>
      </c>
      <c r="O21" s="1">
        <v>4.9991055420563516E-4</v>
      </c>
      <c r="P21" s="1">
        <v>0.99958349463394747</v>
      </c>
      <c r="R21" s="1">
        <v>2.9456197044459315E-2</v>
      </c>
      <c r="S21" s="2">
        <f t="shared" si="10"/>
        <v>7.4388918530984033E-2</v>
      </c>
      <c r="T21" s="4">
        <f t="shared" si="1"/>
        <v>5.5337112002093796E-3</v>
      </c>
      <c r="U21" s="1">
        <f t="shared" si="0"/>
        <v>1.8815283650219783E-5</v>
      </c>
      <c r="V21" s="6">
        <f>2*sigma/alpha*corel*(B21/12-1/alpha*(1-EXP(-alpha*Output!B21/12)))</f>
        <v>1.7169806729351172E-3</v>
      </c>
      <c r="W21" s="5">
        <f t="shared" si="2"/>
        <v>-5.5148959165591599E-3</v>
      </c>
      <c r="X21" s="1">
        <f t="shared" si="3"/>
        <v>1.8385934411161767E-2</v>
      </c>
      <c r="Y21" s="3">
        <f t="shared" si="4"/>
        <v>8.0326657577497546E-2</v>
      </c>
      <c r="Z21" s="1">
        <f t="shared" si="5"/>
        <v>8.1488977415668032E-2</v>
      </c>
      <c r="AA21" s="8">
        <f t="shared" si="11"/>
        <v>0.75</v>
      </c>
      <c r="AB21" s="1">
        <v>0.83330000000000004</v>
      </c>
      <c r="AC21" s="1">
        <v>5.0000000000000001E-4</v>
      </c>
      <c r="AD21" s="8">
        <f t="shared" si="6"/>
        <v>8.9445794364847835E-4</v>
      </c>
      <c r="AE21" s="3">
        <f t="shared" si="7"/>
        <v>1.7889158872969567E-4</v>
      </c>
      <c r="AF21" s="11">
        <f t="shared" si="8"/>
        <v>0.75</v>
      </c>
      <c r="AG21" s="1">
        <f t="shared" si="9"/>
        <v>8.1488977415668032E-2</v>
      </c>
    </row>
    <row r="22" spans="2:33" ht="15" x14ac:dyDescent="0.25">
      <c r="B22" s="1">
        <v>11</v>
      </c>
      <c r="C22" s="1">
        <v>0.99999791257493653</v>
      </c>
      <c r="D22" s="1">
        <v>1.0286391295857518</v>
      </c>
      <c r="E22" s="1">
        <v>0.97209138292018016</v>
      </c>
      <c r="G22" s="1">
        <v>0.99992220014876276</v>
      </c>
      <c r="H22" s="1">
        <v>1.2878307371480742</v>
      </c>
      <c r="I22" s="1">
        <v>0.77231170084409351</v>
      </c>
      <c r="K22" s="1">
        <v>1.0000814309836628</v>
      </c>
      <c r="L22" s="1">
        <v>1.3948445147586586</v>
      </c>
      <c r="M22" s="1">
        <v>0.71273244521160373</v>
      </c>
      <c r="O22" s="1">
        <v>5.0004588051850225E-4</v>
      </c>
      <c r="P22" s="1">
        <v>0.99954172964747445</v>
      </c>
      <c r="R22" s="1">
        <v>3.1066323442201473E-2</v>
      </c>
      <c r="S22" s="2">
        <f t="shared" si="10"/>
        <v>7.8482551572168463E-2</v>
      </c>
      <c r="T22" s="4">
        <f t="shared" si="1"/>
        <v>6.1595109012780825E-3</v>
      </c>
      <c r="U22" s="1">
        <f t="shared" si="0"/>
        <v>2.4981012649138989E-5</v>
      </c>
      <c r="V22" s="6">
        <f>2*sigma/alpha*corel*(B22/12-1/alpha*(1-EXP(-alpha*Output!B22/12)))</f>
        <v>2.0752529302563716E-3</v>
      </c>
      <c r="W22" s="5">
        <f t="shared" si="2"/>
        <v>-6.1345298886289435E-3</v>
      </c>
      <c r="X22" s="1">
        <f t="shared" si="3"/>
        <v>2.2497582933030669E-2</v>
      </c>
      <c r="Y22" s="3">
        <f t="shared" si="4"/>
        <v>8.0681830889157799E-2</v>
      </c>
      <c r="Z22" s="1">
        <f t="shared" si="5"/>
        <v>8.1972351666631527E-2</v>
      </c>
      <c r="AA22" s="8">
        <f t="shared" si="11"/>
        <v>0.83333333333333337</v>
      </c>
      <c r="AB22" s="1">
        <v>0.91669999999999996</v>
      </c>
      <c r="AC22" s="1">
        <v>5.0000015850000003E-4</v>
      </c>
      <c r="AD22" s="8">
        <f t="shared" si="6"/>
        <v>-4.5722018502227305E-4</v>
      </c>
      <c r="AE22" s="3">
        <f t="shared" si="7"/>
        <v>-9.1444008016704055E-5</v>
      </c>
      <c r="AF22" s="11">
        <f t="shared" si="8"/>
        <v>0.83333333333333337</v>
      </c>
      <c r="AG22" s="1">
        <f t="shared" si="9"/>
        <v>8.1972351666631527E-2</v>
      </c>
    </row>
    <row r="23" spans="2:33" ht="15" x14ac:dyDescent="0.25">
      <c r="B23" s="1">
        <v>12</v>
      </c>
      <c r="C23" s="1">
        <v>0.99999734695796028</v>
      </c>
      <c r="D23" s="1">
        <v>1.0316896949733607</v>
      </c>
      <c r="E23" s="1">
        <v>0.96921125256747764</v>
      </c>
      <c r="G23" s="1">
        <v>0.99987393204959751</v>
      </c>
      <c r="H23" s="1">
        <v>1.3219177529181327</v>
      </c>
      <c r="I23" s="1">
        <v>0.75202734945629757</v>
      </c>
      <c r="K23" s="1">
        <v>1.0000884282992517</v>
      </c>
      <c r="L23" s="1">
        <v>1.4178115009081667</v>
      </c>
      <c r="M23" s="1">
        <v>0.70080130483440584</v>
      </c>
      <c r="O23" s="1">
        <v>5.0006257313671171E-4</v>
      </c>
      <c r="P23" s="1">
        <v>0.99950006243731326</v>
      </c>
      <c r="R23" s="1">
        <v>3.2501602496779143E-2</v>
      </c>
      <c r="S23" s="2">
        <f t="shared" si="10"/>
        <v>8.2137788974020409E-2</v>
      </c>
      <c r="T23" s="4">
        <f t="shared" si="1"/>
        <v>6.7466163775407083E-3</v>
      </c>
      <c r="U23" s="1">
        <f t="shared" si="0"/>
        <v>3.2351736450664248E-5</v>
      </c>
      <c r="V23" s="6">
        <f>2*sigma/alpha*corel*(B23/12-1/alpha*(1-EXP(-alpha*Output!B23/12)))</f>
        <v>2.466997351009928E-3</v>
      </c>
      <c r="W23" s="5">
        <f t="shared" si="2"/>
        <v>-6.7142646410900441E-3</v>
      </c>
      <c r="X23" s="1">
        <f t="shared" si="3"/>
        <v>2.6863144640290066E-2</v>
      </c>
      <c r="Y23" s="3">
        <f t="shared" si="4"/>
        <v>8.0716401629940898E-2</v>
      </c>
      <c r="Z23" s="1">
        <f t="shared" si="5"/>
        <v>8.2137788974020409E-2</v>
      </c>
      <c r="AA23" s="8">
        <f t="shared" si="11"/>
        <v>0.91666666666666674</v>
      </c>
      <c r="AB23" s="1">
        <v>1</v>
      </c>
      <c r="AC23" s="1">
        <v>5.0000023410000003E-4</v>
      </c>
      <c r="AD23" s="8">
        <f t="shared" si="6"/>
        <v>-6.233903671168297E-4</v>
      </c>
      <c r="AE23" s="3">
        <f t="shared" si="7"/>
        <v>-1.2467801504911929E-4</v>
      </c>
      <c r="AF23" s="11">
        <f t="shared" si="8"/>
        <v>0.91666666666666674</v>
      </c>
      <c r="AG23" s="1">
        <f t="shared" si="9"/>
        <v>8.2137788974020409E-2</v>
      </c>
    </row>
    <row r="24" spans="2:33" ht="15" x14ac:dyDescent="0.25">
      <c r="B24" s="1">
        <v>13</v>
      </c>
      <c r="C24" s="1">
        <v>0.99999756081693447</v>
      </c>
      <c r="D24" s="1">
        <v>1.0326398970795081</v>
      </c>
      <c r="E24" s="1">
        <v>0.96831367498358523</v>
      </c>
      <c r="G24" s="1">
        <v>0.9998857385195834</v>
      </c>
      <c r="H24" s="1">
        <v>1.3355850578139921</v>
      </c>
      <c r="I24" s="1">
        <v>0.74396621928386253</v>
      </c>
      <c r="K24" s="1">
        <v>1.0001060263750046</v>
      </c>
      <c r="L24" s="1">
        <v>1.4059426800775885</v>
      </c>
      <c r="M24" s="1">
        <v>0.70636568084799267</v>
      </c>
      <c r="O24" s="1">
        <v>4.9988153627534117E-4</v>
      </c>
      <c r="P24" s="1">
        <v>0.99945860827445165</v>
      </c>
      <c r="R24" s="1">
        <v>3.3860664755646253E-2</v>
      </c>
      <c r="S24" s="2">
        <f t="shared" si="10"/>
        <v>8.56018960243356E-2</v>
      </c>
      <c r="T24" s="4">
        <f t="shared" si="1"/>
        <v>7.3276846029611629E-3</v>
      </c>
      <c r="U24" s="1">
        <f t="shared" si="0"/>
        <v>4.1030465927072157E-5</v>
      </c>
      <c r="V24" s="6">
        <f>2*sigma/alpha*corel*(B24/12-1/alpha*(1-EXP(-alpha*Output!B24/12)))</f>
        <v>2.8921025470685646E-3</v>
      </c>
      <c r="W24" s="5">
        <f t="shared" si="2"/>
        <v>-7.2866541370340907E-3</v>
      </c>
      <c r="X24" s="1">
        <f t="shared" si="3"/>
        <v>3.1583865517623821E-2</v>
      </c>
      <c r="Y24" s="3">
        <f t="shared" si="4"/>
        <v>8.0689106874313229E-2</v>
      </c>
      <c r="Z24" s="1">
        <f t="shared" si="5"/>
        <v>8.2243641435551337E-2</v>
      </c>
      <c r="AA24" s="8">
        <f t="shared" si="11"/>
        <v>1</v>
      </c>
      <c r="AB24" s="1">
        <v>1.083</v>
      </c>
      <c r="AC24" s="1">
        <v>5.0006249999999996E-4</v>
      </c>
      <c r="AD24" s="8">
        <f t="shared" si="6"/>
        <v>1.8096372465879317E-3</v>
      </c>
      <c r="AE24" s="3">
        <f t="shared" si="7"/>
        <v>3.6188221404083129E-4</v>
      </c>
      <c r="AF24" s="11">
        <f t="shared" si="8"/>
        <v>1</v>
      </c>
      <c r="AG24" s="1">
        <f t="shared" si="9"/>
        <v>8.2243641435551337E-2</v>
      </c>
    </row>
    <row r="25" spans="2:33" ht="15" x14ac:dyDescent="0.25">
      <c r="B25" s="1">
        <v>14</v>
      </c>
      <c r="C25" s="1">
        <v>0.99999753574547268</v>
      </c>
      <c r="D25" s="1">
        <v>1.0354006241331151</v>
      </c>
      <c r="E25" s="1">
        <v>0.9657261433696871</v>
      </c>
      <c r="G25" s="1">
        <v>0.99987582253165952</v>
      </c>
      <c r="H25" s="1">
        <v>1.3595375331891444</v>
      </c>
      <c r="I25" s="1">
        <v>0.73050012230693484</v>
      </c>
      <c r="K25" s="1">
        <v>1.0000701647994623</v>
      </c>
      <c r="L25" s="1">
        <v>1.3894229176426365</v>
      </c>
      <c r="M25" s="1">
        <v>0.71436308901732737</v>
      </c>
      <c r="O25" s="1">
        <v>5.0035146386939408E-4</v>
      </c>
      <c r="P25" s="1">
        <v>0.99941642697050181</v>
      </c>
      <c r="R25" s="1">
        <v>3.505420011741131E-2</v>
      </c>
      <c r="S25" s="2">
        <f t="shared" si="10"/>
        <v>8.865188608428759E-2</v>
      </c>
      <c r="T25" s="4">
        <f t="shared" si="1"/>
        <v>7.8591569063015034E-3</v>
      </c>
      <c r="U25" s="1">
        <f t="shared" si="0"/>
        <v>5.1119158052781444E-5</v>
      </c>
      <c r="V25" s="6">
        <f>2*sigma/alpha*corel*(B25/12-1/alpha*(1-EXP(-alpha*Output!B25/12)))</f>
        <v>3.3504575009790927E-3</v>
      </c>
      <c r="W25" s="5">
        <f t="shared" si="2"/>
        <v>-7.808037748248722E-3</v>
      </c>
      <c r="X25" s="1">
        <f t="shared" si="3"/>
        <v>3.6448735057293236E-2</v>
      </c>
      <c r="Y25" s="3">
        <f t="shared" si="4"/>
        <v>8.0385025977633223E-2</v>
      </c>
      <c r="Z25" s="1">
        <f t="shared" si="5"/>
        <v>8.2075698019579993E-2</v>
      </c>
      <c r="AA25" s="8">
        <f t="shared" si="11"/>
        <v>1.0833333333333333</v>
      </c>
      <c r="AB25" s="1">
        <v>1.167</v>
      </c>
      <c r="AC25" s="1">
        <v>5.0011149119999997E-4</v>
      </c>
      <c r="AD25" s="8">
        <f t="shared" si="6"/>
        <v>-2.3997266939410674E-3</v>
      </c>
      <c r="AE25" s="3">
        <f t="shared" si="7"/>
        <v>-4.798383432828163E-4</v>
      </c>
      <c r="AF25" s="11">
        <f t="shared" si="8"/>
        <v>1.0833333333333333</v>
      </c>
      <c r="AG25" s="1">
        <f t="shared" si="9"/>
        <v>8.2075698019579993E-2</v>
      </c>
    </row>
    <row r="26" spans="2:33" ht="15" x14ac:dyDescent="0.25">
      <c r="B26" s="1">
        <v>15</v>
      </c>
      <c r="C26" s="1">
        <v>0.99999763356893168</v>
      </c>
      <c r="D26" s="1">
        <v>1.0357883766582878</v>
      </c>
      <c r="E26" s="1">
        <v>0.96535898157371614</v>
      </c>
      <c r="G26" s="1">
        <v>0.99987571844871437</v>
      </c>
      <c r="H26" s="1">
        <v>1.3708872343411695</v>
      </c>
      <c r="I26" s="1">
        <v>0.72409661480268828</v>
      </c>
      <c r="K26" s="1">
        <v>1.0000192319421468</v>
      </c>
      <c r="L26" s="1">
        <v>1.3802696551188069</v>
      </c>
      <c r="M26" s="1">
        <v>0.71872793264697143</v>
      </c>
      <c r="O26" s="1">
        <v>5.001242138532834E-4</v>
      </c>
      <c r="P26" s="1">
        <v>0.99937504010152345</v>
      </c>
      <c r="R26" s="1">
        <v>3.6087256596420869E-2</v>
      </c>
      <c r="S26" s="2">
        <f t="shared" si="10"/>
        <v>9.1298360972780018E-2</v>
      </c>
      <c r="T26" s="4">
        <f t="shared" si="1"/>
        <v>8.335390716316041E-3</v>
      </c>
      <c r="U26" s="1">
        <f t="shared" si="0"/>
        <v>6.2718724137766912E-5</v>
      </c>
      <c r="V26" s="6">
        <f>2*sigma/alpha*corel*(B26/12-1/alpha*(1-EXP(-alpha*Output!B26/12)))</f>
        <v>3.8419515647312996E-3</v>
      </c>
      <c r="W26" s="5">
        <f t="shared" si="2"/>
        <v>-8.2726719921782741E-3</v>
      </c>
      <c r="X26" s="1">
        <f t="shared" si="3"/>
        <v>4.1378120552717113E-2</v>
      </c>
      <c r="Y26" s="3">
        <f t="shared" si="4"/>
        <v>7.9829670006015582E-2</v>
      </c>
      <c r="Z26" s="1">
        <f t="shared" si="5"/>
        <v>8.1659736547779971E-2</v>
      </c>
      <c r="AA26" s="8">
        <f t="shared" si="11"/>
        <v>1.1666666666666665</v>
      </c>
      <c r="AB26" s="1">
        <v>1.25</v>
      </c>
      <c r="AC26" s="1">
        <v>5.001291698E-4</v>
      </c>
      <c r="AD26" s="8">
        <f t="shared" si="6"/>
        <v>4.9559467165966736E-5</v>
      </c>
      <c r="AE26" s="3">
        <f t="shared" si="7"/>
        <v>9.9093334599510355E-6</v>
      </c>
      <c r="AF26" s="11">
        <f t="shared" si="8"/>
        <v>1.1666666666666665</v>
      </c>
      <c r="AG26" s="1">
        <f t="shared" si="9"/>
        <v>8.1659736547779971E-2</v>
      </c>
    </row>
    <row r="27" spans="2:33" ht="15" x14ac:dyDescent="0.25">
      <c r="B27" s="1">
        <v>16</v>
      </c>
      <c r="C27" s="1">
        <v>0.99999756266281858</v>
      </c>
      <c r="D27" s="1">
        <v>1.0391716629570831</v>
      </c>
      <c r="E27" s="1">
        <v>0.96221043410240104</v>
      </c>
      <c r="G27" s="1">
        <v>0.99985941806231626</v>
      </c>
      <c r="H27" s="1">
        <v>1.4123876249855241</v>
      </c>
      <c r="I27" s="1">
        <v>0.70247541325039653</v>
      </c>
      <c r="K27" s="1">
        <v>1.0000361864677541</v>
      </c>
      <c r="L27" s="1">
        <v>1.38675036944209</v>
      </c>
      <c r="M27" s="1">
        <v>0.71498043685131085</v>
      </c>
      <c r="O27" s="1">
        <v>4.9994912571925594E-4</v>
      </c>
      <c r="P27" s="1">
        <v>0.99933362329335118</v>
      </c>
      <c r="R27" s="1">
        <v>3.7387893513567347E-2</v>
      </c>
      <c r="S27" s="2">
        <f t="shared" si="10"/>
        <v>9.461684854258276E-2</v>
      </c>
      <c r="T27" s="4">
        <f t="shared" si="1"/>
        <v>8.9523480281300458E-3</v>
      </c>
      <c r="U27" s="1">
        <f t="shared" si="0"/>
        <v>7.5929038000133176E-5</v>
      </c>
      <c r="V27" s="6">
        <f>2*sigma/alpha*corel*(B27/12-1/alpha*(1-EXP(-alpha*Output!B27/12)))</f>
        <v>4.3664744585277249E-3</v>
      </c>
      <c r="W27" s="5">
        <f t="shared" si="2"/>
        <v>-8.8764189901299126E-3</v>
      </c>
      <c r="X27" s="1">
        <f t="shared" si="3"/>
        <v>4.7359967379889845E-2</v>
      </c>
      <c r="Y27" s="3">
        <f t="shared" si="4"/>
        <v>7.9971367025637313E-2</v>
      </c>
      <c r="Z27" s="1">
        <f t="shared" si="5"/>
        <v>8.1940594463901312E-2</v>
      </c>
      <c r="AA27" s="8">
        <f t="shared" si="11"/>
        <v>1.2499999999999998</v>
      </c>
      <c r="AB27" s="1">
        <v>1.333</v>
      </c>
      <c r="AC27" s="1">
        <v>5.0012397669999995E-4</v>
      </c>
      <c r="AD27" s="8">
        <f t="shared" si="6"/>
        <v>1.7485098074401708E-3</v>
      </c>
      <c r="AE27" s="3">
        <f t="shared" si="7"/>
        <v>3.4961527319235422E-4</v>
      </c>
      <c r="AF27" s="11">
        <f t="shared" si="8"/>
        <v>1.2499999999999998</v>
      </c>
      <c r="AG27" s="1">
        <f t="shared" si="9"/>
        <v>8.1940594463901312E-2</v>
      </c>
    </row>
    <row r="28" spans="2:33" ht="15" x14ac:dyDescent="0.25">
      <c r="B28" s="1">
        <v>17</v>
      </c>
      <c r="C28" s="1">
        <v>0.99999810807234257</v>
      </c>
      <c r="D28" s="1">
        <v>1.0396301953242659</v>
      </c>
      <c r="E28" s="1">
        <v>0.96178051565995437</v>
      </c>
      <c r="G28" s="1">
        <v>0.99989015938727011</v>
      </c>
      <c r="H28" s="1">
        <v>1.4101400205931118</v>
      </c>
      <c r="I28" s="1">
        <v>0.7032497798123496</v>
      </c>
      <c r="K28" s="1">
        <v>1.000021332674055</v>
      </c>
      <c r="L28" s="1">
        <v>1.3941009012903969</v>
      </c>
      <c r="M28" s="1">
        <v>0.71084616763020714</v>
      </c>
      <c r="O28" s="1">
        <v>5.0007698657668917E-4</v>
      </c>
      <c r="P28" s="1">
        <v>0.99929180848841548</v>
      </c>
      <c r="R28" s="1">
        <v>3.8622535375356731E-2</v>
      </c>
      <c r="S28" s="2">
        <f t="shared" si="10"/>
        <v>9.7770561356474883E-2</v>
      </c>
      <c r="T28" s="4">
        <f t="shared" si="1"/>
        <v>9.5590826679602201E-3</v>
      </c>
      <c r="U28" s="1">
        <f t="shared" si="0"/>
        <v>9.0848944079624516E-5</v>
      </c>
      <c r="V28" s="6">
        <f>2*sigma/alpha*corel*(B28/12-1/alpha*(1-EXP(-alpha*Output!B28/12)))</f>
        <v>4.9239162695575989E-3</v>
      </c>
      <c r="W28" s="5">
        <f t="shared" si="2"/>
        <v>-9.4682337238805956E-3</v>
      </c>
      <c r="X28" s="1">
        <f t="shared" si="3"/>
        <v>5.3677569386752985E-2</v>
      </c>
      <c r="Y28" s="3">
        <f t="shared" si="4"/>
        <v>8.0033041969477609E-2</v>
      </c>
      <c r="Z28" s="1">
        <f t="shared" si="5"/>
        <v>8.2143701923026197E-2</v>
      </c>
      <c r="AA28" s="8">
        <f t="shared" si="11"/>
        <v>1.333333333333333</v>
      </c>
      <c r="AB28" s="1">
        <v>1.417</v>
      </c>
      <c r="AC28" s="1">
        <v>5.001043531E-4</v>
      </c>
      <c r="AD28" s="8">
        <f t="shared" si="6"/>
        <v>2.7366523310825251E-4</v>
      </c>
      <c r="AE28" s="3">
        <f t="shared" si="7"/>
        <v>5.4721625879055458E-5</v>
      </c>
      <c r="AF28" s="11">
        <f t="shared" si="8"/>
        <v>1.333333333333333</v>
      </c>
      <c r="AG28" s="1">
        <f t="shared" si="9"/>
        <v>8.2143701923026197E-2</v>
      </c>
    </row>
    <row r="29" spans="2:33" ht="15" x14ac:dyDescent="0.25">
      <c r="B29" s="1">
        <v>18</v>
      </c>
      <c r="C29" s="1">
        <v>0.99999848244771261</v>
      </c>
      <c r="D29" s="1">
        <v>1.0440374800921808</v>
      </c>
      <c r="E29" s="1">
        <v>0.95771500244550056</v>
      </c>
      <c r="G29" s="1">
        <v>0.99990784427310242</v>
      </c>
      <c r="H29" s="1">
        <v>1.4632950868540358</v>
      </c>
      <c r="I29" s="1">
        <v>0.67737126245396517</v>
      </c>
      <c r="K29" s="1">
        <v>0.99996863732143326</v>
      </c>
      <c r="L29" s="1">
        <v>1.4246532503390366</v>
      </c>
      <c r="M29" s="1">
        <v>0.69519090430479979</v>
      </c>
      <c r="O29" s="1">
        <v>5.0036920327644924E-4</v>
      </c>
      <c r="P29" s="1">
        <v>0.99924972779013721</v>
      </c>
      <c r="R29" s="1">
        <v>3.9635280499865519E-2</v>
      </c>
      <c r="S29" s="2">
        <f t="shared" si="10"/>
        <v>0.10036784990835057</v>
      </c>
      <c r="T29" s="4">
        <f t="shared" si="1"/>
        <v>1.0073705295225187E-2</v>
      </c>
      <c r="U29" s="1">
        <f t="shared" si="0"/>
        <v>1.0757626549784405E-4</v>
      </c>
      <c r="V29" s="6">
        <f>2*sigma/alpha*corel*(B29/12-1/alpha*(1-EXP(-alpha*Output!B29/12)))</f>
        <v>5.5141674507772631E-3</v>
      </c>
      <c r="W29" s="5">
        <f t="shared" si="2"/>
        <v>-9.9661290297273428E-3</v>
      </c>
      <c r="X29" s="1">
        <f t="shared" si="3"/>
        <v>5.9827180221039278E-2</v>
      </c>
      <c r="Y29" s="3">
        <f t="shared" si="4"/>
        <v>7.9693928514405002E-2</v>
      </c>
      <c r="Z29" s="1">
        <f t="shared" si="5"/>
        <v>8.1950006285235424E-2</v>
      </c>
      <c r="AA29" s="8">
        <f t="shared" si="11"/>
        <v>1.4166666666666663</v>
      </c>
      <c r="AB29" s="1">
        <v>1.5</v>
      </c>
      <c r="AC29" s="1">
        <v>5.0007874000000002E-4</v>
      </c>
      <c r="AD29" s="8">
        <f t="shared" si="6"/>
        <v>-2.9046327644922498E-3</v>
      </c>
      <c r="AE29" s="3">
        <f t="shared" si="7"/>
        <v>-5.8083508298958073E-4</v>
      </c>
      <c r="AF29" s="11">
        <f t="shared" si="8"/>
        <v>1.4166666666666663</v>
      </c>
      <c r="AG29" s="1">
        <f t="shared" si="9"/>
        <v>8.1950006285235424E-2</v>
      </c>
    </row>
    <row r="30" spans="2:33" ht="15" x14ac:dyDescent="0.25">
      <c r="B30" s="1">
        <v>19</v>
      </c>
      <c r="C30" s="1">
        <v>0.99999757473397</v>
      </c>
      <c r="D30" s="1">
        <v>1.0423541806856063</v>
      </c>
      <c r="E30" s="1">
        <v>0.9592561821252924</v>
      </c>
      <c r="G30" s="1">
        <v>0.99981799265485627</v>
      </c>
      <c r="H30" s="1">
        <v>1.4431313013194762</v>
      </c>
      <c r="I30" s="1">
        <v>0.68649867224795191</v>
      </c>
      <c r="K30" s="1">
        <v>0.99997036000011619</v>
      </c>
      <c r="L30" s="1">
        <v>1.4652384874893145</v>
      </c>
      <c r="M30" s="1">
        <v>0.67558363820075618</v>
      </c>
      <c r="O30" s="1">
        <v>5.0014611039301345E-4</v>
      </c>
      <c r="P30" s="1">
        <v>0.99920841546035488</v>
      </c>
      <c r="R30" s="1">
        <v>4.0829512585321366E-2</v>
      </c>
      <c r="S30" s="2">
        <f t="shared" si="10"/>
        <v>0.10342013350316176</v>
      </c>
      <c r="T30" s="4">
        <f t="shared" si="1"/>
        <v>1.0695724013811801E-2</v>
      </c>
      <c r="U30" s="1">
        <f t="shared" si="0"/>
        <v>1.2620781205407994E-4</v>
      </c>
      <c r="V30" s="6">
        <f>2*sigma/alpha*corel*(B30/12-1/alpha*(1-EXP(-alpha*Output!B30/12)))</f>
        <v>6.1371188196906179E-3</v>
      </c>
      <c r="W30" s="5">
        <f t="shared" si="2"/>
        <v>-1.0569516201757721E-2</v>
      </c>
      <c r="X30" s="1">
        <f t="shared" si="3"/>
        <v>6.6977933505205908E-2</v>
      </c>
      <c r="Y30" s="3">
        <f t="shared" si="4"/>
        <v>7.9788579356071518E-2</v>
      </c>
      <c r="Z30" s="1">
        <f t="shared" si="5"/>
        <v>8.2189987918154614E-2</v>
      </c>
      <c r="AA30" s="8">
        <f t="shared" si="11"/>
        <v>1.4999999999999996</v>
      </c>
      <c r="AB30" s="1">
        <v>1.583</v>
      </c>
      <c r="AC30" s="1">
        <v>5.0005557849999997E-4</v>
      </c>
      <c r="AD30" s="8">
        <f t="shared" si="6"/>
        <v>-9.053189301347353E-4</v>
      </c>
      <c r="AE30" s="3">
        <f t="shared" si="7"/>
        <v>-1.8104366175663721E-4</v>
      </c>
      <c r="AF30" s="11">
        <f t="shared" si="8"/>
        <v>1.4999999999999996</v>
      </c>
      <c r="AG30" s="1">
        <f t="shared" si="9"/>
        <v>8.2189987918154614E-2</v>
      </c>
    </row>
    <row r="31" spans="2:33" ht="15" x14ac:dyDescent="0.25">
      <c r="B31" s="1">
        <v>20</v>
      </c>
      <c r="C31" s="1">
        <v>0.99999808374253174</v>
      </c>
      <c r="D31" s="1">
        <v>1.0383008341522399</v>
      </c>
      <c r="E31" s="1">
        <v>0.96299553644066715</v>
      </c>
      <c r="G31" s="1">
        <v>0.99984168710555876</v>
      </c>
      <c r="H31" s="1">
        <v>1.3921955141530273</v>
      </c>
      <c r="I31" s="1">
        <v>0.71126626656366376</v>
      </c>
      <c r="K31" s="1">
        <v>0.99998534810117601</v>
      </c>
      <c r="L31" s="1">
        <v>1.443315938014059</v>
      </c>
      <c r="M31" s="1">
        <v>0.68548675674278026</v>
      </c>
      <c r="O31" s="1">
        <v>5.002470674263979E-4</v>
      </c>
      <c r="P31" s="1">
        <v>0.99916660235650534</v>
      </c>
      <c r="R31" s="1">
        <v>4.1887254171688398E-2</v>
      </c>
      <c r="S31" s="2">
        <f t="shared" si="10"/>
        <v>0.10613066532906912</v>
      </c>
      <c r="T31" s="4">
        <f t="shared" si="1"/>
        <v>1.1263718123190873E-2</v>
      </c>
      <c r="U31" s="1">
        <f t="shared" si="0"/>
        <v>1.4683938816961728E-4</v>
      </c>
      <c r="V31" s="6">
        <f>2*sigma/alpha*corel*(B31/12-1/alpha*(1-EXP(-alpha*Output!B31/12)))</f>
        <v>6.792661557138896E-3</v>
      </c>
      <c r="W31" s="5">
        <f t="shared" si="2"/>
        <v>-1.1116878735021256E-2</v>
      </c>
      <c r="X31" s="1">
        <f t="shared" si="3"/>
        <v>7.4158665151171546E-2</v>
      </c>
      <c r="Y31" s="3">
        <f t="shared" si="4"/>
        <v>7.9658467442662556E-2</v>
      </c>
      <c r="Z31" s="1">
        <f t="shared" si="5"/>
        <v>8.2208459868279515E-2</v>
      </c>
      <c r="AA31" s="8">
        <f t="shared" si="11"/>
        <v>1.5833333333333328</v>
      </c>
      <c r="AB31" s="1">
        <v>1.667</v>
      </c>
      <c r="AC31" s="1">
        <v>5.0004155829999999E-4</v>
      </c>
      <c r="AD31" s="8">
        <f t="shared" si="6"/>
        <v>-2.0550912639791686E-3</v>
      </c>
      <c r="AE31" s="3">
        <f t="shared" si="7"/>
        <v>-4.1098409319535322E-4</v>
      </c>
      <c r="AF31" s="11">
        <f t="shared" si="8"/>
        <v>1.5833333333333328</v>
      </c>
      <c r="AG31" s="1">
        <f t="shared" si="9"/>
        <v>8.2208459868279515E-2</v>
      </c>
    </row>
    <row r="32" spans="2:33" ht="15" x14ac:dyDescent="0.25">
      <c r="B32" s="1">
        <v>21</v>
      </c>
      <c r="C32" s="1">
        <v>0.9999992322067468</v>
      </c>
      <c r="D32" s="1">
        <v>1.0407314920478232</v>
      </c>
      <c r="E32" s="1">
        <v>0.9607410698890535</v>
      </c>
      <c r="G32" s="1">
        <v>0.99991608223667061</v>
      </c>
      <c r="H32" s="1">
        <v>1.4243574867904181</v>
      </c>
      <c r="I32" s="1">
        <v>0.69486487615887993</v>
      </c>
      <c r="K32" s="1">
        <v>0.99999584845188627</v>
      </c>
      <c r="L32" s="1">
        <v>1.4326954896160411</v>
      </c>
      <c r="M32" s="1">
        <v>0.69021816305846917</v>
      </c>
      <c r="O32" s="1">
        <v>5.0029645639531868E-4</v>
      </c>
      <c r="P32" s="1">
        <v>0.99912486435606374</v>
      </c>
      <c r="R32" s="1">
        <v>4.3124500410228722E-2</v>
      </c>
      <c r="S32" s="2">
        <f t="shared" si="10"/>
        <v>0.10929223648952957</v>
      </c>
      <c r="T32" s="4">
        <f t="shared" si="1"/>
        <v>1.1944792956883259E-2</v>
      </c>
      <c r="U32" s="1">
        <f t="shared" si="0"/>
        <v>1.6956580077120975E-4</v>
      </c>
      <c r="V32" s="6">
        <f>2*sigma/alpha*corel*(B32/12-1/alpha*(1-EXP(-alpha*Output!B32/12)))</f>
        <v>7.4806872060883545E-3</v>
      </c>
      <c r="W32" s="5">
        <f t="shared" si="2"/>
        <v>-1.177522715611205E-2</v>
      </c>
      <c r="X32" s="1">
        <f t="shared" si="3"/>
        <v>8.2482550773859672E-2</v>
      </c>
      <c r="Y32" s="3">
        <f t="shared" si="4"/>
        <v>7.9919162374475147E-2</v>
      </c>
      <c r="Z32" s="1">
        <f t="shared" si="5"/>
        <v>8.2617165137529758E-2</v>
      </c>
      <c r="AA32" s="8">
        <f t="shared" si="11"/>
        <v>1.6666666666666661</v>
      </c>
      <c r="AB32" s="1">
        <v>1.75</v>
      </c>
      <c r="AC32" s="1">
        <v>5.0003636380000003E-4</v>
      </c>
      <c r="AD32" s="8">
        <f t="shared" si="6"/>
        <v>-2.6009259531864764E-3</v>
      </c>
      <c r="AE32" s="3">
        <f t="shared" si="7"/>
        <v>-5.2014736156804199E-4</v>
      </c>
      <c r="AF32" s="11">
        <f t="shared" si="8"/>
        <v>1.6666666666666661</v>
      </c>
      <c r="AG32" s="1">
        <f t="shared" si="9"/>
        <v>8.2617165137529758E-2</v>
      </c>
    </row>
    <row r="33" spans="2:33" ht="15" x14ac:dyDescent="0.25">
      <c r="B33" s="1">
        <v>22</v>
      </c>
      <c r="C33" s="1">
        <v>0.99999992590246112</v>
      </c>
      <c r="D33" s="1">
        <v>1.043194975346696</v>
      </c>
      <c r="E33" s="1">
        <v>0.95846698995856161</v>
      </c>
      <c r="G33" s="1">
        <v>0.99995316559157121</v>
      </c>
      <c r="H33" s="1">
        <v>1.4504695087554533</v>
      </c>
      <c r="I33" s="1">
        <v>0.68202093611413428</v>
      </c>
      <c r="K33" s="1">
        <v>1.0000420407507824</v>
      </c>
      <c r="L33" s="1">
        <v>1.4667281279723325</v>
      </c>
      <c r="M33" s="1">
        <v>0.67385474336539564</v>
      </c>
      <c r="O33" s="1">
        <v>5.0009516823818043E-4</v>
      </c>
      <c r="P33" s="1">
        <v>0.99908357902864997</v>
      </c>
      <c r="R33" s="1">
        <v>4.4310213813192667E-2</v>
      </c>
      <c r="S33" s="2">
        <f t="shared" si="10"/>
        <v>0.11232417908951384</v>
      </c>
      <c r="T33" s="4">
        <f t="shared" si="1"/>
        <v>1.2616721208133178E-2</v>
      </c>
      <c r="U33" s="1">
        <f t="shared" si="0"/>
        <v>1.9448086712259283E-4</v>
      </c>
      <c r="V33" s="6">
        <f>2*sigma/alpha*corel*(B33/12-1/alpha*(1-EXP(-alpha*Output!B33/12)))</f>
        <v>8.2010876704277924E-3</v>
      </c>
      <c r="W33" s="5">
        <f t="shared" si="2"/>
        <v>-1.2422240341010585E-2</v>
      </c>
      <c r="X33" s="1">
        <f t="shared" si="3"/>
        <v>9.1163687006388994E-2</v>
      </c>
      <c r="Y33" s="3">
        <f t="shared" si="4"/>
        <v>8.0108771341566271E-2</v>
      </c>
      <c r="Z33" s="1">
        <f t="shared" si="5"/>
        <v>8.295690406294709E-2</v>
      </c>
      <c r="AA33" s="8">
        <f t="shared" si="11"/>
        <v>1.7499999999999993</v>
      </c>
      <c r="AB33" s="1">
        <v>1.833</v>
      </c>
      <c r="AC33" s="1">
        <v>5.0003792790000005E-4</v>
      </c>
      <c r="AD33" s="8">
        <f t="shared" si="6"/>
        <v>-5.7240338180377E-4</v>
      </c>
      <c r="AE33" s="3">
        <f t="shared" si="7"/>
        <v>-1.1447199299614768E-4</v>
      </c>
      <c r="AF33" s="11">
        <f t="shared" si="8"/>
        <v>1.7499999999999993</v>
      </c>
      <c r="AG33" s="1">
        <f t="shared" si="9"/>
        <v>8.295690406294709E-2</v>
      </c>
    </row>
    <row r="34" spans="2:33" ht="15" x14ac:dyDescent="0.25">
      <c r="B34" s="1">
        <v>23</v>
      </c>
      <c r="C34" s="1">
        <v>1.0000000031023191</v>
      </c>
      <c r="D34" s="1">
        <v>1.0444121997802405</v>
      </c>
      <c r="E34" s="1">
        <v>0.9573446667492248</v>
      </c>
      <c r="G34" s="1">
        <v>0.99993764552915576</v>
      </c>
      <c r="H34" s="1">
        <v>1.4663677324661699</v>
      </c>
      <c r="I34" s="1">
        <v>0.67429569807238809</v>
      </c>
      <c r="K34" s="1">
        <v>0.99999941643479207</v>
      </c>
      <c r="L34" s="1">
        <v>1.4843332018742501</v>
      </c>
      <c r="M34" s="1">
        <v>0.66548489744238248</v>
      </c>
      <c r="O34" s="1">
        <v>5.0004746311663336E-4</v>
      </c>
      <c r="P34" s="1">
        <v>0.9990420348375707</v>
      </c>
      <c r="R34" s="1">
        <v>4.5405817406936326E-2</v>
      </c>
      <c r="S34" s="2">
        <f t="shared" si="10"/>
        <v>0.11513047772779156</v>
      </c>
      <c r="T34" s="4">
        <f t="shared" si="1"/>
        <v>1.3255026901829508E-2</v>
      </c>
      <c r="U34" s="1">
        <f t="shared" si="0"/>
        <v>2.2167742259426859E-4</v>
      </c>
      <c r="V34" s="6">
        <f>2*sigma/alpha*corel*(B34/12-1/alpha*(1-EXP(-alpha*Output!B34/12)))</f>
        <v>8.9537552137662901E-3</v>
      </c>
      <c r="W34" s="5">
        <f t="shared" si="2"/>
        <v>-1.303334947923524E-2</v>
      </c>
      <c r="X34" s="1">
        <f t="shared" si="3"/>
        <v>0.10000251573989823</v>
      </c>
      <c r="Y34" s="3">
        <f t="shared" si="4"/>
        <v>8.0159475264024546E-2</v>
      </c>
      <c r="Z34" s="1">
        <f t="shared" si="5"/>
        <v>8.3160484664594025E-2</v>
      </c>
      <c r="AA34" s="8">
        <f t="shared" si="11"/>
        <v>1.8333333333333326</v>
      </c>
      <c r="AB34" s="1">
        <v>1.917</v>
      </c>
      <c r="AC34" s="1">
        <v>5.0004418349999997E-4</v>
      </c>
      <c r="AD34" s="8">
        <f t="shared" si="6"/>
        <v>-3.2796166333885768E-5</v>
      </c>
      <c r="AE34" s="3">
        <f t="shared" si="7"/>
        <v>-6.5586536982258028E-6</v>
      </c>
      <c r="AF34" s="11">
        <f t="shared" si="8"/>
        <v>1.8333333333333326</v>
      </c>
      <c r="AG34" s="1">
        <f t="shared" si="9"/>
        <v>8.3160484664594025E-2</v>
      </c>
    </row>
    <row r="35" spans="2:33" ht="15" x14ac:dyDescent="0.25">
      <c r="B35" s="1">
        <v>24</v>
      </c>
      <c r="C35" s="1">
        <v>0.99999951669782272</v>
      </c>
      <c r="D35" s="1">
        <v>1.0478851047408249</v>
      </c>
      <c r="E35" s="1">
        <v>0.9541666239763682</v>
      </c>
      <c r="G35" s="1">
        <v>0.99987258320341421</v>
      </c>
      <c r="H35" s="1">
        <v>1.5202181104491117</v>
      </c>
      <c r="I35" s="1">
        <v>0.65009134406590163</v>
      </c>
      <c r="K35" s="1">
        <v>0.99998065780312528</v>
      </c>
      <c r="L35" s="1">
        <v>1.4631206900652198</v>
      </c>
      <c r="M35" s="1">
        <v>0.67478242849634829</v>
      </c>
      <c r="O35" s="1">
        <v>4.9982472052870902E-4</v>
      </c>
      <c r="P35" s="1">
        <v>0.99900085004199524</v>
      </c>
      <c r="R35" s="1">
        <v>4.6333461794508653E-2</v>
      </c>
      <c r="S35" s="2">
        <f t="shared" si="10"/>
        <v>0.11751468033292875</v>
      </c>
      <c r="T35" s="4">
        <f t="shared" si="1"/>
        <v>1.380970009375043E-2</v>
      </c>
      <c r="U35" s="1">
        <f t="shared" si="0"/>
        <v>2.5124732838399666E-4</v>
      </c>
      <c r="V35" s="6">
        <f>2*sigma/alpha*corel*(B35/12-1/alpha*(1-EXP(-alpha*Output!B35/12)))</f>
        <v>9.738582458236722E-3</v>
      </c>
      <c r="W35" s="5">
        <f t="shared" si="2"/>
        <v>-1.3558452765366434E-2</v>
      </c>
      <c r="X35" s="1">
        <f t="shared" si="3"/>
        <v>0.10856246211122735</v>
      </c>
      <c r="Y35" s="3">
        <f t="shared" si="4"/>
        <v>7.9937399898173528E-2</v>
      </c>
      <c r="Z35" s="1">
        <f t="shared" si="5"/>
        <v>8.309542735238333E-2</v>
      </c>
      <c r="AA35" s="8">
        <f t="shared" si="11"/>
        <v>1.9166666666666659</v>
      </c>
      <c r="AB35" s="1">
        <v>2</v>
      </c>
      <c r="AC35" s="1">
        <v>5.000530637E-4</v>
      </c>
      <c r="AD35" s="8">
        <f t="shared" si="6"/>
        <v>2.2834317129098378E-3</v>
      </c>
      <c r="AE35" s="3">
        <f t="shared" si="7"/>
        <v>4.5663788079093772E-4</v>
      </c>
      <c r="AF35" s="11">
        <f t="shared" si="8"/>
        <v>1.9166666666666659</v>
      </c>
      <c r="AG35" s="1">
        <f t="shared" si="9"/>
        <v>8.309542735238333E-2</v>
      </c>
    </row>
    <row r="36" spans="2:33" ht="15" x14ac:dyDescent="0.25">
      <c r="B36" s="1">
        <v>25</v>
      </c>
      <c r="C36" s="1">
        <v>0.99999964001913699</v>
      </c>
      <c r="D36" s="1">
        <v>1.0496900330408265</v>
      </c>
      <c r="E36" s="1">
        <v>0.95252078613986224</v>
      </c>
      <c r="G36" s="1">
        <v>0.99985711975755354</v>
      </c>
      <c r="H36" s="1">
        <v>1.53274548043397</v>
      </c>
      <c r="I36" s="1">
        <v>0.6444619309835915</v>
      </c>
      <c r="K36" s="1">
        <v>1.0000307455400135</v>
      </c>
      <c r="L36" s="1">
        <v>1.4800023204605788</v>
      </c>
      <c r="M36" s="1">
        <v>0.66673422031746776</v>
      </c>
      <c r="O36" s="1">
        <v>4.9987195197120264E-4</v>
      </c>
      <c r="P36" s="1">
        <v>0.99895914216874937</v>
      </c>
      <c r="R36" s="1">
        <v>4.7480556979598194E-2</v>
      </c>
      <c r="S36" s="2">
        <f t="shared" si="10"/>
        <v>0.12045121171584225</v>
      </c>
      <c r="T36" s="4">
        <f t="shared" si="1"/>
        <v>1.4508494403814654E-2</v>
      </c>
      <c r="U36" s="1">
        <f t="shared" si="0"/>
        <v>2.8328147917644486E-4</v>
      </c>
      <c r="V36" s="6">
        <f>2*sigma/alpha*corel*(B36/12-1/alpha*(1-EXP(-alpha*Output!B36/12)))</f>
        <v>1.0555462383301961E-2</v>
      </c>
      <c r="W36" s="5">
        <f t="shared" si="2"/>
        <v>-1.4225212924638209E-2</v>
      </c>
      <c r="X36" s="1">
        <f t="shared" si="3"/>
        <v>0.11865485882477704</v>
      </c>
      <c r="Y36" s="3">
        <f t="shared" si="4"/>
        <v>8.013784402361139E-2</v>
      </c>
      <c r="Z36" s="1">
        <f t="shared" si="5"/>
        <v>8.3451047410029747E-2</v>
      </c>
      <c r="AA36" s="8">
        <f t="shared" si="11"/>
        <v>1.9999999999999991</v>
      </c>
      <c r="AB36" s="1">
        <v>2.0830000000000002</v>
      </c>
      <c r="AC36" s="1">
        <v>5.000625013E-4</v>
      </c>
      <c r="AD36" s="8">
        <f t="shared" si="6"/>
        <v>1.9054932879735819E-3</v>
      </c>
      <c r="AE36" s="3">
        <f t="shared" si="7"/>
        <v>3.8105102522583047E-4</v>
      </c>
      <c r="AF36" s="11">
        <f t="shared" si="8"/>
        <v>1.9999999999999991</v>
      </c>
      <c r="AG36" s="1">
        <f t="shared" si="9"/>
        <v>8.3451047410029747E-2</v>
      </c>
    </row>
    <row r="37" spans="2:33" ht="15" x14ac:dyDescent="0.25">
      <c r="B37" s="1">
        <v>26</v>
      </c>
      <c r="C37" s="1">
        <v>1.0000004807181677</v>
      </c>
      <c r="D37" s="1">
        <v>1.047931225711243</v>
      </c>
      <c r="E37" s="1">
        <v>0.95411433074642527</v>
      </c>
      <c r="G37" s="1">
        <v>0.99989712683561627</v>
      </c>
      <c r="H37" s="1">
        <v>1.5098494871040717</v>
      </c>
      <c r="I37" s="1">
        <v>0.65391411282257317</v>
      </c>
      <c r="K37" s="1">
        <v>1.0000254327516329</v>
      </c>
      <c r="L37" s="1">
        <v>1.4880618171149678</v>
      </c>
      <c r="M37" s="1">
        <v>0.66274903587581668</v>
      </c>
      <c r="O37" s="1">
        <v>4.997203046742646E-4</v>
      </c>
      <c r="P37" s="1">
        <v>0.99891785861094851</v>
      </c>
      <c r="R37" s="1">
        <v>4.8508890221765653E-2</v>
      </c>
      <c r="S37" s="2">
        <f t="shared" si="10"/>
        <v>0.12308913715212597</v>
      </c>
      <c r="T37" s="4">
        <f t="shared" si="1"/>
        <v>1.5150935684854877E-2</v>
      </c>
      <c r="U37" s="1">
        <f t="shared" si="0"/>
        <v>3.1786981074954923E-4</v>
      </c>
      <c r="V37" s="6">
        <f>2*sigma/alpha*corel*(B37/12-1/alpha*(1-EXP(-alpha*Output!B37/12)))</f>
        <v>1.1404288324565526E-2</v>
      </c>
      <c r="W37" s="5">
        <f t="shared" si="2"/>
        <v>-1.4833065874105327E-2</v>
      </c>
      <c r="X37" s="1">
        <f t="shared" si="3"/>
        <v>0.12868329536776932</v>
      </c>
      <c r="Y37" s="3">
        <f t="shared" si="4"/>
        <v>8.015082723559333E-2</v>
      </c>
      <c r="Z37" s="1">
        <f t="shared" si="5"/>
        <v>8.3622601890015941E-2</v>
      </c>
      <c r="AA37" s="8">
        <f t="shared" si="11"/>
        <v>2.0833333333333326</v>
      </c>
      <c r="AB37" s="1">
        <v>2.1669999999999998</v>
      </c>
      <c r="AC37" s="1">
        <v>5.0007078979999995E-4</v>
      </c>
      <c r="AD37" s="8">
        <f t="shared" si="6"/>
        <v>3.5048512573535463E-3</v>
      </c>
      <c r="AE37" s="3">
        <f t="shared" si="7"/>
        <v>7.0087102243170183E-4</v>
      </c>
      <c r="AF37" s="11">
        <f t="shared" si="8"/>
        <v>2.0833333333333326</v>
      </c>
      <c r="AG37" s="1">
        <f t="shared" si="9"/>
        <v>8.3622601890015941E-2</v>
      </c>
    </row>
    <row r="38" spans="2:33" ht="15" x14ac:dyDescent="0.25">
      <c r="B38" s="1">
        <v>27</v>
      </c>
      <c r="C38" s="1">
        <v>1.0000010385620492</v>
      </c>
      <c r="D38" s="1">
        <v>1.0504272886979584</v>
      </c>
      <c r="E38" s="1">
        <v>0.95184204989755461</v>
      </c>
      <c r="G38" s="1">
        <v>0.99991035549142349</v>
      </c>
      <c r="H38" s="1">
        <v>1.5428657337832321</v>
      </c>
      <c r="I38" s="1">
        <v>0.63960715278929248</v>
      </c>
      <c r="K38" s="1">
        <v>0.99998423766086408</v>
      </c>
      <c r="L38" s="1">
        <v>1.5033786252001515</v>
      </c>
      <c r="M38" s="1">
        <v>0.65566943378210962</v>
      </c>
      <c r="O38" s="1">
        <v>4.9968307849743805E-4</v>
      </c>
      <c r="P38" s="1">
        <v>0.99887634484714027</v>
      </c>
      <c r="R38" s="1">
        <v>4.9375684797381129E-2</v>
      </c>
      <c r="S38" s="2">
        <f t="shared" si="10"/>
        <v>0.12532172501041805</v>
      </c>
      <c r="T38" s="4">
        <f t="shared" si="1"/>
        <v>1.5705534759586842E-2</v>
      </c>
      <c r="U38" s="1">
        <f t="shared" si="0"/>
        <v>3.5510130753202418E-4</v>
      </c>
      <c r="V38" s="6">
        <f>2*sigma/alpha*corel*(B38/12-1/alpha*(1-EXP(-alpha*Output!B38/12)))</f>
        <v>1.2284953972588109E-2</v>
      </c>
      <c r="W38" s="5">
        <f t="shared" si="2"/>
        <v>-1.5350433452054817E-2</v>
      </c>
      <c r="X38" s="1">
        <f t="shared" si="3"/>
        <v>0.13830482116260198</v>
      </c>
      <c r="Y38" s="3">
        <f t="shared" si="4"/>
        <v>7.9913023918119566E-2</v>
      </c>
      <c r="Z38" s="1">
        <f t="shared" si="5"/>
        <v>8.3547816673612038E-2</v>
      </c>
      <c r="AA38" s="8">
        <f t="shared" si="11"/>
        <v>2.1666666666666661</v>
      </c>
      <c r="AB38" s="1">
        <v>2.25</v>
      </c>
      <c r="AC38" s="1">
        <v>5.0007766430000002E-4</v>
      </c>
      <c r="AD38" s="8">
        <f t="shared" si="6"/>
        <v>3.9458580256197286E-3</v>
      </c>
      <c r="AE38" s="3">
        <f t="shared" si="7"/>
        <v>7.8904904324072773E-4</v>
      </c>
      <c r="AF38" s="11">
        <f t="shared" si="8"/>
        <v>2.1666666666666661</v>
      </c>
      <c r="AG38" s="1">
        <f t="shared" si="9"/>
        <v>8.3547816673612038E-2</v>
      </c>
    </row>
    <row r="39" spans="2:33" ht="15" x14ac:dyDescent="0.25">
      <c r="B39" s="1">
        <v>28</v>
      </c>
      <c r="C39" s="1">
        <v>1.0000013693362775</v>
      </c>
      <c r="D39" s="1">
        <v>1.0505645658635205</v>
      </c>
      <c r="E39" s="1">
        <v>0.9517126316706509</v>
      </c>
      <c r="G39" s="1">
        <v>0.99990754776412993</v>
      </c>
      <c r="H39" s="1">
        <v>1.5440766476538559</v>
      </c>
      <c r="I39" s="1">
        <v>0.63879233474510044</v>
      </c>
      <c r="K39" s="1">
        <v>0.9999507697245722</v>
      </c>
      <c r="L39" s="1">
        <v>1.5072655520404703</v>
      </c>
      <c r="M39" s="1">
        <v>0.65360885435686078</v>
      </c>
      <c r="O39" s="1">
        <v>4.9959672124756291E-4</v>
      </c>
      <c r="P39" s="1">
        <v>0.99883495351132923</v>
      </c>
      <c r="R39" s="1">
        <v>5.0244401344842114E-2</v>
      </c>
      <c r="S39" s="2">
        <f t="shared" si="10"/>
        <v>0.12755922822505117</v>
      </c>
      <c r="T39" s="4">
        <f t="shared" si="1"/>
        <v>1.627135670537069E-2</v>
      </c>
      <c r="U39" s="1">
        <f t="shared" si="0"/>
        <v>3.9506401009470338E-4</v>
      </c>
      <c r="V39" s="6">
        <f>2*sigma/alpha*corel*(B39/12-1/alpha*(1-EXP(-alpha*Output!B39/12)))</f>
        <v>1.3197353371704523E-2</v>
      </c>
      <c r="W39" s="5">
        <f t="shared" si="2"/>
        <v>-1.5876292695275986E-2</v>
      </c>
      <c r="X39" s="1">
        <f t="shared" si="3"/>
        <v>0.14835290195859352</v>
      </c>
      <c r="Y39" s="3">
        <f t="shared" si="4"/>
        <v>7.9707582267976668E-2</v>
      </c>
      <c r="Z39" s="1">
        <f t="shared" si="5"/>
        <v>8.3507116990206354E-2</v>
      </c>
      <c r="AA39" s="8">
        <f t="shared" si="11"/>
        <v>2.2499999999999996</v>
      </c>
      <c r="AB39" s="1">
        <v>2.3330000000000002</v>
      </c>
      <c r="AC39" s="1">
        <v>5.0008322030000005E-4</v>
      </c>
      <c r="AD39" s="8">
        <f t="shared" si="6"/>
        <v>4.8649905243713324E-3</v>
      </c>
      <c r="AE39" s="3">
        <f t="shared" si="7"/>
        <v>9.728361854358606E-4</v>
      </c>
      <c r="AF39" s="11">
        <f t="shared" si="8"/>
        <v>2.2499999999999996</v>
      </c>
      <c r="AG39" s="1">
        <f t="shared" si="9"/>
        <v>8.3507116990206354E-2</v>
      </c>
    </row>
    <row r="40" spans="2:33" ht="15" x14ac:dyDescent="0.25">
      <c r="B40" s="1">
        <v>29</v>
      </c>
      <c r="C40" s="1">
        <v>1.0000011578752037</v>
      </c>
      <c r="D40" s="1">
        <v>1.04711566571255</v>
      </c>
      <c r="E40" s="1">
        <v>0.95484228067629828</v>
      </c>
      <c r="G40" s="1">
        <v>0.99985607958023648</v>
      </c>
      <c r="H40" s="1">
        <v>1.4980922475877396</v>
      </c>
      <c r="I40" s="1">
        <v>0.65807762539725023</v>
      </c>
      <c r="K40" s="1">
        <v>0.99999672495953862</v>
      </c>
      <c r="L40" s="1">
        <v>1.5585502405367928</v>
      </c>
      <c r="M40" s="1">
        <v>0.63177705753135871</v>
      </c>
      <c r="O40" s="1">
        <v>4.9930637825807127E-4</v>
      </c>
      <c r="P40" s="1">
        <v>0.99879407063713355</v>
      </c>
      <c r="R40" s="1">
        <v>5.1437287036875327E-2</v>
      </c>
      <c r="S40" s="2">
        <f t="shared" si="10"/>
        <v>0.13061113483688075</v>
      </c>
      <c r="T40" s="4">
        <f t="shared" si="1"/>
        <v>1.7059268543377845E-2</v>
      </c>
      <c r="U40" s="1">
        <f t="shared" si="0"/>
        <v>4.3784502260280078E-4</v>
      </c>
      <c r="V40" s="6">
        <f>2*sigma/alpha*corel*(B40/12-1/alpha*(1-EXP(-alpha*Output!B40/12)))</f>
        <v>1.414138091884759E-2</v>
      </c>
      <c r="W40" s="5">
        <f t="shared" si="2"/>
        <v>-1.6621423520775044E-2</v>
      </c>
      <c r="X40" s="1">
        <f t="shared" si="3"/>
        <v>0.16087373935511737</v>
      </c>
      <c r="Y40" s="3">
        <f t="shared" si="4"/>
        <v>8.0058477160727698E-2</v>
      </c>
      <c r="Z40" s="1">
        <f t="shared" si="5"/>
        <v>8.4017900908805551E-2</v>
      </c>
      <c r="AA40" s="8">
        <f t="shared" si="11"/>
        <v>2.333333333333333</v>
      </c>
      <c r="AB40" s="1">
        <v>2.4169999999999998</v>
      </c>
      <c r="AC40" s="1">
        <v>5.0008755350000004E-4</v>
      </c>
      <c r="AD40" s="8">
        <f t="shared" si="6"/>
        <v>7.8117524192876115E-3</v>
      </c>
      <c r="AE40" s="3">
        <f t="shared" si="7"/>
        <v>1.5620769532484697E-3</v>
      </c>
      <c r="AF40" s="11">
        <f t="shared" si="8"/>
        <v>2.333333333333333</v>
      </c>
      <c r="AG40" s="1">
        <f t="shared" si="9"/>
        <v>8.4017900908805551E-2</v>
      </c>
    </row>
    <row r="41" spans="2:33" ht="15" x14ac:dyDescent="0.25">
      <c r="B41" s="1">
        <v>30</v>
      </c>
      <c r="C41" s="1">
        <v>1.0000007375120541</v>
      </c>
      <c r="D41" s="1">
        <v>1.0450236553746748</v>
      </c>
      <c r="E41" s="1">
        <v>0.95674876541775922</v>
      </c>
      <c r="G41" s="1">
        <v>0.99978743001552994</v>
      </c>
      <c r="H41" s="1">
        <v>1.4751537220234368</v>
      </c>
      <c r="I41" s="1">
        <v>0.66798322835325974</v>
      </c>
      <c r="K41" s="1">
        <v>1.0000750390164312</v>
      </c>
      <c r="L41" s="1">
        <v>1.5816347220429399</v>
      </c>
      <c r="M41" s="1">
        <v>0.62224370379616578</v>
      </c>
      <c r="O41" s="1">
        <v>4.9925084431931771E-4</v>
      </c>
      <c r="P41" s="1">
        <v>0.99875265147588532</v>
      </c>
      <c r="R41" s="1">
        <v>5.2525338333619366E-2</v>
      </c>
      <c r="S41" s="2">
        <f t="shared" si="10"/>
        <v>0.13340063143690312</v>
      </c>
      <c r="T41" s="4">
        <f t="shared" si="1"/>
        <v>1.7795728467764463E-2</v>
      </c>
      <c r="U41" s="1">
        <f t="shared" si="0"/>
        <v>4.8353052020022602E-4</v>
      </c>
      <c r="V41" s="6">
        <f>2*sigma/alpha*corel*(B41/12-1/alpha*(1-EXP(-alpha*Output!B41/12)))</f>
        <v>1.5116931362373853E-2</v>
      </c>
      <c r="W41" s="5">
        <f t="shared" si="2"/>
        <v>-1.7312197947564237E-2</v>
      </c>
      <c r="X41" s="1">
        <f t="shared" si="3"/>
        <v>0.1733505010894571</v>
      </c>
      <c r="Y41" s="3">
        <f t="shared" si="4"/>
        <v>8.0247377165710926E-2</v>
      </c>
      <c r="Z41" s="1">
        <f t="shared" si="5"/>
        <v>8.4369967329054857E-2</v>
      </c>
      <c r="AA41" s="8">
        <f t="shared" si="11"/>
        <v>2.4166666666666665</v>
      </c>
      <c r="AB41" s="1">
        <v>2.5</v>
      </c>
      <c r="AC41" s="1">
        <v>5.0009075940000004E-4</v>
      </c>
      <c r="AD41" s="8">
        <f t="shared" si="6"/>
        <v>8.3991508068232724E-3</v>
      </c>
      <c r="AE41" s="3">
        <f t="shared" si="7"/>
        <v>1.679525295948364E-3</v>
      </c>
      <c r="AF41" s="11">
        <f t="shared" si="8"/>
        <v>2.4166666666666665</v>
      </c>
      <c r="AG41" s="1">
        <f t="shared" si="9"/>
        <v>8.4369967329054857E-2</v>
      </c>
    </row>
    <row r="42" spans="2:33" ht="15" x14ac:dyDescent="0.25">
      <c r="B42" s="1">
        <v>31</v>
      </c>
      <c r="C42" s="1">
        <v>0.99999992045029085</v>
      </c>
      <c r="D42" s="1">
        <v>1.0488832736370177</v>
      </c>
      <c r="E42" s="1">
        <v>0.95322324070329501</v>
      </c>
      <c r="G42" s="1">
        <v>0.99968605251920217</v>
      </c>
      <c r="H42" s="1">
        <v>1.5196311213200218</v>
      </c>
      <c r="I42" s="1">
        <v>0.64811465292753512</v>
      </c>
      <c r="K42" s="1">
        <v>1.0001355537052632</v>
      </c>
      <c r="L42" s="1">
        <v>1.5317973504357556</v>
      </c>
      <c r="M42" s="1">
        <v>0.64209899294988004</v>
      </c>
      <c r="O42" s="1">
        <v>4.9926105382920019E-4</v>
      </c>
      <c r="P42" s="1">
        <v>0.99871107365763445</v>
      </c>
      <c r="R42" s="1">
        <v>5.361767149483531E-2</v>
      </c>
      <c r="S42" s="2">
        <f t="shared" si="10"/>
        <v>0.13620147586441761</v>
      </c>
      <c r="T42" s="4">
        <f t="shared" si="1"/>
        <v>1.8550842027645533E-2</v>
      </c>
      <c r="U42" s="1">
        <f t="shared" si="0"/>
        <v>5.3220575635526401E-4</v>
      </c>
      <c r="V42" s="6">
        <f>2*sigma/alpha*corel*(B42/12-1/alpha*(1-EXP(-alpha*Output!B42/12)))</f>
        <v>1.612389980089457E-2</v>
      </c>
      <c r="W42" s="5">
        <f t="shared" si="2"/>
        <v>-1.8018636271290269E-2</v>
      </c>
      <c r="X42" s="1">
        <f t="shared" si="3"/>
        <v>0.18645255494812205</v>
      </c>
      <c r="Y42" s="3">
        <f t="shared" si="4"/>
        <v>8.0453733451362891E-2</v>
      </c>
      <c r="Z42" s="1">
        <f t="shared" si="5"/>
        <v>8.4740610733435764E-2</v>
      </c>
      <c r="AA42" s="8">
        <f t="shared" si="11"/>
        <v>2.5</v>
      </c>
      <c r="AB42" s="1">
        <v>2.5830000000000002</v>
      </c>
      <c r="AC42" s="1">
        <v>5.0009293350000001E-4</v>
      </c>
      <c r="AD42" s="8">
        <f t="shared" si="6"/>
        <v>8.3187967079981825E-3</v>
      </c>
      <c r="AE42" s="3">
        <f t="shared" si="7"/>
        <v>1.6634501611085418E-3</v>
      </c>
      <c r="AF42" s="11">
        <f t="shared" si="8"/>
        <v>2.5</v>
      </c>
      <c r="AG42" s="1">
        <f t="shared" si="9"/>
        <v>8.4740610733435764E-2</v>
      </c>
    </row>
    <row r="43" spans="2:33" ht="15" x14ac:dyDescent="0.25">
      <c r="B43" s="1">
        <v>32</v>
      </c>
      <c r="C43" s="1">
        <v>1.0000004938634108</v>
      </c>
      <c r="D43" s="1">
        <v>1.0511768760125642</v>
      </c>
      <c r="E43" s="1">
        <v>0.95113847595963052</v>
      </c>
      <c r="G43" s="1">
        <v>0.99969533339245287</v>
      </c>
      <c r="H43" s="1">
        <v>1.5503254161486941</v>
      </c>
      <c r="I43" s="1">
        <v>0.63497168409444105</v>
      </c>
      <c r="K43" s="1">
        <v>1.0001013777330876</v>
      </c>
      <c r="L43" s="1">
        <v>1.5539784190876675</v>
      </c>
      <c r="M43" s="1">
        <v>0.63263167858664682</v>
      </c>
      <c r="O43" s="1">
        <v>4.9905382139968217E-4</v>
      </c>
      <c r="P43" s="1">
        <v>0.99867007494478977</v>
      </c>
      <c r="R43" s="1">
        <v>5.4512174193136399E-2</v>
      </c>
      <c r="S43" s="2">
        <f t="shared" si="10"/>
        <v>0.13850450364081057</v>
      </c>
      <c r="T43" s="4">
        <f t="shared" si="1"/>
        <v>1.918349752878731E-2</v>
      </c>
      <c r="U43" s="1">
        <f t="shared" si="0"/>
        <v>5.8395507013830894E-4</v>
      </c>
      <c r="V43" s="6">
        <f>2*sigma/alpha*corel*(B43/12-1/alpha*(1-EXP(-alpha*Output!B43/12)))</f>
        <v>1.7162181682111033E-2</v>
      </c>
      <c r="W43" s="5">
        <f t="shared" si="2"/>
        <v>-1.8599542458649001E-2</v>
      </c>
      <c r="X43" s="1">
        <f t="shared" si="3"/>
        <v>0.19868966003901245</v>
      </c>
      <c r="Y43" s="3">
        <f t="shared" si="4"/>
        <v>8.0359500327014347E-2</v>
      </c>
      <c r="Z43" s="1">
        <f t="shared" si="5"/>
        <v>8.4816340249360217E-2</v>
      </c>
      <c r="AA43" s="8">
        <f t="shared" si="11"/>
        <v>2.5833333333333335</v>
      </c>
      <c r="AB43" s="1">
        <v>2.6669999999999998</v>
      </c>
      <c r="AC43" s="1">
        <v>5.0009404559999999E-4</v>
      </c>
      <c r="AD43" s="8">
        <f t="shared" si="6"/>
        <v>1.0402242003178198E-2</v>
      </c>
      <c r="AE43" s="3">
        <f t="shared" si="7"/>
        <v>2.0800571601883116E-3</v>
      </c>
      <c r="AF43" s="11">
        <f t="shared" si="8"/>
        <v>2.5833333333333335</v>
      </c>
      <c r="AG43" s="1">
        <f t="shared" si="9"/>
        <v>8.4816340249360217E-2</v>
      </c>
    </row>
    <row r="44" spans="2:33" ht="15" x14ac:dyDescent="0.25">
      <c r="B44" s="1">
        <v>33</v>
      </c>
      <c r="C44" s="1">
        <v>1.0000017818745786</v>
      </c>
      <c r="D44" s="1">
        <v>1.0538032152832331</v>
      </c>
      <c r="E44" s="1">
        <v>0.94876316019072138</v>
      </c>
      <c r="G44" s="1">
        <v>0.99975772713675137</v>
      </c>
      <c r="H44" s="1">
        <v>1.5842842937846349</v>
      </c>
      <c r="I44" s="1">
        <v>0.62105682723170363</v>
      </c>
      <c r="K44" s="1">
        <v>1.0000983664025056</v>
      </c>
      <c r="L44" s="1">
        <v>1.6168557304240296</v>
      </c>
      <c r="M44" s="1">
        <v>0.60769782675281614</v>
      </c>
      <c r="O44" s="1">
        <v>4.9891143393571483E-4</v>
      </c>
      <c r="P44" s="1">
        <v>0.99862893432722011</v>
      </c>
      <c r="R44" s="1">
        <v>5.5510509756011253E-2</v>
      </c>
      <c r="S44" s="2">
        <f t="shared" si="10"/>
        <v>0.14106910316968529</v>
      </c>
      <c r="T44" s="4">
        <f t="shared" si="1"/>
        <v>1.9900491869099313E-2</v>
      </c>
      <c r="U44" s="1">
        <f t="shared" si="0"/>
        <v>6.3886189346407107E-4</v>
      </c>
      <c r="V44" s="6">
        <f>2*sigma/alpha*corel*(B44/12-1/alpha*(1-EXP(-alpha*Output!B44/12)))</f>
        <v>1.8231672801650722E-2</v>
      </c>
      <c r="W44" s="5">
        <f t="shared" si="2"/>
        <v>-1.9261629975635242E-2</v>
      </c>
      <c r="X44" s="1">
        <f t="shared" si="3"/>
        <v>0.21221032362513409</v>
      </c>
      <c r="Y44" s="3">
        <f t="shared" si="4"/>
        <v>8.0442044503539395E-2</v>
      </c>
      <c r="Z44" s="1">
        <f t="shared" si="5"/>
        <v>8.5067869950142136E-2</v>
      </c>
      <c r="AA44" s="8">
        <f t="shared" si="11"/>
        <v>2.666666666666667</v>
      </c>
      <c r="AB44" s="1">
        <v>2.75</v>
      </c>
      <c r="AC44" s="1">
        <v>5.0009356240000001E-4</v>
      </c>
      <c r="AD44" s="8">
        <f t="shared" si="6"/>
        <v>1.1821284642851791E-2</v>
      </c>
      <c r="AE44" s="3">
        <f t="shared" si="7"/>
        <v>2.3638146002360519E-3</v>
      </c>
      <c r="AF44" s="11">
        <f t="shared" si="8"/>
        <v>2.666666666666667</v>
      </c>
      <c r="AG44" s="1">
        <f t="shared" si="9"/>
        <v>8.5067869950142136E-2</v>
      </c>
    </row>
    <row r="45" spans="2:33" ht="15" x14ac:dyDescent="0.25">
      <c r="B45" s="1">
        <v>34</v>
      </c>
      <c r="C45" s="1">
        <v>1.0000026185515496</v>
      </c>
      <c r="D45" s="1">
        <v>1.0529534562279317</v>
      </c>
      <c r="E45" s="1">
        <v>0.94952402542392267</v>
      </c>
      <c r="G45" s="1">
        <v>0.99978729811695211</v>
      </c>
      <c r="H45" s="1">
        <v>1.5718907950718215</v>
      </c>
      <c r="I45" s="1">
        <v>0.62564696573958523</v>
      </c>
      <c r="K45" s="1">
        <v>1.0001484742667079</v>
      </c>
      <c r="L45" s="1">
        <v>1.6151455779624171</v>
      </c>
      <c r="M45" s="1">
        <v>0.6080137300058519</v>
      </c>
      <c r="O45" s="1">
        <v>4.9873262656601022E-4</v>
      </c>
      <c r="P45" s="1">
        <v>0.9985879221462014</v>
      </c>
      <c r="R45" s="1">
        <v>5.6530014810379753E-2</v>
      </c>
      <c r="S45" s="2">
        <f t="shared" si="10"/>
        <v>0.14368711046164623</v>
      </c>
      <c r="T45" s="4">
        <f t="shared" si="1"/>
        <v>2.0645985712817325E-2</v>
      </c>
      <c r="U45" s="1">
        <f t="shared" si="0"/>
        <v>6.9700875826672615E-4</v>
      </c>
      <c r="V45" s="6">
        <f>2*sigma/alpha*corel*(B45/12-1/alpha*(1-EXP(-alpha*Output!B45/12)))</f>
        <v>1.9332269301911842E-2</v>
      </c>
      <c r="W45" s="5">
        <f t="shared" si="2"/>
        <v>-1.9948976954550598E-2</v>
      </c>
      <c r="X45" s="1">
        <f t="shared" si="3"/>
        <v>0.22646214212126844</v>
      </c>
      <c r="Y45" s="3">
        <f t="shared" si="4"/>
        <v>8.0567314774794604E-2</v>
      </c>
      <c r="Z45" s="1">
        <f t="shared" si="5"/>
        <v>8.5362863628610203E-2</v>
      </c>
      <c r="AA45" s="8">
        <f t="shared" si="11"/>
        <v>2.7500000000000004</v>
      </c>
      <c r="AB45" s="1">
        <v>2.8330000000000002</v>
      </c>
      <c r="AC45" s="1">
        <v>5.0009082480000002E-4</v>
      </c>
      <c r="AD45" s="8">
        <f t="shared" si="6"/>
        <v>1.3581982339897934E-2</v>
      </c>
      <c r="AE45" s="3">
        <f t="shared" si="7"/>
        <v>2.7159031252632438E-3</v>
      </c>
      <c r="AF45" s="11">
        <f t="shared" si="8"/>
        <v>2.7500000000000004</v>
      </c>
      <c r="AG45" s="1">
        <f t="shared" si="9"/>
        <v>8.5362863628610203E-2</v>
      </c>
    </row>
    <row r="46" spans="2:33" ht="15" x14ac:dyDescent="0.25">
      <c r="B46" s="1">
        <v>35</v>
      </c>
      <c r="C46" s="1">
        <v>1.0000031876638218</v>
      </c>
      <c r="D46" s="1">
        <v>1.0503007885164819</v>
      </c>
      <c r="E46" s="1">
        <v>0.95191738094293488</v>
      </c>
      <c r="G46" s="1">
        <v>0.9997936790178692</v>
      </c>
      <c r="H46" s="1">
        <v>1.5353332889893454</v>
      </c>
      <c r="I46" s="1">
        <v>0.64023045213957208</v>
      </c>
      <c r="K46" s="1">
        <v>1.000145329912796</v>
      </c>
      <c r="L46" s="1">
        <v>1.6971810241204599</v>
      </c>
      <c r="M46" s="1">
        <v>0.57830296449772522</v>
      </c>
      <c r="O46" s="1">
        <v>4.9847464721950938E-4</v>
      </c>
      <c r="P46" s="1">
        <v>0.9985471719901704</v>
      </c>
      <c r="R46" s="1">
        <v>5.7440591466592736E-2</v>
      </c>
      <c r="S46" s="2">
        <f t="shared" si="10"/>
        <v>0.14603113799611905</v>
      </c>
      <c r="T46" s="4">
        <f t="shared" si="1"/>
        <v>2.1325093264441566E-2</v>
      </c>
      <c r="U46" s="1">
        <f t="shared" si="0"/>
        <v>7.5847730363021171E-4</v>
      </c>
      <c r="V46" s="6">
        <f>2*sigma/alpha*corel*(B46/12-1/alpha*(1-EXP(-alpha*Output!B46/12)))</f>
        <v>2.0463867670907632E-2</v>
      </c>
      <c r="W46" s="5">
        <f t="shared" si="2"/>
        <v>-2.0566615960811354E-2</v>
      </c>
      <c r="X46" s="1">
        <f t="shared" si="3"/>
        <v>0.24036262275618489</v>
      </c>
      <c r="Y46" s="3">
        <f t="shared" si="4"/>
        <v>8.0537835684555414E-2</v>
      </c>
      <c r="Z46" s="1">
        <f t="shared" si="5"/>
        <v>8.5507078933901942E-2</v>
      </c>
      <c r="AA46" s="8">
        <f t="shared" si="11"/>
        <v>2.8333333333333339</v>
      </c>
      <c r="AB46" s="1">
        <v>2.9169999999999998</v>
      </c>
      <c r="AC46" s="1">
        <v>5.0008517369999996E-4</v>
      </c>
      <c r="AD46" s="8">
        <f t="shared" si="6"/>
        <v>1.6105264804905851E-2</v>
      </c>
      <c r="AE46" s="3">
        <f t="shared" si="7"/>
        <v>3.2205043564373626E-3</v>
      </c>
      <c r="AF46" s="11">
        <f t="shared" si="8"/>
        <v>2.8333333333333339</v>
      </c>
      <c r="AG46" s="1">
        <f t="shared" si="9"/>
        <v>8.5507078933901942E-2</v>
      </c>
    </row>
    <row r="47" spans="2:33" ht="15" x14ac:dyDescent="0.25">
      <c r="B47" s="1">
        <v>36</v>
      </c>
      <c r="C47" s="1">
        <v>1.0000027242485725</v>
      </c>
      <c r="D47" s="1">
        <v>1.0497771042907167</v>
      </c>
      <c r="E47" s="1">
        <v>0.95238749416580515</v>
      </c>
      <c r="G47" s="1">
        <v>0.99971531943278225</v>
      </c>
      <c r="H47" s="1">
        <v>1.5454907175135619</v>
      </c>
      <c r="I47" s="1">
        <v>0.63571125097939984</v>
      </c>
      <c r="K47" s="1">
        <v>1.0000483460792102</v>
      </c>
      <c r="L47" s="1">
        <v>1.6945782310640927</v>
      </c>
      <c r="M47" s="1">
        <v>0.57888773969760121</v>
      </c>
      <c r="O47" s="1">
        <v>4.9816206211473406E-4</v>
      </c>
      <c r="P47" s="1">
        <v>0.99850663000202444</v>
      </c>
      <c r="R47" s="1">
        <v>5.8012132562692623E-2</v>
      </c>
      <c r="S47" s="2">
        <f t="shared" si="10"/>
        <v>0.14752233922767843</v>
      </c>
      <c r="T47" s="4">
        <f t="shared" si="1"/>
        <v>2.176284057120623E-2</v>
      </c>
      <c r="U47" s="1">
        <f t="shared" si="0"/>
        <v>8.2334828287233819E-4</v>
      </c>
      <c r="V47" s="6">
        <f>2*sigma/alpha*corel*(B47/12-1/alpha*(1-EXP(-alpha*Output!B47/12)))</f>
        <v>2.1626364741117121E-2</v>
      </c>
      <c r="W47" s="5">
        <f t="shared" si="2"/>
        <v>-2.0939492288333892E-2</v>
      </c>
      <c r="X47" s="1">
        <f t="shared" si="3"/>
        <v>0.25174160711192256</v>
      </c>
      <c r="Y47" s="3">
        <f t="shared" si="4"/>
        <v>8.0018703282494011E-2</v>
      </c>
      <c r="Z47" s="1">
        <f t="shared" si="5"/>
        <v>8.5172062264583431E-2</v>
      </c>
      <c r="AA47" s="8">
        <f t="shared" si="11"/>
        <v>2.9166666666666674</v>
      </c>
      <c r="AB47" s="1">
        <v>3</v>
      </c>
      <c r="AC47" s="1">
        <v>5.0007595E-4</v>
      </c>
      <c r="AD47" s="8">
        <f t="shared" si="6"/>
        <v>1.9138878852659406E-2</v>
      </c>
      <c r="AE47" s="3">
        <f t="shared" si="7"/>
        <v>3.8271944196995294E-3</v>
      </c>
      <c r="AF47" s="11">
        <f t="shared" si="8"/>
        <v>2.9166666666666674</v>
      </c>
      <c r="AG47" s="1">
        <f t="shared" si="9"/>
        <v>8.5172062264583431E-2</v>
      </c>
    </row>
    <row r="48" spans="2:33" ht="15" x14ac:dyDescent="0.25">
      <c r="B48" s="1">
        <v>37</v>
      </c>
      <c r="C48" s="1">
        <v>1.0000030593969003</v>
      </c>
      <c r="D48" s="1">
        <v>1.0496640612321031</v>
      </c>
      <c r="E48" s="1">
        <v>0.95248534176823918</v>
      </c>
      <c r="G48" s="1">
        <v>0.99970006483490359</v>
      </c>
      <c r="H48" s="1">
        <v>1.5353211993043518</v>
      </c>
      <c r="I48" s="1">
        <v>0.63960872763324284</v>
      </c>
      <c r="K48" s="1">
        <v>1.0001054673603693</v>
      </c>
      <c r="L48" s="1">
        <v>1.7552692066208844</v>
      </c>
      <c r="M48" s="1">
        <v>0.55859102579532116</v>
      </c>
      <c r="O48" s="1">
        <v>4.98014960863977E-4</v>
      </c>
      <c r="P48" s="1">
        <v>0.99846563221841411</v>
      </c>
      <c r="R48" s="1">
        <v>5.9040643215482844E-2</v>
      </c>
      <c r="S48" s="2">
        <f t="shared" si="10"/>
        <v>0.15016388592564467</v>
      </c>
      <c r="T48" s="4">
        <f t="shared" si="1"/>
        <v>2.2549192636290027E-2</v>
      </c>
      <c r="U48" s="1">
        <f t="shared" si="0"/>
        <v>8.9170157056717159E-4</v>
      </c>
      <c r="V48" s="6">
        <f>2*sigma/alpha*corel*(B48/12-1/alpha*(1-EXP(-alpha*Output!B48/12)))</f>
        <v>2.2819657688338602E-2</v>
      </c>
      <c r="W48" s="5">
        <f t="shared" si="2"/>
        <v>-2.1657491065722855E-2</v>
      </c>
      <c r="X48" s="1">
        <f t="shared" si="3"/>
        <v>0.26762979325426151</v>
      </c>
      <c r="Y48" s="3">
        <f t="shared" si="4"/>
        <v>8.0190782369062935E-2</v>
      </c>
      <c r="Z48" s="1">
        <f t="shared" si="5"/>
        <v>8.5517551799755065E-2</v>
      </c>
      <c r="AA48" s="8">
        <f t="shared" si="11"/>
        <v>3.0000000000000009</v>
      </c>
      <c r="AB48" s="1">
        <v>3.0830000000000002</v>
      </c>
      <c r="AC48" s="1">
        <v>5.0006249449999999E-4</v>
      </c>
      <c r="AD48" s="8">
        <f t="shared" si="6"/>
        <v>2.0475336360229867E-2</v>
      </c>
      <c r="AE48" s="3">
        <f t="shared" si="7"/>
        <v>4.0945554976488776E-3</v>
      </c>
      <c r="AF48" s="11">
        <f t="shared" si="8"/>
        <v>3.0000000000000009</v>
      </c>
      <c r="AG48" s="1">
        <f t="shared" si="9"/>
        <v>8.5517551799755065E-2</v>
      </c>
    </row>
    <row r="49" spans="2:33" ht="15" x14ac:dyDescent="0.25">
      <c r="B49" s="1">
        <v>38</v>
      </c>
      <c r="C49" s="1">
        <v>1.0000036265675842</v>
      </c>
      <c r="D49" s="1">
        <v>1.0500950985681388</v>
      </c>
      <c r="E49" s="1">
        <v>0.95208968771672209</v>
      </c>
      <c r="G49" s="1">
        <v>0.99969620313451846</v>
      </c>
      <c r="H49" s="1">
        <v>1.5372245619870539</v>
      </c>
      <c r="I49" s="1">
        <v>0.63850406341486987</v>
      </c>
      <c r="K49" s="1">
        <v>1.0000297293300406</v>
      </c>
      <c r="L49" s="1">
        <v>1.745896867705018</v>
      </c>
      <c r="M49" s="1">
        <v>0.56129553664624454</v>
      </c>
      <c r="O49" s="1">
        <v>4.9769788558694933E-4</v>
      </c>
      <c r="P49" s="1">
        <v>0.99842519799968799</v>
      </c>
      <c r="R49" s="1">
        <v>5.9891322226799125E-2</v>
      </c>
      <c r="S49" s="2">
        <f t="shared" si="10"/>
        <v>0.1523576221375792</v>
      </c>
      <c r="T49" s="4">
        <f t="shared" si="1"/>
        <v>2.3212845023417361E-2</v>
      </c>
      <c r="U49" s="1">
        <f t="shared" si="0"/>
        <v>9.6361616952389539E-4</v>
      </c>
      <c r="V49" s="6">
        <f>2*sigma/alpha*corel*(B49/12-1/alpha*(1-EXP(-alpha*Output!B49/12)))</f>
        <v>2.4043644030546429E-2</v>
      </c>
      <c r="W49" s="5">
        <f t="shared" si="2"/>
        <v>-2.2249228853893466E-2</v>
      </c>
      <c r="X49" s="1">
        <f t="shared" si="3"/>
        <v>0.28240166230091823</v>
      </c>
      <c r="Y49" s="3">
        <f t="shared" si="4"/>
        <v>8.0111231088729071E-2</v>
      </c>
      <c r="Z49" s="1">
        <f t="shared" si="5"/>
        <v>8.5617592308229004E-2</v>
      </c>
      <c r="AA49" s="8">
        <f t="shared" si="11"/>
        <v>3.0833333333333344</v>
      </c>
      <c r="AB49" s="1">
        <v>3.1669999999999998</v>
      </c>
      <c r="AC49" s="1">
        <v>5.0004457260000002E-4</v>
      </c>
      <c r="AD49" s="8">
        <f t="shared" si="6"/>
        <v>2.3466870130506908E-2</v>
      </c>
      <c r="AE49" s="3">
        <f t="shared" si="7"/>
        <v>4.6929556716294426E-3</v>
      </c>
      <c r="AF49" s="11">
        <f t="shared" si="8"/>
        <v>3.0833333333333344</v>
      </c>
      <c r="AG49" s="1">
        <f t="shared" si="9"/>
        <v>8.5617592308229004E-2</v>
      </c>
    </row>
    <row r="50" spans="2:33" ht="15" x14ac:dyDescent="0.25">
      <c r="B50" s="1">
        <v>39</v>
      </c>
      <c r="C50" s="1">
        <v>1.0000039796019822</v>
      </c>
      <c r="D50" s="1">
        <v>1.0527355600339587</v>
      </c>
      <c r="E50" s="1">
        <v>0.94969702900822672</v>
      </c>
      <c r="G50" s="1">
        <v>0.99967547143884095</v>
      </c>
      <c r="H50" s="1">
        <v>1.5720551550440915</v>
      </c>
      <c r="I50" s="1">
        <v>0.62405171109547675</v>
      </c>
      <c r="K50" s="1">
        <v>1.0000815635748688</v>
      </c>
      <c r="L50" s="1">
        <v>1.8050769570156504</v>
      </c>
      <c r="M50" s="1">
        <v>0.54256349465286968</v>
      </c>
      <c r="O50" s="1">
        <v>4.9750493848581235E-4</v>
      </c>
      <c r="P50" s="1">
        <v>0.99838441541402345</v>
      </c>
      <c r="R50" s="1">
        <v>6.0850190680620329E-2</v>
      </c>
      <c r="S50" s="2">
        <f t="shared" si="10"/>
        <v>0.15482432828970066</v>
      </c>
      <c r="T50" s="4">
        <f t="shared" si="1"/>
        <v>2.3970572630357005E-2</v>
      </c>
      <c r="U50" s="1">
        <f t="shared" si="0"/>
        <v>1.0391702177177109E-3</v>
      </c>
      <c r="V50" s="6">
        <f>2*sigma/alpha*corel*(B50/12-1/alpha*(1-EXP(-alpha*Output!B50/12)))</f>
        <v>2.5298221626754103E-2</v>
      </c>
      <c r="W50" s="5">
        <f t="shared" si="2"/>
        <v>-2.2931402412639294E-2</v>
      </c>
      <c r="X50" s="1">
        <f t="shared" si="3"/>
        <v>0.29874823138178719</v>
      </c>
      <c r="Y50" s="3">
        <f t="shared" si="4"/>
        <v>8.019699049283921E-2</v>
      </c>
      <c r="Z50" s="1">
        <f t="shared" si="5"/>
        <v>8.5881085282736261E-2</v>
      </c>
      <c r="AA50" s="8">
        <f t="shared" si="11"/>
        <v>3.1666666666666679</v>
      </c>
      <c r="AB50" s="1">
        <v>3.25</v>
      </c>
      <c r="AC50" s="1">
        <v>5.000236473E-4</v>
      </c>
      <c r="AD50" s="8">
        <f t="shared" si="6"/>
        <v>2.5187088141876476E-2</v>
      </c>
      <c r="AE50" s="3">
        <f t="shared" si="7"/>
        <v>5.0371793969905855E-3</v>
      </c>
      <c r="AF50" s="11">
        <f t="shared" si="8"/>
        <v>3.1666666666666679</v>
      </c>
      <c r="AG50" s="1">
        <f t="shared" si="9"/>
        <v>8.5881085282736261E-2</v>
      </c>
    </row>
    <row r="51" spans="2:33" ht="15" x14ac:dyDescent="0.25">
      <c r="B51" s="1">
        <v>40</v>
      </c>
      <c r="C51" s="1">
        <v>1.0000043109604706</v>
      </c>
      <c r="D51" s="1">
        <v>1.0535131434246117</v>
      </c>
      <c r="E51" s="1">
        <v>0.94899147104628223</v>
      </c>
      <c r="G51" s="1">
        <v>0.99965124715597597</v>
      </c>
      <c r="H51" s="1">
        <v>1.5821578954750855</v>
      </c>
      <c r="I51" s="1">
        <v>0.61976341291355974</v>
      </c>
      <c r="K51" s="1">
        <v>1.0000166892282052</v>
      </c>
      <c r="L51" s="1">
        <v>1.7319330163062006</v>
      </c>
      <c r="M51" s="1">
        <v>0.5652205588915018</v>
      </c>
      <c r="O51" s="1">
        <v>4.9730982795781887E-4</v>
      </c>
      <c r="P51" s="1">
        <v>0.9983436737982655</v>
      </c>
      <c r="R51" s="1">
        <v>6.1541683061779054E-2</v>
      </c>
      <c r="S51" s="2">
        <f t="shared" si="10"/>
        <v>0.1566184402501411</v>
      </c>
      <c r="T51" s="4">
        <f t="shared" si="1"/>
        <v>2.4529335826387017E-2</v>
      </c>
      <c r="U51" s="1">
        <f t="shared" si="0"/>
        <v>1.1184409951625618E-3</v>
      </c>
      <c r="V51" s="6">
        <f>2*sigma/alpha*corel*(B51/12-1/alpha*(1-EXP(-alpha*Output!B51/12)))</f>
        <v>2.6583288675877559E-2</v>
      </c>
      <c r="W51" s="5">
        <f t="shared" si="2"/>
        <v>-2.3410894831224455E-2</v>
      </c>
      <c r="X51" s="1">
        <f t="shared" si="3"/>
        <v>0.31285193565315111</v>
      </c>
      <c r="Y51" s="3">
        <f t="shared" si="4"/>
        <v>7.9912259691078957E-2</v>
      </c>
      <c r="Z51" s="1">
        <f t="shared" si="5"/>
        <v>8.5783452646277333E-2</v>
      </c>
      <c r="AA51" s="8">
        <f t="shared" si="11"/>
        <v>3.2500000000000013</v>
      </c>
      <c r="AB51" s="1">
        <v>3.3330000000000002</v>
      </c>
      <c r="AC51" s="1">
        <v>5.0000160599999999E-4</v>
      </c>
      <c r="AD51" s="8">
        <f t="shared" si="6"/>
        <v>2.6917780421811158E-2</v>
      </c>
      <c r="AE51" s="3">
        <f t="shared" si="7"/>
        <v>5.3835387924356303E-3</v>
      </c>
      <c r="AF51" s="11">
        <f t="shared" si="8"/>
        <v>3.2500000000000013</v>
      </c>
      <c r="AG51" s="1">
        <f t="shared" si="9"/>
        <v>8.5783452646277333E-2</v>
      </c>
    </row>
    <row r="52" spans="2:33" ht="15" x14ac:dyDescent="0.25">
      <c r="B52" s="1">
        <v>41</v>
      </c>
      <c r="C52" s="1">
        <v>1.0000062285385489</v>
      </c>
      <c r="D52" s="1">
        <v>1.0534622187864036</v>
      </c>
      <c r="E52" s="1">
        <v>0.949032779598451</v>
      </c>
      <c r="G52" s="1">
        <v>0.99975428810365885</v>
      </c>
      <c r="H52" s="1">
        <v>1.5808012430477065</v>
      </c>
      <c r="I52" s="1">
        <v>0.61999175239544335</v>
      </c>
      <c r="K52" s="1">
        <v>0.99995189260180151</v>
      </c>
      <c r="L52" s="1">
        <v>1.7810645814904214</v>
      </c>
      <c r="M52" s="1">
        <v>0.54930756702958072</v>
      </c>
      <c r="O52" s="1">
        <v>4.9716028810411128E-4</v>
      </c>
      <c r="P52" s="1">
        <v>0.99830281087274486</v>
      </c>
      <c r="R52" s="1">
        <v>6.2314121120310324E-2</v>
      </c>
      <c r="S52" s="2">
        <f t="shared" si="10"/>
        <v>0.15861663327715597</v>
      </c>
      <c r="T52" s="4">
        <f t="shared" si="1"/>
        <v>2.5159236352179783E-2</v>
      </c>
      <c r="U52" s="1">
        <f t="shared" si="0"/>
        <v>1.201504930739894E-3</v>
      </c>
      <c r="V52" s="6">
        <f>2*sigma/alpha*corel*(B52/12-1/alpha*(1-EXP(-alpha*Output!B52/12)))</f>
        <v>2.7898743715604357E-2</v>
      </c>
      <c r="W52" s="5">
        <f t="shared" si="2"/>
        <v>-2.3957731421439889E-2</v>
      </c>
      <c r="X52" s="1">
        <f t="shared" si="3"/>
        <v>0.32820066932725411</v>
      </c>
      <c r="Y52" s="3">
        <f t="shared" si="4"/>
        <v>7.9754526431731407E-2</v>
      </c>
      <c r="Z52" s="1">
        <f t="shared" si="5"/>
        <v>8.5811881067514792E-2</v>
      </c>
      <c r="AA52" s="8">
        <f t="shared" si="11"/>
        <v>3.3333333333333348</v>
      </c>
      <c r="AB52" s="1">
        <v>3.4169999999999998</v>
      </c>
      <c r="AC52" s="1">
        <v>4.9998033609999996E-4</v>
      </c>
      <c r="AD52" s="8">
        <f t="shared" si="6"/>
        <v>2.8200479958886797E-2</v>
      </c>
      <c r="AE52" s="3">
        <f t="shared" si="7"/>
        <v>5.6403178130682487E-3</v>
      </c>
      <c r="AF52" s="11">
        <f t="shared" si="8"/>
        <v>3.3333333333333348</v>
      </c>
      <c r="AG52" s="1">
        <f t="shared" si="9"/>
        <v>8.5811881067514792E-2</v>
      </c>
    </row>
    <row r="53" spans="2:33" ht="15" x14ac:dyDescent="0.25">
      <c r="B53" s="1">
        <v>42</v>
      </c>
      <c r="C53" s="1">
        <v>1.0000071400199921</v>
      </c>
      <c r="D53" s="1">
        <v>1.0554107017314835</v>
      </c>
      <c r="E53" s="1">
        <v>0.94727616691106453</v>
      </c>
      <c r="G53" s="1">
        <v>0.99977524386398653</v>
      </c>
      <c r="H53" s="1">
        <v>1.6051453866909837</v>
      </c>
      <c r="I53" s="1">
        <v>0.61028999937592421</v>
      </c>
      <c r="K53" s="1">
        <v>0.99998556589068599</v>
      </c>
      <c r="L53" s="1">
        <v>1.8022905548155967</v>
      </c>
      <c r="M53" s="1">
        <v>0.54253752992391902</v>
      </c>
      <c r="O53" s="1">
        <v>4.9705318742556976E-4</v>
      </c>
      <c r="P53" s="1">
        <v>0.99826182622082371</v>
      </c>
      <c r="R53" s="1">
        <v>6.3276381250766206E-2</v>
      </c>
      <c r="S53" s="2">
        <f t="shared" si="10"/>
        <v>0.1610930242604211</v>
      </c>
      <c r="T53" s="4">
        <f t="shared" si="1"/>
        <v>2.5950962465368623E-2</v>
      </c>
      <c r="U53" s="1">
        <f t="shared" si="0"/>
        <v>1.2884376089825622E-3</v>
      </c>
      <c r="V53" s="6">
        <f>2*sigma/alpha*corel*(B53/12-1/alpha*(1-EXP(-alpha*Output!B53/12)))</f>
        <v>2.9244485621268301E-2</v>
      </c>
      <c r="W53" s="5">
        <f t="shared" si="2"/>
        <v>-2.4662524856386061E-2</v>
      </c>
      <c r="X53" s="1">
        <f t="shared" si="3"/>
        <v>0.34613058792865742</v>
      </c>
      <c r="Y53" s="3">
        <f t="shared" si="4"/>
        <v>7.986916482436783E-2</v>
      </c>
      <c r="Z53" s="1">
        <f t="shared" si="5"/>
        <v>8.6107843454536911E-2</v>
      </c>
      <c r="AA53" s="8">
        <f t="shared" si="11"/>
        <v>3.4166666666666683</v>
      </c>
      <c r="AB53" s="1">
        <v>3.5</v>
      </c>
      <c r="AC53" s="1">
        <v>4.9996172499999997E-4</v>
      </c>
      <c r="AD53" s="8">
        <f t="shared" si="6"/>
        <v>2.9085375744302082E-2</v>
      </c>
      <c r="AE53" s="3">
        <f t="shared" si="7"/>
        <v>5.8175204800531644E-3</v>
      </c>
      <c r="AF53" s="11">
        <f t="shared" si="8"/>
        <v>3.4166666666666683</v>
      </c>
      <c r="AG53" s="1">
        <f t="shared" si="9"/>
        <v>8.6107843454536911E-2</v>
      </c>
    </row>
    <row r="54" spans="2:33" ht="15" x14ac:dyDescent="0.25">
      <c r="B54" s="1">
        <v>43</v>
      </c>
      <c r="C54" s="1">
        <v>1.0000093236128149</v>
      </c>
      <c r="D54" s="1">
        <v>1.057347327238221</v>
      </c>
      <c r="E54" s="1">
        <v>0.94553666386213808</v>
      </c>
      <c r="G54" s="1">
        <v>0.99989707910752901</v>
      </c>
      <c r="H54" s="1">
        <v>1.6306880544750602</v>
      </c>
      <c r="I54" s="1">
        <v>0.60043667100666431</v>
      </c>
      <c r="K54" s="1">
        <v>0.99996158624162546</v>
      </c>
      <c r="L54" s="1">
        <v>1.7338423677242587</v>
      </c>
      <c r="M54" s="1">
        <v>0.5637011073251702</v>
      </c>
      <c r="O54" s="1">
        <v>4.968040988440407E-4</v>
      </c>
      <c r="P54" s="1">
        <v>0.99822136895476188</v>
      </c>
      <c r="R54" s="1">
        <v>6.4011755790255614E-2</v>
      </c>
      <c r="S54" s="2">
        <f t="shared" si="10"/>
        <v>0.16299790257119701</v>
      </c>
      <c r="T54" s="4">
        <f t="shared" si="1"/>
        <v>2.6568316242609431E-2</v>
      </c>
      <c r="U54" s="1">
        <f t="shared" si="0"/>
        <v>1.3793137767978969E-3</v>
      </c>
      <c r="V54" s="6">
        <f>2*sigma/alpha*corel*(B54/12-1/alpha*(1-EXP(-alpha*Output!B54/12)))</f>
        <v>3.0620413604722063E-2</v>
      </c>
      <c r="W54" s="5">
        <f t="shared" si="2"/>
        <v>-2.5189002465811534E-2</v>
      </c>
      <c r="X54" s="1">
        <f t="shared" si="3"/>
        <v>0.36197997840595625</v>
      </c>
      <c r="Y54" s="3">
        <f t="shared" si="4"/>
        <v>7.9678228732635678E-2</v>
      </c>
      <c r="Z54" s="1">
        <f t="shared" si="5"/>
        <v>8.610699062879168E-2</v>
      </c>
      <c r="AA54" s="8">
        <f t="shared" si="11"/>
        <v>3.5000000000000018</v>
      </c>
      <c r="AB54" s="1">
        <v>3.5830000000000002</v>
      </c>
      <c r="AC54" s="1">
        <v>4.9994766009999999E-4</v>
      </c>
      <c r="AD54" s="8">
        <f t="shared" si="6"/>
        <v>3.1435612559592908E-2</v>
      </c>
      <c r="AE54" s="3">
        <f t="shared" si="7"/>
        <v>6.2877807155463294E-3</v>
      </c>
      <c r="AF54" s="11">
        <f t="shared" si="8"/>
        <v>3.5000000000000018</v>
      </c>
      <c r="AG54" s="1">
        <f t="shared" si="9"/>
        <v>8.610699062879168E-2</v>
      </c>
    </row>
    <row r="55" spans="2:33" ht="15" x14ac:dyDescent="0.25">
      <c r="B55" s="1">
        <v>44</v>
      </c>
      <c r="C55" s="1">
        <v>1.0000100289347293</v>
      </c>
      <c r="D55" s="1">
        <v>1.0548802714613776</v>
      </c>
      <c r="E55" s="1">
        <v>0.94774353625451246</v>
      </c>
      <c r="G55" s="1">
        <v>0.99989728298522873</v>
      </c>
      <c r="H55" s="1">
        <v>1.608874144834106</v>
      </c>
      <c r="I55" s="1">
        <v>0.60827997360326502</v>
      </c>
      <c r="K55" s="1">
        <v>0.99996751549587548</v>
      </c>
      <c r="L55" s="1">
        <v>1.7725437971354774</v>
      </c>
      <c r="M55" s="1">
        <v>0.55109460864804449</v>
      </c>
      <c r="O55" s="1">
        <v>4.9660588625963459E-4</v>
      </c>
      <c r="P55" s="1">
        <v>0.99818076856161486</v>
      </c>
      <c r="R55" s="1">
        <v>6.4819847826700139E-2</v>
      </c>
      <c r="S55" s="2">
        <f t="shared" si="10"/>
        <v>0.16508626902692547</v>
      </c>
      <c r="T55" s="4">
        <f t="shared" si="1"/>
        <v>2.7253476221230411E-2</v>
      </c>
      <c r="U55" s="1">
        <f t="shared" si="0"/>
        <v>1.4742073501543551E-3</v>
      </c>
      <c r="V55" s="6">
        <f>2*sigma/alpha*corel*(B55/12-1/alpha*(1-EXP(-alpha*Output!B55/12)))</f>
        <v>3.2026427213221131E-2</v>
      </c>
      <c r="W55" s="5">
        <f t="shared" si="2"/>
        <v>-2.5779268871076056E-2</v>
      </c>
      <c r="X55" s="1">
        <f t="shared" si="3"/>
        <v>0.37912163548249261</v>
      </c>
      <c r="Y55" s="3">
        <f t="shared" si="4"/>
        <v>7.9595742709433842E-2</v>
      </c>
      <c r="Z55" s="1">
        <f t="shared" si="5"/>
        <v>8.6213492228036731E-2</v>
      </c>
      <c r="AA55" s="8">
        <f t="shared" si="11"/>
        <v>3.5833333333333353</v>
      </c>
      <c r="AB55" s="1">
        <v>3.6669999999999998</v>
      </c>
      <c r="AC55" s="1">
        <v>4.9994001999999996E-4</v>
      </c>
      <c r="AD55" s="8">
        <f t="shared" si="6"/>
        <v>3.3341337403653727E-2</v>
      </c>
      <c r="AE55" s="3">
        <f t="shared" si="7"/>
        <v>6.6690675020682948E-3</v>
      </c>
      <c r="AF55" s="11">
        <f t="shared" si="8"/>
        <v>3.5833333333333353</v>
      </c>
      <c r="AG55" s="1">
        <f t="shared" si="9"/>
        <v>8.6213492228036731E-2</v>
      </c>
    </row>
    <row r="56" spans="2:33" ht="15" x14ac:dyDescent="0.25">
      <c r="B56" s="1">
        <v>45</v>
      </c>
      <c r="C56" s="1">
        <v>1.0000102304522811</v>
      </c>
      <c r="D56" s="1">
        <v>1.0547126695718814</v>
      </c>
      <c r="E56" s="1">
        <v>0.94788971211932338</v>
      </c>
      <c r="G56" s="1">
        <v>0.99985496604424284</v>
      </c>
      <c r="H56" s="1">
        <v>1.602856722005608</v>
      </c>
      <c r="I56" s="1">
        <v>0.61026491697811447</v>
      </c>
      <c r="K56" s="1">
        <v>1.0000051529551059</v>
      </c>
      <c r="L56" s="1">
        <v>1.7602097523321114</v>
      </c>
      <c r="M56" s="1">
        <v>0.55464947960609845</v>
      </c>
      <c r="O56" s="1">
        <v>4.9647993051272219E-4</v>
      </c>
      <c r="P56" s="1">
        <v>0.99813993233462039</v>
      </c>
      <c r="R56" s="1">
        <v>6.5706868134673024E-2</v>
      </c>
      <c r="S56" s="2">
        <f t="shared" si="10"/>
        <v>0.16737394711314169</v>
      </c>
      <c r="T56" s="4">
        <f t="shared" si="1"/>
        <v>2.801403817223275E-2</v>
      </c>
      <c r="U56" s="1">
        <f t="shared" si="0"/>
        <v>1.5731914207135489E-3</v>
      </c>
      <c r="V56" s="6">
        <f>2*sigma/alpha*corel*(B56/12-1/alpha*(1-EXP(-alpha*Output!B56/12)))</f>
        <v>3.346242632830565E-2</v>
      </c>
      <c r="W56" s="5">
        <f t="shared" si="2"/>
        <v>-2.6440846751519202E-2</v>
      </c>
      <c r="X56" s="1">
        <f t="shared" si="3"/>
        <v>0.39773243524856533</v>
      </c>
      <c r="Y56" s="3">
        <f t="shared" si="4"/>
        <v>7.9626385402810432E-2</v>
      </c>
      <c r="Z56" s="1">
        <f t="shared" si="5"/>
        <v>8.6431534634426488E-2</v>
      </c>
      <c r="AA56" s="8">
        <f t="shared" si="11"/>
        <v>3.6666666666666687</v>
      </c>
      <c r="AB56" s="1">
        <v>3.75</v>
      </c>
      <c r="AC56" s="1">
        <v>4.9994064779999999E-4</v>
      </c>
      <c r="AD56" s="8">
        <f t="shared" si="6"/>
        <v>3.4607172872778022E-2</v>
      </c>
      <c r="AE56" s="3">
        <f t="shared" si="7"/>
        <v>6.9222562768335915E-3</v>
      </c>
      <c r="AF56" s="11">
        <f t="shared" si="8"/>
        <v>3.6666666666666687</v>
      </c>
      <c r="AG56" s="1">
        <f t="shared" si="9"/>
        <v>8.6431534634426488E-2</v>
      </c>
    </row>
    <row r="57" spans="2:33" ht="15" x14ac:dyDescent="0.25">
      <c r="B57" s="1">
        <v>46</v>
      </c>
      <c r="C57" s="1">
        <v>1.0000116014975595</v>
      </c>
      <c r="D57" s="1">
        <v>1.055964073889474</v>
      </c>
      <c r="E57" s="1">
        <v>0.94676199396451988</v>
      </c>
      <c r="G57" s="1">
        <v>0.99990741812186279</v>
      </c>
      <c r="H57" s="1">
        <v>1.6176978110960134</v>
      </c>
      <c r="I57" s="1">
        <v>0.60437048508288849</v>
      </c>
      <c r="K57" s="1">
        <v>1.0000425290315298</v>
      </c>
      <c r="L57" s="1">
        <v>1.808496983050639</v>
      </c>
      <c r="M57" s="1">
        <v>0.53954018532493819</v>
      </c>
      <c r="O57" s="1">
        <v>4.9635792979598825E-4</v>
      </c>
      <c r="P57" s="1">
        <v>0.99809910359885268</v>
      </c>
      <c r="R57" s="1">
        <v>6.6704984123707012E-2</v>
      </c>
      <c r="S57" s="2">
        <f t="shared" si="10"/>
        <v>0.16994169136528564</v>
      </c>
      <c r="T57" s="4">
        <f t="shared" ref="T57:T86" si="12">S57*S57</f>
        <v>2.8880178464093999E-2</v>
      </c>
      <c r="U57" s="1">
        <f t="shared" ref="U57:U120" si="13">sigma*sigma/alpha/alpha*(B57/12+2/alpha*EXP(-alpha*B57/12)-1/2/alpha*EXP(-2*alpha*B57/12)-3/2/alpha)</f>
        <v>1.6763382624160883E-3</v>
      </c>
      <c r="V57" s="6">
        <f>2*sigma/alpha*corel*(B57/12-1/alpha*(1-EXP(-alpha*Output!B57/12)))</f>
        <v>3.4928311164687864E-2</v>
      </c>
      <c r="W57" s="5">
        <f t="shared" ref="W57:W86" si="14">U57-T57</f>
        <v>-2.720384020167791E-2</v>
      </c>
      <c r="X57" s="1">
        <f t="shared" ref="X57:X86" si="15">V57*V57-4*W57*B57/12</f>
        <v>0.41834553667987856</v>
      </c>
      <c r="Y57" s="3">
        <f t="shared" ref="Y57:Y86" si="16">(-V57+SQRT(X57))/2/B57*12</f>
        <v>7.9808876476568827E-2</v>
      </c>
      <c r="Z57" s="1">
        <f t="shared" si="5"/>
        <v>8.6798384773732223E-2</v>
      </c>
      <c r="AA57" s="8">
        <f t="shared" si="11"/>
        <v>3.7500000000000022</v>
      </c>
      <c r="AB57" s="1">
        <v>3.8330000000000002</v>
      </c>
      <c r="AC57" s="1">
        <v>4.9995137759999999E-4</v>
      </c>
      <c r="AD57" s="8">
        <f t="shared" si="6"/>
        <v>3.5934478040117311E-2</v>
      </c>
      <c r="AE57" s="3">
        <f t="shared" si="7"/>
        <v>7.1875945642193417E-3</v>
      </c>
      <c r="AF57" s="11">
        <f t="shared" si="8"/>
        <v>3.7500000000000022</v>
      </c>
      <c r="AG57" s="1">
        <f t="shared" si="9"/>
        <v>8.6798384773732223E-2</v>
      </c>
    </row>
    <row r="58" spans="2:33" ht="15" x14ac:dyDescent="0.25">
      <c r="B58" s="1">
        <v>47</v>
      </c>
      <c r="C58" s="1">
        <v>1.0000122703319225</v>
      </c>
      <c r="D58" s="1">
        <v>1.0602702966186006</v>
      </c>
      <c r="E58" s="1">
        <v>0.94291243675786107</v>
      </c>
      <c r="G58" s="1">
        <v>0.99990466046647419</v>
      </c>
      <c r="H58" s="1">
        <v>1.6819967569186887</v>
      </c>
      <c r="I58" s="1">
        <v>0.580982500302483</v>
      </c>
      <c r="K58" s="1">
        <v>1.0000773278555599</v>
      </c>
      <c r="L58" s="1">
        <v>1.8002514276767447</v>
      </c>
      <c r="M58" s="1">
        <v>0.54171821956537292</v>
      </c>
      <c r="O58" s="1">
        <v>4.9635697277069504E-4</v>
      </c>
      <c r="P58" s="1">
        <v>0.99805782366000662</v>
      </c>
      <c r="R58" s="1">
        <v>6.7552255759701405E-2</v>
      </c>
      <c r="S58" s="2">
        <f t="shared" si="10"/>
        <v>0.17213051183176448</v>
      </c>
      <c r="T58" s="4">
        <f t="shared" si="12"/>
        <v>2.9628913103465212E-2</v>
      </c>
      <c r="U58" s="1">
        <f t="shared" si="13"/>
        <v>1.7837193380185745E-3</v>
      </c>
      <c r="V58" s="6">
        <f>2*sigma/alpha*corel*(B58/12-1/alpha*(1-EXP(-alpha*Output!B58/12)))</f>
        <v>3.6423982269144284E-2</v>
      </c>
      <c r="W58" s="5">
        <f t="shared" si="14"/>
        <v>-2.7845193765446637E-2</v>
      </c>
      <c r="X58" s="1">
        <f t="shared" si="15"/>
        <v>0.43756807547634025</v>
      </c>
      <c r="Y58" s="3">
        <f t="shared" si="16"/>
        <v>7.9795570687458114E-2</v>
      </c>
      <c r="Z58" s="1">
        <f t="shared" si="5"/>
        <v>8.6976024727970169E-2</v>
      </c>
      <c r="AA58" s="8">
        <f t="shared" si="11"/>
        <v>3.8333333333333357</v>
      </c>
      <c r="AB58" s="1">
        <v>3.9169999999999998</v>
      </c>
      <c r="AC58" s="1">
        <v>4.9997404359999995E-4</v>
      </c>
      <c r="AD58" s="8">
        <f t="shared" si="6"/>
        <v>3.6170708293049081E-2</v>
      </c>
      <c r="AE58" s="3">
        <f t="shared" si="7"/>
        <v>7.2345172226554941E-3</v>
      </c>
      <c r="AF58" s="11">
        <f t="shared" si="8"/>
        <v>3.8333333333333357</v>
      </c>
      <c r="AG58" s="1">
        <f t="shared" si="9"/>
        <v>8.6976024727970169E-2</v>
      </c>
    </row>
    <row r="59" spans="2:33" ht="15" x14ac:dyDescent="0.25">
      <c r="B59" s="1">
        <v>48</v>
      </c>
      <c r="C59" s="1">
        <v>1.0000121013276768</v>
      </c>
      <c r="D59" s="1">
        <v>1.0597280453760134</v>
      </c>
      <c r="E59" s="1">
        <v>0.94339060288374266</v>
      </c>
      <c r="G59" s="1">
        <v>0.99982920402127529</v>
      </c>
      <c r="H59" s="1">
        <v>1.6743313379343461</v>
      </c>
      <c r="I59" s="1">
        <v>0.58335695793959141</v>
      </c>
      <c r="K59" s="1">
        <v>1.0000591245766353</v>
      </c>
      <c r="L59" s="1">
        <v>1.7994462799115922</v>
      </c>
      <c r="M59" s="1">
        <v>0.54167691720482147</v>
      </c>
      <c r="O59" s="1">
        <v>4.9654265845616187E-4</v>
      </c>
      <c r="P59" s="1">
        <v>0.99801580049785144</v>
      </c>
      <c r="R59" s="1">
        <v>6.8466841981791399E-2</v>
      </c>
      <c r="S59" s="2">
        <f t="shared" si="10"/>
        <v>0.17449017493829155</v>
      </c>
      <c r="T59" s="4">
        <f t="shared" si="12"/>
        <v>3.0446821149995591E-2</v>
      </c>
      <c r="U59" s="1">
        <f t="shared" si="13"/>
        <v>1.8954053055892928E-3</v>
      </c>
      <c r="V59" s="6">
        <f>2*sigma/alpha*corel*(B59/12-1/alpha*(1-EXP(-alpha*Output!B59/12)))</f>
        <v>3.7949340519410457E-2</v>
      </c>
      <c r="W59" s="5">
        <f t="shared" si="14"/>
        <v>-2.8551415844406298E-2</v>
      </c>
      <c r="X59" s="1">
        <f t="shared" si="15"/>
        <v>0.45826280595635899</v>
      </c>
      <c r="Y59" s="3">
        <f t="shared" si="16"/>
        <v>7.9875221242881309E-2</v>
      </c>
      <c r="Z59" s="1">
        <f t="shared" si="5"/>
        <v>8.7245087469145777E-2</v>
      </c>
      <c r="AA59" s="8">
        <f t="shared" si="11"/>
        <v>3.9166666666666692</v>
      </c>
      <c r="AB59" s="1">
        <v>4</v>
      </c>
      <c r="AC59" s="1">
        <v>5.0001047999999998E-4</v>
      </c>
      <c r="AD59" s="8">
        <f t="shared" si="6"/>
        <v>3.4678215438381121E-2</v>
      </c>
      <c r="AE59" s="3">
        <f t="shared" si="7"/>
        <v>6.9354977196440203E-3</v>
      </c>
      <c r="AF59" s="11">
        <f t="shared" si="8"/>
        <v>3.9166666666666692</v>
      </c>
      <c r="AG59" s="1">
        <f t="shared" si="9"/>
        <v>8.7245087469145777E-2</v>
      </c>
    </row>
    <row r="60" spans="2:33" ht="15" x14ac:dyDescent="0.25">
      <c r="B60" s="1">
        <v>49</v>
      </c>
      <c r="C60" s="1">
        <v>1.0000139652143776</v>
      </c>
      <c r="D60" s="1">
        <v>1.0585799781308571</v>
      </c>
      <c r="E60" s="1">
        <v>0.94440945829173206</v>
      </c>
      <c r="G60" s="1">
        <v>0.99991529255886036</v>
      </c>
      <c r="H60" s="1">
        <v>1.6583792278066902</v>
      </c>
      <c r="I60" s="1">
        <v>0.58868035583663458</v>
      </c>
      <c r="K60" s="1">
        <v>1.0000294839253425</v>
      </c>
      <c r="L60" s="1">
        <v>1.7989996259052599</v>
      </c>
      <c r="M60" s="1">
        <v>0.54152038495622368</v>
      </c>
      <c r="O60" s="1">
        <v>4.9639226400566565E-4</v>
      </c>
      <c r="P60" s="1">
        <v>0.99797511776765291</v>
      </c>
      <c r="R60" s="1">
        <v>6.9407326350464815E-2</v>
      </c>
      <c r="S60" s="2">
        <f t="shared" si="10"/>
        <v>0.17691362897904972</v>
      </c>
      <c r="T60" s="4">
        <f t="shared" si="12"/>
        <v>3.1298432118536862E-2</v>
      </c>
      <c r="U60" s="1">
        <f t="shared" si="13"/>
        <v>2.0114660249475058E-3</v>
      </c>
      <c r="V60" s="6">
        <f>2*sigma/alpha*corel*(B60/12-1/alpha*(1-EXP(-alpha*Output!B60/12)))</f>
        <v>3.9504287123079018E-2</v>
      </c>
      <c r="W60" s="5">
        <f t="shared" si="14"/>
        <v>-2.9286966093589356E-2</v>
      </c>
      <c r="X60" s="1">
        <f t="shared" si="15"/>
        <v>0.47991436822972877</v>
      </c>
      <c r="Y60" s="3">
        <f t="shared" si="16"/>
        <v>7.999031433562756E-2</v>
      </c>
      <c r="Z60" s="1">
        <f t="shared" si="5"/>
        <v>8.7549541126601085E-2</v>
      </c>
      <c r="AA60" s="8">
        <f t="shared" si="11"/>
        <v>4.0000000000000027</v>
      </c>
      <c r="AB60" s="1">
        <v>4.0830000000000002</v>
      </c>
      <c r="AC60" s="1">
        <v>5.0006252099999999E-4</v>
      </c>
      <c r="AD60" s="8">
        <f t="shared" si="6"/>
        <v>3.6702569943343394E-2</v>
      </c>
      <c r="AE60" s="3">
        <f t="shared" si="7"/>
        <v>7.3395962308767781E-3</v>
      </c>
      <c r="AF60" s="11">
        <f t="shared" si="8"/>
        <v>4.0000000000000027</v>
      </c>
      <c r="AG60" s="1">
        <f t="shared" si="9"/>
        <v>8.7549541126601085E-2</v>
      </c>
    </row>
    <row r="61" spans="2:33" ht="15" x14ac:dyDescent="0.25">
      <c r="B61" s="1">
        <v>50</v>
      </c>
      <c r="C61" s="1">
        <v>1.0000157746981237</v>
      </c>
      <c r="D61" s="1">
        <v>1.0596974423446339</v>
      </c>
      <c r="E61" s="1">
        <v>0.94340931701693242</v>
      </c>
      <c r="G61" s="1">
        <v>0.99999970755922407</v>
      </c>
      <c r="H61" s="1">
        <v>1.6725468717746175</v>
      </c>
      <c r="I61" s="1">
        <v>0.58340845975197508</v>
      </c>
      <c r="K61" s="1">
        <v>1.0000421939730164</v>
      </c>
      <c r="L61" s="1">
        <v>1.7972720413972316</v>
      </c>
      <c r="M61" s="1">
        <v>0.54175627965375339</v>
      </c>
      <c r="O61" s="1">
        <v>4.963987544598119E-4</v>
      </c>
      <c r="P61" s="1">
        <v>0.99793380937312293</v>
      </c>
      <c r="R61" s="1">
        <v>7.0205976629131833E-2</v>
      </c>
      <c r="S61" s="2">
        <f t="shared" si="10"/>
        <v>0.1789809298339809</v>
      </c>
      <c r="T61" s="4">
        <f t="shared" si="12"/>
        <v>3.2034173244236394E-2</v>
      </c>
      <c r="U61" s="1">
        <f t="shared" si="13"/>
        <v>2.1319705640627795E-3</v>
      </c>
      <c r="V61" s="6">
        <f>2*sigma/alpha*corel*(B61/12-1/alpha*(1-EXP(-alpha*Output!B61/12)))</f>
        <v>4.1088723616502509E-2</v>
      </c>
      <c r="W61" s="5">
        <f t="shared" si="14"/>
        <v>-2.9902202680173615E-2</v>
      </c>
      <c r="X61" s="1">
        <f t="shared" si="15"/>
        <v>0.50005832787799354</v>
      </c>
      <c r="Y61" s="3">
        <f t="shared" si="16"/>
        <v>7.9927116048640556E-2</v>
      </c>
      <c r="Z61" s="1">
        <f t="shared" si="5"/>
        <v>8.7682390356426373E-2</v>
      </c>
      <c r="AA61" s="8">
        <f t="shared" si="11"/>
        <v>4.0833333333333357</v>
      </c>
      <c r="AB61" s="1">
        <v>4.1669999999999998</v>
      </c>
      <c r="AC61" s="1">
        <v>5.0013054870000004E-4</v>
      </c>
      <c r="AD61" s="8">
        <f t="shared" si="6"/>
        <v>3.7317942401881396E-2</v>
      </c>
      <c r="AE61" s="3">
        <f t="shared" si="7"/>
        <v>7.4616402655032204E-3</v>
      </c>
      <c r="AF61" s="11">
        <f t="shared" si="8"/>
        <v>4.0833333333333357</v>
      </c>
      <c r="AG61" s="1">
        <f t="shared" si="9"/>
        <v>8.7682390356426373E-2</v>
      </c>
    </row>
    <row r="62" spans="2:33" ht="15" x14ac:dyDescent="0.25">
      <c r="B62" s="1">
        <v>51</v>
      </c>
      <c r="C62" s="1">
        <v>1.0000168456467848</v>
      </c>
      <c r="D62" s="1">
        <v>1.0620431880857435</v>
      </c>
      <c r="E62" s="1">
        <v>0.94132138987029634</v>
      </c>
      <c r="G62" s="1">
        <v>1.0000249952146494</v>
      </c>
      <c r="H62" s="1">
        <v>1.7047657331829462</v>
      </c>
      <c r="I62" s="1">
        <v>0.57210265210984668</v>
      </c>
      <c r="K62" s="1">
        <v>1.0000431995476322</v>
      </c>
      <c r="L62" s="1">
        <v>1.8527098329860929</v>
      </c>
      <c r="M62" s="1">
        <v>0.52525757195093836</v>
      </c>
      <c r="O62" s="1">
        <v>4.9651653248421743E-4</v>
      </c>
      <c r="P62" s="1">
        <v>0.99789202963370216</v>
      </c>
      <c r="R62" s="1">
        <v>7.101002938794998E-2</v>
      </c>
      <c r="S62" s="2">
        <f t="shared" si="10"/>
        <v>0.18106274996257027</v>
      </c>
      <c r="T62" s="4">
        <f t="shared" si="12"/>
        <v>3.2783719424008241E-2</v>
      </c>
      <c r="U62" s="1">
        <f t="shared" si="13"/>
        <v>2.2569872054103435E-3</v>
      </c>
      <c r="V62" s="6">
        <f>2*sigma/alpha*corel*(B62/12-1/alpha*(1-EXP(-alpha*Output!B62/12)))</f>
        <v>4.270255186369909E-2</v>
      </c>
      <c r="W62" s="5">
        <f t="shared" si="14"/>
        <v>-3.0526732218597898E-2</v>
      </c>
      <c r="X62" s="1">
        <f t="shared" si="15"/>
        <v>0.52077795565183616</v>
      </c>
      <c r="Y62" s="3">
        <f t="shared" si="16"/>
        <v>7.9876107861206705E-2</v>
      </c>
      <c r="Z62" s="1">
        <f t="shared" si="5"/>
        <v>8.7828334465938504E-2</v>
      </c>
      <c r="AA62" s="8">
        <f t="shared" si="11"/>
        <v>4.1666666666666687</v>
      </c>
      <c r="AB62" s="1">
        <v>4.25</v>
      </c>
      <c r="AC62" s="1">
        <v>5.0020913689999996E-4</v>
      </c>
      <c r="AD62" s="8">
        <f t="shared" si="6"/>
        <v>3.6926044157825244E-2</v>
      </c>
      <c r="AE62" s="3">
        <f t="shared" si="7"/>
        <v>7.3821210837272987E-3</v>
      </c>
      <c r="AF62" s="11">
        <f t="shared" si="8"/>
        <v>4.1666666666666687</v>
      </c>
      <c r="AG62" s="1">
        <f t="shared" si="9"/>
        <v>8.7828334465938504E-2</v>
      </c>
    </row>
    <row r="63" spans="2:33" ht="15" x14ac:dyDescent="0.25">
      <c r="B63" s="1">
        <v>52</v>
      </c>
      <c r="C63" s="1">
        <v>1.0000174878761605</v>
      </c>
      <c r="D63" s="1">
        <v>1.0623799378003183</v>
      </c>
      <c r="E63" s="1">
        <v>0.94101883555503985</v>
      </c>
      <c r="G63" s="1">
        <v>1.0000126728015886</v>
      </c>
      <c r="H63" s="1">
        <v>1.7091663025240942</v>
      </c>
      <c r="I63" s="1">
        <v>0.57035074955446008</v>
      </c>
      <c r="K63" s="1">
        <v>1.0000093995120956</v>
      </c>
      <c r="L63" s="1">
        <v>1.8777225679431724</v>
      </c>
      <c r="M63" s="1">
        <v>0.51801141611783519</v>
      </c>
      <c r="O63" s="1">
        <v>4.965700758359663E-4</v>
      </c>
      <c r="P63" s="1">
        <v>0.99785050980786882</v>
      </c>
      <c r="R63" s="1">
        <v>7.1894726116114083E-2</v>
      </c>
      <c r="S63" s="2">
        <f t="shared" si="10"/>
        <v>0.18334773097484175</v>
      </c>
      <c r="T63" s="4">
        <f t="shared" si="12"/>
        <v>3.3616390453622948E-2</v>
      </c>
      <c r="U63" s="1">
        <f t="shared" si="13"/>
        <v>2.3865834522722729E-3</v>
      </c>
      <c r="V63" s="6">
        <f>2*sigma/alpha*corel*(B63/12-1/alpha*(1-EXP(-alpha*Output!B63/12)))</f>
        <v>4.434567405526274E-2</v>
      </c>
      <c r="W63" s="5">
        <f t="shared" si="14"/>
        <v>-3.1229807001350675E-2</v>
      </c>
      <c r="X63" s="1">
        <f t="shared" si="15"/>
        <v>0.54328319349749399</v>
      </c>
      <c r="Y63" s="3">
        <f t="shared" si="16"/>
        <v>7.9930591582724739E-2</v>
      </c>
      <c r="Z63" s="1">
        <f t="shared" si="5"/>
        <v>8.8077400996059596E-2</v>
      </c>
      <c r="AA63" s="8">
        <f t="shared" si="11"/>
        <v>4.2500000000000018</v>
      </c>
      <c r="AB63" s="1">
        <v>4.3330000000000002</v>
      </c>
      <c r="AC63" s="1">
        <v>5.0029140719999999E-4</v>
      </c>
      <c r="AD63" s="8">
        <f t="shared" si="6"/>
        <v>3.7213313640336927E-2</v>
      </c>
      <c r="AE63" s="3">
        <f t="shared" si="7"/>
        <v>7.4383275636513728E-3</v>
      </c>
      <c r="AF63" s="11">
        <f t="shared" si="8"/>
        <v>4.2500000000000018</v>
      </c>
      <c r="AG63" s="1">
        <f t="shared" si="9"/>
        <v>8.8077400996059596E-2</v>
      </c>
    </row>
    <row r="64" spans="2:33" ht="15" x14ac:dyDescent="0.25">
      <c r="B64" s="1">
        <v>53</v>
      </c>
      <c r="C64" s="1">
        <v>1.0000191898652255</v>
      </c>
      <c r="D64" s="1">
        <v>1.0631056696928394</v>
      </c>
      <c r="E64" s="1">
        <v>0.94037230185650889</v>
      </c>
      <c r="G64" s="1">
        <v>1.0000791693971016</v>
      </c>
      <c r="H64" s="1">
        <v>1.7196910177324414</v>
      </c>
      <c r="I64" s="1">
        <v>0.56658308785421652</v>
      </c>
      <c r="K64" s="1">
        <v>1.0000121824327917</v>
      </c>
      <c r="L64" s="1">
        <v>1.8731632904095239</v>
      </c>
      <c r="M64" s="1">
        <v>0.51898465307427921</v>
      </c>
      <c r="O64" s="1">
        <v>4.9664401514642543E-4</v>
      </c>
      <c r="P64" s="1">
        <v>0.99780889292045805</v>
      </c>
      <c r="R64" s="1">
        <v>7.282879094096685E-2</v>
      </c>
      <c r="S64" s="2">
        <f t="shared" si="10"/>
        <v>0.1857576027581937</v>
      </c>
      <c r="T64" s="4">
        <f t="shared" si="12"/>
        <v>3.4505886982470889E-2</v>
      </c>
      <c r="U64" s="1">
        <f t="shared" si="13"/>
        <v>2.5208260350000344E-3</v>
      </c>
      <c r="V64" s="6">
        <f>2*sigma/alpha*corel*(B64/12-1/alpha*(1-EXP(-alpha*Output!B64/12)))</f>
        <v>4.6017992707275468E-2</v>
      </c>
      <c r="W64" s="5">
        <f t="shared" si="14"/>
        <v>-3.1985060947470854E-2</v>
      </c>
      <c r="X64" s="1">
        <f t="shared" si="15"/>
        <v>0.56718706572479194</v>
      </c>
      <c r="Y64" s="3">
        <f t="shared" si="16"/>
        <v>8.004908326916603E-2</v>
      </c>
      <c r="Z64" s="1">
        <f t="shared" si="5"/>
        <v>8.8389216855951955E-2</v>
      </c>
      <c r="AA64" s="8">
        <f t="shared" si="11"/>
        <v>4.3333333333333348</v>
      </c>
      <c r="AB64" s="1">
        <v>4.4169999999999998</v>
      </c>
      <c r="AC64" s="1">
        <v>5.0037048119999997E-4</v>
      </c>
      <c r="AD64" s="8">
        <f t="shared" si="6"/>
        <v>3.7264660535745418E-2</v>
      </c>
      <c r="AE64" s="3">
        <f t="shared" si="7"/>
        <v>7.4474138535063975E-3</v>
      </c>
      <c r="AF64" s="11">
        <f t="shared" si="8"/>
        <v>4.3333333333333348</v>
      </c>
      <c r="AG64" s="1">
        <f t="shared" si="9"/>
        <v>8.8389216855951955E-2</v>
      </c>
    </row>
    <row r="65" spans="2:33" ht="15" x14ac:dyDescent="0.25">
      <c r="B65" s="1">
        <v>54</v>
      </c>
      <c r="C65" s="1">
        <v>1.0000206420057496</v>
      </c>
      <c r="D65" s="1">
        <v>1.062040446785997</v>
      </c>
      <c r="E65" s="1">
        <v>0.94131137246003926</v>
      </c>
      <c r="G65" s="1">
        <v>1.000126080754081</v>
      </c>
      <c r="H65" s="1">
        <v>1.7045136127575309</v>
      </c>
      <c r="I65" s="1">
        <v>0.57134873237097916</v>
      </c>
      <c r="K65" s="1">
        <v>1.0001049466818368</v>
      </c>
      <c r="L65" s="1">
        <v>1.9125509723729495</v>
      </c>
      <c r="M65" s="1">
        <v>0.5080280703157104</v>
      </c>
      <c r="O65" s="1">
        <v>4.9682923163982544E-4</v>
      </c>
      <c r="P65" s="1">
        <v>0.99776676584387713</v>
      </c>
      <c r="R65" s="1">
        <v>7.3737565335178057E-2</v>
      </c>
      <c r="S65" s="2">
        <f t="shared" si="10"/>
        <v>0.18810477849720947</v>
      </c>
      <c r="T65" s="4">
        <f t="shared" si="12"/>
        <v>3.5383407693484241E-2</v>
      </c>
      <c r="U65" s="1">
        <f t="shared" si="13"/>
        <v>2.6597809172317355E-3</v>
      </c>
      <c r="V65" s="6">
        <f>2*sigma/alpha*corel*(B65/12-1/alpha*(1-EXP(-alpha*Output!B65/12)))</f>
        <v>4.7719410660225003E-2</v>
      </c>
      <c r="W65" s="5">
        <f t="shared" si="14"/>
        <v>-3.2723626776252505E-2</v>
      </c>
      <c r="X65" s="1">
        <f t="shared" si="15"/>
        <v>0.59130242412630429</v>
      </c>
      <c r="Y65" s="3">
        <f t="shared" si="16"/>
        <v>8.0138055850331055E-2</v>
      </c>
      <c r="Z65" s="1">
        <f t="shared" si="5"/>
        <v>8.8673442965980204E-2</v>
      </c>
      <c r="AA65" s="8">
        <f t="shared" si="11"/>
        <v>4.4166666666666679</v>
      </c>
      <c r="AB65" s="1">
        <v>4.5</v>
      </c>
      <c r="AC65" s="1">
        <v>5.0043948069999997E-4</v>
      </c>
      <c r="AD65" s="8">
        <f t="shared" si="6"/>
        <v>3.6102490601745307E-2</v>
      </c>
      <c r="AE65" s="3">
        <f t="shared" si="7"/>
        <v>7.2141571546765672E-3</v>
      </c>
      <c r="AF65" s="11">
        <f t="shared" si="8"/>
        <v>4.4166666666666679</v>
      </c>
      <c r="AG65" s="1">
        <f t="shared" si="9"/>
        <v>8.8673442965980204E-2</v>
      </c>
    </row>
    <row r="66" spans="2:33" ht="15" x14ac:dyDescent="0.25">
      <c r="B66" s="1">
        <v>55</v>
      </c>
      <c r="C66" s="1">
        <v>1.0000221328983308</v>
      </c>
      <c r="D66" s="1">
        <v>1.0639402939905718</v>
      </c>
      <c r="E66" s="1">
        <v>0.93962641845959038</v>
      </c>
      <c r="G66" s="1">
        <v>1.0001759710863614</v>
      </c>
      <c r="H66" s="1">
        <v>1.7308187813893388</v>
      </c>
      <c r="I66" s="1">
        <v>0.5623903717524269</v>
      </c>
      <c r="K66" s="1">
        <v>1.0000432630373477</v>
      </c>
      <c r="L66" s="1">
        <v>1.9353236856846334</v>
      </c>
      <c r="M66" s="1">
        <v>0.50175818110710901</v>
      </c>
      <c r="O66" s="1">
        <v>4.9688496681118499E-4</v>
      </c>
      <c r="P66" s="1">
        <v>0.99772520185259872</v>
      </c>
      <c r="R66" s="1">
        <v>7.4557229261738536E-2</v>
      </c>
      <c r="S66" s="2">
        <f t="shared" si="10"/>
        <v>0.19022690189710456</v>
      </c>
      <c r="T66" s="4">
        <f t="shared" si="12"/>
        <v>3.6186274205370642E-2</v>
      </c>
      <c r="U66" s="1">
        <f t="shared" si="13"/>
        <v>2.8035133020591907E-3</v>
      </c>
      <c r="V66" s="6">
        <f>2*sigma/alpha*corel*(B66/12-1/alpha*(1-EXP(-alpha*Output!B66/12)))</f>
        <v>4.9449831077924777E-2</v>
      </c>
      <c r="W66" s="5">
        <f t="shared" si="14"/>
        <v>-3.3382760903311451E-2</v>
      </c>
      <c r="X66" s="1">
        <f t="shared" si="15"/>
        <v>0.61446256902101193</v>
      </c>
      <c r="Y66" s="3">
        <f t="shared" si="16"/>
        <v>8.011928701324314E-2</v>
      </c>
      <c r="Z66" s="1">
        <f t="shared" si="5"/>
        <v>8.8854865366808117E-2</v>
      </c>
      <c r="AA66" s="8">
        <f t="shared" si="11"/>
        <v>4.5000000000000009</v>
      </c>
      <c r="AB66" s="1">
        <v>4.5830000000000002</v>
      </c>
      <c r="AC66" s="1">
        <v>5.0049152719999995E-4</v>
      </c>
      <c r="AD66" s="8">
        <f t="shared" si="6"/>
        <v>3.6065603888149611E-2</v>
      </c>
      <c r="AE66" s="3">
        <f t="shared" si="7"/>
        <v>7.2060368513965955E-3</v>
      </c>
      <c r="AF66" s="11">
        <f t="shared" si="8"/>
        <v>4.5000000000000009</v>
      </c>
      <c r="AG66" s="1">
        <f t="shared" si="9"/>
        <v>8.8854865366808117E-2</v>
      </c>
    </row>
    <row r="67" spans="2:33" ht="15" x14ac:dyDescent="0.25">
      <c r="B67" s="1">
        <v>56</v>
      </c>
      <c r="C67" s="1">
        <v>1.000023333113115</v>
      </c>
      <c r="D67" s="1">
        <v>1.0665847982748748</v>
      </c>
      <c r="E67" s="1">
        <v>0.9372926540406944</v>
      </c>
      <c r="G67" s="1">
        <v>1.0002048373614933</v>
      </c>
      <c r="H67" s="1">
        <v>1.7556190257685078</v>
      </c>
      <c r="I67" s="1">
        <v>0.55417502822676878</v>
      </c>
      <c r="K67" s="1">
        <v>1.0000331825641942</v>
      </c>
      <c r="L67" s="1">
        <v>1.9003086018280282</v>
      </c>
      <c r="M67" s="1">
        <v>0.51073030844088763</v>
      </c>
      <c r="O67" s="1">
        <v>4.9692127674225497E-4</v>
      </c>
      <c r="P67" s="1">
        <v>0.99768372076621825</v>
      </c>
      <c r="R67" s="1">
        <v>7.5444075505884653E-2</v>
      </c>
      <c r="S67" s="2">
        <f t="shared" si="10"/>
        <v>0.19251860626969342</v>
      </c>
      <c r="T67" s="4">
        <f t="shared" si="12"/>
        <v>3.7063413760025234E-2</v>
      </c>
      <c r="U67" s="1">
        <f t="shared" si="13"/>
        <v>2.952087638155021E-3</v>
      </c>
      <c r="V67" s="6">
        <f>2*sigma/alpha*corel*(B67/12-1/alpha*(1-EXP(-alpha*Output!B67/12)))</f>
        <v>5.1209157446438947E-2</v>
      </c>
      <c r="W67" s="5">
        <f t="shared" si="14"/>
        <v>-3.4111326121870213E-2</v>
      </c>
      <c r="X67" s="1">
        <f t="shared" si="15"/>
        <v>0.63936713208128482</v>
      </c>
      <c r="Y67" s="3">
        <f t="shared" si="16"/>
        <v>8.0185200243465427E-2</v>
      </c>
      <c r="Z67" s="1">
        <f t="shared" si="5"/>
        <v>8.9118797632340041E-2</v>
      </c>
      <c r="AA67" s="8">
        <f t="shared" si="11"/>
        <v>4.5833333333333339</v>
      </c>
      <c r="AB67" s="1">
        <v>4.6669999999999998</v>
      </c>
      <c r="AC67" s="1">
        <v>5.0051974159999999E-4</v>
      </c>
      <c r="AD67" s="8">
        <f t="shared" si="6"/>
        <v>3.5984648577450179E-2</v>
      </c>
      <c r="AE67" s="3">
        <f t="shared" si="7"/>
        <v>7.1894563963488993E-3</v>
      </c>
      <c r="AF67" s="11">
        <f t="shared" si="8"/>
        <v>4.5833333333333339</v>
      </c>
      <c r="AG67" s="1">
        <f t="shared" si="9"/>
        <v>8.9118797632340041E-2</v>
      </c>
    </row>
    <row r="68" spans="2:33" ht="15" x14ac:dyDescent="0.25">
      <c r="B68" s="1">
        <v>57</v>
      </c>
      <c r="C68" s="1">
        <v>1.0000248204623294</v>
      </c>
      <c r="D68" s="1">
        <v>1.0645894013742585</v>
      </c>
      <c r="E68" s="1">
        <v>0.93904543249803918</v>
      </c>
      <c r="G68" s="1">
        <v>1.0002517924374814</v>
      </c>
      <c r="H68" s="1">
        <v>1.7362726674562619</v>
      </c>
      <c r="I68" s="1">
        <v>0.56007614736527755</v>
      </c>
      <c r="K68" s="1">
        <v>1.0000679908493575</v>
      </c>
      <c r="L68" s="1">
        <v>1.9863282052485673</v>
      </c>
      <c r="M68" s="1">
        <v>0.48838622789101321</v>
      </c>
      <c r="O68" s="1">
        <v>4.9697531670519254E-4</v>
      </c>
      <c r="P68" s="1">
        <v>0.99764215134797218</v>
      </c>
      <c r="R68" s="1">
        <v>7.6249912832759753E-2</v>
      </c>
      <c r="S68" s="2">
        <f t="shared" si="10"/>
        <v>0.19460649670088587</v>
      </c>
      <c r="T68" s="4">
        <f t="shared" si="12"/>
        <v>3.7871688558191903E-2</v>
      </c>
      <c r="U68" s="1">
        <f t="shared" si="13"/>
        <v>3.1055676258544551E-3</v>
      </c>
      <c r="V68" s="6">
        <f>2*sigma/alpha*corel*(B68/12-1/alpha*(1-EXP(-alpha*Output!B68/12)))</f>
        <v>5.2997293573007198E-2</v>
      </c>
      <c r="W68" s="5">
        <f t="shared" si="14"/>
        <v>-3.4766120932337448E-2</v>
      </c>
      <c r="X68" s="1">
        <f t="shared" si="15"/>
        <v>0.66336501084047494</v>
      </c>
      <c r="Y68" s="3">
        <f t="shared" si="16"/>
        <v>8.0155256297940916E-2</v>
      </c>
      <c r="Z68" s="1">
        <f t="shared" si="5"/>
        <v>8.9291584513225566E-2</v>
      </c>
      <c r="AA68" s="8">
        <f t="shared" si="11"/>
        <v>4.666666666666667</v>
      </c>
      <c r="AB68" s="1">
        <v>4.75</v>
      </c>
      <c r="AC68" s="1">
        <v>5.0051724119999999E-4</v>
      </c>
      <c r="AD68" s="8">
        <f t="shared" si="6"/>
        <v>3.5419244948074483E-2</v>
      </c>
      <c r="AE68" s="3">
        <f t="shared" si="7"/>
        <v>7.0765284454849435E-3</v>
      </c>
      <c r="AF68" s="11">
        <f t="shared" si="8"/>
        <v>4.666666666666667</v>
      </c>
      <c r="AG68" s="1">
        <f t="shared" si="9"/>
        <v>8.9291584513225566E-2</v>
      </c>
    </row>
    <row r="69" spans="2:33" ht="15" x14ac:dyDescent="0.25">
      <c r="B69" s="1">
        <v>58</v>
      </c>
      <c r="C69" s="1">
        <v>1.0000255205342736</v>
      </c>
      <c r="D69" s="1">
        <v>1.0646030605476011</v>
      </c>
      <c r="E69" s="1">
        <v>0.93902939208886349</v>
      </c>
      <c r="G69" s="1">
        <v>1.0002364833647801</v>
      </c>
      <c r="H69" s="1">
        <v>1.7268252194653997</v>
      </c>
      <c r="I69" s="1">
        <v>0.56286522673241501</v>
      </c>
      <c r="K69" s="1">
        <v>1.0000370646083363</v>
      </c>
      <c r="L69" s="1">
        <v>1.9820462084266963</v>
      </c>
      <c r="M69" s="1">
        <v>0.48917738590346677</v>
      </c>
      <c r="O69" s="1">
        <v>4.9703504439215071E-4</v>
      </c>
      <c r="P69" s="1">
        <v>0.99760054725200087</v>
      </c>
      <c r="R69" s="1">
        <v>7.7025118378600974E-2</v>
      </c>
      <c r="S69" s="2">
        <f t="shared" si="10"/>
        <v>0.19661747850410022</v>
      </c>
      <c r="T69" s="4">
        <f t="shared" si="12"/>
        <v>3.8658432853310311E-2</v>
      </c>
      <c r="U69" s="1">
        <f t="shared" si="13"/>
        <v>3.2640162231931669E-3</v>
      </c>
      <c r="V69" s="6">
        <f>2*sigma/alpha*corel*(B69/12-1/alpha*(1-EXP(-alpha*Output!B69/12)))</f>
        <v>5.4814143584980157E-2</v>
      </c>
      <c r="W69" s="5">
        <f t="shared" si="14"/>
        <v>-3.5394416630117144E-2</v>
      </c>
      <c r="X69" s="1">
        <f t="shared" si="15"/>
        <v>0.68729664518588618</v>
      </c>
      <c r="Y69" s="3">
        <f t="shared" si="16"/>
        <v>8.0091663865624441E-2</v>
      </c>
      <c r="Z69" s="1">
        <f t="shared" si="5"/>
        <v>8.9433195472425286E-2</v>
      </c>
      <c r="AA69" s="8">
        <f t="shared" si="11"/>
        <v>4.75</v>
      </c>
      <c r="AB69" s="1">
        <v>4.8330000000000002</v>
      </c>
      <c r="AC69" s="1">
        <v>5.0047714240000003E-4</v>
      </c>
      <c r="AD69" s="8">
        <f t="shared" si="6"/>
        <v>3.4420980078493257E-2</v>
      </c>
      <c r="AE69" s="3">
        <f t="shared" si="7"/>
        <v>6.8776327952621511E-3</v>
      </c>
      <c r="AF69" s="11">
        <f t="shared" si="8"/>
        <v>4.75</v>
      </c>
      <c r="AG69" s="1">
        <f t="shared" si="9"/>
        <v>8.9433195472425286E-2</v>
      </c>
    </row>
    <row r="70" spans="2:33" ht="15" x14ac:dyDescent="0.25">
      <c r="B70" s="1">
        <v>59</v>
      </c>
      <c r="C70" s="1">
        <v>1.0000265233387504</v>
      </c>
      <c r="D70" s="1">
        <v>1.065937538721321</v>
      </c>
      <c r="E70" s="1">
        <v>0.93784983524425258</v>
      </c>
      <c r="G70" s="1">
        <v>1.0002437945281857</v>
      </c>
      <c r="H70" s="1">
        <v>1.7463122443983543</v>
      </c>
      <c r="I70" s="1">
        <v>0.55631237303543002</v>
      </c>
      <c r="K70" s="1">
        <v>1.0000008709376824</v>
      </c>
      <c r="L70" s="1">
        <v>1.9625682107334406</v>
      </c>
      <c r="M70" s="1">
        <v>0.49375556078146998</v>
      </c>
      <c r="O70" s="1">
        <v>4.9697765278606208E-4</v>
      </c>
      <c r="P70" s="1">
        <v>0.99755950939174165</v>
      </c>
      <c r="R70" s="1">
        <v>7.7759407249138088E-2</v>
      </c>
      <c r="S70" s="2">
        <f t="shared" si="10"/>
        <v>0.19852477428999815</v>
      </c>
      <c r="T70" s="4">
        <f t="shared" si="12"/>
        <v>3.9412086006894713E-2</v>
      </c>
      <c r="U70" s="1">
        <f t="shared" si="13"/>
        <v>3.4274956518998145E-3</v>
      </c>
      <c r="V70" s="6">
        <f>2*sigma/alpha*corel*(B70/12-1/alpha*(1-EXP(-alpha*Output!B70/12)))</f>
        <v>5.6659611928750686E-2</v>
      </c>
      <c r="W70" s="5">
        <f t="shared" si="14"/>
        <v>-3.5984590354994898E-2</v>
      </c>
      <c r="X70" s="1">
        <f t="shared" si="15"/>
        <v>0.71090725527214971</v>
      </c>
      <c r="Y70" s="3">
        <f t="shared" si="16"/>
        <v>7.9982394963601794E-2</v>
      </c>
      <c r="Z70" s="1">
        <f t="shared" si="5"/>
        <v>8.9532214833141138E-2</v>
      </c>
      <c r="AA70" s="8">
        <f t="shared" si="11"/>
        <v>4.833333333333333</v>
      </c>
      <c r="AB70" s="1">
        <v>4.9169999999999998</v>
      </c>
      <c r="AC70" s="1">
        <v>5.0039256169999999E-4</v>
      </c>
      <c r="AD70" s="8">
        <f t="shared" si="6"/>
        <v>3.4149089139379064E-2</v>
      </c>
      <c r="AE70" s="3">
        <f t="shared" si="7"/>
        <v>6.8244597848064036E-3</v>
      </c>
      <c r="AF70" s="11">
        <f t="shared" si="8"/>
        <v>4.833333333333333</v>
      </c>
      <c r="AG70" s="1">
        <f t="shared" si="9"/>
        <v>8.9532214833141138E-2</v>
      </c>
    </row>
    <row r="71" spans="2:33" ht="15" x14ac:dyDescent="0.25">
      <c r="B71" s="1">
        <v>60</v>
      </c>
      <c r="C71" s="1">
        <v>1.00002816109209</v>
      </c>
      <c r="D71" s="1">
        <v>1.0688253353580184</v>
      </c>
      <c r="E71" s="1">
        <v>0.93531199322283309</v>
      </c>
      <c r="G71" s="1">
        <v>1.0003022274594853</v>
      </c>
      <c r="H71" s="1">
        <v>1.7895373601476829</v>
      </c>
      <c r="I71" s="1">
        <v>0.54260986499472941</v>
      </c>
      <c r="K71" s="1">
        <v>0.99994933062239955</v>
      </c>
      <c r="L71" s="1">
        <v>1.9621461353902152</v>
      </c>
      <c r="M71" s="1">
        <v>0.49357438156741534</v>
      </c>
      <c r="O71" s="1">
        <v>4.9699350127480925E-4</v>
      </c>
      <c r="P71" s="1">
        <v>0.99751811746949581</v>
      </c>
      <c r="R71" s="1">
        <v>7.8585673974154599E-2</v>
      </c>
      <c r="S71" s="2">
        <f t="shared" si="10"/>
        <v>0.2006648279632105</v>
      </c>
      <c r="T71" s="4">
        <f t="shared" si="12"/>
        <v>4.0266373181504868E-2</v>
      </c>
      <c r="U71" s="1">
        <f t="shared" si="13"/>
        <v>3.5960674033503892E-3</v>
      </c>
      <c r="V71" s="6">
        <f>2*sigma/alpha*corel*(B71/12-1/alpha*(1-EXP(-alpha*Output!B71/12)))</f>
        <v>5.8533603368693177E-2</v>
      </c>
      <c r="W71" s="5">
        <f t="shared" si="14"/>
        <v>-3.6670305778154479E-2</v>
      </c>
      <c r="X71" s="1">
        <f t="shared" si="15"/>
        <v>0.73683229828641317</v>
      </c>
      <c r="Y71" s="3">
        <f t="shared" si="16"/>
        <v>7.9985575950017027E-2</v>
      </c>
      <c r="Z71" s="1">
        <f t="shared" si="5"/>
        <v>8.9740039203807867E-2</v>
      </c>
      <c r="AA71" s="8">
        <f t="shared" si="11"/>
        <v>4.9166666666666661</v>
      </c>
      <c r="AB71" s="1">
        <v>5</v>
      </c>
      <c r="AC71" s="1">
        <v>5.0025661549999996E-4</v>
      </c>
      <c r="AD71" s="8">
        <f t="shared" si="6"/>
        <v>3.2631142251907067E-2</v>
      </c>
      <c r="AE71" s="3">
        <f t="shared" si="7"/>
        <v>6.5228807057938981E-3</v>
      </c>
      <c r="AF71" s="11">
        <f t="shared" si="8"/>
        <v>4.9166666666666661</v>
      </c>
      <c r="AG71" s="1">
        <f t="shared" si="9"/>
        <v>8.9740039203807867E-2</v>
      </c>
    </row>
    <row r="72" spans="2:33" ht="15" x14ac:dyDescent="0.25">
      <c r="B72" s="1">
        <v>61</v>
      </c>
      <c r="C72" s="1">
        <v>1.0000287755171713</v>
      </c>
      <c r="D72" s="1">
        <v>1.0714104467022334</v>
      </c>
      <c r="E72" s="1">
        <v>0.93305137972447527</v>
      </c>
      <c r="G72" s="1">
        <v>1.0002711529047066</v>
      </c>
      <c r="H72" s="1">
        <v>1.827163288641974</v>
      </c>
      <c r="I72" s="1">
        <v>0.53117662000735755</v>
      </c>
      <c r="K72" s="1">
        <v>0.99991135015904986</v>
      </c>
      <c r="L72" s="1">
        <v>1.9332766739427318</v>
      </c>
      <c r="M72" s="1">
        <v>0.50068466567120828</v>
      </c>
      <c r="O72" s="1">
        <v>4.9681829709519762E-4</v>
      </c>
      <c r="P72" s="1">
        <v>0.99747769336428516</v>
      </c>
      <c r="R72" s="1">
        <v>7.9124629412107877E-2</v>
      </c>
      <c r="S72" s="2">
        <f t="shared" si="10"/>
        <v>0.2020790382252618</v>
      </c>
      <c r="T72" s="4">
        <f t="shared" si="12"/>
        <v>4.0835937690046821E-2</v>
      </c>
      <c r="U72" s="1">
        <f t="shared" si="13"/>
        <v>3.7697922444688281E-3</v>
      </c>
      <c r="V72" s="6">
        <f>2*sigma/alpha*corel*(B72/12-1/alpha*(1-EXP(-alpha*Output!B72/12)))</f>
        <v>6.0436022986107174E-2</v>
      </c>
      <c r="W72" s="5">
        <f t="shared" si="14"/>
        <v>-3.7066145445577993E-2</v>
      </c>
      <c r="X72" s="1">
        <f t="shared" si="15"/>
        <v>0.75733080360112992</v>
      </c>
      <c r="Y72" s="3">
        <f t="shared" si="16"/>
        <v>7.9653593121695176E-2</v>
      </c>
      <c r="Z72" s="1">
        <f t="shared" si="5"/>
        <v>8.9628674082093435E-2</v>
      </c>
      <c r="AA72" s="8">
        <f t="shared" si="11"/>
        <v>4.9999999999999991</v>
      </c>
      <c r="AB72" s="1">
        <v>5.0830000000000002</v>
      </c>
      <c r="AC72" s="1">
        <v>5.000624203E-4</v>
      </c>
      <c r="AD72" s="8">
        <f t="shared" si="6"/>
        <v>3.2441232048023835E-2</v>
      </c>
      <c r="AE72" s="3">
        <f t="shared" si="7"/>
        <v>6.4874365141378799E-3</v>
      </c>
      <c r="AF72" s="11">
        <f t="shared" si="8"/>
        <v>4.9999999999999991</v>
      </c>
      <c r="AG72" s="1">
        <f t="shared" si="9"/>
        <v>8.9628674082093435E-2</v>
      </c>
    </row>
    <row r="73" spans="2:33" ht="15" x14ac:dyDescent="0.25">
      <c r="B73" s="1">
        <v>62</v>
      </c>
      <c r="C73" s="1">
        <v>1.0000281108751734</v>
      </c>
      <c r="D73" s="1">
        <v>1.0708322856242909</v>
      </c>
      <c r="E73" s="1">
        <v>0.93355129319943475</v>
      </c>
      <c r="G73" s="1">
        <v>1.0001367466270499</v>
      </c>
      <c r="H73" s="1">
        <v>1.8185234582261258</v>
      </c>
      <c r="I73" s="1">
        <v>0.53343963497258395</v>
      </c>
      <c r="K73" s="1">
        <v>0.99978404566088341</v>
      </c>
      <c r="L73" s="1">
        <v>1.9225986163564268</v>
      </c>
      <c r="M73" s="1">
        <v>0.50321248530850893</v>
      </c>
      <c r="O73" s="1">
        <v>4.9663607332019275E-4</v>
      </c>
      <c r="P73" s="1">
        <v>0.99743733619807851</v>
      </c>
      <c r="R73" s="1">
        <v>7.9728949135811342E-2</v>
      </c>
      <c r="S73" s="2">
        <f t="shared" si="10"/>
        <v>0.20365823357298701</v>
      </c>
      <c r="T73" s="4">
        <f t="shared" si="12"/>
        <v>4.1476676102069336E-2</v>
      </c>
      <c r="U73" s="1">
        <f t="shared" si="13"/>
        <v>3.9487302235983179E-3</v>
      </c>
      <c r="V73" s="6">
        <f>2*sigma/alpha*corel*(B73/12-1/alpha*(1-EXP(-alpha*Output!B73/12)))</f>
        <v>6.2366776178159111E-2</v>
      </c>
      <c r="W73" s="5">
        <f t="shared" si="14"/>
        <v>-3.7527945878471018E-2</v>
      </c>
      <c r="X73" s="1">
        <f t="shared" si="15"/>
        <v>0.77946716292592433</v>
      </c>
      <c r="Y73" s="3">
        <f t="shared" si="16"/>
        <v>7.9403961225319578E-2</v>
      </c>
      <c r="Z73" s="1">
        <f t="shared" si="5"/>
        <v>8.9597677211470383E-2</v>
      </c>
      <c r="AA73" s="8">
        <f t="shared" si="11"/>
        <v>5.0833333333333321</v>
      </c>
      <c r="AB73" s="1">
        <v>5.1669999999999998</v>
      </c>
      <c r="AC73" s="1">
        <v>4.9980851990000003E-4</v>
      </c>
      <c r="AD73" s="8">
        <f t="shared" si="6"/>
        <v>3.1724465798072754E-2</v>
      </c>
      <c r="AE73" s="3">
        <f t="shared" si="7"/>
        <v>6.3473239320570359E-3</v>
      </c>
      <c r="AF73" s="11">
        <f t="shared" si="8"/>
        <v>5.0833333333333321</v>
      </c>
      <c r="AG73" s="1">
        <f t="shared" si="9"/>
        <v>8.9597677211470383E-2</v>
      </c>
    </row>
    <row r="74" spans="2:33" ht="15" x14ac:dyDescent="0.25">
      <c r="B74" s="1">
        <v>63</v>
      </c>
      <c r="C74" s="1">
        <v>1.0000298608714679</v>
      </c>
      <c r="D74" s="1">
        <v>1.0730668442546654</v>
      </c>
      <c r="E74" s="1">
        <v>0.93160344014231211</v>
      </c>
      <c r="G74" s="1">
        <v>1.0002011660140371</v>
      </c>
      <c r="H74" s="1">
        <v>1.853013623299866</v>
      </c>
      <c r="I74" s="1">
        <v>0.52325510340057535</v>
      </c>
      <c r="K74" s="1">
        <v>0.99978610531438594</v>
      </c>
      <c r="L74" s="1">
        <v>1.9353310194224798</v>
      </c>
      <c r="M74" s="1">
        <v>0.49965833807207316</v>
      </c>
      <c r="O74" s="1">
        <v>4.9636989946445775E-4</v>
      </c>
      <c r="P74" s="1">
        <v>0.9973974505470502</v>
      </c>
      <c r="R74" s="1">
        <v>8.0759061421293937E-2</v>
      </c>
      <c r="S74" s="2">
        <f t="shared" si="10"/>
        <v>0.20631143474143321</v>
      </c>
      <c r="T74" s="4">
        <f t="shared" si="12"/>
        <v>4.2564408105068653E-2</v>
      </c>
      <c r="U74" s="1">
        <f t="shared" si="13"/>
        <v>4.1329406763219723E-3</v>
      </c>
      <c r="V74" s="6">
        <f>2*sigma/alpha*corel*(B74/12-1/alpha*(1-EXP(-alpha*Output!B74/12)))</f>
        <v>6.4325768656834592E-2</v>
      </c>
      <c r="W74" s="5">
        <f t="shared" si="14"/>
        <v>-3.8431467428746681E-2</v>
      </c>
      <c r="X74" s="1">
        <f t="shared" si="15"/>
        <v>0.811198620516973</v>
      </c>
      <c r="Y74" s="3">
        <f t="shared" si="16"/>
        <v>7.9651417663452864E-2</v>
      </c>
      <c r="Z74" s="1">
        <f t="shared" si="5"/>
        <v>9.0041692041672353E-2</v>
      </c>
      <c r="AA74" s="8">
        <f t="shared" si="11"/>
        <v>5.1666666666666652</v>
      </c>
      <c r="AB74" s="1">
        <v>5.25</v>
      </c>
      <c r="AC74" s="1">
        <v>4.9951516800000005E-4</v>
      </c>
      <c r="AD74" s="8">
        <f t="shared" si="6"/>
        <v>3.1452685355422977E-2</v>
      </c>
      <c r="AE74" s="3">
        <f t="shared" si="7"/>
        <v>6.2966426988305142E-3</v>
      </c>
      <c r="AF74" s="11">
        <f t="shared" si="8"/>
        <v>5.1666666666666652</v>
      </c>
      <c r="AG74" s="1">
        <f t="shared" si="9"/>
        <v>9.0041692041672353E-2</v>
      </c>
    </row>
    <row r="75" spans="2:33" ht="15" x14ac:dyDescent="0.25">
      <c r="B75" s="1">
        <v>64</v>
      </c>
      <c r="C75" s="1">
        <v>1.0000294930723037</v>
      </c>
      <c r="D75" s="1">
        <v>1.0728234578902212</v>
      </c>
      <c r="E75" s="1">
        <v>0.9318109930027636</v>
      </c>
      <c r="G75" s="1">
        <v>1.0000879977171901</v>
      </c>
      <c r="H75" s="1">
        <v>1.8484491397450846</v>
      </c>
      <c r="I75" s="1">
        <v>0.52429111251860261</v>
      </c>
      <c r="K75" s="1">
        <v>0.99974591801736978</v>
      </c>
      <c r="L75" s="1">
        <v>1.983709281283548</v>
      </c>
      <c r="M75" s="1">
        <v>0.48717496355322193</v>
      </c>
      <c r="O75" s="1">
        <v>4.960872186981157E-4</v>
      </c>
      <c r="P75" s="1">
        <v>0.99735769854029299</v>
      </c>
      <c r="R75" s="1">
        <v>8.1497751523997311E-2</v>
      </c>
      <c r="S75" s="2">
        <f t="shared" si="10"/>
        <v>0.20822942039119152</v>
      </c>
      <c r="T75" s="4">
        <f t="shared" si="12"/>
        <v>4.3359491516451569E-2</v>
      </c>
      <c r="U75" s="1">
        <f t="shared" si="13"/>
        <v>4.3224822312390998E-3</v>
      </c>
      <c r="V75" s="6">
        <f>2*sigma/alpha*corel*(B75/12-1/alpha*(1-EXP(-alpha*Output!B75/12)))</f>
        <v>6.6312906447889119E-2</v>
      </c>
      <c r="W75" s="5">
        <f t="shared" si="14"/>
        <v>-3.9037009285212469E-2</v>
      </c>
      <c r="X75" s="1">
        <f t="shared" si="15"/>
        <v>0.83718693297943259</v>
      </c>
      <c r="Y75" s="3">
        <f t="shared" si="16"/>
        <v>7.9562464843600245E-2</v>
      </c>
      <c r="Z75" s="1">
        <f t="shared" si="5"/>
        <v>9.0165983937040631E-2</v>
      </c>
      <c r="AA75" s="8">
        <f t="shared" si="11"/>
        <v>5.2499999999999982</v>
      </c>
      <c r="AB75" s="1">
        <v>5.3330000000000002</v>
      </c>
      <c r="AC75" s="1">
        <v>4.9920804560000002E-4</v>
      </c>
      <c r="AD75" s="8">
        <f t="shared" si="6"/>
        <v>3.1208269018843243E-2</v>
      </c>
      <c r="AE75" s="3">
        <f t="shared" si="7"/>
        <v>6.2515556978521665E-3</v>
      </c>
      <c r="AF75" s="11">
        <f t="shared" si="8"/>
        <v>5.2499999999999982</v>
      </c>
      <c r="AG75" s="1">
        <f t="shared" si="9"/>
        <v>9.0165983937040631E-2</v>
      </c>
    </row>
    <row r="76" spans="2:33" ht="15" x14ac:dyDescent="0.25">
      <c r="B76" s="1">
        <v>65</v>
      </c>
      <c r="C76" s="1">
        <v>1.0000309594153394</v>
      </c>
      <c r="D76" s="1">
        <v>1.0722019760551333</v>
      </c>
      <c r="E76" s="1">
        <v>0.93234732856445723</v>
      </c>
      <c r="G76" s="1">
        <v>1.000125948608487</v>
      </c>
      <c r="H76" s="1">
        <v>1.8382051579325509</v>
      </c>
      <c r="I76" s="1">
        <v>0.52695551793263695</v>
      </c>
      <c r="K76" s="1">
        <v>0.99980370964956533</v>
      </c>
      <c r="L76" s="1">
        <v>2.0257563567840831</v>
      </c>
      <c r="M76" s="1">
        <v>0.47682744920632969</v>
      </c>
      <c r="O76" s="1">
        <v>4.9583630346814248E-4</v>
      </c>
      <c r="P76" s="1">
        <v>0.99731782350315001</v>
      </c>
      <c r="R76" s="1">
        <v>8.2612744918886122E-2</v>
      </c>
      <c r="S76" s="2">
        <f t="shared" si="10"/>
        <v>0.21109769047556703</v>
      </c>
      <c r="T76" s="4">
        <f t="shared" si="12"/>
        <v>4.4562234924118302E-2</v>
      </c>
      <c r="U76" s="1">
        <f t="shared" si="13"/>
        <v>4.5174128157072779E-3</v>
      </c>
      <c r="V76" s="6">
        <f>2*sigma/alpha*corel*(B76/12-1/alpha*(1-EXP(-alpha*Output!B76/12)))</f>
        <v>6.832809588980393E-2</v>
      </c>
      <c r="W76" s="5">
        <f t="shared" si="14"/>
        <v>-4.0044822108411024E-2</v>
      </c>
      <c r="X76" s="1">
        <f t="shared" si="15"/>
        <v>0.87230654103683181</v>
      </c>
      <c r="Y76" s="3">
        <f t="shared" si="16"/>
        <v>7.9905731702205343E-2</v>
      </c>
      <c r="Z76" s="1">
        <f t="shared" si="5"/>
        <v>9.070211761495553E-2</v>
      </c>
      <c r="AA76" s="8">
        <f t="shared" si="11"/>
        <v>5.3333333333333313</v>
      </c>
      <c r="AB76" s="1">
        <v>5.4169999999999998</v>
      </c>
      <c r="AC76" s="1">
        <v>4.989128337E-4</v>
      </c>
      <c r="AD76" s="8">
        <f t="shared" si="6"/>
        <v>3.0765302318575209E-2</v>
      </c>
      <c r="AE76" s="3">
        <f t="shared" si="7"/>
        <v>6.1664684170210414E-3</v>
      </c>
      <c r="AF76" s="11">
        <f t="shared" si="8"/>
        <v>5.3333333333333313</v>
      </c>
      <c r="AG76" s="1">
        <f t="shared" si="9"/>
        <v>9.070211761495553E-2</v>
      </c>
    </row>
    <row r="77" spans="2:33" ht="15" x14ac:dyDescent="0.25">
      <c r="B77" s="1">
        <v>66</v>
      </c>
      <c r="C77" s="1">
        <v>1.0000310218774768</v>
      </c>
      <c r="D77" s="1">
        <v>1.0750973894679621</v>
      </c>
      <c r="E77" s="1">
        <v>0.92983263076645206</v>
      </c>
      <c r="G77" s="1">
        <v>1.0000502504887288</v>
      </c>
      <c r="H77" s="1">
        <v>1.8813085849667845</v>
      </c>
      <c r="I77" s="1">
        <v>0.51463089521579097</v>
      </c>
      <c r="K77" s="1">
        <v>0.99978196431053734</v>
      </c>
      <c r="L77" s="1">
        <v>2.0143003551703771</v>
      </c>
      <c r="M77" s="1">
        <v>0.47929817965062105</v>
      </c>
      <c r="O77" s="1">
        <v>4.9549500404931762E-4</v>
      </c>
      <c r="P77" s="1">
        <v>0.99727848752562609</v>
      </c>
      <c r="R77" s="1">
        <v>8.3359055800228149E-2</v>
      </c>
      <c r="S77" s="2">
        <f t="shared" si="10"/>
        <v>0.21303500267531639</v>
      </c>
      <c r="T77" s="4">
        <f t="shared" si="12"/>
        <v>4.5383912364872062E-2</v>
      </c>
      <c r="U77" s="1">
        <f t="shared" si="13"/>
        <v>4.7177896615409054E-3</v>
      </c>
      <c r="V77" s="6">
        <f>2*sigma/alpha*corel*(B77/12-1/alpha*(1-EXP(-alpha*Output!B77/12)))</f>
        <v>7.0371243632745273E-2</v>
      </c>
      <c r="W77" s="5">
        <f t="shared" si="14"/>
        <v>-4.0666122703331156E-2</v>
      </c>
      <c r="X77" s="1">
        <f t="shared" si="15"/>
        <v>0.89960681140370469</v>
      </c>
      <c r="Y77" s="3">
        <f t="shared" si="16"/>
        <v>7.9827709381254247E-2</v>
      </c>
      <c r="Z77" s="1">
        <f t="shared" ref="Z77:Z140" si="17">S77/SQRT(B77/12)</f>
        <v>9.0838430358393674E-2</v>
      </c>
      <c r="AA77" s="8">
        <f t="shared" si="11"/>
        <v>5.4166666666666643</v>
      </c>
      <c r="AB77" s="1">
        <v>5.5</v>
      </c>
      <c r="AC77" s="1">
        <v>4.9865521349999999E-4</v>
      </c>
      <c r="AD77" s="8">
        <f t="shared" ref="AD77:AD140" si="18">(AC77-O77)*10000</f>
        <v>3.160209450682374E-2</v>
      </c>
      <c r="AE77" s="3">
        <f t="shared" ref="AE77:AE140" si="19">AD77/AC77/10000</f>
        <v>6.337463973355959E-3</v>
      </c>
      <c r="AF77" s="11">
        <f t="shared" ref="AF77:AF140" si="20">AA77</f>
        <v>5.4166666666666643</v>
      </c>
      <c r="AG77" s="1">
        <f t="shared" ref="AG77:AG140" si="21">Z77</f>
        <v>9.0838430358393674E-2</v>
      </c>
    </row>
    <row r="78" spans="2:33" ht="15" x14ac:dyDescent="0.25">
      <c r="B78" s="1">
        <v>67</v>
      </c>
      <c r="C78" s="1">
        <v>1.0000327263289039</v>
      </c>
      <c r="D78" s="1">
        <v>1.0719956930163146</v>
      </c>
      <c r="E78" s="1">
        <v>0.93251927520472055</v>
      </c>
      <c r="G78" s="1">
        <v>1.0001034250085354</v>
      </c>
      <c r="H78" s="1">
        <v>1.8312298597705239</v>
      </c>
      <c r="I78" s="1">
        <v>0.52844647462450667</v>
      </c>
      <c r="K78" s="1">
        <v>0.9998788838300694</v>
      </c>
      <c r="L78" s="1">
        <v>2.0592655697478528</v>
      </c>
      <c r="M78" s="1">
        <v>0.46855180800247803</v>
      </c>
      <c r="O78" s="1">
        <v>4.9537555680184339E-4</v>
      </c>
      <c r="P78" s="1">
        <v>0.99723797457163721</v>
      </c>
      <c r="R78" s="1">
        <v>8.4344632654466248E-2</v>
      </c>
      <c r="S78" s="2">
        <f t="shared" ref="S78:S85" si="22">optim_vol_implied(P78,R78)</f>
        <v>0.21557830904190944</v>
      </c>
      <c r="T78" s="4">
        <f t="shared" si="12"/>
        <v>4.6474007329369016E-2</v>
      </c>
      <c r="U78" s="1">
        <f t="shared" si="13"/>
        <v>4.9236693106600171E-3</v>
      </c>
      <c r="V78" s="6">
        <f>2*sigma/alpha*corel*(B78/12-1/alpha*(1-EXP(-alpha*Output!B78/12)))</f>
        <v>7.2442256637528013E-2</v>
      </c>
      <c r="W78" s="5">
        <f t="shared" si="14"/>
        <v>-4.1550338018708999E-2</v>
      </c>
      <c r="X78" s="1">
        <f t="shared" si="15"/>
        <v>0.93320542963123843</v>
      </c>
      <c r="Y78" s="3">
        <f t="shared" si="16"/>
        <v>8.0022387556919206E-2</v>
      </c>
      <c r="Z78" s="1">
        <f t="shared" si="17"/>
        <v>9.1234329094152508E-2</v>
      </c>
      <c r="AA78" s="8">
        <f t="shared" ref="AA78:AA141" si="23">AA77+1/12</f>
        <v>5.4999999999999973</v>
      </c>
      <c r="AB78" s="1">
        <v>5.5830000000000002</v>
      </c>
      <c r="AC78" s="1">
        <v>4.9846086579999999E-4</v>
      </c>
      <c r="AD78" s="8">
        <f t="shared" si="18"/>
        <v>3.0853089981565992E-2</v>
      </c>
      <c r="AE78" s="3">
        <f t="shared" si="19"/>
        <v>6.1896714663945826E-3</v>
      </c>
      <c r="AF78" s="11">
        <f t="shared" si="20"/>
        <v>5.4999999999999973</v>
      </c>
      <c r="AG78" s="1">
        <f t="shared" si="21"/>
        <v>9.1234329094152508E-2</v>
      </c>
    </row>
    <row r="79" spans="2:33" ht="15" x14ac:dyDescent="0.25">
      <c r="B79" s="1">
        <v>68</v>
      </c>
      <c r="C79" s="1">
        <v>1.0000346295923834</v>
      </c>
      <c r="D79" s="1">
        <v>1.0732503917934955</v>
      </c>
      <c r="E79" s="1">
        <v>0.9314254120783747</v>
      </c>
      <c r="G79" s="1">
        <v>1.0001691136664368</v>
      </c>
      <c r="H79" s="1">
        <v>1.8503801516549909</v>
      </c>
      <c r="I79" s="1">
        <v>0.52272214402221095</v>
      </c>
      <c r="K79" s="1">
        <v>0.99992855831832095</v>
      </c>
      <c r="L79" s="1">
        <v>2.1168824330310372</v>
      </c>
      <c r="M79" s="1">
        <v>0.45557095744266257</v>
      </c>
      <c r="O79" s="1">
        <v>4.9524526564405976E-4</v>
      </c>
      <c r="P79" s="1">
        <v>0.9971975443921246</v>
      </c>
      <c r="R79" s="1">
        <v>8.5217629195838487E-2</v>
      </c>
      <c r="S79" s="2">
        <f t="shared" si="22"/>
        <v>0.21783765395328142</v>
      </c>
      <c r="T79" s="4">
        <f t="shared" si="12"/>
        <v>4.7453243479869581E-2</v>
      </c>
      <c r="U79" s="1">
        <f t="shared" si="13"/>
        <v>5.1351076207102331E-3</v>
      </c>
      <c r="V79" s="6">
        <f>2*sigma/alpha*corel*(B79/12-1/alpha*(1-EXP(-alpha*Output!B79/12)))</f>
        <v>7.4541042174581684E-2</v>
      </c>
      <c r="W79" s="5">
        <f t="shared" si="14"/>
        <v>-4.2318135859159348E-2</v>
      </c>
      <c r="X79" s="1">
        <f t="shared" si="15"/>
        <v>0.96476744644275125</v>
      </c>
      <c r="Y79" s="3">
        <f t="shared" si="16"/>
        <v>8.0089828170763905E-2</v>
      </c>
      <c r="Z79" s="1">
        <f t="shared" si="17"/>
        <v>9.151011851464963E-2</v>
      </c>
      <c r="AA79" s="8">
        <f t="shared" si="23"/>
        <v>5.5833333333333304</v>
      </c>
      <c r="AB79" s="1">
        <v>5.6669999999999998</v>
      </c>
      <c r="AC79" s="1">
        <v>4.983554773E-4</v>
      </c>
      <c r="AD79" s="8">
        <f t="shared" si="18"/>
        <v>3.1102116559402405E-2</v>
      </c>
      <c r="AE79" s="3">
        <f t="shared" si="19"/>
        <v>6.2409500800328426E-3</v>
      </c>
      <c r="AF79" s="11">
        <f t="shared" si="20"/>
        <v>5.5833333333333304</v>
      </c>
      <c r="AG79" s="1">
        <f t="shared" si="21"/>
        <v>9.151011851464963E-2</v>
      </c>
    </row>
    <row r="80" spans="2:33" ht="15" x14ac:dyDescent="0.25">
      <c r="B80" s="1">
        <v>69</v>
      </c>
      <c r="C80" s="1">
        <v>1.0000359181175638</v>
      </c>
      <c r="D80" s="1">
        <v>1.0748669607706578</v>
      </c>
      <c r="E80" s="1">
        <v>0.93002091837044842</v>
      </c>
      <c r="G80" s="1">
        <v>1.0001817955098176</v>
      </c>
      <c r="H80" s="1">
        <v>1.8767311360933088</v>
      </c>
      <c r="I80" s="1">
        <v>0.51513115047393343</v>
      </c>
      <c r="K80" s="1">
        <v>0.99987935668066874</v>
      </c>
      <c r="L80" s="1">
        <v>2.2071071602936878</v>
      </c>
      <c r="M80" s="1">
        <v>0.43670638156829666</v>
      </c>
      <c r="O80" s="1">
        <v>4.9535513582832846E-4</v>
      </c>
      <c r="P80" s="1">
        <v>0.99715576050421972</v>
      </c>
      <c r="R80" s="1">
        <v>8.5998672895565301E-2</v>
      </c>
      <c r="S80" s="2">
        <f t="shared" si="22"/>
        <v>0.21986696931460947</v>
      </c>
      <c r="T80" s="4">
        <f t="shared" si="12"/>
        <v>4.8341484195591422E-2</v>
      </c>
      <c r="U80" s="1">
        <f t="shared" si="13"/>
        <v>5.3521597706329693E-3</v>
      </c>
      <c r="V80" s="6">
        <f>2*sigma/alpha*corel*(B80/12-1/alpha*(1-EXP(-alpha*Output!B80/12)))</f>
        <v>7.6667507822918868E-2</v>
      </c>
      <c r="W80" s="5">
        <f t="shared" si="14"/>
        <v>-4.2989324424958453E-2</v>
      </c>
      <c r="X80" s="1">
        <f t="shared" si="15"/>
        <v>0.99463236852982184</v>
      </c>
      <c r="Y80" s="3">
        <f t="shared" si="16"/>
        <v>8.0056092635687845E-2</v>
      </c>
      <c r="Z80" s="1">
        <f t="shared" si="17"/>
        <v>9.1690864554281271E-2</v>
      </c>
      <c r="AA80" s="8">
        <f t="shared" si="23"/>
        <v>5.6666666666666634</v>
      </c>
      <c r="AB80" s="1">
        <v>5.75</v>
      </c>
      <c r="AC80" s="1">
        <v>4.9836475560000005E-4</v>
      </c>
      <c r="AD80" s="8">
        <f t="shared" si="18"/>
        <v>3.00961977167159E-2</v>
      </c>
      <c r="AE80" s="3">
        <f t="shared" si="19"/>
        <v>6.0389899924768869E-3</v>
      </c>
      <c r="AF80" s="11">
        <f t="shared" si="20"/>
        <v>5.6666666666666634</v>
      </c>
      <c r="AG80" s="1">
        <f t="shared" si="21"/>
        <v>9.1690864554281271E-2</v>
      </c>
    </row>
    <row r="81" spans="2:33" ht="15" x14ac:dyDescent="0.25">
      <c r="B81" s="1">
        <v>70</v>
      </c>
      <c r="C81" s="1">
        <v>1.0000354003542713</v>
      </c>
      <c r="D81" s="1">
        <v>1.0731587740856738</v>
      </c>
      <c r="E81" s="1">
        <v>0.93149763000784291</v>
      </c>
      <c r="G81" s="1">
        <v>1.0000499773207896</v>
      </c>
      <c r="H81" s="1">
        <v>1.8561073277146656</v>
      </c>
      <c r="I81" s="1">
        <v>0.52060078410948551</v>
      </c>
      <c r="K81" s="1">
        <v>0.99973003780782255</v>
      </c>
      <c r="L81" s="1">
        <v>2.2128176029064344</v>
      </c>
      <c r="M81" s="1">
        <v>0.43536689746376633</v>
      </c>
      <c r="O81" s="1">
        <v>4.95617632583333E-4</v>
      </c>
      <c r="P81" s="1">
        <v>0.99711307235650182</v>
      </c>
      <c r="R81" s="1">
        <v>8.6596655650553578E-2</v>
      </c>
      <c r="S81" s="2">
        <f t="shared" si="22"/>
        <v>0.2214354254305842</v>
      </c>
      <c r="T81" s="4">
        <f t="shared" si="12"/>
        <v>4.9033647635623817E-2</v>
      </c>
      <c r="U81" s="1">
        <f t="shared" si="13"/>
        <v>5.57488026620101E-3</v>
      </c>
      <c r="V81" s="6">
        <f>2*sigma/alpha*corel*(B81/12-1/alpha*(1-EXP(-alpha*Output!B81/12)))</f>
        <v>7.8821561469109236E-2</v>
      </c>
      <c r="W81" s="5">
        <f t="shared" si="14"/>
        <v>-4.3458767369422807E-2</v>
      </c>
      <c r="X81" s="1">
        <f t="shared" si="15"/>
        <v>1.0202507438389607</v>
      </c>
      <c r="Y81" s="3">
        <f t="shared" si="16"/>
        <v>7.9821690980316051E-2</v>
      </c>
      <c r="Z81" s="1">
        <f t="shared" si="17"/>
        <v>9.1682976424780946E-2</v>
      </c>
      <c r="AA81" s="8">
        <f t="shared" si="23"/>
        <v>5.7499999999999964</v>
      </c>
      <c r="AB81" s="1">
        <v>5.8330000000000002</v>
      </c>
      <c r="AC81" s="1">
        <v>4.9851441390000003E-4</v>
      </c>
      <c r="AD81" s="8">
        <f t="shared" si="18"/>
        <v>2.8967813166670252E-2</v>
      </c>
      <c r="AE81" s="3">
        <f t="shared" si="19"/>
        <v>5.8108276027663821E-3</v>
      </c>
      <c r="AF81" s="11">
        <f t="shared" si="20"/>
        <v>5.7499999999999964</v>
      </c>
      <c r="AG81" s="1">
        <f t="shared" si="21"/>
        <v>9.1682976424780946E-2</v>
      </c>
    </row>
    <row r="82" spans="2:33" ht="15" x14ac:dyDescent="0.25">
      <c r="B82" s="1">
        <v>71</v>
      </c>
      <c r="C82" s="1">
        <v>1.0000361117058789</v>
      </c>
      <c r="D82" s="1">
        <v>1.0722110018118842</v>
      </c>
      <c r="E82" s="1">
        <v>0.93231740483341807</v>
      </c>
      <c r="G82" s="1">
        <v>1.0000151922823775</v>
      </c>
      <c r="H82" s="1">
        <v>1.8415268341257405</v>
      </c>
      <c r="I82" s="1">
        <v>0.52446667885894893</v>
      </c>
      <c r="K82" s="1">
        <v>0.99981442599058434</v>
      </c>
      <c r="L82" s="1">
        <v>2.1300633145770931</v>
      </c>
      <c r="M82" s="1">
        <v>0.45200742908183217</v>
      </c>
      <c r="O82" s="1">
        <v>4.9600111573685048E-4</v>
      </c>
      <c r="P82" s="1">
        <v>0.99706962867618965</v>
      </c>
      <c r="R82" s="1">
        <v>8.7611481443786013E-2</v>
      </c>
      <c r="S82" s="2">
        <f t="shared" si="22"/>
        <v>0.22405816525973388</v>
      </c>
      <c r="T82" s="4">
        <f t="shared" si="12"/>
        <v>5.0202061419558214E-2</v>
      </c>
      <c r="U82" s="1">
        <f t="shared" si="13"/>
        <v>5.8033229455101143E-3</v>
      </c>
      <c r="V82" s="6">
        <f>2*sigma/alpha*corel*(B82/12-1/alpha*(1-EXP(-alpha*Output!B82/12)))</f>
        <v>8.1003111306257147E-2</v>
      </c>
      <c r="W82" s="5">
        <f t="shared" si="14"/>
        <v>-4.4398738474048099E-2</v>
      </c>
      <c r="X82" s="1">
        <f t="shared" si="15"/>
        <v>1.0573316479270989</v>
      </c>
      <c r="Y82" s="3">
        <f t="shared" si="16"/>
        <v>8.0050412950722599E-2</v>
      </c>
      <c r="Z82" s="1">
        <f t="shared" si="17"/>
        <v>9.211327510838456E-2</v>
      </c>
      <c r="AA82" s="8">
        <f t="shared" si="23"/>
        <v>5.8333333333333295</v>
      </c>
      <c r="AB82" s="1">
        <v>5.9169999999999998</v>
      </c>
      <c r="AC82" s="1">
        <v>4.9883016540000003E-4</v>
      </c>
      <c r="AD82" s="8">
        <f t="shared" si="18"/>
        <v>2.8290496631495521E-2</v>
      </c>
      <c r="AE82" s="3">
        <f t="shared" si="19"/>
        <v>5.6713684523890103E-3</v>
      </c>
      <c r="AF82" s="11">
        <f t="shared" si="20"/>
        <v>5.8333333333333295</v>
      </c>
      <c r="AG82" s="1">
        <f t="shared" si="21"/>
        <v>9.211327510838456E-2</v>
      </c>
    </row>
    <row r="83" spans="2:33" ht="15" x14ac:dyDescent="0.25">
      <c r="B83" s="1">
        <v>72</v>
      </c>
      <c r="C83" s="1">
        <v>1.0000367708425859</v>
      </c>
      <c r="D83" s="1">
        <v>1.0789285981547918</v>
      </c>
      <c r="E83" s="1">
        <v>0.92650906743404915</v>
      </c>
      <c r="G83" s="1">
        <v>0.99997439401145183</v>
      </c>
      <c r="H83" s="1">
        <v>1.9467604721321823</v>
      </c>
      <c r="I83" s="1">
        <v>0.49587418683237572</v>
      </c>
      <c r="K83" s="1">
        <v>0.99988175607717689</v>
      </c>
      <c r="L83" s="1">
        <v>2.1504182409435546</v>
      </c>
      <c r="M83" s="1">
        <v>0.44751433469303631</v>
      </c>
      <c r="O83" s="1">
        <v>4.9678681854044824E-4</v>
      </c>
      <c r="P83" s="1">
        <v>0.99702371702681936</v>
      </c>
      <c r="R83" s="1">
        <v>8.8506701432591886E-2</v>
      </c>
      <c r="S83" s="2">
        <f t="shared" si="22"/>
        <v>0.22638255793481876</v>
      </c>
      <c r="T83" s="4">
        <f t="shared" si="12"/>
        <v>5.1249062537111575E-2</v>
      </c>
      <c r="U83" s="1">
        <f t="shared" si="13"/>
        <v>6.0375409844319883E-3</v>
      </c>
      <c r="V83" s="6">
        <f>2*sigma/alpha*corel*(B83/12-1/alpha*(1-EXP(-alpha*Output!B83/12)))</f>
        <v>8.3212065832979576E-2</v>
      </c>
      <c r="W83" s="5">
        <f t="shared" si="14"/>
        <v>-4.5211521552679587E-2</v>
      </c>
      <c r="X83" s="1">
        <f t="shared" si="15"/>
        <v>1.0920007651645023</v>
      </c>
      <c r="Y83" s="3">
        <f t="shared" si="16"/>
        <v>8.0148028207301256E-2</v>
      </c>
      <c r="Z83" s="1">
        <f t="shared" si="17"/>
        <v>9.242029226772619E-2</v>
      </c>
      <c r="AA83" s="8">
        <f t="shared" si="23"/>
        <v>5.9166666666666625</v>
      </c>
      <c r="AB83" s="1">
        <v>6</v>
      </c>
      <c r="AC83" s="1">
        <v>4.9933772319999997E-4</v>
      </c>
      <c r="AD83" s="8">
        <f t="shared" si="18"/>
        <v>2.5509046595517323E-2</v>
      </c>
      <c r="AE83" s="3">
        <f t="shared" si="19"/>
        <v>5.1085759017049414E-3</v>
      </c>
      <c r="AF83" s="11">
        <f t="shared" si="20"/>
        <v>5.9166666666666625</v>
      </c>
      <c r="AG83" s="1">
        <f t="shared" si="21"/>
        <v>9.242029226772619E-2</v>
      </c>
    </row>
    <row r="84" spans="2:33" ht="15" x14ac:dyDescent="0.25">
      <c r="B84" s="1">
        <v>73</v>
      </c>
      <c r="C84" s="1">
        <v>1.0000371168394968</v>
      </c>
      <c r="D84" s="1">
        <v>1.0801242311059165</v>
      </c>
      <c r="E84" s="1">
        <v>0.92547993879481827</v>
      </c>
      <c r="G84" s="1">
        <v>0.99990940291093267</v>
      </c>
      <c r="H84" s="1">
        <v>1.9641889186927113</v>
      </c>
      <c r="I84" s="1">
        <v>0.49123448942119552</v>
      </c>
      <c r="K84" s="1">
        <v>0.99982875634481982</v>
      </c>
      <c r="L84" s="1">
        <v>2.0837184838527194</v>
      </c>
      <c r="M84" s="1">
        <v>0.46157083928336495</v>
      </c>
      <c r="O84" s="1">
        <v>4.9772831859186384E-4</v>
      </c>
      <c r="P84" s="1">
        <v>0.99697673203513615</v>
      </c>
      <c r="R84" s="1">
        <v>8.9260109165169826E-2</v>
      </c>
      <c r="S84" s="2">
        <f t="shared" si="22"/>
        <v>0.22835045497610168</v>
      </c>
      <c r="T84" s="4">
        <f t="shared" si="12"/>
        <v>5.2143930287792642E-2</v>
      </c>
      <c r="U84" s="1">
        <f t="shared" si="13"/>
        <v>6.2775869020286201E-3</v>
      </c>
      <c r="V84" s="6">
        <f>2*sigma/alpha*corel*(B84/12-1/alpha*(1-EXP(-alpha*Output!B84/12)))</f>
        <v>8.5448333852390035E-2</v>
      </c>
      <c r="W84" s="5">
        <f t="shared" si="14"/>
        <v>-4.5866343385764022E-2</v>
      </c>
      <c r="X84" s="1">
        <f t="shared" si="15"/>
        <v>1.1233824401450738</v>
      </c>
      <c r="Y84" s="3">
        <f t="shared" si="16"/>
        <v>8.0091701803266788E-2</v>
      </c>
      <c r="Z84" s="1">
        <f t="shared" si="17"/>
        <v>9.2582962681128478E-2</v>
      </c>
      <c r="AA84" s="8">
        <f t="shared" si="23"/>
        <v>5.9999999999999956</v>
      </c>
      <c r="AB84" s="1">
        <v>6.0830000000000002</v>
      </c>
      <c r="AC84" s="1">
        <v>5.0006280060000004E-4</v>
      </c>
      <c r="AD84" s="8">
        <f t="shared" si="18"/>
        <v>2.3344820081361989E-2</v>
      </c>
      <c r="AE84" s="3">
        <f t="shared" si="19"/>
        <v>4.6683776624359425E-3</v>
      </c>
      <c r="AF84" s="11">
        <f t="shared" si="20"/>
        <v>5.9999999999999956</v>
      </c>
      <c r="AG84" s="1">
        <f t="shared" si="21"/>
        <v>9.2582962681128478E-2</v>
      </c>
    </row>
    <row r="85" spans="2:33" ht="15" x14ac:dyDescent="0.25">
      <c r="B85" s="1">
        <v>74</v>
      </c>
      <c r="C85" s="1">
        <v>1.0000378298134014</v>
      </c>
      <c r="D85" s="1">
        <v>1.076862539341735</v>
      </c>
      <c r="E85" s="1">
        <v>0.92827958522706178</v>
      </c>
      <c r="G85" s="1">
        <v>0.99987041314856984</v>
      </c>
      <c r="H85" s="1">
        <v>1.9112466603745761</v>
      </c>
      <c r="I85" s="1">
        <v>0.50459561543985698</v>
      </c>
      <c r="K85" s="1">
        <v>0.99983868322992298</v>
      </c>
      <c r="L85" s="1">
        <v>2.09302689431714</v>
      </c>
      <c r="M85" s="1">
        <v>0.45929221382346785</v>
      </c>
      <c r="O85" s="1">
        <v>4.9883294842723047E-4</v>
      </c>
      <c r="P85" s="1">
        <v>0.99692858994497469</v>
      </c>
      <c r="R85" s="1">
        <v>9.0154827531734844E-2</v>
      </c>
      <c r="S85" s="2">
        <f t="shared" si="22"/>
        <v>0.23067739955668964</v>
      </c>
      <c r="T85" s="4">
        <f t="shared" si="12"/>
        <v>5.321206266623664E-2</v>
      </c>
      <c r="U85" s="1">
        <f t="shared" si="13"/>
        <v>6.5235125659244275E-3</v>
      </c>
      <c r="V85" s="6">
        <f>2*sigma/alpha*corel*(B85/12-1/alpha*(1-EXP(-alpha*Output!B85/12)))</f>
        <v>8.7711824471086497E-2</v>
      </c>
      <c r="W85" s="5">
        <f t="shared" si="14"/>
        <v>-4.6688550100312212E-2</v>
      </c>
      <c r="X85" s="1">
        <f t="shared" si="15"/>
        <v>1.1593442666264147</v>
      </c>
      <c r="Y85" s="3">
        <f t="shared" si="16"/>
        <v>8.0190541406475621E-2</v>
      </c>
      <c r="Z85" s="1">
        <f t="shared" si="17"/>
        <v>9.2892320108098281E-2</v>
      </c>
      <c r="AA85" s="8">
        <f t="shared" si="23"/>
        <v>6.0833333333333286</v>
      </c>
      <c r="AB85" s="1">
        <v>6.1669999999999998</v>
      </c>
      <c r="AC85" s="1">
        <v>5.0101083490000002E-4</v>
      </c>
      <c r="AD85" s="8">
        <f t="shared" si="18"/>
        <v>2.1778864727695559E-2</v>
      </c>
      <c r="AE85" s="3">
        <f t="shared" si="19"/>
        <v>4.3469847776929898E-3</v>
      </c>
      <c r="AF85" s="11">
        <f t="shared" si="20"/>
        <v>6.0833333333333286</v>
      </c>
      <c r="AG85" s="1">
        <f t="shared" si="21"/>
        <v>9.2892320108098281E-2</v>
      </c>
    </row>
    <row r="86" spans="2:33" ht="15" x14ac:dyDescent="0.25">
      <c r="B86" s="1">
        <v>75</v>
      </c>
      <c r="C86" s="1">
        <v>1.0000379764287319</v>
      </c>
      <c r="D86" s="1">
        <v>1.0759135573056853</v>
      </c>
      <c r="E86" s="1">
        <v>0.92909484715651269</v>
      </c>
      <c r="G86" s="1">
        <v>0.99979117289945929</v>
      </c>
      <c r="H86" s="1">
        <v>1.8956398582019027</v>
      </c>
      <c r="I86" s="1">
        <v>0.5085018102007981</v>
      </c>
      <c r="K86" s="1">
        <v>0.99985298426724578</v>
      </c>
      <c r="L86" s="1">
        <v>2.2193380227465305</v>
      </c>
      <c r="M86" s="1">
        <v>0.43292299234373954</v>
      </c>
      <c r="O86" s="1">
        <v>4.9991425079979181E-4</v>
      </c>
      <c r="P86" s="1">
        <v>0.99688041199067767</v>
      </c>
      <c r="R86" s="1">
        <v>9.1094861395688134E-2</v>
      </c>
      <c r="S86" s="2">
        <f>optim_vol_implied(P86,R86)</f>
        <v>0.23311936891927371</v>
      </c>
      <c r="T86" s="4">
        <f t="shared" si="12"/>
        <v>5.4344640165320438E-2</v>
      </c>
      <c r="U86" s="1">
        <f t="shared" si="13"/>
        <v>6.7753691976455421E-3</v>
      </c>
      <c r="V86" s="6">
        <f>2*sigma/alpha*corel*(B86/12-1/alpha*(1-EXP(-alpha*Output!B86/12)))</f>
        <v>9.0002447098140204E-2</v>
      </c>
      <c r="W86" s="5">
        <f t="shared" si="14"/>
        <v>-4.7569270967674895E-2</v>
      </c>
      <c r="X86" s="1">
        <f t="shared" si="15"/>
        <v>1.1973322146755259</v>
      </c>
      <c r="Y86" s="3">
        <f t="shared" si="16"/>
        <v>8.0337945484538681E-2</v>
      </c>
      <c r="Z86" s="1">
        <f t="shared" si="17"/>
        <v>9.3247747567709482E-2</v>
      </c>
      <c r="AA86" s="8">
        <f t="shared" si="23"/>
        <v>6.1666666666666616</v>
      </c>
      <c r="AB86" s="1">
        <v>6.25</v>
      </c>
      <c r="AC86" s="1">
        <v>5.0210616069999996E-4</v>
      </c>
      <c r="AD86" s="8">
        <f t="shared" si="18"/>
        <v>2.1919099002081506E-2</v>
      </c>
      <c r="AE86" s="3">
        <f t="shared" si="19"/>
        <v>4.3654312011474801E-3</v>
      </c>
      <c r="AF86" s="11">
        <f t="shared" si="20"/>
        <v>6.1666666666666616</v>
      </c>
      <c r="AG86" s="1">
        <f t="shared" si="21"/>
        <v>9.3247747567709482E-2</v>
      </c>
    </row>
    <row r="87" spans="2:33" ht="15" x14ac:dyDescent="0.25">
      <c r="B87" s="1">
        <v>76</v>
      </c>
      <c r="C87" s="1">
        <v>1.000038027695304</v>
      </c>
      <c r="D87" s="1">
        <v>1.0781119579689653</v>
      </c>
      <c r="E87" s="1">
        <v>0.92719683785311524</v>
      </c>
      <c r="G87" s="1">
        <v>0.99970188157133544</v>
      </c>
      <c r="H87" s="1">
        <v>1.9315465029406995</v>
      </c>
      <c r="I87" s="1">
        <v>0.49880558431145916</v>
      </c>
      <c r="K87" s="1">
        <v>0.99995938876520152</v>
      </c>
      <c r="L87" s="1">
        <v>2.2957017683239722</v>
      </c>
      <c r="M87" s="1">
        <v>0.41829839860975154</v>
      </c>
      <c r="O87" s="1">
        <v>5.0097573206919082E-4</v>
      </c>
      <c r="P87" s="1">
        <v>0.99683218185446387</v>
      </c>
      <c r="R87" s="1">
        <v>9.218683289988279E-2</v>
      </c>
      <c r="S87" s="2">
        <f t="shared" ref="S87:S150" si="24">optim_vol_implied(P87,R87)</f>
        <v>0.23594602510971574</v>
      </c>
      <c r="T87" s="4">
        <f t="shared" ref="T87:T150" si="25">S87*S87</f>
        <v>5.5670526765074613E-2</v>
      </c>
      <c r="U87" s="1">
        <f t="shared" si="13"/>
        <v>7.0332073779098003E-3</v>
      </c>
      <c r="V87" s="6">
        <f>2*sigma/alpha*corel*(B87/12-1/alpha*(1-EXP(-alpha*Output!B87/12)))</f>
        <v>9.2320111444089026E-2</v>
      </c>
      <c r="W87" s="5">
        <f t="shared" ref="W87:W150" si="26">U87-T87</f>
        <v>-4.8637319387164812E-2</v>
      </c>
      <c r="X87" s="1">
        <f t="shared" ref="X87:X150" si="27">V87*V87-4*W87*B87/12</f>
        <v>1.2406684274518911</v>
      </c>
      <c r="Y87" s="3">
        <f t="shared" ref="Y87:Y150" si="28">(-V87+SQRT(X87))/2/B87*12</f>
        <v>8.0647330537246459E-2</v>
      </c>
      <c r="Z87" s="1">
        <f t="shared" si="17"/>
        <v>9.3755443433609947E-2</v>
      </c>
      <c r="AA87" s="8">
        <f t="shared" si="23"/>
        <v>6.2499999999999947</v>
      </c>
      <c r="AB87" s="1">
        <v>6.3330000000000002</v>
      </c>
      <c r="AC87" s="1">
        <v>5.0325283660000004E-4</v>
      </c>
      <c r="AD87" s="8">
        <f t="shared" si="18"/>
        <v>2.2771045308092118E-2</v>
      </c>
      <c r="AE87" s="3">
        <f t="shared" si="19"/>
        <v>4.5247723712665737E-3</v>
      </c>
      <c r="AF87" s="11">
        <f t="shared" si="20"/>
        <v>6.2499999999999947</v>
      </c>
      <c r="AG87" s="1">
        <f t="shared" si="21"/>
        <v>9.3755443433609947E-2</v>
      </c>
    </row>
    <row r="88" spans="2:33" ht="15" x14ac:dyDescent="0.25">
      <c r="B88" s="1">
        <v>77</v>
      </c>
      <c r="C88" s="1">
        <v>1.0000406157574568</v>
      </c>
      <c r="D88" s="1">
        <v>1.0788602392883215</v>
      </c>
      <c r="E88" s="1">
        <v>0.92655030208620071</v>
      </c>
      <c r="G88" s="1">
        <v>0.99981351350089354</v>
      </c>
      <c r="H88" s="1">
        <v>1.9414531907461492</v>
      </c>
      <c r="I88" s="1">
        <v>0.49601831172199823</v>
      </c>
      <c r="K88" s="1">
        <v>0.99982922023893439</v>
      </c>
      <c r="L88" s="1">
        <v>2.2895513151990698</v>
      </c>
      <c r="M88" s="1">
        <v>0.41919763414239858</v>
      </c>
      <c r="O88" s="1">
        <v>5.0191878248321631E-4</v>
      </c>
      <c r="P88" s="1">
        <v>0.99678453519460997</v>
      </c>
      <c r="R88" s="1">
        <v>9.2873679836740206E-2</v>
      </c>
      <c r="S88" s="2">
        <f t="shared" si="24"/>
        <v>0.23774801705894844</v>
      </c>
      <c r="T88" s="4">
        <f t="shared" si="25"/>
        <v>5.6524119615462033E-2</v>
      </c>
      <c r="U88" s="1">
        <f t="shared" si="13"/>
        <v>7.2970770518896444E-3</v>
      </c>
      <c r="V88" s="6">
        <f>2*sigma/alpha*corel*(B88/12-1/alpha*(1-EXP(-alpha*Output!B88/12)))</f>
        <v>9.4664727519935377E-2</v>
      </c>
      <c r="W88" s="5">
        <f t="shared" si="26"/>
        <v>-4.9227042563572389E-2</v>
      </c>
      <c r="X88" s="1">
        <f t="shared" si="27"/>
        <v>1.2724555031014482</v>
      </c>
      <c r="Y88" s="3">
        <f t="shared" si="28"/>
        <v>8.0522101299114135E-2</v>
      </c>
      <c r="Z88" s="1">
        <f t="shared" si="17"/>
        <v>9.3856026478355517E-2</v>
      </c>
      <c r="AA88" s="8">
        <f t="shared" si="23"/>
        <v>6.3333333333333277</v>
      </c>
      <c r="AB88" s="1">
        <v>6.4169999999999998</v>
      </c>
      <c r="AC88" s="1">
        <v>5.0435492129999998E-4</v>
      </c>
      <c r="AD88" s="8">
        <f t="shared" si="18"/>
        <v>2.4361388167836721E-2</v>
      </c>
      <c r="AE88" s="3">
        <f t="shared" si="19"/>
        <v>4.8302072883603525E-3</v>
      </c>
      <c r="AF88" s="11">
        <f t="shared" si="20"/>
        <v>6.3333333333333277</v>
      </c>
      <c r="AG88" s="1">
        <f t="shared" si="21"/>
        <v>9.3856026478355517E-2</v>
      </c>
    </row>
    <row r="89" spans="2:33" ht="15" x14ac:dyDescent="0.25">
      <c r="B89" s="1">
        <v>78</v>
      </c>
      <c r="C89" s="1">
        <v>1.0000401074240468</v>
      </c>
      <c r="D89" s="1">
        <v>1.0776597040997358</v>
      </c>
      <c r="E89" s="1">
        <v>0.92757907250891558</v>
      </c>
      <c r="G89" s="1">
        <v>0.99967534776027911</v>
      </c>
      <c r="H89" s="1">
        <v>1.9233491111681271</v>
      </c>
      <c r="I89" s="1">
        <v>0.50044308067453813</v>
      </c>
      <c r="K89" s="1">
        <v>0.99994031669194827</v>
      </c>
      <c r="L89" s="1">
        <v>2.274326192252385</v>
      </c>
      <c r="M89" s="1">
        <v>0.42177896076491961</v>
      </c>
      <c r="O89" s="1">
        <v>5.024664922272606E-4</v>
      </c>
      <c r="P89" s="1">
        <v>0.99673929548198215</v>
      </c>
      <c r="R89" s="1">
        <v>9.3994366723035946E-2</v>
      </c>
      <c r="S89" s="2">
        <f t="shared" si="24"/>
        <v>0.24064421861751489</v>
      </c>
      <c r="T89" s="4">
        <f t="shared" si="25"/>
        <v>5.7909639954034302E-2</v>
      </c>
      <c r="U89" s="1">
        <f t="shared" si="13"/>
        <v>7.5670275344301707E-3</v>
      </c>
      <c r="V89" s="6">
        <f>2*sigma/alpha*corel*(B89/12-1/alpha*(1-EXP(-alpha*Output!B89/12)))</f>
        <v>9.7036205636144568E-2</v>
      </c>
      <c r="W89" s="5">
        <f t="shared" si="26"/>
        <v>-5.0342612419604131E-2</v>
      </c>
      <c r="X89" s="1">
        <f t="shared" si="27"/>
        <v>1.3183239481139675</v>
      </c>
      <c r="Y89" s="3">
        <f t="shared" si="28"/>
        <v>8.0857437232804585E-2</v>
      </c>
      <c r="Z89" s="1">
        <f t="shared" si="17"/>
        <v>9.4388428197230506E-2</v>
      </c>
      <c r="AA89" s="8">
        <f t="shared" si="23"/>
        <v>6.4166666666666607</v>
      </c>
      <c r="AB89" s="1">
        <v>6.5</v>
      </c>
      <c r="AC89" s="1">
        <v>5.0531647370000003E-4</v>
      </c>
      <c r="AD89" s="8">
        <f t="shared" si="18"/>
        <v>2.8499814727394247E-2</v>
      </c>
      <c r="AE89" s="3">
        <f t="shared" si="19"/>
        <v>5.6399931945053158E-3</v>
      </c>
      <c r="AF89" s="11">
        <f t="shared" si="20"/>
        <v>6.4166666666666607</v>
      </c>
      <c r="AG89" s="1">
        <f t="shared" si="21"/>
        <v>9.4388428197230506E-2</v>
      </c>
    </row>
    <row r="90" spans="2:33" ht="15" x14ac:dyDescent="0.25">
      <c r="B90" s="1">
        <v>79</v>
      </c>
      <c r="C90" s="1">
        <v>1.0000408661544804</v>
      </c>
      <c r="D90" s="1">
        <v>1.0785416698663868</v>
      </c>
      <c r="E90" s="1">
        <v>0.92681715467290393</v>
      </c>
      <c r="G90" s="1">
        <v>0.99963960333658164</v>
      </c>
      <c r="H90" s="1">
        <v>1.9472330940340674</v>
      </c>
      <c r="I90" s="1">
        <v>0.49406383083405392</v>
      </c>
      <c r="K90" s="1">
        <v>1.0000256576543969</v>
      </c>
      <c r="L90" s="1">
        <v>2.307491019536815</v>
      </c>
      <c r="M90" s="1">
        <v>0.4154735818584816</v>
      </c>
      <c r="O90" s="1">
        <v>5.0282733816584707E-4</v>
      </c>
      <c r="P90" s="1">
        <v>0.99669519295985298</v>
      </c>
      <c r="R90" s="1">
        <v>9.4812141293408564E-2</v>
      </c>
      <c r="S90" s="2">
        <f t="shared" si="24"/>
        <v>0.24277323345430246</v>
      </c>
      <c r="T90" s="4">
        <f t="shared" si="25"/>
        <v>5.8938842881857245E-2</v>
      </c>
      <c r="U90" s="1">
        <f t="shared" si="13"/>
        <v>7.8431075152289864E-3</v>
      </c>
      <c r="V90" s="6">
        <f>2*sigma/alpha*corel*(B90/12-1/alpha*(1-EXP(-alpha*Output!B90/12)))</f>
        <v>9.9434456401650495E-2</v>
      </c>
      <c r="W90" s="5">
        <f t="shared" si="26"/>
        <v>-5.1095735366628259E-2</v>
      </c>
      <c r="X90" s="1">
        <f t="shared" si="27"/>
        <v>1.3554082424411027</v>
      </c>
      <c r="Y90" s="3">
        <f t="shared" si="28"/>
        <v>8.0869789231750852E-2</v>
      </c>
      <c r="Z90" s="1">
        <f t="shared" si="17"/>
        <v>9.4618896778729589E-2</v>
      </c>
      <c r="AA90" s="8">
        <f t="shared" si="23"/>
        <v>6.4999999999999938</v>
      </c>
      <c r="AB90" s="1">
        <v>6.5830000000000002</v>
      </c>
      <c r="AC90" s="1">
        <v>5.0604155240000003E-4</v>
      </c>
      <c r="AD90" s="8">
        <f t="shared" si="18"/>
        <v>3.2142142341529602E-2</v>
      </c>
      <c r="AE90" s="3">
        <f t="shared" si="19"/>
        <v>6.3516804477990532E-3</v>
      </c>
      <c r="AF90" s="11">
        <f t="shared" si="20"/>
        <v>6.4999999999999938</v>
      </c>
      <c r="AG90" s="1">
        <f t="shared" si="21"/>
        <v>9.4618896778729589E-2</v>
      </c>
    </row>
    <row r="91" spans="2:33" ht="15" x14ac:dyDescent="0.25">
      <c r="B91" s="1">
        <v>80</v>
      </c>
      <c r="C91" s="1">
        <v>1.0000438315815583</v>
      </c>
      <c r="D91" s="1">
        <v>1.0783718847622819</v>
      </c>
      <c r="E91" s="1">
        <v>0.92695970109401882</v>
      </c>
      <c r="G91" s="1">
        <v>0.99978160902090618</v>
      </c>
      <c r="H91" s="1">
        <v>1.9228599939826916</v>
      </c>
      <c r="I91" s="1">
        <v>0.50008237733578476</v>
      </c>
      <c r="K91" s="1">
        <v>1.0001908829785211</v>
      </c>
      <c r="L91" s="1">
        <v>2.2677981270485472</v>
      </c>
      <c r="M91" s="1">
        <v>0.42253722747364864</v>
      </c>
      <c r="O91" s="1">
        <v>5.0262366039171918E-4</v>
      </c>
      <c r="P91" s="1">
        <v>0.99665478334420354</v>
      </c>
      <c r="R91" s="1">
        <v>9.5728040867227623E-2</v>
      </c>
      <c r="S91" s="2">
        <f t="shared" si="24"/>
        <v>0.24514579557781252</v>
      </c>
      <c r="T91" s="4">
        <f t="shared" si="25"/>
        <v>6.0096461089478644E-2</v>
      </c>
      <c r="U91" s="1">
        <f t="shared" si="13"/>
        <v>8.1253650639809827E-3</v>
      </c>
      <c r="V91" s="6">
        <f>2*sigma/alpha*corel*(B91/12-1/alpha*(1-EXP(-alpha*Output!B91/12)))</f>
        <v>0.10185939072286054</v>
      </c>
      <c r="W91" s="5">
        <f t="shared" si="26"/>
        <v>-5.1971096025497661E-2</v>
      </c>
      <c r="X91" s="1">
        <f t="shared" si="27"/>
        <v>1.3962712294917035</v>
      </c>
      <c r="Y91" s="3">
        <f t="shared" si="28"/>
        <v>8.0983486664198578E-2</v>
      </c>
      <c r="Z91" s="1">
        <f t="shared" si="17"/>
        <v>9.494455836656357E-2</v>
      </c>
      <c r="AA91" s="8">
        <f t="shared" si="23"/>
        <v>6.5833333333333268</v>
      </c>
      <c r="AB91" s="1">
        <v>6.6669999999999998</v>
      </c>
      <c r="AC91" s="1">
        <v>5.0643425329999995E-4</v>
      </c>
      <c r="AD91" s="8">
        <f t="shared" si="18"/>
        <v>3.810592908280773E-2</v>
      </c>
      <c r="AE91" s="3">
        <f t="shared" si="19"/>
        <v>7.5243585587870298E-3</v>
      </c>
      <c r="AF91" s="11">
        <f t="shared" si="20"/>
        <v>6.5833333333333268</v>
      </c>
      <c r="AG91" s="1">
        <f t="shared" si="21"/>
        <v>9.494455836656357E-2</v>
      </c>
    </row>
    <row r="92" spans="2:33" ht="15" x14ac:dyDescent="0.25">
      <c r="B92" s="1">
        <v>81</v>
      </c>
      <c r="C92" s="1">
        <v>1.0000438687013766</v>
      </c>
      <c r="D92" s="1">
        <v>1.0789997991096025</v>
      </c>
      <c r="E92" s="1">
        <v>0.9264169123763667</v>
      </c>
      <c r="G92" s="1">
        <v>0.99968269572305868</v>
      </c>
      <c r="H92" s="1">
        <v>1.9429220813865788</v>
      </c>
      <c r="I92" s="1">
        <v>0.49467738700665032</v>
      </c>
      <c r="K92" s="1">
        <v>1.0002735580368052</v>
      </c>
      <c r="L92" s="1">
        <v>2.3095256625700107</v>
      </c>
      <c r="M92" s="1">
        <v>0.4146741415844295</v>
      </c>
      <c r="O92" s="1">
        <v>5.0193713327303566E-4</v>
      </c>
      <c r="P92" s="1">
        <v>0.99661765740221198</v>
      </c>
      <c r="R92" s="1">
        <v>9.6643616558948833E-2</v>
      </c>
      <c r="S92" s="2">
        <f t="shared" si="24"/>
        <v>0.24751346051134843</v>
      </c>
      <c r="T92" s="4">
        <f t="shared" si="25"/>
        <v>6.1262913134302835E-2</v>
      </c>
      <c r="U92" s="1">
        <f t="shared" si="13"/>
        <v>8.4138476354866931E-3</v>
      </c>
      <c r="V92" s="6">
        <f>2*sigma/alpha*corel*(B92/12-1/alpha*(1-EXP(-alpha*Output!B92/12)))</f>
        <v>0.10431091980266605</v>
      </c>
      <c r="W92" s="5">
        <f t="shared" si="26"/>
        <v>-5.2849065498816142E-2</v>
      </c>
      <c r="X92" s="1">
        <f t="shared" si="27"/>
        <v>1.4378055364581139</v>
      </c>
      <c r="Y92" s="3">
        <f t="shared" si="28"/>
        <v>8.1094397908648211E-2</v>
      </c>
      <c r="Z92" s="1">
        <f t="shared" si="17"/>
        <v>9.5267975369521876E-2</v>
      </c>
      <c r="AA92" s="8">
        <f t="shared" si="23"/>
        <v>6.6666666666666599</v>
      </c>
      <c r="AB92" s="1">
        <v>6.75</v>
      </c>
      <c r="AC92" s="1">
        <v>5.0639882019999996E-4</v>
      </c>
      <c r="AD92" s="8">
        <f t="shared" si="18"/>
        <v>4.4616869269642957E-2</v>
      </c>
      <c r="AE92" s="3">
        <f t="shared" si="19"/>
        <v>8.8106187237998942E-3</v>
      </c>
      <c r="AF92" s="11">
        <f t="shared" si="20"/>
        <v>6.6666666666666599</v>
      </c>
      <c r="AG92" s="1">
        <f t="shared" si="21"/>
        <v>9.5267975369521876E-2</v>
      </c>
    </row>
    <row r="93" spans="2:33" ht="15" x14ac:dyDescent="0.25">
      <c r="B93" s="1">
        <v>82</v>
      </c>
      <c r="C93" s="1">
        <v>1.0000442395927267</v>
      </c>
      <c r="D93" s="1">
        <v>1.0766532191475917</v>
      </c>
      <c r="E93" s="1">
        <v>0.92843271383555426</v>
      </c>
      <c r="G93" s="1">
        <v>0.99961433439812442</v>
      </c>
      <c r="H93" s="1">
        <v>1.903293897829387</v>
      </c>
      <c r="I93" s="1">
        <v>0.50473082885659604</v>
      </c>
      <c r="K93" s="1">
        <v>1.0003003204201066</v>
      </c>
      <c r="L93" s="1">
        <v>2.36987431476574</v>
      </c>
      <c r="M93" s="1">
        <v>0.40389805846817911</v>
      </c>
      <c r="O93" s="1">
        <v>5.0062404332498051E-4</v>
      </c>
      <c r="P93" s="1">
        <v>0.99658491375491376</v>
      </c>
      <c r="R93" s="1">
        <v>9.7369642688073327E-2</v>
      </c>
      <c r="S93" s="2">
        <f t="shared" si="24"/>
        <v>0.24939581228844709</v>
      </c>
      <c r="T93" s="4">
        <f t="shared" si="25"/>
        <v>6.2198271187014341E-2</v>
      </c>
      <c r="U93" s="1">
        <f t="shared" si="13"/>
        <v>8.708602074716687E-3</v>
      </c>
      <c r="V93" s="6">
        <f>2*sigma/alpha*corel*(B93/12-1/alpha*(1-EXP(-alpha*Output!B93/12)))</f>
        <v>0.10678895513945685</v>
      </c>
      <c r="W93" s="5">
        <f t="shared" si="26"/>
        <v>-5.3489669112297654E-2</v>
      </c>
      <c r="X93" s="1">
        <f t="shared" si="27"/>
        <v>1.4734548366759128</v>
      </c>
      <c r="Y93" s="3">
        <f t="shared" si="28"/>
        <v>8.100516034027952E-2</v>
      </c>
      <c r="Z93" s="1">
        <f t="shared" si="17"/>
        <v>9.5405377350377643E-2</v>
      </c>
      <c r="AA93" s="8">
        <f t="shared" si="23"/>
        <v>6.7499999999999929</v>
      </c>
      <c r="AB93" s="1">
        <v>6.8330000000000002</v>
      </c>
      <c r="AC93" s="1">
        <v>5.0583953429999997E-4</v>
      </c>
      <c r="AD93" s="8">
        <f t="shared" si="18"/>
        <v>5.215490975019467E-2</v>
      </c>
      <c r="AE93" s="3">
        <f t="shared" si="19"/>
        <v>1.031056416386446E-2</v>
      </c>
      <c r="AF93" s="11">
        <f t="shared" si="20"/>
        <v>6.7499999999999929</v>
      </c>
      <c r="AG93" s="1">
        <f t="shared" si="21"/>
        <v>9.5405377350377643E-2</v>
      </c>
    </row>
    <row r="94" spans="2:33" ht="15" x14ac:dyDescent="0.25">
      <c r="B94" s="1">
        <v>83</v>
      </c>
      <c r="C94" s="1">
        <v>1.0000443384210445</v>
      </c>
      <c r="D94" s="1">
        <v>1.0755645441294042</v>
      </c>
      <c r="E94" s="1">
        <v>0.92936914581552388</v>
      </c>
      <c r="G94" s="1">
        <v>0.99951714989183926</v>
      </c>
      <c r="H94" s="1">
        <v>1.8868356859695297</v>
      </c>
      <c r="I94" s="1">
        <v>0.50888525556559683</v>
      </c>
      <c r="K94" s="1">
        <v>1.0002926947465873</v>
      </c>
      <c r="L94" s="1">
        <v>2.3117271628567848</v>
      </c>
      <c r="M94" s="1">
        <v>0.41382715931700043</v>
      </c>
      <c r="O94" s="1">
        <v>4.9859211636622618E-4</v>
      </c>
      <c r="P94" s="1">
        <v>0.9965573441041371</v>
      </c>
      <c r="R94" s="1">
        <v>9.8273819291290074E-2</v>
      </c>
      <c r="S94" s="2">
        <f t="shared" si="24"/>
        <v>0.25172223702003638</v>
      </c>
      <c r="T94" s="4">
        <f t="shared" si="25"/>
        <v>6.3364084610371366E-2</v>
      </c>
      <c r="U94" s="1">
        <f t="shared" si="13"/>
        <v>9.0096746218470969E-3</v>
      </c>
      <c r="V94" s="6">
        <f>2*sigma/alpha*corel*(B94/12-1/alpha*(1-EXP(-alpha*Output!B94/12)))</f>
        <v>0.10929340852613623</v>
      </c>
      <c r="W94" s="5">
        <f t="shared" si="26"/>
        <v>-5.4354409988524269E-2</v>
      </c>
      <c r="X94" s="1">
        <f t="shared" si="27"/>
        <v>1.5157503921630988</v>
      </c>
      <c r="Y94" s="3">
        <f t="shared" si="28"/>
        <v>8.1098656064520699E-2</v>
      </c>
      <c r="Z94" s="1">
        <f t="shared" si="17"/>
        <v>9.5713491597520517E-2</v>
      </c>
      <c r="AA94" s="8">
        <f t="shared" si="23"/>
        <v>6.8333333333333259</v>
      </c>
      <c r="AB94" s="1">
        <v>6.9169999999999998</v>
      </c>
      <c r="AC94" s="1">
        <v>5.0466067649999999E-4</v>
      </c>
      <c r="AD94" s="8">
        <f t="shared" si="18"/>
        <v>6.0685601337738058E-2</v>
      </c>
      <c r="AE94" s="3">
        <f t="shared" si="19"/>
        <v>1.2025030711450342E-2</v>
      </c>
      <c r="AF94" s="11">
        <f t="shared" si="20"/>
        <v>6.8333333333333259</v>
      </c>
      <c r="AG94" s="1">
        <f t="shared" si="21"/>
        <v>9.5713491597520517E-2</v>
      </c>
    </row>
    <row r="95" spans="2:33" ht="15" x14ac:dyDescent="0.25">
      <c r="B95" s="1">
        <v>84</v>
      </c>
      <c r="C95" s="1">
        <v>1.0000451601029949</v>
      </c>
      <c r="D95" s="1">
        <v>1.0764660042484167</v>
      </c>
      <c r="E95" s="1">
        <v>0.92858757641027856</v>
      </c>
      <c r="G95" s="1">
        <v>0.99948259660745631</v>
      </c>
      <c r="H95" s="1">
        <v>1.899991110998974</v>
      </c>
      <c r="I95" s="1">
        <v>0.50511545782142975</v>
      </c>
      <c r="K95" s="1">
        <v>1.000414686369439</v>
      </c>
      <c r="L95" s="1">
        <v>2.3138422158286009</v>
      </c>
      <c r="M95" s="1">
        <v>0.41326368033991556</v>
      </c>
      <c r="O95" s="1">
        <v>4.9567760672632806E-4</v>
      </c>
      <c r="P95" s="1">
        <v>0.99653626935594286</v>
      </c>
      <c r="R95" s="1">
        <v>9.9413183819994061E-2</v>
      </c>
      <c r="S95" s="2">
        <f t="shared" si="24"/>
        <v>0.25463550713849414</v>
      </c>
      <c r="T95" s="4">
        <f t="shared" si="25"/>
        <v>6.4839241495678102E-2</v>
      </c>
      <c r="U95" s="1">
        <f t="shared" si="13"/>
        <v>9.3171109172556221E-3</v>
      </c>
      <c r="V95" s="6">
        <f>2*sigma/alpha*corel*(B95/12-1/alpha*(1-EXP(-alpha*Output!B95/12)))</f>
        <v>0.11182419204914207</v>
      </c>
      <c r="W95" s="5">
        <f t="shared" si="26"/>
        <v>-5.5522130578422479E-2</v>
      </c>
      <c r="X95" s="1">
        <f t="shared" si="27"/>
        <v>1.5671243061232731</v>
      </c>
      <c r="Y95" s="3">
        <f t="shared" si="28"/>
        <v>8.1430297416598671E-2</v>
      </c>
      <c r="Z95" s="1">
        <f t="shared" si="17"/>
        <v>9.6243175265038255E-2</v>
      </c>
      <c r="AA95" s="8">
        <f t="shared" si="23"/>
        <v>6.916666666666659</v>
      </c>
      <c r="AB95" s="1">
        <v>7</v>
      </c>
      <c r="AC95" s="1">
        <v>5.0276652800000004E-4</v>
      </c>
      <c r="AD95" s="8">
        <f t="shared" si="18"/>
        <v>7.0889212736719706E-2</v>
      </c>
      <c r="AE95" s="3">
        <f t="shared" si="19"/>
        <v>1.4099827412679249E-2</v>
      </c>
      <c r="AF95" s="11">
        <f t="shared" si="20"/>
        <v>6.916666666666659</v>
      </c>
      <c r="AG95" s="1">
        <f t="shared" si="21"/>
        <v>9.6243175265038255E-2</v>
      </c>
    </row>
    <row r="96" spans="2:33" ht="15" x14ac:dyDescent="0.25">
      <c r="B96" s="1">
        <v>85</v>
      </c>
      <c r="C96" s="1">
        <v>1.0000459314769594</v>
      </c>
      <c r="D96" s="1">
        <v>1.0804050367144549</v>
      </c>
      <c r="E96" s="1">
        <v>0.9251987949278494</v>
      </c>
      <c r="G96" s="1">
        <v>0.99944205493098048</v>
      </c>
      <c r="H96" s="1">
        <v>1.9638282583135749</v>
      </c>
      <c r="I96" s="1">
        <v>0.48845776618786096</v>
      </c>
      <c r="K96" s="1">
        <v>1.0004598150022952</v>
      </c>
      <c r="L96" s="1">
        <v>2.2669036845035193</v>
      </c>
      <c r="M96" s="1">
        <v>0.42159415967965391</v>
      </c>
      <c r="O96" s="1">
        <v>4.920189394980592E-4</v>
      </c>
      <c r="P96" s="1">
        <v>0.99652093187623703</v>
      </c>
      <c r="R96" s="1">
        <v>0.10029464219426247</v>
      </c>
      <c r="S96" s="2">
        <f t="shared" si="24"/>
        <v>0.25688840633564103</v>
      </c>
      <c r="T96" s="4">
        <f t="shared" si="25"/>
        <v>6.5991653309665416E-2</v>
      </c>
      <c r="U96" s="1">
        <f t="shared" si="13"/>
        <v>9.6309560064766764E-3</v>
      </c>
      <c r="V96" s="6">
        <f>2*sigma/alpha*corel*(B96/12-1/alpha*(1-EXP(-alpha*Output!B96/12)))</f>
        <v>0.11438121808746915</v>
      </c>
      <c r="W96" s="5">
        <f t="shared" si="26"/>
        <v>-5.6360697303188739E-2</v>
      </c>
      <c r="X96" s="1">
        <f t="shared" si="27"/>
        <v>1.6099694866415206</v>
      </c>
      <c r="Y96" s="3">
        <f t="shared" si="28"/>
        <v>8.149161260843564E-2</v>
      </c>
      <c r="Z96" s="1">
        <f t="shared" si="17"/>
        <v>9.6521856087318392E-2</v>
      </c>
      <c r="AA96" s="8">
        <f t="shared" si="23"/>
        <v>6.999999999999992</v>
      </c>
      <c r="AB96" s="1">
        <v>7.0830000000000002</v>
      </c>
      <c r="AC96" s="1">
        <v>5.0006136979999997E-4</v>
      </c>
      <c r="AD96" s="8">
        <f t="shared" si="18"/>
        <v>8.0424303019407686E-2</v>
      </c>
      <c r="AE96" s="3">
        <f t="shared" si="19"/>
        <v>1.6082886596813797E-2</v>
      </c>
      <c r="AF96" s="11">
        <f t="shared" si="20"/>
        <v>6.999999999999992</v>
      </c>
      <c r="AG96" s="1">
        <f t="shared" si="21"/>
        <v>9.6521856087318392E-2</v>
      </c>
    </row>
    <row r="97" spans="2:33" ht="15" x14ac:dyDescent="0.25">
      <c r="B97" s="1">
        <v>86</v>
      </c>
      <c r="C97" s="1">
        <v>1.0000458879081009</v>
      </c>
      <c r="D97" s="1">
        <v>1.0836516689427196</v>
      </c>
      <c r="E97" s="1">
        <v>0.92242366215193117</v>
      </c>
      <c r="G97" s="1">
        <v>0.99933156339141005</v>
      </c>
      <c r="H97" s="1">
        <v>2.0187855580488243</v>
      </c>
      <c r="I97" s="1">
        <v>0.47492895345627828</v>
      </c>
      <c r="K97" s="1">
        <v>1.0004433387326122</v>
      </c>
      <c r="L97" s="1">
        <v>2.2871385766000358</v>
      </c>
      <c r="M97" s="1">
        <v>0.41764729630258957</v>
      </c>
      <c r="O97" s="1">
        <v>4.8837031480444587E-4</v>
      </c>
      <c r="P97" s="1">
        <v>0.99650613055979076</v>
      </c>
      <c r="R97" s="1">
        <v>0.10111990816269613</v>
      </c>
      <c r="S97" s="2">
        <f t="shared" si="24"/>
        <v>0.25899862152002495</v>
      </c>
      <c r="T97" s="4">
        <f t="shared" si="25"/>
        <v>6.7080285949273136E-2</v>
      </c>
      <c r="U97" s="1">
        <f t="shared" si="13"/>
        <v>9.9512543451281132E-3</v>
      </c>
      <c r="V97" s="6">
        <f>2*sigma/alpha*corel*(B97/12-1/alpha*(1-EXP(-alpha*Output!B97/12)))</f>
        <v>0.11696439931169667</v>
      </c>
      <c r="W97" s="5">
        <f t="shared" si="26"/>
        <v>-5.7129031604145022E-2</v>
      </c>
      <c r="X97" s="1">
        <f t="shared" si="27"/>
        <v>1.6513795766918364</v>
      </c>
      <c r="Y97" s="3">
        <f t="shared" si="28"/>
        <v>8.1495052036286361E-2</v>
      </c>
      <c r="Z97" s="1">
        <f t="shared" si="17"/>
        <v>9.6747299186584937E-2</v>
      </c>
      <c r="AA97" s="8">
        <f t="shared" si="23"/>
        <v>7.083333333333325</v>
      </c>
      <c r="AB97" s="1">
        <v>7.1669999999999998</v>
      </c>
      <c r="AC97" s="1">
        <v>4.9661774360000002E-4</v>
      </c>
      <c r="AD97" s="8">
        <f t="shared" si="18"/>
        <v>8.2474287955541487E-2</v>
      </c>
      <c r="AE97" s="3">
        <f t="shared" si="19"/>
        <v>1.6607197189065857E-2</v>
      </c>
      <c r="AF97" s="11">
        <f t="shared" si="20"/>
        <v>7.083333333333325</v>
      </c>
      <c r="AG97" s="1">
        <f t="shared" si="21"/>
        <v>9.6747299186584937E-2</v>
      </c>
    </row>
    <row r="98" spans="2:33" ht="15" x14ac:dyDescent="0.25">
      <c r="B98" s="1">
        <v>87</v>
      </c>
      <c r="C98" s="1">
        <v>1.0000466036399238</v>
      </c>
      <c r="D98" s="1">
        <v>1.0860058507409545</v>
      </c>
      <c r="E98" s="1">
        <v>0.92042088647413756</v>
      </c>
      <c r="G98" s="1">
        <v>0.99928364390826863</v>
      </c>
      <c r="H98" s="1">
        <v>2.0566714211657251</v>
      </c>
      <c r="I98" s="1">
        <v>0.46595314888816841</v>
      </c>
      <c r="K98" s="1">
        <v>1.0004509689693613</v>
      </c>
      <c r="L98" s="1">
        <v>2.3098111544058044</v>
      </c>
      <c r="M98" s="1">
        <v>0.41331971788511301</v>
      </c>
      <c r="O98" s="1">
        <v>4.8561319695848346E-4</v>
      </c>
      <c r="P98" s="1">
        <v>0.99648549470413128</v>
      </c>
      <c r="R98" s="1">
        <v>0.10186932664451182</v>
      </c>
      <c r="S98" s="2">
        <f t="shared" si="24"/>
        <v>0.26092512994280648</v>
      </c>
      <c r="T98" s="4">
        <f t="shared" si="25"/>
        <v>6.8081923435670447E-2</v>
      </c>
      <c r="U98" s="1">
        <f t="shared" si="13"/>
        <v>1.0278049803796208E-2</v>
      </c>
      <c r="V98" s="6">
        <f>2*sigma/alpha*corel*(B98/12-1/alpha*(1-EXP(-alpha*Output!B98/12)))</f>
        <v>0.11957364868301645</v>
      </c>
      <c r="W98" s="5">
        <f t="shared" si="26"/>
        <v>-5.7803873631874239E-2</v>
      </c>
      <c r="X98" s="1">
        <f t="shared" si="27"/>
        <v>1.6906101927837223</v>
      </c>
      <c r="Y98" s="3">
        <f t="shared" si="28"/>
        <v>8.1424897908186869E-2</v>
      </c>
      <c r="Z98" s="1">
        <f t="shared" si="17"/>
        <v>9.6905160487241307E-2</v>
      </c>
      <c r="AA98" s="8">
        <f t="shared" si="23"/>
        <v>7.1666666666666581</v>
      </c>
      <c r="AB98" s="1">
        <v>7.25</v>
      </c>
      <c r="AC98" s="1">
        <v>4.9318123440000004E-4</v>
      </c>
      <c r="AD98" s="8">
        <f t="shared" si="18"/>
        <v>7.5680374415165813E-2</v>
      </c>
      <c r="AE98" s="3">
        <f t="shared" si="19"/>
        <v>1.5345347538869337E-2</v>
      </c>
      <c r="AF98" s="11">
        <f t="shared" si="20"/>
        <v>7.1666666666666581</v>
      </c>
      <c r="AG98" s="1">
        <f t="shared" si="21"/>
        <v>9.6905160487241307E-2</v>
      </c>
    </row>
    <row r="99" spans="2:33" ht="15" x14ac:dyDescent="0.25">
      <c r="B99" s="1">
        <v>88</v>
      </c>
      <c r="C99" s="1">
        <v>1.0000462803894805</v>
      </c>
      <c r="D99" s="1">
        <v>1.0827474767510255</v>
      </c>
      <c r="E99" s="1">
        <v>0.92318757597053203</v>
      </c>
      <c r="G99" s="1">
        <v>0.9991447743280687</v>
      </c>
      <c r="H99" s="1">
        <v>2.0005554626242747</v>
      </c>
      <c r="I99" s="1">
        <v>0.47878982583290747</v>
      </c>
      <c r="K99" s="1">
        <v>1.0003827778446597</v>
      </c>
      <c r="L99" s="1">
        <v>2.3059647293173011</v>
      </c>
      <c r="M99" s="1">
        <v>0.41379200737356403</v>
      </c>
      <c r="O99" s="1">
        <v>4.8475706123548461E-4</v>
      </c>
      <c r="P99" s="1">
        <v>0.99645142600771164</v>
      </c>
      <c r="R99" s="1">
        <v>0.10265100220228378</v>
      </c>
      <c r="S99" s="2">
        <f t="shared" si="24"/>
        <v>0.26295224174874887</v>
      </c>
      <c r="T99" s="4">
        <f t="shared" si="25"/>
        <v>6.9143881440692473E-2</v>
      </c>
      <c r="U99" s="1">
        <f t="shared" si="13"/>
        <v>1.0611385672885554E-2</v>
      </c>
      <c r="V99" s="6">
        <f>2*sigma/alpha*corel*(B99/12-1/alpha*(1-EXP(-alpha*Output!B99/12)))</f>
        <v>0.12220887945226722</v>
      </c>
      <c r="W99" s="5">
        <f t="shared" si="26"/>
        <v>-5.8532495767806919E-2</v>
      </c>
      <c r="X99" s="1">
        <f t="shared" si="27"/>
        <v>1.7318882194059817</v>
      </c>
      <c r="Y99" s="3">
        <f t="shared" si="28"/>
        <v>8.1395683766348537E-2</v>
      </c>
      <c r="Z99" s="1">
        <f t="shared" si="17"/>
        <v>9.7101550479634327E-2</v>
      </c>
      <c r="AA99" s="8">
        <f t="shared" si="23"/>
        <v>7.2499999999999911</v>
      </c>
      <c r="AB99" s="1">
        <v>7.3330000000000002</v>
      </c>
      <c r="AC99" s="1">
        <v>4.9066568800000001E-4</v>
      </c>
      <c r="AD99" s="8">
        <f t="shared" si="18"/>
        <v>5.9086267645153949E-2</v>
      </c>
      <c r="AE99" s="3">
        <f t="shared" si="19"/>
        <v>1.2042062261576756E-2</v>
      </c>
      <c r="AF99" s="11">
        <f t="shared" si="20"/>
        <v>7.2499999999999911</v>
      </c>
      <c r="AG99" s="1">
        <f t="shared" si="21"/>
        <v>9.7101550479634327E-2</v>
      </c>
    </row>
    <row r="100" spans="2:33" ht="15" x14ac:dyDescent="0.25">
      <c r="B100" s="1">
        <v>89</v>
      </c>
      <c r="C100" s="1">
        <v>1.0000484301261825</v>
      </c>
      <c r="D100" s="1">
        <v>1.0812734625371634</v>
      </c>
      <c r="E100" s="1">
        <v>0.92444291483424834</v>
      </c>
      <c r="G100" s="1">
        <v>0.99920967198009936</v>
      </c>
      <c r="H100" s="1">
        <v>1.974991833429427</v>
      </c>
      <c r="I100" s="1">
        <v>0.48475083514088352</v>
      </c>
      <c r="K100" s="1">
        <v>1.0004382239223992</v>
      </c>
      <c r="L100" s="1">
        <v>2.2673267231588357</v>
      </c>
      <c r="M100" s="1">
        <v>0.42059655141599611</v>
      </c>
      <c r="O100" s="1">
        <v>4.866268747113282E-4</v>
      </c>
      <c r="P100" s="1">
        <v>0.99639735583026046</v>
      </c>
      <c r="R100" s="1">
        <v>0.10350853662762749</v>
      </c>
      <c r="S100" s="2">
        <f t="shared" si="24"/>
        <v>0.265199620827411</v>
      </c>
      <c r="T100" s="4">
        <f t="shared" si="25"/>
        <v>7.0330838887002561E-2</v>
      </c>
      <c r="U100" s="1">
        <f t="shared" si="13"/>
        <v>1.0951304667437434E-2</v>
      </c>
      <c r="V100" s="6">
        <f>2*sigma/alpha*corel*(B100/12-1/alpha*(1-EXP(-alpha*Output!B100/12)))</f>
        <v>0.12487000515897007</v>
      </c>
      <c r="W100" s="5">
        <f t="shared" si="26"/>
        <v>-5.9379534219565128E-2</v>
      </c>
      <c r="X100" s="1">
        <f t="shared" si="27"/>
        <v>1.7771853667021666</v>
      </c>
      <c r="Y100" s="3">
        <f t="shared" si="28"/>
        <v>8.145445992207298E-2</v>
      </c>
      <c r="Z100" s="1">
        <f t="shared" si="17"/>
        <v>9.7379719334024464E-2</v>
      </c>
      <c r="AA100" s="8">
        <f t="shared" si="23"/>
        <v>7.3333333333333242</v>
      </c>
      <c r="AB100" s="1">
        <v>7.4169999999999998</v>
      </c>
      <c r="AC100" s="1">
        <v>4.8998494999999995E-4</v>
      </c>
      <c r="AD100" s="8">
        <f t="shared" si="18"/>
        <v>3.3580752886717448E-2</v>
      </c>
      <c r="AE100" s="3">
        <f t="shared" si="19"/>
        <v>6.8534253729053201E-3</v>
      </c>
      <c r="AF100" s="11">
        <f t="shared" si="20"/>
        <v>7.3333333333333242</v>
      </c>
      <c r="AG100" s="1">
        <f t="shared" si="21"/>
        <v>9.7379719334024464E-2</v>
      </c>
    </row>
    <row r="101" spans="2:33" ht="15" x14ac:dyDescent="0.25">
      <c r="B101" s="1">
        <v>90</v>
      </c>
      <c r="C101" s="1">
        <v>1.0000498395183794</v>
      </c>
      <c r="D101" s="1">
        <v>1.0822299465081837</v>
      </c>
      <c r="E101" s="1">
        <v>0.92362273888110014</v>
      </c>
      <c r="G101" s="1">
        <v>0.99921459841168414</v>
      </c>
      <c r="H101" s="1">
        <v>2.0015307582909032</v>
      </c>
      <c r="I101" s="1">
        <v>0.47809035082164159</v>
      </c>
      <c r="K101" s="1">
        <v>1.0004872049513551</v>
      </c>
      <c r="L101" s="1">
        <v>2.2359157182945393</v>
      </c>
      <c r="M101" s="1">
        <v>0.42628538724560999</v>
      </c>
      <c r="O101" s="1">
        <v>4.9215509554228077E-4</v>
      </c>
      <c r="P101" s="1">
        <v>0.99631564075228429</v>
      </c>
      <c r="R101" s="1">
        <v>0.10446443562967664</v>
      </c>
      <c r="S101" s="2">
        <f t="shared" si="24"/>
        <v>0.26773509098751735</v>
      </c>
      <c r="T101" s="4">
        <f t="shared" si="25"/>
        <v>7.1682078946094199E-2</v>
      </c>
      <c r="U101" s="1">
        <f t="shared" si="13"/>
        <v>1.1297848931910437E-2</v>
      </c>
      <c r="V101" s="6">
        <f>2*sigma/alpha*corel*(B101/12-1/alpha*(1-EXP(-alpha*Output!B101/12)))</f>
        <v>0.1275569396303684</v>
      </c>
      <c r="W101" s="5">
        <f t="shared" si="26"/>
        <v>-6.0384230014183762E-2</v>
      </c>
      <c r="X101" s="1">
        <f t="shared" si="27"/>
        <v>1.8277976732733783</v>
      </c>
      <c r="Y101" s="3">
        <f t="shared" si="28"/>
        <v>8.1626915852233639E-2</v>
      </c>
      <c r="Z101" s="1">
        <f t="shared" si="17"/>
        <v>9.7763032513040901E-2</v>
      </c>
      <c r="AA101" s="8">
        <f t="shared" si="23"/>
        <v>7.4166666666666572</v>
      </c>
      <c r="AB101" s="1">
        <v>7.5</v>
      </c>
      <c r="AC101" s="1">
        <v>4.9205286609999997E-4</v>
      </c>
      <c r="AD101" s="8">
        <f t="shared" si="18"/>
        <v>-1.0222944228080108E-3</v>
      </c>
      <c r="AE101" s="3">
        <f t="shared" si="19"/>
        <v>-2.0776109504466329E-4</v>
      </c>
      <c r="AF101" s="11">
        <f t="shared" si="20"/>
        <v>7.4166666666666572</v>
      </c>
      <c r="AG101" s="1">
        <f t="shared" si="21"/>
        <v>9.7763032513040901E-2</v>
      </c>
    </row>
    <row r="102" spans="2:33" ht="15" x14ac:dyDescent="0.25">
      <c r="B102" s="1">
        <v>91</v>
      </c>
      <c r="C102" s="1">
        <v>1.000050597402069</v>
      </c>
      <c r="D102" s="1">
        <v>1.0851601777414726</v>
      </c>
      <c r="E102" s="1">
        <v>0.92112558674754708</v>
      </c>
      <c r="G102" s="1">
        <v>0.99916429766958026</v>
      </c>
      <c r="H102" s="1">
        <v>2.0507090049280823</v>
      </c>
      <c r="I102" s="1">
        <v>0.46639791608130149</v>
      </c>
      <c r="K102" s="1">
        <v>1.000495080600142</v>
      </c>
      <c r="L102" s="1">
        <v>2.2873624780836952</v>
      </c>
      <c r="M102" s="1">
        <v>0.41645990191545557</v>
      </c>
      <c r="O102" s="1">
        <v>5.0220116269292106E-4</v>
      </c>
      <c r="P102" s="1">
        <v>0.99619888378429311</v>
      </c>
      <c r="R102" s="1">
        <v>0.10524658305185905</v>
      </c>
      <c r="S102" s="2">
        <f t="shared" si="24"/>
        <v>0.26987947977719484</v>
      </c>
      <c r="T102" s="4">
        <f t="shared" si="25"/>
        <v>7.2834933604809318E-2</v>
      </c>
      <c r="U102" s="1">
        <f t="shared" si="13"/>
        <v>1.1651060044920225E-2</v>
      </c>
      <c r="V102" s="6">
        <f>2*sigma/alpha*corel*(B102/12-1/alpha*(1-EXP(-alpha*Output!B102/12)))</f>
        <v>0.13026959698046869</v>
      </c>
      <c r="W102" s="5">
        <f t="shared" si="26"/>
        <v>-6.1183873559889093E-2</v>
      </c>
      <c r="X102" s="1">
        <f t="shared" si="27"/>
        <v>1.8728809992140893</v>
      </c>
      <c r="Y102" s="3">
        <f t="shared" si="28"/>
        <v>8.1643702968931517E-2</v>
      </c>
      <c r="Z102" s="1">
        <f t="shared" si="17"/>
        <v>9.8003094998094953E-2</v>
      </c>
      <c r="AA102" s="8">
        <f t="shared" si="23"/>
        <v>7.4999999999999902</v>
      </c>
      <c r="AB102" s="1">
        <v>7.5830000000000002</v>
      </c>
      <c r="AC102" s="1">
        <v>4.9778328220000004E-4</v>
      </c>
      <c r="AD102" s="8">
        <f t="shared" si="18"/>
        <v>-4.417880492921028E-2</v>
      </c>
      <c r="AE102" s="3">
        <f t="shared" si="19"/>
        <v>-8.8751082065186872E-3</v>
      </c>
      <c r="AF102" s="11">
        <f t="shared" si="20"/>
        <v>7.4999999999999902</v>
      </c>
      <c r="AG102" s="1">
        <f t="shared" si="21"/>
        <v>9.8003094998094953E-2</v>
      </c>
    </row>
    <row r="103" spans="2:33" ht="15" x14ac:dyDescent="0.25">
      <c r="B103" s="1">
        <v>92</v>
      </c>
      <c r="C103" s="1">
        <v>1.0000526594487971</v>
      </c>
      <c r="D103" s="1">
        <v>1.0882494738980404</v>
      </c>
      <c r="E103" s="1">
        <v>0.91850763109293065</v>
      </c>
      <c r="G103" s="1">
        <v>0.99921691316813033</v>
      </c>
      <c r="H103" s="1">
        <v>2.1042037696170457</v>
      </c>
      <c r="I103" s="1">
        <v>0.4543193706674426</v>
      </c>
      <c r="K103" s="1">
        <v>1.0005241263469766</v>
      </c>
      <c r="L103" s="1">
        <v>2.3718845781963096</v>
      </c>
      <c r="M103" s="1">
        <v>0.40141584942777386</v>
      </c>
      <c r="O103" s="1">
        <v>5.1777914785465008E-4</v>
      </c>
      <c r="P103" s="1">
        <v>0.99603822847255441</v>
      </c>
      <c r="R103" s="1">
        <v>0.10588989138788299</v>
      </c>
      <c r="S103" s="2">
        <f t="shared" si="24"/>
        <v>0.27173344441546454</v>
      </c>
      <c r="T103" s="4">
        <f t="shared" si="25"/>
        <v>7.3839064813892352E-2</v>
      </c>
      <c r="U103" s="1">
        <f t="shared" si="13"/>
        <v>1.2010979023958424E-2</v>
      </c>
      <c r="V103" s="6">
        <f>2*sigma/alpha*corel*(B103/12-1/alpha*(1-EXP(-alpha*Output!B103/12)))</f>
        <v>0.13300789160908832</v>
      </c>
      <c r="W103" s="5">
        <f t="shared" si="26"/>
        <v>-6.1828085789933929E-2</v>
      </c>
      <c r="X103" s="1">
        <f t="shared" si="27"/>
        <v>1.9137523967882686</v>
      </c>
      <c r="Y103" s="3">
        <f t="shared" si="28"/>
        <v>8.1546293993081012E-2</v>
      </c>
      <c r="Z103" s="1">
        <f t="shared" si="17"/>
        <v>9.8138587553670428E-2</v>
      </c>
      <c r="AA103" s="8">
        <f t="shared" si="23"/>
        <v>7.5833333333333233</v>
      </c>
      <c r="AB103" s="1">
        <v>7.6669999999999998</v>
      </c>
      <c r="AC103" s="1">
        <v>5.0809120860000002E-4</v>
      </c>
      <c r="AD103" s="8">
        <f t="shared" si="18"/>
        <v>-9.6879392546500534E-2</v>
      </c>
      <c r="AE103" s="3">
        <f t="shared" si="19"/>
        <v>-1.9067323131498979E-2</v>
      </c>
      <c r="AF103" s="11">
        <f t="shared" si="20"/>
        <v>7.5833333333333233</v>
      </c>
      <c r="AG103" s="1">
        <f t="shared" si="21"/>
        <v>9.8138587553670428E-2</v>
      </c>
    </row>
    <row r="104" spans="2:33" ht="15" x14ac:dyDescent="0.25">
      <c r="B104" s="1">
        <v>93</v>
      </c>
      <c r="C104" s="1">
        <v>1.0000514223740622</v>
      </c>
      <c r="D104" s="1">
        <v>1.0878006332621275</v>
      </c>
      <c r="E104" s="1">
        <v>0.91888355126674015</v>
      </c>
      <c r="G104" s="1">
        <v>0.9990082608420231</v>
      </c>
      <c r="H104" s="1">
        <v>2.0961707840995443</v>
      </c>
      <c r="I104" s="1">
        <v>0.45583829647920532</v>
      </c>
      <c r="K104" s="1">
        <v>1.0005075939718715</v>
      </c>
      <c r="L104" s="1">
        <v>2.4213424726146719</v>
      </c>
      <c r="M104" s="1">
        <v>0.39300397751174915</v>
      </c>
      <c r="O104" s="1">
        <v>5.3979634745869728E-4</v>
      </c>
      <c r="P104" s="1">
        <v>0.9958253166261205</v>
      </c>
      <c r="R104" s="1">
        <v>0.1064925907317784</v>
      </c>
      <c r="S104" s="2">
        <f t="shared" si="24"/>
        <v>0.27355756784912055</v>
      </c>
      <c r="T104" s="4">
        <f t="shared" si="25"/>
        <v>7.483374292752619E-2</v>
      </c>
      <c r="U104" s="1">
        <f t="shared" si="13"/>
        <v>1.237764633006444E-2</v>
      </c>
      <c r="V104" s="6">
        <f>2*sigma/alpha*corel*(B104/12-1/alpha*(1-EXP(-alpha*Output!B104/12)))</f>
        <v>0.13577173820090382</v>
      </c>
      <c r="W104" s="5">
        <f t="shared" si="26"/>
        <v>-6.2456096597461749E-2</v>
      </c>
      <c r="X104" s="1">
        <f t="shared" si="27"/>
        <v>1.9545729594154089</v>
      </c>
      <c r="Y104" s="3">
        <f t="shared" si="28"/>
        <v>8.1437979965715501E-2</v>
      </c>
      <c r="Z104" s="1">
        <f t="shared" si="17"/>
        <v>9.8264779190502541E-2</v>
      </c>
      <c r="AA104" s="8">
        <f t="shared" si="23"/>
        <v>7.6666666666666563</v>
      </c>
      <c r="AB104" s="1">
        <v>7.75</v>
      </c>
      <c r="AC104" s="1">
        <v>5.2389631480000002E-4</v>
      </c>
      <c r="AD104" s="8">
        <f t="shared" si="18"/>
        <v>-0.15900032658697261</v>
      </c>
      <c r="AE104" s="3">
        <f t="shared" si="19"/>
        <v>-3.0349579123814176E-2</v>
      </c>
      <c r="AF104" s="11">
        <f t="shared" si="20"/>
        <v>7.6666666666666563</v>
      </c>
      <c r="AG104" s="1">
        <f t="shared" si="21"/>
        <v>9.8264779190502541E-2</v>
      </c>
    </row>
    <row r="105" spans="2:33" ht="15" x14ac:dyDescent="0.25">
      <c r="B105" s="1">
        <v>94</v>
      </c>
      <c r="C105" s="1">
        <v>1.0000527269411332</v>
      </c>
      <c r="D105" s="1">
        <v>1.0856121989668677</v>
      </c>
      <c r="E105" s="1">
        <v>0.92073283139374917</v>
      </c>
      <c r="G105" s="1">
        <v>0.99900683369955401</v>
      </c>
      <c r="H105" s="1">
        <v>2.0577772742256815</v>
      </c>
      <c r="I105" s="1">
        <v>0.46411707399687835</v>
      </c>
      <c r="K105" s="1">
        <v>1.0004594202801955</v>
      </c>
      <c r="L105" s="1">
        <v>2.4974212213742124</v>
      </c>
      <c r="M105" s="1">
        <v>0.38085308390987654</v>
      </c>
      <c r="O105" s="1">
        <v>5.6912323537306906E-4</v>
      </c>
      <c r="P105" s="1">
        <v>0.99555179070901456</v>
      </c>
      <c r="R105" s="1">
        <v>0.10707204945990115</v>
      </c>
      <c r="S105" s="2">
        <f t="shared" si="24"/>
        <v>0.27540754748792617</v>
      </c>
      <c r="T105" s="4">
        <f t="shared" si="25"/>
        <v>7.584931721331431E-2</v>
      </c>
      <c r="U105" s="1">
        <f t="shared" si="13"/>
        <v>1.275110187246753E-2</v>
      </c>
      <c r="V105" s="6">
        <f>2*sigma/alpha*corel*(B105/12-1/alpha*(1-EXP(-alpha*Output!B105/12)))</f>
        <v>0.13856105172450195</v>
      </c>
      <c r="W105" s="5">
        <f t="shared" si="26"/>
        <v>-6.3098215340846781E-2</v>
      </c>
      <c r="X105" s="1">
        <f t="shared" si="27"/>
        <v>1.9962765790681993</v>
      </c>
      <c r="Y105" s="3">
        <f t="shared" si="28"/>
        <v>8.134056186897172E-2</v>
      </c>
      <c r="Z105" s="1">
        <f t="shared" si="17"/>
        <v>9.8401684737338249E-2</v>
      </c>
      <c r="AA105" s="8">
        <f t="shared" si="23"/>
        <v>7.7499999999999893</v>
      </c>
      <c r="AB105" s="1">
        <v>7.8330000000000002</v>
      </c>
      <c r="AC105" s="1">
        <v>5.4611943489999999E-4</v>
      </c>
      <c r="AD105" s="8">
        <f t="shared" si="18"/>
        <v>-0.23003800473069078</v>
      </c>
      <c r="AE105" s="3">
        <f t="shared" si="19"/>
        <v>-4.2122288647869321E-2</v>
      </c>
      <c r="AF105" s="11">
        <f t="shared" si="20"/>
        <v>7.7499999999999893</v>
      </c>
      <c r="AG105" s="1">
        <f t="shared" si="21"/>
        <v>9.8401684737338249E-2</v>
      </c>
    </row>
    <row r="106" spans="2:33" ht="15" x14ac:dyDescent="0.25">
      <c r="B106" s="1">
        <v>95</v>
      </c>
      <c r="C106" s="1">
        <v>1.0000556192229701</v>
      </c>
      <c r="D106" s="1">
        <v>1.0933353623609658</v>
      </c>
      <c r="E106" s="1">
        <v>0.91422589492522799</v>
      </c>
      <c r="G106" s="1">
        <v>0.99912443432628717</v>
      </c>
      <c r="H106" s="1">
        <v>2.1938223212266195</v>
      </c>
      <c r="I106" s="1">
        <v>0.43512387792862606</v>
      </c>
      <c r="K106" s="1">
        <v>1.000350997517498</v>
      </c>
      <c r="L106" s="1">
        <v>2.5052512543589995</v>
      </c>
      <c r="M106" s="1">
        <v>0.37943672626109898</v>
      </c>
      <c r="O106" s="1">
        <v>6.0670918005459535E-4</v>
      </c>
      <c r="P106" s="1">
        <v>0.99520840216584683</v>
      </c>
      <c r="R106" s="1">
        <v>0.10770306136942416</v>
      </c>
      <c r="S106" s="2">
        <f t="shared" si="24"/>
        <v>0.27748605899907186</v>
      </c>
      <c r="T106" s="4">
        <f t="shared" si="25"/>
        <v>7.6998512938836389E-2</v>
      </c>
      <c r="U106" s="1">
        <f t="shared" si="13"/>
        <v>1.3131385013195995E-2</v>
      </c>
      <c r="V106" s="6">
        <f>2*sigma/alpha*corel*(B106/12-1/alpha*(1-EXP(-alpha*Output!B106/12)))</f>
        <v>0.14137574743143611</v>
      </c>
      <c r="W106" s="5">
        <f t="shared" si="26"/>
        <v>-6.3867127925640393E-2</v>
      </c>
      <c r="X106" s="1">
        <f t="shared" si="27"/>
        <v>2.0424461529404097</v>
      </c>
      <c r="Y106" s="3">
        <f t="shared" si="28"/>
        <v>8.1332589886645296E-2</v>
      </c>
      <c r="Z106" s="1">
        <f t="shared" si="17"/>
        <v>9.8621133385136103E-2</v>
      </c>
      <c r="AA106" s="8">
        <f t="shared" si="23"/>
        <v>7.8333333333333224</v>
      </c>
      <c r="AB106" s="1">
        <v>7.9169999999999998</v>
      </c>
      <c r="AC106" s="1">
        <v>5.7568140309999997E-4</v>
      </c>
      <c r="AD106" s="8">
        <f t="shared" si="18"/>
        <v>-0.31027776954595371</v>
      </c>
      <c r="AE106" s="3">
        <f t="shared" si="19"/>
        <v>-5.3897480077544947E-2</v>
      </c>
      <c r="AF106" s="11">
        <f t="shared" si="20"/>
        <v>7.8333333333333224</v>
      </c>
      <c r="AG106" s="1">
        <f t="shared" si="21"/>
        <v>9.8621133385136103E-2</v>
      </c>
    </row>
    <row r="107" spans="2:33" ht="15" x14ac:dyDescent="0.25">
      <c r="B107" s="1">
        <v>96</v>
      </c>
      <c r="C107" s="1">
        <v>1.000058144377505</v>
      </c>
      <c r="D107" s="1">
        <v>1.0931717942671595</v>
      </c>
      <c r="E107" s="1">
        <v>0.91435969474191481</v>
      </c>
      <c r="G107" s="1">
        <v>0.99921340659596958</v>
      </c>
      <c r="H107" s="1">
        <v>2.1892140365849007</v>
      </c>
      <c r="I107" s="1">
        <v>0.43582748354893708</v>
      </c>
      <c r="K107" s="1">
        <v>1.0003696338990051</v>
      </c>
      <c r="L107" s="1">
        <v>2.4711479001906325</v>
      </c>
      <c r="M107" s="1">
        <v>0.38448781274543897</v>
      </c>
      <c r="O107" s="1">
        <v>6.5341595390368452E-4</v>
      </c>
      <c r="P107" s="1">
        <v>0.99478631107084936</v>
      </c>
      <c r="R107" s="1">
        <v>0.108196836995682</v>
      </c>
      <c r="S107" s="2">
        <f t="shared" si="24"/>
        <v>0.27932642062059043</v>
      </c>
      <c r="T107" s="4">
        <f t="shared" si="25"/>
        <v>7.8023249256711003E-2</v>
      </c>
      <c r="U107" s="1">
        <f t="shared" si="13"/>
        <v>1.3518534571652641E-2</v>
      </c>
      <c r="V107" s="6">
        <f>2*sigma/alpha*corel*(B107/12-1/alpha*(1-EXP(-alpha*Output!B107/12)))</f>
        <v>0.14421574085528421</v>
      </c>
      <c r="W107" s="5">
        <f t="shared" si="26"/>
        <v>-6.4504714685058362E-2</v>
      </c>
      <c r="X107" s="1">
        <f t="shared" si="27"/>
        <v>2.0849490498323062</v>
      </c>
      <c r="Y107" s="3">
        <f t="shared" si="28"/>
        <v>8.1232470266006745E-2</v>
      </c>
      <c r="Z107" s="1">
        <f t="shared" si="17"/>
        <v>9.8756803092692677E-2</v>
      </c>
      <c r="AA107" s="8">
        <f t="shared" si="23"/>
        <v>7.9166666666666554</v>
      </c>
      <c r="AB107" s="1">
        <v>8</v>
      </c>
      <c r="AC107" s="1">
        <v>6.1350305360000003E-4</v>
      </c>
      <c r="AD107" s="8">
        <f t="shared" si="18"/>
        <v>-0.3991290030368449</v>
      </c>
      <c r="AE107" s="3">
        <f t="shared" si="19"/>
        <v>-6.5057378393600374E-2</v>
      </c>
      <c r="AF107" s="11">
        <f t="shared" si="20"/>
        <v>7.9166666666666554</v>
      </c>
      <c r="AG107" s="1">
        <f t="shared" si="21"/>
        <v>9.8756803092692677E-2</v>
      </c>
    </row>
    <row r="108" spans="2:33" ht="15" x14ac:dyDescent="0.25">
      <c r="B108" s="1">
        <v>97</v>
      </c>
      <c r="C108" s="1">
        <v>1.000059563194944</v>
      </c>
      <c r="D108" s="1">
        <v>1.091336790180875</v>
      </c>
      <c r="E108" s="1">
        <v>0.91589414597095142</v>
      </c>
      <c r="G108" s="1">
        <v>0.99921336010912343</v>
      </c>
      <c r="H108" s="1">
        <v>2.1530879323487544</v>
      </c>
      <c r="I108" s="1">
        <v>0.44292434992175406</v>
      </c>
      <c r="K108" s="1">
        <v>1.0003967783279641</v>
      </c>
      <c r="L108" s="1">
        <v>2.5481415786358053</v>
      </c>
      <c r="M108" s="1">
        <v>0.37267463069731777</v>
      </c>
      <c r="O108" s="1">
        <v>7.0985816317769136E-4</v>
      </c>
      <c r="P108" s="1">
        <v>0.99427841084313195</v>
      </c>
      <c r="R108" s="1">
        <v>0.10877136202303145</v>
      </c>
      <c r="S108" s="2">
        <f t="shared" si="24"/>
        <v>0.28149169225583093</v>
      </c>
      <c r="T108" s="4">
        <f t="shared" si="25"/>
        <v>7.9237572809051429E-2</v>
      </c>
      <c r="U108" s="1">
        <f t="shared" si="13"/>
        <v>1.3912588829152917E-2</v>
      </c>
      <c r="V108" s="6">
        <f>2*sigma/alpha*corel*(B108/12-1/alpha*(1-EXP(-alpha*Output!B108/12)))</f>
        <v>0.14708094781070991</v>
      </c>
      <c r="W108" s="5">
        <f t="shared" si="26"/>
        <v>-6.5324983979898513E-2</v>
      </c>
      <c r="X108" s="1">
        <f t="shared" si="27"/>
        <v>2.1338072872256153</v>
      </c>
      <c r="Y108" s="3">
        <f t="shared" si="28"/>
        <v>8.1258233621632467E-2</v>
      </c>
      <c r="Z108" s="1">
        <f t="shared" si="17"/>
        <v>9.900801142782821E-2</v>
      </c>
      <c r="AA108" s="8">
        <f t="shared" si="23"/>
        <v>7.9999999999999885</v>
      </c>
      <c r="AB108" s="1">
        <v>8.0830000000000002</v>
      </c>
      <c r="AC108" s="1">
        <v>6.6050522040000004E-4</v>
      </c>
      <c r="AD108" s="8">
        <f t="shared" si="18"/>
        <v>-0.49352942777691322</v>
      </c>
      <c r="AE108" s="3">
        <f t="shared" si="19"/>
        <v>-7.4719988962090741E-2</v>
      </c>
      <c r="AF108" s="11">
        <f t="shared" si="20"/>
        <v>7.9999999999999885</v>
      </c>
      <c r="AG108" s="1">
        <f t="shared" si="21"/>
        <v>9.900801142782821E-2</v>
      </c>
    </row>
    <row r="109" spans="2:33" ht="15" x14ac:dyDescent="0.25">
      <c r="B109" s="1">
        <v>98</v>
      </c>
      <c r="C109" s="1">
        <v>1.0000598936554925</v>
      </c>
      <c r="D109" s="1">
        <v>1.0929885780711002</v>
      </c>
      <c r="E109" s="1">
        <v>0.91450703799488064</v>
      </c>
      <c r="G109" s="1">
        <v>0.9991247829828972</v>
      </c>
      <c r="H109" s="1">
        <v>2.1818966471342365</v>
      </c>
      <c r="I109" s="1">
        <v>0.43686338708350936</v>
      </c>
      <c r="K109" s="1">
        <v>1.0004197748940145</v>
      </c>
      <c r="L109" s="1">
        <v>2.5257617317080885</v>
      </c>
      <c r="M109" s="1">
        <v>0.37577308214935462</v>
      </c>
      <c r="O109" s="1">
        <v>7.7532479516339041E-4</v>
      </c>
      <c r="P109" s="1">
        <v>0.99368818456418251</v>
      </c>
      <c r="R109" s="1">
        <v>0.10930128208755666</v>
      </c>
      <c r="S109" s="2">
        <f t="shared" si="24"/>
        <v>0.28365884219034032</v>
      </c>
      <c r="T109" s="4">
        <f t="shared" si="25"/>
        <v>8.0462338752764401E-2</v>
      </c>
      <c r="U109" s="1">
        <f t="shared" si="13"/>
        <v>1.4313585533432871E-2</v>
      </c>
      <c r="V109" s="6">
        <f>2*sigma/alpha*corel*(B109/12-1/alpha*(1-EXP(-alpha*Output!B109/12)))</f>
        <v>0.14997128439252694</v>
      </c>
      <c r="W109" s="5">
        <f t="shared" si="26"/>
        <v>-6.614875321933153E-2</v>
      </c>
      <c r="X109" s="1">
        <f t="shared" si="27"/>
        <v>2.1833506579738411</v>
      </c>
      <c r="Y109" s="3">
        <f t="shared" si="28"/>
        <v>8.1284403791792775E-2</v>
      </c>
      <c r="Z109" s="1">
        <f t="shared" si="17"/>
        <v>9.9259917770712983E-2</v>
      </c>
      <c r="AA109" s="8">
        <f t="shared" si="23"/>
        <v>8.0833333333333215</v>
      </c>
      <c r="AB109" s="1">
        <v>8.1669999999999998</v>
      </c>
      <c r="AC109" s="1">
        <v>7.1726938839999997E-4</v>
      </c>
      <c r="AD109" s="8">
        <f t="shared" si="18"/>
        <v>-0.58055406763390438</v>
      </c>
      <c r="AE109" s="3">
        <f t="shared" si="19"/>
        <v>-8.0939473651445798E-2</v>
      </c>
      <c r="AF109" s="11">
        <f t="shared" si="20"/>
        <v>8.0833333333333215</v>
      </c>
      <c r="AG109" s="1">
        <f t="shared" si="21"/>
        <v>9.9259917770712983E-2</v>
      </c>
    </row>
    <row r="110" spans="2:33" ht="15" x14ac:dyDescent="0.25">
      <c r="B110" s="1">
        <v>99</v>
      </c>
      <c r="C110" s="1">
        <v>1.0000631869726471</v>
      </c>
      <c r="D110" s="1">
        <v>1.0934172798830881</v>
      </c>
      <c r="E110" s="1">
        <v>0.91414554743132082</v>
      </c>
      <c r="G110" s="1">
        <v>0.99927660270480845</v>
      </c>
      <c r="H110" s="1">
        <v>2.1908517029360075</v>
      </c>
      <c r="I110" s="1">
        <v>0.43486590352916332</v>
      </c>
      <c r="K110" s="1">
        <v>1.0004389706479262</v>
      </c>
      <c r="L110" s="1">
        <v>2.492473409775473</v>
      </c>
      <c r="M110" s="1">
        <v>0.38058700294314474</v>
      </c>
      <c r="O110" s="1">
        <v>8.4865314327875496E-4</v>
      </c>
      <c r="P110" s="1">
        <v>0.99302306418722952</v>
      </c>
      <c r="R110" s="1">
        <v>0.10986003497662908</v>
      </c>
      <c r="S110" s="2">
        <f t="shared" si="24"/>
        <v>0.28600403111184691</v>
      </c>
      <c r="T110" s="4">
        <f t="shared" si="25"/>
        <v>8.1798305812226302E-2</v>
      </c>
      <c r="U110" s="1">
        <f t="shared" si="13"/>
        <v>1.4721561903129121E-2</v>
      </c>
      <c r="V110" s="6">
        <f>2*sigma/alpha*corel*(B110/12-1/alpha*(1-EXP(-alpha*Output!B110/12)))</f>
        <v>0.15288666697476927</v>
      </c>
      <c r="W110" s="5">
        <f t="shared" si="26"/>
        <v>-6.7076743909097181E-2</v>
      </c>
      <c r="X110" s="1">
        <f t="shared" si="27"/>
        <v>2.2369068819388609</v>
      </c>
      <c r="Y110" s="3">
        <f t="shared" si="28"/>
        <v>8.1378338942267245E-2</v>
      </c>
      <c r="Z110" s="1">
        <f t="shared" si="17"/>
        <v>9.9573822659661582E-2</v>
      </c>
      <c r="AA110" s="8">
        <f t="shared" si="23"/>
        <v>8.1666666666666554</v>
      </c>
      <c r="AB110" s="1">
        <v>8.25</v>
      </c>
      <c r="AC110" s="1">
        <v>7.8301964399999995E-4</v>
      </c>
      <c r="AD110" s="8">
        <f t="shared" si="18"/>
        <v>-0.65633499278755003</v>
      </c>
      <c r="AE110" s="3">
        <f t="shared" si="19"/>
        <v>-8.3821012386702018E-2</v>
      </c>
      <c r="AF110" s="11">
        <f t="shared" si="20"/>
        <v>8.1666666666666554</v>
      </c>
      <c r="AG110" s="1">
        <f t="shared" si="21"/>
        <v>9.9573822659661582E-2</v>
      </c>
    </row>
    <row r="111" spans="2:33" ht="15" x14ac:dyDescent="0.25">
      <c r="B111" s="1">
        <v>100</v>
      </c>
      <c r="C111" s="1">
        <v>1.000066032250996</v>
      </c>
      <c r="D111" s="1">
        <v>1.0951820576042623</v>
      </c>
      <c r="E111" s="1">
        <v>0.91266958091187689</v>
      </c>
      <c r="G111" s="1">
        <v>0.99938651714667881</v>
      </c>
      <c r="H111" s="1">
        <v>2.2220737050454544</v>
      </c>
      <c r="I111" s="1">
        <v>0.42854695026844569</v>
      </c>
      <c r="K111" s="1">
        <v>1.0005069011889811</v>
      </c>
      <c r="L111" s="1">
        <v>2.6071320109580336</v>
      </c>
      <c r="M111" s="1">
        <v>0.36365516093763017</v>
      </c>
      <c r="O111" s="1">
        <v>9.2872693827899112E-4</v>
      </c>
      <c r="P111" s="1">
        <v>0.9922904808220715</v>
      </c>
      <c r="R111" s="1">
        <v>0.11042581586087662</v>
      </c>
      <c r="S111" s="2">
        <f t="shared" si="24"/>
        <v>0.28846156968213532</v>
      </c>
      <c r="T111" s="4">
        <f t="shared" si="25"/>
        <v>8.3210077183481418E-2</v>
      </c>
      <c r="U111" s="1">
        <f t="shared" si="13"/>
        <v>1.513655463221264E-2</v>
      </c>
      <c r="V111" s="6">
        <f>2*sigma/alpha*corel*(B111/12-1/alpha*(1-EXP(-alpha*Output!B111/12)))</f>
        <v>0.15582701220975825</v>
      </c>
      <c r="W111" s="5">
        <f t="shared" si="26"/>
        <v>-6.8073522551268778E-2</v>
      </c>
      <c r="X111" s="1">
        <f t="shared" si="27"/>
        <v>2.2933994761098457</v>
      </c>
      <c r="Y111" s="3">
        <f t="shared" si="28"/>
        <v>8.1514223088790694E-2</v>
      </c>
      <c r="Z111" s="1">
        <f t="shared" si="17"/>
        <v>9.9926018944105688E-2</v>
      </c>
      <c r="AA111" s="8">
        <f t="shared" si="23"/>
        <v>8.2499999999999893</v>
      </c>
      <c r="AB111" s="1">
        <v>8.3330000000000002</v>
      </c>
      <c r="AC111" s="1">
        <v>8.5664072450000002E-4</v>
      </c>
      <c r="AD111" s="8">
        <f t="shared" si="18"/>
        <v>-0.72086213778991104</v>
      </c>
      <c r="AE111" s="3">
        <f t="shared" si="19"/>
        <v>-8.4149879543802972E-2</v>
      </c>
      <c r="AF111" s="11">
        <f t="shared" si="20"/>
        <v>8.2499999999999893</v>
      </c>
      <c r="AG111" s="1">
        <f t="shared" si="21"/>
        <v>9.9926018944105688E-2</v>
      </c>
    </row>
    <row r="112" spans="2:33" ht="15" x14ac:dyDescent="0.25">
      <c r="B112" s="1">
        <v>101</v>
      </c>
      <c r="C112" s="1">
        <v>1.0000659172127453</v>
      </c>
      <c r="D112" s="1">
        <v>1.0975570541593407</v>
      </c>
      <c r="E112" s="1">
        <v>0.9106917746584291</v>
      </c>
      <c r="G112" s="1">
        <v>0.99925724776682268</v>
      </c>
      <c r="H112" s="1">
        <v>2.2649877676556396</v>
      </c>
      <c r="I112" s="1">
        <v>0.42022274255300551</v>
      </c>
      <c r="K112" s="1">
        <v>1.0005686897447794</v>
      </c>
      <c r="L112" s="1">
        <v>2.5084779477619747</v>
      </c>
      <c r="M112" s="1">
        <v>0.3777534750962091</v>
      </c>
      <c r="O112" s="1">
        <v>1.0145140205454158E-3</v>
      </c>
      <c r="P112" s="1">
        <v>0.99149752589597973</v>
      </c>
      <c r="R112" s="1">
        <v>0.11096413575654183</v>
      </c>
      <c r="S112" s="2">
        <f t="shared" si="24"/>
        <v>0.29093383460542344</v>
      </c>
      <c r="T112" s="4">
        <f t="shared" si="25"/>
        <v>8.4642496118215879E-2</v>
      </c>
      <c r="U112" s="1">
        <f t="shared" si="13"/>
        <v>1.5558599894400782E-2</v>
      </c>
      <c r="V112" s="6">
        <f>2*sigma/alpha*corel*(B112/12-1/alpha*(1-EXP(-alpha*Output!B112/12)))</f>
        <v>0.15879223702717837</v>
      </c>
      <c r="W112" s="5">
        <f t="shared" si="26"/>
        <v>-6.9083896223815097E-2</v>
      </c>
      <c r="X112" s="1">
        <f t="shared" si="27"/>
        <v>2.3510394807418709</v>
      </c>
      <c r="Y112" s="3">
        <f t="shared" si="28"/>
        <v>8.165451911282047E-2</v>
      </c>
      <c r="Z112" s="1">
        <f t="shared" si="17"/>
        <v>0.10028227257229103</v>
      </c>
      <c r="AA112" s="8">
        <f t="shared" si="23"/>
        <v>8.3333333333333233</v>
      </c>
      <c r="AB112" s="1">
        <v>8.4169999999999998</v>
      </c>
      <c r="AC112" s="1">
        <v>9.3701736680000005E-4</v>
      </c>
      <c r="AD112" s="8">
        <f t="shared" si="18"/>
        <v>-0.774966537454158</v>
      </c>
      <c r="AE112" s="3">
        <f t="shared" si="19"/>
        <v>-8.270567493329814E-2</v>
      </c>
      <c r="AF112" s="11">
        <f t="shared" si="20"/>
        <v>8.3333333333333233</v>
      </c>
      <c r="AG112" s="1">
        <f t="shared" si="21"/>
        <v>0.10028227257229103</v>
      </c>
    </row>
    <row r="113" spans="2:33" ht="15" x14ac:dyDescent="0.25">
      <c r="B113" s="1">
        <v>102</v>
      </c>
      <c r="C113" s="1">
        <v>1.0000686015125109</v>
      </c>
      <c r="D113" s="1">
        <v>1.0975011312494072</v>
      </c>
      <c r="E113" s="1">
        <v>0.91073531068363633</v>
      </c>
      <c r="G113" s="1">
        <v>0.99936509737714208</v>
      </c>
      <c r="H113" s="1">
        <v>2.2630419914734605</v>
      </c>
      <c r="I113" s="1">
        <v>0.42037933666054939</v>
      </c>
      <c r="K113" s="1">
        <v>1.0005500289045597</v>
      </c>
      <c r="L113" s="1">
        <v>2.4684347117512364</v>
      </c>
      <c r="M113" s="1">
        <v>0.38367686658353539</v>
      </c>
      <c r="O113" s="1">
        <v>1.1047458879348902E-3</v>
      </c>
      <c r="P113" s="1">
        <v>0.99065361151469777</v>
      </c>
      <c r="R113" s="1">
        <v>0.11127138030035229</v>
      </c>
      <c r="S113" s="2">
        <f t="shared" si="24"/>
        <v>0.29288899569422255</v>
      </c>
      <c r="T113" s="4">
        <f t="shared" si="25"/>
        <v>8.5783963798770319E-2</v>
      </c>
      <c r="U113" s="1">
        <f t="shared" si="13"/>
        <v>1.5987733347538224E-2</v>
      </c>
      <c r="V113" s="6">
        <f>2*sigma/alpha*corel*(B113/12-1/alpha*(1-EXP(-alpha*Output!B113/12)))</f>
        <v>0.16178225863315521</v>
      </c>
      <c r="W113" s="5">
        <f t="shared" si="26"/>
        <v>-6.9796230451232094E-2</v>
      </c>
      <c r="X113" s="1">
        <f t="shared" si="27"/>
        <v>2.3992453345503364</v>
      </c>
      <c r="Y113" s="3">
        <f t="shared" si="28"/>
        <v>8.1598087851364645E-2</v>
      </c>
      <c r="Z113" s="1">
        <f t="shared" si="17"/>
        <v>0.10046009673073905</v>
      </c>
      <c r="AA113" s="8">
        <f t="shared" si="23"/>
        <v>8.4166666666666572</v>
      </c>
      <c r="AB113" s="1">
        <v>8.5</v>
      </c>
      <c r="AC113" s="1">
        <v>1.023034308E-3</v>
      </c>
      <c r="AD113" s="8">
        <f t="shared" si="18"/>
        <v>-0.81711579934890199</v>
      </c>
      <c r="AE113" s="3">
        <f t="shared" si="19"/>
        <v>-7.9871788556762857E-2</v>
      </c>
      <c r="AF113" s="11">
        <f t="shared" si="20"/>
        <v>8.4166666666666572</v>
      </c>
      <c r="AG113" s="1">
        <f t="shared" si="21"/>
        <v>0.10046009673073905</v>
      </c>
    </row>
    <row r="114" spans="2:33" ht="15" x14ac:dyDescent="0.25">
      <c r="B114" s="1">
        <v>103</v>
      </c>
      <c r="C114" s="1">
        <v>1.0000688940683395</v>
      </c>
      <c r="D114" s="1">
        <v>1.0962640168772539</v>
      </c>
      <c r="E114" s="1">
        <v>0.91176020620827247</v>
      </c>
      <c r="G114" s="1">
        <v>0.99927010409419403</v>
      </c>
      <c r="H114" s="1">
        <v>2.2398490528834931</v>
      </c>
      <c r="I114" s="1">
        <v>0.42452551286464357</v>
      </c>
      <c r="K114" s="1">
        <v>1.0005775116245847</v>
      </c>
      <c r="L114" s="1">
        <v>2.4640543313542569</v>
      </c>
      <c r="M114" s="1">
        <v>0.38414201350904131</v>
      </c>
      <c r="O114" s="1">
        <v>1.1983346181089968E-3</v>
      </c>
      <c r="P114" s="1">
        <v>0.98976701149786828</v>
      </c>
      <c r="R114" s="1">
        <v>0.11172898044776021</v>
      </c>
      <c r="S114" s="2">
        <f t="shared" si="24"/>
        <v>0.29528645624814809</v>
      </c>
      <c r="T114" s="4">
        <f t="shared" si="25"/>
        <v>8.7194091243589469E-2</v>
      </c>
      <c r="U114" s="1">
        <f t="shared" si="13"/>
        <v>1.6423990137935718E-2</v>
      </c>
      <c r="V114" s="6">
        <f>2*sigma/alpha*corel*(B114/12-1/alpha*(1-EXP(-alpha*Output!B114/12)))</f>
        <v>0.16479699450933427</v>
      </c>
      <c r="W114" s="5">
        <f t="shared" si="26"/>
        <v>-7.0770101105653752E-2</v>
      </c>
      <c r="X114" s="1">
        <f t="shared" si="27"/>
        <v>2.4569315206934217</v>
      </c>
      <c r="Y114" s="3">
        <f t="shared" si="28"/>
        <v>8.1708537024642314E-2</v>
      </c>
      <c r="Z114" s="1">
        <f t="shared" si="17"/>
        <v>0.10078955750555592</v>
      </c>
      <c r="AA114" s="8">
        <f t="shared" si="23"/>
        <v>8.4999999999999911</v>
      </c>
      <c r="AB114" s="1">
        <v>8.5830000000000002</v>
      </c>
      <c r="AC114" s="1">
        <v>1.113576286E-3</v>
      </c>
      <c r="AD114" s="8">
        <f t="shared" si="18"/>
        <v>-0.8475833210899687</v>
      </c>
      <c r="AE114" s="3">
        <f t="shared" si="19"/>
        <v>-7.6113628832247662E-2</v>
      </c>
      <c r="AF114" s="11">
        <f t="shared" si="20"/>
        <v>8.4999999999999911</v>
      </c>
      <c r="AG114" s="1">
        <f t="shared" si="21"/>
        <v>0.10078955750555592</v>
      </c>
    </row>
    <row r="115" spans="2:33" ht="15" x14ac:dyDescent="0.25">
      <c r="B115" s="1">
        <v>104</v>
      </c>
      <c r="C115" s="1">
        <v>1.0000697570071453</v>
      </c>
      <c r="D115" s="1">
        <v>1.0957391500604929</v>
      </c>
      <c r="E115" s="1">
        <v>0.91219410917608956</v>
      </c>
      <c r="G115" s="1">
        <v>0.99921125777760766</v>
      </c>
      <c r="H115" s="1">
        <v>2.2289075390086164</v>
      </c>
      <c r="I115" s="1">
        <v>0.42640185125137792</v>
      </c>
      <c r="K115" s="1">
        <v>1.0006811882214872</v>
      </c>
      <c r="L115" s="1">
        <v>2.3941984383265353</v>
      </c>
      <c r="M115" s="1">
        <v>0.39514284177133446</v>
      </c>
      <c r="O115" s="1">
        <v>1.294207128344244E-3</v>
      </c>
      <c r="P115" s="1">
        <v>0.98884620819778801</v>
      </c>
      <c r="R115" s="1">
        <v>0.11203658293735706</v>
      </c>
      <c r="S115" s="2">
        <f t="shared" si="24"/>
        <v>0.29734915433865039</v>
      </c>
      <c r="T115" s="4">
        <f t="shared" si="25"/>
        <v>8.8416519585910527E-2</v>
      </c>
      <c r="U115" s="1">
        <f t="shared" si="13"/>
        <v>1.6867404904684413E-2</v>
      </c>
      <c r="V115" s="6">
        <f>2*sigma/alpha*corel*(B115/12-1/alpha*(1-EXP(-alpha*Output!B115/12)))</f>
        <v>0.16783636241196254</v>
      </c>
      <c r="W115" s="5">
        <f t="shared" si="26"/>
        <v>-7.1549114681226114E-2</v>
      </c>
      <c r="X115" s="1">
        <f t="shared" si="27"/>
        <v>2.5085383534968515</v>
      </c>
      <c r="Y115" s="3">
        <f t="shared" si="28"/>
        <v>8.1692320998578163E-2</v>
      </c>
      <c r="Z115" s="1">
        <f t="shared" si="17"/>
        <v>0.10100448557399122</v>
      </c>
      <c r="AA115" s="8">
        <f t="shared" si="23"/>
        <v>8.583333333333325</v>
      </c>
      <c r="AB115" s="1">
        <v>8.6669999999999998</v>
      </c>
      <c r="AC115" s="1">
        <v>1.207524311E-3</v>
      </c>
      <c r="AD115" s="8">
        <f t="shared" si="18"/>
        <v>-0.86682817344243968</v>
      </c>
      <c r="AE115" s="3">
        <f t="shared" si="19"/>
        <v>-7.1785567010620596E-2</v>
      </c>
      <c r="AF115" s="11">
        <f t="shared" si="20"/>
        <v>8.583333333333325</v>
      </c>
      <c r="AG115" s="1">
        <f t="shared" si="21"/>
        <v>0.10100448557399122</v>
      </c>
    </row>
    <row r="116" spans="2:33" ht="15" x14ac:dyDescent="0.25">
      <c r="B116" s="1">
        <v>105</v>
      </c>
      <c r="C116" s="1">
        <v>1.0000727913142993</v>
      </c>
      <c r="D116" s="1">
        <v>1.0947266594344551</v>
      </c>
      <c r="E116" s="1">
        <v>0.91303495776401578</v>
      </c>
      <c r="G116" s="1">
        <v>0.99932858786084822</v>
      </c>
      <c r="H116" s="1">
        <v>2.2096348777040995</v>
      </c>
      <c r="I116" s="1">
        <v>0.42991165629850397</v>
      </c>
      <c r="K116" s="1">
        <v>1.0008236616414596</v>
      </c>
      <c r="L116" s="1">
        <v>2.2954566365884337</v>
      </c>
      <c r="M116" s="1">
        <v>0.41191898773712615</v>
      </c>
      <c r="O116" s="1">
        <v>1.3911898957029362E-3</v>
      </c>
      <c r="P116" s="1">
        <v>0.98790087858363262</v>
      </c>
      <c r="R116" s="1">
        <v>0.11256001339853206</v>
      </c>
      <c r="S116" s="2">
        <f t="shared" si="24"/>
        <v>0.299996565402597</v>
      </c>
      <c r="T116" s="4">
        <f t="shared" si="25"/>
        <v>8.9997939253354656E-2</v>
      </c>
      <c r="U116" s="1">
        <f t="shared" si="13"/>
        <v>1.7318011783940879E-2</v>
      </c>
      <c r="V116" s="6">
        <f>2*sigma/alpha*corel*(B116/12-1/alpha*(1-EXP(-alpha*Output!B116/12)))</f>
        <v>0.17090028037097948</v>
      </c>
      <c r="W116" s="5">
        <f t="shared" si="26"/>
        <v>-7.2679927469413777E-2</v>
      </c>
      <c r="X116" s="1">
        <f t="shared" si="27"/>
        <v>2.5730043672603617</v>
      </c>
      <c r="Y116" s="3">
        <f t="shared" si="28"/>
        <v>8.1894767801613561E-2</v>
      </c>
      <c r="Z116" s="1">
        <f t="shared" si="17"/>
        <v>0.10141734946157861</v>
      </c>
      <c r="AA116" s="8">
        <f t="shared" si="23"/>
        <v>8.666666666666659</v>
      </c>
      <c r="AB116" s="1">
        <v>8.75</v>
      </c>
      <c r="AC116" s="1">
        <v>1.3037444950000001E-3</v>
      </c>
      <c r="AD116" s="8">
        <f t="shared" si="18"/>
        <v>-0.87445400702936127</v>
      </c>
      <c r="AE116" s="3">
        <f t="shared" si="19"/>
        <v>-6.7072498513549711E-2</v>
      </c>
      <c r="AF116" s="11">
        <f t="shared" si="20"/>
        <v>8.666666666666659</v>
      </c>
      <c r="AG116" s="1">
        <f t="shared" si="21"/>
        <v>0.10141734946157861</v>
      </c>
    </row>
    <row r="117" spans="2:33" ht="15" x14ac:dyDescent="0.25">
      <c r="B117" s="1">
        <v>106</v>
      </c>
      <c r="C117" s="1">
        <v>1.00007430312262</v>
      </c>
      <c r="D117" s="1">
        <v>1.0955788641968811</v>
      </c>
      <c r="E117" s="1">
        <v>0.91232194474604489</v>
      </c>
      <c r="G117" s="1">
        <v>0.99932566932393807</v>
      </c>
      <c r="H117" s="1">
        <v>2.2062568983924371</v>
      </c>
      <c r="I117" s="1">
        <v>0.43036036994816035</v>
      </c>
      <c r="K117" s="1">
        <v>1.0008539460254808</v>
      </c>
      <c r="L117" s="1">
        <v>2.3763648790529581</v>
      </c>
      <c r="M117" s="1">
        <v>0.39769746626829683</v>
      </c>
      <c r="O117" s="1">
        <v>1.4881121036087622E-3</v>
      </c>
      <c r="P117" s="1">
        <v>0.98694102782104198</v>
      </c>
      <c r="R117" s="1">
        <v>0.11290278092701021</v>
      </c>
      <c r="S117" s="2">
        <f t="shared" si="24"/>
        <v>0.30220325297121586</v>
      </c>
      <c r="T117" s="4">
        <f t="shared" si="25"/>
        <v>9.1326806106384689E-2</v>
      </c>
      <c r="U117" s="1">
        <f t="shared" si="13"/>
        <v>1.777584441316904E-2</v>
      </c>
      <c r="V117" s="6">
        <f>2*sigma/alpha*corel*(B117/12-1/alpha*(1-EXP(-alpha*Output!B117/12)))</f>
        <v>0.17398866668910062</v>
      </c>
      <c r="W117" s="5">
        <f t="shared" si="26"/>
        <v>-7.355096169321565E-2</v>
      </c>
      <c r="X117" s="1">
        <f t="shared" si="27"/>
        <v>2.6290727026298706</v>
      </c>
      <c r="Y117" s="3">
        <f t="shared" si="28"/>
        <v>8.1931295326493764E-2</v>
      </c>
      <c r="Z117" s="1">
        <f t="shared" si="17"/>
        <v>0.10168030148537502</v>
      </c>
      <c r="AA117" s="8">
        <f t="shared" si="23"/>
        <v>8.7499999999999929</v>
      </c>
      <c r="AB117" s="1">
        <v>8.8330000000000002</v>
      </c>
      <c r="AC117" s="1">
        <v>1.401099223E-3</v>
      </c>
      <c r="AD117" s="8">
        <f t="shared" si="18"/>
        <v>-0.87012880608762155</v>
      </c>
      <c r="AE117" s="3">
        <f t="shared" si="19"/>
        <v>-6.2103296597690108E-2</v>
      </c>
      <c r="AF117" s="11">
        <f t="shared" si="20"/>
        <v>8.7499999999999929</v>
      </c>
      <c r="AG117" s="1">
        <f t="shared" si="21"/>
        <v>0.10168030148537502</v>
      </c>
    </row>
    <row r="118" spans="2:33" ht="15" x14ac:dyDescent="0.25">
      <c r="B118" s="1">
        <v>107</v>
      </c>
      <c r="C118" s="1">
        <v>1.0000766587809857</v>
      </c>
      <c r="D118" s="1">
        <v>1.0947618873468234</v>
      </c>
      <c r="E118" s="1">
        <v>0.91299998836310725</v>
      </c>
      <c r="G118" s="1">
        <v>0.99939309206993932</v>
      </c>
      <c r="H118" s="1">
        <v>2.205098658612902</v>
      </c>
      <c r="I118" s="1">
        <v>0.4303769049235367</v>
      </c>
      <c r="K118" s="1">
        <v>1.0008615979529814</v>
      </c>
      <c r="L118" s="1">
        <v>2.3701467087480879</v>
      </c>
      <c r="M118" s="1">
        <v>0.39849946521532043</v>
      </c>
      <c r="O118" s="1">
        <v>1.5838031400609263E-3</v>
      </c>
      <c r="P118" s="1">
        <v>0.98597700646607189</v>
      </c>
      <c r="R118" s="1">
        <v>0.11337997574699354</v>
      </c>
      <c r="S118" s="2">
        <f t="shared" si="24"/>
        <v>0.30475936718832042</v>
      </c>
      <c r="T118" s="4">
        <f t="shared" si="25"/>
        <v>9.2878271889025518E-2</v>
      </c>
      <c r="U118" s="1">
        <f t="shared" si="13"/>
        <v>1.8240935935365243E-2</v>
      </c>
      <c r="V118" s="6">
        <f>2*sigma/alpha*corel*(B118/12-1/alpha*(1-EXP(-alpha*Output!B118/12)))</f>
        <v>0.17710143994091343</v>
      </c>
      <c r="W118" s="5">
        <f t="shared" si="26"/>
        <v>-7.4637335953660275E-2</v>
      </c>
      <c r="X118" s="1">
        <f t="shared" si="27"/>
        <v>2.6934299023763613</v>
      </c>
      <c r="Y118" s="3">
        <f t="shared" si="28"/>
        <v>8.20971475426166E-2</v>
      </c>
      <c r="Z118" s="1">
        <f t="shared" si="17"/>
        <v>0.10206005482701144</v>
      </c>
      <c r="AA118" s="8">
        <f t="shared" si="23"/>
        <v>8.8333333333333268</v>
      </c>
      <c r="AB118" s="1">
        <v>8.9169999999999998</v>
      </c>
      <c r="AC118" s="1">
        <v>1.4984508810000001E-3</v>
      </c>
      <c r="AD118" s="8">
        <f t="shared" si="18"/>
        <v>-0.85352259060926272</v>
      </c>
      <c r="AE118" s="3">
        <f t="shared" si="19"/>
        <v>-5.6960331595231159E-2</v>
      </c>
      <c r="AF118" s="11">
        <f t="shared" si="20"/>
        <v>8.8333333333333268</v>
      </c>
      <c r="AG118" s="1">
        <f t="shared" si="21"/>
        <v>0.10206005482701144</v>
      </c>
    </row>
    <row r="119" spans="2:33" ht="15" x14ac:dyDescent="0.25">
      <c r="B119" s="1">
        <v>108</v>
      </c>
      <c r="C119" s="1">
        <v>1.000079571161808</v>
      </c>
      <c r="D119" s="1">
        <v>1.0940573009182777</v>
      </c>
      <c r="E119" s="1">
        <v>0.91358520146874311</v>
      </c>
      <c r="G119" s="1">
        <v>0.99950520453845471</v>
      </c>
      <c r="H119" s="1">
        <v>2.1972844344042359</v>
      </c>
      <c r="I119" s="1">
        <v>0.43169731536481065</v>
      </c>
      <c r="K119" s="1">
        <v>1.0007840553059262</v>
      </c>
      <c r="L119" s="1">
        <v>2.3277888364199661</v>
      </c>
      <c r="M119" s="1">
        <v>0.4055563263169929</v>
      </c>
      <c r="O119" s="1">
        <v>1.6772278685073488E-3</v>
      </c>
      <c r="P119" s="1">
        <v>0.98501830835872795</v>
      </c>
      <c r="R119" s="1">
        <v>0.11361465669700618</v>
      </c>
      <c r="S119" s="2">
        <f t="shared" si="24"/>
        <v>0.30668817171782303</v>
      </c>
      <c r="T119" s="4">
        <f t="shared" si="25"/>
        <v>9.4057634671620913E-2</v>
      </c>
      <c r="U119" s="1">
        <f t="shared" si="13"/>
        <v>1.8713319003244244E-2</v>
      </c>
      <c r="V119" s="6">
        <f>2*sigma/alpha*corel*(B119/12-1/alpha*(1-EXP(-alpha*Output!B119/12)))</f>
        <v>0.18023851897197196</v>
      </c>
      <c r="W119" s="5">
        <f t="shared" si="26"/>
        <v>-7.5344315668376668E-2</v>
      </c>
      <c r="X119" s="1">
        <f t="shared" si="27"/>
        <v>2.7448812877827704</v>
      </c>
      <c r="Y119" s="3">
        <f t="shared" si="28"/>
        <v>8.2029433753051981E-2</v>
      </c>
      <c r="Z119" s="1">
        <f t="shared" si="17"/>
        <v>0.10222939057260767</v>
      </c>
      <c r="AA119" s="8">
        <f t="shared" si="23"/>
        <v>8.9166666666666607</v>
      </c>
      <c r="AB119" s="1">
        <v>9</v>
      </c>
      <c r="AC119" s="1">
        <v>1.5946618530000001E-3</v>
      </c>
      <c r="AD119" s="8">
        <f t="shared" si="18"/>
        <v>-0.82566015507348722</v>
      </c>
      <c r="AE119" s="3">
        <f t="shared" si="19"/>
        <v>-5.1776503809894993E-2</v>
      </c>
      <c r="AF119" s="11">
        <f t="shared" si="20"/>
        <v>8.9166666666666607</v>
      </c>
      <c r="AG119" s="1">
        <f t="shared" si="21"/>
        <v>0.10222939057260767</v>
      </c>
    </row>
    <row r="120" spans="2:33" ht="15" x14ac:dyDescent="0.25">
      <c r="B120" s="1">
        <v>109</v>
      </c>
      <c r="C120" s="1">
        <v>1.0000808845023106</v>
      </c>
      <c r="D120" s="1">
        <v>1.0946185187324342</v>
      </c>
      <c r="E120" s="1">
        <v>0.91311404840518706</v>
      </c>
      <c r="G120" s="1">
        <v>0.99947735102545465</v>
      </c>
      <c r="H120" s="1">
        <v>2.1882416110589036</v>
      </c>
      <c r="I120" s="1">
        <v>0.43327039215797014</v>
      </c>
      <c r="K120" s="1">
        <v>1.0007349723722732</v>
      </c>
      <c r="L120" s="1">
        <v>2.3871280630905662</v>
      </c>
      <c r="M120" s="1">
        <v>0.39525219962013963</v>
      </c>
      <c r="O120" s="1">
        <v>1.7674112389288942E-3</v>
      </c>
      <c r="P120" s="1">
        <v>0.98407419296236909</v>
      </c>
      <c r="R120" s="1">
        <v>0.11396345395204675</v>
      </c>
      <c r="S120" s="2">
        <f t="shared" si="24"/>
        <v>0.30888863613404749</v>
      </c>
      <c r="T120" s="4">
        <f t="shared" si="25"/>
        <v>9.541218953275199E-2</v>
      </c>
      <c r="U120" s="1">
        <f t="shared" si="13"/>
        <v>1.9193025783390105E-2</v>
      </c>
      <c r="V120" s="6">
        <f>2*sigma/alpha*corel*(B120/12-1/alpha*(1-EXP(-alpha*Output!B120/12)))</f>
        <v>0.18339982289789392</v>
      </c>
      <c r="W120" s="5">
        <f t="shared" si="26"/>
        <v>-7.6219163749361885E-2</v>
      </c>
      <c r="X120" s="1">
        <f t="shared" si="27"/>
        <v>2.8029317779324607</v>
      </c>
      <c r="Y120" s="3">
        <f t="shared" si="28"/>
        <v>8.2062167184721618E-2</v>
      </c>
      <c r="Z120" s="1">
        <f t="shared" si="17"/>
        <v>0.10248948365801468</v>
      </c>
      <c r="AA120" s="8">
        <f t="shared" si="23"/>
        <v>8.9999999999999947</v>
      </c>
      <c r="AB120" s="1">
        <v>9.0830000000000002</v>
      </c>
      <c r="AC120" s="1">
        <v>1.6885945259999999E-3</v>
      </c>
      <c r="AD120" s="8">
        <f t="shared" si="18"/>
        <v>-0.78816712928894306</v>
      </c>
      <c r="AE120" s="3">
        <f t="shared" si="19"/>
        <v>-4.6675925875229514E-2</v>
      </c>
      <c r="AF120" s="11">
        <f t="shared" si="20"/>
        <v>8.9999999999999947</v>
      </c>
      <c r="AG120" s="1">
        <f t="shared" si="21"/>
        <v>0.10248948365801468</v>
      </c>
    </row>
    <row r="121" spans="2:33" ht="15" x14ac:dyDescent="0.25">
      <c r="B121" s="1">
        <v>110</v>
      </c>
      <c r="C121" s="1">
        <v>1.0000812030885378</v>
      </c>
      <c r="D121" s="1">
        <v>1.094417805352933</v>
      </c>
      <c r="E121" s="1">
        <v>0.91327877617887776</v>
      </c>
      <c r="G121" s="1">
        <v>0.99937037797626127</v>
      </c>
      <c r="H121" s="1">
        <v>2.1837431951848405</v>
      </c>
      <c r="I121" s="1">
        <v>0.43395169702930303</v>
      </c>
      <c r="K121" s="1">
        <v>1.0007641693470426</v>
      </c>
      <c r="L121" s="1">
        <v>2.3569372258563144</v>
      </c>
      <c r="M121" s="1">
        <v>0.40012167103679147</v>
      </c>
      <c r="O121" s="1">
        <v>1.8543496679516583E-3</v>
      </c>
      <c r="P121" s="1">
        <v>0.98314544909473089</v>
      </c>
      <c r="R121" s="1">
        <v>0.11415712593370016</v>
      </c>
      <c r="S121" s="2">
        <f t="shared" si="24"/>
        <v>0.31067047468251363</v>
      </c>
      <c r="T121" s="4">
        <f t="shared" si="25"/>
        <v>9.6516143839458349E-2</v>
      </c>
      <c r="U121" s="1">
        <f t="shared" ref="U121:U184" si="29">sigma*sigma/alpha/alpha*(B121/12+2/alpha*EXP(-alpha*B121/12)-1/2/alpha*EXP(-2*alpha*B121/12)-3/2/alpha)</f>
        <v>1.9680087960390669E-2</v>
      </c>
      <c r="V121" s="6">
        <f>2*sigma/alpha*corel*(B121/12-1/alpha*(1-EXP(-alpha*Output!B121/12)))</f>
        <v>0.18658527110346301</v>
      </c>
      <c r="W121" s="5">
        <f t="shared" si="26"/>
        <v>-7.683605587906768E-2</v>
      </c>
      <c r="X121" s="1">
        <f t="shared" si="27"/>
        <v>2.8521361122919009</v>
      </c>
      <c r="Y121" s="3">
        <f t="shared" si="28"/>
        <v>8.19404494836386E-2</v>
      </c>
      <c r="Z121" s="1">
        <f t="shared" si="17"/>
        <v>0.10261108065601617</v>
      </c>
      <c r="AA121" s="8">
        <f t="shared" si="23"/>
        <v>9.0833333333333286</v>
      </c>
      <c r="AB121" s="1">
        <v>9.1669999999999998</v>
      </c>
      <c r="AC121" s="1">
        <v>1.779327669E-3</v>
      </c>
      <c r="AD121" s="8">
        <f t="shared" si="18"/>
        <v>-0.75021998951658353</v>
      </c>
      <c r="AE121" s="3">
        <f t="shared" si="19"/>
        <v>-4.2163116023380597E-2</v>
      </c>
      <c r="AF121" s="11">
        <f t="shared" si="20"/>
        <v>9.0833333333333286</v>
      </c>
      <c r="AG121" s="1">
        <f t="shared" si="21"/>
        <v>0.10261108065601617</v>
      </c>
    </row>
    <row r="122" spans="2:33" ht="15" x14ac:dyDescent="0.25">
      <c r="B122" s="1">
        <v>111</v>
      </c>
      <c r="C122" s="1">
        <v>1.0000841117550257</v>
      </c>
      <c r="D122" s="1">
        <v>1.0904337809321216</v>
      </c>
      <c r="E122" s="1">
        <v>0.91661281608338774</v>
      </c>
      <c r="G122" s="1">
        <v>0.99948400551335703</v>
      </c>
      <c r="H122" s="1">
        <v>2.1144161542972606</v>
      </c>
      <c r="I122" s="1">
        <v>0.44796199713785267</v>
      </c>
      <c r="K122" s="1">
        <v>1.000838338248722</v>
      </c>
      <c r="L122" s="1">
        <v>2.3211350416375023</v>
      </c>
      <c r="M122" s="1">
        <v>0.40604838384623426</v>
      </c>
      <c r="O122" s="1">
        <v>1.938178739632569E-3</v>
      </c>
      <c r="P122" s="1">
        <v>0.98223159988147513</v>
      </c>
      <c r="R122" s="1">
        <v>0.11451583358484822</v>
      </c>
      <c r="S122" s="2">
        <f t="shared" si="24"/>
        <v>0.31285456574971626</v>
      </c>
      <c r="T122" s="4">
        <f t="shared" si="25"/>
        <v>9.7877979310443536E-2</v>
      </c>
      <c r="U122" s="1">
        <f t="shared" si="29"/>
        <v>2.0174536740925397E-2</v>
      </c>
      <c r="V122" s="6">
        <f>2*sigma/alpha*corel*(B122/12-1/alpha*(1-EXP(-alpha*Output!B122/12)))</f>
        <v>0.18979478324173338</v>
      </c>
      <c r="W122" s="5">
        <f t="shared" si="26"/>
        <v>-7.7703442569518139E-2</v>
      </c>
      <c r="X122" s="1">
        <f t="shared" si="27"/>
        <v>2.9110494348179481</v>
      </c>
      <c r="Y122" s="3">
        <f t="shared" si="28"/>
        <v>8.1966756472814997E-2</v>
      </c>
      <c r="Z122" s="1">
        <f t="shared" si="17"/>
        <v>0.10286594756622135</v>
      </c>
      <c r="AA122" s="8">
        <f t="shared" si="23"/>
        <v>9.1666666666666625</v>
      </c>
      <c r="AB122" s="1">
        <v>9.25</v>
      </c>
      <c r="AC122" s="1">
        <v>1.8668055890000001E-3</v>
      </c>
      <c r="AD122" s="8">
        <f t="shared" si="18"/>
        <v>-0.71373150632568927</v>
      </c>
      <c r="AE122" s="3">
        <f t="shared" si="19"/>
        <v>-3.8232771025075885E-2</v>
      </c>
      <c r="AF122" s="11">
        <f t="shared" si="20"/>
        <v>9.1666666666666625</v>
      </c>
      <c r="AG122" s="1">
        <f t="shared" si="21"/>
        <v>0.10286594756622135</v>
      </c>
    </row>
    <row r="123" spans="2:33" ht="15" x14ac:dyDescent="0.25">
      <c r="B123" s="1">
        <v>112</v>
      </c>
      <c r="C123" s="1">
        <v>1.000085497341263</v>
      </c>
      <c r="D123" s="1">
        <v>1.0924671889524693</v>
      </c>
      <c r="E123" s="1">
        <v>0.91490401936027077</v>
      </c>
      <c r="G123" s="1">
        <v>0.99946528169891968</v>
      </c>
      <c r="H123" s="1">
        <v>2.1485710155578071</v>
      </c>
      <c r="I123" s="1">
        <v>0.44062651319024898</v>
      </c>
      <c r="K123" s="1">
        <v>1.0008748370644116</v>
      </c>
      <c r="L123" s="1">
        <v>2.3276219767043576</v>
      </c>
      <c r="M123" s="1">
        <v>0.40472838759896507</v>
      </c>
      <c r="O123" s="1">
        <v>2.0189513236089172E-3</v>
      </c>
      <c r="P123" s="1">
        <v>0.98133288399509622</v>
      </c>
      <c r="R123" s="1">
        <v>0.11507614901492595</v>
      </c>
      <c r="S123" s="2">
        <f t="shared" si="24"/>
        <v>0.3155355000063188</v>
      </c>
      <c r="T123" s="4">
        <f t="shared" si="25"/>
        <v>9.956265176423762E-2</v>
      </c>
      <c r="U123" s="1">
        <f t="shared" si="29"/>
        <v>2.0676402857835008E-2</v>
      </c>
      <c r="V123" s="6">
        <f>2*sigma/alpha*corel*(B123/12-1/alpha*(1-EXP(-alpha*Output!B123/12)))</f>
        <v>0.1930282792331357</v>
      </c>
      <c r="W123" s="5">
        <f t="shared" si="26"/>
        <v>-7.8886248906402612E-2</v>
      </c>
      <c r="X123" s="1">
        <f t="shared" si="27"/>
        <v>2.9823465424227362</v>
      </c>
      <c r="Y123" s="3">
        <f t="shared" si="28"/>
        <v>8.2174226515234691E-2</v>
      </c>
      <c r="Z123" s="1">
        <f t="shared" si="17"/>
        <v>0.10328323665890676</v>
      </c>
      <c r="AA123" s="8">
        <f t="shared" si="23"/>
        <v>9.2499999999999964</v>
      </c>
      <c r="AB123" s="1">
        <v>9.3330000000000002</v>
      </c>
      <c r="AC123" s="1">
        <v>1.951188975E-3</v>
      </c>
      <c r="AD123" s="8">
        <f t="shared" si="18"/>
        <v>-0.677623486089172</v>
      </c>
      <c r="AE123" s="3">
        <f t="shared" si="19"/>
        <v>-3.4728747177816134E-2</v>
      </c>
      <c r="AF123" s="11">
        <f t="shared" si="20"/>
        <v>9.2499999999999964</v>
      </c>
      <c r="AG123" s="1">
        <f t="shared" si="21"/>
        <v>0.10328323665890676</v>
      </c>
    </row>
    <row r="124" spans="2:33" ht="15" x14ac:dyDescent="0.25">
      <c r="B124" s="1">
        <v>113</v>
      </c>
      <c r="C124" s="1">
        <v>1.0000870941762461</v>
      </c>
      <c r="D124" s="1">
        <v>1.091954501718414</v>
      </c>
      <c r="E124" s="1">
        <v>0.91533088737981638</v>
      </c>
      <c r="G124" s="1">
        <v>0.99946648399341464</v>
      </c>
      <c r="H124" s="1">
        <v>2.1384494683030502</v>
      </c>
      <c r="I124" s="1">
        <v>0.44249672154803293</v>
      </c>
      <c r="K124" s="1">
        <v>1.0008320055099176</v>
      </c>
      <c r="L124" s="1">
        <v>2.362960088491886</v>
      </c>
      <c r="M124" s="1">
        <v>0.3984408442613151</v>
      </c>
      <c r="O124" s="1">
        <v>2.0970085615432512E-3</v>
      </c>
      <c r="P124" s="1">
        <v>0.98044686101141587</v>
      </c>
      <c r="R124" s="1">
        <v>0.11529477926599953</v>
      </c>
      <c r="S124" s="2">
        <f t="shared" si="24"/>
        <v>0.31732242815856115</v>
      </c>
      <c r="T124" s="4">
        <f t="shared" si="25"/>
        <v>0.10069352341244521</v>
      </c>
      <c r="U124" s="1">
        <f t="shared" si="29"/>
        <v>2.1185716574154245E-2</v>
      </c>
      <c r="V124" s="6">
        <f>2*sigma/alpha*corel*(B124/12-1/alpha*(1-EXP(-alpha*Output!B124/12)))</f>
        <v>0.19628567926458873</v>
      </c>
      <c r="W124" s="5">
        <f t="shared" si="26"/>
        <v>-7.9507806838290965E-2</v>
      </c>
      <c r="X124" s="1">
        <f t="shared" si="27"/>
        <v>3.0333221254599874</v>
      </c>
      <c r="Y124" s="3">
        <f t="shared" si="28"/>
        <v>8.2054398237490098E-2</v>
      </c>
      <c r="Z124" s="1">
        <f t="shared" si="17"/>
        <v>0.10340753130466444</v>
      </c>
      <c r="AA124" s="8">
        <f t="shared" si="23"/>
        <v>9.3333333333333304</v>
      </c>
      <c r="AB124" s="1">
        <v>9.4169999999999998</v>
      </c>
      <c r="AC124" s="1">
        <v>2.0326385199999999E-3</v>
      </c>
      <c r="AD124" s="8">
        <f t="shared" si="18"/>
        <v>-0.64370041543251266</v>
      </c>
      <c r="AE124" s="3">
        <f t="shared" si="19"/>
        <v>-3.1668218874082575E-2</v>
      </c>
      <c r="AF124" s="11">
        <f t="shared" si="20"/>
        <v>9.3333333333333304</v>
      </c>
      <c r="AG124" s="1">
        <f t="shared" si="21"/>
        <v>0.10340753130466444</v>
      </c>
    </row>
    <row r="125" spans="2:33" ht="15" x14ac:dyDescent="0.25">
      <c r="B125" s="1">
        <v>114</v>
      </c>
      <c r="C125" s="1">
        <v>1.0000900151180312</v>
      </c>
      <c r="D125" s="1">
        <v>1.0918659776329582</v>
      </c>
      <c r="E125" s="1">
        <v>0.91540242378607595</v>
      </c>
      <c r="G125" s="1">
        <v>0.99957466185188659</v>
      </c>
      <c r="H125" s="1">
        <v>2.1359767036290229</v>
      </c>
      <c r="I125" s="1">
        <v>0.44279352602488342</v>
      </c>
      <c r="K125" s="1">
        <v>1.0008442691168333</v>
      </c>
      <c r="L125" s="1">
        <v>2.3880213510730273</v>
      </c>
      <c r="M125" s="1">
        <v>0.3940690641489657</v>
      </c>
      <c r="O125" s="1">
        <v>2.1725531474609872E-3</v>
      </c>
      <c r="P125" s="1">
        <v>0.97957227673587866</v>
      </c>
      <c r="R125" s="1">
        <v>0.11560021688311105</v>
      </c>
      <c r="S125" s="2">
        <f t="shared" si="24"/>
        <v>0.31931656789603757</v>
      </c>
      <c r="T125" s="4">
        <f t="shared" si="25"/>
        <v>0.10196307053290478</v>
      </c>
      <c r="U125" s="1">
        <f t="shared" si="29"/>
        <v>2.1702507687120232E-2</v>
      </c>
      <c r="V125" s="6">
        <f>2*sigma/alpha*corel*(B125/12-1/alpha*(1-EXP(-alpha*Output!B125/12)))</f>
        <v>0.19956690378861197</v>
      </c>
      <c r="W125" s="5">
        <f t="shared" si="26"/>
        <v>-8.0260562845784547E-2</v>
      </c>
      <c r="X125" s="1">
        <f t="shared" si="27"/>
        <v>3.0897283372275854</v>
      </c>
      <c r="Y125" s="3">
        <f t="shared" si="28"/>
        <v>8.2010284519042631E-2</v>
      </c>
      <c r="Z125" s="1">
        <f t="shared" si="17"/>
        <v>0.10359997486938569</v>
      </c>
      <c r="AA125" s="8">
        <f t="shared" si="23"/>
        <v>9.4166666666666643</v>
      </c>
      <c r="AB125" s="1">
        <v>9.5</v>
      </c>
      <c r="AC125" s="1">
        <v>2.1113149129999998E-3</v>
      </c>
      <c r="AD125" s="8">
        <f t="shared" si="18"/>
        <v>-0.6123823446098744</v>
      </c>
      <c r="AE125" s="3">
        <f t="shared" si="19"/>
        <v>-2.9004784688406851E-2</v>
      </c>
      <c r="AF125" s="11">
        <f t="shared" si="20"/>
        <v>9.4166666666666643</v>
      </c>
      <c r="AG125" s="1">
        <f t="shared" si="21"/>
        <v>0.10359997486938569</v>
      </c>
    </row>
    <row r="126" spans="2:33" ht="15" x14ac:dyDescent="0.25">
      <c r="B126" s="1">
        <v>115</v>
      </c>
      <c r="C126" s="1">
        <v>1.0000926372320089</v>
      </c>
      <c r="D126" s="1">
        <v>1.0932245985769939</v>
      </c>
      <c r="E126" s="1">
        <v>0.91426213812726065</v>
      </c>
      <c r="G126" s="1">
        <v>0.99965589780586184</v>
      </c>
      <c r="H126" s="1">
        <v>2.1579105792962898</v>
      </c>
      <c r="I126" s="1">
        <v>0.43807963784940168</v>
      </c>
      <c r="K126" s="1">
        <v>1.0008766378334895</v>
      </c>
      <c r="L126" s="1">
        <v>2.4376663690603304</v>
      </c>
      <c r="M126" s="1">
        <v>0.38581607320579803</v>
      </c>
      <c r="O126" s="1">
        <v>2.245738209977735E-3</v>
      </c>
      <c r="P126" s="1">
        <v>0.97870828052676173</v>
      </c>
      <c r="R126" s="1">
        <v>0.11617980658530531</v>
      </c>
      <c r="S126" s="2">
        <f t="shared" si="24"/>
        <v>0.32200159471487266</v>
      </c>
      <c r="T126" s="4">
        <f t="shared" si="25"/>
        <v>0.10368502699892111</v>
      </c>
      <c r="U126" s="1">
        <f t="shared" si="29"/>
        <v>2.2226805532145733E-2</v>
      </c>
      <c r="V126" s="6">
        <f>2*sigma/alpha*corel*(B126/12-1/alpha*(1-EXP(-alpha*Output!B126/12)))</f>
        <v>0.20287187352244129</v>
      </c>
      <c r="W126" s="5">
        <f t="shared" si="26"/>
        <v>-8.145822146677538E-2</v>
      </c>
      <c r="X126" s="1">
        <f t="shared" si="27"/>
        <v>3.1637221532928947</v>
      </c>
      <c r="Y126" s="3">
        <f t="shared" si="28"/>
        <v>8.2216363786169408E-2</v>
      </c>
      <c r="Z126" s="1">
        <f t="shared" si="17"/>
        <v>0.10401589861701339</v>
      </c>
      <c r="AA126" s="8">
        <f t="shared" si="23"/>
        <v>9.4999999999999982</v>
      </c>
      <c r="AB126" s="1">
        <v>9.5830000000000002</v>
      </c>
      <c r="AC126" s="1">
        <v>2.1873788459999999E-3</v>
      </c>
      <c r="AD126" s="8">
        <f t="shared" si="18"/>
        <v>-0.58359363977735124</v>
      </c>
      <c r="AE126" s="3">
        <f t="shared" si="19"/>
        <v>-2.6680044055676637E-2</v>
      </c>
      <c r="AF126" s="11">
        <f t="shared" si="20"/>
        <v>9.4999999999999982</v>
      </c>
      <c r="AG126" s="1">
        <f t="shared" si="21"/>
        <v>0.10401589861701339</v>
      </c>
    </row>
    <row r="127" spans="2:33" ht="15" x14ac:dyDescent="0.25">
      <c r="B127" s="1">
        <v>116</v>
      </c>
      <c r="C127" s="1">
        <v>1.0000965695851864</v>
      </c>
      <c r="D127" s="1">
        <v>1.0899197551098783</v>
      </c>
      <c r="E127" s="1">
        <v>0.91703170640681064</v>
      </c>
      <c r="G127" s="1">
        <v>0.99984216689336369</v>
      </c>
      <c r="H127" s="1">
        <v>2.0977123641366342</v>
      </c>
      <c r="I127" s="1">
        <v>0.45043209064561879</v>
      </c>
      <c r="K127" s="1">
        <v>1.0009286592206272</v>
      </c>
      <c r="L127" s="1">
        <v>2.3947475748016975</v>
      </c>
      <c r="M127" s="1">
        <v>0.39253008703481623</v>
      </c>
      <c r="O127" s="1">
        <v>2.3165628126845836E-3</v>
      </c>
      <c r="P127" s="1">
        <v>0.97785543140552345</v>
      </c>
      <c r="R127" s="1">
        <v>0.11649307950890175</v>
      </c>
      <c r="S127" s="2">
        <f t="shared" si="24"/>
        <v>0.32398697797375531</v>
      </c>
      <c r="T127" s="4">
        <f t="shared" si="25"/>
        <v>0.10496756189656661</v>
      </c>
      <c r="U127" s="1">
        <f t="shared" si="29"/>
        <v>2.2758638986766666E-2</v>
      </c>
      <c r="V127" s="6">
        <f>2*sigma/alpha*corel*(B127/12-1/alpha*(1-EXP(-alpha*Output!B127/12)))</f>
        <v>0.20620050944714907</v>
      </c>
      <c r="W127" s="5">
        <f t="shared" si="26"/>
        <v>-8.2208922909799947E-2</v>
      </c>
      <c r="X127" s="1">
        <f t="shared" si="27"/>
        <v>3.2212636692751953</v>
      </c>
      <c r="Y127" s="3">
        <f t="shared" si="28"/>
        <v>8.2168314216420124E-2</v>
      </c>
      <c r="Z127" s="1">
        <f t="shared" si="17"/>
        <v>0.10420515006296389</v>
      </c>
      <c r="AA127" s="8">
        <f t="shared" si="23"/>
        <v>9.5833333333333321</v>
      </c>
      <c r="AB127" s="1">
        <v>9.6669999999999998</v>
      </c>
      <c r="AC127" s="1">
        <v>2.2609919879999999E-3</v>
      </c>
      <c r="AD127" s="8">
        <f t="shared" si="18"/>
        <v>-0.55570824684583653</v>
      </c>
      <c r="AE127" s="3">
        <f t="shared" si="19"/>
        <v>-2.4578072359177087E-2</v>
      </c>
      <c r="AF127" s="11">
        <f t="shared" si="20"/>
        <v>9.5833333333333321</v>
      </c>
      <c r="AG127" s="1">
        <f t="shared" si="21"/>
        <v>0.10420515006296389</v>
      </c>
    </row>
    <row r="128" spans="2:33" ht="15" x14ac:dyDescent="0.25">
      <c r="B128" s="1">
        <v>117</v>
      </c>
      <c r="C128" s="1">
        <v>1.0000960636726002</v>
      </c>
      <c r="D128" s="1">
        <v>1.092630326535551</v>
      </c>
      <c r="E128" s="1">
        <v>0.91475413084121104</v>
      </c>
      <c r="G128" s="1">
        <v>0.99966728439218655</v>
      </c>
      <c r="H128" s="1">
        <v>2.1460972697209</v>
      </c>
      <c r="I128" s="1">
        <v>0.44006276496564739</v>
      </c>
      <c r="K128" s="1">
        <v>1.0009073122698693</v>
      </c>
      <c r="L128" s="1">
        <v>2.3911731418820708</v>
      </c>
      <c r="M128" s="1">
        <v>0.39291553386425848</v>
      </c>
      <c r="O128" s="1">
        <v>2.385281308319324E-3</v>
      </c>
      <c r="P128" s="1">
        <v>0.97701185516895261</v>
      </c>
      <c r="R128" s="1">
        <v>0.11682533719761801</v>
      </c>
      <c r="S128" s="2">
        <f t="shared" si="24"/>
        <v>0.32600884011264053</v>
      </c>
      <c r="T128" s="4">
        <f t="shared" si="25"/>
        <v>0.10628176383158922</v>
      </c>
      <c r="U128" s="1">
        <f t="shared" si="29"/>
        <v>2.329803647455897E-2</v>
      </c>
      <c r="V128" s="6">
        <f>2*sigma/alpha*corel*(B128/12-1/alpha*(1-EXP(-alpha*Output!B128/12)))</f>
        <v>0.20955273280676479</v>
      </c>
      <c r="W128" s="5">
        <f t="shared" si="26"/>
        <v>-8.2983727357030246E-2</v>
      </c>
      <c r="X128" s="1">
        <f t="shared" si="27"/>
        <v>3.2802777147509632</v>
      </c>
      <c r="Y128" s="3">
        <f t="shared" si="28"/>
        <v>8.2133382787552459E-2</v>
      </c>
      <c r="Z128" s="1">
        <f t="shared" si="17"/>
        <v>0.10440638738274992</v>
      </c>
      <c r="AA128" s="8">
        <f t="shared" si="23"/>
        <v>9.6666666666666661</v>
      </c>
      <c r="AB128" s="1">
        <v>9.75</v>
      </c>
      <c r="AC128" s="1">
        <v>2.332319927E-3</v>
      </c>
      <c r="AD128" s="8">
        <f t="shared" si="18"/>
        <v>-0.52961381319324019</v>
      </c>
      <c r="AE128" s="3">
        <f t="shared" si="19"/>
        <v>-2.2707597146608787E-2</v>
      </c>
      <c r="AF128" s="11">
        <f t="shared" si="20"/>
        <v>9.6666666666666661</v>
      </c>
      <c r="AG128" s="1">
        <f t="shared" si="21"/>
        <v>0.10440638738274992</v>
      </c>
    </row>
    <row r="129" spans="2:33" ht="15" x14ac:dyDescent="0.25">
      <c r="B129" s="1">
        <v>118</v>
      </c>
      <c r="C129" s="1">
        <v>1.0000971544671204</v>
      </c>
      <c r="D129" s="1">
        <v>1.0917155821488871</v>
      </c>
      <c r="E129" s="1">
        <v>0.91551798781065974</v>
      </c>
      <c r="G129" s="1">
        <v>0.99962404180280173</v>
      </c>
      <c r="H129" s="1">
        <v>2.1293943409981209</v>
      </c>
      <c r="I129" s="1">
        <v>0.44329895284135257</v>
      </c>
      <c r="K129" s="1">
        <v>1.0010278878350718</v>
      </c>
      <c r="L129" s="1">
        <v>2.379413927642994</v>
      </c>
      <c r="M129" s="1">
        <v>0.39462480430959523</v>
      </c>
      <c r="O129" s="1">
        <v>2.452122824849144E-3</v>
      </c>
      <c r="P129" s="1">
        <v>0.97617584366180576</v>
      </c>
      <c r="R129" s="1">
        <v>0.11730369840207797</v>
      </c>
      <c r="S129" s="2">
        <f t="shared" si="24"/>
        <v>0.32839744917376745</v>
      </c>
      <c r="T129" s="4">
        <f t="shared" si="25"/>
        <v>0.10784488462383718</v>
      </c>
      <c r="U129" s="1">
        <f t="shared" si="29"/>
        <v>2.3845025969027933E-2</v>
      </c>
      <c r="V129" s="6">
        <f>2*sigma/alpha*corel*(B129/12-1/alpha*(1-EXP(-alpha*Output!B129/12)))</f>
        <v>0.21292846510740149</v>
      </c>
      <c r="W129" s="5">
        <f t="shared" si="26"/>
        <v>-8.3999858654809245E-2</v>
      </c>
      <c r="X129" s="1">
        <f t="shared" si="27"/>
        <v>3.3493329716754903</v>
      </c>
      <c r="Y129" s="3">
        <f t="shared" si="28"/>
        <v>8.2229991322434345E-2</v>
      </c>
      <c r="Z129" s="1">
        <f t="shared" si="17"/>
        <v>0.10472476499101881</v>
      </c>
      <c r="AA129" s="8">
        <f t="shared" si="23"/>
        <v>9.75</v>
      </c>
      <c r="AB129" s="1">
        <v>9.8330000000000002</v>
      </c>
      <c r="AC129" s="1">
        <v>2.4015292279999999E-3</v>
      </c>
      <c r="AD129" s="8">
        <f t="shared" si="18"/>
        <v>-0.5059359684914414</v>
      </c>
      <c r="AE129" s="3">
        <f t="shared" si="19"/>
        <v>-2.106724176381506E-2</v>
      </c>
      <c r="AF129" s="11">
        <f t="shared" si="20"/>
        <v>9.75</v>
      </c>
      <c r="AG129" s="1">
        <f t="shared" si="21"/>
        <v>0.10472476499101881</v>
      </c>
    </row>
    <row r="130" spans="2:33" ht="15" x14ac:dyDescent="0.25">
      <c r="B130" s="1">
        <v>119</v>
      </c>
      <c r="C130" s="1">
        <v>1.0000999462460647</v>
      </c>
      <c r="D130" s="1">
        <v>1.093674137193982</v>
      </c>
      <c r="E130" s="1">
        <v>0.91387588388998375</v>
      </c>
      <c r="G130" s="1">
        <v>0.99971669946612696</v>
      </c>
      <c r="H130" s="1">
        <v>2.1618123213913574</v>
      </c>
      <c r="I130" s="1">
        <v>0.43643905000742655</v>
      </c>
      <c r="K130" s="1">
        <v>1.0011356666847615</v>
      </c>
      <c r="L130" s="1">
        <v>2.3718950980464095</v>
      </c>
      <c r="M130" s="1">
        <v>0.39568580060964781</v>
      </c>
      <c r="O130" s="1">
        <v>2.5171792886814768E-3</v>
      </c>
      <c r="P130" s="1">
        <v>0.97534694725203719</v>
      </c>
      <c r="R130" s="1">
        <v>0.11788598908268576</v>
      </c>
      <c r="S130" s="2">
        <f t="shared" si="24"/>
        <v>0.33104550506557517</v>
      </c>
      <c r="T130" s="4">
        <f t="shared" si="25"/>
        <v>0.10959112642412176</v>
      </c>
      <c r="U130" s="1">
        <f t="shared" si="29"/>
        <v>2.4399634997467778E-2</v>
      </c>
      <c r="V130" s="6">
        <f>2*sigma/alpha*corel*(B130/12-1/alpha*(1-EXP(-alpha*Output!B130/12)))</f>
        <v>0.2163276281163824</v>
      </c>
      <c r="W130" s="5">
        <f t="shared" si="26"/>
        <v>-8.5191491426653984E-2</v>
      </c>
      <c r="X130" s="1">
        <f t="shared" si="27"/>
        <v>3.4260601359437342</v>
      </c>
      <c r="Y130" s="3">
        <f t="shared" si="28"/>
        <v>8.2418537177846099E-2</v>
      </c>
      <c r="Z130" s="1">
        <f t="shared" si="17"/>
        <v>0.10512471653213558</v>
      </c>
      <c r="AA130" s="8">
        <f t="shared" si="23"/>
        <v>9.8333333333333339</v>
      </c>
      <c r="AB130" s="1">
        <v>9.9169999999999998</v>
      </c>
      <c r="AC130" s="1">
        <v>2.4687864590000001E-3</v>
      </c>
      <c r="AD130" s="8">
        <f t="shared" si="18"/>
        <v>-0.48392829681476701</v>
      </c>
      <c r="AE130" s="3">
        <f t="shared" si="19"/>
        <v>-1.9601869373942763E-2</v>
      </c>
      <c r="AF130" s="11">
        <f t="shared" si="20"/>
        <v>9.8333333333333339</v>
      </c>
      <c r="AG130" s="1">
        <f t="shared" si="21"/>
        <v>0.10512471653213558</v>
      </c>
    </row>
    <row r="131" spans="2:33" ht="15" x14ac:dyDescent="0.25">
      <c r="B131" s="1">
        <v>120</v>
      </c>
      <c r="C131" s="1">
        <v>1.0001025125289704</v>
      </c>
      <c r="D131" s="1">
        <v>1.094003726435788</v>
      </c>
      <c r="E131" s="1">
        <v>0.91359798535752224</v>
      </c>
      <c r="G131" s="1">
        <v>0.9997957011398878</v>
      </c>
      <c r="H131" s="1">
        <v>2.1667225319847598</v>
      </c>
      <c r="I131" s="1">
        <v>0.43523828530549918</v>
      </c>
      <c r="K131" s="1">
        <v>1.0012395428655125</v>
      </c>
      <c r="L131" s="1">
        <v>2.3632538228010738</v>
      </c>
      <c r="M131" s="1">
        <v>0.39692152969597394</v>
      </c>
      <c r="O131" s="1">
        <v>2.580593048383129E-3</v>
      </c>
      <c r="P131" s="1">
        <v>0.97452419669754298</v>
      </c>
      <c r="R131" s="1">
        <v>0.11848593498958467</v>
      </c>
      <c r="S131" s="2">
        <f t="shared" si="24"/>
        <v>0.33373220841470075</v>
      </c>
      <c r="T131" s="4">
        <f t="shared" si="25"/>
        <v>0.11137718693335326</v>
      </c>
      <c r="U131" s="1">
        <f t="shared" si="29"/>
        <v>2.4961890644793705E-2</v>
      </c>
      <c r="V131" s="6">
        <f>2*sigma/alpha*corel*(B131/12-1/alpha*(1-EXP(-alpha*Output!B131/12)))</f>
        <v>0.21975014386137293</v>
      </c>
      <c r="W131" s="5">
        <f t="shared" si="26"/>
        <v>-8.6415296288559554E-2</v>
      </c>
      <c r="X131" s="1">
        <f t="shared" si="27"/>
        <v>3.5049019772694763</v>
      </c>
      <c r="Y131" s="3">
        <f t="shared" si="28"/>
        <v>8.2619409982820066E-2</v>
      </c>
      <c r="Z131" s="1">
        <f t="shared" si="17"/>
        <v>0.10553539071484658</v>
      </c>
      <c r="AA131" s="8">
        <f t="shared" si="23"/>
        <v>9.9166666666666679</v>
      </c>
      <c r="AB131" s="1">
        <v>10</v>
      </c>
      <c r="AC131" s="1">
        <v>2.5342581859999999E-3</v>
      </c>
      <c r="AD131" s="8">
        <f t="shared" si="18"/>
        <v>-0.46334862383129188</v>
      </c>
      <c r="AE131" s="3">
        <f t="shared" si="19"/>
        <v>-1.8283402472209356E-2</v>
      </c>
      <c r="AF131" s="11">
        <f t="shared" si="20"/>
        <v>9.9166666666666679</v>
      </c>
      <c r="AG131" s="1">
        <f t="shared" si="21"/>
        <v>0.10553539071484658</v>
      </c>
    </row>
    <row r="132" spans="2:33" ht="15" x14ac:dyDescent="0.25">
      <c r="B132" s="1">
        <v>121</v>
      </c>
      <c r="C132" s="1">
        <v>1.0001022809103379</v>
      </c>
      <c r="D132" s="1">
        <v>1.0956948780026454</v>
      </c>
      <c r="E132" s="1">
        <v>0.91218533504030896</v>
      </c>
      <c r="G132" s="1">
        <v>0.99964685210274151</v>
      </c>
      <c r="H132" s="1">
        <v>2.1975388987843956</v>
      </c>
      <c r="I132" s="1">
        <v>0.42892625672937656</v>
      </c>
      <c r="K132" s="1">
        <v>1.0012873799441719</v>
      </c>
      <c r="L132" s="1">
        <v>2.4297275783443384</v>
      </c>
      <c r="M132" s="1">
        <v>0.38585460498756718</v>
      </c>
      <c r="O132" s="1">
        <v>2.6425183548837048E-3</v>
      </c>
      <c r="P132" s="1">
        <v>0.97370646303862851</v>
      </c>
      <c r="R132" s="1">
        <v>0.11902548100998418</v>
      </c>
      <c r="S132" s="2">
        <f t="shared" si="24"/>
        <v>0.33625752157687661</v>
      </c>
      <c r="T132" s="4">
        <f t="shared" si="25"/>
        <v>0.11306912081702364</v>
      </c>
      <c r="U132" s="1">
        <f t="shared" si="29"/>
        <v>2.5531819557341073E-2</v>
      </c>
      <c r="V132" s="6">
        <f>2*sigma/alpha*corel*(B132/12-1/alpha*(1-EXP(-alpha*Output!B132/12)))</f>
        <v>0.2231959346295127</v>
      </c>
      <c r="W132" s="5">
        <f t="shared" si="26"/>
        <v>-8.7537301259682565E-2</v>
      </c>
      <c r="X132" s="1">
        <f t="shared" si="27"/>
        <v>3.580487576042338</v>
      </c>
      <c r="Y132" s="3">
        <f t="shared" si="28"/>
        <v>8.2761406601604637E-2</v>
      </c>
      <c r="Z132" s="1">
        <f t="shared" si="17"/>
        <v>0.10589365669060696</v>
      </c>
      <c r="AA132" s="8">
        <f t="shared" si="23"/>
        <v>10.000000000000002</v>
      </c>
      <c r="AB132" s="1">
        <v>10.08</v>
      </c>
      <c r="AC132" s="1">
        <v>2.5981109739999998E-3</v>
      </c>
      <c r="AD132" s="8">
        <f t="shared" si="18"/>
        <v>-0.44407380883705</v>
      </c>
      <c r="AE132" s="3">
        <f t="shared" si="19"/>
        <v>-1.7092180175558969E-2</v>
      </c>
      <c r="AF132" s="11">
        <f t="shared" si="20"/>
        <v>10.000000000000002</v>
      </c>
      <c r="AG132" s="1">
        <f t="shared" si="21"/>
        <v>0.10589365669060696</v>
      </c>
    </row>
    <row r="133" spans="2:33" ht="15" x14ac:dyDescent="0.25">
      <c r="B133" s="1">
        <v>122</v>
      </c>
      <c r="C133" s="1">
        <v>1.0001035810087364</v>
      </c>
      <c r="D133" s="1">
        <v>1.0997204966697234</v>
      </c>
      <c r="E133" s="1">
        <v>0.90884367230976948</v>
      </c>
      <c r="G133" s="1">
        <v>0.9996160221105731</v>
      </c>
      <c r="H133" s="1">
        <v>2.2725356504185892</v>
      </c>
      <c r="I133" s="1">
        <v>0.41456947772623337</v>
      </c>
      <c r="K133" s="1">
        <v>1.0011918129539847</v>
      </c>
      <c r="L133" s="1">
        <v>2.4308333466449445</v>
      </c>
      <c r="M133" s="1">
        <v>0.38545647540222511</v>
      </c>
      <c r="O133" s="1">
        <v>2.70320546723071E-3</v>
      </c>
      <c r="P133" s="1">
        <v>0.97289162150291308</v>
      </c>
      <c r="R133" s="1">
        <v>0.11940591891144825</v>
      </c>
      <c r="S133" s="2">
        <f t="shared" si="24"/>
        <v>0.33836873951009383</v>
      </c>
      <c r="T133" s="4">
        <f t="shared" si="25"/>
        <v>0.11449340387764974</v>
      </c>
      <c r="U133" s="1">
        <f t="shared" si="29"/>
        <v>2.6109447946645492E-2</v>
      </c>
      <c r="V133" s="6">
        <f>2*sigma/alpha*corel*(B133/12-1/alpha*(1-EXP(-alpha*Output!B133/12)))</f>
        <v>0.22666492296655338</v>
      </c>
      <c r="W133" s="5">
        <f t="shared" si="26"/>
        <v>-8.8383955931004246E-2</v>
      </c>
      <c r="X133" s="1">
        <f t="shared" si="27"/>
        <v>3.6456578618309394</v>
      </c>
      <c r="Y133" s="3">
        <f t="shared" si="28"/>
        <v>8.2755524597716304E-2</v>
      </c>
      <c r="Z133" s="1">
        <f t="shared" si="17"/>
        <v>0.10612090408137087</v>
      </c>
      <c r="AA133" s="8">
        <f t="shared" si="23"/>
        <v>10.083333333333336</v>
      </c>
      <c r="AB133" s="1">
        <v>10.17</v>
      </c>
      <c r="AC133" s="1">
        <v>2.6605188710000002E-3</v>
      </c>
      <c r="AD133" s="8">
        <f t="shared" si="18"/>
        <v>-0.42686596230709883</v>
      </c>
      <c r="AE133" s="3">
        <f t="shared" si="19"/>
        <v>-1.6044462866247371E-2</v>
      </c>
      <c r="AF133" s="11">
        <f t="shared" si="20"/>
        <v>10.083333333333336</v>
      </c>
      <c r="AG133" s="1">
        <f t="shared" si="21"/>
        <v>0.10612090408137087</v>
      </c>
    </row>
    <row r="134" spans="2:33" ht="15" x14ac:dyDescent="0.25">
      <c r="B134" s="1">
        <v>123</v>
      </c>
      <c r="C134" s="1">
        <v>1.0001055670004317</v>
      </c>
      <c r="D134" s="1">
        <v>1.0958924532201184</v>
      </c>
      <c r="E134" s="1">
        <v>0.91201581209978944</v>
      </c>
      <c r="G134" s="1">
        <v>0.99964212267564689</v>
      </c>
      <c r="H134" s="1">
        <v>2.2009545245382873</v>
      </c>
      <c r="I134" s="1">
        <v>0.42784434647818148</v>
      </c>
      <c r="K134" s="1">
        <v>1.0011877100308011</v>
      </c>
      <c r="L134" s="1">
        <v>2.5373868387437155</v>
      </c>
      <c r="M134" s="1">
        <v>0.36905972276467114</v>
      </c>
      <c r="O134" s="1">
        <v>2.7628526412989069E-3</v>
      </c>
      <c r="P134" s="1">
        <v>0.97207799149860952</v>
      </c>
      <c r="R134" s="1">
        <v>0.11975352545203193</v>
      </c>
      <c r="S134" s="2">
        <f t="shared" si="24"/>
        <v>0.34039413404790297</v>
      </c>
      <c r="T134" s="4">
        <f t="shared" si="25"/>
        <v>0.11586816649422174</v>
      </c>
      <c r="U134" s="1">
        <f t="shared" si="29"/>
        <v>2.6694801593186046E-2</v>
      </c>
      <c r="V134" s="6">
        <f>2*sigma/alpha*corel*(B134/12-1/alpha*(1-EXP(-alpha*Output!B134/12)))</f>
        <v>0.23015703167599821</v>
      </c>
      <c r="W134" s="5">
        <f t="shared" si="26"/>
        <v>-8.9173364901035695E-2</v>
      </c>
      <c r="X134" s="1">
        <f t="shared" si="27"/>
        <v>3.7090802201723698</v>
      </c>
      <c r="Y134" s="3">
        <f t="shared" si="28"/>
        <v>8.2719035073310049E-2</v>
      </c>
      <c r="Z134" s="1">
        <f t="shared" si="17"/>
        <v>0.10632126487815091</v>
      </c>
      <c r="AA134" s="8">
        <f t="shared" si="23"/>
        <v>10.16666666666667</v>
      </c>
      <c r="AB134" s="1">
        <v>10.25</v>
      </c>
      <c r="AC134" s="1">
        <v>2.7216858369999999E-3</v>
      </c>
      <c r="AD134" s="8">
        <f t="shared" si="18"/>
        <v>-0.41166804298907023</v>
      </c>
      <c r="AE134" s="3">
        <f t="shared" si="19"/>
        <v>-1.5125479854898854E-2</v>
      </c>
      <c r="AF134" s="11">
        <f t="shared" si="20"/>
        <v>10.16666666666667</v>
      </c>
      <c r="AG134" s="1">
        <f t="shared" si="21"/>
        <v>0.10632126487815091</v>
      </c>
    </row>
    <row r="135" spans="2:33" ht="15" x14ac:dyDescent="0.25">
      <c r="B135" s="1">
        <v>124</v>
      </c>
      <c r="C135" s="1">
        <v>1.0001054394774611</v>
      </c>
      <c r="D135" s="1">
        <v>1.0972958101852861</v>
      </c>
      <c r="E135" s="1">
        <v>0.91084690562705994</v>
      </c>
      <c r="G135" s="1">
        <v>0.99949948385235221</v>
      </c>
      <c r="H135" s="1">
        <v>2.2259319468687471</v>
      </c>
      <c r="I135" s="1">
        <v>0.42283782900747774</v>
      </c>
      <c r="K135" s="1">
        <v>1.0010984391812368</v>
      </c>
      <c r="L135" s="1">
        <v>2.4955389795251626</v>
      </c>
      <c r="M135" s="1">
        <v>0.37507541824737251</v>
      </c>
      <c r="O135" s="1">
        <v>2.8217399936125956E-3</v>
      </c>
      <c r="P135" s="1">
        <v>0.97126301227916734</v>
      </c>
      <c r="R135" s="1">
        <v>0.12013858948124161</v>
      </c>
      <c r="S135" s="2">
        <f t="shared" si="24"/>
        <v>0.34251915684341161</v>
      </c>
      <c r="T135" s="4">
        <f t="shared" si="25"/>
        <v>0.1173193728047216</v>
      </c>
      <c r="U135" s="1">
        <f t="shared" si="29"/>
        <v>2.7287905850104988E-2</v>
      </c>
      <c r="V135" s="6">
        <f>2*sigma/alpha*corel*(B135/12-1/alpha*(1-EXP(-alpha*Output!B135/12)))</f>
        <v>0.23367218381824229</v>
      </c>
      <c r="W135" s="5">
        <f t="shared" si="26"/>
        <v>-9.0031466954616612E-2</v>
      </c>
      <c r="X135" s="1">
        <f t="shared" si="27"/>
        <v>3.7759033236145401</v>
      </c>
      <c r="Y135" s="3">
        <f t="shared" si="28"/>
        <v>8.27175575135006E-2</v>
      </c>
      <c r="Z135" s="1">
        <f t="shared" si="17"/>
        <v>0.1065527460499236</v>
      </c>
      <c r="AA135" s="8">
        <f t="shared" si="23"/>
        <v>10.250000000000004</v>
      </c>
      <c r="AB135" s="1">
        <v>10.33</v>
      </c>
      <c r="AC135" s="1">
        <v>2.7818233150000002E-3</v>
      </c>
      <c r="AD135" s="8">
        <f t="shared" si="18"/>
        <v>-0.39916678612595452</v>
      </c>
      <c r="AE135" s="3">
        <f t="shared" si="19"/>
        <v>-1.4349106356740506E-2</v>
      </c>
      <c r="AF135" s="11">
        <f t="shared" si="20"/>
        <v>10.250000000000004</v>
      </c>
      <c r="AG135" s="1">
        <f t="shared" si="21"/>
        <v>0.1065527460499236</v>
      </c>
    </row>
    <row r="136" spans="2:33" ht="15" x14ac:dyDescent="0.25">
      <c r="B136" s="1">
        <v>125</v>
      </c>
      <c r="C136" s="1">
        <v>1.0001065567897245</v>
      </c>
      <c r="D136" s="1">
        <v>1.0959808319707565</v>
      </c>
      <c r="E136" s="1">
        <v>0.91193725951031568</v>
      </c>
      <c r="G136" s="1">
        <v>0.99945230032568866</v>
      </c>
      <c r="H136" s="1">
        <v>2.1988545195602214</v>
      </c>
      <c r="I136" s="1">
        <v>0.42783674564046359</v>
      </c>
      <c r="K136" s="1">
        <v>1.0010062029920266</v>
      </c>
      <c r="L136" s="1">
        <v>2.5303195216411325</v>
      </c>
      <c r="M136" s="1">
        <v>0.36972019838425313</v>
      </c>
      <c r="O136" s="1">
        <v>2.8799579561270025E-3</v>
      </c>
      <c r="P136" s="1">
        <v>0.97044595856202587</v>
      </c>
      <c r="R136" s="1">
        <v>0.12036764184364188</v>
      </c>
      <c r="S136" s="2">
        <f t="shared" si="24"/>
        <v>0.34424352091812593</v>
      </c>
      <c r="T136" s="4">
        <f t="shared" si="25"/>
        <v>0.1185036016941082</v>
      </c>
      <c r="U136" s="1">
        <f t="shared" si="29"/>
        <v>2.7888785646898118E-2</v>
      </c>
      <c r="V136" s="6">
        <f>2*sigma/alpha*corel*(B136/12-1/alpha*(1-EXP(-alpha*Output!B136/12)))</f>
        <v>0.2372103027097201</v>
      </c>
      <c r="W136" s="5">
        <f t="shared" si="26"/>
        <v>-9.0614816047210084E-2</v>
      </c>
      <c r="X136" s="1">
        <f t="shared" si="27"/>
        <v>3.8318860630120573</v>
      </c>
      <c r="Y136" s="3">
        <f t="shared" si="28"/>
        <v>8.2574884015177305E-2</v>
      </c>
      <c r="Z136" s="1">
        <f t="shared" si="17"/>
        <v>0.10665995388445651</v>
      </c>
      <c r="AA136" s="8">
        <f t="shared" si="23"/>
        <v>10.333333333333337</v>
      </c>
      <c r="AB136" s="1">
        <v>10.42</v>
      </c>
      <c r="AC136" s="1">
        <v>2.8411427460000001E-3</v>
      </c>
      <c r="AD136" s="8">
        <f t="shared" si="18"/>
        <v>-0.38815210127002375</v>
      </c>
      <c r="AE136" s="3">
        <f t="shared" si="19"/>
        <v>-1.3661830325720064E-2</v>
      </c>
      <c r="AF136" s="11">
        <f t="shared" si="20"/>
        <v>10.333333333333337</v>
      </c>
      <c r="AG136" s="1">
        <f t="shared" si="21"/>
        <v>0.10665995388445651</v>
      </c>
    </row>
    <row r="137" spans="2:33" ht="15" x14ac:dyDescent="0.25">
      <c r="B137" s="1">
        <v>126</v>
      </c>
      <c r="C137" s="1">
        <v>1.0001097522542144</v>
      </c>
      <c r="D137" s="1">
        <v>1.0938963440605627</v>
      </c>
      <c r="E137" s="1">
        <v>0.91367252526128961</v>
      </c>
      <c r="G137" s="1">
        <v>0.99957416958842205</v>
      </c>
      <c r="H137" s="1">
        <v>2.1616344724477701</v>
      </c>
      <c r="I137" s="1">
        <v>0.4349919246486309</v>
      </c>
      <c r="K137" s="1">
        <v>1.0010234200327321</v>
      </c>
      <c r="L137" s="1">
        <v>2.5172643949869493</v>
      </c>
      <c r="M137" s="1">
        <v>0.37144518341012084</v>
      </c>
      <c r="O137" s="1">
        <v>2.9378359529057397E-3</v>
      </c>
      <c r="P137" s="1">
        <v>0.96962364511057042</v>
      </c>
      <c r="R137" s="1">
        <v>0.1208692555502112</v>
      </c>
      <c r="S137" s="2">
        <f t="shared" si="24"/>
        <v>0.34668259161726578</v>
      </c>
      <c r="T137" s="4">
        <f t="shared" si="25"/>
        <v>0.12018881933046388</v>
      </c>
      <c r="U137" s="1">
        <f t="shared" si="29"/>
        <v>2.8497465493083851E-2</v>
      </c>
      <c r="V137" s="6">
        <f>2*sigma/alpha*corel*(B137/12-1/alpha*(1-EXP(-alpha*Output!B137/12)))</f>
        <v>0.24077131192205226</v>
      </c>
      <c r="W137" s="5">
        <f t="shared" si="26"/>
        <v>-9.169135383738003E-2</v>
      </c>
      <c r="X137" s="1">
        <f t="shared" si="27"/>
        <v>3.9090076858146272</v>
      </c>
      <c r="Y137" s="3">
        <f t="shared" si="28"/>
        <v>8.2683321336070939E-2</v>
      </c>
      <c r="Z137" s="1">
        <f t="shared" si="17"/>
        <v>0.1069885705201679</v>
      </c>
      <c r="AA137" s="8">
        <f t="shared" si="23"/>
        <v>10.416666666666671</v>
      </c>
      <c r="AB137" s="1">
        <v>10.5</v>
      </c>
      <c r="AC137" s="1">
        <v>2.8998555710000001E-3</v>
      </c>
      <c r="AD137" s="8">
        <f t="shared" si="18"/>
        <v>-0.3798038190573963</v>
      </c>
      <c r="AE137" s="3">
        <f t="shared" si="19"/>
        <v>-1.3097335703737235E-2</v>
      </c>
      <c r="AF137" s="11">
        <f t="shared" si="20"/>
        <v>10.416666666666671</v>
      </c>
      <c r="AG137" s="1">
        <f t="shared" si="21"/>
        <v>0.1069885705201679</v>
      </c>
    </row>
    <row r="138" spans="2:33" ht="15" x14ac:dyDescent="0.25">
      <c r="B138" s="1">
        <v>127</v>
      </c>
      <c r="C138" s="1">
        <v>1.0001120650767708</v>
      </c>
      <c r="D138" s="1">
        <v>1.0954580261751603</v>
      </c>
      <c r="E138" s="1">
        <v>0.91236752631042273</v>
      </c>
      <c r="G138" s="1">
        <v>0.9996192331925684</v>
      </c>
      <c r="H138" s="1">
        <v>2.1855891979730364</v>
      </c>
      <c r="I138" s="1">
        <v>0.43001519505141894</v>
      </c>
      <c r="K138" s="1">
        <v>1.0009004845486322</v>
      </c>
      <c r="L138" s="1">
        <v>2.5033720224066047</v>
      </c>
      <c r="M138" s="1">
        <v>0.37328708968467883</v>
      </c>
      <c r="O138" s="1">
        <v>2.9956556399297748E-3</v>
      </c>
      <c r="P138" s="1">
        <v>0.96879328096321282</v>
      </c>
      <c r="R138" s="1">
        <v>0.12114962297022436</v>
      </c>
      <c r="S138" s="2">
        <f t="shared" si="24"/>
        <v>0.34855980010829024</v>
      </c>
      <c r="T138" s="4">
        <f t="shared" si="25"/>
        <v>0.12149393425153125</v>
      </c>
      <c r="U138" s="1">
        <f t="shared" si="29"/>
        <v>2.9113969481832758E-2</v>
      </c>
      <c r="V138" s="6">
        <f>2*sigma/alpha*corel*(B138/12-1/alpha*(1-EXP(-alpha*Output!B138/12)))</f>
        <v>0.24435513528119701</v>
      </c>
      <c r="W138" s="5">
        <f t="shared" si="26"/>
        <v>-9.2379964769698494E-2</v>
      </c>
      <c r="X138" s="1">
        <f t="shared" si="27"/>
        <v>3.9704612740555283</v>
      </c>
      <c r="Y138" s="3">
        <f t="shared" si="28"/>
        <v>8.259432280062487E-2</v>
      </c>
      <c r="Z138" s="1">
        <f t="shared" si="17"/>
        <v>0.10714355705800663</v>
      </c>
      <c r="AA138" s="8">
        <f t="shared" si="23"/>
        <v>10.500000000000005</v>
      </c>
      <c r="AB138" s="1">
        <v>10.58</v>
      </c>
      <c r="AC138" s="1">
        <v>2.9581732320000001E-3</v>
      </c>
      <c r="AD138" s="8">
        <f t="shared" si="18"/>
        <v>-0.37482407929774736</v>
      </c>
      <c r="AE138" s="3">
        <f t="shared" si="19"/>
        <v>-1.2670795450485887E-2</v>
      </c>
      <c r="AF138" s="11">
        <f t="shared" si="20"/>
        <v>10.500000000000005</v>
      </c>
      <c r="AG138" s="1">
        <f t="shared" si="21"/>
        <v>0.10714355705800663</v>
      </c>
    </row>
    <row r="139" spans="2:33" ht="15" x14ac:dyDescent="0.25">
      <c r="B139" s="1">
        <v>128</v>
      </c>
      <c r="C139" s="1">
        <v>1.0001118005173226</v>
      </c>
      <c r="D139" s="1">
        <v>1.0943759305382936</v>
      </c>
      <c r="E139" s="1">
        <v>0.91326719735642392</v>
      </c>
      <c r="G139" s="1">
        <v>0.99945425539996136</v>
      </c>
      <c r="H139" s="1">
        <v>2.1710118458033572</v>
      </c>
      <c r="I139" s="1">
        <v>0.43269217527981524</v>
      </c>
      <c r="K139" s="1">
        <v>1.0009474069174173</v>
      </c>
      <c r="L139" s="1">
        <v>2.503922291411615</v>
      </c>
      <c r="M139" s="1">
        <v>0.37303017914192788</v>
      </c>
      <c r="O139" s="1">
        <v>3.0535046605480684E-3</v>
      </c>
      <c r="P139" s="1">
        <v>0.96795399720907893</v>
      </c>
      <c r="R139" s="1">
        <v>0.12151827423604787</v>
      </c>
      <c r="S139" s="2">
        <f t="shared" si="24"/>
        <v>0.35067932006039759</v>
      </c>
      <c r="T139" s="4">
        <f t="shared" si="25"/>
        <v>0.12297598551802277</v>
      </c>
      <c r="U139" s="1">
        <f t="shared" si="29"/>
        <v>2.9738321293583336E-2</v>
      </c>
      <c r="V139" s="6">
        <f>2*sigma/alpha*corel*(B139/12-1/alpha*(1-EXP(-alpha*Output!B139/12)))</f>
        <v>0.2479616968666023</v>
      </c>
      <c r="W139" s="5">
        <f t="shared" si="26"/>
        <v>-9.3237664224439437E-2</v>
      </c>
      <c r="X139" s="1">
        <f t="shared" si="27"/>
        <v>4.0396253433557137</v>
      </c>
      <c r="Y139" s="3">
        <f t="shared" si="28"/>
        <v>8.259001058780005E-2</v>
      </c>
      <c r="Z139" s="1">
        <f t="shared" si="17"/>
        <v>0.10737317468676538</v>
      </c>
      <c r="AA139" s="8">
        <f t="shared" si="23"/>
        <v>10.583333333333339</v>
      </c>
      <c r="AB139" s="1">
        <v>10.67</v>
      </c>
      <c r="AC139" s="1">
        <v>3.0163078469999998E-3</v>
      </c>
      <c r="AD139" s="8">
        <f t="shared" si="18"/>
        <v>-0.37196813548068514</v>
      </c>
      <c r="AE139" s="3">
        <f t="shared" si="19"/>
        <v>-1.2331902257610813E-2</v>
      </c>
      <c r="AF139" s="11">
        <f t="shared" si="20"/>
        <v>10.583333333333339</v>
      </c>
      <c r="AG139" s="1">
        <f t="shared" si="21"/>
        <v>0.10737317468676538</v>
      </c>
    </row>
    <row r="140" spans="2:33" ht="15" x14ac:dyDescent="0.25">
      <c r="B140" s="1">
        <v>129</v>
      </c>
      <c r="C140" s="1">
        <v>1.0001144726998126</v>
      </c>
      <c r="D140" s="1">
        <v>1.0960594066218086</v>
      </c>
      <c r="E140" s="1">
        <v>0.9118620375228299</v>
      </c>
      <c r="G140" s="1">
        <v>0.99953273847676738</v>
      </c>
      <c r="H140" s="1">
        <v>2.2286109212316139</v>
      </c>
      <c r="I140" s="1">
        <v>0.42130429714713574</v>
      </c>
      <c r="K140" s="1">
        <v>1.0009212185250802</v>
      </c>
      <c r="L140" s="1">
        <v>2.5114429317558722</v>
      </c>
      <c r="M140" s="1">
        <v>0.37171431912218389</v>
      </c>
      <c r="O140" s="1">
        <v>3.1115240002079032E-3</v>
      </c>
      <c r="P140" s="1">
        <v>0.96710434543859236</v>
      </c>
      <c r="R140" s="1">
        <v>0.12187560696634439</v>
      </c>
      <c r="S140" s="2">
        <f t="shared" si="24"/>
        <v>0.35278471509365572</v>
      </c>
      <c r="T140" s="4">
        <f t="shared" si="25"/>
        <v>0.12445705520371184</v>
      </c>
      <c r="U140" s="1">
        <f t="shared" si="29"/>
        <v>3.0370544199622707E-2</v>
      </c>
      <c r="V140" s="6">
        <f>2*sigma/alpha*corel*(B140/12-1/alpha*(1-EXP(-alpha*Output!B140/12)))</f>
        <v>0.25159092101036418</v>
      </c>
      <c r="W140" s="5">
        <f t="shared" si="26"/>
        <v>-9.4086511004089129E-2</v>
      </c>
      <c r="X140" s="1">
        <f t="shared" si="27"/>
        <v>4.1090179647106755</v>
      </c>
      <c r="Y140" s="3">
        <f t="shared" si="28"/>
        <v>8.2580481704594422E-2</v>
      </c>
      <c r="Z140" s="1">
        <f t="shared" si="17"/>
        <v>0.10759832937395551</v>
      </c>
      <c r="AA140" s="8">
        <f t="shared" si="23"/>
        <v>10.666666666666673</v>
      </c>
      <c r="AB140" s="1">
        <v>10.75</v>
      </c>
      <c r="AC140" s="1">
        <v>3.0744742460000001E-3</v>
      </c>
      <c r="AD140" s="8">
        <f t="shared" si="18"/>
        <v>-0.37049754207903096</v>
      </c>
      <c r="AE140" s="3">
        <f t="shared" si="19"/>
        <v>-1.2050760957294125E-2</v>
      </c>
      <c r="AF140" s="11">
        <f t="shared" si="20"/>
        <v>10.666666666666673</v>
      </c>
      <c r="AG140" s="1">
        <f t="shared" si="21"/>
        <v>0.10759832937395551</v>
      </c>
    </row>
    <row r="141" spans="2:33" ht="15" x14ac:dyDescent="0.25">
      <c r="B141" s="1">
        <v>130</v>
      </c>
      <c r="C141" s="1">
        <v>1.0001147386021592</v>
      </c>
      <c r="D141" s="1">
        <v>1.0974378371799491</v>
      </c>
      <c r="E141" s="1">
        <v>0.91071427410104322</v>
      </c>
      <c r="G141" s="1">
        <v>0.99941030733540814</v>
      </c>
      <c r="H141" s="1">
        <v>2.2205479031851216</v>
      </c>
      <c r="I141" s="1">
        <v>0.42262863254806721</v>
      </c>
      <c r="K141" s="1">
        <v>1.0009083766957434</v>
      </c>
      <c r="L141" s="1">
        <v>2.4871553937208968</v>
      </c>
      <c r="M141" s="1">
        <v>0.37513002083729557</v>
      </c>
      <c r="O141" s="1">
        <v>3.1700155737448893E-3</v>
      </c>
      <c r="P141" s="1">
        <v>0.9662411527639565</v>
      </c>
      <c r="R141" s="1">
        <v>0.1221131295158529</v>
      </c>
      <c r="S141" s="2">
        <f t="shared" si="24"/>
        <v>0.35459797632773549</v>
      </c>
      <c r="T141" s="4">
        <f t="shared" si="25"/>
        <v>0.12573972481572526</v>
      </c>
      <c r="U141" s="1">
        <f t="shared" si="29"/>
        <v>3.1010661065643763E-2</v>
      </c>
      <c r="V141" s="6">
        <f>2*sigma/alpha*corel*(B141/12-1/alpha*(1-EXP(-alpha*Output!B141/12)))</f>
        <v>0.25524273229638461</v>
      </c>
      <c r="W141" s="5">
        <f t="shared" si="26"/>
        <v>-9.4729063750081499E-2</v>
      </c>
      <c r="X141" s="1">
        <f t="shared" si="27"/>
        <v>4.170074948226989</v>
      </c>
      <c r="Y141" s="3">
        <f t="shared" si="28"/>
        <v>8.2469234051063281E-2</v>
      </c>
      <c r="Z141" s="1">
        <f t="shared" ref="Z141:Z204" si="30">S141/SQRT(B141/12)</f>
        <v>0.10773459903458994</v>
      </c>
      <c r="AA141" s="8">
        <f t="shared" si="23"/>
        <v>10.750000000000007</v>
      </c>
      <c r="AB141" s="1">
        <v>10.83</v>
      </c>
      <c r="AC141" s="1">
        <v>3.1328879340000002E-3</v>
      </c>
      <c r="AD141" s="8">
        <f t="shared" ref="AD141:AD204" si="31">(AC141-O141)*10000</f>
        <v>-0.3712763974488909</v>
      </c>
      <c r="AE141" s="3">
        <f t="shared" ref="AE141:AE204" si="32">AD141/AC141/10000</f>
        <v>-1.1850931321850815E-2</v>
      </c>
      <c r="AF141" s="11">
        <f t="shared" ref="AF141:AF204" si="33">AA141</f>
        <v>10.750000000000007</v>
      </c>
      <c r="AG141" s="1">
        <f t="shared" ref="AG141:AG204" si="34">Z141</f>
        <v>0.10773459903458994</v>
      </c>
    </row>
    <row r="142" spans="2:33" ht="15" x14ac:dyDescent="0.25">
      <c r="B142" s="1">
        <v>131</v>
      </c>
      <c r="C142" s="1">
        <v>1.0001160342313562</v>
      </c>
      <c r="D142" s="1">
        <v>1.0937088738328384</v>
      </c>
      <c r="E142" s="1">
        <v>0.913816905111422</v>
      </c>
      <c r="G142" s="1">
        <v>0.99937314630502116</v>
      </c>
      <c r="H142" s="1">
        <v>2.1518240820638748</v>
      </c>
      <c r="I142" s="1">
        <v>0.43591441536017578</v>
      </c>
      <c r="K142" s="1">
        <v>1.0008385529349291</v>
      </c>
      <c r="L142" s="1">
        <v>2.51123696830467</v>
      </c>
      <c r="M142" s="1">
        <v>0.37134822350537561</v>
      </c>
      <c r="O142" s="1">
        <v>3.2291632243267136E-3</v>
      </c>
      <c r="P142" s="1">
        <v>0.96536240537560203</v>
      </c>
      <c r="R142" s="1">
        <v>0.12242468606067956</v>
      </c>
      <c r="S142" s="2">
        <f t="shared" si="24"/>
        <v>0.35662607633417676</v>
      </c>
      <c r="T142" s="4">
        <f t="shared" si="25"/>
        <v>0.12718215832151006</v>
      </c>
      <c r="U142" s="1">
        <f t="shared" si="29"/>
        <v>3.1658694355273465E-2</v>
      </c>
      <c r="V142" s="6">
        <f>2*sigma/alpha*corel*(B142/12-1/alpha*(1-EXP(-alpha*Output!B142/12)))</f>
        <v>0.25891705555953393</v>
      </c>
      <c r="W142" s="5">
        <f t="shared" si="26"/>
        <v>-9.5523463966236594E-2</v>
      </c>
      <c r="X142" s="1">
        <f t="shared" si="27"/>
        <v>4.2382293015186168</v>
      </c>
      <c r="Y142" s="3">
        <f t="shared" si="28"/>
        <v>8.2432624311665759E-2</v>
      </c>
      <c r="Z142" s="1">
        <f t="shared" si="30"/>
        <v>0.10793643520479301</v>
      </c>
      <c r="AA142" s="8">
        <f t="shared" ref="AA142:AA205" si="35">AA141+1/12</f>
        <v>10.833333333333341</v>
      </c>
      <c r="AB142" s="1">
        <v>10.92</v>
      </c>
      <c r="AC142" s="1">
        <v>3.1917644190000002E-3</v>
      </c>
      <c r="AD142" s="8">
        <f t="shared" si="31"/>
        <v>-0.37398805326713419</v>
      </c>
      <c r="AE142" s="3">
        <f t="shared" si="32"/>
        <v>-1.1717282486165034E-2</v>
      </c>
      <c r="AF142" s="11">
        <f t="shared" si="33"/>
        <v>10.833333333333341</v>
      </c>
      <c r="AG142" s="1">
        <f t="shared" si="34"/>
        <v>0.10793643520479301</v>
      </c>
    </row>
    <row r="143" spans="2:33" ht="15" x14ac:dyDescent="0.25">
      <c r="B143" s="1">
        <v>132</v>
      </c>
      <c r="C143" s="1">
        <v>1.0001169749869645</v>
      </c>
      <c r="D143" s="1">
        <v>1.0946780754705081</v>
      </c>
      <c r="E143" s="1">
        <v>0.91300543001202894</v>
      </c>
      <c r="G143" s="1">
        <v>0.99930824207512847</v>
      </c>
      <c r="H143" s="1">
        <v>2.1691419661302236</v>
      </c>
      <c r="I143" s="1">
        <v>0.43222408185255728</v>
      </c>
      <c r="K143" s="1">
        <v>1.000925757719888</v>
      </c>
      <c r="L143" s="1">
        <v>2.5266224622876852</v>
      </c>
      <c r="M143" s="1">
        <v>0.36886777650313157</v>
      </c>
      <c r="O143" s="1">
        <v>3.2892526938439791E-3</v>
      </c>
      <c r="P143" s="1">
        <v>0.96446495746202909</v>
      </c>
      <c r="R143" s="1">
        <v>0.12274001022758273</v>
      </c>
      <c r="S143" s="2">
        <f t="shared" si="24"/>
        <v>0.35869069991148028</v>
      </c>
      <c r="T143" s="4">
        <f t="shared" si="25"/>
        <v>0.12865901820298761</v>
      </c>
      <c r="U143" s="1">
        <f t="shared" si="29"/>
        <v>3.2314666133581582E-2</v>
      </c>
      <c r="V143" s="6">
        <f>2*sigma/alpha*corel*(B143/12-1/alpha*(1-EXP(-alpha*Output!B143/12)))</f>
        <v>0.2626138158848168</v>
      </c>
      <c r="W143" s="5">
        <f t="shared" si="26"/>
        <v>-9.6344352069406031E-2</v>
      </c>
      <c r="X143" s="1">
        <f t="shared" si="27"/>
        <v>4.3081175073474496</v>
      </c>
      <c r="Y143" s="3">
        <f t="shared" si="28"/>
        <v>8.2408486427211977E-2</v>
      </c>
      <c r="Z143" s="1">
        <f t="shared" si="30"/>
        <v>0.10814931521784954</v>
      </c>
      <c r="AA143" s="8">
        <f t="shared" si="35"/>
        <v>10.916666666666675</v>
      </c>
      <c r="AB143" s="1">
        <v>11</v>
      </c>
      <c r="AC143" s="1">
        <v>3.251319206E-3</v>
      </c>
      <c r="AD143" s="8">
        <f t="shared" si="31"/>
        <v>-0.37933487843979163</v>
      </c>
      <c r="AE143" s="3">
        <f t="shared" si="32"/>
        <v>-1.1667106623667255E-2</v>
      </c>
      <c r="AF143" s="11">
        <f t="shared" si="33"/>
        <v>10.916666666666675</v>
      </c>
      <c r="AG143" s="1">
        <f t="shared" si="34"/>
        <v>0.10814931521784954</v>
      </c>
    </row>
    <row r="144" spans="2:33" ht="15" x14ac:dyDescent="0.25">
      <c r="B144" s="1">
        <v>133</v>
      </c>
      <c r="C144" s="1">
        <v>1.0001221344464224</v>
      </c>
      <c r="D144" s="1">
        <v>1.0930865842548694</v>
      </c>
      <c r="E144" s="1">
        <v>0.91433233658004054</v>
      </c>
      <c r="G144" s="1">
        <v>0.9995812708487849</v>
      </c>
      <c r="H144" s="1">
        <v>2.171233575611927</v>
      </c>
      <c r="I144" s="1">
        <v>0.43159792161344895</v>
      </c>
      <c r="K144" s="1">
        <v>1.0010075878264475</v>
      </c>
      <c r="L144" s="1">
        <v>2.5412686827548439</v>
      </c>
      <c r="M144" s="1">
        <v>0.36658062140000103</v>
      </c>
      <c r="O144" s="1">
        <v>3.3503909688355699E-3</v>
      </c>
      <c r="P144" s="1">
        <v>0.96354749326396871</v>
      </c>
      <c r="R144" s="1">
        <v>0.12332527233708672</v>
      </c>
      <c r="S144" s="2">
        <f t="shared" si="24"/>
        <v>0.36148825784995109</v>
      </c>
      <c r="T144" s="4">
        <f t="shared" si="25"/>
        <v>0.13067376056339272</v>
      </c>
      <c r="U144" s="1">
        <f t="shared" si="29"/>
        <v>3.2978598070552145E-2</v>
      </c>
      <c r="V144" s="6">
        <f>2*sigma/alpha*corel*(B144/12-1/alpha*(1-EXP(-alpha*Output!B144/12)))</f>
        <v>0.26633293860653739</v>
      </c>
      <c r="W144" s="5">
        <f t="shared" si="26"/>
        <v>-9.7695162492840576E-2</v>
      </c>
      <c r="X144" s="1">
        <f t="shared" si="27"/>
        <v>4.4020854380360595</v>
      </c>
      <c r="Y144" s="3">
        <f t="shared" si="28"/>
        <v>8.2636772735355732E-2</v>
      </c>
      <c r="Z144" s="1">
        <f t="shared" si="30"/>
        <v>0.10858229015379511</v>
      </c>
      <c r="AA144" s="8">
        <f t="shared" si="35"/>
        <v>11.000000000000009</v>
      </c>
      <c r="AB144" s="1">
        <v>11.08</v>
      </c>
      <c r="AC144" s="1">
        <v>3.311767801E-3</v>
      </c>
      <c r="AD144" s="8">
        <f t="shared" si="31"/>
        <v>-0.38623167835569877</v>
      </c>
      <c r="AE144" s="3">
        <f t="shared" si="32"/>
        <v>-1.1662402123695834E-2</v>
      </c>
      <c r="AF144" s="11">
        <f t="shared" si="33"/>
        <v>11.000000000000009</v>
      </c>
      <c r="AG144" s="1">
        <f t="shared" si="34"/>
        <v>0.10858229015379511</v>
      </c>
    </row>
    <row r="145" spans="2:33" ht="15" x14ac:dyDescent="0.25">
      <c r="B145" s="1">
        <v>134</v>
      </c>
      <c r="C145" s="1">
        <v>1.0001243223141294</v>
      </c>
      <c r="D145" s="1">
        <v>1.0942326030116167</v>
      </c>
      <c r="E145" s="1">
        <v>0.91337235426591501</v>
      </c>
      <c r="G145" s="1">
        <v>0.99961836784916935</v>
      </c>
      <c r="H145" s="1">
        <v>2.1813139454980575</v>
      </c>
      <c r="I145" s="1">
        <v>0.42939470030018245</v>
      </c>
      <c r="K145" s="1">
        <v>1.0009802533304468</v>
      </c>
      <c r="L145" s="1">
        <v>2.5401457494546547</v>
      </c>
      <c r="M145" s="1">
        <v>0.36650199818973533</v>
      </c>
      <c r="O145" s="1">
        <v>3.4122246667267001E-3</v>
      </c>
      <c r="P145" s="1">
        <v>0.96261361767895171</v>
      </c>
      <c r="R145" s="1">
        <v>0.12372296836555978</v>
      </c>
      <c r="S145" s="2">
        <f t="shared" si="24"/>
        <v>0.36382083983568902</v>
      </c>
      <c r="T145" s="4">
        <f t="shared" si="25"/>
        <v>0.1323656034987461</v>
      </c>
      <c r="U145" s="1">
        <f t="shared" si="29"/>
        <v>3.3650511444540676E-2</v>
      </c>
      <c r="V145" s="6">
        <f>2*sigma/alpha*corel*(B145/12-1/alpha*(1-EXP(-alpha*Output!B145/12)))</f>
        <v>0.27007434930747176</v>
      </c>
      <c r="W145" s="5">
        <f t="shared" si="26"/>
        <v>-9.8715092054205422E-2</v>
      </c>
      <c r="X145" s="1">
        <f t="shared" si="27"/>
        <v>4.4822142659083628</v>
      </c>
      <c r="Y145" s="3">
        <f t="shared" si="28"/>
        <v>8.2703718182771876E-2</v>
      </c>
      <c r="Z145" s="1">
        <f t="shared" si="30"/>
        <v>0.10887440532198588</v>
      </c>
      <c r="AA145" s="8">
        <f t="shared" si="35"/>
        <v>11.083333333333343</v>
      </c>
      <c r="AB145" s="1">
        <v>11.17</v>
      </c>
      <c r="AC145" s="1">
        <v>3.3732362710000002E-3</v>
      </c>
      <c r="AD145" s="8">
        <f t="shared" si="31"/>
        <v>-0.38988395726699887</v>
      </c>
      <c r="AE145" s="3">
        <f t="shared" si="32"/>
        <v>-1.155815738787302E-2</v>
      </c>
      <c r="AF145" s="11">
        <f t="shared" si="33"/>
        <v>11.083333333333343</v>
      </c>
      <c r="AG145" s="1">
        <f t="shared" si="34"/>
        <v>0.10887440532198588</v>
      </c>
    </row>
    <row r="146" spans="2:33" ht="15" x14ac:dyDescent="0.25">
      <c r="B146" s="1">
        <v>135</v>
      </c>
      <c r="C146" s="1">
        <v>1.0001237517472308</v>
      </c>
      <c r="D146" s="1">
        <v>1.0955049424657195</v>
      </c>
      <c r="E146" s="1">
        <v>0.9123091849417998</v>
      </c>
      <c r="G146" s="1">
        <v>0.9994299520238803</v>
      </c>
      <c r="H146" s="1">
        <v>2.1934584719920434</v>
      </c>
      <c r="I146" s="1">
        <v>0.42680983186956151</v>
      </c>
      <c r="K146" s="1">
        <v>1.0010663088567733</v>
      </c>
      <c r="L146" s="1">
        <v>2.543934610764548</v>
      </c>
      <c r="M146" s="1">
        <v>0.36577154791604422</v>
      </c>
      <c r="O146" s="1">
        <v>3.4745398926303971E-3</v>
      </c>
      <c r="P146" s="1">
        <v>0.96166552701151853</v>
      </c>
      <c r="R146" s="1">
        <v>0.12395734295058408</v>
      </c>
      <c r="S146" s="2">
        <f t="shared" si="24"/>
        <v>0.36574750108129339</v>
      </c>
      <c r="T146" s="4">
        <f t="shared" si="25"/>
        <v>0.13377123454721071</v>
      </c>
      <c r="U146" s="1">
        <f t="shared" si="29"/>
        <v>3.4330427145698561E-2</v>
      </c>
      <c r="V146" s="6">
        <f>2*sigma/alpha*corel*(B146/12-1/alpha*(1-EXP(-alpha*Output!B146/12)))</f>
        <v>0.27383797381804165</v>
      </c>
      <c r="W146" s="5">
        <f t="shared" si="26"/>
        <v>-9.9440807401512149E-2</v>
      </c>
      <c r="X146" s="1">
        <f t="shared" si="27"/>
        <v>4.5498235689728173</v>
      </c>
      <c r="Y146" s="3">
        <f t="shared" si="28"/>
        <v>8.263082535469092E-2</v>
      </c>
      <c r="Z146" s="1">
        <f t="shared" si="30"/>
        <v>0.10904483666912665</v>
      </c>
      <c r="AA146" s="8">
        <f t="shared" si="35"/>
        <v>11.166666666666677</v>
      </c>
      <c r="AB146" s="1">
        <v>11.25</v>
      </c>
      <c r="AC146" s="1">
        <v>3.4354929159999999E-3</v>
      </c>
      <c r="AD146" s="8">
        <f t="shared" si="31"/>
        <v>-0.39046976630397257</v>
      </c>
      <c r="AE146" s="3">
        <f t="shared" si="32"/>
        <v>-1.1365756700747409E-2</v>
      </c>
      <c r="AF146" s="11">
        <f t="shared" si="33"/>
        <v>11.166666666666677</v>
      </c>
      <c r="AG146" s="1">
        <f t="shared" si="34"/>
        <v>0.10904483666912665</v>
      </c>
    </row>
    <row r="147" spans="2:33" ht="15" x14ac:dyDescent="0.25">
      <c r="B147" s="1">
        <v>136</v>
      </c>
      <c r="C147" s="1">
        <v>1.0001267633475177</v>
      </c>
      <c r="D147" s="1">
        <v>1.0970581250189122</v>
      </c>
      <c r="E147" s="1">
        <v>0.91101521801427676</v>
      </c>
      <c r="G147" s="1">
        <v>0.99953343040086051</v>
      </c>
      <c r="H147" s="1">
        <v>2.2295034470891673</v>
      </c>
      <c r="I147" s="1">
        <v>0.41970550917788019</v>
      </c>
      <c r="K147" s="1">
        <v>1.0010982825698824</v>
      </c>
      <c r="L147" s="1">
        <v>2.4767710913005661</v>
      </c>
      <c r="M147" s="1">
        <v>0.37549658754470355</v>
      </c>
      <c r="O147" s="1">
        <v>3.5369335986625379E-3</v>
      </c>
      <c r="P147" s="1">
        <v>0.96070753779218965</v>
      </c>
      <c r="R147" s="1">
        <v>0.12448266535659296</v>
      </c>
      <c r="S147" s="2">
        <f t="shared" si="24"/>
        <v>0.36844973197112685</v>
      </c>
      <c r="T147" s="4">
        <f t="shared" si="25"/>
        <v>0.1357552049895952</v>
      </c>
      <c r="U147" s="1">
        <f t="shared" si="29"/>
        <v>3.501836567937211E-2</v>
      </c>
      <c r="V147" s="6">
        <f>2*sigma/alpha*corel*(B147/12-1/alpha*(1-EXP(-alpha*Output!B147/12)))</f>
        <v>0.27762373821548669</v>
      </c>
      <c r="W147" s="5">
        <f t="shared" si="26"/>
        <v>-0.10073683931022309</v>
      </c>
      <c r="X147" s="1">
        <f t="shared" si="27"/>
        <v>4.6438116554175206</v>
      </c>
      <c r="Y147" s="3">
        <f t="shared" si="28"/>
        <v>8.2823239469685506E-2</v>
      </c>
      <c r="Z147" s="1">
        <f t="shared" si="30"/>
        <v>0.10944587904648763</v>
      </c>
      <c r="AA147" s="8">
        <f t="shared" si="35"/>
        <v>11.250000000000011</v>
      </c>
      <c r="AB147" s="1">
        <v>11.33</v>
      </c>
      <c r="AC147" s="1">
        <v>3.498216598E-3</v>
      </c>
      <c r="AD147" s="8">
        <f t="shared" si="31"/>
        <v>-0.38717000662537909</v>
      </c>
      <c r="AE147" s="3">
        <f t="shared" si="32"/>
        <v>-1.1067639632341001E-2</v>
      </c>
      <c r="AF147" s="11">
        <f t="shared" si="33"/>
        <v>11.250000000000011</v>
      </c>
      <c r="AG147" s="1">
        <f t="shared" si="34"/>
        <v>0.10944587904648763</v>
      </c>
    </row>
    <row r="148" spans="2:33" ht="15" x14ac:dyDescent="0.25">
      <c r="B148" s="1">
        <v>137</v>
      </c>
      <c r="C148" s="1">
        <v>1.0001273840994436</v>
      </c>
      <c r="D148" s="1">
        <v>1.0977559750498389</v>
      </c>
      <c r="E148" s="1">
        <v>0.91043374816810818</v>
      </c>
      <c r="G148" s="1">
        <v>0.99944630565193093</v>
      </c>
      <c r="H148" s="1">
        <v>2.2415915565461924</v>
      </c>
      <c r="I148" s="1">
        <v>0.41723942039476791</v>
      </c>
      <c r="K148" s="1">
        <v>1.0009888579541237</v>
      </c>
      <c r="L148" s="1">
        <v>2.4976734960229101</v>
      </c>
      <c r="M148" s="1">
        <v>0.37216166404137174</v>
      </c>
      <c r="O148" s="1">
        <v>3.5992428383198483E-3</v>
      </c>
      <c r="P148" s="1">
        <v>0.95974144805495598</v>
      </c>
      <c r="R148" s="1">
        <v>0.12487490602238724</v>
      </c>
      <c r="S148" s="2">
        <f t="shared" si="24"/>
        <v>0.37081667926857353</v>
      </c>
      <c r="T148" s="4">
        <f t="shared" si="25"/>
        <v>0.13750500962377213</v>
      </c>
      <c r="U148" s="1">
        <f t="shared" si="29"/>
        <v>3.5714347169480742E-2</v>
      </c>
      <c r="V148" s="6">
        <f>2*sigma/alpha*corel*(B148/12-1/alpha*(1-EXP(-alpha*Output!B148/12)))</f>
        <v>0.28143156882304687</v>
      </c>
      <c r="W148" s="5">
        <f t="shared" si="26"/>
        <v>-0.10179066245429139</v>
      </c>
      <c r="X148" s="1">
        <f t="shared" si="27"/>
        <v>4.7276439800095078</v>
      </c>
      <c r="Y148" s="3">
        <f t="shared" si="28"/>
        <v>8.2899986769254155E-2</v>
      </c>
      <c r="Z148" s="1">
        <f t="shared" si="30"/>
        <v>0.10974622735930598</v>
      </c>
      <c r="AA148" s="8">
        <f t="shared" si="35"/>
        <v>11.333333333333345</v>
      </c>
      <c r="AB148" s="1">
        <v>11.42</v>
      </c>
      <c r="AC148" s="1">
        <v>3.5610861769999999E-3</v>
      </c>
      <c r="AD148" s="8">
        <f t="shared" si="31"/>
        <v>-0.38156661319848401</v>
      </c>
      <c r="AE148" s="3">
        <f t="shared" si="32"/>
        <v>-1.0714894114692019E-2</v>
      </c>
      <c r="AF148" s="11">
        <f t="shared" si="33"/>
        <v>11.333333333333345</v>
      </c>
      <c r="AG148" s="1">
        <f t="shared" si="34"/>
        <v>0.10974622735930598</v>
      </c>
    </row>
    <row r="149" spans="2:33" ht="15" x14ac:dyDescent="0.25">
      <c r="B149" s="1">
        <v>138</v>
      </c>
      <c r="C149" s="1">
        <v>1.0001265899592067</v>
      </c>
      <c r="D149" s="1">
        <v>1.099231753368296</v>
      </c>
      <c r="E149" s="1">
        <v>0.90920912481628913</v>
      </c>
      <c r="G149" s="1">
        <v>0.99924817670936394</v>
      </c>
      <c r="H149" s="1">
        <v>2.2832072584551204</v>
      </c>
      <c r="I149" s="1">
        <v>0.40943549227768028</v>
      </c>
      <c r="K149" s="1">
        <v>1.0008953672661127</v>
      </c>
      <c r="L149" s="1">
        <v>2.5042028740335778</v>
      </c>
      <c r="M149" s="1">
        <v>0.3709902267002661</v>
      </c>
      <c r="O149" s="1">
        <v>3.6610741035842942E-3</v>
      </c>
      <c r="P149" s="1">
        <v>0.95877164317172359</v>
      </c>
      <c r="R149" s="1">
        <v>0.12499026061061029</v>
      </c>
      <c r="S149" s="2">
        <f t="shared" si="24"/>
        <v>0.37246433866335171</v>
      </c>
      <c r="T149" s="4">
        <f t="shared" si="25"/>
        <v>0.13872968357592796</v>
      </c>
      <c r="U149" s="1">
        <f t="shared" si="29"/>
        <v>3.6418391361866753E-2</v>
      </c>
      <c r="V149" s="6">
        <f>2*sigma/alpha*corel*(B149/12-1/alpha*(1-EXP(-alpha*Output!B149/12)))</f>
        <v>0.28526139220914359</v>
      </c>
      <c r="W149" s="5">
        <f t="shared" si="26"/>
        <v>-0.10231129221406121</v>
      </c>
      <c r="X149" s="1">
        <f t="shared" si="27"/>
        <v>4.7876935037319148</v>
      </c>
      <c r="Y149" s="3">
        <f t="shared" si="28"/>
        <v>8.2731238028038195E-2</v>
      </c>
      <c r="Z149" s="1">
        <f t="shared" si="30"/>
        <v>0.10983374138092931</v>
      </c>
      <c r="AA149" s="8">
        <f t="shared" si="35"/>
        <v>11.416666666666679</v>
      </c>
      <c r="AB149" s="1">
        <v>11.5</v>
      </c>
      <c r="AC149" s="1">
        <v>3.6237805150000002E-3</v>
      </c>
      <c r="AD149" s="8">
        <f t="shared" si="31"/>
        <v>-0.37293588584294024</v>
      </c>
      <c r="AE149" s="3">
        <f t="shared" si="32"/>
        <v>-1.0291348615050993E-2</v>
      </c>
      <c r="AF149" s="11">
        <f t="shared" si="33"/>
        <v>11.416666666666679</v>
      </c>
      <c r="AG149" s="1">
        <f t="shared" si="34"/>
        <v>0.10983374138092931</v>
      </c>
    </row>
    <row r="150" spans="2:33" ht="15" x14ac:dyDescent="0.25">
      <c r="B150" s="1">
        <v>139</v>
      </c>
      <c r="C150" s="1">
        <v>1.0001269954744865</v>
      </c>
      <c r="D150" s="1">
        <v>1.1025728851049053</v>
      </c>
      <c r="E150" s="1">
        <v>0.9064516470137024</v>
      </c>
      <c r="G150" s="1">
        <v>0.99913239293063894</v>
      </c>
      <c r="H150" s="1">
        <v>2.3459175397807268</v>
      </c>
      <c r="I150" s="1">
        <v>0.3982970592543234</v>
      </c>
      <c r="K150" s="1">
        <v>1.0010596761139117</v>
      </c>
      <c r="L150" s="1">
        <v>2.5858513132953433</v>
      </c>
      <c r="M150" s="1">
        <v>0.35909792279549085</v>
      </c>
      <c r="O150" s="1">
        <v>3.7221000381440208E-3</v>
      </c>
      <c r="P150" s="1">
        <v>0.95780188268398181</v>
      </c>
      <c r="R150" s="1">
        <v>0.1253420658562239</v>
      </c>
      <c r="S150" s="2">
        <f t="shared" si="24"/>
        <v>0.37473244278041928</v>
      </c>
      <c r="T150" s="4">
        <f t="shared" si="25"/>
        <v>0.1404244036721802</v>
      </c>
      <c r="U150" s="1">
        <f t="shared" si="29"/>
        <v>3.7130517627618875E-2</v>
      </c>
      <c r="V150" s="6">
        <f>2*sigma/alpha*corel*(B150/12-1/alpha*(1-EXP(-alpha*Output!B150/12)))</f>
        <v>0.28911313518656034</v>
      </c>
      <c r="W150" s="5">
        <f t="shared" si="26"/>
        <v>-0.10329388604456133</v>
      </c>
      <c r="X150" s="1">
        <f t="shared" si="27"/>
        <v>4.8695364583354106</v>
      </c>
      <c r="Y150" s="3">
        <f t="shared" si="28"/>
        <v>8.2773646877539145E-2</v>
      </c>
      <c r="Z150" s="1">
        <f t="shared" si="30"/>
        <v>0.11010436004625528</v>
      </c>
      <c r="AA150" s="8">
        <f t="shared" si="35"/>
        <v>11.500000000000012</v>
      </c>
      <c r="AB150" s="1">
        <v>11.58</v>
      </c>
      <c r="AC150" s="1">
        <v>3.6859784720000002E-3</v>
      </c>
      <c r="AD150" s="8">
        <f t="shared" si="31"/>
        <v>-0.36121566144020623</v>
      </c>
      <c r="AE150" s="3">
        <f t="shared" si="32"/>
        <v>-9.799722493881299E-3</v>
      </c>
      <c r="AF150" s="11">
        <f t="shared" si="33"/>
        <v>11.500000000000012</v>
      </c>
      <c r="AG150" s="1">
        <f t="shared" si="34"/>
        <v>0.11010436004625528</v>
      </c>
    </row>
    <row r="151" spans="2:33" ht="15" x14ac:dyDescent="0.25">
      <c r="B151" s="1">
        <v>140</v>
      </c>
      <c r="C151" s="1">
        <v>1.0001284559442973</v>
      </c>
      <c r="D151" s="1">
        <v>1.1022777015308796</v>
      </c>
      <c r="E151" s="1">
        <v>0.90669210383676113</v>
      </c>
      <c r="G151" s="1">
        <v>0.99910226124897927</v>
      </c>
      <c r="H151" s="1">
        <v>2.3384925985349381</v>
      </c>
      <c r="I151" s="1">
        <v>0.39936763986372842</v>
      </c>
      <c r="K151" s="1">
        <v>1.0009476685365271</v>
      </c>
      <c r="L151" s="1">
        <v>2.5876714974781345</v>
      </c>
      <c r="M151" s="1">
        <v>0.35863398765449872</v>
      </c>
      <c r="O151" s="1">
        <v>3.7820338034449206E-3</v>
      </c>
      <c r="P151" s="1">
        <v>0.95683556307880491</v>
      </c>
      <c r="R151" s="1">
        <v>0.12560494470174946</v>
      </c>
      <c r="S151" s="2">
        <f t="shared" ref="S151:S214" si="36">optim_vol_implied(P151,R151)</f>
        <v>0.37676348799065362</v>
      </c>
      <c r="T151" s="4">
        <f t="shared" ref="T151:T214" si="37">S151*S151</f>
        <v>0.14195072588288341</v>
      </c>
      <c r="U151" s="1">
        <f t="shared" si="29"/>
        <v>3.7850744966374528E-2</v>
      </c>
      <c r="V151" s="6">
        <f>2*sigma/alpha*corel*(B151/12-1/alpha*(1-EXP(-alpha*Output!B151/12)))</f>
        <v>0.29298672481163357</v>
      </c>
      <c r="W151" s="5">
        <f t="shared" ref="W151:W214" si="38">U151-T151</f>
        <v>-0.10409998091650888</v>
      </c>
      <c r="X151" s="1">
        <f t="shared" ref="X151:X214" si="39">V151*V151-4*W151*B151/12</f>
        <v>4.9438403303529288</v>
      </c>
      <c r="Y151" s="3">
        <f t="shared" ref="Y151:Y214" si="40">(-V151+SQRT(X151))/2/B151*12</f>
        <v>8.2735204611283877E-2</v>
      </c>
      <c r="Z151" s="1">
        <f t="shared" si="30"/>
        <v>0.11030505462432681</v>
      </c>
      <c r="AA151" s="8">
        <f t="shared" si="35"/>
        <v>11.583333333333346</v>
      </c>
      <c r="AB151" s="1">
        <v>11.67</v>
      </c>
      <c r="AC151" s="1">
        <v>3.7473577770000001E-3</v>
      </c>
      <c r="AD151" s="8">
        <f t="shared" si="31"/>
        <v>-0.34676026444920449</v>
      </c>
      <c r="AE151" s="3">
        <f t="shared" si="32"/>
        <v>-9.2534603068193909E-3</v>
      </c>
      <c r="AF151" s="11">
        <f t="shared" si="33"/>
        <v>11.583333333333346</v>
      </c>
      <c r="AG151" s="1">
        <f t="shared" si="34"/>
        <v>0.11030505462432681</v>
      </c>
    </row>
    <row r="152" spans="2:33" ht="15" x14ac:dyDescent="0.25">
      <c r="B152" s="1">
        <v>141</v>
      </c>
      <c r="C152" s="1">
        <v>1.0001292100248911</v>
      </c>
      <c r="D152" s="1">
        <v>1.1051849241826381</v>
      </c>
      <c r="E152" s="1">
        <v>0.90430475453674553</v>
      </c>
      <c r="G152" s="1">
        <v>0.99902011315623207</v>
      </c>
      <c r="H152" s="1">
        <v>2.3905399906475902</v>
      </c>
      <c r="I152" s="1">
        <v>0.39048278987055607</v>
      </c>
      <c r="K152" s="1">
        <v>1.0008450349713816</v>
      </c>
      <c r="L152" s="1">
        <v>2.5741559405813259</v>
      </c>
      <c r="M152" s="1">
        <v>0.36033701207069424</v>
      </c>
      <c r="O152" s="1">
        <v>3.840462069646629E-3</v>
      </c>
      <c r="P152" s="1">
        <v>0.95587757924041872</v>
      </c>
      <c r="R152" s="1">
        <v>0.12588045890450403</v>
      </c>
      <c r="S152" s="2">
        <f t="shared" si="36"/>
        <v>0.37881703727805649</v>
      </c>
      <c r="T152" s="4">
        <f t="shared" si="37"/>
        <v>0.14350234773212445</v>
      </c>
      <c r="U152" s="1">
        <f t="shared" si="29"/>
        <v>3.8579092009595417E-2</v>
      </c>
      <c r="V152" s="6">
        <f>2*sigma/alpha*corel*(B152/12-1/alpha*(1-EXP(-alpha*Output!B152/12)))</f>
        <v>0.29688208838343999</v>
      </c>
      <c r="W152" s="5">
        <f t="shared" si="38"/>
        <v>-0.10492325572252903</v>
      </c>
      <c r="X152" s="1">
        <f t="shared" si="39"/>
        <v>5.0195319933617775</v>
      </c>
      <c r="Y152" s="3">
        <f t="shared" si="40"/>
        <v>8.2704217814062286E-2</v>
      </c>
      <c r="Z152" s="1">
        <f t="shared" si="30"/>
        <v>0.11051228784364263</v>
      </c>
      <c r="AA152" s="8">
        <f t="shared" si="35"/>
        <v>11.66666666666668</v>
      </c>
      <c r="AB152" s="1">
        <v>11.75</v>
      </c>
      <c r="AC152" s="1">
        <v>3.807591638E-3</v>
      </c>
      <c r="AD152" s="8">
        <f t="shared" si="31"/>
        <v>-0.32870431646628978</v>
      </c>
      <c r="AE152" s="3">
        <f t="shared" si="32"/>
        <v>-8.6328668543601255E-3</v>
      </c>
      <c r="AF152" s="11">
        <f t="shared" si="33"/>
        <v>11.66666666666668</v>
      </c>
      <c r="AG152" s="1">
        <f t="shared" si="34"/>
        <v>0.11051228784364263</v>
      </c>
    </row>
    <row r="153" spans="2:33" ht="15" x14ac:dyDescent="0.25">
      <c r="B153" s="1">
        <v>142</v>
      </c>
      <c r="C153" s="1">
        <v>1.0001289317095299</v>
      </c>
      <c r="D153" s="1">
        <v>1.1064999447041621</v>
      </c>
      <c r="E153" s="1">
        <v>0.90322777985835978</v>
      </c>
      <c r="G153" s="1">
        <v>0.9988520008704751</v>
      </c>
      <c r="H153" s="1">
        <v>2.4153037352871527</v>
      </c>
      <c r="I153" s="1">
        <v>0.38629154957494227</v>
      </c>
      <c r="K153" s="1">
        <v>1.0008327280924305</v>
      </c>
      <c r="L153" s="1">
        <v>2.6609818548441857</v>
      </c>
      <c r="M153" s="1">
        <v>0.34838157674565523</v>
      </c>
      <c r="O153" s="1">
        <v>3.8971774563965394E-3</v>
      </c>
      <c r="P153" s="1">
        <v>0.95493061088466791</v>
      </c>
      <c r="R153" s="1">
        <v>0.12605898518550923</v>
      </c>
      <c r="S153" s="2">
        <f t="shared" si="36"/>
        <v>0.38060103857610195</v>
      </c>
      <c r="T153" s="4">
        <f t="shared" si="37"/>
        <v>0.14485715056520745</v>
      </c>
      <c r="U153" s="1">
        <f t="shared" si="29"/>
        <v>3.9315577023818271E-2</v>
      </c>
      <c r="V153" s="6">
        <f>2*sigma/alpha*corel*(B153/12-1/alpha*(1-EXP(-alpha*Output!B153/12)))</f>
        <v>0.30079915344298902</v>
      </c>
      <c r="W153" s="5">
        <f t="shared" si="38"/>
        <v>-0.10554157354138918</v>
      </c>
      <c r="X153" s="1">
        <f t="shared" si="39"/>
        <v>5.086114611671106</v>
      </c>
      <c r="Y153" s="3">
        <f t="shared" si="40"/>
        <v>8.2582074619275303E-2</v>
      </c>
      <c r="Z153" s="1">
        <f t="shared" si="30"/>
        <v>0.11064108343440358</v>
      </c>
      <c r="AA153" s="8">
        <f t="shared" si="35"/>
        <v>11.750000000000014</v>
      </c>
      <c r="AB153" s="1">
        <v>11.83</v>
      </c>
      <c r="AC153" s="1">
        <v>3.8663521269999999E-3</v>
      </c>
      <c r="AD153" s="8">
        <f t="shared" si="31"/>
        <v>-0.30825329396539508</v>
      </c>
      <c r="AE153" s="3">
        <f t="shared" si="32"/>
        <v>-7.9727164996887274E-3</v>
      </c>
      <c r="AF153" s="11">
        <f t="shared" si="33"/>
        <v>11.750000000000014</v>
      </c>
      <c r="AG153" s="1">
        <f t="shared" si="34"/>
        <v>0.11064108343440358</v>
      </c>
    </row>
    <row r="154" spans="2:33" ht="15" x14ac:dyDescent="0.25">
      <c r="B154" s="1">
        <v>143</v>
      </c>
      <c r="C154" s="1">
        <v>1.000130268486529</v>
      </c>
      <c r="D154" s="1">
        <v>1.1068690608645249</v>
      </c>
      <c r="E154" s="1">
        <v>0.90292433229202429</v>
      </c>
      <c r="G154" s="1">
        <v>0.99881019057320386</v>
      </c>
      <c r="H154" s="1">
        <v>2.4214469304750694</v>
      </c>
      <c r="I154" s="1">
        <v>0.38512442712007861</v>
      </c>
      <c r="K154" s="1">
        <v>1.0007767490360018</v>
      </c>
      <c r="L154" s="1">
        <v>2.6272047079215368</v>
      </c>
      <c r="M154" s="1">
        <v>0.35268528571512275</v>
      </c>
      <c r="O154" s="1">
        <v>3.9517616818581479E-3</v>
      </c>
      <c r="P154" s="1">
        <v>0.95399979090711196</v>
      </c>
      <c r="R154" s="1">
        <v>0.12634217017228522</v>
      </c>
      <c r="S154" s="2">
        <f t="shared" si="36"/>
        <v>0.3826387440715493</v>
      </c>
      <c r="T154" s="4">
        <f t="shared" si="37"/>
        <v>0.14641240846465262</v>
      </c>
      <c r="U154" s="1">
        <f t="shared" si="29"/>
        <v>4.0060217913882479E-2</v>
      </c>
      <c r="V154" s="6">
        <f>2*sigma/alpha*corel*(B154/12-1/alpha*(1-EXP(-alpha*Output!B154/12)))</f>
        <v>0.30473784777241786</v>
      </c>
      <c r="W154" s="5">
        <f t="shared" si="38"/>
        <v>-0.10635219055077014</v>
      </c>
      <c r="X154" s="1">
        <f t="shared" si="39"/>
        <v>5.1623195721183412</v>
      </c>
      <c r="Y154" s="3">
        <f t="shared" si="40"/>
        <v>8.2545566455606442E-2</v>
      </c>
      <c r="Z154" s="1">
        <f t="shared" si="30"/>
        <v>0.11084383589120211</v>
      </c>
      <c r="AA154" s="8">
        <f t="shared" si="35"/>
        <v>11.833333333333348</v>
      </c>
      <c r="AB154" s="1">
        <v>11.92</v>
      </c>
      <c r="AC154" s="1">
        <v>3.9233113189999997E-3</v>
      </c>
      <c r="AD154" s="8">
        <f t="shared" si="31"/>
        <v>-0.2845036285814822</v>
      </c>
      <c r="AE154" s="3">
        <f t="shared" si="32"/>
        <v>-7.2516200079171499E-3</v>
      </c>
      <c r="AF154" s="11">
        <f t="shared" si="33"/>
        <v>11.833333333333348</v>
      </c>
      <c r="AG154" s="1">
        <f t="shared" si="34"/>
        <v>0.11084383589120211</v>
      </c>
    </row>
    <row r="155" spans="2:33" ht="15" x14ac:dyDescent="0.25">
      <c r="B155" s="1">
        <v>144</v>
      </c>
      <c r="C155" s="1">
        <v>1.0001313216611458</v>
      </c>
      <c r="D155" s="1">
        <v>1.1039530912019107</v>
      </c>
      <c r="E155" s="1">
        <v>0.90530707164009316</v>
      </c>
      <c r="G155" s="1">
        <v>0.99874712761351547</v>
      </c>
      <c r="H155" s="1">
        <v>2.3648600830857487</v>
      </c>
      <c r="I155" s="1">
        <v>0.39414828389826567</v>
      </c>
      <c r="K155" s="1">
        <v>1.000745771784759</v>
      </c>
      <c r="L155" s="1">
        <v>2.674510242211845</v>
      </c>
      <c r="M155" s="1">
        <v>0.34624172554510746</v>
      </c>
      <c r="O155" s="1">
        <v>4.0038730635943076E-3</v>
      </c>
      <c r="P155" s="1">
        <v>0.95308948953366113</v>
      </c>
      <c r="R155" s="1">
        <v>0.12655197504741797</v>
      </c>
      <c r="S155" s="2">
        <f t="shared" si="36"/>
        <v>0.38445553760574802</v>
      </c>
      <c r="T155" s="4">
        <f t="shared" si="37"/>
        <v>0.14780606039572472</v>
      </c>
      <c r="U155" s="1">
        <f t="shared" si="29"/>
        <v>4.0813032226134194E-2</v>
      </c>
      <c r="V155" s="6">
        <f>2*sigma/alpha*corel*(B155/12-1/alpha*(1-EXP(-alpha*Output!B155/12)))</f>
        <v>0.30869809939419013</v>
      </c>
      <c r="W155" s="5">
        <f t="shared" si="38"/>
        <v>-0.10699302816959053</v>
      </c>
      <c r="X155" s="1">
        <f t="shared" si="39"/>
        <v>5.230959868709931</v>
      </c>
      <c r="Y155" s="3">
        <f t="shared" si="40"/>
        <v>8.2434628201013063E-2</v>
      </c>
      <c r="Z155" s="1">
        <f t="shared" si="30"/>
        <v>0.11098275406406047</v>
      </c>
      <c r="AA155" s="8">
        <f t="shared" si="35"/>
        <v>11.916666666666682</v>
      </c>
      <c r="AB155" s="1">
        <v>12</v>
      </c>
      <c r="AC155" s="1">
        <v>3.9781412879999999E-3</v>
      </c>
      <c r="AD155" s="8">
        <f t="shared" si="31"/>
        <v>-0.25731775594307721</v>
      </c>
      <c r="AE155" s="3">
        <f t="shared" si="32"/>
        <v>-6.4682910262456534E-3</v>
      </c>
      <c r="AF155" s="11">
        <f t="shared" si="33"/>
        <v>11.916666666666682</v>
      </c>
      <c r="AG155" s="1">
        <f t="shared" si="34"/>
        <v>0.11098275406406047</v>
      </c>
    </row>
    <row r="156" spans="2:33" ht="15" x14ac:dyDescent="0.25">
      <c r="B156" s="1">
        <v>145</v>
      </c>
      <c r="C156" s="1">
        <v>1.0001338383794909</v>
      </c>
      <c r="D156" s="1">
        <v>1.1062787586946856</v>
      </c>
      <c r="E156" s="1">
        <v>0.90340167590430864</v>
      </c>
      <c r="G156" s="1">
        <v>0.99880552986103355</v>
      </c>
      <c r="H156" s="1">
        <v>2.3741201807447276</v>
      </c>
      <c r="I156" s="1">
        <v>0.39242030510332099</v>
      </c>
      <c r="K156" s="1">
        <v>1.0008221451210371</v>
      </c>
      <c r="L156" s="1">
        <v>2.6889879660606062</v>
      </c>
      <c r="M156" s="1">
        <v>0.34422647361153164</v>
      </c>
      <c r="O156" s="1">
        <v>4.053378717085521E-3</v>
      </c>
      <c r="P156" s="1">
        <v>0.95220176733905393</v>
      </c>
      <c r="R156" s="1">
        <v>0.12704301184837533</v>
      </c>
      <c r="S156" s="2">
        <f t="shared" si="36"/>
        <v>0.38698362112191442</v>
      </c>
      <c r="T156" s="4">
        <f t="shared" si="37"/>
        <v>0.14975632301662942</v>
      </c>
      <c r="U156" s="1">
        <f t="shared" si="29"/>
        <v>4.1574037151602905E-2</v>
      </c>
      <c r="V156" s="6">
        <f>2*sigma/alpha*corel*(B156/12-1/alpha*(1-EXP(-alpha*Output!B156/12)))</f>
        <v>0.3126798365702943</v>
      </c>
      <c r="W156" s="5">
        <f t="shared" si="38"/>
        <v>-0.10818228586502651</v>
      </c>
      <c r="X156" s="1">
        <f t="shared" si="39"/>
        <v>5.326579163673907</v>
      </c>
      <c r="Y156" s="3">
        <f t="shared" si="40"/>
        <v>8.2562418881171856E-2</v>
      </c>
      <c r="Z156" s="1">
        <f t="shared" si="30"/>
        <v>0.11132666676232927</v>
      </c>
      <c r="AA156" s="8">
        <f t="shared" si="35"/>
        <v>12.000000000000016</v>
      </c>
      <c r="AB156" s="1">
        <v>12.08</v>
      </c>
      <c r="AC156" s="1">
        <v>4.0305141100000002E-3</v>
      </c>
      <c r="AD156" s="8">
        <f t="shared" si="31"/>
        <v>-0.22864607085520788</v>
      </c>
      <c r="AE156" s="3">
        <f t="shared" si="32"/>
        <v>-5.672876080198311E-3</v>
      </c>
      <c r="AF156" s="11">
        <f t="shared" si="33"/>
        <v>12.000000000000016</v>
      </c>
      <c r="AG156" s="1">
        <f t="shared" si="34"/>
        <v>0.11132666676232927</v>
      </c>
    </row>
    <row r="157" spans="2:33" ht="15" x14ac:dyDescent="0.25">
      <c r="B157" s="1">
        <v>146</v>
      </c>
      <c r="C157" s="1">
        <v>1.0001337678595912</v>
      </c>
      <c r="D157" s="1">
        <v>1.1054796229488737</v>
      </c>
      <c r="E157" s="1">
        <v>0.90405252253791879</v>
      </c>
      <c r="G157" s="1">
        <v>0.99865697370029705</v>
      </c>
      <c r="H157" s="1">
        <v>2.351290480298784</v>
      </c>
      <c r="I157" s="1">
        <v>0.39603810629321662</v>
      </c>
      <c r="K157" s="1">
        <v>1.0007637669205067</v>
      </c>
      <c r="L157" s="1">
        <v>2.589292367149862</v>
      </c>
      <c r="M157" s="1">
        <v>0.35727584535607004</v>
      </c>
      <c r="O157" s="1">
        <v>4.1003697261318903E-3</v>
      </c>
      <c r="P157" s="1">
        <v>0.95133612830295045</v>
      </c>
      <c r="R157" s="1">
        <v>0.12711965626086583</v>
      </c>
      <c r="S157" s="2">
        <f t="shared" si="36"/>
        <v>0.3883887484586831</v>
      </c>
      <c r="T157" s="4">
        <f t="shared" si="37"/>
        <v>0.15084581992930221</v>
      </c>
      <c r="U157" s="1">
        <f t="shared" si="29"/>
        <v>4.2343249529158467E-2</v>
      </c>
      <c r="V157" s="6">
        <f>2*sigma/alpha*corel*(B157/12-1/alpha*(1-EXP(-alpha*Output!B157/12)))</f>
        <v>0.31668298780144677</v>
      </c>
      <c r="W157" s="5">
        <f t="shared" si="38"/>
        <v>-0.10850257040014374</v>
      </c>
      <c r="X157" s="1">
        <f t="shared" si="39"/>
        <v>5.3807465409031803</v>
      </c>
      <c r="Y157" s="3">
        <f t="shared" si="40"/>
        <v>8.2313450789741283E-2</v>
      </c>
      <c r="Z157" s="1">
        <f t="shared" si="30"/>
        <v>0.11134759346089025</v>
      </c>
      <c r="AA157" s="8">
        <f t="shared" si="35"/>
        <v>12.08333333333335</v>
      </c>
      <c r="AB157" s="1">
        <v>12.17</v>
      </c>
      <c r="AC157" s="1">
        <v>4.0802033210000001E-3</v>
      </c>
      <c r="AD157" s="8">
        <f t="shared" si="31"/>
        <v>-0.20166405131890122</v>
      </c>
      <c r="AE157" s="3">
        <f t="shared" si="32"/>
        <v>-4.9425000533913641E-3</v>
      </c>
      <c r="AF157" s="11">
        <f t="shared" si="33"/>
        <v>12.08333333333335</v>
      </c>
      <c r="AG157" s="1">
        <f t="shared" si="34"/>
        <v>0.11134759346089025</v>
      </c>
    </row>
    <row r="158" spans="2:33" ht="15" x14ac:dyDescent="0.25">
      <c r="B158" s="1">
        <v>147</v>
      </c>
      <c r="C158" s="1">
        <v>1.0001360825806398</v>
      </c>
      <c r="D158" s="1">
        <v>1.1066289886066443</v>
      </c>
      <c r="E158" s="1">
        <v>0.90311136029272565</v>
      </c>
      <c r="G158" s="1">
        <v>0.99868852152814636</v>
      </c>
      <c r="H158" s="1">
        <v>2.3751873269542827</v>
      </c>
      <c r="I158" s="1">
        <v>0.39186321138315139</v>
      </c>
      <c r="K158" s="1">
        <v>1.0008891982890096</v>
      </c>
      <c r="L158" s="1">
        <v>2.6432772125975452</v>
      </c>
      <c r="M158" s="1">
        <v>0.34978665001741832</v>
      </c>
      <c r="O158" s="1">
        <v>4.1451583071835298E-3</v>
      </c>
      <c r="P158" s="1">
        <v>0.95048947592328004</v>
      </c>
      <c r="R158" s="1">
        <v>0.12758627195447619</v>
      </c>
      <c r="S158" s="2">
        <f t="shared" si="36"/>
        <v>0.39079820424028056</v>
      </c>
      <c r="T158" s="4">
        <f t="shared" si="37"/>
        <v>0.15272323643742802</v>
      </c>
      <c r="U158" s="1">
        <f t="shared" si="29"/>
        <v>4.3120685848644591E-2</v>
      </c>
      <c r="V158" s="6">
        <f>2*sigma/alpha*corel*(B158/12-1/alpha*(1-EXP(-alpha*Output!B158/12)))</f>
        <v>0.32070748182630027</v>
      </c>
      <c r="W158" s="5">
        <f t="shared" si="38"/>
        <v>-0.10960255058878343</v>
      </c>
      <c r="X158" s="1">
        <f t="shared" si="39"/>
        <v>5.4733782677497542</v>
      </c>
      <c r="Y158" s="3">
        <f t="shared" si="40"/>
        <v>8.2400724118168539E-2</v>
      </c>
      <c r="Z158" s="1">
        <f t="shared" si="30"/>
        <v>0.11165662978293731</v>
      </c>
      <c r="AA158" s="8">
        <f t="shared" si="35"/>
        <v>12.166666666666684</v>
      </c>
      <c r="AB158" s="1">
        <v>12.25</v>
      </c>
      <c r="AC158" s="1">
        <v>4.1273883090000001E-3</v>
      </c>
      <c r="AD158" s="8">
        <f t="shared" si="31"/>
        <v>-0.17769998183529701</v>
      </c>
      <c r="AE158" s="3">
        <f t="shared" si="32"/>
        <v>-4.3053855981471942E-3</v>
      </c>
      <c r="AF158" s="11">
        <f t="shared" si="33"/>
        <v>12.166666666666684</v>
      </c>
      <c r="AG158" s="1">
        <f t="shared" si="34"/>
        <v>0.11165662978293731</v>
      </c>
    </row>
    <row r="159" spans="2:33" ht="15" x14ac:dyDescent="0.25">
      <c r="B159" s="1">
        <v>148</v>
      </c>
      <c r="C159" s="1">
        <v>1.000137207004782</v>
      </c>
      <c r="D159" s="1">
        <v>1.1066619980088042</v>
      </c>
      <c r="E159" s="1">
        <v>0.90308223715969216</v>
      </c>
      <c r="G159" s="1">
        <v>0.99862723941830611</v>
      </c>
      <c r="H159" s="1">
        <v>2.3751631765030159</v>
      </c>
      <c r="I159" s="1">
        <v>0.39167695407163244</v>
      </c>
      <c r="K159" s="1">
        <v>1.0008404737808938</v>
      </c>
      <c r="L159" s="1">
        <v>2.6374023005702836</v>
      </c>
      <c r="M159" s="1">
        <v>0.35038688458492534</v>
      </c>
      <c r="O159" s="1">
        <v>4.1879907963447626E-3</v>
      </c>
      <c r="P159" s="1">
        <v>0.9496593985764733</v>
      </c>
      <c r="R159" s="1">
        <v>0.12793286900054929</v>
      </c>
      <c r="S159" s="2">
        <f t="shared" si="36"/>
        <v>0.39286899814006959</v>
      </c>
      <c r="T159" s="4">
        <f t="shared" si="37"/>
        <v>0.15434604969958202</v>
      </c>
      <c r="U159" s="1">
        <f t="shared" si="29"/>
        <v>4.3906362253982145E-2</v>
      </c>
      <c r="V159" s="6">
        <f>2*sigma/alpha*corel*(B159/12-1/alpha*(1-EXP(-alpha*Output!B159/12)))</f>
        <v>0.32475324762064761</v>
      </c>
      <c r="W159" s="5">
        <f t="shared" si="38"/>
        <v>-0.11043968744559987</v>
      </c>
      <c r="X159" s="1">
        <f t="shared" si="39"/>
        <v>5.5538225858230845</v>
      </c>
      <c r="Y159" s="3">
        <f t="shared" si="40"/>
        <v>8.2374393618932118E-2</v>
      </c>
      <c r="Z159" s="1">
        <f t="shared" si="30"/>
        <v>0.1118684252603762</v>
      </c>
      <c r="AA159" s="8">
        <f t="shared" si="35"/>
        <v>12.250000000000018</v>
      </c>
      <c r="AB159" s="1">
        <v>12.33</v>
      </c>
      <c r="AC159" s="1">
        <v>4.1723499249999999E-3</v>
      </c>
      <c r="AD159" s="8">
        <f t="shared" si="31"/>
        <v>-0.15640871344762761</v>
      </c>
      <c r="AE159" s="3">
        <f t="shared" si="32"/>
        <v>-3.748695968917986E-3</v>
      </c>
      <c r="AF159" s="11">
        <f t="shared" si="33"/>
        <v>12.250000000000018</v>
      </c>
      <c r="AG159" s="1">
        <f t="shared" si="34"/>
        <v>0.1118684252603762</v>
      </c>
    </row>
    <row r="160" spans="2:33" ht="15" x14ac:dyDescent="0.25">
      <c r="B160" s="1">
        <v>149</v>
      </c>
      <c r="C160" s="1">
        <v>1.0001391937516995</v>
      </c>
      <c r="D160" s="1">
        <v>1.1078134442592544</v>
      </c>
      <c r="E160" s="1">
        <v>0.90214141342479781</v>
      </c>
      <c r="G160" s="1">
        <v>0.99863318020553615</v>
      </c>
      <c r="H160" s="1">
        <v>2.4059340775347238</v>
      </c>
      <c r="I160" s="1">
        <v>0.38647985900129594</v>
      </c>
      <c r="K160" s="1">
        <v>1.0009170148014563</v>
      </c>
      <c r="L160" s="1">
        <v>2.6283969216868668</v>
      </c>
      <c r="M160" s="1">
        <v>0.35140492778554727</v>
      </c>
      <c r="O160" s="1">
        <v>4.2291403268725656E-3</v>
      </c>
      <c r="P160" s="1">
        <v>0.94884310023156548</v>
      </c>
      <c r="R160" s="1">
        <v>0.12852328990426617</v>
      </c>
      <c r="S160" s="2">
        <f t="shared" si="36"/>
        <v>0.39556740566848081</v>
      </c>
      <c r="T160" s="4">
        <f t="shared" si="37"/>
        <v>0.15647357242729246</v>
      </c>
      <c r="U160" s="1">
        <f t="shared" si="29"/>
        <v>4.4700294546259123E-2</v>
      </c>
      <c r="V160" s="6">
        <f>2*sigma/alpha*corel*(B160/12-1/alpha*(1-EXP(-alpha*Output!B160/12)))</f>
        <v>0.32882021439663611</v>
      </c>
      <c r="W160" s="5">
        <f t="shared" si="38"/>
        <v>-0.11177327788103333</v>
      </c>
      <c r="X160" s="1">
        <f t="shared" si="39"/>
        <v>5.6595288681538385</v>
      </c>
      <c r="Y160" s="3">
        <f t="shared" si="40"/>
        <v>8.2556626247274667E-2</v>
      </c>
      <c r="Z160" s="1">
        <f t="shared" si="30"/>
        <v>0.11225817765543943</v>
      </c>
      <c r="AA160" s="8">
        <f t="shared" si="35"/>
        <v>12.333333333333352</v>
      </c>
      <c r="AB160" s="1">
        <v>12.42</v>
      </c>
      <c r="AC160" s="1">
        <v>4.21536902E-3</v>
      </c>
      <c r="AD160" s="8">
        <f t="shared" si="31"/>
        <v>-0.13771306872565647</v>
      </c>
      <c r="AE160" s="3">
        <f t="shared" si="32"/>
        <v>-3.2669279503709132E-3</v>
      </c>
      <c r="AF160" s="11">
        <f t="shared" si="33"/>
        <v>12.333333333333352</v>
      </c>
      <c r="AG160" s="1">
        <f t="shared" si="34"/>
        <v>0.11225817765543943</v>
      </c>
    </row>
    <row r="161" spans="2:33" ht="15" x14ac:dyDescent="0.25">
      <c r="B161" s="1">
        <v>150</v>
      </c>
      <c r="C161" s="1">
        <v>1.0001416237912675</v>
      </c>
      <c r="D161" s="1">
        <v>1.1057996892334263</v>
      </c>
      <c r="E161" s="1">
        <v>0.90378212392276103</v>
      </c>
      <c r="G161" s="1">
        <v>0.99868435186560123</v>
      </c>
      <c r="H161" s="1">
        <v>2.3673701035623926</v>
      </c>
      <c r="I161" s="1">
        <v>0.39258487133759257</v>
      </c>
      <c r="K161" s="1">
        <v>1.0008158788293329</v>
      </c>
      <c r="L161" s="1">
        <v>2.6374721966836576</v>
      </c>
      <c r="M161" s="1">
        <v>0.34999487574770294</v>
      </c>
      <c r="O161" s="1">
        <v>4.2688586800668504E-3</v>
      </c>
      <c r="P161" s="1">
        <v>0.94803796173856325</v>
      </c>
      <c r="R161" s="1">
        <v>0.12890050823341853</v>
      </c>
      <c r="S161" s="2">
        <f t="shared" si="36"/>
        <v>0.39768776707640874</v>
      </c>
      <c r="T161" s="4">
        <f t="shared" si="37"/>
        <v>0.15815556008221993</v>
      </c>
      <c r="U161" s="1">
        <f t="shared" si="29"/>
        <v>4.5502498186790419E-2</v>
      </c>
      <c r="V161" s="6">
        <f>2*sigma/alpha*corel*(B161/12-1/alpha*(1-EXP(-alpha*Output!B161/12)))</f>
        <v>0.33290831160197953</v>
      </c>
      <c r="W161" s="5">
        <f t="shared" si="38"/>
        <v>-0.11265306189542951</v>
      </c>
      <c r="X161" s="1">
        <f t="shared" si="39"/>
        <v>5.7434810387051556</v>
      </c>
      <c r="Y161" s="3">
        <f t="shared" si="40"/>
        <v>8.2545910686851978E-2</v>
      </c>
      <c r="Z161" s="1">
        <f t="shared" si="30"/>
        <v>0.11248308675786593</v>
      </c>
      <c r="AA161" s="8">
        <f t="shared" si="35"/>
        <v>12.416666666666686</v>
      </c>
      <c r="AB161" s="1">
        <v>12.5</v>
      </c>
      <c r="AC161" s="1">
        <v>4.2567264439999997E-3</v>
      </c>
      <c r="AD161" s="8">
        <f t="shared" si="31"/>
        <v>-0.12132236066850731</v>
      </c>
      <c r="AE161" s="3">
        <f t="shared" si="32"/>
        <v>-2.8501328958903454E-3</v>
      </c>
      <c r="AF161" s="11">
        <f t="shared" si="33"/>
        <v>12.416666666666686</v>
      </c>
      <c r="AG161" s="1">
        <f t="shared" si="34"/>
        <v>0.11248308675786593</v>
      </c>
    </row>
    <row r="162" spans="2:33" ht="15" x14ac:dyDescent="0.25">
      <c r="B162" s="1">
        <v>151</v>
      </c>
      <c r="C162" s="1">
        <v>1.0001443986009666</v>
      </c>
      <c r="D162" s="1">
        <v>1.1084270621461925</v>
      </c>
      <c r="E162" s="1">
        <v>0.90163768352396245</v>
      </c>
      <c r="G162" s="1">
        <v>0.99876000216645755</v>
      </c>
      <c r="H162" s="1">
        <v>2.4299262992978146</v>
      </c>
      <c r="I162" s="1">
        <v>0.3822924800248142</v>
      </c>
      <c r="K162" s="1">
        <v>1.0008930355867003</v>
      </c>
      <c r="L162" s="1">
        <v>2.6177914200741221</v>
      </c>
      <c r="M162" s="1">
        <v>0.35245125863520799</v>
      </c>
      <c r="O162" s="1">
        <v>4.3075021287305188E-3</v>
      </c>
      <c r="P162" s="1">
        <v>0.94724004820926666</v>
      </c>
      <c r="R162" s="1">
        <v>0.1294523141118869</v>
      </c>
      <c r="S162" s="2">
        <f t="shared" si="36"/>
        <v>0.40026246851296698</v>
      </c>
      <c r="T162" s="4">
        <f t="shared" si="37"/>
        <v>0.1602100437000939</v>
      </c>
      <c r="U162" s="1">
        <f t="shared" si="29"/>
        <v>4.63129883001554E-2</v>
      </c>
      <c r="V162" s="6">
        <f>2*sigma/alpha*corel*(B162/12-1/alpha*(1-EXP(-alpha*Output!B162/12)))</f>
        <v>0.33701746891917406</v>
      </c>
      <c r="W162" s="5">
        <f t="shared" si="38"/>
        <v>-0.1138970553999385</v>
      </c>
      <c r="X162" s="1">
        <f t="shared" si="39"/>
        <v>5.8463992294869245</v>
      </c>
      <c r="Y162" s="3">
        <f t="shared" si="40"/>
        <v>8.268537907156287E-2</v>
      </c>
      <c r="Z162" s="1">
        <f t="shared" si="30"/>
        <v>0.11283582765529958</v>
      </c>
      <c r="AA162" s="8">
        <f t="shared" si="35"/>
        <v>12.50000000000002</v>
      </c>
      <c r="AB162" s="1">
        <v>12.58</v>
      </c>
      <c r="AC162" s="1">
        <v>4.296703049E-3</v>
      </c>
      <c r="AD162" s="8">
        <f t="shared" si="31"/>
        <v>-0.10799079730518767</v>
      </c>
      <c r="AE162" s="3">
        <f t="shared" si="32"/>
        <v>-2.5133409517402202E-3</v>
      </c>
      <c r="AF162" s="11">
        <f t="shared" si="33"/>
        <v>12.50000000000002</v>
      </c>
      <c r="AG162" s="1">
        <f t="shared" si="34"/>
        <v>0.11283582765529958</v>
      </c>
    </row>
    <row r="163" spans="2:33" ht="15" x14ac:dyDescent="0.25">
      <c r="B163" s="1">
        <v>152</v>
      </c>
      <c r="C163" s="1">
        <v>1.0001471560629667</v>
      </c>
      <c r="D163" s="1">
        <v>1.1086909852044402</v>
      </c>
      <c r="E163" s="1">
        <v>0.90142091039480565</v>
      </c>
      <c r="G163" s="1">
        <v>0.99882520560116717</v>
      </c>
      <c r="H163" s="1">
        <v>2.4373230859267352</v>
      </c>
      <c r="I163" s="1">
        <v>0.38094730220175577</v>
      </c>
      <c r="K163" s="1">
        <v>1.0009122581103804</v>
      </c>
      <c r="L163" s="1">
        <v>2.6190176072164228</v>
      </c>
      <c r="M163" s="1">
        <v>0.35209965121210413</v>
      </c>
      <c r="O163" s="1">
        <v>4.3453861740806081E-3</v>
      </c>
      <c r="P163" s="1">
        <v>0.94644581454697441</v>
      </c>
      <c r="R163" s="1">
        <v>0.1297357524709894</v>
      </c>
      <c r="S163" s="2">
        <f t="shared" si="36"/>
        <v>0.40212201843003492</v>
      </c>
      <c r="T163" s="4">
        <f t="shared" si="37"/>
        <v>0.16170211770624535</v>
      </c>
      <c r="U163" s="1">
        <f t="shared" si="29"/>
        <v>4.7131779677217267E-2</v>
      </c>
      <c r="V163" s="6">
        <f>2*sigma/alpha*corel*(B163/12-1/alpha*(1-EXP(-alpha*Output!B163/12)))</f>
        <v>0.34114761626471757</v>
      </c>
      <c r="W163" s="5">
        <f t="shared" si="38"/>
        <v>-0.11457033802902808</v>
      </c>
      <c r="X163" s="1">
        <f t="shared" si="39"/>
        <v>5.9212788228871887</v>
      </c>
      <c r="Y163" s="3">
        <f t="shared" si="40"/>
        <v>8.2587638611122921E-2</v>
      </c>
      <c r="Z163" s="1">
        <f t="shared" si="30"/>
        <v>0.11298653309584894</v>
      </c>
      <c r="AA163" s="8">
        <f t="shared" si="35"/>
        <v>12.583333333333353</v>
      </c>
      <c r="AB163" s="1">
        <v>12.67</v>
      </c>
      <c r="AC163" s="1">
        <v>4.3355804669999998E-3</v>
      </c>
      <c r="AD163" s="8">
        <f t="shared" si="31"/>
        <v>-9.8057070806083571E-2</v>
      </c>
      <c r="AE163" s="3">
        <f t="shared" si="32"/>
        <v>-2.2616826409390589E-3</v>
      </c>
      <c r="AF163" s="11">
        <f t="shared" si="33"/>
        <v>12.583333333333353</v>
      </c>
      <c r="AG163" s="1">
        <f t="shared" si="34"/>
        <v>0.11298653309584894</v>
      </c>
    </row>
    <row r="164" spans="2:33" ht="15" x14ac:dyDescent="0.25">
      <c r="B164" s="1">
        <v>153</v>
      </c>
      <c r="C164" s="1">
        <v>1.0001486094489505</v>
      </c>
      <c r="D164" s="1">
        <v>1.1119630941431644</v>
      </c>
      <c r="E164" s="1">
        <v>0.89876622890758384</v>
      </c>
      <c r="G164" s="1">
        <v>0.99879225968634455</v>
      </c>
      <c r="H164" s="1">
        <v>2.5024921435897931</v>
      </c>
      <c r="I164" s="1">
        <v>0.3708467169055728</v>
      </c>
      <c r="K164" s="1">
        <v>1.000762129099277</v>
      </c>
      <c r="L164" s="1">
        <v>2.633378018987182</v>
      </c>
      <c r="M164" s="1">
        <v>0.34998996287829032</v>
      </c>
      <c r="O164" s="1">
        <v>4.38280221420893E-3</v>
      </c>
      <c r="P164" s="1">
        <v>0.94565191874140908</v>
      </c>
      <c r="R164" s="1">
        <v>0.13009299565564483</v>
      </c>
      <c r="S164" s="2">
        <f t="shared" si="36"/>
        <v>0.40417818723688914</v>
      </c>
      <c r="T164" s="4">
        <f t="shared" si="37"/>
        <v>0.1633600070380978</v>
      </c>
      <c r="U164" s="1">
        <f t="shared" si="29"/>
        <v>4.7958886778113552E-2</v>
      </c>
      <c r="V164" s="6">
        <f>2*sigma/alpha*corel*(B164/12-1/alpha*(1-EXP(-alpha*Output!B164/12)))</f>
        <v>0.34529868378833095</v>
      </c>
      <c r="W164" s="5">
        <f t="shared" si="38"/>
        <v>-0.11540112025998425</v>
      </c>
      <c r="X164" s="1">
        <f t="shared" si="39"/>
        <v>6.0046883142851506</v>
      </c>
      <c r="Y164" s="3">
        <f t="shared" si="40"/>
        <v>8.2554818441871181E-2</v>
      </c>
      <c r="Z164" s="1">
        <f t="shared" si="30"/>
        <v>0.11319253319727196</v>
      </c>
      <c r="AA164" s="8">
        <f t="shared" si="35"/>
        <v>12.666666666666687</v>
      </c>
      <c r="AB164" s="1">
        <v>12.75</v>
      </c>
      <c r="AC164" s="1">
        <v>4.3736434599999999E-3</v>
      </c>
      <c r="AD164" s="8">
        <f t="shared" si="31"/>
        <v>-9.1587542089301144E-2</v>
      </c>
      <c r="AE164" s="3">
        <f t="shared" si="32"/>
        <v>-2.094078836716634E-3</v>
      </c>
      <c r="AF164" s="11">
        <f t="shared" si="33"/>
        <v>12.666666666666687</v>
      </c>
      <c r="AG164" s="1">
        <f t="shared" si="34"/>
        <v>0.11319253319727196</v>
      </c>
    </row>
    <row r="165" spans="2:33" ht="15" x14ac:dyDescent="0.25">
      <c r="B165" s="1">
        <v>154</v>
      </c>
      <c r="C165" s="1">
        <v>1.0001518539947325</v>
      </c>
      <c r="D165" s="1">
        <v>1.1109301701553504</v>
      </c>
      <c r="E165" s="1">
        <v>0.89959977243758482</v>
      </c>
      <c r="G165" s="1">
        <v>0.99890846463434368</v>
      </c>
      <c r="H165" s="1">
        <v>2.4814122134495626</v>
      </c>
      <c r="I165" s="1">
        <v>0.37381559214106647</v>
      </c>
      <c r="K165" s="1">
        <v>1.0007237508780691</v>
      </c>
      <c r="L165" s="1">
        <v>2.6709526997877862</v>
      </c>
      <c r="M165" s="1">
        <v>0.34486376492468046</v>
      </c>
      <c r="O165" s="1">
        <v>4.4199929749486923E-3</v>
      </c>
      <c r="P165" s="1">
        <v>0.94485552839737752</v>
      </c>
      <c r="R165" s="1">
        <v>0.13048499467977376</v>
      </c>
      <c r="S165" s="2">
        <f t="shared" si="36"/>
        <v>0.40633162193327643</v>
      </c>
      <c r="T165" s="4">
        <f t="shared" si="37"/>
        <v>0.16510538698292709</v>
      </c>
      <c r="U165" s="1">
        <f t="shared" si="29"/>
        <v>4.8794323735229739E-2</v>
      </c>
      <c r="V165" s="6">
        <f>2*sigma/alpha*corel*(B165/12-1/alpha*(1-EXP(-alpha*Output!B165/12)))</f>
        <v>0.34947060187218182</v>
      </c>
      <c r="W165" s="5">
        <f t="shared" si="38"/>
        <v>-0.11631106324769735</v>
      </c>
      <c r="X165" s="1">
        <f t="shared" si="39"/>
        <v>6.0927642816213687</v>
      </c>
      <c r="Y165" s="3">
        <f t="shared" si="40"/>
        <v>8.2553841902268416E-2</v>
      </c>
      <c r="Z165" s="1">
        <f t="shared" si="30"/>
        <v>0.11342554751835442</v>
      </c>
      <c r="AA165" s="8">
        <f t="shared" si="35"/>
        <v>12.750000000000021</v>
      </c>
      <c r="AB165" s="1">
        <v>12.83</v>
      </c>
      <c r="AC165" s="1">
        <v>4.4111775690000004E-3</v>
      </c>
      <c r="AD165" s="8">
        <f t="shared" si="31"/>
        <v>-8.8154059486918873E-2</v>
      </c>
      <c r="AE165" s="3">
        <f t="shared" si="32"/>
        <v>-1.9984246407678194E-3</v>
      </c>
      <c r="AF165" s="11">
        <f t="shared" si="33"/>
        <v>12.750000000000021</v>
      </c>
      <c r="AG165" s="1">
        <f t="shared" si="34"/>
        <v>0.11342554751835442</v>
      </c>
    </row>
    <row r="166" spans="2:33" ht="15" x14ac:dyDescent="0.25">
      <c r="B166" s="1">
        <v>155</v>
      </c>
      <c r="C166" s="1">
        <v>1.0001536556292938</v>
      </c>
      <c r="D166" s="1">
        <v>1.1097849324110525</v>
      </c>
      <c r="E166" s="1">
        <v>0.90052600363030699</v>
      </c>
      <c r="G166" s="1">
        <v>0.99890049353779031</v>
      </c>
      <c r="H166" s="1">
        <v>2.4592866001174443</v>
      </c>
      <c r="I166" s="1">
        <v>0.37699566764242598</v>
      </c>
      <c r="K166" s="1">
        <v>1.0006830557490596</v>
      </c>
      <c r="L166" s="1">
        <v>2.744654735159858</v>
      </c>
      <c r="M166" s="1">
        <v>0.33545291492739171</v>
      </c>
      <c r="O166" s="1">
        <v>4.4571311679165882E-3</v>
      </c>
      <c r="P166" s="1">
        <v>0.94405459805581937</v>
      </c>
      <c r="R166" s="1">
        <v>0.13078791330458456</v>
      </c>
      <c r="S166" s="2">
        <f t="shared" si="36"/>
        <v>0.40825596768495875</v>
      </c>
      <c r="T166" s="4">
        <f t="shared" si="37"/>
        <v>0.16667293515038209</v>
      </c>
      <c r="U166" s="1">
        <f t="shared" si="29"/>
        <v>4.9638104356144463E-2</v>
      </c>
      <c r="V166" s="6">
        <f>2*sigma/alpha*corel*(B166/12-1/alpha*(1-EXP(-alpha*Output!B166/12)))</f>
        <v>0.35366330113010935</v>
      </c>
      <c r="W166" s="5">
        <f t="shared" si="38"/>
        <v>-0.11703483079423763</v>
      </c>
      <c r="X166" s="1">
        <f t="shared" si="39"/>
        <v>6.1718773216018574</v>
      </c>
      <c r="Y166" s="3">
        <f t="shared" si="40"/>
        <v>8.2477278596658862E-2</v>
      </c>
      <c r="Z166" s="1">
        <f t="shared" si="30"/>
        <v>0.11359450298503303</v>
      </c>
      <c r="AA166" s="8">
        <f t="shared" si="35"/>
        <v>12.833333333333355</v>
      </c>
      <c r="AB166" s="1">
        <v>12.92</v>
      </c>
      <c r="AC166" s="1">
        <v>4.4484683380000001E-3</v>
      </c>
      <c r="AD166" s="8">
        <f t="shared" si="31"/>
        <v>-8.6628299165881356E-2</v>
      </c>
      <c r="AE166" s="3">
        <f t="shared" si="32"/>
        <v>-1.9473736257911377E-3</v>
      </c>
      <c r="AF166" s="11">
        <f t="shared" si="33"/>
        <v>12.833333333333355</v>
      </c>
      <c r="AG166" s="1">
        <f t="shared" si="34"/>
        <v>0.11359450298503303</v>
      </c>
    </row>
    <row r="167" spans="2:33" ht="15" x14ac:dyDescent="0.25">
      <c r="B167" s="1">
        <v>156</v>
      </c>
      <c r="C167" s="1">
        <v>1.000152474675815</v>
      </c>
      <c r="D167" s="1">
        <v>1.1105664535049564</v>
      </c>
      <c r="E167" s="1">
        <v>0.89989019578546781</v>
      </c>
      <c r="G167" s="1">
        <v>0.99864725241334851</v>
      </c>
      <c r="H167" s="1">
        <v>2.4732116300978997</v>
      </c>
      <c r="I167" s="1">
        <v>0.37469112569611179</v>
      </c>
      <c r="K167" s="1">
        <v>1.0007760764537927</v>
      </c>
      <c r="L167" s="1">
        <v>2.7787235164140784</v>
      </c>
      <c r="M167" s="1">
        <v>0.33112934667076843</v>
      </c>
      <c r="O167" s="1">
        <v>4.494642908277985E-3</v>
      </c>
      <c r="P167" s="1">
        <v>0.94324392768741583</v>
      </c>
      <c r="R167" s="1">
        <v>0.13125708322014129</v>
      </c>
      <c r="S167" s="2">
        <f t="shared" si="36"/>
        <v>0.41063780280869533</v>
      </c>
      <c r="T167" s="4">
        <f t="shared" si="37"/>
        <v>0.16862340509555296</v>
      </c>
      <c r="U167" s="1">
        <f t="shared" si="29"/>
        <v>5.0490242126560059E-2</v>
      </c>
      <c r="V167" s="6">
        <f>2*sigma/alpha*corel*(B167/12-1/alpha*(1-EXP(-alpha*Output!B167/12)))</f>
        <v>0.35787671240685737</v>
      </c>
      <c r="W167" s="5">
        <f t="shared" si="38"/>
        <v>-0.1181331629689929</v>
      </c>
      <c r="X167" s="1">
        <f t="shared" si="39"/>
        <v>6.2710002156707709</v>
      </c>
      <c r="Y167" s="3">
        <f t="shared" si="40"/>
        <v>8.25507618680629E-2</v>
      </c>
      <c r="Z167" s="1">
        <f t="shared" si="30"/>
        <v>0.11389043489774013</v>
      </c>
      <c r="AA167" s="8">
        <f t="shared" si="35"/>
        <v>12.916666666666689</v>
      </c>
      <c r="AB167" s="1">
        <v>13</v>
      </c>
      <c r="AC167" s="1">
        <v>4.4858013099999998E-3</v>
      </c>
      <c r="AD167" s="8">
        <f t="shared" si="31"/>
        <v>-8.8415982779851965E-2</v>
      </c>
      <c r="AE167" s="3">
        <f t="shared" si="32"/>
        <v>-1.9710187025615711E-3</v>
      </c>
      <c r="AF167" s="11">
        <f t="shared" si="33"/>
        <v>12.916666666666689</v>
      </c>
      <c r="AG167" s="1">
        <f t="shared" si="34"/>
        <v>0.11389043489774013</v>
      </c>
    </row>
    <row r="168" spans="2:33" ht="15" x14ac:dyDescent="0.25">
      <c r="B168" s="1">
        <v>157</v>
      </c>
      <c r="C168" s="1">
        <v>1.0001577972473683</v>
      </c>
      <c r="D168" s="1">
        <v>1.1140007627604431</v>
      </c>
      <c r="E168" s="1">
        <v>0.89711388049576113</v>
      </c>
      <c r="G168" s="1">
        <v>0.99892463775556228</v>
      </c>
      <c r="H168" s="1">
        <v>2.5423252277576003</v>
      </c>
      <c r="I168" s="1">
        <v>0.36432818784937976</v>
      </c>
      <c r="K168" s="1">
        <v>1.0008700712274747</v>
      </c>
      <c r="L168" s="1">
        <v>2.8850358648887391</v>
      </c>
      <c r="M168" s="1">
        <v>0.31877935694700704</v>
      </c>
      <c r="O168" s="1">
        <v>4.5327283608303254E-3</v>
      </c>
      <c r="P168" s="1">
        <v>0.94242098751054981</v>
      </c>
      <c r="R168" s="1">
        <v>0.13151071077922871</v>
      </c>
      <c r="S168" s="2">
        <f t="shared" si="36"/>
        <v>0.41246435739252085</v>
      </c>
      <c r="T168" s="4">
        <f t="shared" si="37"/>
        <v>0.17012684611922518</v>
      </c>
      <c r="U168" s="1">
        <f t="shared" si="29"/>
        <v>5.1350750213206009E-2</v>
      </c>
      <c r="V168" s="6">
        <f>2*sigma/alpha*corel*(B168/12-1/alpha*(1-EXP(-alpha*Output!B168/12)))</f>
        <v>0.36211076677730181</v>
      </c>
      <c r="W168" s="5">
        <f t="shared" si="38"/>
        <v>-0.11877609590601917</v>
      </c>
      <c r="X168" s="1">
        <f t="shared" si="39"/>
        <v>6.3470732264977148</v>
      </c>
      <c r="Y168" s="3">
        <f t="shared" si="40"/>
        <v>8.2441875387686714E-2</v>
      </c>
      <c r="Z168" s="1">
        <f t="shared" si="30"/>
        <v>0.11403212625409538</v>
      </c>
      <c r="AA168" s="8">
        <f t="shared" si="35"/>
        <v>13.000000000000023</v>
      </c>
      <c r="AB168" s="1">
        <v>13.08</v>
      </c>
      <c r="AC168" s="1">
        <v>4.5234620270000001E-3</v>
      </c>
      <c r="AD168" s="8">
        <f t="shared" si="31"/>
        <v>-9.266333830325324E-2</v>
      </c>
      <c r="AE168" s="3">
        <f t="shared" si="32"/>
        <v>-2.0485048343537966E-3</v>
      </c>
      <c r="AF168" s="11">
        <f t="shared" si="33"/>
        <v>13.000000000000023</v>
      </c>
      <c r="AG168" s="1">
        <f t="shared" si="34"/>
        <v>0.11403212625409538</v>
      </c>
    </row>
    <row r="169" spans="2:33" ht="15" x14ac:dyDescent="0.25">
      <c r="B169" s="1">
        <v>158</v>
      </c>
      <c r="C169" s="1">
        <v>1.000160738096596</v>
      </c>
      <c r="D169" s="1">
        <v>1.1187505166815745</v>
      </c>
      <c r="E169" s="1">
        <v>0.8933030438863212</v>
      </c>
      <c r="G169" s="1">
        <v>0.9990147278361774</v>
      </c>
      <c r="H169" s="1">
        <v>2.6392368647648561</v>
      </c>
      <c r="I169" s="1">
        <v>0.35077991152114318</v>
      </c>
      <c r="K169" s="1">
        <v>1.0007269837567931</v>
      </c>
      <c r="L169" s="1">
        <v>2.9035304482009234</v>
      </c>
      <c r="M169" s="1">
        <v>0.3165772868523159</v>
      </c>
      <c r="O169" s="1">
        <v>4.5714371714027716E-3</v>
      </c>
      <c r="P169" s="1">
        <v>0.94158506032814404</v>
      </c>
      <c r="R169" s="1">
        <v>0.13172995090300599</v>
      </c>
      <c r="S169" s="2">
        <f t="shared" si="36"/>
        <v>0.41421840287301415</v>
      </c>
      <c r="T169" s="4">
        <f t="shared" si="37"/>
        <v>0.17157688527867065</v>
      </c>
      <c r="U169" s="1">
        <f t="shared" si="29"/>
        <v>5.2219641466717093E-2</v>
      </c>
      <c r="V169" s="6">
        <f>2*sigma/alpha*corel*(B169/12-1/alpha*(1-EXP(-alpha*Output!B169/12)))</f>
        <v>0.36636539554568603</v>
      </c>
      <c r="W169" s="5">
        <f t="shared" si="38"/>
        <v>-0.11935724381195356</v>
      </c>
      <c r="X169" s="1">
        <f t="shared" si="39"/>
        <v>6.420371777149569</v>
      </c>
      <c r="Y169" s="3">
        <f t="shared" si="40"/>
        <v>8.2309361757900684E-2</v>
      </c>
      <c r="Z169" s="1">
        <f t="shared" si="30"/>
        <v>0.11415408816135175</v>
      </c>
      <c r="AA169" s="8">
        <f t="shared" si="35"/>
        <v>13.083333333333357</v>
      </c>
      <c r="AB169" s="1">
        <v>13.17</v>
      </c>
      <c r="AC169" s="1">
        <v>4.5616866070000003E-3</v>
      </c>
      <c r="AD169" s="8">
        <f t="shared" si="31"/>
        <v>-9.7505644027712571E-2</v>
      </c>
      <c r="AE169" s="3">
        <f t="shared" si="32"/>
        <v>-2.1374910735447758E-3</v>
      </c>
      <c r="AF169" s="11">
        <f t="shared" si="33"/>
        <v>13.083333333333357</v>
      </c>
      <c r="AG169" s="1">
        <f t="shared" si="34"/>
        <v>0.11415408816135175</v>
      </c>
    </row>
    <row r="170" spans="2:33" ht="15" x14ac:dyDescent="0.25">
      <c r="B170" s="1">
        <v>159</v>
      </c>
      <c r="C170" s="1">
        <v>1.0001631449847554</v>
      </c>
      <c r="D170" s="1">
        <v>1.1206905501302851</v>
      </c>
      <c r="E170" s="1">
        <v>0.89175459437435067</v>
      </c>
      <c r="G170" s="1">
        <v>0.99904791881527855</v>
      </c>
      <c r="H170" s="1">
        <v>2.6796200574755411</v>
      </c>
      <c r="I170" s="1">
        <v>0.34532583779173492</v>
      </c>
      <c r="K170" s="1">
        <v>1.0006688919237665</v>
      </c>
      <c r="L170" s="1">
        <v>2.8838407939030941</v>
      </c>
      <c r="M170" s="1">
        <v>0.31857548051835732</v>
      </c>
      <c r="O170" s="1">
        <v>4.610658704367122E-3</v>
      </c>
      <c r="P170" s="1">
        <v>0.94073741442562642</v>
      </c>
      <c r="R170" s="1">
        <v>0.13189109824155562</v>
      </c>
      <c r="S170" s="2">
        <f t="shared" si="36"/>
        <v>0.41583468286459113</v>
      </c>
      <c r="T170" s="4">
        <f t="shared" si="37"/>
        <v>0.17291848347309507</v>
      </c>
      <c r="U170" s="1">
        <f t="shared" si="29"/>
        <v>5.3096928424502643E-2</v>
      </c>
      <c r="V170" s="6">
        <f>2*sigma/alpha*corel*(B170/12-1/alpha*(1-EXP(-alpha*Output!B170/12)))</f>
        <v>0.37064053024485988</v>
      </c>
      <c r="W170" s="5">
        <f t="shared" si="38"/>
        <v>-0.11982155504859243</v>
      </c>
      <c r="X170" s="1">
        <f t="shared" si="39"/>
        <v>6.487916820235589</v>
      </c>
      <c r="Y170" s="3">
        <f t="shared" si="40"/>
        <v>8.2132015762989646E-2</v>
      </c>
      <c r="Z170" s="1">
        <f t="shared" si="30"/>
        <v>0.11423857309540898</v>
      </c>
      <c r="AA170" s="8">
        <f t="shared" si="35"/>
        <v>13.166666666666691</v>
      </c>
      <c r="AB170" s="1">
        <v>13.25</v>
      </c>
      <c r="AC170" s="1">
        <v>4.6005134680000004E-3</v>
      </c>
      <c r="AD170" s="8">
        <f t="shared" si="31"/>
        <v>-0.10145236367121654</v>
      </c>
      <c r="AE170" s="3">
        <f t="shared" si="32"/>
        <v>-2.2052400102052379E-3</v>
      </c>
      <c r="AF170" s="11">
        <f t="shared" si="33"/>
        <v>13.166666666666691</v>
      </c>
      <c r="AG170" s="1">
        <f t="shared" si="34"/>
        <v>0.11423857309540898</v>
      </c>
    </row>
    <row r="171" spans="2:33" ht="15" x14ac:dyDescent="0.25">
      <c r="B171" s="1">
        <v>160</v>
      </c>
      <c r="C171" s="1">
        <v>1.0001648870412778</v>
      </c>
      <c r="D171" s="1">
        <v>1.1208337356428897</v>
      </c>
      <c r="E171" s="1">
        <v>0.89163863540144372</v>
      </c>
      <c r="G171" s="1">
        <v>0.99903761857009521</v>
      </c>
      <c r="H171" s="1">
        <v>2.6817053281508816</v>
      </c>
      <c r="I171" s="1">
        <v>0.34488988619207345</v>
      </c>
      <c r="K171" s="1">
        <v>1.0005161945325352</v>
      </c>
      <c r="L171" s="1">
        <v>2.8828890200633288</v>
      </c>
      <c r="M171" s="1">
        <v>0.31850411024518155</v>
      </c>
      <c r="O171" s="1">
        <v>4.650394335324274E-3</v>
      </c>
      <c r="P171" s="1">
        <v>0.93987794508377431</v>
      </c>
      <c r="R171" s="1">
        <v>0.1323068007639577</v>
      </c>
      <c r="S171" s="2">
        <f t="shared" si="36"/>
        <v>0.41814832051299511</v>
      </c>
      <c r="T171" s="4">
        <f t="shared" si="37"/>
        <v>0.1748480179478385</v>
      </c>
      <c r="U171" s="1">
        <f t="shared" si="29"/>
        <v>5.3982623313579392E-2</v>
      </c>
      <c r="V171" s="6">
        <f>2*sigma/alpha*corel*(B171/12-1/alpha*(1-EXP(-alpha*Output!B171/12)))</f>
        <v>0.37493610263551624</v>
      </c>
      <c r="W171" s="5">
        <f t="shared" si="38"/>
        <v>-0.1208653946342591</v>
      </c>
      <c r="X171" s="1">
        <f t="shared" si="39"/>
        <v>6.5867314615533292</v>
      </c>
      <c r="Y171" s="3">
        <f t="shared" si="40"/>
        <v>8.2182252303796555E-2</v>
      </c>
      <c r="Z171" s="1">
        <f t="shared" si="30"/>
        <v>0.1145146337639338</v>
      </c>
      <c r="AA171" s="8">
        <f t="shared" si="35"/>
        <v>13.250000000000025</v>
      </c>
      <c r="AB171" s="1">
        <v>13.33</v>
      </c>
      <c r="AC171" s="1">
        <v>4.6399316000000001E-3</v>
      </c>
      <c r="AD171" s="8">
        <f t="shared" si="31"/>
        <v>-0.10462735324273838</v>
      </c>
      <c r="AE171" s="3">
        <f t="shared" si="32"/>
        <v>-2.2549330951934371E-3</v>
      </c>
      <c r="AF171" s="11">
        <f t="shared" si="33"/>
        <v>13.250000000000025</v>
      </c>
      <c r="AG171" s="1">
        <f t="shared" si="34"/>
        <v>0.1145146337639338</v>
      </c>
    </row>
    <row r="172" spans="2:33" ht="15" x14ac:dyDescent="0.25">
      <c r="B172" s="1">
        <v>161</v>
      </c>
      <c r="C172" s="1">
        <v>1.0001676640918995</v>
      </c>
      <c r="D172" s="1">
        <v>1.1195372742892187</v>
      </c>
      <c r="E172" s="1">
        <v>0.89266915117298273</v>
      </c>
      <c r="G172" s="1">
        <v>0.9991028369755095</v>
      </c>
      <c r="H172" s="1">
        <v>2.6532482338893519</v>
      </c>
      <c r="I172" s="1">
        <v>0.3484198251443385</v>
      </c>
      <c r="K172" s="1">
        <v>1.0005602865760859</v>
      </c>
      <c r="L172" s="1">
        <v>3.008152774068737</v>
      </c>
      <c r="M172" s="1">
        <v>0.3051028548747941</v>
      </c>
      <c r="O172" s="1">
        <v>4.6907011174839013E-3</v>
      </c>
      <c r="P172" s="1">
        <v>0.93900584665252818</v>
      </c>
      <c r="R172" s="1">
        <v>0.13284307096509179</v>
      </c>
      <c r="S172" s="2">
        <f t="shared" si="36"/>
        <v>0.42080400006579421</v>
      </c>
      <c r="T172" s="4">
        <f t="shared" si="37"/>
        <v>0.17707600647137295</v>
      </c>
      <c r="U172" s="1">
        <f t="shared" si="29"/>
        <v>5.4876738053391438E-2</v>
      </c>
      <c r="V172" s="6">
        <f>2*sigma/alpha*corel*(B172/12-1/alpha*(1-EXP(-alpha*Output!B172/12)))</f>
        <v>0.37925204470543217</v>
      </c>
      <c r="W172" s="5">
        <f t="shared" si="38"/>
        <v>-0.12219926841798151</v>
      </c>
      <c r="X172" s="1">
        <f t="shared" si="39"/>
        <v>6.7018595185115917</v>
      </c>
      <c r="Y172" s="3">
        <f t="shared" si="40"/>
        <v>8.2343215484041735E-2</v>
      </c>
      <c r="Z172" s="1">
        <f t="shared" si="30"/>
        <v>0.11488346992697679</v>
      </c>
      <c r="AA172" s="8">
        <f t="shared" si="35"/>
        <v>13.333333333333359</v>
      </c>
      <c r="AB172" s="1">
        <v>13.42</v>
      </c>
      <c r="AC172" s="1">
        <v>4.6799299950000001E-3</v>
      </c>
      <c r="AD172" s="8">
        <f t="shared" si="31"/>
        <v>-0.10771122483901191</v>
      </c>
      <c r="AE172" s="3">
        <f t="shared" si="32"/>
        <v>-2.3015563257161907E-3</v>
      </c>
      <c r="AF172" s="11">
        <f t="shared" si="33"/>
        <v>13.333333333333359</v>
      </c>
      <c r="AG172" s="1">
        <f t="shared" si="34"/>
        <v>0.11488346992697679</v>
      </c>
    </row>
    <row r="173" spans="2:33" ht="15" x14ac:dyDescent="0.25">
      <c r="B173" s="1">
        <v>162</v>
      </c>
      <c r="C173" s="1">
        <v>1.0001695965123605</v>
      </c>
      <c r="D173" s="1">
        <v>1.1195309495142598</v>
      </c>
      <c r="E173" s="1">
        <v>0.89267217169293822</v>
      </c>
      <c r="G173" s="1">
        <v>0.99910786100420845</v>
      </c>
      <c r="H173" s="1">
        <v>2.6536654059194587</v>
      </c>
      <c r="I173" s="1">
        <v>0.3481960309544142</v>
      </c>
      <c r="K173" s="1">
        <v>1.0005352124004425</v>
      </c>
      <c r="L173" s="1">
        <v>3.0166496063674515</v>
      </c>
      <c r="M173" s="1">
        <v>0.30403820695538658</v>
      </c>
      <c r="O173" s="1">
        <v>4.731546990116727E-3</v>
      </c>
      <c r="P173" s="1">
        <v>0.93812142784053854</v>
      </c>
      <c r="R173" s="1">
        <v>0.13316602613449122</v>
      </c>
      <c r="S173" s="2">
        <f t="shared" si="36"/>
        <v>0.42290849011344922</v>
      </c>
      <c r="T173" s="4">
        <f t="shared" si="37"/>
        <v>0.17885159101003736</v>
      </c>
      <c r="U173" s="1">
        <f t="shared" si="29"/>
        <v>5.5779284258609341E-2</v>
      </c>
      <c r="V173" s="6">
        <f>2*sigma/alpha*corel*(B173/12-1/alpha*(1-EXP(-alpha*Output!B173/12)))</f>
        <v>0.38358828866871764</v>
      </c>
      <c r="W173" s="5">
        <f t="shared" si="38"/>
        <v>-0.12307230675142802</v>
      </c>
      <c r="X173" s="1">
        <f t="shared" si="39"/>
        <v>6.7930445397809081</v>
      </c>
      <c r="Y173" s="3">
        <f t="shared" si="40"/>
        <v>8.2324395688367344E-2</v>
      </c>
      <c r="Z173" s="1">
        <f t="shared" si="30"/>
        <v>0.11510111207431277</v>
      </c>
      <c r="AA173" s="8">
        <f t="shared" si="35"/>
        <v>13.416666666666693</v>
      </c>
      <c r="AB173" s="1">
        <v>13.5</v>
      </c>
      <c r="AC173" s="1">
        <v>4.7204976459999997E-3</v>
      </c>
      <c r="AD173" s="8">
        <f t="shared" si="31"/>
        <v>-0.11049344116727255</v>
      </c>
      <c r="AE173" s="3">
        <f t="shared" si="32"/>
        <v>-2.3407159467794926E-3</v>
      </c>
      <c r="AF173" s="11">
        <f t="shared" si="33"/>
        <v>13.416666666666693</v>
      </c>
      <c r="AG173" s="1">
        <f t="shared" si="34"/>
        <v>0.11510111207431277</v>
      </c>
    </row>
    <row r="174" spans="2:33" ht="15" x14ac:dyDescent="0.25">
      <c r="B174" s="1">
        <v>163</v>
      </c>
      <c r="C174" s="1">
        <v>1.0001718228770886</v>
      </c>
      <c r="D174" s="1">
        <v>1.1250653547530571</v>
      </c>
      <c r="E174" s="1">
        <v>0.8882789482591289</v>
      </c>
      <c r="G174" s="1">
        <v>0.9991249057843028</v>
      </c>
      <c r="H174" s="1">
        <v>2.7738493577028884</v>
      </c>
      <c r="I174" s="1">
        <v>0.33294795593589188</v>
      </c>
      <c r="K174" s="1">
        <v>1.0005425296148591</v>
      </c>
      <c r="L174" s="1">
        <v>2.9454736912011588</v>
      </c>
      <c r="M174" s="1">
        <v>0.31125813209329301</v>
      </c>
      <c r="O174" s="1">
        <v>4.7729156937114693E-3</v>
      </c>
      <c r="P174" s="1">
        <v>0.93722480567762656</v>
      </c>
      <c r="R174" s="1">
        <v>0.13350919393286056</v>
      </c>
      <c r="S174" s="2">
        <f t="shared" si="36"/>
        <v>0.42508579727443407</v>
      </c>
      <c r="T174" s="4">
        <f t="shared" si="37"/>
        <v>0.18069793504444126</v>
      </c>
      <c r="U174" s="1">
        <f t="shared" si="29"/>
        <v>5.669027324190079E-2</v>
      </c>
      <c r="V174" s="6">
        <f>2*sigma/alpha*corel*(B174/12-1/alpha*(1-EXP(-alpha*Output!B174/12)))</f>
        <v>0.38794476696505686</v>
      </c>
      <c r="W174" s="5">
        <f t="shared" si="38"/>
        <v>-0.12400766180254047</v>
      </c>
      <c r="X174" s="1">
        <f t="shared" si="39"/>
        <v>6.8882507668202706</v>
      </c>
      <c r="Y174" s="3">
        <f t="shared" si="40"/>
        <v>8.2328943282749062E-2</v>
      </c>
      <c r="Z174" s="1">
        <f t="shared" si="30"/>
        <v>0.11533826539095535</v>
      </c>
      <c r="AA174" s="8">
        <f t="shared" si="35"/>
        <v>13.500000000000027</v>
      </c>
      <c r="AB174" s="1">
        <v>13.58</v>
      </c>
      <c r="AC174" s="1">
        <v>4.761623544E-3</v>
      </c>
      <c r="AD174" s="8">
        <f t="shared" si="31"/>
        <v>-0.11292149711469336</v>
      </c>
      <c r="AE174" s="3">
        <f t="shared" si="32"/>
        <v>-2.3714914896408152E-3</v>
      </c>
      <c r="AF174" s="11">
        <f t="shared" si="33"/>
        <v>13.500000000000027</v>
      </c>
      <c r="AG174" s="1">
        <f t="shared" si="34"/>
        <v>0.11533826539095535</v>
      </c>
    </row>
    <row r="175" spans="2:33" ht="15" x14ac:dyDescent="0.25">
      <c r="B175" s="1">
        <v>164</v>
      </c>
      <c r="C175" s="1">
        <v>1.0001773571623536</v>
      </c>
      <c r="D175" s="1">
        <v>1.1265706709859562</v>
      </c>
      <c r="E175" s="1">
        <v>0.88709004365777144</v>
      </c>
      <c r="G175" s="1">
        <v>0.99940533697712852</v>
      </c>
      <c r="H175" s="1">
        <v>2.8051979681679371</v>
      </c>
      <c r="I175" s="1">
        <v>0.32906747807052467</v>
      </c>
      <c r="K175" s="1">
        <v>1.0005627976518947</v>
      </c>
      <c r="L175" s="1">
        <v>2.8420937775752133</v>
      </c>
      <c r="M175" s="1">
        <v>0.32238902071306097</v>
      </c>
      <c r="O175" s="1">
        <v>4.8148952796090291E-3</v>
      </c>
      <c r="P175" s="1">
        <v>0.93631476764227184</v>
      </c>
      <c r="R175" s="1">
        <v>0.13383209251794179</v>
      </c>
      <c r="S175" s="2">
        <f t="shared" si="36"/>
        <v>0.42722926070814193</v>
      </c>
      <c r="T175" s="4">
        <f t="shared" si="37"/>
        <v>0.1825248412052255</v>
      </c>
      <c r="U175" s="1">
        <f t="shared" si="29"/>
        <v>5.7609716016691959E-2</v>
      </c>
      <c r="V175" s="6">
        <f>2*sigma/alpha*corel*(B175/12-1/alpha*(1-EXP(-alpha*Output!B175/12)))</f>
        <v>0.39232141225896133</v>
      </c>
      <c r="W175" s="5">
        <f t="shared" si="38"/>
        <v>-0.12491512518853354</v>
      </c>
      <c r="X175" s="1">
        <f t="shared" si="39"/>
        <v>6.9826096008233662</v>
      </c>
      <c r="Y175" s="3">
        <f t="shared" si="40"/>
        <v>8.2322245556800663E-2</v>
      </c>
      <c r="Z175" s="1">
        <f t="shared" si="30"/>
        <v>0.11556589542658427</v>
      </c>
      <c r="AA175" s="8">
        <f t="shared" si="35"/>
        <v>13.583333333333361</v>
      </c>
      <c r="AB175" s="1">
        <v>13.67</v>
      </c>
      <c r="AC175" s="1">
        <v>4.8032966840000002E-3</v>
      </c>
      <c r="AD175" s="8">
        <f t="shared" si="31"/>
        <v>-0.11598595609028928</v>
      </c>
      <c r="AE175" s="3">
        <f t="shared" si="32"/>
        <v>-2.4147156363804006E-3</v>
      </c>
      <c r="AF175" s="11">
        <f t="shared" si="33"/>
        <v>13.583333333333361</v>
      </c>
      <c r="AG175" s="1">
        <f t="shared" si="34"/>
        <v>0.11556589542658427</v>
      </c>
    </row>
    <row r="176" spans="2:33" ht="15" x14ac:dyDescent="0.25">
      <c r="B176" s="1">
        <v>165</v>
      </c>
      <c r="C176" s="1">
        <v>1.0001775399891877</v>
      </c>
      <c r="D176" s="1">
        <v>1.1272611780922208</v>
      </c>
      <c r="E176" s="1">
        <v>0.88654467175909146</v>
      </c>
      <c r="G176" s="1">
        <v>0.99925870718232213</v>
      </c>
      <c r="H176" s="1">
        <v>2.8166659493360076</v>
      </c>
      <c r="I176" s="1">
        <v>0.32756869989482018</v>
      </c>
      <c r="K176" s="1">
        <v>1.0006883211694062</v>
      </c>
      <c r="L176" s="1">
        <v>2.8559132295398215</v>
      </c>
      <c r="M176" s="1">
        <v>0.32064810644654318</v>
      </c>
      <c r="O176" s="1">
        <v>4.8574056617019454E-3</v>
      </c>
      <c r="P176" s="1">
        <v>0.93539224167673396</v>
      </c>
      <c r="R176" s="1">
        <v>0.13427688161574139</v>
      </c>
      <c r="S176" s="2">
        <f t="shared" si="36"/>
        <v>0.4297190998194208</v>
      </c>
      <c r="T176" s="4">
        <f t="shared" si="37"/>
        <v>0.18465850474961334</v>
      </c>
      <c r="U176" s="1">
        <f t="shared" si="29"/>
        <v>5.8537623299896424E-2</v>
      </c>
      <c r="V176" s="6">
        <f>2*sigma/alpha*corel*(B176/12-1/alpha*(1-EXP(-alpha*Output!B176/12)))</f>
        <v>0.39671815743902084</v>
      </c>
      <c r="W176" s="5">
        <f t="shared" si="38"/>
        <v>-0.12612088144971692</v>
      </c>
      <c r="X176" s="1">
        <f t="shared" si="39"/>
        <v>7.0940337761762429</v>
      </c>
      <c r="Y176" s="3">
        <f t="shared" si="40"/>
        <v>8.24270757896165E-2</v>
      </c>
      <c r="Z176" s="1">
        <f t="shared" si="30"/>
        <v>0.11588662319843268</v>
      </c>
      <c r="AA176" s="8">
        <f t="shared" si="35"/>
        <v>13.666666666666694</v>
      </c>
      <c r="AB176" s="1">
        <v>13.75</v>
      </c>
      <c r="AC176" s="1">
        <v>4.8455060810000004E-3</v>
      </c>
      <c r="AD176" s="8">
        <f t="shared" si="31"/>
        <v>-0.11899580701944974</v>
      </c>
      <c r="AE176" s="3">
        <f t="shared" si="32"/>
        <v>-2.4557972899064396E-3</v>
      </c>
      <c r="AF176" s="11">
        <f t="shared" si="33"/>
        <v>13.666666666666694</v>
      </c>
      <c r="AG176" s="1">
        <f t="shared" si="34"/>
        <v>0.11588662319843268</v>
      </c>
    </row>
    <row r="177" spans="2:33" ht="15" x14ac:dyDescent="0.25">
      <c r="B177" s="1">
        <v>166</v>
      </c>
      <c r="C177" s="1">
        <v>1.0001778459907695</v>
      </c>
      <c r="D177" s="1">
        <v>1.1269352268719635</v>
      </c>
      <c r="E177" s="1">
        <v>0.88679911848306703</v>
      </c>
      <c r="G177" s="1">
        <v>0.99913564951654732</v>
      </c>
      <c r="H177" s="1">
        <v>2.8106740952224092</v>
      </c>
      <c r="I177" s="1">
        <v>0.32810777359067239</v>
      </c>
      <c r="K177" s="1">
        <v>1.0007935075447738</v>
      </c>
      <c r="L177" s="1">
        <v>2.879688528681164</v>
      </c>
      <c r="M177" s="1">
        <v>0.31782029484881597</v>
      </c>
      <c r="O177" s="1">
        <v>4.9002650980821336E-3</v>
      </c>
      <c r="P177" s="1">
        <v>0.93445949176366094</v>
      </c>
      <c r="R177" s="1">
        <v>0.13482041905652442</v>
      </c>
      <c r="S177" s="2">
        <f t="shared" si="36"/>
        <v>0.43249096664231657</v>
      </c>
      <c r="T177" s="4">
        <f t="shared" si="37"/>
        <v>0.18704843622720538</v>
      </c>
      <c r="U177" s="1">
        <f t="shared" si="29"/>
        <v>5.9474005514629447E-2</v>
      </c>
      <c r="V177" s="6">
        <f>2*sigma/alpha*corel*(B177/12-1/alpha*(1-EXP(-alpha*Output!B177/12)))</f>
        <v>0.40113493561715652</v>
      </c>
      <c r="W177" s="5">
        <f t="shared" si="38"/>
        <v>-0.12757443071257593</v>
      </c>
      <c r="X177" s="1">
        <f t="shared" si="39"/>
        <v>7.2200277360017813</v>
      </c>
      <c r="Y177" s="3">
        <f t="shared" si="40"/>
        <v>8.2622023880323331E-2</v>
      </c>
      <c r="Z177" s="1">
        <f t="shared" si="30"/>
        <v>0.11628230176244135</v>
      </c>
      <c r="AA177" s="8">
        <f t="shared" si="35"/>
        <v>13.750000000000028</v>
      </c>
      <c r="AB177" s="1">
        <v>13.83</v>
      </c>
      <c r="AC177" s="1">
        <v>4.8882407510000003E-3</v>
      </c>
      <c r="AD177" s="8">
        <f t="shared" si="31"/>
        <v>-0.12024347082133235</v>
      </c>
      <c r="AE177" s="3">
        <f t="shared" si="32"/>
        <v>-2.4598516510614546E-3</v>
      </c>
      <c r="AF177" s="11">
        <f t="shared" si="33"/>
        <v>13.750000000000028</v>
      </c>
      <c r="AG177" s="1">
        <f t="shared" si="34"/>
        <v>0.11628230176244135</v>
      </c>
    </row>
    <row r="178" spans="2:33" ht="15" x14ac:dyDescent="0.25">
      <c r="B178" s="1">
        <v>167</v>
      </c>
      <c r="C178" s="1">
        <v>1.0001802195415264</v>
      </c>
      <c r="D178" s="1">
        <v>1.1279594097698671</v>
      </c>
      <c r="E178" s="1">
        <v>0.88599194399989589</v>
      </c>
      <c r="G178" s="1">
        <v>0.99916536257680288</v>
      </c>
      <c r="H178" s="1">
        <v>2.8334960559173163</v>
      </c>
      <c r="I178" s="1">
        <v>0.32530720100938543</v>
      </c>
      <c r="K178" s="1">
        <v>1.0006694576390198</v>
      </c>
      <c r="L178" s="1">
        <v>2.956116539870481</v>
      </c>
      <c r="M178" s="1">
        <v>0.30947093860010044</v>
      </c>
      <c r="O178" s="1">
        <v>4.9435063885993318E-3</v>
      </c>
      <c r="P178" s="1">
        <v>0.93351604273272781</v>
      </c>
      <c r="R178" s="1">
        <v>0.13526223649246563</v>
      </c>
      <c r="S178" s="2">
        <f t="shared" si="36"/>
        <v>0.43500715608426432</v>
      </c>
      <c r="T178" s="4">
        <f t="shared" si="37"/>
        <v>0.18923122584451951</v>
      </c>
      <c r="U178" s="1">
        <f t="shared" si="29"/>
        <v>6.0418872792903144E-2</v>
      </c>
      <c r="V178" s="6">
        <f>2*sigma/alpha*corel*(B178/12-1/alpha*(1-EXP(-alpha*Output!B178/12)))</f>
        <v>0.40557168012787836</v>
      </c>
      <c r="W178" s="5">
        <f t="shared" si="38"/>
        <v>-0.12881235305161637</v>
      </c>
      <c r="X178" s="1">
        <f t="shared" si="39"/>
        <v>7.3350427075950613</v>
      </c>
      <c r="Y178" s="3">
        <f t="shared" si="40"/>
        <v>8.2733774269481128E-2</v>
      </c>
      <c r="Z178" s="1">
        <f t="shared" si="30"/>
        <v>0.11660811873148974</v>
      </c>
      <c r="AA178" s="8">
        <f t="shared" si="35"/>
        <v>13.833333333333362</v>
      </c>
      <c r="AB178" s="1">
        <v>13.92</v>
      </c>
      <c r="AC178" s="1">
        <v>4.9314897119999996E-3</v>
      </c>
      <c r="AD178" s="8">
        <f t="shared" si="31"/>
        <v>-0.12016676599332227</v>
      </c>
      <c r="AE178" s="3">
        <f t="shared" si="32"/>
        <v>-2.4367234448632322E-3</v>
      </c>
      <c r="AF178" s="11">
        <f t="shared" si="33"/>
        <v>13.833333333333362</v>
      </c>
      <c r="AG178" s="1">
        <f t="shared" si="34"/>
        <v>0.11660811873148974</v>
      </c>
    </row>
    <row r="179" spans="2:33" ht="15" x14ac:dyDescent="0.25">
      <c r="B179" s="1">
        <v>168</v>
      </c>
      <c r="C179" s="1">
        <v>1.0001847414687521</v>
      </c>
      <c r="D179" s="1">
        <v>1.1276287503920912</v>
      </c>
      <c r="E179" s="1">
        <v>0.88624979067101239</v>
      </c>
      <c r="G179" s="1">
        <v>0.999362858843166</v>
      </c>
      <c r="H179" s="1">
        <v>2.8243064193766556</v>
      </c>
      <c r="I179" s="1">
        <v>0.32620736553073915</v>
      </c>
      <c r="K179" s="1">
        <v>1.0007386645716334</v>
      </c>
      <c r="L179" s="1">
        <v>2.8763214778724757</v>
      </c>
      <c r="M179" s="1">
        <v>0.31787931457878155</v>
      </c>
      <c r="O179" s="1">
        <v>4.9872326204614906E-3</v>
      </c>
      <c r="P179" s="1">
        <v>0.93256049396233442</v>
      </c>
      <c r="R179" s="1">
        <v>0.13574838202229075</v>
      </c>
      <c r="S179" s="2">
        <f t="shared" si="36"/>
        <v>0.43766213387761055</v>
      </c>
      <c r="T179" s="4">
        <f t="shared" si="37"/>
        <v>0.19154814343030349</v>
      </c>
      <c r="U179" s="1">
        <f t="shared" si="29"/>
        <v>6.1372234978296802E-2</v>
      </c>
      <c r="V179" s="6">
        <f>2*sigma/alpha*corel*(B179/12-1/alpha*(1-EXP(-alpha*Output!B179/12)))</f>
        <v>0.41002832452754645</v>
      </c>
      <c r="W179" s="5">
        <f t="shared" si="38"/>
        <v>-0.13017590845200669</v>
      </c>
      <c r="X179" s="1">
        <f t="shared" si="39"/>
        <v>7.4579741002272417</v>
      </c>
      <c r="Y179" s="3">
        <f t="shared" si="40"/>
        <v>8.2889315704870542E-2</v>
      </c>
      <c r="Z179" s="1">
        <f t="shared" si="30"/>
        <v>0.11697012543817194</v>
      </c>
      <c r="AA179" s="8">
        <f t="shared" si="35"/>
        <v>13.916666666666696</v>
      </c>
      <c r="AB179" s="1">
        <v>14</v>
      </c>
      <c r="AC179" s="1">
        <v>4.975241981E-3</v>
      </c>
      <c r="AD179" s="8">
        <f t="shared" si="31"/>
        <v>-0.11990639461490621</v>
      </c>
      <c r="AE179" s="3">
        <f t="shared" si="32"/>
        <v>-2.4100615622881841E-3</v>
      </c>
      <c r="AF179" s="11">
        <f t="shared" si="33"/>
        <v>13.916666666666696</v>
      </c>
      <c r="AG179" s="1">
        <f t="shared" si="34"/>
        <v>0.11697012543817194</v>
      </c>
    </row>
    <row r="180" spans="2:33" ht="15" x14ac:dyDescent="0.25">
      <c r="B180" s="1">
        <v>169</v>
      </c>
      <c r="C180" s="1">
        <v>1.0001888038367297</v>
      </c>
      <c r="D180" s="1">
        <v>1.1237773906640156</v>
      </c>
      <c r="E180" s="1">
        <v>0.88928515123893059</v>
      </c>
      <c r="G180" s="1">
        <v>0.99953070189411408</v>
      </c>
      <c r="H180" s="1">
        <v>2.7401881792054046</v>
      </c>
      <c r="I180" s="1">
        <v>0.336058188525242</v>
      </c>
      <c r="K180" s="1">
        <v>1.0008504944485739</v>
      </c>
      <c r="L180" s="1">
        <v>2.9043786471968804</v>
      </c>
      <c r="M180" s="1">
        <v>0.31461598612903424</v>
      </c>
      <c r="O180" s="1">
        <v>5.0313942641283978E-3</v>
      </c>
      <c r="P180" s="1">
        <v>0.93159342145419044</v>
      </c>
      <c r="R180" s="1">
        <v>0.13611501603002379</v>
      </c>
      <c r="S180" s="2">
        <f t="shared" si="36"/>
        <v>0.4400139143199947</v>
      </c>
      <c r="T180" s="4">
        <f t="shared" si="37"/>
        <v>0.19361224479520364</v>
      </c>
      <c r="U180" s="1">
        <f t="shared" si="29"/>
        <v>6.2334101628609861E-2</v>
      </c>
      <c r="V180" s="6">
        <f>2*sigma/alpha*corel*(B180/12-1/alpha*(1-EXP(-alpha*Output!B180/12)))</f>
        <v>0.41450480259362932</v>
      </c>
      <c r="W180" s="5">
        <f t="shared" si="38"/>
        <v>-0.13127814316659378</v>
      </c>
      <c r="X180" s="1">
        <f t="shared" si="39"/>
        <v>7.5671496297579663</v>
      </c>
      <c r="Y180" s="3">
        <f t="shared" si="40"/>
        <v>8.2946998392897625E-2</v>
      </c>
      <c r="Z180" s="1">
        <f t="shared" si="30"/>
        <v>0.11725022394453687</v>
      </c>
      <c r="AA180" s="8">
        <f t="shared" si="35"/>
        <v>14.00000000000003</v>
      </c>
      <c r="AB180" s="1">
        <v>14.08</v>
      </c>
      <c r="AC180" s="1">
        <v>5.0194865769999999E-3</v>
      </c>
      <c r="AD180" s="8">
        <f t="shared" si="31"/>
        <v>-0.1190768712839782</v>
      </c>
      <c r="AE180" s="3">
        <f t="shared" si="32"/>
        <v>-2.3722918560955082E-3</v>
      </c>
      <c r="AF180" s="11">
        <f t="shared" si="33"/>
        <v>14.00000000000003</v>
      </c>
      <c r="AG180" s="1">
        <f t="shared" si="34"/>
        <v>0.11725022394453687</v>
      </c>
    </row>
    <row r="181" spans="2:33" ht="15" x14ac:dyDescent="0.25">
      <c r="B181" s="1">
        <v>170</v>
      </c>
      <c r="C181" s="1">
        <v>1.0001905301594889</v>
      </c>
      <c r="D181" s="1">
        <v>1.1242234522927421</v>
      </c>
      <c r="E181" s="1">
        <v>0.88893036048309049</v>
      </c>
      <c r="G181" s="1">
        <v>0.99950008535486101</v>
      </c>
      <c r="H181" s="1">
        <v>2.7494699303204335</v>
      </c>
      <c r="I181" s="1">
        <v>0.3347612637364033</v>
      </c>
      <c r="K181" s="1">
        <v>1.0008737830974888</v>
      </c>
      <c r="L181" s="1">
        <v>2.9620821839676914</v>
      </c>
      <c r="M181" s="1">
        <v>0.30831985323342737</v>
      </c>
      <c r="O181" s="1">
        <v>5.0757885575335839E-3</v>
      </c>
      <c r="P181" s="1">
        <v>0.93061743496039817</v>
      </c>
      <c r="R181" s="1">
        <v>0.13642740806992723</v>
      </c>
      <c r="S181" s="2">
        <f t="shared" si="36"/>
        <v>0.44223399429207255</v>
      </c>
      <c r="T181" s="4">
        <f t="shared" si="37"/>
        <v>0.19557090570752086</v>
      </c>
      <c r="U181" s="1">
        <f t="shared" si="29"/>
        <v>6.3304482018494479E-2</v>
      </c>
      <c r="V181" s="6">
        <f>2*sigma/alpha*corel*(B181/12-1/alpha*(1-EXP(-alpha*Output!B181/12)))</f>
        <v>0.41900104832397034</v>
      </c>
      <c r="W181" s="5">
        <f t="shared" si="38"/>
        <v>-0.13226642368902639</v>
      </c>
      <c r="X181" s="1">
        <f t="shared" si="39"/>
        <v>7.6706592208747475</v>
      </c>
      <c r="Y181" s="3">
        <f t="shared" si="40"/>
        <v>8.2962157036766862E-2</v>
      </c>
      <c r="Z181" s="1">
        <f t="shared" si="30"/>
        <v>0.11749470247107389</v>
      </c>
      <c r="AA181" s="8">
        <f t="shared" si="35"/>
        <v>14.083333333333364</v>
      </c>
      <c r="AB181" s="1">
        <v>14.17</v>
      </c>
      <c r="AC181" s="1">
        <v>5.0641743779999996E-3</v>
      </c>
      <c r="AD181" s="8">
        <f t="shared" si="31"/>
        <v>-0.11614179533584248</v>
      </c>
      <c r="AE181" s="3">
        <f t="shared" si="32"/>
        <v>-2.2934003979087013E-3</v>
      </c>
      <c r="AF181" s="11">
        <f t="shared" si="33"/>
        <v>14.083333333333364</v>
      </c>
      <c r="AG181" s="1">
        <f t="shared" si="34"/>
        <v>0.11749470247107389</v>
      </c>
    </row>
    <row r="182" spans="2:33" ht="15" x14ac:dyDescent="0.25">
      <c r="B182" s="1">
        <v>171</v>
      </c>
      <c r="C182" s="1">
        <v>1.0001912120976018</v>
      </c>
      <c r="D182" s="1">
        <v>1.1250834960325788</v>
      </c>
      <c r="E182" s="1">
        <v>0.88824890172667692</v>
      </c>
      <c r="G182" s="1">
        <v>0.99939718989633242</v>
      </c>
      <c r="H182" s="1">
        <v>2.7670008643676356</v>
      </c>
      <c r="I182" s="1">
        <v>0.3324789762409876</v>
      </c>
      <c r="K182" s="1">
        <v>1.0009345335192683</v>
      </c>
      <c r="L182" s="1">
        <v>2.8852187168076737</v>
      </c>
      <c r="M182" s="1">
        <v>0.31639808401000352</v>
      </c>
      <c r="O182" s="1">
        <v>5.1202094360000621E-3</v>
      </c>
      <c r="P182" s="1">
        <v>0.92963524033656508</v>
      </c>
      <c r="R182" s="1">
        <v>0.13676636081438279</v>
      </c>
      <c r="S182" s="2">
        <f t="shared" si="36"/>
        <v>0.44453638976102816</v>
      </c>
      <c r="T182" s="4">
        <f t="shared" si="37"/>
        <v>0.19761260182176874</v>
      </c>
      <c r="U182" s="1">
        <f t="shared" si="29"/>
        <v>6.4283385142065885E-2</v>
      </c>
      <c r="V182" s="6">
        <f>2*sigma/alpha*corel*(B182/12-1/alpha*(1-EXP(-alpha*Output!B182/12)))</f>
        <v>0.42351699593605341</v>
      </c>
      <c r="W182" s="5">
        <f t="shared" si="38"/>
        <v>-0.13332921667970285</v>
      </c>
      <c r="X182" s="1">
        <f t="shared" si="39"/>
        <v>7.7791319965897614</v>
      </c>
      <c r="Y182" s="3">
        <f t="shared" si="40"/>
        <v>8.3003246974395678E-2</v>
      </c>
      <c r="Z182" s="1">
        <f t="shared" si="30"/>
        <v>0.11776056642627193</v>
      </c>
      <c r="AA182" s="8">
        <f t="shared" si="35"/>
        <v>14.166666666666698</v>
      </c>
      <c r="AB182" s="1">
        <v>14.25</v>
      </c>
      <c r="AC182" s="1">
        <v>5.109103714E-3</v>
      </c>
      <c r="AD182" s="8">
        <f t="shared" si="31"/>
        <v>-0.11105722000062136</v>
      </c>
      <c r="AE182" s="3">
        <f t="shared" si="32"/>
        <v>-2.1737123812206362E-3</v>
      </c>
      <c r="AF182" s="11">
        <f t="shared" si="33"/>
        <v>14.166666666666698</v>
      </c>
      <c r="AG182" s="1">
        <f t="shared" si="34"/>
        <v>0.11776056642627193</v>
      </c>
    </row>
    <row r="183" spans="2:33" ht="15" x14ac:dyDescent="0.25">
      <c r="B183" s="1">
        <v>172</v>
      </c>
      <c r="C183" s="1">
        <v>1.0001899954141922</v>
      </c>
      <c r="D183" s="1">
        <v>1.127656166857427</v>
      </c>
      <c r="E183" s="1">
        <v>0.88622049746738307</v>
      </c>
      <c r="G183" s="1">
        <v>0.99914598647645148</v>
      </c>
      <c r="H183" s="1">
        <v>2.8237122130180592</v>
      </c>
      <c r="I183" s="1">
        <v>0.32564346650448162</v>
      </c>
      <c r="K183" s="1">
        <v>1.0009421478545051</v>
      </c>
      <c r="L183" s="1">
        <v>2.9312837028462524</v>
      </c>
      <c r="M183" s="1">
        <v>0.31126465792370406</v>
      </c>
      <c r="O183" s="1">
        <v>5.1643875629519163E-3</v>
      </c>
      <c r="P183" s="1">
        <v>0.92865043827319782</v>
      </c>
      <c r="R183" s="1">
        <v>0.13715351958078403</v>
      </c>
      <c r="S183" s="2">
        <f t="shared" si="36"/>
        <v>0.44697479624671477</v>
      </c>
      <c r="T183" s="4">
        <f t="shared" si="37"/>
        <v>0.19978646847979217</v>
      </c>
      <c r="U183" s="1">
        <f t="shared" si="29"/>
        <v>6.5270819715498973E-2</v>
      </c>
      <c r="V183" s="6">
        <f>2*sigma/alpha*corel*(B183/12-1/alpha*(1-EXP(-alpha*Output!B183/12)))</f>
        <v>0.42805257986627332</v>
      </c>
      <c r="W183" s="5">
        <f t="shared" si="38"/>
        <v>-0.1345156487642932</v>
      </c>
      <c r="X183" s="1">
        <f t="shared" si="39"/>
        <v>7.8954595402829817</v>
      </c>
      <c r="Y183" s="3">
        <f t="shared" si="40"/>
        <v>8.3087213616942809E-2</v>
      </c>
      <c r="Z183" s="1">
        <f t="shared" si="30"/>
        <v>0.11806180933803932</v>
      </c>
      <c r="AA183" s="8">
        <f t="shared" si="35"/>
        <v>14.250000000000032</v>
      </c>
      <c r="AB183" s="1">
        <v>14.33</v>
      </c>
      <c r="AC183" s="1">
        <v>5.154034775E-3</v>
      </c>
      <c r="AD183" s="8">
        <f t="shared" si="31"/>
        <v>-0.10352787951916319</v>
      </c>
      <c r="AE183" s="3">
        <f t="shared" si="32"/>
        <v>-2.0086763873098466E-3</v>
      </c>
      <c r="AF183" s="11">
        <f t="shared" si="33"/>
        <v>14.250000000000032</v>
      </c>
      <c r="AG183" s="1">
        <f t="shared" si="34"/>
        <v>0.11806180933803932</v>
      </c>
    </row>
    <row r="184" spans="2:33" ht="15" x14ac:dyDescent="0.25">
      <c r="B184" s="1">
        <v>173</v>
      </c>
      <c r="C184" s="1">
        <v>1.0001903249688133</v>
      </c>
      <c r="D184" s="1">
        <v>1.1282172157207284</v>
      </c>
      <c r="E184" s="1">
        <v>0.88577787458005808</v>
      </c>
      <c r="G184" s="1">
        <v>0.999016128198986</v>
      </c>
      <c r="H184" s="1">
        <v>2.83503543156078</v>
      </c>
      <c r="I184" s="1">
        <v>0.32418553743736428</v>
      </c>
      <c r="K184" s="1">
        <v>1.0010121971241461</v>
      </c>
      <c r="L184" s="1">
        <v>2.9276051164339507</v>
      </c>
      <c r="M184" s="1">
        <v>0.31145337405106494</v>
      </c>
      <c r="O184" s="1">
        <v>5.2080950050256026E-3</v>
      </c>
      <c r="P184" s="1">
        <v>0.92766614389749091</v>
      </c>
      <c r="R184" s="1">
        <v>0.13757040781249522</v>
      </c>
      <c r="S184" s="2">
        <f t="shared" si="36"/>
        <v>0.44949523707262151</v>
      </c>
      <c r="T184" s="4">
        <f t="shared" si="37"/>
        <v>0.20204596815097223</v>
      </c>
      <c r="U184" s="1">
        <f t="shared" si="29"/>
        <v>6.6266794179596911E-2</v>
      </c>
      <c r="V184" s="6">
        <f>2*sigma/alpha*corel*(B184/12-1/alpha*(1-EXP(-alpha*Output!B184/12)))</f>
        <v>0.43260773476920567</v>
      </c>
      <c r="W184" s="5">
        <f t="shared" si="38"/>
        <v>-0.13577917397137532</v>
      </c>
      <c r="X184" s="1">
        <f t="shared" si="39"/>
        <v>8.0170818178647867</v>
      </c>
      <c r="Y184" s="3">
        <f t="shared" si="40"/>
        <v>8.3196674465494488E-2</v>
      </c>
      <c r="Z184" s="1">
        <f t="shared" si="30"/>
        <v>0.11838390615242254</v>
      </c>
      <c r="AA184" s="8">
        <f t="shared" si="35"/>
        <v>14.333333333333366</v>
      </c>
      <c r="AB184" s="1">
        <v>14.42</v>
      </c>
      <c r="AC184" s="1">
        <v>5.1987277530000002E-3</v>
      </c>
      <c r="AD184" s="8">
        <f t="shared" si="31"/>
        <v>-9.3672520256023531E-2</v>
      </c>
      <c r="AE184" s="3">
        <f t="shared" si="32"/>
        <v>-1.8018354625700195E-3</v>
      </c>
      <c r="AF184" s="11">
        <f t="shared" si="33"/>
        <v>14.333333333333366</v>
      </c>
      <c r="AG184" s="1">
        <f t="shared" si="34"/>
        <v>0.11838390615242254</v>
      </c>
    </row>
    <row r="185" spans="2:33" ht="15" x14ac:dyDescent="0.25">
      <c r="B185" s="1">
        <v>174</v>
      </c>
      <c r="C185" s="1">
        <v>1.0001945139300614</v>
      </c>
      <c r="D185" s="1">
        <v>1.1268421598512282</v>
      </c>
      <c r="E185" s="1">
        <v>0.88685685525446323</v>
      </c>
      <c r="G185" s="1">
        <v>0.99918746655405632</v>
      </c>
      <c r="H185" s="1">
        <v>2.8025792917737378</v>
      </c>
      <c r="I185" s="1">
        <v>0.32778083094221694</v>
      </c>
      <c r="K185" s="1">
        <v>1.0010295840417731</v>
      </c>
      <c r="L185" s="1">
        <v>2.8482468699370758</v>
      </c>
      <c r="M185" s="1">
        <v>0.31999381675910482</v>
      </c>
      <c r="O185" s="1">
        <v>5.2510886370544223E-3</v>
      </c>
      <c r="P185" s="1">
        <v>0.9266857337043598</v>
      </c>
      <c r="R185" s="1">
        <v>0.13788226425592931</v>
      </c>
      <c r="S185" s="2">
        <f t="shared" si="36"/>
        <v>0.45172808041154211</v>
      </c>
      <c r="T185" s="4">
        <f t="shared" si="37"/>
        <v>0.20405825863229665</v>
      </c>
      <c r="U185" s="1">
        <f t="shared" ref="U185:U248" si="41">sigma*sigma/alpha/alpha*(B185/12+2/alpha*EXP(-alpha*B185/12)-1/2/alpha*EXP(-2*alpha*B185/12)-3/2/alpha)</f>
        <v>6.7271316702345985E-2</v>
      </c>
      <c r="V185" s="6">
        <f>2*sigma/alpha*corel*(B185/12-1/alpha*(1-EXP(-alpha*Output!B185/12)))</f>
        <v>0.43718239551688143</v>
      </c>
      <c r="W185" s="5">
        <f t="shared" si="38"/>
        <v>-0.13678694192995067</v>
      </c>
      <c r="X185" s="1">
        <f t="shared" si="39"/>
        <v>8.1247710788870187</v>
      </c>
      <c r="Y185" s="3">
        <f t="shared" si="40"/>
        <v>8.3214345225121722E-2</v>
      </c>
      <c r="Z185" s="1">
        <f t="shared" si="30"/>
        <v>0.11862960572281901</v>
      </c>
      <c r="AA185" s="8">
        <f t="shared" si="35"/>
        <v>14.4166666666667</v>
      </c>
      <c r="AB185" s="1">
        <v>14.5</v>
      </c>
      <c r="AC185" s="1">
        <v>5.2429428390000001E-3</v>
      </c>
      <c r="AD185" s="8">
        <f t="shared" si="31"/>
        <v>-8.1457980544222264E-2</v>
      </c>
      <c r="AE185" s="3">
        <f t="shared" si="32"/>
        <v>-1.5536690565895804E-3</v>
      </c>
      <c r="AF185" s="11">
        <f t="shared" si="33"/>
        <v>14.4166666666667</v>
      </c>
      <c r="AG185" s="1">
        <f t="shared" si="34"/>
        <v>0.11862960572281901</v>
      </c>
    </row>
    <row r="186" spans="2:33" ht="15" x14ac:dyDescent="0.25">
      <c r="B186" s="1">
        <v>175</v>
      </c>
      <c r="C186" s="1">
        <v>1.0001998634544846</v>
      </c>
      <c r="D186" s="1">
        <v>1.1267722207921917</v>
      </c>
      <c r="E186" s="1">
        <v>0.8869099993730778</v>
      </c>
      <c r="G186" s="1">
        <v>0.99946223802735346</v>
      </c>
      <c r="H186" s="1">
        <v>2.8004260907150784</v>
      </c>
      <c r="I186" s="1">
        <v>0.32787377902381559</v>
      </c>
      <c r="K186" s="1">
        <v>1.0010442097908681</v>
      </c>
      <c r="L186" s="1">
        <v>2.8990364106812003</v>
      </c>
      <c r="M186" s="1">
        <v>0.31420112398081373</v>
      </c>
      <c r="O186" s="1">
        <v>5.2930650685369274E-3</v>
      </c>
      <c r="P186" s="1">
        <v>0.92571345853490994</v>
      </c>
      <c r="R186" s="1">
        <v>0.13813476371516747</v>
      </c>
      <c r="S186" s="2">
        <f t="shared" si="36"/>
        <v>0.45379030419793775</v>
      </c>
      <c r="T186" s="4">
        <f t="shared" si="37"/>
        <v>0.20592564018405687</v>
      </c>
      <c r="U186" s="1">
        <f t="shared" si="41"/>
        <v>6.8284395181450908E-2</v>
      </c>
      <c r="V186" s="6">
        <f>2*sigma/alpha*corel*(B186/12-1/alpha*(1-EXP(-alpha*Output!B186/12)))</f>
        <v>0.441776497198064</v>
      </c>
      <c r="W186" s="5">
        <f t="shared" si="38"/>
        <v>-0.13764124500260597</v>
      </c>
      <c r="X186" s="1">
        <f t="shared" si="39"/>
        <v>8.2242390986286065</v>
      </c>
      <c r="Y186" s="3">
        <f t="shared" si="40"/>
        <v>8.3177723060520806E-2</v>
      </c>
      <c r="Z186" s="1">
        <f t="shared" si="30"/>
        <v>0.11883019534994781</v>
      </c>
      <c r="AA186" s="8">
        <f t="shared" si="35"/>
        <v>14.500000000000034</v>
      </c>
      <c r="AB186" s="1">
        <v>14.58</v>
      </c>
      <c r="AC186" s="1">
        <v>5.2864402239999999E-3</v>
      </c>
      <c r="AD186" s="8">
        <f t="shared" si="31"/>
        <v>-6.6248445369275835E-2</v>
      </c>
      <c r="AE186" s="3">
        <f t="shared" si="32"/>
        <v>-1.2531768555428546E-3</v>
      </c>
      <c r="AF186" s="11">
        <f t="shared" si="33"/>
        <v>14.500000000000034</v>
      </c>
      <c r="AG186" s="1">
        <f t="shared" si="34"/>
        <v>0.11883019534994781</v>
      </c>
    </row>
    <row r="187" spans="2:33" ht="15" x14ac:dyDescent="0.25">
      <c r="B187" s="1">
        <v>176</v>
      </c>
      <c r="C187" s="1">
        <v>1.0002028673058783</v>
      </c>
      <c r="D187" s="1">
        <v>1.1257084484167772</v>
      </c>
      <c r="E187" s="1">
        <v>0.88774621396526621</v>
      </c>
      <c r="G187" s="1">
        <v>0.9995335548027624</v>
      </c>
      <c r="H187" s="1">
        <v>2.77495374368868</v>
      </c>
      <c r="I187" s="1">
        <v>0.33072300218945344</v>
      </c>
      <c r="K187" s="1">
        <v>1.0011037865618555</v>
      </c>
      <c r="L187" s="1">
        <v>2.8554732144229886</v>
      </c>
      <c r="M187" s="1">
        <v>0.31881316710137714</v>
      </c>
      <c r="O187" s="1">
        <v>5.3337595916544758E-3</v>
      </c>
      <c r="P187" s="1">
        <v>0.92475312035094304</v>
      </c>
      <c r="R187" s="1">
        <v>0.13854210128212305</v>
      </c>
      <c r="S187" s="2">
        <f t="shared" si="36"/>
        <v>0.45625754112568961</v>
      </c>
      <c r="T187" s="4">
        <f t="shared" si="37"/>
        <v>0.20817094383406035</v>
      </c>
      <c r="U187" s="1">
        <f t="shared" si="41"/>
        <v>6.9306037246847918E-2</v>
      </c>
      <c r="V187" s="6">
        <f>2*sigma/alpha*corel*(B187/12-1/alpha*(1-EXP(-alpha*Output!B187/12)))</f>
        <v>0.44638997511752643</v>
      </c>
      <c r="W187" s="5">
        <f t="shared" si="38"/>
        <v>-0.13886490658721243</v>
      </c>
      <c r="X187" s="1">
        <f t="shared" si="39"/>
        <v>8.3460051963352218</v>
      </c>
      <c r="Y187" s="3">
        <f t="shared" si="40"/>
        <v>8.3268933004807394E-2</v>
      </c>
      <c r="Z187" s="1">
        <f t="shared" si="30"/>
        <v>0.11913636490690568</v>
      </c>
      <c r="AA187" s="8">
        <f t="shared" si="35"/>
        <v>14.583333333333368</v>
      </c>
      <c r="AB187" s="1">
        <v>14.67</v>
      </c>
      <c r="AC187" s="1">
        <v>5.328979381E-3</v>
      </c>
      <c r="AD187" s="8">
        <f t="shared" si="31"/>
        <v>-4.7802106544758693E-2</v>
      </c>
      <c r="AE187" s="3">
        <f t="shared" si="32"/>
        <v>-8.9702179586569313E-4</v>
      </c>
      <c r="AF187" s="11">
        <f t="shared" si="33"/>
        <v>14.583333333333368</v>
      </c>
      <c r="AG187" s="1">
        <f t="shared" si="34"/>
        <v>0.11913636490690568</v>
      </c>
    </row>
    <row r="188" spans="2:33" ht="15" x14ac:dyDescent="0.25">
      <c r="B188" s="1">
        <v>177</v>
      </c>
      <c r="C188" s="1">
        <v>1.0002051956874898</v>
      </c>
      <c r="D188" s="1">
        <v>1.1291691170260083</v>
      </c>
      <c r="E188" s="1">
        <v>0.88502357159824263</v>
      </c>
      <c r="G188" s="1">
        <v>0.99955575195694002</v>
      </c>
      <c r="H188" s="1">
        <v>2.8522336518074107</v>
      </c>
      <c r="I188" s="1">
        <v>0.32160619517277012</v>
      </c>
      <c r="K188" s="1">
        <v>1.0011986246661737</v>
      </c>
      <c r="L188" s="1">
        <v>2.8482895814561986</v>
      </c>
      <c r="M188" s="1">
        <v>0.31944593590490344</v>
      </c>
      <c r="O188" s="1">
        <v>5.3729432527192533E-3</v>
      </c>
      <c r="P188" s="1">
        <v>0.92380809992132173</v>
      </c>
      <c r="R188" s="1">
        <v>0.13865091747941338</v>
      </c>
      <c r="S188" s="2">
        <f t="shared" si="36"/>
        <v>0.45789417476347871</v>
      </c>
      <c r="T188" s="4">
        <f t="shared" si="37"/>
        <v>0.2096670752823272</v>
      </c>
      <c r="U188" s="1">
        <f t="shared" si="41"/>
        <v>7.0336250263201006E-2</v>
      </c>
      <c r="V188" s="6">
        <f>2*sigma/alpha*corel*(B188/12-1/alpha*(1-EXP(-alpha*Output!B188/12)))</f>
        <v>0.45102276479533465</v>
      </c>
      <c r="W188" s="5">
        <f t="shared" si="38"/>
        <v>-0.13933082501912619</v>
      </c>
      <c r="X188" s="1">
        <f t="shared" si="39"/>
        <v>8.4239402104920735</v>
      </c>
      <c r="Y188" s="3">
        <f t="shared" si="40"/>
        <v>8.3097617783306849E-2</v>
      </c>
      <c r="Z188" s="1">
        <f t="shared" si="30"/>
        <v>0.11922548791384067</v>
      </c>
      <c r="AA188" s="8">
        <f t="shared" si="35"/>
        <v>14.666666666666702</v>
      </c>
      <c r="AB188" s="1">
        <v>14.75</v>
      </c>
      <c r="AC188" s="1">
        <v>5.3703169079999998E-3</v>
      </c>
      <c r="AD188" s="8">
        <f t="shared" si="31"/>
        <v>-2.6263447192535067E-2</v>
      </c>
      <c r="AE188" s="3">
        <f t="shared" si="32"/>
        <v>-4.8904836795406247E-4</v>
      </c>
      <c r="AF188" s="11">
        <f t="shared" si="33"/>
        <v>14.666666666666702</v>
      </c>
      <c r="AG188" s="1">
        <f t="shared" si="34"/>
        <v>0.11922548791384067</v>
      </c>
    </row>
    <row r="189" spans="2:33" ht="15" x14ac:dyDescent="0.25">
      <c r="B189" s="1">
        <v>178</v>
      </c>
      <c r="C189" s="1">
        <v>1.0002086357954745</v>
      </c>
      <c r="D189" s="1">
        <v>1.128142783699698</v>
      </c>
      <c r="E189" s="1">
        <v>0.88582684684644297</v>
      </c>
      <c r="G189" s="1">
        <v>0.99966899872230464</v>
      </c>
      <c r="H189" s="1">
        <v>2.8276458956223718</v>
      </c>
      <c r="I189" s="1">
        <v>0.3242454172747164</v>
      </c>
      <c r="K189" s="1">
        <v>1.0012652428432858</v>
      </c>
      <c r="L189" s="1">
        <v>2.8113979046712281</v>
      </c>
      <c r="M189" s="1">
        <v>0.32348337131894267</v>
      </c>
      <c r="O189" s="1">
        <v>5.4104253249425754E-3</v>
      </c>
      <c r="P189" s="1">
        <v>0.92288131182472211</v>
      </c>
      <c r="R189" s="1">
        <v>0.13911777921091809</v>
      </c>
      <c r="S189" s="2">
        <f t="shared" si="36"/>
        <v>0.46047969097913766</v>
      </c>
      <c r="T189" s="4">
        <f t="shared" si="37"/>
        <v>0.21204154580424212</v>
      </c>
      <c r="U189" s="1">
        <f t="shared" si="41"/>
        <v>7.1375041332377709E-2</v>
      </c>
      <c r="V189" s="6">
        <f>2*sigma/alpha*corel*(B189/12-1/alpha*(1-EXP(-alpha*Output!B189/12)))</f>
        <v>0.45567480196612897</v>
      </c>
      <c r="W189" s="5">
        <f t="shared" si="38"/>
        <v>-0.14066650447186441</v>
      </c>
      <c r="X189" s="1">
        <f t="shared" si="39"/>
        <v>8.5538521238108256</v>
      </c>
      <c r="Y189" s="3">
        <f t="shared" si="40"/>
        <v>8.3225464940689498E-2</v>
      </c>
      <c r="Z189" s="1">
        <f t="shared" si="30"/>
        <v>0.11956143053759476</v>
      </c>
      <c r="AA189" s="8">
        <f t="shared" si="35"/>
        <v>14.750000000000036</v>
      </c>
      <c r="AB189" s="1">
        <v>14.83</v>
      </c>
      <c r="AC189" s="1">
        <v>5.4102086860000004E-3</v>
      </c>
      <c r="AD189" s="8">
        <f t="shared" si="31"/>
        <v>-2.1663894257499539E-3</v>
      </c>
      <c r="AE189" s="3">
        <f t="shared" si="32"/>
        <v>-4.0042622225569985E-5</v>
      </c>
      <c r="AF189" s="11">
        <f t="shared" si="33"/>
        <v>14.750000000000036</v>
      </c>
      <c r="AG189" s="1">
        <f t="shared" si="34"/>
        <v>0.11956143053759476</v>
      </c>
    </row>
    <row r="190" spans="2:33" ht="15" x14ac:dyDescent="0.25">
      <c r="B190" s="1">
        <v>179</v>
      </c>
      <c r="C190" s="1">
        <v>1.0002109734257993</v>
      </c>
      <c r="D190" s="1">
        <v>1.1291826097783053</v>
      </c>
      <c r="E190" s="1">
        <v>0.88500924796324176</v>
      </c>
      <c r="G190" s="1">
        <v>0.99970307915170875</v>
      </c>
      <c r="H190" s="1">
        <v>2.8512515534166476</v>
      </c>
      <c r="I190" s="1">
        <v>0.32140505580902151</v>
      </c>
      <c r="K190" s="1">
        <v>1.0011873121585977</v>
      </c>
      <c r="L190" s="1">
        <v>2.9287965881880034</v>
      </c>
      <c r="M190" s="1">
        <v>0.31035886838444904</v>
      </c>
      <c r="O190" s="1">
        <v>5.445988173637918E-3</v>
      </c>
      <c r="P190" s="1">
        <v>0.92197608839568601</v>
      </c>
      <c r="R190" s="1">
        <v>0.13926194293826097</v>
      </c>
      <c r="S190" s="2">
        <f t="shared" si="36"/>
        <v>0.4621585383728587</v>
      </c>
      <c r="T190" s="4">
        <f t="shared" si="37"/>
        <v>0.21359051459093711</v>
      </c>
      <c r="U190" s="1">
        <f t="shared" si="41"/>
        <v>7.2422417295908037E-2</v>
      </c>
      <c r="V190" s="6">
        <f>2*sigma/alpha*corel*(B190/12-1/alpha*(1-EXP(-alpha*Output!B190/12)))</f>
        <v>0.46034602257841084</v>
      </c>
      <c r="W190" s="5">
        <f t="shared" si="38"/>
        <v>-0.14116809729502908</v>
      </c>
      <c r="X190" s="1">
        <f t="shared" si="39"/>
        <v>8.6349482657738292</v>
      </c>
      <c r="Y190" s="3">
        <f t="shared" si="40"/>
        <v>8.3067560637097068E-2</v>
      </c>
      <c r="Z190" s="1">
        <f t="shared" si="30"/>
        <v>0.11966167798957485</v>
      </c>
      <c r="AA190" s="8">
        <f t="shared" si="35"/>
        <v>14.833333333333369</v>
      </c>
      <c r="AB190" s="1">
        <v>14.92</v>
      </c>
      <c r="AC190" s="1">
        <v>5.4484105960000001E-3</v>
      </c>
      <c r="AD190" s="8">
        <f t="shared" si="31"/>
        <v>2.4224223620821286E-2</v>
      </c>
      <c r="AE190" s="3">
        <f t="shared" si="32"/>
        <v>4.446108308835189E-4</v>
      </c>
      <c r="AF190" s="11">
        <f t="shared" si="33"/>
        <v>14.833333333333369</v>
      </c>
      <c r="AG190" s="1">
        <f t="shared" si="34"/>
        <v>0.11966167798957485</v>
      </c>
    </row>
    <row r="191" spans="2:33" ht="15" x14ac:dyDescent="0.25">
      <c r="B191" s="1">
        <v>180</v>
      </c>
      <c r="C191" s="1">
        <v>1.0002117819900744</v>
      </c>
      <c r="D191" s="1">
        <v>1.1284525498425328</v>
      </c>
      <c r="E191" s="1">
        <v>0.88557994596956446</v>
      </c>
      <c r="G191" s="1">
        <v>0.99960465963731782</v>
      </c>
      <c r="H191" s="1">
        <v>2.8343848028920591</v>
      </c>
      <c r="I191" s="1">
        <v>0.32316089765187633</v>
      </c>
      <c r="K191" s="1">
        <v>1.0011497446398876</v>
      </c>
      <c r="L191" s="1">
        <v>2.8542101874590968</v>
      </c>
      <c r="M191" s="1">
        <v>0.3183048877836428</v>
      </c>
      <c r="O191" s="1">
        <v>5.4793905935426653E-3</v>
      </c>
      <c r="P191" s="1">
        <v>0.92109614251939331</v>
      </c>
      <c r="R191" s="1">
        <v>0.13973540013839564</v>
      </c>
      <c r="S191" s="2">
        <f t="shared" si="36"/>
        <v>0.46469987580701066</v>
      </c>
      <c r="T191" s="4">
        <f t="shared" si="37"/>
        <v>0.21594597457505113</v>
      </c>
      <c r="U191" s="1">
        <f t="shared" si="41"/>
        <v>7.347838473742474E-2</v>
      </c>
      <c r="V191" s="6">
        <f>2*sigma/alpha*corel*(B191/12-1/alpha*(1-EXP(-alpha*Output!B191/12)))</f>
        <v>0.46503636279383254</v>
      </c>
      <c r="W191" s="5">
        <f t="shared" si="38"/>
        <v>-0.14246758983762639</v>
      </c>
      <c r="X191" s="1">
        <f t="shared" si="39"/>
        <v>8.7643142089780994</v>
      </c>
      <c r="Y191" s="3">
        <f t="shared" si="40"/>
        <v>8.3180736098345212E-2</v>
      </c>
      <c r="Z191" s="1">
        <f t="shared" si="30"/>
        <v>0.11998499199901382</v>
      </c>
      <c r="AA191" s="8">
        <f t="shared" si="35"/>
        <v>14.916666666666703</v>
      </c>
      <c r="AB191" s="1">
        <v>15</v>
      </c>
      <c r="AC191" s="1">
        <v>5.4846785180000003E-3</v>
      </c>
      <c r="AD191" s="8">
        <f t="shared" si="31"/>
        <v>5.2879244573349887E-2</v>
      </c>
      <c r="AE191" s="3">
        <f t="shared" si="32"/>
        <v>9.6412660103608802E-4</v>
      </c>
      <c r="AF191" s="11">
        <f t="shared" si="33"/>
        <v>14.916666666666703</v>
      </c>
      <c r="AG191" s="1">
        <f t="shared" si="34"/>
        <v>0.11998499199901382</v>
      </c>
    </row>
    <row r="192" spans="2:33" ht="15" x14ac:dyDescent="0.25">
      <c r="B192" s="1">
        <v>181</v>
      </c>
      <c r="C192" s="1">
        <v>1.0002138296225105</v>
      </c>
      <c r="D192" s="1">
        <v>1.1276186332204881</v>
      </c>
      <c r="E192" s="1">
        <v>0.88623300642273017</v>
      </c>
      <c r="G192" s="1">
        <v>0.99960102401395867</v>
      </c>
      <c r="H192" s="1">
        <v>2.8149295268911336</v>
      </c>
      <c r="I192" s="1">
        <v>0.325236646665302</v>
      </c>
      <c r="K192" s="1">
        <v>1.0009451762476749</v>
      </c>
      <c r="L192" s="1">
        <v>2.9336744107506485</v>
      </c>
      <c r="M192" s="1">
        <v>0.30950942166729178</v>
      </c>
      <c r="O192" s="1">
        <v>5.5103663552099344E-3</v>
      </c>
      <c r="P192" s="1">
        <v>0.92024559587679111</v>
      </c>
      <c r="R192" s="1">
        <v>0.13983893783982734</v>
      </c>
      <c r="S192" s="2">
        <f t="shared" si="36"/>
        <v>0.46619280876284563</v>
      </c>
      <c r="T192" s="4">
        <f t="shared" si="37"/>
        <v>0.21733573494219116</v>
      </c>
      <c r="U192" s="1">
        <f t="shared" si="41"/>
        <v>7.4542949985080043E-2</v>
      </c>
      <c r="V192" s="6">
        <f>2*sigma/alpha*corel*(B192/12-1/alpha*(1-EXP(-alpha*Output!B192/12)))</f>
        <v>0.4697457589864853</v>
      </c>
      <c r="W192" s="5">
        <f t="shared" si="38"/>
        <v>-0.14279278495711112</v>
      </c>
      <c r="X192" s="1">
        <f t="shared" si="39"/>
        <v>8.8358257704981593</v>
      </c>
      <c r="Y192" s="3">
        <f t="shared" si="40"/>
        <v>8.2964616627669421E-2</v>
      </c>
      <c r="Z192" s="1">
        <f t="shared" si="30"/>
        <v>0.12003748998413884</v>
      </c>
      <c r="AA192" s="8">
        <f t="shared" si="35"/>
        <v>15.000000000000037</v>
      </c>
      <c r="AB192" s="1">
        <v>15.08</v>
      </c>
      <c r="AC192" s="1">
        <v>5.5187683330000003E-3</v>
      </c>
      <c r="AD192" s="8">
        <f t="shared" si="31"/>
        <v>8.4019777900658232E-2</v>
      </c>
      <c r="AE192" s="3">
        <f t="shared" si="32"/>
        <v>1.5224371242085661E-3</v>
      </c>
      <c r="AF192" s="11">
        <f t="shared" si="33"/>
        <v>15.000000000000037</v>
      </c>
      <c r="AG192" s="1">
        <f t="shared" si="34"/>
        <v>0.12003748998413884</v>
      </c>
    </row>
    <row r="193" spans="2:33" ht="15" x14ac:dyDescent="0.25">
      <c r="B193" s="1">
        <v>182</v>
      </c>
      <c r="C193" s="1">
        <v>1.0002160829497977</v>
      </c>
      <c r="D193" s="1">
        <v>1.1304713689660895</v>
      </c>
      <c r="E193" s="1">
        <v>0.88399475598330146</v>
      </c>
      <c r="G193" s="1">
        <v>0.9996452172001844</v>
      </c>
      <c r="H193" s="1">
        <v>2.8777837839246385</v>
      </c>
      <c r="I193" s="1">
        <v>0.31797884802531085</v>
      </c>
      <c r="K193" s="1">
        <v>1.0009201523631965</v>
      </c>
      <c r="L193" s="1">
        <v>2.9911140869261161</v>
      </c>
      <c r="M193" s="1">
        <v>0.30339263988445714</v>
      </c>
      <c r="O193" s="1">
        <v>5.5392405856906878E-3</v>
      </c>
      <c r="P193" s="1">
        <v>0.91942039257365515</v>
      </c>
      <c r="R193" s="1">
        <v>0.14027770386574115</v>
      </c>
      <c r="S193" s="2">
        <f t="shared" si="36"/>
        <v>0.46856565974288711</v>
      </c>
      <c r="T193" s="4">
        <f t="shared" si="37"/>
        <v>0.21955377749028707</v>
      </c>
      <c r="U193" s="1">
        <f t="shared" si="41"/>
        <v>7.5616119113952163E-2</v>
      </c>
      <c r="V193" s="6">
        <f>2*sigma/alpha*corel*(B193/12-1/alpha*(1-EXP(-alpha*Output!B193/12)))</f>
        <v>0.47447414774219365</v>
      </c>
      <c r="W193" s="5">
        <f t="shared" si="38"/>
        <v>-0.1439376583763349</v>
      </c>
      <c r="X193" s="1">
        <f t="shared" si="39"/>
        <v>8.9573436583733308</v>
      </c>
      <c r="Y193" s="3">
        <f t="shared" si="40"/>
        <v>8.3024440155804902E-2</v>
      </c>
      <c r="Z193" s="1">
        <f t="shared" si="30"/>
        <v>0.12031655431036009</v>
      </c>
      <c r="AA193" s="8">
        <f t="shared" si="35"/>
        <v>15.083333333333371</v>
      </c>
      <c r="AB193" s="1">
        <v>15.17</v>
      </c>
      <c r="AC193" s="1">
        <v>5.5505191039999999E-3</v>
      </c>
      <c r="AD193" s="8">
        <f t="shared" si="31"/>
        <v>0.11278518309312119</v>
      </c>
      <c r="AE193" s="3">
        <f t="shared" si="32"/>
        <v>2.0319754059010837E-3</v>
      </c>
      <c r="AF193" s="11">
        <f t="shared" si="33"/>
        <v>15.083333333333371</v>
      </c>
      <c r="AG193" s="1">
        <f t="shared" si="34"/>
        <v>0.12031655431036009</v>
      </c>
    </row>
    <row r="194" spans="2:33" ht="15" x14ac:dyDescent="0.25">
      <c r="B194" s="1">
        <v>183</v>
      </c>
      <c r="C194" s="1">
        <v>1.0002174469477332</v>
      </c>
      <c r="D194" s="1">
        <v>1.1328534732448041</v>
      </c>
      <c r="E194" s="1">
        <v>0.88213410130579128</v>
      </c>
      <c r="G194" s="1">
        <v>0.99959254486865523</v>
      </c>
      <c r="H194" s="1">
        <v>2.9357433264293991</v>
      </c>
      <c r="I194" s="1">
        <v>0.31154996663929135</v>
      </c>
      <c r="K194" s="1">
        <v>1.000910960912287</v>
      </c>
      <c r="L194" s="1">
        <v>2.9953182698048493</v>
      </c>
      <c r="M194" s="1">
        <v>0.30280750421955466</v>
      </c>
      <c r="O194" s="1">
        <v>5.5662021962002194E-3</v>
      </c>
      <c r="P194" s="1">
        <v>0.91861830199980188</v>
      </c>
      <c r="R194" s="1">
        <v>0.14064549213592456</v>
      </c>
      <c r="S194" s="2">
        <f t="shared" si="36"/>
        <v>0.47071388355462407</v>
      </c>
      <c r="T194" s="4">
        <f t="shared" si="37"/>
        <v>0.22157156017107618</v>
      </c>
      <c r="U194" s="1">
        <f t="shared" si="41"/>
        <v>7.6697897948425631E-2</v>
      </c>
      <c r="V194" s="6">
        <f>2*sigma/alpha*corel*(B194/12-1/alpha*(1-EXP(-alpha*Output!B194/12)))</f>
        <v>0.479221465857812</v>
      </c>
      <c r="W194" s="5">
        <f t="shared" si="38"/>
        <v>-0.14487366222265055</v>
      </c>
      <c r="X194" s="1">
        <f t="shared" si="39"/>
        <v>9.0669466089205937</v>
      </c>
      <c r="Y194" s="3">
        <f t="shared" si="40"/>
        <v>8.3013627206960414E-2</v>
      </c>
      <c r="Z194" s="1">
        <f t="shared" si="30"/>
        <v>0.12053747398286116</v>
      </c>
      <c r="AA194" s="8">
        <f t="shared" si="35"/>
        <v>15.166666666666705</v>
      </c>
      <c r="AB194" s="1">
        <v>15.25</v>
      </c>
      <c r="AC194" s="1">
        <v>5.5801026249999996E-3</v>
      </c>
      <c r="AD194" s="8">
        <f t="shared" si="31"/>
        <v>0.13900428799780257</v>
      </c>
      <c r="AE194" s="3">
        <f t="shared" si="32"/>
        <v>2.4910704576477675E-3</v>
      </c>
      <c r="AF194" s="11">
        <f t="shared" si="33"/>
        <v>15.166666666666705</v>
      </c>
      <c r="AG194" s="1">
        <f t="shared" si="34"/>
        <v>0.12053747398286116</v>
      </c>
    </row>
    <row r="195" spans="2:33" ht="15" x14ac:dyDescent="0.25">
      <c r="B195" s="1">
        <v>184</v>
      </c>
      <c r="C195" s="1">
        <v>1.000216885115754</v>
      </c>
      <c r="D195" s="1">
        <v>1.1271059181020637</v>
      </c>
      <c r="E195" s="1">
        <v>0.88663060855240183</v>
      </c>
      <c r="G195" s="1">
        <v>0.99938244099189666</v>
      </c>
      <c r="H195" s="1">
        <v>2.8040981973033774</v>
      </c>
      <c r="I195" s="1">
        <v>0.32601830008488591</v>
      </c>
      <c r="K195" s="1">
        <v>1.0009076697622272</v>
      </c>
      <c r="L195" s="1">
        <v>2.9840605511765754</v>
      </c>
      <c r="M195" s="1">
        <v>0.30379986548998023</v>
      </c>
      <c r="O195" s="1">
        <v>5.5915456487631264E-3</v>
      </c>
      <c r="P195" s="1">
        <v>0.91783555969376429</v>
      </c>
      <c r="R195" s="1">
        <v>0.14097569892339207</v>
      </c>
      <c r="S195" s="2">
        <f t="shared" si="36"/>
        <v>0.47273361217790766</v>
      </c>
      <c r="T195" s="4">
        <f t="shared" si="37"/>
        <v>0.2234770680827724</v>
      </c>
      <c r="U195" s="1">
        <f t="shared" si="41"/>
        <v>7.7788292064559172E-2</v>
      </c>
      <c r="V195" s="6">
        <f>2*sigma/alpha*corel*(B195/12-1/alpha*(1-EXP(-alpha*Output!B195/12)))</f>
        <v>0.48398765034051938</v>
      </c>
      <c r="W195" s="5">
        <f t="shared" si="38"/>
        <v>-0.14568877601821323</v>
      </c>
      <c r="X195" s="1">
        <f t="shared" si="39"/>
        <v>9.1698223081325487</v>
      </c>
      <c r="Y195" s="3">
        <f t="shared" si="40"/>
        <v>8.2962515085344024E-2</v>
      </c>
      <c r="Z195" s="1">
        <f t="shared" si="30"/>
        <v>0.12072527240268521</v>
      </c>
      <c r="AA195" s="8">
        <f t="shared" si="35"/>
        <v>15.250000000000039</v>
      </c>
      <c r="AB195" s="1">
        <v>15.33</v>
      </c>
      <c r="AC195" s="1">
        <v>5.6077738719999999E-3</v>
      </c>
      <c r="AD195" s="8">
        <f t="shared" si="31"/>
        <v>0.16228223236873507</v>
      </c>
      <c r="AE195" s="3">
        <f t="shared" si="32"/>
        <v>2.8938797475237259E-3</v>
      </c>
      <c r="AF195" s="11">
        <f t="shared" si="33"/>
        <v>15.250000000000039</v>
      </c>
      <c r="AG195" s="1">
        <f t="shared" si="34"/>
        <v>0.12072527240268521</v>
      </c>
    </row>
    <row r="196" spans="2:33" ht="15" x14ac:dyDescent="0.25">
      <c r="B196" s="1">
        <v>185</v>
      </c>
      <c r="C196" s="1">
        <v>1.0002173263073593</v>
      </c>
      <c r="D196" s="1">
        <v>1.1239073022585346</v>
      </c>
      <c r="E196" s="1">
        <v>0.88915210053484994</v>
      </c>
      <c r="G196" s="1">
        <v>0.99925963615882463</v>
      </c>
      <c r="H196" s="1">
        <v>2.7304911298149017</v>
      </c>
      <c r="I196" s="1">
        <v>0.3346446134984668</v>
      </c>
      <c r="K196" s="1">
        <v>1.0009851868691886</v>
      </c>
      <c r="L196" s="1">
        <v>3.0422674360336801</v>
      </c>
      <c r="M196" s="1">
        <v>0.29781387681003657</v>
      </c>
      <c r="O196" s="1">
        <v>5.6155336200915205E-3</v>
      </c>
      <c r="P196" s="1">
        <v>0.91706877459797598</v>
      </c>
      <c r="R196" s="1">
        <v>0.14143317999712129</v>
      </c>
      <c r="S196" s="2">
        <f t="shared" si="36"/>
        <v>0.47508065582191727</v>
      </c>
      <c r="T196" s="4">
        <f t="shared" si="37"/>
        <v>0.22570162953618303</v>
      </c>
      <c r="U196" s="1">
        <f t="shared" si="41"/>
        <v>7.8887306792431833E-2</v>
      </c>
      <c r="V196" s="6">
        <f>2*sigma/alpha*corel*(B196/12-1/alpha*(1-EXP(-alpha*Output!B196/12)))</f>
        <v>0.48877263840712271</v>
      </c>
      <c r="W196" s="5">
        <f t="shared" si="38"/>
        <v>-0.1468143227437512</v>
      </c>
      <c r="X196" s="1">
        <f t="shared" si="39"/>
        <v>9.2924485945867854</v>
      </c>
      <c r="Y196" s="3">
        <f t="shared" si="40"/>
        <v>8.3013377671342273E-2</v>
      </c>
      <c r="Z196" s="1">
        <f t="shared" si="30"/>
        <v>0.12099630448755162</v>
      </c>
      <c r="AA196" s="8">
        <f t="shared" si="35"/>
        <v>15.333333333333373</v>
      </c>
      <c r="AB196" s="1">
        <v>15.42</v>
      </c>
      <c r="AC196" s="1">
        <v>5.6337878219999997E-3</v>
      </c>
      <c r="AD196" s="8">
        <f t="shared" si="31"/>
        <v>0.18254201908479184</v>
      </c>
      <c r="AE196" s="3">
        <f t="shared" si="32"/>
        <v>3.240129462667433E-3</v>
      </c>
      <c r="AF196" s="11">
        <f t="shared" si="33"/>
        <v>15.333333333333373</v>
      </c>
      <c r="AG196" s="1">
        <f t="shared" si="34"/>
        <v>0.12099630448755162</v>
      </c>
    </row>
    <row r="197" spans="2:33" ht="15" x14ac:dyDescent="0.25">
      <c r="B197" s="1">
        <v>186</v>
      </c>
      <c r="C197" s="1">
        <v>1.0002196769240204</v>
      </c>
      <c r="D197" s="1">
        <v>1.1265173710413496</v>
      </c>
      <c r="E197" s="1">
        <v>0.88709016335690627</v>
      </c>
      <c r="G197" s="1">
        <v>0.99928696103289316</v>
      </c>
      <c r="H197" s="1">
        <v>2.7878390691031436</v>
      </c>
      <c r="I197" s="1">
        <v>0.32760183669973542</v>
      </c>
      <c r="K197" s="1">
        <v>1.0008694207090485</v>
      </c>
      <c r="L197" s="1">
        <v>3.0841113681714782</v>
      </c>
      <c r="M197" s="1">
        <v>0.29362974672471331</v>
      </c>
      <c r="O197" s="1">
        <v>5.6384536723419042E-3</v>
      </c>
      <c r="P197" s="1">
        <v>0.91631413411867435</v>
      </c>
      <c r="R197" s="1">
        <v>0.14175709077767606</v>
      </c>
      <c r="S197" s="2">
        <f t="shared" si="36"/>
        <v>0.47704664024875421</v>
      </c>
      <c r="T197" s="4">
        <f t="shared" si="37"/>
        <v>0.22757349697262433</v>
      </c>
      <c r="U197" s="1">
        <f t="shared" si="41"/>
        <v>7.9994947218474444E-2</v>
      </c>
      <c r="V197" s="6">
        <f>2*sigma/alpha*corel*(B197/12-1/alpha*(1-EXP(-alpha*Output!B197/12)))</f>
        <v>0.49357636748335776</v>
      </c>
      <c r="W197" s="5">
        <f t="shared" si="38"/>
        <v>-0.14757854975414988</v>
      </c>
      <c r="X197" s="1">
        <f t="shared" si="39"/>
        <v>9.3934877152953593</v>
      </c>
      <c r="Y197" s="3">
        <f t="shared" si="40"/>
        <v>8.2945269526684073E-2</v>
      </c>
      <c r="Z197" s="1">
        <f t="shared" si="30"/>
        <v>0.12116996779321194</v>
      </c>
      <c r="AA197" s="8">
        <f t="shared" si="35"/>
        <v>15.416666666666707</v>
      </c>
      <c r="AB197" s="1">
        <v>15.5</v>
      </c>
      <c r="AC197" s="1">
        <v>5.6583994519999996E-3</v>
      </c>
      <c r="AD197" s="8">
        <f t="shared" si="31"/>
        <v>0.19945779658095408</v>
      </c>
      <c r="AE197" s="3">
        <f t="shared" si="32"/>
        <v>3.5249861426883597E-3</v>
      </c>
      <c r="AF197" s="11">
        <f t="shared" si="33"/>
        <v>15.416666666666707</v>
      </c>
      <c r="AG197" s="1">
        <f t="shared" si="34"/>
        <v>0.12116996779321194</v>
      </c>
    </row>
    <row r="198" spans="2:33" ht="15" x14ac:dyDescent="0.25">
      <c r="B198" s="1">
        <v>187</v>
      </c>
      <c r="C198" s="1">
        <v>1.0002209350512377</v>
      </c>
      <c r="D198" s="1">
        <v>1.1227656062381444</v>
      </c>
      <c r="E198" s="1">
        <v>0.89005258095031181</v>
      </c>
      <c r="G198" s="1">
        <v>0.99922691658941476</v>
      </c>
      <c r="H198" s="1">
        <v>2.6851649822892556</v>
      </c>
      <c r="I198" s="1">
        <v>0.33996364647125044</v>
      </c>
      <c r="K198" s="1">
        <v>1.0010466286161619</v>
      </c>
      <c r="L198" s="1">
        <v>2.9766071469468987</v>
      </c>
      <c r="M198" s="1">
        <v>0.30406067842161194</v>
      </c>
      <c r="O198" s="1">
        <v>5.6604904754627627E-3</v>
      </c>
      <c r="P198" s="1">
        <v>0.9155692189559177</v>
      </c>
      <c r="R198" s="1">
        <v>0.14226453064691069</v>
      </c>
      <c r="S198" s="2">
        <f t="shared" si="36"/>
        <v>0.47950357271206934</v>
      </c>
      <c r="T198" s="4">
        <f t="shared" si="37"/>
        <v>0.22992367624363877</v>
      </c>
      <c r="U198" s="1">
        <f t="shared" si="41"/>
        <v>8.1111218187779333E-2</v>
      </c>
      <c r="V198" s="6">
        <f>2*sigma/alpha*corel*(B198/12-1/alpha*(1-EXP(-alpha*Output!B198/12)))</f>
        <v>0.49839877520319309</v>
      </c>
      <c r="W198" s="5">
        <f t="shared" si="38"/>
        <v>-0.14881245805585944</v>
      </c>
      <c r="X198" s="1">
        <f t="shared" si="39"/>
        <v>9.524377891272616</v>
      </c>
      <c r="Y198" s="3">
        <f t="shared" si="40"/>
        <v>8.3029742525728478E-2</v>
      </c>
      <c r="Z198" s="1">
        <f t="shared" si="30"/>
        <v>0.12146794024603028</v>
      </c>
      <c r="AA198" s="8">
        <f t="shared" si="35"/>
        <v>15.500000000000041</v>
      </c>
      <c r="AB198" s="1">
        <v>15.58</v>
      </c>
      <c r="AC198" s="1">
        <v>5.6818637369999998E-3</v>
      </c>
      <c r="AD198" s="8">
        <f t="shared" si="31"/>
        <v>0.21373261537237059</v>
      </c>
      <c r="AE198" s="3">
        <f t="shared" si="32"/>
        <v>3.7616638706161674E-3</v>
      </c>
      <c r="AF198" s="11">
        <f t="shared" si="33"/>
        <v>15.500000000000041</v>
      </c>
      <c r="AG198" s="1">
        <f t="shared" si="34"/>
        <v>0.12146794024603028</v>
      </c>
    </row>
    <row r="199" spans="2:33" ht="15" x14ac:dyDescent="0.25">
      <c r="B199" s="1">
        <v>188</v>
      </c>
      <c r="C199" s="1">
        <v>1.0002257935593499</v>
      </c>
      <c r="D199" s="1">
        <v>1.1260166278082433</v>
      </c>
      <c r="E199" s="1">
        <v>0.88748101487092745</v>
      </c>
      <c r="G199" s="1">
        <v>0.99946827267800287</v>
      </c>
      <c r="H199" s="1">
        <v>2.7554989006944077</v>
      </c>
      <c r="I199" s="1">
        <v>0.33112551285758623</v>
      </c>
      <c r="K199" s="1">
        <v>1.0009424195512591</v>
      </c>
      <c r="L199" s="1">
        <v>3.0335533724362111</v>
      </c>
      <c r="M199" s="1">
        <v>0.29819290030180268</v>
      </c>
      <c r="O199" s="1">
        <v>5.6818827721440849E-3</v>
      </c>
      <c r="P199" s="1">
        <v>0.91483078665133133</v>
      </c>
      <c r="R199" s="1">
        <v>0.14272224882915482</v>
      </c>
      <c r="S199" s="2">
        <f t="shared" si="36"/>
        <v>0.48181720996320976</v>
      </c>
      <c r="T199" s="4">
        <f t="shared" si="37"/>
        <v>0.23214782381673177</v>
      </c>
      <c r="U199" s="1">
        <f t="shared" si="41"/>
        <v>8.2236124306396263E-2</v>
      </c>
      <c r="V199" s="6">
        <f>2*sigma/alpha*corel*(B199/12-1/alpha*(1-EXP(-alpha*Output!B199/12)))</f>
        <v>0.50323979940813812</v>
      </c>
      <c r="W199" s="5">
        <f t="shared" si="38"/>
        <v>-0.14991169951033551</v>
      </c>
      <c r="X199" s="1">
        <f t="shared" si="39"/>
        <v>9.6477167983560346</v>
      </c>
      <c r="Y199" s="3">
        <f t="shared" si="40"/>
        <v>8.3069285040838922E-2</v>
      </c>
      <c r="Z199" s="1">
        <f t="shared" si="30"/>
        <v>0.12172898669202822</v>
      </c>
      <c r="AA199" s="8">
        <f t="shared" si="35"/>
        <v>15.583333333333375</v>
      </c>
      <c r="AB199" s="1">
        <v>15.67</v>
      </c>
      <c r="AC199" s="1">
        <v>5.7044362200000002E-3</v>
      </c>
      <c r="AD199" s="8">
        <f t="shared" si="31"/>
        <v>0.22553447855915357</v>
      </c>
      <c r="AE199" s="3">
        <f t="shared" si="32"/>
        <v>3.9536681603770047E-3</v>
      </c>
      <c r="AF199" s="11">
        <f t="shared" si="33"/>
        <v>15.583333333333375</v>
      </c>
      <c r="AG199" s="1">
        <f t="shared" si="34"/>
        <v>0.12172898669202822</v>
      </c>
    </row>
    <row r="200" spans="2:33" ht="15" x14ac:dyDescent="0.25">
      <c r="B200" s="1">
        <v>189</v>
      </c>
      <c r="C200" s="1">
        <v>1.0002302743882967</v>
      </c>
      <c r="D200" s="1">
        <v>1.1285726807213639</v>
      </c>
      <c r="E200" s="1">
        <v>0.88546919238734145</v>
      </c>
      <c r="G200" s="1">
        <v>0.99967443896676544</v>
      </c>
      <c r="H200" s="1">
        <v>2.8267803655985047</v>
      </c>
      <c r="I200" s="1">
        <v>0.32261923625553462</v>
      </c>
      <c r="K200" s="1">
        <v>1.000997282757798</v>
      </c>
      <c r="L200" s="1">
        <v>2.9895668455074591</v>
      </c>
      <c r="M200" s="1">
        <v>0.30240546151515529</v>
      </c>
      <c r="O200" s="1">
        <v>5.7028352549129031E-3</v>
      </c>
      <c r="P200" s="1">
        <v>0.91409602281210001</v>
      </c>
      <c r="R200" s="1">
        <v>0.14321218334516192</v>
      </c>
      <c r="S200" s="2">
        <f t="shared" si="36"/>
        <v>0.48421628193195054</v>
      </c>
      <c r="T200" s="4">
        <f t="shared" si="37"/>
        <v>0.23446540768800223</v>
      </c>
      <c r="U200" s="1">
        <f t="shared" si="41"/>
        <v>8.3369669943607949E-2</v>
      </c>
      <c r="V200" s="6">
        <f>2*sigma/alpha*corel*(B200/12-1/alpha*(1-EXP(-alpha*Output!B200/12)))</f>
        <v>0.5080993781465537</v>
      </c>
      <c r="W200" s="5">
        <f t="shared" si="38"/>
        <v>-0.15109573774439428</v>
      </c>
      <c r="X200" s="1">
        <f t="shared" si="39"/>
        <v>9.7771964559697544</v>
      </c>
      <c r="Y200" s="3">
        <f t="shared" si="40"/>
        <v>8.3134968466179737E-2</v>
      </c>
      <c r="Z200" s="1">
        <f t="shared" si="30"/>
        <v>0.12201103454859805</v>
      </c>
      <c r="AA200" s="8">
        <f t="shared" si="35"/>
        <v>15.666666666666709</v>
      </c>
      <c r="AB200" s="1">
        <v>15.75</v>
      </c>
      <c r="AC200" s="1">
        <v>5.7263746969999996E-3</v>
      </c>
      <c r="AD200" s="8">
        <f t="shared" si="31"/>
        <v>0.23539442087096468</v>
      </c>
      <c r="AE200" s="3">
        <f t="shared" si="32"/>
        <v>4.110705871103508E-3</v>
      </c>
      <c r="AF200" s="11">
        <f t="shared" si="33"/>
        <v>15.666666666666709</v>
      </c>
      <c r="AG200" s="1">
        <f t="shared" si="34"/>
        <v>0.12201103454859805</v>
      </c>
    </row>
    <row r="201" spans="2:33" ht="15" x14ac:dyDescent="0.25">
      <c r="B201" s="1">
        <v>190</v>
      </c>
      <c r="C201" s="1">
        <v>1.0002315650888944</v>
      </c>
      <c r="D201" s="1">
        <v>1.1326097576262695</v>
      </c>
      <c r="E201" s="1">
        <v>0.88231122898400571</v>
      </c>
      <c r="G201" s="1">
        <v>0.99961125654372995</v>
      </c>
      <c r="H201" s="1">
        <v>2.9183799504551113</v>
      </c>
      <c r="I201" s="1">
        <v>0.31234167649717859</v>
      </c>
      <c r="K201" s="1">
        <v>1.0007798473473</v>
      </c>
      <c r="L201" s="1">
        <v>3.0143469656745419</v>
      </c>
      <c r="M201" s="1">
        <v>0.29977602467591175</v>
      </c>
      <c r="O201" s="1">
        <v>5.7236302076573362E-3</v>
      </c>
      <c r="P201" s="1">
        <v>0.91336093771019389</v>
      </c>
      <c r="R201" s="1">
        <v>0.14353196225842171</v>
      </c>
      <c r="S201" s="2">
        <f t="shared" si="36"/>
        <v>0.48615044616200553</v>
      </c>
      <c r="T201" s="4">
        <f t="shared" si="37"/>
        <v>0.23634225630351705</v>
      </c>
      <c r="U201" s="1">
        <f t="shared" si="41"/>
        <v>8.4511859234190467E-2</v>
      </c>
      <c r="V201" s="6">
        <f>2*sigma/alpha*corel*(B201/12-1/alpha*(1-EXP(-alpha*Output!B201/12)))</f>
        <v>0.51297744967296</v>
      </c>
      <c r="W201" s="5">
        <f t="shared" si="38"/>
        <v>-0.15183039706932658</v>
      </c>
      <c r="X201" s="1">
        <f t="shared" si="39"/>
        <v>9.8790710115969915</v>
      </c>
      <c r="Y201" s="3">
        <f t="shared" si="40"/>
        <v>8.3056468441959214E-2</v>
      </c>
      <c r="Z201" s="1">
        <f t="shared" si="30"/>
        <v>0.12217560863562452</v>
      </c>
      <c r="AA201" s="8">
        <f t="shared" si="35"/>
        <v>15.750000000000043</v>
      </c>
      <c r="AB201" s="1">
        <v>15.83</v>
      </c>
      <c r="AC201" s="1">
        <v>5.7479375309999999E-3</v>
      </c>
      <c r="AD201" s="8">
        <f t="shared" si="31"/>
        <v>0.24307323342663728</v>
      </c>
      <c r="AE201" s="3">
        <f t="shared" si="32"/>
        <v>4.2288774384844179E-3</v>
      </c>
      <c r="AF201" s="11">
        <f t="shared" si="33"/>
        <v>15.750000000000043</v>
      </c>
      <c r="AG201" s="1">
        <f t="shared" si="34"/>
        <v>0.12217560863562452</v>
      </c>
    </row>
    <row r="202" spans="2:33" ht="15" x14ac:dyDescent="0.25">
      <c r="B202" s="1">
        <v>191</v>
      </c>
      <c r="C202" s="1">
        <v>1.000232020574134</v>
      </c>
      <c r="D202" s="1">
        <v>1.133222267184786</v>
      </c>
      <c r="E202" s="1">
        <v>0.88183254980119008</v>
      </c>
      <c r="G202" s="1">
        <v>0.99948691028950598</v>
      </c>
      <c r="H202" s="1">
        <v>2.9319842116024706</v>
      </c>
      <c r="I202" s="1">
        <v>0.31074174094410595</v>
      </c>
      <c r="K202" s="1">
        <v>1.0008956456273446</v>
      </c>
      <c r="L202" s="1">
        <v>3.0659785772964709</v>
      </c>
      <c r="M202" s="1">
        <v>0.29456017396411271</v>
      </c>
      <c r="O202" s="1">
        <v>5.7446177062309613E-3</v>
      </c>
      <c r="P202" s="1">
        <v>0.91262048383924999</v>
      </c>
      <c r="R202" s="1">
        <v>0.1441787235049162</v>
      </c>
      <c r="S202" s="2">
        <f t="shared" si="36"/>
        <v>0.48899349990104934</v>
      </c>
      <c r="T202" s="4">
        <f t="shared" si="37"/>
        <v>0.23911464294547755</v>
      </c>
      <c r="U202" s="1">
        <f t="shared" si="41"/>
        <v>8.5662696080654133E-2</v>
      </c>
      <c r="V202" s="6">
        <f>2*sigma/alpha*corel*(B202/12-1/alpha*(1-EXP(-alpha*Output!B202/12)))</f>
        <v>0.51787395244735479</v>
      </c>
      <c r="W202" s="5">
        <f t="shared" si="38"/>
        <v>-0.15345194686482341</v>
      </c>
      <c r="X202" s="1">
        <f t="shared" si="39"/>
        <v>10.037967381017202</v>
      </c>
      <c r="Y202" s="3">
        <f t="shared" si="40"/>
        <v>8.3258676139373877E-2</v>
      </c>
      <c r="Z202" s="1">
        <f t="shared" si="30"/>
        <v>0.1225679791153787</v>
      </c>
      <c r="AA202" s="8">
        <f t="shared" si="35"/>
        <v>15.833333333333377</v>
      </c>
      <c r="AB202" s="1">
        <v>15.92</v>
      </c>
      <c r="AC202" s="1">
        <v>5.7693830850000004E-3</v>
      </c>
      <c r="AD202" s="8">
        <f t="shared" si="31"/>
        <v>0.24765378769039081</v>
      </c>
      <c r="AE202" s="3">
        <f t="shared" si="32"/>
        <v>4.2925523239091823E-3</v>
      </c>
      <c r="AF202" s="11">
        <f t="shared" si="33"/>
        <v>15.833333333333377</v>
      </c>
      <c r="AG202" s="1">
        <f t="shared" si="34"/>
        <v>0.1225679791153787</v>
      </c>
    </row>
    <row r="203" spans="2:33" ht="15" x14ac:dyDescent="0.25">
      <c r="B203" s="1">
        <v>192</v>
      </c>
      <c r="C203" s="1">
        <v>1.0002341972509525</v>
      </c>
      <c r="D203" s="1">
        <v>1.132686960309979</v>
      </c>
      <c r="E203" s="1">
        <v>0.88224751979212979</v>
      </c>
      <c r="G203" s="1">
        <v>0.9995011609857567</v>
      </c>
      <c r="H203" s="1">
        <v>2.9202750621466183</v>
      </c>
      <c r="I203" s="1">
        <v>0.31183648041784828</v>
      </c>
      <c r="K203" s="1">
        <v>1.0010211456559632</v>
      </c>
      <c r="L203" s="1">
        <v>3.0730931748565742</v>
      </c>
      <c r="M203" s="1">
        <v>0.29375348519441297</v>
      </c>
      <c r="O203" s="1">
        <v>5.7660535727847304E-3</v>
      </c>
      <c r="P203" s="1">
        <v>0.91187089888836925</v>
      </c>
      <c r="R203" s="1">
        <v>0.14465044662099477</v>
      </c>
      <c r="S203" s="2">
        <f t="shared" si="36"/>
        <v>0.49137087421114745</v>
      </c>
      <c r="T203" s="4">
        <f t="shared" si="37"/>
        <v>0.24144533602302728</v>
      </c>
      <c r="U203" s="1">
        <f t="shared" si="41"/>
        <v>8.6822184155468829E-2</v>
      </c>
      <c r="V203" s="6">
        <f>2*sigma/alpha*corel*(B203/12-1/alpha*(1-EXP(-alpha*Output!B203/12)))</f>
        <v>0.52278882513452674</v>
      </c>
      <c r="W203" s="5">
        <f t="shared" si="38"/>
        <v>-0.15462315186755846</v>
      </c>
      <c r="X203" s="1">
        <f t="shared" si="39"/>
        <v>10.16918987520928</v>
      </c>
      <c r="Y203" s="3">
        <f t="shared" si="40"/>
        <v>8.3316496852297181E-2</v>
      </c>
      <c r="Z203" s="1">
        <f t="shared" si="30"/>
        <v>0.12284271855278686</v>
      </c>
      <c r="AA203" s="8">
        <f t="shared" si="35"/>
        <v>15.91666666666671</v>
      </c>
      <c r="AB203" s="1">
        <v>16</v>
      </c>
      <c r="AC203" s="1">
        <v>5.7909697199999997E-3</v>
      </c>
      <c r="AD203" s="8">
        <f t="shared" si="31"/>
        <v>0.24916147215269316</v>
      </c>
      <c r="AE203" s="3">
        <f t="shared" si="32"/>
        <v>4.3025863404565204E-3</v>
      </c>
      <c r="AF203" s="11">
        <f t="shared" si="33"/>
        <v>15.91666666666671</v>
      </c>
      <c r="AG203" s="1">
        <f t="shared" si="34"/>
        <v>0.12284271855278686</v>
      </c>
    </row>
    <row r="204" spans="2:33" ht="15" x14ac:dyDescent="0.25">
      <c r="B204" s="1">
        <v>193</v>
      </c>
      <c r="C204" s="1">
        <v>1.0002359303850652</v>
      </c>
      <c r="D204" s="1">
        <v>1.1291929078856597</v>
      </c>
      <c r="E204" s="1">
        <v>0.88497566789520976</v>
      </c>
      <c r="G204" s="1">
        <v>0.9994662026151796</v>
      </c>
      <c r="H204" s="1">
        <v>2.8384935209139175</v>
      </c>
      <c r="I204" s="1">
        <v>0.32066549970512787</v>
      </c>
      <c r="K204" s="1">
        <v>1.0011959631765099</v>
      </c>
      <c r="L204" s="1">
        <v>3.0677992098670499</v>
      </c>
      <c r="M204" s="1">
        <v>0.29408184624867761</v>
      </c>
      <c r="O204" s="1">
        <v>5.7879598896152058E-3</v>
      </c>
      <c r="P204" s="1">
        <v>0.91111178063349185</v>
      </c>
      <c r="R204" s="1">
        <v>0.14516542574701014</v>
      </c>
      <c r="S204" s="2">
        <f t="shared" si="36"/>
        <v>0.49388356726111926</v>
      </c>
      <c r="T204" s="4">
        <f t="shared" si="37"/>
        <v>0.2439209780105685</v>
      </c>
      <c r="U204" s="1">
        <f t="shared" si="41"/>
        <v>8.7990326903271576E-2</v>
      </c>
      <c r="V204" s="6">
        <f>2*sigma/alpha*corel*(B204/12-1/alpha*(1-EXP(-alpha*Output!B204/12)))</f>
        <v>0.52772200660337454</v>
      </c>
      <c r="W204" s="5">
        <f t="shared" si="38"/>
        <v>-0.15593065110729692</v>
      </c>
      <c r="X204" s="1">
        <f t="shared" si="39"/>
        <v>10.310029070822928</v>
      </c>
      <c r="Y204" s="3">
        <f t="shared" si="40"/>
        <v>8.3415587311822845E-2</v>
      </c>
      <c r="Z204" s="1">
        <f t="shared" si="30"/>
        <v>0.1231506036186651</v>
      </c>
      <c r="AA204" s="8">
        <f t="shared" si="35"/>
        <v>16.000000000000043</v>
      </c>
      <c r="AB204" s="1">
        <v>16.079999999999998</v>
      </c>
      <c r="AC204" s="1">
        <v>5.8129557980000001E-3</v>
      </c>
      <c r="AD204" s="8">
        <f t="shared" si="31"/>
        <v>0.24995908384794346</v>
      </c>
      <c r="AE204" s="3">
        <f t="shared" si="32"/>
        <v>4.3000341398423177E-3</v>
      </c>
      <c r="AF204" s="11">
        <f t="shared" si="33"/>
        <v>16.000000000000043</v>
      </c>
      <c r="AG204" s="1">
        <f t="shared" si="34"/>
        <v>0.1231506036186651</v>
      </c>
    </row>
    <row r="205" spans="2:33" ht="15" x14ac:dyDescent="0.25">
      <c r="B205" s="1">
        <v>194</v>
      </c>
      <c r="C205" s="1">
        <v>1.0002366793516897</v>
      </c>
      <c r="D205" s="1">
        <v>1.1285436238519062</v>
      </c>
      <c r="E205" s="1">
        <v>0.88548304178639448</v>
      </c>
      <c r="G205" s="1">
        <v>0.9993560651582396</v>
      </c>
      <c r="H205" s="1">
        <v>2.8406353420612716</v>
      </c>
      <c r="I205" s="1">
        <v>0.32026842829507818</v>
      </c>
      <c r="K205" s="1">
        <v>1.0011139850618951</v>
      </c>
      <c r="L205" s="1">
        <v>3.1187372419095007</v>
      </c>
      <c r="M205" s="1">
        <v>0.28914656504073799</v>
      </c>
      <c r="O205" s="1">
        <v>5.8104686702423296E-3</v>
      </c>
      <c r="P205" s="1">
        <v>0.91034110397877221</v>
      </c>
      <c r="R205" s="1">
        <v>0.145590743485876</v>
      </c>
      <c r="S205" s="2">
        <f t="shared" si="36"/>
        <v>0.49616825316246338</v>
      </c>
      <c r="T205" s="4">
        <f t="shared" si="37"/>
        <v>0.24618293544629036</v>
      </c>
      <c r="U205" s="1">
        <f t="shared" si="41"/>
        <v>8.9167127543057223E-2</v>
      </c>
      <c r="V205" s="6">
        <f>2*sigma/alpha*corel*(B205/12-1/alpha*(1-EXP(-alpha*Output!B205/12)))</f>
        <v>0.53267343592622973</v>
      </c>
      <c r="W205" s="5">
        <f t="shared" si="38"/>
        <v>-0.15701580790323313</v>
      </c>
      <c r="X205" s="1">
        <f t="shared" si="39"/>
        <v>10.437429900417197</v>
      </c>
      <c r="Y205" s="3">
        <f t="shared" si="40"/>
        <v>8.3444156008714104E-2</v>
      </c>
      <c r="Z205" s="1">
        <f t="shared" ref="Z205:Z268" si="42">S205/SQRT(B205/12)</f>
        <v>0.12340101474451788</v>
      </c>
      <c r="AA205" s="8">
        <f t="shared" si="35"/>
        <v>16.083333333333375</v>
      </c>
      <c r="AB205" s="1">
        <v>16.170000000000002</v>
      </c>
      <c r="AC205" s="1">
        <v>5.8355458269999999E-3</v>
      </c>
      <c r="AD205" s="8">
        <f t="shared" ref="AD205:AD268" si="43">(AC205-O205)*10000</f>
        <v>0.25077156757670299</v>
      </c>
      <c r="AE205" s="3">
        <f t="shared" ref="AE205:AE268" si="44">AD205/AC205/10000</f>
        <v>4.2973112543548018E-3</v>
      </c>
      <c r="AF205" s="11">
        <f t="shared" ref="AF205:AF268" si="45">AA205</f>
        <v>16.083333333333375</v>
      </c>
      <c r="AG205" s="1">
        <f t="shared" ref="AG205:AG268" si="46">Z205</f>
        <v>0.12340101474451788</v>
      </c>
    </row>
    <row r="206" spans="2:33" ht="15" x14ac:dyDescent="0.25">
      <c r="B206" s="1">
        <v>195</v>
      </c>
      <c r="C206" s="1">
        <v>1.0002406322441704</v>
      </c>
      <c r="D206" s="1">
        <v>1.1306993770842617</v>
      </c>
      <c r="E206" s="1">
        <v>0.88379303974679901</v>
      </c>
      <c r="G206" s="1">
        <v>0.99951280243168406</v>
      </c>
      <c r="H206" s="1">
        <v>2.8664159765338515</v>
      </c>
      <c r="I206" s="1">
        <v>0.31723410823657811</v>
      </c>
      <c r="K206" s="1">
        <v>1.0010524993576224</v>
      </c>
      <c r="L206" s="1">
        <v>3.1801524095904257</v>
      </c>
      <c r="M206" s="1">
        <v>0.28340326680123046</v>
      </c>
      <c r="O206" s="1">
        <v>5.8334643328512431E-3</v>
      </c>
      <c r="P206" s="1">
        <v>0.90956047067715118</v>
      </c>
      <c r="R206" s="1">
        <v>0.14604082709165492</v>
      </c>
      <c r="S206" s="2">
        <f t="shared" si="36"/>
        <v>0.49853793864685125</v>
      </c>
      <c r="T206" s="4">
        <f t="shared" si="37"/>
        <v>0.24854007627025163</v>
      </c>
      <c r="U206" s="1">
        <f t="shared" si="41"/>
        <v>9.0352589070352707E-2</v>
      </c>
      <c r="V206" s="6">
        <f>2*sigma/alpha*corel*(B206/12-1/alpha*(1-EXP(-alpha*Output!B206/12)))</f>
        <v>0.53764305237817522</v>
      </c>
      <c r="W206" s="5">
        <f t="shared" si="38"/>
        <v>-0.15818748719989892</v>
      </c>
      <c r="X206" s="1">
        <f t="shared" si="39"/>
        <v>10.571246719763952</v>
      </c>
      <c r="Y206" s="3">
        <f t="shared" si="40"/>
        <v>8.3498532872347514E-2</v>
      </c>
      <c r="Z206" s="1">
        <f t="shared" si="42"/>
        <v>0.12367204180542658</v>
      </c>
      <c r="AA206" s="8">
        <f t="shared" ref="AA206:AA269" si="47">AA205+1/12</f>
        <v>16.166666666666707</v>
      </c>
      <c r="AB206" s="1">
        <v>16.25</v>
      </c>
      <c r="AC206" s="1">
        <v>5.8587288899999996E-3</v>
      </c>
      <c r="AD206" s="8">
        <f t="shared" si="43"/>
        <v>0.25264557148756484</v>
      </c>
      <c r="AE206" s="3">
        <f t="shared" si="44"/>
        <v>4.3122932675515027E-3</v>
      </c>
      <c r="AF206" s="11">
        <f t="shared" si="45"/>
        <v>16.166666666666707</v>
      </c>
      <c r="AG206" s="1">
        <f t="shared" si="46"/>
        <v>0.12367204180542658</v>
      </c>
    </row>
    <row r="207" spans="2:33" ht="15" x14ac:dyDescent="0.25">
      <c r="B207" s="1">
        <v>196</v>
      </c>
      <c r="C207" s="1">
        <v>1.0002444498611258</v>
      </c>
      <c r="D207" s="1">
        <v>1.1336742483673776</v>
      </c>
      <c r="E207" s="1">
        <v>0.88147212130827857</v>
      </c>
      <c r="G207" s="1">
        <v>0.999653048440312</v>
      </c>
      <c r="H207" s="1">
        <v>2.9340355849081119</v>
      </c>
      <c r="I207" s="1">
        <v>0.30977274001430538</v>
      </c>
      <c r="K207" s="1">
        <v>1.0009923460678181</v>
      </c>
      <c r="L207" s="1">
        <v>3.1296516553901896</v>
      </c>
      <c r="M207" s="1">
        <v>0.28782025901802027</v>
      </c>
      <c r="O207" s="1">
        <v>5.8569179434692772E-3</v>
      </c>
      <c r="P207" s="1">
        <v>0.90877022632631244</v>
      </c>
      <c r="R207" s="1">
        <v>0.14637825259600681</v>
      </c>
      <c r="S207" s="2">
        <f t="shared" si="36"/>
        <v>0.50061264630337177</v>
      </c>
      <c r="T207" s="4">
        <f t="shared" si="37"/>
        <v>0.25061302163886479</v>
      </c>
      <c r="U207" s="1">
        <f t="shared" si="41"/>
        <v>9.1546714259375328E-2</v>
      </c>
      <c r="V207" s="6">
        <f>2*sigma/alpha*corel*(B207/12-1/alpha*(1-EXP(-alpha*Output!B207/12)))</f>
        <v>0.5426307954363756</v>
      </c>
      <c r="W207" s="5">
        <f t="shared" si="38"/>
        <v>-0.15906630737948946</v>
      </c>
      <c r="X207" s="1">
        <f t="shared" si="39"/>
        <v>10.686780262282559</v>
      </c>
      <c r="Y207" s="3">
        <f t="shared" si="40"/>
        <v>8.3462244824326903E-2</v>
      </c>
      <c r="Z207" s="1">
        <f t="shared" si="42"/>
        <v>0.12386950547270682</v>
      </c>
      <c r="AA207" s="8">
        <f t="shared" si="47"/>
        <v>16.250000000000039</v>
      </c>
      <c r="AB207" s="1">
        <v>16.329999999999998</v>
      </c>
      <c r="AC207" s="1">
        <v>5.8824402149999996E-3</v>
      </c>
      <c r="AD207" s="8">
        <f t="shared" si="43"/>
        <v>0.25522271530722429</v>
      </c>
      <c r="AE207" s="3">
        <f t="shared" si="44"/>
        <v>4.3387217885600612E-3</v>
      </c>
      <c r="AF207" s="11">
        <f t="shared" si="45"/>
        <v>16.250000000000039</v>
      </c>
      <c r="AG207" s="1">
        <f t="shared" si="46"/>
        <v>0.12386950547270682</v>
      </c>
    </row>
    <row r="208" spans="2:33" ht="15" x14ac:dyDescent="0.25">
      <c r="B208" s="1">
        <v>197</v>
      </c>
      <c r="C208" s="1">
        <v>1.0002445401028179</v>
      </c>
      <c r="D208" s="1">
        <v>1.1324665376326908</v>
      </c>
      <c r="E208" s="1">
        <v>0.88241040439689578</v>
      </c>
      <c r="G208" s="1">
        <v>0.99949160283269589</v>
      </c>
      <c r="H208" s="1">
        <v>2.908042592755832</v>
      </c>
      <c r="I208" s="1">
        <v>0.31239012695597523</v>
      </c>
      <c r="K208" s="1">
        <v>1.0010255447776151</v>
      </c>
      <c r="L208" s="1">
        <v>3.0949717544311439</v>
      </c>
      <c r="M208" s="1">
        <v>0.2908790585424143</v>
      </c>
      <c r="O208" s="1">
        <v>5.8807380932811891E-3</v>
      </c>
      <c r="P208" s="1">
        <v>0.90797165572373462</v>
      </c>
      <c r="R208" s="1">
        <v>0.1466528576507499</v>
      </c>
      <c r="S208" s="2">
        <f t="shared" si="36"/>
        <v>0.50252757689637084</v>
      </c>
      <c r="T208" s="4">
        <f t="shared" si="37"/>
        <v>0.25253396554133789</v>
      </c>
      <c r="U208" s="1">
        <f t="shared" si="41"/>
        <v>9.2749505665170151E-2</v>
      </c>
      <c r="V208" s="6">
        <f>2*sigma/alpha*corel*(B208/12-1/alpha*(1-EXP(-alpha*Output!B208/12)))</f>
        <v>0.54763660477940146</v>
      </c>
      <c r="W208" s="5">
        <f t="shared" si="38"/>
        <v>-0.15978445987616774</v>
      </c>
      <c r="X208" s="1">
        <f t="shared" si="39"/>
        <v>10.792418716095991</v>
      </c>
      <c r="Y208" s="3">
        <f t="shared" si="40"/>
        <v>8.337700757798569E-2</v>
      </c>
      <c r="Z208" s="1">
        <f t="shared" si="42"/>
        <v>0.12402733419244132</v>
      </c>
      <c r="AA208" s="8">
        <f t="shared" si="47"/>
        <v>16.333333333333371</v>
      </c>
      <c r="AB208" s="1">
        <v>16.420000000000002</v>
      </c>
      <c r="AC208" s="1">
        <v>5.9066150300000004E-3</v>
      </c>
      <c r="AD208" s="8">
        <f t="shared" si="43"/>
        <v>0.25876936718811222</v>
      </c>
      <c r="AE208" s="3">
        <f t="shared" si="44"/>
        <v>4.3810095270101291E-3</v>
      </c>
      <c r="AF208" s="11">
        <f t="shared" si="45"/>
        <v>16.333333333333371</v>
      </c>
      <c r="AG208" s="1">
        <f t="shared" si="46"/>
        <v>0.12402733419244132</v>
      </c>
    </row>
    <row r="209" spans="2:33" ht="15" x14ac:dyDescent="0.25">
      <c r="B209" s="1">
        <v>198</v>
      </c>
      <c r="C209" s="1">
        <v>1.0002443006624846</v>
      </c>
      <c r="D209" s="1">
        <v>1.1320791307722327</v>
      </c>
      <c r="E209" s="1">
        <v>0.88271062047027415</v>
      </c>
      <c r="G209" s="1">
        <v>0.99931198337545646</v>
      </c>
      <c r="H209" s="1">
        <v>2.8963491184143733</v>
      </c>
      <c r="I209" s="1">
        <v>0.31349935234628717</v>
      </c>
      <c r="K209" s="1">
        <v>1.0010288005983952</v>
      </c>
      <c r="L209" s="1">
        <v>3.1877958843036471</v>
      </c>
      <c r="M209" s="1">
        <v>0.28225711124206621</v>
      </c>
      <c r="O209" s="1">
        <v>5.904869168335743E-3</v>
      </c>
      <c r="P209" s="1">
        <v>0.90716553134688971</v>
      </c>
      <c r="R209" s="1">
        <v>0.14695681104169375</v>
      </c>
      <c r="S209" s="2">
        <f t="shared" si="36"/>
        <v>0.50453631523388198</v>
      </c>
      <c r="T209" s="4">
        <f t="shared" si="37"/>
        <v>0.25455689338978316</v>
      </c>
      <c r="U209" s="1">
        <f t="shared" si="41"/>
        <v>9.3960965625738968E-2</v>
      </c>
      <c r="V209" s="6">
        <f>2*sigma/alpha*corel*(B209/12-1/alpha*(1-EXP(-alpha*Output!B209/12)))</f>
        <v>0.55266042028655993</v>
      </c>
      <c r="W209" s="5">
        <f t="shared" si="38"/>
        <v>-0.16059592776404419</v>
      </c>
      <c r="X209" s="1">
        <f t="shared" si="39"/>
        <v>10.904764772578233</v>
      </c>
      <c r="Y209" s="3">
        <f t="shared" si="40"/>
        <v>8.3320482082275188E-2</v>
      </c>
      <c r="Z209" s="1">
        <f t="shared" si="42"/>
        <v>0.12420825459071431</v>
      </c>
      <c r="AA209" s="8">
        <f t="shared" si="47"/>
        <v>16.416666666666703</v>
      </c>
      <c r="AB209" s="1">
        <v>16.5</v>
      </c>
      <c r="AC209" s="1">
        <v>5.9311885639999999E-3</v>
      </c>
      <c r="AD209" s="8">
        <f t="shared" si="43"/>
        <v>0.26319395664256906</v>
      </c>
      <c r="AE209" s="3">
        <f t="shared" si="44"/>
        <v>4.4374572449113097E-3</v>
      </c>
      <c r="AF209" s="11">
        <f t="shared" si="45"/>
        <v>16.416666666666703</v>
      </c>
      <c r="AG209" s="1">
        <f t="shared" si="46"/>
        <v>0.12420825459071431</v>
      </c>
    </row>
    <row r="210" spans="2:33" ht="15" x14ac:dyDescent="0.25">
      <c r="B210" s="1">
        <v>199</v>
      </c>
      <c r="C210" s="1">
        <v>1.0002464356667169</v>
      </c>
      <c r="D210" s="1">
        <v>1.1333657868184126</v>
      </c>
      <c r="E210" s="1">
        <v>0.88170677628078642</v>
      </c>
      <c r="G210" s="1">
        <v>0.99931945785217013</v>
      </c>
      <c r="H210" s="1">
        <v>2.9761707671595463</v>
      </c>
      <c r="I210" s="1">
        <v>0.30494338109049135</v>
      </c>
      <c r="K210" s="1">
        <v>1.0009938424111922</v>
      </c>
      <c r="L210" s="1">
        <v>3.3436614330083749</v>
      </c>
      <c r="M210" s="1">
        <v>0.26894229883023474</v>
      </c>
      <c r="O210" s="1">
        <v>5.929234307544203E-3</v>
      </c>
      <c r="P210" s="1">
        <v>0.90635295936425975</v>
      </c>
      <c r="R210" s="1">
        <v>0.14725157423562235</v>
      </c>
      <c r="S210" s="2">
        <f t="shared" si="36"/>
        <v>0.50653074391661468</v>
      </c>
      <c r="T210" s="4">
        <f t="shared" si="37"/>
        <v>0.2565733945327191</v>
      </c>
      <c r="U210" s="1">
        <f t="shared" si="41"/>
        <v>9.5181096264145282E-2</v>
      </c>
      <c r="V210" s="6">
        <f>2*sigma/alpha*corel*(B210/12-1/alpha*(1-EXP(-alpha*Output!B210/12)))</f>
        <v>0.55770218203722766</v>
      </c>
      <c r="W210" s="5">
        <f t="shared" si="38"/>
        <v>-0.16139229826857382</v>
      </c>
      <c r="X210" s="1">
        <f t="shared" si="39"/>
        <v>11.016720842331148</v>
      </c>
      <c r="Y210" s="3">
        <f t="shared" si="40"/>
        <v>8.3259570239236205E-2</v>
      </c>
      <c r="Z210" s="1">
        <f t="shared" si="42"/>
        <v>0.12438553969165818</v>
      </c>
      <c r="AA210" s="8">
        <f t="shared" si="47"/>
        <v>16.500000000000036</v>
      </c>
      <c r="AB210" s="1">
        <v>16.579999999999998</v>
      </c>
      <c r="AC210" s="1">
        <v>5.9560960450000004E-3</v>
      </c>
      <c r="AD210" s="8">
        <f t="shared" si="43"/>
        <v>0.26861737455797369</v>
      </c>
      <c r="AE210" s="3">
        <f t="shared" si="44"/>
        <v>4.5099570679937497E-3</v>
      </c>
      <c r="AF210" s="11">
        <f t="shared" si="45"/>
        <v>16.500000000000036</v>
      </c>
      <c r="AG210" s="1">
        <f t="shared" si="46"/>
        <v>0.12438553969165818</v>
      </c>
    </row>
    <row r="211" spans="2:33" ht="15" x14ac:dyDescent="0.25">
      <c r="B211" s="1">
        <v>200</v>
      </c>
      <c r="C211" s="1">
        <v>1.0002490042166636</v>
      </c>
      <c r="D211" s="1">
        <v>1.1347652522171996</v>
      </c>
      <c r="E211" s="1">
        <v>0.8806176607882068</v>
      </c>
      <c r="G211" s="1">
        <v>0.99935702038752583</v>
      </c>
      <c r="H211" s="1">
        <v>3.0000545789979558</v>
      </c>
      <c r="I211" s="1">
        <v>0.3023691008098599</v>
      </c>
      <c r="K211" s="1">
        <v>1.0009476791644381</v>
      </c>
      <c r="L211" s="1">
        <v>3.2953719275403506</v>
      </c>
      <c r="M211" s="1">
        <v>0.27275501392303059</v>
      </c>
      <c r="O211" s="1">
        <v>5.9537515554014472E-3</v>
      </c>
      <c r="P211" s="1">
        <v>0.90553514229357335</v>
      </c>
      <c r="R211" s="1">
        <v>0.14778403976808879</v>
      </c>
      <c r="S211" s="2">
        <f t="shared" si="36"/>
        <v>0.50919371977634853</v>
      </c>
      <c r="T211" s="4">
        <f t="shared" si="37"/>
        <v>0.25927824425967455</v>
      </c>
      <c r="U211" s="1">
        <f t="shared" si="41"/>
        <v>9.6409899490605078E-2</v>
      </c>
      <c r="V211" s="6">
        <f>2*sigma/alpha*corel*(B211/12-1/alpha*(1-EXP(-alpha*Output!B211/12)))</f>
        <v>0.56276183031018356</v>
      </c>
      <c r="W211" s="5">
        <f t="shared" si="38"/>
        <v>-0.16286834476906947</v>
      </c>
      <c r="X211" s="1">
        <f t="shared" si="39"/>
        <v>11.174590528925366</v>
      </c>
      <c r="Y211" s="3">
        <f t="shared" si="40"/>
        <v>8.3402395631503465E-2</v>
      </c>
      <c r="Z211" s="1">
        <f t="shared" si="42"/>
        <v>0.12472647936817775</v>
      </c>
      <c r="AA211" s="8">
        <f t="shared" si="47"/>
        <v>16.583333333333368</v>
      </c>
      <c r="AB211" s="1">
        <v>16.670000000000002</v>
      </c>
      <c r="AC211" s="1">
        <v>5.9812725470000001E-3</v>
      </c>
      <c r="AD211" s="8">
        <f t="shared" si="43"/>
        <v>0.27520991598552896</v>
      </c>
      <c r="AE211" s="3">
        <f t="shared" si="44"/>
        <v>4.6011933718613906E-3</v>
      </c>
      <c r="AF211" s="11">
        <f t="shared" si="45"/>
        <v>16.583333333333368</v>
      </c>
      <c r="AG211" s="1">
        <f t="shared" si="46"/>
        <v>0.12472647936817775</v>
      </c>
    </row>
    <row r="212" spans="2:33" ht="15" x14ac:dyDescent="0.25">
      <c r="B212" s="1">
        <v>201</v>
      </c>
      <c r="C212" s="1">
        <v>1.0002530400033112</v>
      </c>
      <c r="D212" s="1">
        <v>1.1352055348144447</v>
      </c>
      <c r="E212" s="1">
        <v>0.88027438614546794</v>
      </c>
      <c r="G212" s="1">
        <v>0.99951220545791508</v>
      </c>
      <c r="H212" s="1">
        <v>3.0180434067746926</v>
      </c>
      <c r="I212" s="1">
        <v>0.30042121248352999</v>
      </c>
      <c r="K212" s="1">
        <v>1.0009511898578929</v>
      </c>
      <c r="L212" s="1">
        <v>3.2660482249676703</v>
      </c>
      <c r="M212" s="1">
        <v>0.27505575093049295</v>
      </c>
      <c r="O212" s="1">
        <v>5.9784169156118089E-3</v>
      </c>
      <c r="P212" s="1">
        <v>0.90471212180724203</v>
      </c>
      <c r="R212" s="1">
        <v>0.14812742722315789</v>
      </c>
      <c r="S212" s="2">
        <f t="shared" si="36"/>
        <v>0.51134247273020628</v>
      </c>
      <c r="T212" s="4">
        <f t="shared" si="37"/>
        <v>0.26147112441784176</v>
      </c>
      <c r="U212" s="1">
        <f t="shared" si="41"/>
        <v>9.7647377004565161E-2</v>
      </c>
      <c r="V212" s="6">
        <f>2*sigma/alpha*corel*(B212/12-1/alpha*(1-EXP(-alpha*Output!B212/12)))</f>
        <v>0.56783930558294515</v>
      </c>
      <c r="W212" s="5">
        <f t="shared" si="38"/>
        <v>-0.1638237474132766</v>
      </c>
      <c r="X212" s="1">
        <f t="shared" si="39"/>
        <v>11.298632553654453</v>
      </c>
      <c r="Y212" s="3">
        <f t="shared" si="40"/>
        <v>8.3388195691959682E-2</v>
      </c>
      <c r="Z212" s="1">
        <f t="shared" si="42"/>
        <v>0.12494085153845691</v>
      </c>
      <c r="AA212" s="8">
        <f t="shared" si="47"/>
        <v>16.6666666666667</v>
      </c>
      <c r="AB212" s="1">
        <v>16.75</v>
      </c>
      <c r="AC212" s="1">
        <v>6.0066525270000004E-3</v>
      </c>
      <c r="AD212" s="8">
        <f t="shared" si="43"/>
        <v>0.28235611388191528</v>
      </c>
      <c r="AE212" s="3">
        <f t="shared" si="44"/>
        <v>4.7007232832716721E-3</v>
      </c>
      <c r="AF212" s="11">
        <f t="shared" si="45"/>
        <v>16.6666666666667</v>
      </c>
      <c r="AG212" s="1">
        <f t="shared" si="46"/>
        <v>0.12494085153845691</v>
      </c>
    </row>
    <row r="213" spans="2:33" ht="15" x14ac:dyDescent="0.25">
      <c r="B213" s="1">
        <v>202</v>
      </c>
      <c r="C213" s="1">
        <v>1.000256512584645</v>
      </c>
      <c r="D213" s="1">
        <v>1.1375891174467385</v>
      </c>
      <c r="E213" s="1">
        <v>0.87842822928324615</v>
      </c>
      <c r="G213" s="1">
        <v>0.99962980840282212</v>
      </c>
      <c r="H213" s="1">
        <v>3.0178608674897034</v>
      </c>
      <c r="I213" s="1">
        <v>0.30029381027636959</v>
      </c>
      <c r="K213" s="1">
        <v>1.0009865286148723</v>
      </c>
      <c r="L213" s="1">
        <v>3.2225365921657345</v>
      </c>
      <c r="M213" s="1">
        <v>0.27861639350555967</v>
      </c>
      <c r="O213" s="1">
        <v>6.0031889435321322E-3</v>
      </c>
      <c r="P213" s="1">
        <v>0.90388451056635</v>
      </c>
      <c r="R213" s="1">
        <v>0.14849104719565118</v>
      </c>
      <c r="S213" s="2">
        <f t="shared" si="36"/>
        <v>0.51355619615228942</v>
      </c>
      <c r="T213" s="4">
        <f t="shared" si="37"/>
        <v>0.26373996660640875</v>
      </c>
      <c r="U213" s="1">
        <f t="shared" si="41"/>
        <v>9.88935302967624E-2</v>
      </c>
      <c r="V213" s="6">
        <f>2*sigma/alpha*corel*(B213/12-1/alpha*(1-EXP(-alpha*Output!B213/12)))</f>
        <v>0.57293454853110948</v>
      </c>
      <c r="W213" s="5">
        <f t="shared" si="38"/>
        <v>-0.16484643630964635</v>
      </c>
      <c r="X213" s="1">
        <f t="shared" si="39"/>
        <v>11.427914041750068</v>
      </c>
      <c r="Y213" s="3">
        <f t="shared" si="40"/>
        <v>8.3393620994930057E-2</v>
      </c>
      <c r="Z213" s="1">
        <f t="shared" si="42"/>
        <v>0.12517076650919548</v>
      </c>
      <c r="AA213" s="8">
        <f t="shared" si="47"/>
        <v>16.750000000000032</v>
      </c>
      <c r="AB213" s="1">
        <v>16.829999999999998</v>
      </c>
      <c r="AC213" s="1">
        <v>6.0321702899999996E-3</v>
      </c>
      <c r="AD213" s="8">
        <f t="shared" si="43"/>
        <v>0.28981346467867386</v>
      </c>
      <c r="AE213" s="3">
        <f t="shared" si="44"/>
        <v>4.8044642433109075E-3</v>
      </c>
      <c r="AF213" s="11">
        <f t="shared" si="45"/>
        <v>16.750000000000032</v>
      </c>
      <c r="AG213" s="1">
        <f t="shared" si="46"/>
        <v>0.12517076650919548</v>
      </c>
    </row>
    <row r="214" spans="2:33" ht="15" x14ac:dyDescent="0.25">
      <c r="B214" s="1">
        <v>203</v>
      </c>
      <c r="C214" s="1">
        <v>1.0002579111956129</v>
      </c>
      <c r="D214" s="1">
        <v>1.13639715838128</v>
      </c>
      <c r="E214" s="1">
        <v>0.87934788539384756</v>
      </c>
      <c r="G214" s="1">
        <v>0.99957225906324698</v>
      </c>
      <c r="H214" s="1">
        <v>2.9866561507692495</v>
      </c>
      <c r="I214" s="1">
        <v>0.3032842740490953</v>
      </c>
      <c r="K214" s="1">
        <v>1.0009254388532438</v>
      </c>
      <c r="L214" s="1">
        <v>3.1784963203401269</v>
      </c>
      <c r="M214" s="1">
        <v>0.28233235767854847</v>
      </c>
      <c r="O214" s="1">
        <v>6.027977342933687E-3</v>
      </c>
      <c r="P214" s="1">
        <v>0.90305367788436208</v>
      </c>
      <c r="R214" s="1">
        <v>0.14887224832219051</v>
      </c>
      <c r="S214" s="2">
        <f t="shared" si="36"/>
        <v>0.51582571192425553</v>
      </c>
      <c r="T214" s="4">
        <f t="shared" si="37"/>
        <v>0.26607616508216503</v>
      </c>
      <c r="U214" s="1">
        <f t="shared" si="41"/>
        <v>0.10014836065126431</v>
      </c>
      <c r="V214" s="6">
        <f>2*sigma/alpha*corel*(B214/12-1/alpha*(1-EXP(-alpha*Output!B214/12)))</f>
        <v>0.57804750002769123</v>
      </c>
      <c r="W214" s="5">
        <f t="shared" si="38"/>
        <v>-0.16592780443090072</v>
      </c>
      <c r="X214" s="1">
        <f t="shared" si="39"/>
        <v>11.561920345445879</v>
      </c>
      <c r="Y214" s="3">
        <f t="shared" si="40"/>
        <v>8.3415809615382475E-2</v>
      </c>
      <c r="Z214" s="1">
        <f t="shared" si="42"/>
        <v>0.12541387602822723</v>
      </c>
      <c r="AA214" s="8">
        <f t="shared" si="47"/>
        <v>16.833333333333364</v>
      </c>
      <c r="AB214" s="1">
        <v>16.920000000000002</v>
      </c>
      <c r="AC214" s="1">
        <v>6.05776014E-3</v>
      </c>
      <c r="AD214" s="8">
        <f t="shared" si="43"/>
        <v>0.29782797066313027</v>
      </c>
      <c r="AE214" s="3">
        <f t="shared" si="44"/>
        <v>4.9164701767661981E-3</v>
      </c>
      <c r="AF214" s="11">
        <f t="shared" si="45"/>
        <v>16.833333333333364</v>
      </c>
      <c r="AG214" s="1">
        <f t="shared" si="46"/>
        <v>0.12541387602822723</v>
      </c>
    </row>
    <row r="215" spans="2:33" ht="15" x14ac:dyDescent="0.25">
      <c r="B215" s="1">
        <v>204</v>
      </c>
      <c r="C215" s="1">
        <v>1.0002562034699589</v>
      </c>
      <c r="D215" s="1">
        <v>1.1390725390414906</v>
      </c>
      <c r="E215" s="1">
        <v>0.87728081674090375</v>
      </c>
      <c r="G215" s="1">
        <v>0.99927362193945224</v>
      </c>
      <c r="H215" s="1">
        <v>3.0512175134770914</v>
      </c>
      <c r="I215" s="1">
        <v>0.29672318231327133</v>
      </c>
      <c r="K215" s="1">
        <v>1.0008299830393772</v>
      </c>
      <c r="L215" s="1">
        <v>3.1300941590563376</v>
      </c>
      <c r="M215" s="1">
        <v>0.28652946872218299</v>
      </c>
      <c r="O215" s="1">
        <v>6.0526648592494842E-3</v>
      </c>
      <c r="P215" s="1">
        <v>0.90222142876810218</v>
      </c>
      <c r="R215" s="1">
        <v>0.14935431170935742</v>
      </c>
      <c r="S215" s="2">
        <f t="shared" ref="S215:S278" si="48">optim_vol_implied(P215,R215)</f>
        <v>0.51838035612939648</v>
      </c>
      <c r="T215" s="4">
        <f t="shared" ref="T215:T278" si="49">S215*S215</f>
        <v>0.26871819362083993</v>
      </c>
      <c r="U215" s="1">
        <f t="shared" si="41"/>
        <v>0.10141186914750167</v>
      </c>
      <c r="V215" s="6">
        <f>2*sigma/alpha*corel*(B215/12-1/alpha*(1-EXP(-alpha*Output!B215/12)))</f>
        <v>0.58317810114246726</v>
      </c>
      <c r="W215" s="5">
        <f t="shared" ref="W215:W278" si="50">U215-T215</f>
        <v>-0.16730632447333826</v>
      </c>
      <c r="X215" s="1">
        <f t="shared" ref="X215:X278" si="51">V215*V215-4*W215*B215/12</f>
        <v>11.716926761839137</v>
      </c>
      <c r="Y215" s="3">
        <f t="shared" ref="Y215:Y278" si="52">(-V215+SQRT(X215))/2/B215*12</f>
        <v>8.3524163880229332E-2</v>
      </c>
      <c r="Z215" s="1">
        <f t="shared" si="42"/>
        <v>0.12572570368040006</v>
      </c>
      <c r="AA215" s="8">
        <f t="shared" si="47"/>
        <v>16.916666666666696</v>
      </c>
      <c r="AB215" s="1">
        <v>17</v>
      </c>
      <c r="AC215" s="1">
        <v>6.0833563789999996E-3</v>
      </c>
      <c r="AD215" s="8">
        <f t="shared" si="43"/>
        <v>0.30691519750515422</v>
      </c>
      <c r="AE215" s="3">
        <f t="shared" si="44"/>
        <v>5.0451622161186921E-3</v>
      </c>
      <c r="AF215" s="11">
        <f t="shared" si="45"/>
        <v>16.916666666666696</v>
      </c>
      <c r="AG215" s="1">
        <f t="shared" si="46"/>
        <v>0.12572570368040006</v>
      </c>
    </row>
    <row r="216" spans="2:33" ht="15" x14ac:dyDescent="0.25">
      <c r="B216" s="1">
        <v>205</v>
      </c>
      <c r="C216" s="1">
        <v>1.000255427133621</v>
      </c>
      <c r="D216" s="1">
        <v>1.1372138858420053</v>
      </c>
      <c r="E216" s="1">
        <v>0.87871292628608955</v>
      </c>
      <c r="G216" s="1">
        <v>0.99903672448904113</v>
      </c>
      <c r="H216" s="1">
        <v>3.0038163922021366</v>
      </c>
      <c r="I216" s="1">
        <v>0.30125953264446692</v>
      </c>
      <c r="K216" s="1">
        <v>1.000746759177866</v>
      </c>
      <c r="L216" s="1">
        <v>3.0730948435132031</v>
      </c>
      <c r="M216" s="1">
        <v>0.29170212108055954</v>
      </c>
      <c r="O216" s="1">
        <v>6.0772622574827226E-3</v>
      </c>
      <c r="P216" s="1">
        <v>0.90138762550973084</v>
      </c>
      <c r="R216" s="1">
        <v>0.14970852803387605</v>
      </c>
      <c r="S216" s="2">
        <f t="shared" si="48"/>
        <v>0.52058395660332391</v>
      </c>
      <c r="T216" s="4">
        <f t="shared" si="49"/>
        <v>0.27100765587277142</v>
      </c>
      <c r="U216" s="1">
        <f t="shared" si="41"/>
        <v>0.10268405666227798</v>
      </c>
      <c r="V216" s="6">
        <f>2*sigma/alpha*corel*(B216/12-1/alpha*(1-EXP(-alpha*Output!B216/12)))</f>
        <v>0.58832629314132201</v>
      </c>
      <c r="W216" s="5">
        <f t="shared" si="50"/>
        <v>-0.16832359921049345</v>
      </c>
      <c r="X216" s="1">
        <f t="shared" si="51"/>
        <v>11.84824043991846</v>
      </c>
      <c r="Y216" s="3">
        <f t="shared" si="52"/>
        <v>8.3525883512386281E-2</v>
      </c>
      <c r="Z216" s="1">
        <f t="shared" si="42"/>
        <v>0.12595182723087575</v>
      </c>
      <c r="AA216" s="8">
        <f t="shared" si="47"/>
        <v>17.000000000000028</v>
      </c>
      <c r="AB216" s="1">
        <v>17.079999999999998</v>
      </c>
      <c r="AC216" s="1">
        <v>6.1088933140000003E-3</v>
      </c>
      <c r="AD216" s="8">
        <f t="shared" si="43"/>
        <v>0.31631056517277684</v>
      </c>
      <c r="AE216" s="3">
        <f t="shared" si="44"/>
        <v>5.1778701790040262E-3</v>
      </c>
      <c r="AF216" s="11">
        <f t="shared" si="45"/>
        <v>17.000000000000028</v>
      </c>
      <c r="AG216" s="1">
        <f t="shared" si="46"/>
        <v>0.12595182723087575</v>
      </c>
    </row>
    <row r="217" spans="2:33" ht="15" x14ac:dyDescent="0.25">
      <c r="B217" s="1">
        <v>206</v>
      </c>
      <c r="C217" s="1">
        <v>1.0002566707013845</v>
      </c>
      <c r="D217" s="1">
        <v>1.1394977730091651</v>
      </c>
      <c r="E217" s="1">
        <v>0.87695002518744969</v>
      </c>
      <c r="G217" s="1">
        <v>0.9989711569667834</v>
      </c>
      <c r="H217" s="1">
        <v>3.0584471961577546</v>
      </c>
      <c r="I217" s="1">
        <v>0.29573500554058257</v>
      </c>
      <c r="K217" s="1">
        <v>1.0007212361914273</v>
      </c>
      <c r="L217" s="1">
        <v>3.1466794353602063</v>
      </c>
      <c r="M217" s="1">
        <v>0.28472512360810143</v>
      </c>
      <c r="O217" s="1">
        <v>6.1018620222903167E-3</v>
      </c>
      <c r="P217" s="1">
        <v>0.90055086436309195</v>
      </c>
      <c r="R217" s="1">
        <v>0.15000005631164065</v>
      </c>
      <c r="S217" s="2">
        <f t="shared" si="48"/>
        <v>0.52261928877803654</v>
      </c>
      <c r="T217" s="4">
        <f t="shared" si="49"/>
        <v>0.27313092100286074</v>
      </c>
      <c r="U217" s="1">
        <f t="shared" si="41"/>
        <v>0.10396492387176526</v>
      </c>
      <c r="V217" s="6">
        <f>2*sigma/alpha*corel*(B217/12-1/alpha*(1-EXP(-alpha*Output!B217/12)))</f>
        <v>0.59349201748559333</v>
      </c>
      <c r="W217" s="5">
        <f t="shared" si="50"/>
        <v>-0.16916599713109548</v>
      </c>
      <c r="X217" s="1">
        <f t="shared" si="51"/>
        <v>11.968297911154343</v>
      </c>
      <c r="Y217" s="3">
        <f t="shared" si="52"/>
        <v>8.3476624343768291E-2</v>
      </c>
      <c r="Z217" s="1">
        <f t="shared" si="42"/>
        <v>0.12613698540691895</v>
      </c>
      <c r="AA217" s="8">
        <f t="shared" si="47"/>
        <v>17.083333333333361</v>
      </c>
      <c r="AB217" s="1">
        <v>17.170000000000002</v>
      </c>
      <c r="AC217" s="1">
        <v>6.1343167059999997E-3</v>
      </c>
      <c r="AD217" s="8">
        <f t="shared" si="43"/>
        <v>0.32454683709682958</v>
      </c>
      <c r="AE217" s="3">
        <f t="shared" si="44"/>
        <v>5.2906762505331526E-3</v>
      </c>
      <c r="AF217" s="11">
        <f t="shared" si="45"/>
        <v>17.083333333333361</v>
      </c>
      <c r="AG217" s="1">
        <f t="shared" si="46"/>
        <v>0.12613698540691895</v>
      </c>
    </row>
    <row r="218" spans="2:33" ht="15" x14ac:dyDescent="0.25">
      <c r="B218" s="1">
        <v>207</v>
      </c>
      <c r="C218" s="1">
        <v>1.0002581585871235</v>
      </c>
      <c r="D218" s="1">
        <v>1.1419454838759073</v>
      </c>
      <c r="E218" s="1">
        <v>0.87506862550388242</v>
      </c>
      <c r="G218" s="1">
        <v>0.9989235677597913</v>
      </c>
      <c r="H218" s="1">
        <v>3.1170742727381859</v>
      </c>
      <c r="I218" s="1">
        <v>0.29003213241066816</v>
      </c>
      <c r="K218" s="1">
        <v>1.0007995129380034</v>
      </c>
      <c r="L218" s="1">
        <v>3.1598676902064589</v>
      </c>
      <c r="M218" s="1">
        <v>0.28339005447930871</v>
      </c>
      <c r="O218" s="1">
        <v>6.1263419808523945E-3</v>
      </c>
      <c r="P218" s="1">
        <v>0.89971305059345907</v>
      </c>
      <c r="R218" s="1">
        <v>0.1503562945730941</v>
      </c>
      <c r="S218" s="2">
        <f t="shared" si="48"/>
        <v>0.52483869517568871</v>
      </c>
      <c r="T218" s="4">
        <f t="shared" si="49"/>
        <v>0.27545565595371951</v>
      </c>
      <c r="U218" s="1">
        <f t="shared" si="41"/>
        <v>0.10525447125348908</v>
      </c>
      <c r="V218" s="6">
        <f>2*sigma/alpha*corel*(B218/12-1/alpha*(1-EXP(-alpha*Output!B218/12)))</f>
        <v>0.59867521583142369</v>
      </c>
      <c r="W218" s="5">
        <f t="shared" si="50"/>
        <v>-0.17020118470023043</v>
      </c>
      <c r="X218" s="1">
        <f t="shared" si="51"/>
        <v>12.102293758366701</v>
      </c>
      <c r="Y218" s="3">
        <f t="shared" si="52"/>
        <v>8.3482895632280799E-2</v>
      </c>
      <c r="Z218" s="1">
        <f t="shared" si="42"/>
        <v>0.12636630810229452</v>
      </c>
      <c r="AA218" s="8">
        <f t="shared" si="47"/>
        <v>17.166666666666693</v>
      </c>
      <c r="AB218" s="1">
        <v>17.25</v>
      </c>
      <c r="AC218" s="1">
        <v>6.1596181610000002E-3</v>
      </c>
      <c r="AD218" s="8">
        <f t="shared" si="43"/>
        <v>0.3327618014760565</v>
      </c>
      <c r="AE218" s="3">
        <f t="shared" si="44"/>
        <v>5.4023121690068105E-3</v>
      </c>
      <c r="AF218" s="11">
        <f t="shared" si="45"/>
        <v>17.166666666666693</v>
      </c>
      <c r="AG218" s="1">
        <f t="shared" si="46"/>
        <v>0.12636630810229452</v>
      </c>
    </row>
    <row r="219" spans="2:33" ht="15" x14ac:dyDescent="0.25">
      <c r="B219" s="1">
        <v>208</v>
      </c>
      <c r="C219" s="1">
        <v>1.0002593070905335</v>
      </c>
      <c r="D219" s="1">
        <v>1.1385655891918847</v>
      </c>
      <c r="E219" s="1">
        <v>0.8776646187571906</v>
      </c>
      <c r="G219" s="1">
        <v>0.99883389764725961</v>
      </c>
      <c r="H219" s="1">
        <v>3.0353124948991805</v>
      </c>
      <c r="I219" s="1">
        <v>0.29770039248015046</v>
      </c>
      <c r="K219" s="1">
        <v>1.0008187208523336</v>
      </c>
      <c r="L219" s="1">
        <v>3.2516811035402466</v>
      </c>
      <c r="M219" s="1">
        <v>0.27525531219513949</v>
      </c>
      <c r="O219" s="1">
        <v>6.1506983195843941E-3</v>
      </c>
      <c r="P219" s="1">
        <v>0.89887427492578442</v>
      </c>
      <c r="R219" s="1">
        <v>0.15077264527368534</v>
      </c>
      <c r="S219" s="2">
        <f t="shared" si="48"/>
        <v>0.52722972602548346</v>
      </c>
      <c r="T219" s="4">
        <f t="shared" si="49"/>
        <v>0.27797118400490634</v>
      </c>
      <c r="U219" s="1">
        <f t="shared" si="41"/>
        <v>0.10655269908829057</v>
      </c>
      <c r="V219" s="6">
        <f>2*sigma/alpha*corel*(B219/12-1/alpha*(1-EXP(-alpha*Output!B219/12)))</f>
        <v>0.60387583002911072</v>
      </c>
      <c r="W219" s="5">
        <f t="shared" si="50"/>
        <v>-0.17141848491661577</v>
      </c>
      <c r="X219" s="1">
        <f t="shared" si="51"/>
        <v>12.249680972312039</v>
      </c>
      <c r="Y219" s="3">
        <f t="shared" si="52"/>
        <v>8.3540728681446935E-2</v>
      </c>
      <c r="Z219" s="1">
        <f t="shared" si="42"/>
        <v>0.12663648398943386</v>
      </c>
      <c r="AA219" s="8">
        <f t="shared" si="47"/>
        <v>17.250000000000025</v>
      </c>
      <c r="AB219" s="1">
        <v>17.329999999999998</v>
      </c>
      <c r="AC219" s="1">
        <v>6.1848007460000003E-3</v>
      </c>
      <c r="AD219" s="8">
        <f t="shared" si="43"/>
        <v>0.34102426415606213</v>
      </c>
      <c r="AE219" s="3">
        <f t="shared" si="44"/>
        <v>5.5139086635348509E-3</v>
      </c>
      <c r="AF219" s="11">
        <f t="shared" si="45"/>
        <v>17.250000000000025</v>
      </c>
      <c r="AG219" s="1">
        <f t="shared" si="46"/>
        <v>0.12663648398943386</v>
      </c>
    </row>
    <row r="220" spans="2:33" ht="15" x14ac:dyDescent="0.25">
      <c r="B220" s="1">
        <v>209</v>
      </c>
      <c r="C220" s="1">
        <v>1.0002635750409357</v>
      </c>
      <c r="D220" s="1">
        <v>1.1398754293365161</v>
      </c>
      <c r="E220" s="1">
        <v>0.87665439720020377</v>
      </c>
      <c r="G220" s="1">
        <v>0.99900120449195617</v>
      </c>
      <c r="H220" s="1">
        <v>3.0746516230525898</v>
      </c>
      <c r="I220" s="1">
        <v>0.29374904142978903</v>
      </c>
      <c r="K220" s="1">
        <v>1.0008420731008876</v>
      </c>
      <c r="L220" s="1">
        <v>3.2662385839732173</v>
      </c>
      <c r="M220" s="1">
        <v>0.27386657379783919</v>
      </c>
      <c r="O220" s="1">
        <v>6.1749781971806054E-3</v>
      </c>
      <c r="P220" s="1">
        <v>0.89803383166092499</v>
      </c>
      <c r="R220" s="1">
        <v>0.15116892115254313</v>
      </c>
      <c r="S220" s="2">
        <f t="shared" si="48"/>
        <v>0.52956966669750538</v>
      </c>
      <c r="T220" s="4">
        <f t="shared" si="49"/>
        <v>0.28044403188610695</v>
      </c>
      <c r="U220" s="1">
        <f t="shared" si="41"/>
        <v>0.10785960746228129</v>
      </c>
      <c r="V220" s="6">
        <f>2*sigma/alpha*corel*(B220/12-1/alpha*(1-EXP(-alpha*Output!B220/12)))</f>
        <v>0.60909380212246367</v>
      </c>
      <c r="W220" s="5">
        <f t="shared" si="50"/>
        <v>-0.17258442442382566</v>
      </c>
      <c r="X220" s="1">
        <f t="shared" si="51"/>
        <v>12.394376827977187</v>
      </c>
      <c r="Y220" s="3">
        <f t="shared" si="52"/>
        <v>8.3582900752984232E-2</v>
      </c>
      <c r="Z220" s="1">
        <f t="shared" si="42"/>
        <v>0.12689385200895753</v>
      </c>
      <c r="AA220" s="8">
        <f t="shared" si="47"/>
        <v>17.333333333333357</v>
      </c>
      <c r="AB220" s="1">
        <v>17.420000000000002</v>
      </c>
      <c r="AC220" s="1">
        <v>6.2098675239999996E-3</v>
      </c>
      <c r="AD220" s="8">
        <f t="shared" si="43"/>
        <v>0.34889326819394217</v>
      </c>
      <c r="AE220" s="3">
        <f t="shared" si="44"/>
        <v>5.6183689401671398E-3</v>
      </c>
      <c r="AF220" s="11">
        <f t="shared" si="45"/>
        <v>17.333333333333357</v>
      </c>
      <c r="AG220" s="1">
        <f t="shared" si="46"/>
        <v>0.12689385200895753</v>
      </c>
    </row>
    <row r="221" spans="2:33" ht="15" x14ac:dyDescent="0.25">
      <c r="B221" s="1">
        <v>210</v>
      </c>
      <c r="C221" s="1">
        <v>1.0002660022389385</v>
      </c>
      <c r="D221" s="1">
        <v>1.1413495183873743</v>
      </c>
      <c r="E221" s="1">
        <v>0.87552048642326907</v>
      </c>
      <c r="G221" s="1">
        <v>0.99901894860284879</v>
      </c>
      <c r="H221" s="1">
        <v>3.1508794121766082</v>
      </c>
      <c r="I221" s="1">
        <v>0.28650364484749918</v>
      </c>
      <c r="K221" s="1">
        <v>1.0008607840116963</v>
      </c>
      <c r="L221" s="1">
        <v>3.2507855512862145</v>
      </c>
      <c r="M221" s="1">
        <v>0.27503282593161177</v>
      </c>
      <c r="O221" s="1">
        <v>6.1991133742292492E-3</v>
      </c>
      <c r="P221" s="1">
        <v>0.89719281550872665</v>
      </c>
      <c r="R221" s="1">
        <v>0.15143800404744892</v>
      </c>
      <c r="S221" s="2">
        <f t="shared" si="48"/>
        <v>0.53155692611326466</v>
      </c>
      <c r="T221" s="4">
        <f t="shared" si="49"/>
        <v>0.28255276569898269</v>
      </c>
      <c r="U221" s="1">
        <f t="shared" si="41"/>
        <v>0.10917519626877503</v>
      </c>
      <c r="V221" s="6">
        <f>2*sigma/alpha*corel*(B221/12-1/alpha*(1-EXP(-alpha*Output!B221/12)))</f>
        <v>0.61432907434815442</v>
      </c>
      <c r="W221" s="5">
        <f t="shared" si="50"/>
        <v>-0.17337756943020766</v>
      </c>
      <c r="X221" s="1">
        <f t="shared" si="51"/>
        <v>12.513830071703998</v>
      </c>
      <c r="Y221" s="3">
        <f t="shared" si="52"/>
        <v>8.3518861668146871E-2</v>
      </c>
      <c r="Z221" s="1">
        <f t="shared" si="42"/>
        <v>0.12706640911608447</v>
      </c>
      <c r="AA221" s="8">
        <f t="shared" si="47"/>
        <v>17.416666666666689</v>
      </c>
      <c r="AB221" s="1">
        <v>17.5</v>
      </c>
      <c r="AC221" s="1">
        <v>6.2348215609999997E-3</v>
      </c>
      <c r="AD221" s="8">
        <f t="shared" si="43"/>
        <v>0.35708186770750522</v>
      </c>
      <c r="AE221" s="3">
        <f t="shared" si="44"/>
        <v>5.7272187217212523E-3</v>
      </c>
      <c r="AF221" s="11">
        <f t="shared" si="45"/>
        <v>17.416666666666689</v>
      </c>
      <c r="AG221" s="1">
        <f t="shared" si="46"/>
        <v>0.12706640911608447</v>
      </c>
    </row>
    <row r="222" spans="2:33" ht="15" x14ac:dyDescent="0.25">
      <c r="B222" s="1">
        <v>211</v>
      </c>
      <c r="C222" s="1">
        <v>1.0002668235688792</v>
      </c>
      <c r="D222" s="1">
        <v>1.1448462117694025</v>
      </c>
      <c r="E222" s="1">
        <v>0.87284471733213298</v>
      </c>
      <c r="G222" s="1">
        <v>0.99891144067979309</v>
      </c>
      <c r="H222" s="1">
        <v>3.2390368186434157</v>
      </c>
      <c r="I222" s="1">
        <v>0.27857081538206485</v>
      </c>
      <c r="K222" s="1">
        <v>1.0009662374722312</v>
      </c>
      <c r="L222" s="1">
        <v>3.3459116904642499</v>
      </c>
      <c r="M222" s="1">
        <v>0.26706463598469787</v>
      </c>
      <c r="O222" s="1">
        <v>6.2231288293681884E-3</v>
      </c>
      <c r="P222" s="1">
        <v>0.89635086829308097</v>
      </c>
      <c r="R222" s="1">
        <v>0.15184229615098804</v>
      </c>
      <c r="S222" s="2">
        <f t="shared" si="48"/>
        <v>0.53392624521939602</v>
      </c>
      <c r="T222" s="4">
        <f t="shared" si="49"/>
        <v>0.28507723533408263</v>
      </c>
      <c r="U222" s="1">
        <f t="shared" si="41"/>
        <v>0.11049946521020981</v>
      </c>
      <c r="V222" s="6">
        <f>2*sigma/alpha*corel*(B222/12-1/alpha*(1-EXP(-alpha*Output!B222/12)))</f>
        <v>0.61958158913508177</v>
      </c>
      <c r="W222" s="5">
        <f t="shared" si="50"/>
        <v>-0.17457777012387282</v>
      </c>
      <c r="X222" s="1">
        <f t="shared" si="51"/>
        <v>12.662517844307541</v>
      </c>
      <c r="Y222" s="3">
        <f t="shared" si="52"/>
        <v>8.356952382701982E-2</v>
      </c>
      <c r="Z222" s="1">
        <f t="shared" si="42"/>
        <v>0.12732997815336144</v>
      </c>
      <c r="AA222" s="8">
        <f t="shared" si="47"/>
        <v>17.500000000000021</v>
      </c>
      <c r="AB222" s="1">
        <v>17.579999999999998</v>
      </c>
      <c r="AC222" s="1">
        <v>6.2596659230000004E-3</v>
      </c>
      <c r="AD222" s="8">
        <f t="shared" si="43"/>
        <v>0.36537093631812056</v>
      </c>
      <c r="AE222" s="3">
        <f t="shared" si="44"/>
        <v>5.8369079246806399E-3</v>
      </c>
      <c r="AF222" s="11">
        <f t="shared" si="45"/>
        <v>17.500000000000021</v>
      </c>
      <c r="AG222" s="1">
        <f t="shared" si="46"/>
        <v>0.12732997815336144</v>
      </c>
    </row>
    <row r="223" spans="2:33" ht="15" x14ac:dyDescent="0.25">
      <c r="B223" s="1">
        <v>212</v>
      </c>
      <c r="C223" s="1">
        <v>1.0002684036458527</v>
      </c>
      <c r="D223" s="1">
        <v>1.1472436249670115</v>
      </c>
      <c r="E223" s="1">
        <v>0.87101905244024103</v>
      </c>
      <c r="G223" s="1">
        <v>0.99885962900896752</v>
      </c>
      <c r="H223" s="1">
        <v>3.2976212353503338</v>
      </c>
      <c r="I223" s="1">
        <v>0.27348927522990529</v>
      </c>
      <c r="K223" s="1">
        <v>1.0008459078867449</v>
      </c>
      <c r="L223" s="1">
        <v>3.2578196845213032</v>
      </c>
      <c r="M223" s="1">
        <v>0.27412316884757842</v>
      </c>
      <c r="O223" s="1">
        <v>6.2470197903579236E-3</v>
      </c>
      <c r="P223" s="1">
        <v>0.89550809641781037</v>
      </c>
      <c r="R223" s="1">
        <v>0.15197834726225024</v>
      </c>
      <c r="S223" s="2">
        <f t="shared" si="48"/>
        <v>0.53554708751403379</v>
      </c>
      <c r="T223" s="4">
        <f t="shared" si="49"/>
        <v>0.28681068294476419</v>
      </c>
      <c r="U223" s="1">
        <f t="shared" si="41"/>
        <v>0.11183241380005704</v>
      </c>
      <c r="V223" s="6">
        <f>2*sigma/alpha*corel*(B223/12-1/alpha*(1-EXP(-alpha*Output!B223/12)))</f>
        <v>0.62485128910372612</v>
      </c>
      <c r="W223" s="5">
        <f t="shared" si="50"/>
        <v>-0.17497826914470715</v>
      </c>
      <c r="X223" s="1">
        <f t="shared" si="51"/>
        <v>12.755570153053894</v>
      </c>
      <c r="Y223" s="3">
        <f t="shared" si="52"/>
        <v>8.3395551436891285E-2</v>
      </c>
      <c r="Z223" s="1">
        <f t="shared" si="42"/>
        <v>0.12741494009392146</v>
      </c>
      <c r="AA223" s="8">
        <f t="shared" si="47"/>
        <v>17.583333333333353</v>
      </c>
      <c r="AB223" s="1">
        <v>17.670000000000002</v>
      </c>
      <c r="AC223" s="1">
        <v>6.2844036850000003E-3</v>
      </c>
      <c r="AD223" s="8">
        <f t="shared" si="43"/>
        <v>0.37383894642076776</v>
      </c>
      <c r="AE223" s="3">
        <f t="shared" si="44"/>
        <v>5.9486781110683496E-3</v>
      </c>
      <c r="AF223" s="11">
        <f t="shared" si="45"/>
        <v>17.583333333333353</v>
      </c>
      <c r="AG223" s="1">
        <f t="shared" si="46"/>
        <v>0.12741494009392146</v>
      </c>
    </row>
    <row r="224" spans="2:33" ht="15" x14ac:dyDescent="0.25">
      <c r="B224" s="1">
        <v>213</v>
      </c>
      <c r="C224" s="1">
        <v>1.0002688363531742</v>
      </c>
      <c r="D224" s="1">
        <v>1.1457891292528772</v>
      </c>
      <c r="E224" s="1">
        <v>0.87212308161422525</v>
      </c>
      <c r="G224" s="1">
        <v>0.9987122163588541</v>
      </c>
      <c r="H224" s="1">
        <v>3.2577296927254031</v>
      </c>
      <c r="I224" s="1">
        <v>0.27670410459671807</v>
      </c>
      <c r="K224" s="1">
        <v>1.0007101929276454</v>
      </c>
      <c r="L224" s="1">
        <v>3.2841749004280851</v>
      </c>
      <c r="M224" s="1">
        <v>0.27177946865319169</v>
      </c>
      <c r="O224" s="1">
        <v>6.2708731845483381E-3</v>
      </c>
      <c r="P224" s="1">
        <v>0.89466315111037864</v>
      </c>
      <c r="R224" s="1">
        <v>0.15229582371925701</v>
      </c>
      <c r="S224" s="2">
        <f t="shared" si="48"/>
        <v>0.53768159439164509</v>
      </c>
      <c r="T224" s="4">
        <f t="shared" si="49"/>
        <v>0.28910149694754156</v>
      </c>
      <c r="U224" s="1">
        <f t="shared" si="41"/>
        <v>0.11317404136470621</v>
      </c>
      <c r="V224" s="6">
        <f>2*sigma/alpha*corel*(B224/12-1/alpha*(1-EXP(-alpha*Output!B224/12)))</f>
        <v>0.63013811706551603</v>
      </c>
      <c r="W224" s="5">
        <f t="shared" si="50"/>
        <v>-0.17592745558283535</v>
      </c>
      <c r="X224" s="1">
        <f t="shared" si="51"/>
        <v>12.887923392960184</v>
      </c>
      <c r="Y224" s="3">
        <f t="shared" si="52"/>
        <v>8.3375698190689143E-2</v>
      </c>
      <c r="Z224" s="1">
        <f t="shared" si="42"/>
        <v>0.12762213083448629</v>
      </c>
      <c r="AA224" s="8">
        <f t="shared" si="47"/>
        <v>17.666666666666686</v>
      </c>
      <c r="AB224" s="1">
        <v>17.75</v>
      </c>
      <c r="AC224" s="1">
        <v>6.3090379599999996E-3</v>
      </c>
      <c r="AD224" s="8">
        <f t="shared" si="43"/>
        <v>0.3816477545166147</v>
      </c>
      <c r="AE224" s="3">
        <f t="shared" si="44"/>
        <v>6.0492226697050136E-3</v>
      </c>
      <c r="AF224" s="11">
        <f t="shared" si="45"/>
        <v>17.666666666666686</v>
      </c>
      <c r="AG224" s="1">
        <f t="shared" si="46"/>
        <v>0.12762213083448629</v>
      </c>
    </row>
    <row r="225" spans="2:33" ht="15" x14ac:dyDescent="0.25">
      <c r="B225" s="1">
        <v>214</v>
      </c>
      <c r="C225" s="1">
        <v>1.0002717231951619</v>
      </c>
      <c r="D225" s="1">
        <v>1.1475870398732797</v>
      </c>
      <c r="E225" s="1">
        <v>0.87075507757088433</v>
      </c>
      <c r="G225" s="1">
        <v>0.9987558034852404</v>
      </c>
      <c r="H225" s="1">
        <v>3.3010708778711866</v>
      </c>
      <c r="I225" s="1">
        <v>0.27293886413563356</v>
      </c>
      <c r="K225" s="1">
        <v>1.0005710600775823</v>
      </c>
      <c r="L225" s="1">
        <v>3.3677625747944719</v>
      </c>
      <c r="M225" s="1">
        <v>0.26490512990743137</v>
      </c>
      <c r="O225" s="1">
        <v>6.2946491143476228E-3</v>
      </c>
      <c r="P225" s="1">
        <v>0.89381668437196427</v>
      </c>
      <c r="R225" s="1">
        <v>0.1526984327400826</v>
      </c>
      <c r="S225" s="2">
        <f t="shared" si="48"/>
        <v>0.54005971183466106</v>
      </c>
      <c r="T225" s="4">
        <f t="shared" si="49"/>
        <v>0.29166449234693714</v>
      </c>
      <c r="U225" s="1">
        <f t="shared" si="41"/>
        <v>0.11452434704534697</v>
      </c>
      <c r="V225" s="6">
        <f>2*sigma/alpha*corel*(B225/12-1/alpha*(1-EXP(-alpha*Output!B225/12)))</f>
        <v>0.63544201602219097</v>
      </c>
      <c r="W225" s="5">
        <f t="shared" si="50"/>
        <v>-0.17714014530159017</v>
      </c>
      <c r="X225" s="1">
        <f t="shared" si="51"/>
        <v>13.039783587239778</v>
      </c>
      <c r="Y225" s="3">
        <f t="shared" si="52"/>
        <v>8.3428655212751529E-2</v>
      </c>
      <c r="Z225" s="1">
        <f t="shared" si="42"/>
        <v>0.12788673997895589</v>
      </c>
      <c r="AA225" s="8">
        <f t="shared" si="47"/>
        <v>17.750000000000018</v>
      </c>
      <c r="AB225" s="1">
        <v>17.829999999999998</v>
      </c>
      <c r="AC225" s="1">
        <v>6.3335718699999996E-3</v>
      </c>
      <c r="AD225" s="8">
        <f t="shared" si="43"/>
        <v>0.38922755652376873</v>
      </c>
      <c r="AE225" s="3">
        <f t="shared" si="44"/>
        <v>6.1454667999807314E-3</v>
      </c>
      <c r="AF225" s="11">
        <f t="shared" si="45"/>
        <v>17.750000000000018</v>
      </c>
      <c r="AG225" s="1">
        <f t="shared" si="46"/>
        <v>0.12788673997895589</v>
      </c>
    </row>
    <row r="226" spans="2:33" ht="15" x14ac:dyDescent="0.25">
      <c r="B226" s="1">
        <v>215</v>
      </c>
      <c r="C226" s="1">
        <v>1.0002740925582816</v>
      </c>
      <c r="D226" s="1">
        <v>1.1449374265638304</v>
      </c>
      <c r="E226" s="1">
        <v>0.87276851849024628</v>
      </c>
      <c r="G226" s="1">
        <v>0.99876380220787142</v>
      </c>
      <c r="H226" s="1">
        <v>3.2309067992829608</v>
      </c>
      <c r="I226" s="1">
        <v>0.27873107197184654</v>
      </c>
      <c r="K226" s="1">
        <v>1.0004524768117786</v>
      </c>
      <c r="L226" s="1">
        <v>3.3130055583808526</v>
      </c>
      <c r="M226" s="1">
        <v>0.26914564637340782</v>
      </c>
      <c r="O226" s="1">
        <v>6.318308365349622E-3</v>
      </c>
      <c r="P226" s="1">
        <v>0.89296934671734352</v>
      </c>
      <c r="R226" s="1">
        <v>0.15301774232717172</v>
      </c>
      <c r="S226" s="2">
        <f t="shared" si="48"/>
        <v>0.54220747045716111</v>
      </c>
      <c r="T226" s="4">
        <f t="shared" si="49"/>
        <v>0.29398894101955325</v>
      </c>
      <c r="U226" s="1">
        <f t="shared" si="41"/>
        <v>0.11588332979982763</v>
      </c>
      <c r="V226" s="6">
        <f>2*sigma/alpha*corel*(B226/12-1/alpha*(1-EXP(-alpha*Output!B226/12)))</f>
        <v>0.64076292916516819</v>
      </c>
      <c r="W226" s="5">
        <f t="shared" si="50"/>
        <v>-0.17810561121972562</v>
      </c>
      <c r="X226" s="1">
        <f t="shared" si="51"/>
        <v>13.17481260213933</v>
      </c>
      <c r="Y226" s="3">
        <f t="shared" si="52"/>
        <v>8.3412545276669997E-2</v>
      </c>
      <c r="Z226" s="1">
        <f t="shared" si="42"/>
        <v>0.12809638980143473</v>
      </c>
      <c r="AA226" s="8">
        <f t="shared" si="47"/>
        <v>17.83333333333335</v>
      </c>
      <c r="AB226" s="1">
        <v>17.920000000000002</v>
      </c>
      <c r="AC226" s="1">
        <v>6.3580085399999996E-3</v>
      </c>
      <c r="AD226" s="8">
        <f t="shared" si="43"/>
        <v>0.39700174650377645</v>
      </c>
      <c r="AE226" s="3">
        <f t="shared" si="44"/>
        <v>6.2441210011928748E-3</v>
      </c>
      <c r="AF226" s="11">
        <f t="shared" si="45"/>
        <v>17.83333333333335</v>
      </c>
      <c r="AG226" s="1">
        <f t="shared" si="46"/>
        <v>0.12809638980143473</v>
      </c>
    </row>
    <row r="227" spans="2:33" ht="15" x14ac:dyDescent="0.25">
      <c r="B227" s="1">
        <v>216</v>
      </c>
      <c r="C227" s="1">
        <v>1.0002760362570022</v>
      </c>
      <c r="D227" s="1">
        <v>1.1430122585933904</v>
      </c>
      <c r="E227" s="1">
        <v>0.87423685767386927</v>
      </c>
      <c r="G227" s="1">
        <v>0.99873602269053185</v>
      </c>
      <c r="H227" s="1">
        <v>3.1832745444782797</v>
      </c>
      <c r="I227" s="1">
        <v>0.28276477705256059</v>
      </c>
      <c r="K227" s="1">
        <v>1.0003952384518897</v>
      </c>
      <c r="L227" s="1">
        <v>3.1943171711457601</v>
      </c>
      <c r="M227" s="1">
        <v>0.27898169600682204</v>
      </c>
      <c r="O227" s="1">
        <v>6.3419114028819322E-3</v>
      </c>
      <c r="P227" s="1">
        <v>0.89212019720359848</v>
      </c>
      <c r="R227" s="1">
        <v>0.15337125955161515</v>
      </c>
      <c r="S227" s="2">
        <f t="shared" si="48"/>
        <v>0.5444564126087108</v>
      </c>
      <c r="T227" s="4">
        <f t="shared" si="49"/>
        <v>0.29643278523074673</v>
      </c>
      <c r="U227" s="1">
        <f t="shared" si="41"/>
        <v>0.11725098840450388</v>
      </c>
      <c r="V227" s="6">
        <f>2*sigma/alpha*corel*(B227/12-1/alpha*(1-EXP(-alpha*Output!B227/12)))</f>
        <v>0.64610079987491131</v>
      </c>
      <c r="W227" s="5">
        <f t="shared" si="50"/>
        <v>-0.17918179682624286</v>
      </c>
      <c r="X227" s="1">
        <f t="shared" si="51"/>
        <v>13.318535615088486</v>
      </c>
      <c r="Y227" s="3">
        <f t="shared" si="52"/>
        <v>8.3426558147019034E-2</v>
      </c>
      <c r="Z227" s="1">
        <f t="shared" si="42"/>
        <v>0.12832960713870678</v>
      </c>
      <c r="AA227" s="8">
        <f t="shared" si="47"/>
        <v>17.916666666666682</v>
      </c>
      <c r="AB227" s="1">
        <v>18</v>
      </c>
      <c r="AC227" s="1">
        <v>6.3823510920000001E-3</v>
      </c>
      <c r="AD227" s="8">
        <f t="shared" si="43"/>
        <v>0.40439689118067917</v>
      </c>
      <c r="AE227" s="3">
        <f t="shared" si="44"/>
        <v>6.3361743243422171E-3</v>
      </c>
      <c r="AF227" s="11">
        <f t="shared" si="45"/>
        <v>17.916666666666682</v>
      </c>
      <c r="AG227" s="1">
        <f t="shared" si="46"/>
        <v>0.12832960713870678</v>
      </c>
    </row>
    <row r="228" spans="2:33" ht="15" x14ac:dyDescent="0.25">
      <c r="B228" s="1">
        <v>217</v>
      </c>
      <c r="C228" s="1">
        <v>1.0002784908133759</v>
      </c>
      <c r="D228" s="1">
        <v>1.1452625926758175</v>
      </c>
      <c r="E228" s="1">
        <v>0.87251741154766582</v>
      </c>
      <c r="G228" s="1">
        <v>0.99876385392580791</v>
      </c>
      <c r="H228" s="1">
        <v>3.226105557845345</v>
      </c>
      <c r="I228" s="1">
        <v>0.27887554300946754</v>
      </c>
      <c r="K228" s="1">
        <v>1.0004545896231729</v>
      </c>
      <c r="L228" s="1">
        <v>3.2139183470770853</v>
      </c>
      <c r="M228" s="1">
        <v>0.27714706629841929</v>
      </c>
      <c r="O228" s="1">
        <v>6.3653957319046786E-3</v>
      </c>
      <c r="P228" s="1">
        <v>0.89127026229553818</v>
      </c>
      <c r="R228" s="1">
        <v>0.15399268759689205</v>
      </c>
      <c r="S228" s="2">
        <f t="shared" si="48"/>
        <v>0.54746390615031904</v>
      </c>
      <c r="T228" s="4">
        <f t="shared" si="49"/>
        <v>0.29971672853736531</v>
      </c>
      <c r="U228" s="1">
        <f t="shared" si="41"/>
        <v>0.11862732145607113</v>
      </c>
      <c r="V228" s="6">
        <f>2*sigma/alpha*corel*(B228/12-1/alpha*(1-EXP(-alpha*Output!B228/12)))</f>
        <v>0.65145557172030255</v>
      </c>
      <c r="W228" s="5">
        <f t="shared" si="50"/>
        <v>-0.18108940708129417</v>
      </c>
      <c r="X228" s="1">
        <f t="shared" si="51"/>
        <v>13.52319480747237</v>
      </c>
      <c r="Y228" s="3">
        <f t="shared" si="52"/>
        <v>8.3666380681993224E-2</v>
      </c>
      <c r="Z228" s="1">
        <f t="shared" si="42"/>
        <v>0.12874081314722316</v>
      </c>
      <c r="AA228" s="8">
        <f t="shared" si="47"/>
        <v>18.000000000000014</v>
      </c>
      <c r="AB228" s="1">
        <v>18.079999999999998</v>
      </c>
      <c r="AC228" s="1">
        <v>6.40660265E-3</v>
      </c>
      <c r="AD228" s="8">
        <f t="shared" si="43"/>
        <v>0.41206918095321349</v>
      </c>
      <c r="AE228" s="3">
        <f t="shared" si="44"/>
        <v>6.4319453455290148E-3</v>
      </c>
      <c r="AF228" s="11">
        <f t="shared" si="45"/>
        <v>18.000000000000014</v>
      </c>
      <c r="AG228" s="1">
        <f t="shared" si="46"/>
        <v>0.12874081314722316</v>
      </c>
    </row>
    <row r="229" spans="2:33" ht="15" x14ac:dyDescent="0.25">
      <c r="B229" s="1">
        <v>218</v>
      </c>
      <c r="C229" s="1">
        <v>1.0002801895332891</v>
      </c>
      <c r="D229" s="1">
        <v>1.141530059796646</v>
      </c>
      <c r="E229" s="1">
        <v>0.87536868223345166</v>
      </c>
      <c r="G229" s="1">
        <v>0.99872635664050591</v>
      </c>
      <c r="H229" s="1">
        <v>3.1442010189087486</v>
      </c>
      <c r="I229" s="1">
        <v>0.28600149204821462</v>
      </c>
      <c r="K229" s="1">
        <v>1.0003356892170603</v>
      </c>
      <c r="L229" s="1">
        <v>3.292615701510762</v>
      </c>
      <c r="M229" s="1">
        <v>0.27038032115653449</v>
      </c>
      <c r="O229" s="1">
        <v>6.3889166694678576E-3</v>
      </c>
      <c r="P229" s="1">
        <v>0.89041705980490615</v>
      </c>
      <c r="R229" s="1">
        <v>0.15426988601631211</v>
      </c>
      <c r="S229" s="2">
        <f t="shared" si="48"/>
        <v>0.54950913548953806</v>
      </c>
      <c r="T229" s="4">
        <f t="shared" si="49"/>
        <v>0.30196028998645952</v>
      </c>
      <c r="U229" s="1">
        <f t="shared" si="41"/>
        <v>0.12001232737338396</v>
      </c>
      <c r="V229" s="6">
        <f>2*sigma/alpha*corel*(B229/12-1/alpha*(1-EXP(-alpha*Output!B229/12)))</f>
        <v>0.65682718845801369</v>
      </c>
      <c r="W229" s="5">
        <f t="shared" si="50"/>
        <v>-0.18194796261307555</v>
      </c>
      <c r="X229" s="1">
        <f t="shared" si="51"/>
        <v>13.652973905381149</v>
      </c>
      <c r="Y229" s="3">
        <f t="shared" si="52"/>
        <v>8.3619244885707045E-2</v>
      </c>
      <c r="Z229" s="1">
        <f t="shared" si="42"/>
        <v>0.12892504542835809</v>
      </c>
      <c r="AA229" s="8">
        <f t="shared" si="47"/>
        <v>18.083333333333346</v>
      </c>
      <c r="AB229" s="1">
        <v>18.170000000000002</v>
      </c>
      <c r="AC229" s="1">
        <v>6.4307747450000003E-3</v>
      </c>
      <c r="AD229" s="8">
        <f t="shared" si="43"/>
        <v>0.41858075532142691</v>
      </c>
      <c r="AE229" s="3">
        <f t="shared" si="44"/>
        <v>6.5090253028513888E-3</v>
      </c>
      <c r="AF229" s="11">
        <f t="shared" si="45"/>
        <v>18.083333333333346</v>
      </c>
      <c r="AG229" s="1">
        <f t="shared" si="46"/>
        <v>0.12892504542835809</v>
      </c>
    </row>
    <row r="230" spans="2:33" ht="15" x14ac:dyDescent="0.25">
      <c r="B230" s="1">
        <v>219</v>
      </c>
      <c r="C230" s="1">
        <v>1.0002804200139122</v>
      </c>
      <c r="D230" s="1">
        <v>1.1405362213772701</v>
      </c>
      <c r="E230" s="1">
        <v>0.87612980687005215</v>
      </c>
      <c r="G230" s="1">
        <v>0.99858062503341316</v>
      </c>
      <c r="H230" s="1">
        <v>3.1180508045080386</v>
      </c>
      <c r="I230" s="1">
        <v>0.28826042399078983</v>
      </c>
      <c r="K230" s="1">
        <v>1.000238069748713</v>
      </c>
      <c r="L230" s="1">
        <v>3.1405413457887512</v>
      </c>
      <c r="M230" s="1">
        <v>0.28330461627798204</v>
      </c>
      <c r="O230" s="1">
        <v>6.4124587078602134E-3</v>
      </c>
      <c r="P230" s="1">
        <v>0.88956084428807647</v>
      </c>
      <c r="R230" s="1">
        <v>0.1545158219782122</v>
      </c>
      <c r="S230" s="2">
        <f t="shared" si="48"/>
        <v>0.55147259634644707</v>
      </c>
      <c r="T230" s="4">
        <f t="shared" si="49"/>
        <v>0.30412202452109133</v>
      </c>
      <c r="U230" s="1">
        <f t="shared" si="41"/>
        <v>0.12140600439925864</v>
      </c>
      <c r="V230" s="6">
        <f>2*sigma/alpha*corel*(B230/12-1/alpha*(1-EXP(-alpha*Output!B230/12)))</f>
        <v>0.66221559403188279</v>
      </c>
      <c r="W230" s="5">
        <f t="shared" si="50"/>
        <v>-0.18271602012183269</v>
      </c>
      <c r="X230" s="1">
        <f t="shared" si="51"/>
        <v>13.776798961872785</v>
      </c>
      <c r="Y230" s="3">
        <f t="shared" si="52"/>
        <v>8.3547820870820078E-2</v>
      </c>
      <c r="Z230" s="1">
        <f t="shared" si="42"/>
        <v>0.12908997064723363</v>
      </c>
      <c r="AA230" s="8">
        <f t="shared" si="47"/>
        <v>18.166666666666679</v>
      </c>
      <c r="AB230" s="1">
        <v>18.25</v>
      </c>
      <c r="AC230" s="1">
        <v>6.4549125499999997E-3</v>
      </c>
      <c r="AD230" s="8">
        <f t="shared" si="43"/>
        <v>0.42453842139786313</v>
      </c>
      <c r="AE230" s="3">
        <f t="shared" si="44"/>
        <v>6.576981765583534E-3</v>
      </c>
      <c r="AF230" s="11">
        <f t="shared" si="45"/>
        <v>18.166666666666679</v>
      </c>
      <c r="AG230" s="1">
        <f t="shared" si="46"/>
        <v>0.12908997064723363</v>
      </c>
    </row>
    <row r="231" spans="2:33" ht="15" x14ac:dyDescent="0.25">
      <c r="B231" s="1">
        <v>220</v>
      </c>
      <c r="C231" s="1">
        <v>1.0002785022873111</v>
      </c>
      <c r="D231" s="1">
        <v>1.1390016756606245</v>
      </c>
      <c r="E231" s="1">
        <v>0.87730854116275414</v>
      </c>
      <c r="G231" s="1">
        <v>0.99826186930168792</v>
      </c>
      <c r="H231" s="1">
        <v>3.0541021353752318</v>
      </c>
      <c r="I231" s="1">
        <v>0.2941536634980787</v>
      </c>
      <c r="K231" s="1">
        <v>1.0002334585848809</v>
      </c>
      <c r="L231" s="1">
        <v>3.1056595562028408</v>
      </c>
      <c r="M231" s="1">
        <v>0.28634887888113175</v>
      </c>
      <c r="O231" s="1">
        <v>6.4361059358627425E-3</v>
      </c>
      <c r="P231" s="1">
        <v>0.88870025127719721</v>
      </c>
      <c r="R231" s="1">
        <v>0.15482537287237205</v>
      </c>
      <c r="S231" s="2">
        <f t="shared" si="48"/>
        <v>0.55362423199265409</v>
      </c>
      <c r="T231" s="4">
        <f t="shared" si="49"/>
        <v>0.30649979024945606</v>
      </c>
      <c r="U231" s="1">
        <f t="shared" si="41"/>
        <v>0.1228083506022668</v>
      </c>
      <c r="V231" s="6">
        <f>2*sigma/alpha*corel*(B231/12-1/alpha*(1-EXP(-alpha*Output!B231/12)))</f>
        <v>0.66762073257228938</v>
      </c>
      <c r="W231" s="5">
        <f t="shared" si="50"/>
        <v>-0.18369143964718926</v>
      </c>
      <c r="X231" s="1">
        <f t="shared" si="51"/>
        <v>13.916423016687574</v>
      </c>
      <c r="Y231" s="3">
        <f t="shared" si="52"/>
        <v>8.35323134122683E-2</v>
      </c>
      <c r="Z231" s="1">
        <f t="shared" si="42"/>
        <v>0.1292987640205546</v>
      </c>
      <c r="AA231" s="8">
        <f t="shared" si="47"/>
        <v>18.250000000000011</v>
      </c>
      <c r="AB231" s="1">
        <v>18.329999999999998</v>
      </c>
      <c r="AC231" s="1">
        <v>6.4790696439999997E-3</v>
      </c>
      <c r="AD231" s="8">
        <f t="shared" si="43"/>
        <v>0.42963708137257195</v>
      </c>
      <c r="AE231" s="3">
        <f t="shared" si="44"/>
        <v>6.63115393072586E-3</v>
      </c>
      <c r="AF231" s="11">
        <f t="shared" si="45"/>
        <v>18.250000000000011</v>
      </c>
      <c r="AG231" s="1">
        <f t="shared" si="46"/>
        <v>0.1292987640205546</v>
      </c>
    </row>
    <row r="232" spans="2:33" ht="15" x14ac:dyDescent="0.25">
      <c r="B232" s="1">
        <v>221</v>
      </c>
      <c r="C232" s="1">
        <v>1.0002813619144</v>
      </c>
      <c r="D232" s="1">
        <v>1.1416713016296027</v>
      </c>
      <c r="E232" s="1">
        <v>0.87525544297071134</v>
      </c>
      <c r="G232" s="1">
        <v>0.99832553942166269</v>
      </c>
      <c r="H232" s="1">
        <v>3.1414208885800576</v>
      </c>
      <c r="I232" s="1">
        <v>0.28583888271149394</v>
      </c>
      <c r="K232" s="1">
        <v>1.0003013934562357</v>
      </c>
      <c r="L232" s="1">
        <v>3.0983857751652661</v>
      </c>
      <c r="M232" s="1">
        <v>0.28687394002830424</v>
      </c>
      <c r="O232" s="1">
        <v>6.4597566401705265E-3</v>
      </c>
      <c r="P232" s="1">
        <v>0.88783693483956072</v>
      </c>
      <c r="R232" s="1">
        <v>0.15517460855796134</v>
      </c>
      <c r="S232" s="2">
        <f t="shared" si="48"/>
        <v>0.55589444406569366</v>
      </c>
      <c r="T232" s="4">
        <f t="shared" si="49"/>
        <v>0.30901863294310661</v>
      </c>
      <c r="U232" s="1">
        <f t="shared" si="41"/>
        <v>0.12421936387850874</v>
      </c>
      <c r="V232" s="6">
        <f>2*sigma/alpha*corel*(B232/12-1/alpha*(1-EXP(-alpha*Output!B232/12)))</f>
        <v>0.67304254839553779</v>
      </c>
      <c r="W232" s="5">
        <f t="shared" si="50"/>
        <v>-0.18479926906459787</v>
      </c>
      <c r="X232" s="1">
        <f t="shared" si="51"/>
        <v>14.066532426376137</v>
      </c>
      <c r="Y232" s="3">
        <f t="shared" si="52"/>
        <v>8.3551902350682911E-2</v>
      </c>
      <c r="Z232" s="1">
        <f t="shared" si="42"/>
        <v>0.12953490759831315</v>
      </c>
      <c r="AA232" s="8">
        <f t="shared" si="47"/>
        <v>18.333333333333343</v>
      </c>
      <c r="AB232" s="1">
        <v>18.420000000000002</v>
      </c>
      <c r="AC232" s="1">
        <v>6.5032996079999999E-3</v>
      </c>
      <c r="AD232" s="8">
        <f t="shared" si="43"/>
        <v>0.43542967829473395</v>
      </c>
      <c r="AE232" s="3">
        <f t="shared" si="44"/>
        <v>6.6955192677743526E-3</v>
      </c>
      <c r="AF232" s="11">
        <f t="shared" si="45"/>
        <v>18.333333333333343</v>
      </c>
      <c r="AG232" s="1">
        <f t="shared" si="46"/>
        <v>0.12953490759831315</v>
      </c>
    </row>
    <row r="233" spans="2:33" ht="15" x14ac:dyDescent="0.25">
      <c r="B233" s="1">
        <v>222</v>
      </c>
      <c r="C233" s="1">
        <v>1.0002858585581174</v>
      </c>
      <c r="D233" s="1">
        <v>1.1453175848437804</v>
      </c>
      <c r="E233" s="1">
        <v>0.87246730498927327</v>
      </c>
      <c r="G233" s="1">
        <v>0.9985171754994473</v>
      </c>
      <c r="H233" s="1">
        <v>3.2321589834745734</v>
      </c>
      <c r="I233" s="1">
        <v>0.27767983150305969</v>
      </c>
      <c r="K233" s="1">
        <v>1.0002579620246923</v>
      </c>
      <c r="L233" s="1">
        <v>3.1187137755635757</v>
      </c>
      <c r="M233" s="1">
        <v>0.28483760088985277</v>
      </c>
      <c r="O233" s="1">
        <v>6.4835854103743647E-3</v>
      </c>
      <c r="P233" s="1">
        <v>0.88696803893285714</v>
      </c>
      <c r="R233" s="1">
        <v>0.15536479705356246</v>
      </c>
      <c r="S233" s="2">
        <f t="shared" si="48"/>
        <v>0.5577250623068406</v>
      </c>
      <c r="T233" s="4">
        <f t="shared" si="49"/>
        <v>0.31105724512516925</v>
      </c>
      <c r="U233" s="1">
        <f t="shared" si="41"/>
        <v>0.12563904195337861</v>
      </c>
      <c r="V233" s="6">
        <f>2*sigma/alpha*corel*(B233/12-1/alpha*(1-EXP(-alpha*Output!B233/12)))</f>
        <v>0.67848098600323237</v>
      </c>
      <c r="W233" s="5">
        <f t="shared" si="50"/>
        <v>-0.18541820317179064</v>
      </c>
      <c r="X233" s="1">
        <f t="shared" si="51"/>
        <v>14.181283483080426</v>
      </c>
      <c r="Y233" s="3">
        <f t="shared" si="52"/>
        <v>8.344117587762942E-2</v>
      </c>
      <c r="Z233" s="1">
        <f t="shared" si="42"/>
        <v>0.1296684431228394</v>
      </c>
      <c r="AA233" s="8">
        <f t="shared" si="47"/>
        <v>18.416666666666675</v>
      </c>
      <c r="AB233" s="1">
        <v>18.5</v>
      </c>
      <c r="AC233" s="1">
        <v>6.5276560219999996E-3</v>
      </c>
      <c r="AD233" s="8">
        <f t="shared" si="43"/>
        <v>0.44070611625634909</v>
      </c>
      <c r="AE233" s="3">
        <f t="shared" si="44"/>
        <v>6.751368558193754E-3</v>
      </c>
      <c r="AF233" s="11">
        <f t="shared" si="45"/>
        <v>18.416666666666675</v>
      </c>
      <c r="AG233" s="1">
        <f t="shared" si="46"/>
        <v>0.1296684431228394</v>
      </c>
    </row>
    <row r="234" spans="2:33" ht="15" x14ac:dyDescent="0.25">
      <c r="B234" s="1">
        <v>223</v>
      </c>
      <c r="C234" s="1">
        <v>1.0002892946746709</v>
      </c>
      <c r="D234" s="1">
        <v>1.1438241403435989</v>
      </c>
      <c r="E234" s="1">
        <v>0.87360481452950955</v>
      </c>
      <c r="G234" s="1">
        <v>0.99862921759360801</v>
      </c>
      <c r="H234" s="1">
        <v>3.1910436552294708</v>
      </c>
      <c r="I234" s="1">
        <v>0.28112141478457126</v>
      </c>
      <c r="K234" s="1">
        <v>1.0003166999436035</v>
      </c>
      <c r="L234" s="1">
        <v>3.1957805363442007</v>
      </c>
      <c r="M234" s="1">
        <v>0.27782975841693558</v>
      </c>
      <c r="O234" s="1">
        <v>6.5077249741137613E-3</v>
      </c>
      <c r="P234" s="1">
        <v>0.8860913565737395</v>
      </c>
      <c r="R234" s="1">
        <v>0.15573432583371849</v>
      </c>
      <c r="S234" s="2">
        <f t="shared" si="48"/>
        <v>0.56007728789302469</v>
      </c>
      <c r="T234" s="4">
        <f t="shared" si="49"/>
        <v>0.31368656841360604</v>
      </c>
      <c r="U234" s="1">
        <f t="shared" si="41"/>
        <v>0.1270673823833115</v>
      </c>
      <c r="V234" s="6">
        <f>2*sigma/alpha*corel*(B234/12-1/alpha*(1-EXP(-alpha*Output!B234/12)))</f>
        <v>0.68393599008166639</v>
      </c>
      <c r="W234" s="5">
        <f t="shared" si="50"/>
        <v>-0.18661918603029454</v>
      </c>
      <c r="X234" s="1">
        <f t="shared" si="51"/>
        <v>14.339794600114216</v>
      </c>
      <c r="Y234" s="3">
        <f t="shared" si="52"/>
        <v>8.3484918435941857E-2</v>
      </c>
      <c r="Z234" s="1">
        <f t="shared" si="42"/>
        <v>0.12992303380401715</v>
      </c>
      <c r="AA234" s="8">
        <f t="shared" si="47"/>
        <v>18.500000000000007</v>
      </c>
      <c r="AB234" s="1">
        <v>18.579999999999998</v>
      </c>
      <c r="AC234" s="1">
        <v>6.5521924670000004E-3</v>
      </c>
      <c r="AD234" s="8">
        <f t="shared" si="43"/>
        <v>0.44467492886239057</v>
      </c>
      <c r="AE234" s="3">
        <f t="shared" si="44"/>
        <v>6.7866585284542215E-3</v>
      </c>
      <c r="AF234" s="11">
        <f t="shared" si="45"/>
        <v>18.500000000000007</v>
      </c>
      <c r="AG234" s="1">
        <f t="shared" si="46"/>
        <v>0.12992303380401715</v>
      </c>
    </row>
    <row r="235" spans="2:33" ht="15" x14ac:dyDescent="0.25">
      <c r="B235" s="1">
        <v>224</v>
      </c>
      <c r="C235" s="1">
        <v>1.0002920006454208</v>
      </c>
      <c r="D235" s="1">
        <v>1.1433617760265116</v>
      </c>
      <c r="E235" s="1">
        <v>0.87395645849745096</v>
      </c>
      <c r="G235" s="1">
        <v>0.99866868178159163</v>
      </c>
      <c r="H235" s="1">
        <v>3.1858298228401334</v>
      </c>
      <c r="I235" s="1">
        <v>0.28144512461596521</v>
      </c>
      <c r="K235" s="1">
        <v>1.0002831352055672</v>
      </c>
      <c r="L235" s="1">
        <v>3.1725523586107318</v>
      </c>
      <c r="M235" s="1">
        <v>0.27970487746799944</v>
      </c>
      <c r="O235" s="1">
        <v>6.5321888361162227E-3</v>
      </c>
      <c r="P235" s="1">
        <v>0.88520662061059752</v>
      </c>
      <c r="R235" s="1">
        <v>0.15612319711002587</v>
      </c>
      <c r="S235" s="2">
        <f t="shared" si="48"/>
        <v>0.5624991033163369</v>
      </c>
      <c r="T235" s="4">
        <f t="shared" si="49"/>
        <v>0.31640524123168307</v>
      </c>
      <c r="U235" s="1">
        <f t="shared" si="41"/>
        <v>0.1285043825575185</v>
      </c>
      <c r="V235" s="6">
        <f>2*sigma/alpha*corel*(B235/12-1/alpha*(1-EXP(-alpha*Output!B235/12)))</f>
        <v>0.68940750550120478</v>
      </c>
      <c r="W235" s="5">
        <f t="shared" si="50"/>
        <v>-0.18790085867416456</v>
      </c>
      <c r="X235" s="1">
        <f t="shared" si="51"/>
        <v>14.505213489645682</v>
      </c>
      <c r="Y235" s="3">
        <f t="shared" si="52"/>
        <v>8.3549023677748649E-2</v>
      </c>
      <c r="Z235" s="1">
        <f t="shared" si="42"/>
        <v>0.13019324398857543</v>
      </c>
      <c r="AA235" s="8">
        <f t="shared" si="47"/>
        <v>18.583333333333339</v>
      </c>
      <c r="AB235" s="1">
        <v>18.670000000000002</v>
      </c>
      <c r="AC235" s="1">
        <v>6.5769627009999998E-3</v>
      </c>
      <c r="AD235" s="8">
        <f t="shared" si="43"/>
        <v>0.44773864883777131</v>
      </c>
      <c r="AE235" s="3">
        <f t="shared" si="44"/>
        <v>6.8076811317432971E-3</v>
      </c>
      <c r="AF235" s="11">
        <f t="shared" si="45"/>
        <v>18.583333333333339</v>
      </c>
      <c r="AG235" s="1">
        <f t="shared" si="46"/>
        <v>0.13019324398857543</v>
      </c>
    </row>
    <row r="236" spans="2:33" ht="15" x14ac:dyDescent="0.25">
      <c r="B236" s="1">
        <v>225</v>
      </c>
      <c r="C236" s="1">
        <v>1.0002931932193526</v>
      </c>
      <c r="D236" s="1">
        <v>1.1459751091199761</v>
      </c>
      <c r="E236" s="1">
        <v>0.87196182229767161</v>
      </c>
      <c r="G236" s="1">
        <v>0.99859548771802542</v>
      </c>
      <c r="H236" s="1">
        <v>3.2519371023205963</v>
      </c>
      <c r="I236" s="1">
        <v>0.27559021817671991</v>
      </c>
      <c r="K236" s="1">
        <v>1.0002166406670367</v>
      </c>
      <c r="L236" s="1">
        <v>3.2535805045939608</v>
      </c>
      <c r="M236" s="1">
        <v>0.27260741066815253</v>
      </c>
      <c r="O236" s="1">
        <v>6.5570557994992628E-3</v>
      </c>
      <c r="P236" s="1">
        <v>0.88431247858668682</v>
      </c>
      <c r="R236" s="1">
        <v>0.15619466192823867</v>
      </c>
      <c r="S236" s="2">
        <f t="shared" si="48"/>
        <v>0.56403624172415978</v>
      </c>
      <c r="T236" s="4">
        <f t="shared" si="49"/>
        <v>0.3181368819783148</v>
      </c>
      <c r="U236" s="1">
        <f t="shared" si="41"/>
        <v>0.1299500396997102</v>
      </c>
      <c r="V236" s="6">
        <f>2*sigma/alpha*corel*(B236/12-1/alpha*(1-EXP(-alpha*Output!B236/12)))</f>
        <v>0.69489547731567081</v>
      </c>
      <c r="W236" s="5">
        <f t="shared" si="50"/>
        <v>-0.1881868422786046</v>
      </c>
      <c r="X236" s="1">
        <f t="shared" si="51"/>
        <v>14.59689289528912</v>
      </c>
      <c r="Y236" s="3">
        <f t="shared" si="52"/>
        <v>8.3351801405996739E-2</v>
      </c>
      <c r="Z236" s="1">
        <f t="shared" si="42"/>
        <v>0.13025859039685939</v>
      </c>
      <c r="AA236" s="8">
        <f t="shared" si="47"/>
        <v>18.666666666666671</v>
      </c>
      <c r="AB236" s="1">
        <v>18.75</v>
      </c>
      <c r="AC236" s="1">
        <v>6.6020211879999997E-3</v>
      </c>
      <c r="AD236" s="8">
        <f t="shared" si="43"/>
        <v>0.44965388500736897</v>
      </c>
      <c r="AE236" s="3">
        <f t="shared" si="44"/>
        <v>6.8108518922155407E-3</v>
      </c>
      <c r="AF236" s="11">
        <f t="shared" si="45"/>
        <v>18.666666666666671</v>
      </c>
      <c r="AG236" s="1">
        <f t="shared" si="46"/>
        <v>0.13025859039685939</v>
      </c>
    </row>
    <row r="237" spans="2:33" ht="15" x14ac:dyDescent="0.25">
      <c r="B237" s="1">
        <v>226</v>
      </c>
      <c r="C237" s="1">
        <v>1.0002955715367143</v>
      </c>
      <c r="D237" s="1">
        <v>1.1451951958346853</v>
      </c>
      <c r="E237" s="1">
        <v>0.8725540300792417</v>
      </c>
      <c r="G237" s="1">
        <v>0.99860947855619508</v>
      </c>
      <c r="H237" s="1">
        <v>3.2314856281644997</v>
      </c>
      <c r="I237" s="1">
        <v>0.27720007503150357</v>
      </c>
      <c r="K237" s="1">
        <v>1.0000849178686138</v>
      </c>
      <c r="L237" s="1">
        <v>3.2716733698137457</v>
      </c>
      <c r="M237" s="1">
        <v>0.27095849264992566</v>
      </c>
      <c r="O237" s="1">
        <v>6.582431819503823E-3</v>
      </c>
      <c r="P237" s="1">
        <v>0.88340710894191732</v>
      </c>
      <c r="R237" s="1">
        <v>0.1563761167751328</v>
      </c>
      <c r="S237" s="2">
        <f t="shared" si="48"/>
        <v>0.56590395547872641</v>
      </c>
      <c r="T237" s="4">
        <f t="shared" si="49"/>
        <v>0.32024728682646836</v>
      </c>
      <c r="U237" s="1">
        <f t="shared" si="41"/>
        <v>0.13140435086980284</v>
      </c>
      <c r="V237" s="6">
        <f>2*sigma/alpha*corel*(B237/12-1/alpha*(1-EXP(-alpha*Output!B237/12)))</f>
        <v>0.70039985076173816</v>
      </c>
      <c r="W237" s="5">
        <f t="shared" si="50"/>
        <v>-0.18884293595666551</v>
      </c>
      <c r="X237" s="1">
        <f t="shared" si="51"/>
        <v>14.716727793015867</v>
      </c>
      <c r="Y237" s="3">
        <f t="shared" si="52"/>
        <v>8.3252360315988913E-2</v>
      </c>
      <c r="Z237" s="1">
        <f t="shared" si="42"/>
        <v>0.13040046286900078</v>
      </c>
      <c r="AA237" s="8">
        <f t="shared" si="47"/>
        <v>18.750000000000004</v>
      </c>
      <c r="AB237" s="1">
        <v>18.829999999999998</v>
      </c>
      <c r="AC237" s="1">
        <v>6.6274225689999999E-3</v>
      </c>
      <c r="AD237" s="8">
        <f t="shared" si="43"/>
        <v>0.44990749496176885</v>
      </c>
      <c r="AE237" s="3">
        <f t="shared" si="44"/>
        <v>6.7885741444377911E-3</v>
      </c>
      <c r="AF237" s="11">
        <f t="shared" si="45"/>
        <v>18.750000000000004</v>
      </c>
      <c r="AG237" s="1">
        <f t="shared" si="46"/>
        <v>0.13040046286900078</v>
      </c>
    </row>
    <row r="238" spans="2:33" ht="15" x14ac:dyDescent="0.25">
      <c r="B238" s="1">
        <v>227</v>
      </c>
      <c r="C238" s="1">
        <v>1.0002975662487961</v>
      </c>
      <c r="D238" s="1">
        <v>1.143732554149822</v>
      </c>
      <c r="E238" s="1">
        <v>0.87366825553302829</v>
      </c>
      <c r="G238" s="1">
        <v>0.99860938467990368</v>
      </c>
      <c r="H238" s="1">
        <v>3.1796228122841521</v>
      </c>
      <c r="I238" s="1">
        <v>0.28158506013489842</v>
      </c>
      <c r="K238" s="1">
        <v>1.00007464478687</v>
      </c>
      <c r="L238" s="1">
        <v>3.236614672325846</v>
      </c>
      <c r="M238" s="1">
        <v>0.27372834354868336</v>
      </c>
      <c r="O238" s="1">
        <v>6.6082309575796905E-3</v>
      </c>
      <c r="P238" s="1">
        <v>0.88249187035372656</v>
      </c>
      <c r="R238" s="1">
        <v>0.1565233524358933</v>
      </c>
      <c r="S238" s="2">
        <f t="shared" si="48"/>
        <v>0.56769077331792794</v>
      </c>
      <c r="T238" s="4">
        <f t="shared" si="49"/>
        <v>0.32227281411030706</v>
      </c>
      <c r="U238" s="1">
        <f t="shared" si="41"/>
        <v>0.13286731296561571</v>
      </c>
      <c r="V238" s="6">
        <f>2*sigma/alpha*corel*(B238/12-1/alpha*(1-EXP(-alpha*Output!B238/12)))</f>
        <v>0.70592057125832097</v>
      </c>
      <c r="W238" s="5">
        <f t="shared" si="50"/>
        <v>-0.18940550114469135</v>
      </c>
      <c r="X238" s="1">
        <f t="shared" si="51"/>
        <v>14.830006772873986</v>
      </c>
      <c r="Y238" s="3">
        <f t="shared" si="52"/>
        <v>8.3129186191377005E-2</v>
      </c>
      <c r="Z238" s="1">
        <f t="shared" si="42"/>
        <v>0.13052374620356186</v>
      </c>
      <c r="AA238" s="8">
        <f t="shared" si="47"/>
        <v>18.833333333333336</v>
      </c>
      <c r="AB238" s="1">
        <v>18.920000000000002</v>
      </c>
      <c r="AC238" s="1">
        <v>6.6532214870000002E-3</v>
      </c>
      <c r="AD238" s="8">
        <f t="shared" si="43"/>
        <v>0.44990529420309633</v>
      </c>
      <c r="AE238" s="3">
        <f t="shared" si="44"/>
        <v>6.7622172970219696E-3</v>
      </c>
      <c r="AF238" s="11">
        <f t="shared" si="45"/>
        <v>18.833333333333336</v>
      </c>
      <c r="AG238" s="1">
        <f t="shared" si="46"/>
        <v>0.13052374620356186</v>
      </c>
    </row>
    <row r="239" spans="2:33" ht="15" x14ac:dyDescent="0.25">
      <c r="B239" s="1">
        <v>228</v>
      </c>
      <c r="C239" s="1">
        <v>1.000302819960909</v>
      </c>
      <c r="D239" s="1">
        <v>1.1470943947567276</v>
      </c>
      <c r="E239" s="1">
        <v>0.8711061399249489</v>
      </c>
      <c r="G239" s="1">
        <v>0.99885645217854457</v>
      </c>
      <c r="H239" s="1">
        <v>3.2787097741890889</v>
      </c>
      <c r="I239" s="1">
        <v>0.27294295106394106</v>
      </c>
      <c r="K239" s="1">
        <v>1.0000775512718365</v>
      </c>
      <c r="L239" s="1">
        <v>3.271078373823689</v>
      </c>
      <c r="M239" s="1">
        <v>0.27070947432443621</v>
      </c>
      <c r="O239" s="1">
        <v>6.6345187436228983E-3</v>
      </c>
      <c r="P239" s="1">
        <v>0.88156560456620381</v>
      </c>
      <c r="R239" s="1">
        <v>0.15683459064853653</v>
      </c>
      <c r="S239" s="2">
        <f t="shared" si="48"/>
        <v>0.56996293835347878</v>
      </c>
      <c r="T239" s="4">
        <f t="shared" si="49"/>
        <v>0.32485775109653142</v>
      </c>
      <c r="U239" s="1">
        <f t="shared" si="41"/>
        <v>0.13433892272454884</v>
      </c>
      <c r="V239" s="6">
        <f>2*sigma/alpha*corel*(B239/12-1/alpha*(1-EXP(-alpha*Output!B239/12)))</f>
        <v>0.71145758440596607</v>
      </c>
      <c r="W239" s="5">
        <f t="shared" si="50"/>
        <v>-0.19051882837198258</v>
      </c>
      <c r="X239" s="1">
        <f t="shared" si="51"/>
        <v>14.985602850679449</v>
      </c>
      <c r="Y239" s="3">
        <f t="shared" si="52"/>
        <v>8.3149122410820911E-2</v>
      </c>
      <c r="Z239" s="1">
        <f t="shared" si="42"/>
        <v>0.13075846578138509</v>
      </c>
      <c r="AA239" s="8">
        <f t="shared" si="47"/>
        <v>18.916666666666668</v>
      </c>
      <c r="AB239" s="1">
        <v>19</v>
      </c>
      <c r="AC239" s="1">
        <v>6.6794725839999999E-3</v>
      </c>
      <c r="AD239" s="8">
        <f t="shared" si="43"/>
        <v>0.44953840377101595</v>
      </c>
      <c r="AE239" s="3">
        <f t="shared" si="44"/>
        <v>6.730148198344877E-3</v>
      </c>
      <c r="AF239" s="11">
        <f t="shared" si="45"/>
        <v>18.916666666666668</v>
      </c>
      <c r="AG239" s="1">
        <f t="shared" si="46"/>
        <v>0.13075846578138509</v>
      </c>
    </row>
    <row r="240" spans="2:33" ht="15" x14ac:dyDescent="0.25">
      <c r="B240" s="1">
        <v>229</v>
      </c>
      <c r="C240" s="1">
        <v>1.0003052731320523</v>
      </c>
      <c r="D240" s="1">
        <v>1.1479152792560663</v>
      </c>
      <c r="E240" s="1">
        <v>0.87048159048745499</v>
      </c>
      <c r="G240" s="1">
        <v>0.99888713076465141</v>
      </c>
      <c r="H240" s="1">
        <v>3.2855672136706895</v>
      </c>
      <c r="I240" s="1">
        <v>0.2722413886471915</v>
      </c>
      <c r="K240" s="1">
        <v>1.0000787100876873</v>
      </c>
      <c r="L240" s="1">
        <v>3.2089480322731436</v>
      </c>
      <c r="M240" s="1">
        <v>0.27579645348150034</v>
      </c>
      <c r="O240" s="1">
        <v>6.6613879248835235E-3</v>
      </c>
      <c r="P240" s="1">
        <v>0.88062668207989514</v>
      </c>
      <c r="R240" s="1">
        <v>0.15711066633130716</v>
      </c>
      <c r="S240" s="2">
        <f t="shared" si="48"/>
        <v>0.57215638083718878</v>
      </c>
      <c r="T240" s="4">
        <f t="shared" si="49"/>
        <v>0.32736292413271023</v>
      </c>
      <c r="U240" s="1">
        <f t="shared" si="41"/>
        <v>0.13581917672525323</v>
      </c>
      <c r="V240" s="6">
        <f>2*sigma/alpha*corel*(B240/12-1/alpha*(1-EXP(-alpha*Output!B240/12)))</f>
        <v>0.71701083598625148</v>
      </c>
      <c r="W240" s="5">
        <f t="shared" si="50"/>
        <v>-0.191543747407457</v>
      </c>
      <c r="X240" s="1">
        <f t="shared" si="51"/>
        <v>15.135277257690921</v>
      </c>
      <c r="Y240" s="3">
        <f t="shared" si="52"/>
        <v>8.3145786824198417E-2</v>
      </c>
      <c r="Z240" s="1">
        <f t="shared" si="42"/>
        <v>0.13097476488821017</v>
      </c>
      <c r="AA240" s="8">
        <f t="shared" si="47"/>
        <v>19</v>
      </c>
      <c r="AB240" s="1">
        <v>19.079999999999998</v>
      </c>
      <c r="AC240" s="1">
        <v>6.7062305009999998E-3</v>
      </c>
      <c r="AD240" s="8">
        <f t="shared" si="43"/>
        <v>0.44842576116476374</v>
      </c>
      <c r="AE240" s="3">
        <f t="shared" si="44"/>
        <v>6.6867036720240488E-3</v>
      </c>
      <c r="AF240" s="11">
        <f t="shared" si="45"/>
        <v>19</v>
      </c>
      <c r="AG240" s="1">
        <f t="shared" si="46"/>
        <v>0.13097476488821017</v>
      </c>
    </row>
    <row r="241" spans="2:33" ht="15" x14ac:dyDescent="0.25">
      <c r="B241" s="1">
        <v>230</v>
      </c>
      <c r="C241" s="1">
        <v>1.000307520044756</v>
      </c>
      <c r="D241" s="1">
        <v>1.1452527122881435</v>
      </c>
      <c r="E241" s="1">
        <v>0.87250373483920951</v>
      </c>
      <c r="G241" s="1">
        <v>0.9988959554137633</v>
      </c>
      <c r="H241" s="1">
        <v>3.21347201164305</v>
      </c>
      <c r="I241" s="1">
        <v>0.27821442197576007</v>
      </c>
      <c r="K241" s="1">
        <v>1.0001121952010417</v>
      </c>
      <c r="L241" s="1">
        <v>3.2793246604366315</v>
      </c>
      <c r="M241" s="1">
        <v>0.26973535600660425</v>
      </c>
      <c r="O241" s="1">
        <v>6.6886265907161492E-3</v>
      </c>
      <c r="P241" s="1">
        <v>0.87967859047508368</v>
      </c>
      <c r="R241" s="1">
        <v>0.1573497281418576</v>
      </c>
      <c r="S241" s="2">
        <f t="shared" si="48"/>
        <v>0.57426033915191255</v>
      </c>
      <c r="T241" s="4">
        <f t="shared" si="49"/>
        <v>0.32977493712286965</v>
      </c>
      <c r="U241" s="1">
        <f t="shared" si="41"/>
        <v>0.13730807138928913</v>
      </c>
      <c r="V241" s="6">
        <f>2*sigma/alpha*corel*(B241/12-1/alpha*(1-EXP(-alpha*Output!B241/12)))</f>
        <v>0.7225802719611818</v>
      </c>
      <c r="W241" s="5">
        <f t="shared" si="50"/>
        <v>-0.19246686573358052</v>
      </c>
      <c r="X241" s="1">
        <f t="shared" si="51"/>
        <v>15.277915289002001</v>
      </c>
      <c r="Y241" s="3">
        <f t="shared" si="52"/>
        <v>8.3116098739486985E-2</v>
      </c>
      <c r="Z241" s="1">
        <f t="shared" si="42"/>
        <v>0.13117030492213971</v>
      </c>
      <c r="AA241" s="8">
        <f t="shared" si="47"/>
        <v>19.083333333333332</v>
      </c>
      <c r="AB241" s="1">
        <v>19.170000000000002</v>
      </c>
      <c r="AC241" s="1">
        <v>6.7335042729999997E-3</v>
      </c>
      <c r="AD241" s="8">
        <f t="shared" si="43"/>
        <v>0.44877682283850534</v>
      </c>
      <c r="AE241" s="3">
        <f t="shared" si="44"/>
        <v>6.6648331187374498E-3</v>
      </c>
      <c r="AF241" s="11">
        <f t="shared" si="45"/>
        <v>19.083333333333332</v>
      </c>
      <c r="AG241" s="1">
        <f t="shared" si="46"/>
        <v>0.13117030492213971</v>
      </c>
    </row>
    <row r="242" spans="2:33" ht="15" x14ac:dyDescent="0.25">
      <c r="B242" s="1">
        <v>231</v>
      </c>
      <c r="C242" s="1">
        <v>1.0003145692414548</v>
      </c>
      <c r="D242" s="1">
        <v>1.1463094225256187</v>
      </c>
      <c r="E242" s="1">
        <v>0.87169781784646572</v>
      </c>
      <c r="G242" s="1">
        <v>0.99928021291721925</v>
      </c>
      <c r="H242" s="1">
        <v>3.2540440130129693</v>
      </c>
      <c r="I242" s="1">
        <v>0.27461255910969246</v>
      </c>
      <c r="K242" s="1">
        <v>1.0001360092349381</v>
      </c>
      <c r="L242" s="1">
        <v>3.3491573970418154</v>
      </c>
      <c r="M242" s="1">
        <v>0.26398114782029947</v>
      </c>
      <c r="O242" s="1">
        <v>6.7159209515622754E-3</v>
      </c>
      <c r="P242" s="1">
        <v>0.87872658824987604</v>
      </c>
      <c r="R242" s="1">
        <v>0.1576126272391779</v>
      </c>
      <c r="S242" s="2">
        <f t="shared" si="48"/>
        <v>0.5764405693667094</v>
      </c>
      <c r="T242" s="4">
        <f t="shared" si="49"/>
        <v>0.3322837300118161</v>
      </c>
      <c r="U242" s="1">
        <f t="shared" si="41"/>
        <v>0.13880560298276157</v>
      </c>
      <c r="V242" s="6">
        <f>2*sigma/alpha*corel*(B242/12-1/alpha*(1-EXP(-alpha*Output!B242/12)))</f>
        <v>0.72816583847258798</v>
      </c>
      <c r="W242" s="5">
        <f t="shared" si="50"/>
        <v>-0.19347812702905454</v>
      </c>
      <c r="X242" s="1">
        <f t="shared" si="51"/>
        <v>15.428041269555687</v>
      </c>
      <c r="Y242" s="3">
        <f t="shared" si="52"/>
        <v>8.3108797383274799E-2</v>
      </c>
      <c r="Z242" s="1">
        <f t="shared" si="42"/>
        <v>0.13138299915950424</v>
      </c>
      <c r="AA242" s="8">
        <f t="shared" si="47"/>
        <v>19.166666666666664</v>
      </c>
      <c r="AB242" s="1">
        <v>19.25</v>
      </c>
      <c r="AC242" s="1">
        <v>6.7611205080000004E-3</v>
      </c>
      <c r="AD242" s="8">
        <f t="shared" si="43"/>
        <v>0.45199556437724997</v>
      </c>
      <c r="AE242" s="3">
        <f t="shared" si="44"/>
        <v>6.6852168045582472E-3</v>
      </c>
      <c r="AF242" s="11">
        <f t="shared" si="45"/>
        <v>19.166666666666664</v>
      </c>
      <c r="AG242" s="1">
        <f t="shared" si="46"/>
        <v>0.13138299915950424</v>
      </c>
    </row>
    <row r="243" spans="2:33" ht="15" x14ac:dyDescent="0.25">
      <c r="B243" s="1">
        <v>232</v>
      </c>
      <c r="C243" s="1">
        <v>1.0003192337378173</v>
      </c>
      <c r="D243" s="1">
        <v>1.1464503735125533</v>
      </c>
      <c r="E243" s="1">
        <v>0.87158903793935039</v>
      </c>
      <c r="G243" s="1">
        <v>0.99947426039715614</v>
      </c>
      <c r="H243" s="1">
        <v>3.2567219208798845</v>
      </c>
      <c r="I243" s="1">
        <v>0.27425389361673891</v>
      </c>
      <c r="K243" s="1">
        <v>1.0002456551103815</v>
      </c>
      <c r="L243" s="1">
        <v>3.3458870170051198</v>
      </c>
      <c r="M243" s="1">
        <v>0.26408368946229055</v>
      </c>
      <c r="O243" s="1">
        <v>6.7432138398815632E-3</v>
      </c>
      <c r="P243" s="1">
        <v>0.87777164824085108</v>
      </c>
      <c r="R243" s="1">
        <v>0.15793363189859216</v>
      </c>
      <c r="S243" s="2">
        <f t="shared" si="48"/>
        <v>0.57879392557312648</v>
      </c>
      <c r="T243" s="4">
        <f t="shared" si="49"/>
        <v>0.33500240828034988</v>
      </c>
      <c r="U243" s="1">
        <f t="shared" si="41"/>
        <v>0.14031176761795594</v>
      </c>
      <c r="V243" s="6">
        <f>2*sigma/alpha*corel*(B243/12-1/alpha*(1-EXP(-alpha*Output!B243/12)))</f>
        <v>0.73376748184152918</v>
      </c>
      <c r="W243" s="5">
        <f t="shared" si="50"/>
        <v>-0.19469064066239394</v>
      </c>
      <c r="X243" s="1">
        <f t="shared" si="51"/>
        <v>15.594490928633192</v>
      </c>
      <c r="Y243" s="3">
        <f t="shared" si="52"/>
        <v>8.3152204694514217E-2</v>
      </c>
      <c r="Z243" s="1">
        <f t="shared" si="42"/>
        <v>0.1316347627837022</v>
      </c>
      <c r="AA243" s="8">
        <f t="shared" si="47"/>
        <v>19.249999999999996</v>
      </c>
      <c r="AB243" s="1">
        <v>19.329999999999998</v>
      </c>
      <c r="AC243" s="1">
        <v>6.7888602070000003E-3</v>
      </c>
      <c r="AD243" s="8">
        <f t="shared" si="43"/>
        <v>0.45646367118437092</v>
      </c>
      <c r="AE243" s="3">
        <f t="shared" si="44"/>
        <v>6.7237158707983222E-3</v>
      </c>
      <c r="AF243" s="11">
        <f t="shared" si="45"/>
        <v>19.249999999999996</v>
      </c>
      <c r="AG243" s="1">
        <f t="shared" si="46"/>
        <v>0.1316347627837022</v>
      </c>
    </row>
    <row r="244" spans="2:33" ht="15" x14ac:dyDescent="0.25">
      <c r="B244" s="1">
        <v>233</v>
      </c>
      <c r="C244" s="1">
        <v>1.000320605606152</v>
      </c>
      <c r="D244" s="1">
        <v>1.1470868260977987</v>
      </c>
      <c r="E244" s="1">
        <v>0.87110383804689884</v>
      </c>
      <c r="G244" s="1">
        <v>0.99941941550246216</v>
      </c>
      <c r="H244" s="1">
        <v>3.2727598474590454</v>
      </c>
      <c r="I244" s="1">
        <v>0.27277779000823515</v>
      </c>
      <c r="K244" s="1">
        <v>1.0002977437613425</v>
      </c>
      <c r="L244" s="1">
        <v>3.2990126934040802</v>
      </c>
      <c r="M244" s="1">
        <v>0.26770823810016048</v>
      </c>
      <c r="O244" s="1">
        <v>6.7702032395100592E-3</v>
      </c>
      <c r="P244" s="1">
        <v>0.87681892437260023</v>
      </c>
      <c r="R244" s="1">
        <v>0.15820302168134723</v>
      </c>
      <c r="S244" s="2">
        <f t="shared" si="48"/>
        <v>0.58099891094018541</v>
      </c>
      <c r="T244" s="4">
        <f t="shared" si="49"/>
        <v>0.33755973451368149</v>
      </c>
      <c r="U244" s="1">
        <f t="shared" si="41"/>
        <v>0.14182656125495141</v>
      </c>
      <c r="V244" s="6">
        <f>2*sigma/alpha*corel*(B244/12-1/alpha*(1-EXP(-alpha*Output!B244/12)))</f>
        <v>0.73938514856769832</v>
      </c>
      <c r="W244" s="5">
        <f t="shared" si="50"/>
        <v>-0.19573317325873008</v>
      </c>
      <c r="X244" s="1">
        <f t="shared" si="51"/>
        <v>15.74863352101718</v>
      </c>
      <c r="Y244" s="3">
        <f t="shared" si="52"/>
        <v>8.3152008260737514E-2</v>
      </c>
      <c r="Z244" s="1">
        <f t="shared" si="42"/>
        <v>0.13185238224835866</v>
      </c>
      <c r="AA244" s="8">
        <f t="shared" si="47"/>
        <v>19.333333333333329</v>
      </c>
      <c r="AB244" s="1">
        <v>19.420000000000002</v>
      </c>
      <c r="AC244" s="1">
        <v>6.8165043720000004E-3</v>
      </c>
      <c r="AD244" s="8">
        <f t="shared" si="43"/>
        <v>0.46301132489941221</v>
      </c>
      <c r="AE244" s="3">
        <f t="shared" si="44"/>
        <v>6.7925038939505899E-3</v>
      </c>
      <c r="AF244" s="11">
        <f t="shared" si="45"/>
        <v>19.333333333333329</v>
      </c>
      <c r="AG244" s="1">
        <f t="shared" si="46"/>
        <v>0.13185238224835866</v>
      </c>
    </row>
    <row r="245" spans="2:33" ht="15" x14ac:dyDescent="0.25">
      <c r="B245" s="1">
        <v>234</v>
      </c>
      <c r="C245" s="1">
        <v>1.0003212884846819</v>
      </c>
      <c r="D245" s="1">
        <v>1.1460893340635101</v>
      </c>
      <c r="E245" s="1">
        <v>0.87186039343461386</v>
      </c>
      <c r="G245" s="1">
        <v>0.99929847486050183</v>
      </c>
      <c r="H245" s="1">
        <v>3.2251784557201129</v>
      </c>
      <c r="I245" s="1">
        <v>0.27666808492998995</v>
      </c>
      <c r="K245" s="1">
        <v>1.0003112461865484</v>
      </c>
      <c r="L245" s="1">
        <v>3.3721316227180878</v>
      </c>
      <c r="M245" s="1">
        <v>0.26175104210237476</v>
      </c>
      <c r="O245" s="1">
        <v>6.7966073473012898E-3</v>
      </c>
      <c r="P245" s="1">
        <v>0.87587329118623958</v>
      </c>
      <c r="R245" s="1">
        <v>0.15822711931189978</v>
      </c>
      <c r="S245" s="2">
        <f t="shared" si="48"/>
        <v>0.58249228515787399</v>
      </c>
      <c r="T245" s="4">
        <f t="shared" si="49"/>
        <v>0.33929726226844198</v>
      </c>
      <c r="U245" s="1">
        <f t="shared" si="41"/>
        <v>0.14334997970322627</v>
      </c>
      <c r="V245" s="6">
        <f>2*sigma/alpha*corel*(B245/12-1/alpha*(1-EXP(-alpha*Output!B245/12)))</f>
        <v>0.74501878532882349</v>
      </c>
      <c r="W245" s="5">
        <f t="shared" si="50"/>
        <v>-0.19594728256521571</v>
      </c>
      <c r="X245" s="1">
        <f t="shared" si="51"/>
        <v>15.83894103057966</v>
      </c>
      <c r="Y245" s="3">
        <f t="shared" si="52"/>
        <v>8.2943536482947847E-2</v>
      </c>
      <c r="Z245" s="1">
        <f t="shared" si="42"/>
        <v>0.13190852741013312</v>
      </c>
      <c r="AA245" s="8">
        <f t="shared" si="47"/>
        <v>19.416666666666661</v>
      </c>
      <c r="AB245" s="1">
        <v>19.5</v>
      </c>
      <c r="AC245" s="1">
        <v>6.843834004E-3</v>
      </c>
      <c r="AD245" s="8">
        <f t="shared" si="43"/>
        <v>0.47226656698710207</v>
      </c>
      <c r="AE245" s="3">
        <f t="shared" si="44"/>
        <v>6.9006139937216118E-3</v>
      </c>
      <c r="AF245" s="11">
        <f t="shared" si="45"/>
        <v>19.416666666666661</v>
      </c>
      <c r="AG245" s="1">
        <f t="shared" si="46"/>
        <v>0.13190852741013312</v>
      </c>
    </row>
    <row r="246" spans="2:33" ht="15" x14ac:dyDescent="0.25">
      <c r="B246" s="1">
        <v>235</v>
      </c>
      <c r="C246" s="1">
        <v>1.0003165555999491</v>
      </c>
      <c r="D246" s="1">
        <v>1.1492458451799223</v>
      </c>
      <c r="E246" s="1">
        <v>0.86946414945881534</v>
      </c>
      <c r="G246" s="1">
        <v>0.99875879968178416</v>
      </c>
      <c r="H246" s="1">
        <v>3.2963614732882704</v>
      </c>
      <c r="I246" s="1">
        <v>0.27056253385508822</v>
      </c>
      <c r="K246" s="1">
        <v>1.0002677536551203</v>
      </c>
      <c r="L246" s="1">
        <v>3.2374682590637578</v>
      </c>
      <c r="M246" s="1">
        <v>0.27249884806922964</v>
      </c>
      <c r="O246" s="1">
        <v>6.8222682456860776E-3</v>
      </c>
      <c r="P246" s="1">
        <v>0.87493756177269599</v>
      </c>
      <c r="R246" s="1">
        <v>0.15850079312350079</v>
      </c>
      <c r="S246" s="2">
        <f t="shared" si="48"/>
        <v>0.58468818655607713</v>
      </c>
      <c r="T246" s="4">
        <f t="shared" si="49"/>
        <v>0.34186027549823406</v>
      </c>
      <c r="U246" s="1">
        <f t="shared" si="41"/>
        <v>0.14488201862324601</v>
      </c>
      <c r="V246" s="6">
        <f>2*sigma/alpha*corel*(B246/12-1/alpha*(1-EXP(-alpha*Output!B246/12)))</f>
        <v>0.75066833898007923</v>
      </c>
      <c r="W246" s="5">
        <f t="shared" si="50"/>
        <v>-0.19697825687498804</v>
      </c>
      <c r="X246" s="1">
        <f t="shared" si="51"/>
        <v>15.993466410354509</v>
      </c>
      <c r="Y246" s="3">
        <f t="shared" si="52"/>
        <v>8.2940805419300684E-2</v>
      </c>
      <c r="Z246" s="1">
        <f t="shared" si="42"/>
        <v>0.13212378634847988</v>
      </c>
      <c r="AA246" s="8">
        <f t="shared" si="47"/>
        <v>19.499999999999993</v>
      </c>
      <c r="AB246" s="1">
        <v>19.579999999999998</v>
      </c>
      <c r="AC246" s="1">
        <v>6.870630103E-3</v>
      </c>
      <c r="AD246" s="8">
        <f t="shared" si="43"/>
        <v>0.48361857313922346</v>
      </c>
      <c r="AE246" s="3">
        <f t="shared" si="44"/>
        <v>7.0389260648460123E-3</v>
      </c>
      <c r="AF246" s="11">
        <f t="shared" si="45"/>
        <v>19.499999999999993</v>
      </c>
      <c r="AG246" s="1">
        <f t="shared" si="46"/>
        <v>0.13212378634847988</v>
      </c>
    </row>
    <row r="247" spans="2:33" ht="15" x14ac:dyDescent="0.25">
      <c r="B247" s="1">
        <v>236</v>
      </c>
      <c r="C247" s="1">
        <v>1.0003214740001505</v>
      </c>
      <c r="D247" s="1">
        <v>1.1546650992720577</v>
      </c>
      <c r="E247" s="1">
        <v>0.8653818561349097</v>
      </c>
      <c r="G247" s="1">
        <v>0.99898747929703624</v>
      </c>
      <c r="H247" s="1">
        <v>3.4669485745976165</v>
      </c>
      <c r="I247" s="1">
        <v>0.25712527194342749</v>
      </c>
      <c r="K247" s="1">
        <v>1.0002382831785457</v>
      </c>
      <c r="L247" s="1">
        <v>3.2314530553725</v>
      </c>
      <c r="M247" s="1">
        <v>0.27287097774620078</v>
      </c>
      <c r="O247" s="1">
        <v>6.8468968521858877E-3</v>
      </c>
      <c r="P247" s="1">
        <v>0.87401683797637053</v>
      </c>
      <c r="R247" s="1">
        <v>0.15890504405416908</v>
      </c>
      <c r="S247" s="2">
        <f t="shared" si="48"/>
        <v>0.5872391896766056</v>
      </c>
      <c r="T247" s="4">
        <f t="shared" si="49"/>
        <v>0.34484986589203637</v>
      </c>
      <c r="U247" s="1">
        <f t="shared" si="41"/>
        <v>0.14642267352804694</v>
      </c>
      <c r="V247" s="6">
        <f>2*sigma/alpha*corel*(B247/12-1/alpha*(1-EXP(-alpha*Output!B247/12)))</f>
        <v>0.756333756553494</v>
      </c>
      <c r="W247" s="5">
        <f t="shared" si="50"/>
        <v>-0.19842719236398942</v>
      </c>
      <c r="X247" s="1">
        <f t="shared" si="51"/>
        <v>16.181646550602821</v>
      </c>
      <c r="Y247" s="3">
        <f t="shared" si="52"/>
        <v>8.3041728336498158E-2</v>
      </c>
      <c r="Z247" s="1">
        <f t="shared" si="42"/>
        <v>0.13241880132240613</v>
      </c>
      <c r="AA247" s="8">
        <f t="shared" si="47"/>
        <v>19.583333333333325</v>
      </c>
      <c r="AB247" s="1">
        <v>19.670000000000002</v>
      </c>
      <c r="AC247" s="1">
        <v>6.8966730920000004E-3</v>
      </c>
      <c r="AD247" s="8">
        <f t="shared" si="43"/>
        <v>0.49776239814112655</v>
      </c>
      <c r="AE247" s="3">
        <f t="shared" si="44"/>
        <v>7.2174277582987192E-3</v>
      </c>
      <c r="AF247" s="11">
        <f t="shared" si="45"/>
        <v>19.583333333333325</v>
      </c>
      <c r="AG247" s="1">
        <f t="shared" si="46"/>
        <v>0.13241880132240613</v>
      </c>
    </row>
    <row r="248" spans="2:33" ht="15" x14ac:dyDescent="0.25">
      <c r="B248" s="1">
        <v>237</v>
      </c>
      <c r="C248" s="1">
        <v>1.0003217104495812</v>
      </c>
      <c r="D248" s="1">
        <v>1.1492278618162468</v>
      </c>
      <c r="E248" s="1">
        <v>0.86947456469112905</v>
      </c>
      <c r="G248" s="1">
        <v>0.99882380403474313</v>
      </c>
      <c r="H248" s="1">
        <v>3.321882431836169</v>
      </c>
      <c r="I248" s="1">
        <v>0.26822397023860661</v>
      </c>
      <c r="K248" s="1">
        <v>1.0004071626673168</v>
      </c>
      <c r="L248" s="1">
        <v>3.303322497885087</v>
      </c>
      <c r="M248" s="1">
        <v>0.26676603536108501</v>
      </c>
      <c r="O248" s="1">
        <v>6.8702766541215736E-3</v>
      </c>
      <c r="P248" s="1">
        <v>0.87311503338042029</v>
      </c>
      <c r="R248" s="1">
        <v>0.15940529577320559</v>
      </c>
      <c r="S248" s="2">
        <f t="shared" si="48"/>
        <v>0.59004103472476843</v>
      </c>
      <c r="T248" s="4">
        <f t="shared" si="49"/>
        <v>0.34814842265907536</v>
      </c>
      <c r="U248" s="1">
        <f t="shared" si="41"/>
        <v>0.14797193978479628</v>
      </c>
      <c r="V248" s="6">
        <f>2*sigma/alpha*corel*(B248/12-1/alpha*(1-EXP(-alpha*Output!B248/12)))</f>
        <v>0.76201498525736211</v>
      </c>
      <c r="W248" s="5">
        <f t="shared" si="50"/>
        <v>-0.20017648287427908</v>
      </c>
      <c r="X248" s="1">
        <f t="shared" si="51"/>
        <v>16.394608984824824</v>
      </c>
      <c r="Y248" s="3">
        <f t="shared" si="52"/>
        <v>8.3215460712446801E-2</v>
      </c>
      <c r="Z248" s="1">
        <f t="shared" si="42"/>
        <v>0.13276960584374178</v>
      </c>
      <c r="AA248" s="8">
        <f t="shared" si="47"/>
        <v>19.666666666666657</v>
      </c>
      <c r="AB248" s="1">
        <v>19.75</v>
      </c>
      <c r="AC248" s="1">
        <v>6.9217410720000001E-3</v>
      </c>
      <c r="AD248" s="8">
        <f t="shared" si="43"/>
        <v>0.51464417878426505</v>
      </c>
      <c r="AE248" s="3">
        <f t="shared" si="44"/>
        <v>7.4351839144361602E-3</v>
      </c>
      <c r="AF248" s="11">
        <f t="shared" si="45"/>
        <v>19.666666666666657</v>
      </c>
      <c r="AG248" s="1">
        <f t="shared" si="46"/>
        <v>0.13276960584374178</v>
      </c>
    </row>
    <row r="249" spans="2:33" ht="15" x14ac:dyDescent="0.25">
      <c r="B249" s="1">
        <v>238</v>
      </c>
      <c r="C249" s="1">
        <v>1.0003248670611777</v>
      </c>
      <c r="D249" s="1">
        <v>1.1485673290074447</v>
      </c>
      <c r="E249" s="1">
        <v>0.86997299995835342</v>
      </c>
      <c r="G249" s="1">
        <v>0.99891237320589121</v>
      </c>
      <c r="H249" s="1">
        <v>3.2744026098485715</v>
      </c>
      <c r="I249" s="1">
        <v>0.27198155406395336</v>
      </c>
      <c r="K249" s="1">
        <v>1.0003089173337518</v>
      </c>
      <c r="L249" s="1">
        <v>3.3601137346368857</v>
      </c>
      <c r="M249" s="1">
        <v>0.26214040723447601</v>
      </c>
      <c r="O249" s="1">
        <v>6.892291412728545E-3</v>
      </c>
      <c r="P249" s="1">
        <v>0.87223437456286412</v>
      </c>
      <c r="R249" s="1">
        <v>0.15961380585007293</v>
      </c>
      <c r="S249" s="2">
        <f t="shared" si="48"/>
        <v>0.59197442688823521</v>
      </c>
      <c r="T249" s="4">
        <f t="shared" si="49"/>
        <v>0.35043372208965451</v>
      </c>
      <c r="U249" s="1">
        <f t="shared" ref="U249:U312" si="53">sigma*sigma/alpha/alpha*(B249/12+2/alpha*EXP(-alpha*B249/12)-1/2/alpha*EXP(-2*alpha*B249/12)-3/2/alpha)</f>
        <v>0.14952981261635312</v>
      </c>
      <c r="V249" s="6">
        <f>2*sigma/alpha*corel*(B249/12-1/alpha*(1-EXP(-alpha*Output!B249/12)))</f>
        <v>0.76771197247565715</v>
      </c>
      <c r="W249" s="5">
        <f t="shared" si="50"/>
        <v>-0.20090390947330139</v>
      </c>
      <c r="X249" s="1">
        <f t="shared" si="51"/>
        <v>16.52775849089771</v>
      </c>
      <c r="Y249" s="3">
        <f t="shared" si="52"/>
        <v>8.3135864571903084E-2</v>
      </c>
      <c r="Z249" s="1">
        <f t="shared" si="42"/>
        <v>0.13292451679123857</v>
      </c>
      <c r="AA249" s="8">
        <f t="shared" si="47"/>
        <v>19.749999999999989</v>
      </c>
      <c r="AB249" s="1">
        <v>19.829999999999998</v>
      </c>
      <c r="AC249" s="1">
        <v>6.9456115660000003E-3</v>
      </c>
      <c r="AD249" s="8">
        <f t="shared" si="43"/>
        <v>0.53320153271455351</v>
      </c>
      <c r="AE249" s="3">
        <f t="shared" si="44"/>
        <v>7.6768118638345616E-3</v>
      </c>
      <c r="AF249" s="11">
        <f t="shared" si="45"/>
        <v>19.749999999999989</v>
      </c>
      <c r="AG249" s="1">
        <f t="shared" si="46"/>
        <v>0.13292451679123857</v>
      </c>
    </row>
    <row r="250" spans="2:33" ht="15" x14ac:dyDescent="0.25">
      <c r="B250" s="1">
        <v>239</v>
      </c>
      <c r="C250" s="1">
        <v>1.0003277903352361</v>
      </c>
      <c r="D250" s="1">
        <v>1.1452767631467364</v>
      </c>
      <c r="E250" s="1">
        <v>0.87247097757205982</v>
      </c>
      <c r="G250" s="1">
        <v>0.9989635960246378</v>
      </c>
      <c r="H250" s="1">
        <v>3.2155453438146182</v>
      </c>
      <c r="I250" s="1">
        <v>0.27682580946734042</v>
      </c>
      <c r="K250" s="1">
        <v>1.0002892185443117</v>
      </c>
      <c r="L250" s="1">
        <v>3.2339368932099744</v>
      </c>
      <c r="M250" s="1">
        <v>0.27220681739205282</v>
      </c>
      <c r="O250" s="1">
        <v>6.9126984594019159E-3</v>
      </c>
      <c r="P250" s="1">
        <v>0.87137930825637799</v>
      </c>
      <c r="R250" s="1">
        <v>0.15976066961550758</v>
      </c>
      <c r="S250" s="2">
        <f t="shared" si="48"/>
        <v>0.59369327897216739</v>
      </c>
      <c r="T250" s="4">
        <f t="shared" si="49"/>
        <v>0.3524717094967238</v>
      </c>
      <c r="U250" s="1">
        <f t="shared" si="53"/>
        <v>0.15109628710280365</v>
      </c>
      <c r="V250" s="6">
        <f>2*sigma/alpha*corel*(B250/12-1/alpha*(1-EXP(-alpha*Output!B250/12)))</f>
        <v>0.77342466576744906</v>
      </c>
      <c r="W250" s="5">
        <f t="shared" si="50"/>
        <v>-0.20137542239392014</v>
      </c>
      <c r="X250" s="1">
        <f t="shared" si="51"/>
        <v>16.641094364333128</v>
      </c>
      <c r="Y250" s="3">
        <f t="shared" si="52"/>
        <v>8.2993935112117681E-2</v>
      </c>
      <c r="Z250" s="1">
        <f t="shared" si="42"/>
        <v>0.1330312907785057</v>
      </c>
      <c r="AA250" s="8">
        <f t="shared" si="47"/>
        <v>19.833333333333321</v>
      </c>
      <c r="AB250" s="1">
        <v>19.920000000000002</v>
      </c>
      <c r="AC250" s="1">
        <v>6.9680620960000002E-3</v>
      </c>
      <c r="AD250" s="8">
        <f t="shared" si="43"/>
        <v>0.55363636598084254</v>
      </c>
      <c r="AE250" s="3">
        <f t="shared" si="44"/>
        <v>7.9453420241282907E-3</v>
      </c>
      <c r="AF250" s="11">
        <f t="shared" si="45"/>
        <v>19.833333333333321</v>
      </c>
      <c r="AG250" s="1">
        <f t="shared" si="46"/>
        <v>0.1330312907785057</v>
      </c>
    </row>
    <row r="251" spans="2:33" ht="15" x14ac:dyDescent="0.25">
      <c r="B251" s="1">
        <v>240</v>
      </c>
      <c r="C251" s="1">
        <v>1.0003331529000774</v>
      </c>
      <c r="D251" s="1">
        <v>1.1455510282677543</v>
      </c>
      <c r="E251" s="1">
        <v>0.8722604988091589</v>
      </c>
      <c r="G251" s="1">
        <v>0.99924053060535301</v>
      </c>
      <c r="H251" s="1">
        <v>3.2155676208957797</v>
      </c>
      <c r="I251" s="1">
        <v>0.27668987130812173</v>
      </c>
      <c r="K251" s="1">
        <v>1.000208580702092</v>
      </c>
      <c r="L251" s="1">
        <v>3.2387305244215421</v>
      </c>
      <c r="M251" s="1">
        <v>0.2716715510655815</v>
      </c>
      <c r="O251" s="1">
        <v>6.9312789547669052E-3</v>
      </c>
      <c r="P251" s="1">
        <v>0.87055392103061768</v>
      </c>
      <c r="R251" s="1">
        <v>0.16004996236440447</v>
      </c>
      <c r="S251" s="2">
        <f t="shared" si="48"/>
        <v>0.59577962425794184</v>
      </c>
      <c r="T251" s="4">
        <f t="shared" si="49"/>
        <v>0.35495336068093436</v>
      </c>
      <c r="U251" s="1">
        <f t="shared" si="53"/>
        <v>0.15267135818299327</v>
      </c>
      <c r="V251" s="6">
        <f>2*sigma/alpha*corel*(B251/12-1/alpha*(1-EXP(-alpha*Output!B251/12)))</f>
        <v>0.77915301286631733</v>
      </c>
      <c r="W251" s="5">
        <f t="shared" si="50"/>
        <v>-0.20228200249794109</v>
      </c>
      <c r="X251" s="1">
        <f t="shared" si="51"/>
        <v>16.789639617293947</v>
      </c>
      <c r="Y251" s="3">
        <f t="shared" si="52"/>
        <v>8.2959081533220347E-2</v>
      </c>
      <c r="Z251" s="1">
        <f t="shared" si="42"/>
        <v>0.13322037394500405</v>
      </c>
      <c r="AA251" s="8">
        <f t="shared" si="47"/>
        <v>19.916666666666654</v>
      </c>
      <c r="AB251" s="1">
        <v>20</v>
      </c>
      <c r="AC251" s="1">
        <v>6.9888701859999996E-3</v>
      </c>
      <c r="AD251" s="8">
        <f t="shared" si="43"/>
        <v>0.57591231233094375</v>
      </c>
      <c r="AE251" s="3">
        <f t="shared" si="44"/>
        <v>8.2404207976934912E-3</v>
      </c>
      <c r="AF251" s="11">
        <f t="shared" si="45"/>
        <v>19.916666666666654</v>
      </c>
      <c r="AG251" s="1">
        <f t="shared" si="46"/>
        <v>0.13322037394500405</v>
      </c>
    </row>
    <row r="252" spans="2:33" ht="15" x14ac:dyDescent="0.25">
      <c r="B252" s="1">
        <v>241</v>
      </c>
      <c r="C252" s="1">
        <v>1.0003373219044509</v>
      </c>
      <c r="D252" s="1">
        <v>1.1531536696638924</v>
      </c>
      <c r="E252" s="1">
        <v>0.86650817996388385</v>
      </c>
      <c r="G252" s="1">
        <v>0.99941237149887852</v>
      </c>
      <c r="H252" s="1">
        <v>3.3896625896577102</v>
      </c>
      <c r="I252" s="1">
        <v>0.2623518512590044</v>
      </c>
      <c r="K252" s="1">
        <v>1.0001344214517189</v>
      </c>
      <c r="L252" s="1">
        <v>3.2451090696726399</v>
      </c>
      <c r="M252" s="1">
        <v>0.27098868821066363</v>
      </c>
      <c r="O252" s="1">
        <v>6.9478543180461075E-3</v>
      </c>
      <c r="P252" s="1">
        <v>0.86976164666481004</v>
      </c>
      <c r="R252" s="1">
        <v>0.16060439319857694</v>
      </c>
      <c r="S252" s="2">
        <f t="shared" si="48"/>
        <v>0.59858370194180077</v>
      </c>
      <c r="T252" s="4">
        <f t="shared" si="49"/>
        <v>0.35830244823035057</v>
      </c>
      <c r="U252" s="1">
        <f t="shared" si="53"/>
        <v>0.15425502065604357</v>
      </c>
      <c r="V252" s="6">
        <f>2*sigma/alpha*corel*(B252/12-1/alpha*(1-EXP(-alpha*Output!B252/12)))</f>
        <v>0.78489696167977474</v>
      </c>
      <c r="W252" s="5">
        <f t="shared" si="50"/>
        <v>-0.20404742757430699</v>
      </c>
      <c r="X252" s="1">
        <f t="shared" si="51"/>
        <v>17.007873255590138</v>
      </c>
      <c r="Y252" s="3">
        <f t="shared" si="52"/>
        <v>8.3132696910366094E-2</v>
      </c>
      <c r="Z252" s="1">
        <f t="shared" si="42"/>
        <v>0.13356940444578189</v>
      </c>
      <c r="AA252" s="8">
        <f t="shared" si="47"/>
        <v>19.999999999999986</v>
      </c>
      <c r="AB252" s="1">
        <v>20.079999999999998</v>
      </c>
      <c r="AC252" s="1">
        <v>7.0078133569999998E-3</v>
      </c>
      <c r="AD252" s="8">
        <f t="shared" si="43"/>
        <v>0.59959038953892252</v>
      </c>
      <c r="AE252" s="3">
        <f t="shared" si="44"/>
        <v>8.5560268088475944E-3</v>
      </c>
      <c r="AF252" s="11">
        <f t="shared" si="45"/>
        <v>19.999999999999986</v>
      </c>
      <c r="AG252" s="1">
        <f t="shared" si="46"/>
        <v>0.13356940444578189</v>
      </c>
    </row>
    <row r="253" spans="2:33" ht="15" x14ac:dyDescent="0.25">
      <c r="B253" s="1">
        <v>242</v>
      </c>
      <c r="C253" s="1">
        <v>1.0003389169613055</v>
      </c>
      <c r="D253" s="1">
        <v>1.1522606392071275</v>
      </c>
      <c r="E253" s="1">
        <v>0.86717816395198766</v>
      </c>
      <c r="G253" s="1">
        <v>0.99938321499113369</v>
      </c>
      <c r="H253" s="1">
        <v>3.3638725653485295</v>
      </c>
      <c r="I253" s="1">
        <v>0.26423525811481163</v>
      </c>
      <c r="K253" s="1">
        <v>1.0001100142737231</v>
      </c>
      <c r="L253" s="1">
        <v>3.169959692718578</v>
      </c>
      <c r="M253" s="1">
        <v>0.27725602357541035</v>
      </c>
      <c r="O253" s="1">
        <v>6.9625209121008651E-3</v>
      </c>
      <c r="P253" s="1">
        <v>0.86900114301618747</v>
      </c>
      <c r="R253" s="1">
        <v>0.16092756097164151</v>
      </c>
      <c r="S253" s="2">
        <f t="shared" si="48"/>
        <v>0.60067444843073559</v>
      </c>
      <c r="T253" s="4">
        <f t="shared" si="49"/>
        <v>0.36080979299756843</v>
      </c>
      <c r="U253" s="1">
        <f t="shared" si="53"/>
        <v>0.15584726918285874</v>
      </c>
      <c r="V253" s="6">
        <f>2*sigma/alpha*corel*(B253/12-1/alpha*(1-EXP(-alpha*Output!B253/12)))</f>
        <v>0.7906564602886863</v>
      </c>
      <c r="W253" s="5">
        <f t="shared" si="50"/>
        <v>-0.2049625238147097</v>
      </c>
      <c r="X253" s="1">
        <f t="shared" si="51"/>
        <v>17.158781225916151</v>
      </c>
      <c r="Y253" s="3">
        <f t="shared" si="52"/>
        <v>8.309899500304023E-2</v>
      </c>
      <c r="Z253" s="1">
        <f t="shared" si="42"/>
        <v>0.13375871819845725</v>
      </c>
      <c r="AA253" s="8">
        <f t="shared" si="47"/>
        <v>20.083333333333318</v>
      </c>
      <c r="AB253" s="1">
        <v>20.170000000000002</v>
      </c>
      <c r="AC253" s="1">
        <v>7.0247428319999998E-3</v>
      </c>
      <c r="AD253" s="8">
        <f t="shared" si="43"/>
        <v>0.62221919899134626</v>
      </c>
      <c r="AE253" s="3">
        <f t="shared" si="44"/>
        <v>8.8575370497114073E-3</v>
      </c>
      <c r="AF253" s="11">
        <f t="shared" si="45"/>
        <v>20.083333333333318</v>
      </c>
      <c r="AG253" s="1">
        <f t="shared" si="46"/>
        <v>0.13375871819845725</v>
      </c>
    </row>
    <row r="254" spans="2:33" ht="15" x14ac:dyDescent="0.25">
      <c r="B254" s="1">
        <v>243</v>
      </c>
      <c r="C254" s="1">
        <v>1.0003415484387257</v>
      </c>
      <c r="D254" s="1">
        <v>1.1528276099122274</v>
      </c>
      <c r="E254" s="1">
        <v>0.86675009913061041</v>
      </c>
      <c r="G254" s="1">
        <v>0.99942941536211416</v>
      </c>
      <c r="H254" s="1">
        <v>3.3768232956517275</v>
      </c>
      <c r="I254" s="1">
        <v>0.2630944391312291</v>
      </c>
      <c r="K254" s="1">
        <v>1.0001055556963574</v>
      </c>
      <c r="L254" s="1">
        <v>3.2627498049562926</v>
      </c>
      <c r="M254" s="1">
        <v>0.26923578558964295</v>
      </c>
      <c r="O254" s="1">
        <v>6.9755582669041834E-3</v>
      </c>
      <c r="P254" s="1">
        <v>0.86826782748546261</v>
      </c>
      <c r="R254" s="1">
        <v>0.16128549882028509</v>
      </c>
      <c r="S254" s="2">
        <f t="shared" si="48"/>
        <v>0.60282660433954316</v>
      </c>
      <c r="T254" s="4">
        <f t="shared" si="49"/>
        <v>0.3633999148995441</v>
      </c>
      <c r="U254" s="1">
        <f t="shared" si="53"/>
        <v>0.15744809828761719</v>
      </c>
      <c r="V254" s="6">
        <f>2*sigma/alpha*corel*(B254/12-1/alpha*(1-EXP(-alpha*Output!B254/12)))</f>
        <v>0.79643145694669104</v>
      </c>
      <c r="W254" s="5">
        <f t="shared" si="50"/>
        <v>-0.20595181661192691</v>
      </c>
      <c r="X254" s="1">
        <f t="shared" si="51"/>
        <v>17.316400211180309</v>
      </c>
      <c r="Y254" s="3">
        <f t="shared" si="52"/>
        <v>8.3083122046651983E-2</v>
      </c>
      <c r="Z254" s="1">
        <f t="shared" si="42"/>
        <v>0.13396146763100958</v>
      </c>
      <c r="AA254" s="8">
        <f t="shared" si="47"/>
        <v>20.16666666666665</v>
      </c>
      <c r="AB254" s="1">
        <v>20.25</v>
      </c>
      <c r="AC254" s="1">
        <v>7.0398046420000002E-3</v>
      </c>
      <c r="AD254" s="8">
        <f t="shared" si="43"/>
        <v>0.64246375095816832</v>
      </c>
      <c r="AE254" s="3">
        <f t="shared" si="44"/>
        <v>9.1261588016971623E-3</v>
      </c>
      <c r="AF254" s="11">
        <f t="shared" si="45"/>
        <v>20.16666666666665</v>
      </c>
      <c r="AG254" s="1">
        <f t="shared" si="46"/>
        <v>0.13396146763100958</v>
      </c>
    </row>
    <row r="255" spans="2:33" ht="15" x14ac:dyDescent="0.25">
      <c r="B255" s="1">
        <v>244</v>
      </c>
      <c r="C255" s="1">
        <v>1.0003442977872463</v>
      </c>
      <c r="D255" s="1">
        <v>1.1525546083699043</v>
      </c>
      <c r="E255" s="1">
        <v>0.86695382536593635</v>
      </c>
      <c r="G255" s="1">
        <v>0.99948575614086876</v>
      </c>
      <c r="H255" s="1">
        <v>3.3894414001697077</v>
      </c>
      <c r="I255" s="1">
        <v>0.2619881086787747</v>
      </c>
      <c r="K255" s="1">
        <v>1.0000905046317232</v>
      </c>
      <c r="L255" s="1">
        <v>3.4446865190555203</v>
      </c>
      <c r="M255" s="1">
        <v>0.25489771429720132</v>
      </c>
      <c r="O255" s="1">
        <v>6.9872051281778345E-3</v>
      </c>
      <c r="P255" s="1">
        <v>0.86755777414590574</v>
      </c>
      <c r="R255" s="1">
        <v>0.16159224888955917</v>
      </c>
      <c r="S255" s="2">
        <f t="shared" si="48"/>
        <v>0.60479735294550618</v>
      </c>
      <c r="T255" s="4">
        <f t="shared" si="49"/>
        <v>0.36577983812989118</v>
      </c>
      <c r="U255" s="1">
        <f t="shared" si="53"/>
        <v>0.15905750235925309</v>
      </c>
      <c r="V255" s="6">
        <f>2*sigma/alpha*corel*(B255/12-1/alpha*(1-EXP(-alpha*Output!B255/12)))</f>
        <v>0.8022219000796309</v>
      </c>
      <c r="W255" s="5">
        <f t="shared" si="50"/>
        <v>-0.20672233577063809</v>
      </c>
      <c r="X255" s="1">
        <f t="shared" si="51"/>
        <v>17.456976619645939</v>
      </c>
      <c r="Y255" s="3">
        <f t="shared" si="52"/>
        <v>8.3014740753629454E-2</v>
      </c>
      <c r="Z255" s="1">
        <f t="shared" si="42"/>
        <v>0.13412372037430154</v>
      </c>
      <c r="AA255" s="8">
        <f t="shared" si="47"/>
        <v>20.249999999999982</v>
      </c>
      <c r="AB255" s="1">
        <v>20.329999999999998</v>
      </c>
      <c r="AC255" s="1">
        <v>7.0532185159999997E-3</v>
      </c>
      <c r="AD255" s="8">
        <f t="shared" si="43"/>
        <v>0.66013387822165193</v>
      </c>
      <c r="AE255" s="3">
        <f t="shared" si="44"/>
        <v>9.3593283225829379E-3</v>
      </c>
      <c r="AF255" s="11">
        <f t="shared" si="45"/>
        <v>20.249999999999982</v>
      </c>
      <c r="AG255" s="1">
        <f t="shared" si="46"/>
        <v>0.13412372037430154</v>
      </c>
    </row>
    <row r="256" spans="2:33" ht="15" x14ac:dyDescent="0.25">
      <c r="B256" s="1">
        <v>245</v>
      </c>
      <c r="C256" s="1">
        <v>1.0003456307955412</v>
      </c>
      <c r="D256" s="1">
        <v>1.1549463795899693</v>
      </c>
      <c r="E256" s="1">
        <v>0.86515688292159476</v>
      </c>
      <c r="G256" s="1">
        <v>0.99942879349141656</v>
      </c>
      <c r="H256" s="1">
        <v>3.4517807931951454</v>
      </c>
      <c r="I256" s="1">
        <v>0.25713204891674085</v>
      </c>
      <c r="K256" s="1">
        <v>1.0000164002233187</v>
      </c>
      <c r="L256" s="1">
        <v>3.4362242186819967</v>
      </c>
      <c r="M256" s="1">
        <v>0.25538056571096451</v>
      </c>
      <c r="O256" s="1">
        <v>6.997704753259594E-3</v>
      </c>
      <c r="P256" s="1">
        <v>0.86686692295928225</v>
      </c>
      <c r="R256" s="1">
        <v>0.16194449509855266</v>
      </c>
      <c r="S256" s="2">
        <f t="shared" si="48"/>
        <v>0.6068726220374836</v>
      </c>
      <c r="T256" s="4">
        <f t="shared" si="49"/>
        <v>0.36829437937865045</v>
      </c>
      <c r="U256" s="1">
        <f t="shared" si="53"/>
        <v>0.16067547565292895</v>
      </c>
      <c r="V256" s="6">
        <f>2*sigma/alpha*corel*(B256/12-1/alpha*(1-EXP(-alpha*Output!B256/12)))</f>
        <v>0.80802773828497498</v>
      </c>
      <c r="W256" s="5">
        <f t="shared" si="50"/>
        <v>-0.2076189037257215</v>
      </c>
      <c r="X256" s="1">
        <f t="shared" si="51"/>
        <v>17.608452630105187</v>
      </c>
      <c r="Y256" s="3">
        <f t="shared" si="52"/>
        <v>8.2976692452065293E-2</v>
      </c>
      <c r="Z256" s="1">
        <f t="shared" si="42"/>
        <v>0.1343090033383087</v>
      </c>
      <c r="AA256" s="8">
        <f t="shared" si="47"/>
        <v>20.333333333333314</v>
      </c>
      <c r="AB256" s="1">
        <v>20.420000000000002</v>
      </c>
      <c r="AC256" s="1">
        <v>7.065204185E-3</v>
      </c>
      <c r="AD256" s="8">
        <f t="shared" si="43"/>
        <v>0.67499431740405957</v>
      </c>
      <c r="AE256" s="3">
        <f t="shared" si="44"/>
        <v>9.553783581189728E-3</v>
      </c>
      <c r="AF256" s="11">
        <f t="shared" si="45"/>
        <v>20.333333333333314</v>
      </c>
      <c r="AG256" s="1">
        <f t="shared" si="46"/>
        <v>0.1343090033383087</v>
      </c>
    </row>
    <row r="257" spans="2:33" ht="15" x14ac:dyDescent="0.25">
      <c r="B257" s="1">
        <v>246</v>
      </c>
      <c r="C257" s="1">
        <v>1.0003467447341357</v>
      </c>
      <c r="D257" s="1">
        <v>1.1549796989505239</v>
      </c>
      <c r="E257" s="1">
        <v>0.86513035274228522</v>
      </c>
      <c r="G257" s="1">
        <v>0.99933802697800933</v>
      </c>
      <c r="H257" s="1">
        <v>3.4641092042020896</v>
      </c>
      <c r="I257" s="1">
        <v>0.25609291051560662</v>
      </c>
      <c r="K257" s="1">
        <v>1.0000968078435697</v>
      </c>
      <c r="L257" s="1">
        <v>3.5252583623242821</v>
      </c>
      <c r="M257" s="1">
        <v>0.2487878155831301</v>
      </c>
      <c r="O257" s="1">
        <v>7.007219455981397E-3</v>
      </c>
      <c r="P257" s="1">
        <v>0.86619259519447855</v>
      </c>
      <c r="R257" s="1">
        <v>0.16227601139243378</v>
      </c>
      <c r="S257" s="2">
        <f t="shared" si="48"/>
        <v>0.60886463897546528</v>
      </c>
      <c r="T257" s="4">
        <f t="shared" si="49"/>
        <v>0.37071614859472368</v>
      </c>
      <c r="U257" s="1">
        <f t="shared" si="53"/>
        <v>0.16230201229148866</v>
      </c>
      <c r="V257" s="6">
        <f>2*sigma/alpha*corel*(B257/12-1/alpha*(1-EXP(-alpha*Output!B257/12)))</f>
        <v>0.81384892033124778</v>
      </c>
      <c r="W257" s="5">
        <f t="shared" si="50"/>
        <v>-0.20841413630323502</v>
      </c>
      <c r="X257" s="1">
        <f t="shared" si="51"/>
        <v>17.752309241989607</v>
      </c>
      <c r="Y257" s="3">
        <f t="shared" si="52"/>
        <v>8.2914634486529443E-2</v>
      </c>
      <c r="Z257" s="1">
        <f t="shared" si="42"/>
        <v>0.13447570251014224</v>
      </c>
      <c r="AA257" s="8">
        <f t="shared" si="47"/>
        <v>20.416666666666647</v>
      </c>
      <c r="AB257" s="1">
        <v>20.5</v>
      </c>
      <c r="AC257" s="1">
        <v>7.0759813779999996E-3</v>
      </c>
      <c r="AD257" s="8">
        <f t="shared" si="43"/>
        <v>0.68761922018602606</v>
      </c>
      <c r="AE257" s="3">
        <f t="shared" si="44"/>
        <v>9.7176516366183421E-3</v>
      </c>
      <c r="AF257" s="11">
        <f t="shared" si="45"/>
        <v>20.416666666666647</v>
      </c>
      <c r="AG257" s="1">
        <f t="shared" si="46"/>
        <v>0.13447570251014224</v>
      </c>
    </row>
    <row r="258" spans="2:33" ht="15" x14ac:dyDescent="0.25">
      <c r="B258" s="1">
        <v>247</v>
      </c>
      <c r="C258" s="1">
        <v>1.0003457963193987</v>
      </c>
      <c r="D258" s="1">
        <v>1.1572761547056667</v>
      </c>
      <c r="E258" s="1">
        <v>0.86341205288781542</v>
      </c>
      <c r="G258" s="1">
        <v>0.9991059155634664</v>
      </c>
      <c r="H258" s="1">
        <v>3.5246173509483589</v>
      </c>
      <c r="I258" s="1">
        <v>0.25157464644567784</v>
      </c>
      <c r="K258" s="1">
        <v>1.0001649715618206</v>
      </c>
      <c r="L258" s="1">
        <v>3.5149468416094103</v>
      </c>
      <c r="M258" s="1">
        <v>0.24939542681143223</v>
      </c>
      <c r="O258" s="1">
        <v>7.0159877080143464E-3</v>
      </c>
      <c r="P258" s="1">
        <v>0.8655307177539453</v>
      </c>
      <c r="R258" s="1">
        <v>0.16268945075711422</v>
      </c>
      <c r="S258" s="2">
        <f t="shared" si="48"/>
        <v>0.61107741172696706</v>
      </c>
      <c r="T258" s="4">
        <f t="shared" si="49"/>
        <v>0.37341560312292921</v>
      </c>
      <c r="U258" s="1">
        <f t="shared" si="53"/>
        <v>0.16393710626690838</v>
      </c>
      <c r="V258" s="6">
        <f>2*sigma/alpha*corel*(B258/12-1/alpha*(1-EXP(-alpha*Output!B258/12)))</f>
        <v>0.81968539515746164</v>
      </c>
      <c r="W258" s="5">
        <f t="shared" si="50"/>
        <v>-0.20947849685602082</v>
      </c>
      <c r="X258" s="1">
        <f t="shared" si="51"/>
        <v>17.918947054846825</v>
      </c>
      <c r="Y258" s="3">
        <f t="shared" si="52"/>
        <v>8.291641295374988E-2</v>
      </c>
      <c r="Z258" s="1">
        <f t="shared" si="42"/>
        <v>0.13469093783442601</v>
      </c>
      <c r="AA258" s="8">
        <f t="shared" si="47"/>
        <v>20.499999999999979</v>
      </c>
      <c r="AB258" s="1">
        <v>20.58</v>
      </c>
      <c r="AC258" s="1">
        <v>7.0857698270000002E-3</v>
      </c>
      <c r="AD258" s="8">
        <f t="shared" si="43"/>
        <v>0.69782118985653796</v>
      </c>
      <c r="AE258" s="3">
        <f t="shared" si="44"/>
        <v>9.8482057263209761E-3</v>
      </c>
      <c r="AF258" s="11">
        <f t="shared" si="45"/>
        <v>20.499999999999979</v>
      </c>
      <c r="AG258" s="1">
        <f t="shared" si="46"/>
        <v>0.13469093783442601</v>
      </c>
    </row>
    <row r="259" spans="2:33" ht="15" x14ac:dyDescent="0.25">
      <c r="B259" s="1">
        <v>248</v>
      </c>
      <c r="C259" s="1">
        <v>1.0003466558565506</v>
      </c>
      <c r="D259" s="1">
        <v>1.1566271814901634</v>
      </c>
      <c r="E259" s="1">
        <v>0.86389493867569245</v>
      </c>
      <c r="G259" s="1">
        <v>0.9990026292891685</v>
      </c>
      <c r="H259" s="1">
        <v>3.4955386939798077</v>
      </c>
      <c r="I259" s="1">
        <v>0.25354464978531627</v>
      </c>
      <c r="K259" s="1">
        <v>1.000221064925104</v>
      </c>
      <c r="L259" s="1">
        <v>3.6147372450194579</v>
      </c>
      <c r="M259" s="1">
        <v>0.24237705525042449</v>
      </c>
      <c r="O259" s="1">
        <v>7.0243259722921015E-3</v>
      </c>
      <c r="P259" s="1">
        <v>0.86487576778083375</v>
      </c>
      <c r="R259" s="1">
        <v>0.16301944231904336</v>
      </c>
      <c r="S259" s="2">
        <f t="shared" si="48"/>
        <v>0.61303946338558224</v>
      </c>
      <c r="T259" s="4">
        <f t="shared" si="49"/>
        <v>0.37581738366808265</v>
      </c>
      <c r="U259" s="1">
        <f t="shared" si="53"/>
        <v>0.16558075144173001</v>
      </c>
      <c r="V259" s="6">
        <f>2*sigma/alpha*corel*(B259/12-1/alpha*(1-EXP(-alpha*Output!B259/12)))</f>
        <v>0.82553711187255008</v>
      </c>
      <c r="W259" s="5">
        <f t="shared" si="50"/>
        <v>-0.21023663222635264</v>
      </c>
      <c r="X259" s="1">
        <f t="shared" si="51"/>
        <v>18.061073120457358</v>
      </c>
      <c r="Y259" s="3">
        <f t="shared" si="52"/>
        <v>8.2845847176546042E-2</v>
      </c>
      <c r="Z259" s="1">
        <f t="shared" si="42"/>
        <v>0.13485070304960128</v>
      </c>
      <c r="AA259" s="8">
        <f t="shared" si="47"/>
        <v>20.583333333333311</v>
      </c>
      <c r="AB259" s="1">
        <v>20.67</v>
      </c>
      <c r="AC259" s="1">
        <v>7.0947896259999999E-3</v>
      </c>
      <c r="AD259" s="8">
        <f t="shared" si="43"/>
        <v>0.70463653707898355</v>
      </c>
      <c r="AE259" s="3">
        <f t="shared" si="44"/>
        <v>9.9317467356146751E-3</v>
      </c>
      <c r="AF259" s="11">
        <f t="shared" si="45"/>
        <v>20.583333333333311</v>
      </c>
      <c r="AG259" s="1">
        <f t="shared" si="46"/>
        <v>0.13485070304960128</v>
      </c>
    </row>
    <row r="260" spans="2:33" ht="15" x14ac:dyDescent="0.25">
      <c r="B260" s="1">
        <v>249</v>
      </c>
      <c r="C260" s="1">
        <v>1.00034920972573</v>
      </c>
      <c r="D260" s="1">
        <v>1.1618249719209419</v>
      </c>
      <c r="E260" s="1">
        <v>0.86002847324488207</v>
      </c>
      <c r="G260" s="1">
        <v>0.99903533443112158</v>
      </c>
      <c r="H260" s="1">
        <v>3.6359973276237798</v>
      </c>
      <c r="I260" s="1">
        <v>0.24363222474254043</v>
      </c>
      <c r="K260" s="1">
        <v>1.0003454893355461</v>
      </c>
      <c r="L260" s="1">
        <v>3.6617932044736867</v>
      </c>
      <c r="M260" s="1">
        <v>0.23913144641325229</v>
      </c>
      <c r="O260" s="1">
        <v>7.0323299585014123E-3</v>
      </c>
      <c r="P260" s="1">
        <v>0.86422610687852197</v>
      </c>
      <c r="R260" s="1">
        <v>0.16340443441183058</v>
      </c>
      <c r="S260" s="2">
        <f t="shared" si="48"/>
        <v>0.61515525290319273</v>
      </c>
      <c r="T260" s="4">
        <f t="shared" si="49"/>
        <v>0.37841598517439101</v>
      </c>
      <c r="U260" s="1">
        <f t="shared" si="53"/>
        <v>0.16723294155048585</v>
      </c>
      <c r="V260" s="6">
        <f>2*sigma/alpha*corel*(B260/12-1/alpha*(1-EXP(-alpha*Output!B260/12)))</f>
        <v>0.8314040197547985</v>
      </c>
      <c r="W260" s="5">
        <f t="shared" si="50"/>
        <v>-0.21118304362390516</v>
      </c>
      <c r="X260" s="1">
        <f t="shared" si="51"/>
        <v>18.219425264848567</v>
      </c>
      <c r="Y260" s="3">
        <f t="shared" si="52"/>
        <v>8.2819707247679175E-2</v>
      </c>
      <c r="Z260" s="1">
        <f t="shared" si="42"/>
        <v>0.13504412222737952</v>
      </c>
      <c r="AA260" s="8">
        <f t="shared" si="47"/>
        <v>20.666666666666643</v>
      </c>
      <c r="AB260" s="1">
        <v>20.75</v>
      </c>
      <c r="AC260" s="1">
        <v>7.1032623360000003E-3</v>
      </c>
      <c r="AD260" s="8">
        <f t="shared" si="43"/>
        <v>0.70932377498588062</v>
      </c>
      <c r="AE260" s="3">
        <f t="shared" si="44"/>
        <v>9.9858873491263465E-3</v>
      </c>
      <c r="AF260" s="11">
        <f t="shared" si="45"/>
        <v>20.666666666666643</v>
      </c>
      <c r="AG260" s="1">
        <f t="shared" si="46"/>
        <v>0.13504412222737952</v>
      </c>
    </row>
    <row r="261" spans="2:33" ht="15" x14ac:dyDescent="0.25">
      <c r="B261" s="1">
        <v>250</v>
      </c>
      <c r="C261" s="1">
        <v>1.0003489083130341</v>
      </c>
      <c r="D261" s="1">
        <v>1.1608177210238606</v>
      </c>
      <c r="E261" s="1">
        <v>0.86077316765746492</v>
      </c>
      <c r="G261" s="1">
        <v>0.99884166788795847</v>
      </c>
      <c r="H261" s="1">
        <v>3.6086268477490933</v>
      </c>
      <c r="I261" s="1">
        <v>0.24536128383996075</v>
      </c>
      <c r="K261" s="1">
        <v>1.0003474214670647</v>
      </c>
      <c r="L261" s="1">
        <v>3.5426419086034704</v>
      </c>
      <c r="M261" s="1">
        <v>0.24703548499412101</v>
      </c>
      <c r="O261" s="1">
        <v>7.0401995526666239E-3</v>
      </c>
      <c r="P261" s="1">
        <v>0.86357819983967177</v>
      </c>
      <c r="R261" s="1">
        <v>0.16380396369769504</v>
      </c>
      <c r="S261" s="2">
        <f t="shared" si="48"/>
        <v>0.61731282774774954</v>
      </c>
      <c r="T261" s="4">
        <f t="shared" si="49"/>
        <v>0.38107512730192267</v>
      </c>
      <c r="U261" s="1">
        <f t="shared" si="53"/>
        <v>0.16889367020110768</v>
      </c>
      <c r="V261" s="6">
        <f>2*sigma/alpha*corel*(B261/12-1/alpha*(1-EXP(-alpha*Output!B261/12)))</f>
        <v>0.83728606825128593</v>
      </c>
      <c r="W261" s="5">
        <f t="shared" si="50"/>
        <v>-0.21218145710081499</v>
      </c>
      <c r="X261" s="1">
        <f t="shared" si="51"/>
        <v>18.382836051822277</v>
      </c>
      <c r="Y261" s="3">
        <f t="shared" si="52"/>
        <v>8.2805637596159554E-2</v>
      </c>
      <c r="Z261" s="1">
        <f t="shared" si="42"/>
        <v>0.13524646431789739</v>
      </c>
      <c r="AA261" s="8">
        <f t="shared" si="47"/>
        <v>20.749999999999975</v>
      </c>
      <c r="AB261" s="1">
        <v>20.83</v>
      </c>
      <c r="AC261" s="1">
        <v>7.1114098819999999E-3</v>
      </c>
      <c r="AD261" s="8">
        <f t="shared" si="43"/>
        <v>0.71210329333376043</v>
      </c>
      <c r="AE261" s="3">
        <f t="shared" si="44"/>
        <v>1.0013531847407589E-2</v>
      </c>
      <c r="AF261" s="11">
        <f t="shared" si="45"/>
        <v>20.749999999999975</v>
      </c>
      <c r="AG261" s="1">
        <f t="shared" si="46"/>
        <v>0.13524646431789739</v>
      </c>
    </row>
    <row r="262" spans="2:33" ht="15" x14ac:dyDescent="0.25">
      <c r="B262" s="1">
        <v>251</v>
      </c>
      <c r="C262" s="1">
        <v>1.0003543054034407</v>
      </c>
      <c r="D262" s="1">
        <v>1.1585929501901593</v>
      </c>
      <c r="E262" s="1">
        <v>0.86242449337826999</v>
      </c>
      <c r="G262" s="1">
        <v>0.99910873190883853</v>
      </c>
      <c r="H262" s="1">
        <v>3.518998976829387</v>
      </c>
      <c r="I262" s="1">
        <v>0.25148877114022905</v>
      </c>
      <c r="K262" s="1">
        <v>1.0004426516840761</v>
      </c>
      <c r="L262" s="1">
        <v>3.4402555298741531</v>
      </c>
      <c r="M262" s="1">
        <v>0.25425137872085091</v>
      </c>
      <c r="O262" s="1">
        <v>7.0481933715591891E-3</v>
      </c>
      <c r="P262" s="1">
        <v>0.86292740451065797</v>
      </c>
      <c r="R262" s="1">
        <v>0.16426767023193689</v>
      </c>
      <c r="S262" s="2">
        <f t="shared" si="48"/>
        <v>0.61966399997649191</v>
      </c>
      <c r="T262" s="4">
        <f t="shared" si="49"/>
        <v>0.38398347286686574</v>
      </c>
      <c r="U262" s="1">
        <f t="shared" si="53"/>
        <v>0.17056293087633145</v>
      </c>
      <c r="V262" s="6">
        <f>2*sigma/alpha*corel*(B262/12-1/alpha*(1-EXP(-alpha*Output!B262/12)))</f>
        <v>0.84318320697731886</v>
      </c>
      <c r="W262" s="5">
        <f t="shared" si="50"/>
        <v>-0.21342054199053428</v>
      </c>
      <c r="X262" s="1">
        <f t="shared" si="51"/>
        <v>18.567143267069927</v>
      </c>
      <c r="Y262" s="3">
        <f t="shared" si="52"/>
        <v>8.2847273392769843E-2</v>
      </c>
      <c r="Z262" s="1">
        <f t="shared" si="42"/>
        <v>0.13549086904743302</v>
      </c>
      <c r="AA262" s="8">
        <f t="shared" si="47"/>
        <v>20.833333333333307</v>
      </c>
      <c r="AB262" s="1">
        <v>20.92</v>
      </c>
      <c r="AC262" s="1">
        <v>7.1194541869999996E-3</v>
      </c>
      <c r="AD262" s="8">
        <f t="shared" si="43"/>
        <v>0.71260815440810432</v>
      </c>
      <c r="AE262" s="3">
        <f t="shared" si="44"/>
        <v>1.0009308799392439E-2</v>
      </c>
      <c r="AF262" s="11">
        <f t="shared" si="45"/>
        <v>20.833333333333307</v>
      </c>
      <c r="AG262" s="1">
        <f t="shared" si="46"/>
        <v>0.13549086904743302</v>
      </c>
    </row>
    <row r="263" spans="2:33" ht="15" x14ac:dyDescent="0.25">
      <c r="B263" s="1">
        <v>252</v>
      </c>
      <c r="C263" s="1">
        <v>1.0003525547598699</v>
      </c>
      <c r="D263" s="1">
        <v>1.1604622620223866</v>
      </c>
      <c r="E263" s="1">
        <v>0.86103371325788181</v>
      </c>
      <c r="G263" s="1">
        <v>0.99879628041800839</v>
      </c>
      <c r="H263" s="1">
        <v>3.5699583321247177</v>
      </c>
      <c r="I263" s="1">
        <v>0.24777890156072491</v>
      </c>
      <c r="K263" s="1">
        <v>1.0002459618517954</v>
      </c>
      <c r="L263" s="1">
        <v>3.4766567571854035</v>
      </c>
      <c r="M263" s="1">
        <v>0.25146347293429877</v>
      </c>
      <c r="O263" s="1">
        <v>7.0564564778722904E-3</v>
      </c>
      <c r="P263" s="1">
        <v>0.86227107462177199</v>
      </c>
      <c r="R263" s="1">
        <v>0.16459984502392114</v>
      </c>
      <c r="S263" s="2">
        <f t="shared" si="48"/>
        <v>0.62164290327792071</v>
      </c>
      <c r="T263" s="4">
        <f t="shared" si="49"/>
        <v>0.38643989919580229</v>
      </c>
      <c r="U263" s="1">
        <f t="shared" si="53"/>
        <v>0.17224071693508503</v>
      </c>
      <c r="V263" s="6">
        <f>2*sigma/alpha*corel*(B263/12-1/alpha*(1-EXP(-alpha*Output!B263/12)))</f>
        <v>0.84909538571587406</v>
      </c>
      <c r="W263" s="5">
        <f t="shared" si="50"/>
        <v>-0.21419918226071727</v>
      </c>
      <c r="X263" s="1">
        <f t="shared" si="51"/>
        <v>18.713694283944239</v>
      </c>
      <c r="Y263" s="3">
        <f t="shared" si="52"/>
        <v>8.278184235467137E-2</v>
      </c>
      <c r="Z263" s="1">
        <f t="shared" si="42"/>
        <v>0.13565360283348493</v>
      </c>
      <c r="AA263" s="8">
        <f t="shared" si="47"/>
        <v>20.916666666666639</v>
      </c>
      <c r="AB263" s="1">
        <v>21</v>
      </c>
      <c r="AC263" s="1">
        <v>7.1276171789999999E-3</v>
      </c>
      <c r="AD263" s="8">
        <f t="shared" si="43"/>
        <v>0.71160701127709514</v>
      </c>
      <c r="AE263" s="3">
        <f t="shared" si="44"/>
        <v>9.9837995420642544E-3</v>
      </c>
      <c r="AF263" s="11">
        <f t="shared" si="45"/>
        <v>20.916666666666639</v>
      </c>
      <c r="AG263" s="1">
        <f t="shared" si="46"/>
        <v>0.13565360283348493</v>
      </c>
    </row>
    <row r="264" spans="2:33" ht="15" x14ac:dyDescent="0.25">
      <c r="B264" s="1">
        <v>253</v>
      </c>
      <c r="C264" s="1">
        <v>1.0003553257628526</v>
      </c>
      <c r="D264" s="1">
        <v>1.1623937962313169</v>
      </c>
      <c r="E264" s="1">
        <v>0.85960139088344234</v>
      </c>
      <c r="G264" s="1">
        <v>0.99885267058033367</v>
      </c>
      <c r="H264" s="1">
        <v>3.6205038348412044</v>
      </c>
      <c r="I264" s="1">
        <v>0.24420142435903056</v>
      </c>
      <c r="K264" s="1">
        <v>1.0001781388110202</v>
      </c>
      <c r="L264" s="1">
        <v>3.534854643007582</v>
      </c>
      <c r="M264" s="1">
        <v>0.247186075174645</v>
      </c>
      <c r="O264" s="1">
        <v>7.0652557736954951E-3</v>
      </c>
      <c r="P264" s="1">
        <v>0.86160431712471552</v>
      </c>
      <c r="R264" s="1">
        <v>0.16516589421878114</v>
      </c>
      <c r="S264" s="2">
        <f t="shared" si="48"/>
        <v>0.62432211111473324</v>
      </c>
      <c r="T264" s="4">
        <f t="shared" si="49"/>
        <v>0.38977809842675731</v>
      </c>
      <c r="U264" s="1">
        <f t="shared" si="53"/>
        <v>0.17392702161386797</v>
      </c>
      <c r="V264" s="6">
        <f>2*sigma/alpha*corel*(B264/12-1/alpha*(1-EXP(-alpha*Output!B264/12)))</f>
        <v>0.85502255441703845</v>
      </c>
      <c r="W264" s="5">
        <f t="shared" si="50"/>
        <v>-0.21585107681288934</v>
      </c>
      <c r="X264" s="1">
        <f t="shared" si="51"/>
        <v>18.934504379782172</v>
      </c>
      <c r="Y264" s="3">
        <f t="shared" si="52"/>
        <v>8.2917558274694214E-2</v>
      </c>
      <c r="Z264" s="1">
        <f t="shared" si="42"/>
        <v>0.13596874177401599</v>
      </c>
      <c r="AA264" s="8">
        <f t="shared" si="47"/>
        <v>20.999999999999972</v>
      </c>
      <c r="AB264" s="1">
        <v>21.08</v>
      </c>
      <c r="AC264" s="1">
        <v>7.1361207810000001E-3</v>
      </c>
      <c r="AD264" s="8">
        <f t="shared" si="43"/>
        <v>0.70865007304504912</v>
      </c>
      <c r="AE264" s="3">
        <f t="shared" si="44"/>
        <v>9.9304663526973615E-3</v>
      </c>
      <c r="AF264" s="11">
        <f t="shared" si="45"/>
        <v>20.999999999999972</v>
      </c>
      <c r="AG264" s="1">
        <f t="shared" si="46"/>
        <v>0.13596874177401599</v>
      </c>
    </row>
    <row r="265" spans="2:33" ht="15" x14ac:dyDescent="0.25">
      <c r="B265" s="1">
        <v>254</v>
      </c>
      <c r="C265" s="1">
        <v>1.0003635387551817</v>
      </c>
      <c r="D265" s="1">
        <v>1.160791993239418</v>
      </c>
      <c r="E265" s="1">
        <v>0.86078601884163131</v>
      </c>
      <c r="G265" s="1">
        <v>0.99934252785950195</v>
      </c>
      <c r="H265" s="1">
        <v>3.573672459046457</v>
      </c>
      <c r="I265" s="1">
        <v>0.24728182454039233</v>
      </c>
      <c r="K265" s="1">
        <v>1.000330404810106</v>
      </c>
      <c r="L265" s="1">
        <v>3.6582123308227796</v>
      </c>
      <c r="M265" s="1">
        <v>0.23872378308861542</v>
      </c>
      <c r="O265" s="1">
        <v>7.0745012386464242E-3</v>
      </c>
      <c r="P265" s="1">
        <v>0.86092868202148509</v>
      </c>
      <c r="R265" s="1">
        <v>0.16541187726495346</v>
      </c>
      <c r="S265" s="2">
        <f t="shared" si="48"/>
        <v>0.62608375780092662</v>
      </c>
      <c r="T265" s="4">
        <f t="shared" si="49"/>
        <v>0.39198087178212937</v>
      </c>
      <c r="U265" s="1">
        <f t="shared" si="53"/>
        <v>0.17562183802811893</v>
      </c>
      <c r="V265" s="6">
        <f>2*sigma/alpha*corel*(B265/12-1/alpha*(1-EXP(-alpha*Output!B265/12)))</f>
        <v>0.86096466319745635</v>
      </c>
      <c r="W265" s="5">
        <f t="shared" si="50"/>
        <v>-0.21635903375401044</v>
      </c>
      <c r="X265" s="1">
        <f t="shared" si="51"/>
        <v>19.059658342447594</v>
      </c>
      <c r="Y265" s="3">
        <f t="shared" si="52"/>
        <v>8.2789894444270845E-2</v>
      </c>
      <c r="Z265" s="1">
        <f t="shared" si="42"/>
        <v>0.1360837291671477</v>
      </c>
      <c r="AA265" s="8">
        <f t="shared" si="47"/>
        <v>21.083333333333304</v>
      </c>
      <c r="AB265" s="1">
        <v>21.17</v>
      </c>
      <c r="AC265" s="1">
        <v>7.1451405870000002E-3</v>
      </c>
      <c r="AD265" s="8">
        <f t="shared" si="43"/>
        <v>0.7063934835357597</v>
      </c>
      <c r="AE265" s="3">
        <f t="shared" si="44"/>
        <v>9.8863482801302034E-3</v>
      </c>
      <c r="AF265" s="11">
        <f t="shared" si="45"/>
        <v>21.083333333333304</v>
      </c>
      <c r="AG265" s="1">
        <f t="shared" si="46"/>
        <v>0.1360837291671477</v>
      </c>
    </row>
    <row r="266" spans="2:33" ht="15" x14ac:dyDescent="0.25">
      <c r="B266" s="1">
        <v>255</v>
      </c>
      <c r="C266" s="1">
        <v>1.000368601659638</v>
      </c>
      <c r="D266" s="1">
        <v>1.1601537490283322</v>
      </c>
      <c r="E266" s="1">
        <v>0.86125801395923862</v>
      </c>
      <c r="G266" s="1">
        <v>0.99956255163766106</v>
      </c>
      <c r="H266" s="1">
        <v>3.5581093636754861</v>
      </c>
      <c r="I266" s="1">
        <v>0.2482432160345853</v>
      </c>
      <c r="K266" s="1">
        <v>1.0003470937709498</v>
      </c>
      <c r="L266" s="1">
        <v>3.7206834708230279</v>
      </c>
      <c r="M266" s="1">
        <v>0.23459685778553652</v>
      </c>
      <c r="O266" s="1">
        <v>7.0841596417330847E-3</v>
      </c>
      <c r="P266" s="1">
        <v>0.86024470252602914</v>
      </c>
      <c r="R266" s="1">
        <v>0.16582665280090769</v>
      </c>
      <c r="S266" s="2">
        <f t="shared" si="48"/>
        <v>0.62835317394035384</v>
      </c>
      <c r="T266" s="4">
        <f t="shared" si="49"/>
        <v>0.39482771120091659</v>
      </c>
      <c r="U266" s="1">
        <f t="shared" si="53"/>
        <v>0.17732515917357228</v>
      </c>
      <c r="V266" s="6">
        <f>2*sigma/alpha*corel*(B266/12-1/alpha*(1-EXP(-alpha*Output!B266/12)))</f>
        <v>0.86692166233977064</v>
      </c>
      <c r="W266" s="5">
        <f t="shared" si="50"/>
        <v>-0.21750255202734431</v>
      </c>
      <c r="X266" s="1">
        <f t="shared" si="51"/>
        <v>19.239270090958218</v>
      </c>
      <c r="Y266" s="3">
        <f t="shared" si="52"/>
        <v>8.2807942924573164E-2</v>
      </c>
      <c r="Z266" s="1">
        <f t="shared" si="42"/>
        <v>0.13630894169468666</v>
      </c>
      <c r="AA266" s="8">
        <f t="shared" si="47"/>
        <v>21.166666666666636</v>
      </c>
      <c r="AB266" s="1">
        <v>21.25</v>
      </c>
      <c r="AC266" s="1">
        <v>7.1546668690000001E-3</v>
      </c>
      <c r="AD266" s="8">
        <f t="shared" si="43"/>
        <v>0.70507227266915395</v>
      </c>
      <c r="AE266" s="3">
        <f t="shared" si="44"/>
        <v>9.8547184037892331E-3</v>
      </c>
      <c r="AF266" s="11">
        <f t="shared" si="45"/>
        <v>21.166666666666636</v>
      </c>
      <c r="AG266" s="1">
        <f t="shared" si="46"/>
        <v>0.13630894169468666</v>
      </c>
    </row>
    <row r="267" spans="2:33" ht="15" x14ac:dyDescent="0.25">
      <c r="B267" s="1">
        <v>256</v>
      </c>
      <c r="C267" s="1">
        <v>1.0003732839823225</v>
      </c>
      <c r="D267" s="1">
        <v>1.1588041571067211</v>
      </c>
      <c r="E267" s="1">
        <v>0.86225951472260398</v>
      </c>
      <c r="G267" s="1">
        <v>0.99976860800085654</v>
      </c>
      <c r="H267" s="1">
        <v>3.5197403501900779</v>
      </c>
      <c r="I267" s="1">
        <v>0.25082787428182513</v>
      </c>
      <c r="K267" s="1">
        <v>1.0002035428893057</v>
      </c>
      <c r="L267" s="1">
        <v>3.7042219154128668</v>
      </c>
      <c r="M267" s="1">
        <v>0.23550442315149334</v>
      </c>
      <c r="O267" s="1">
        <v>7.094223641623325E-3</v>
      </c>
      <c r="P267" s="1">
        <v>0.85955244525705155</v>
      </c>
      <c r="R267" s="1">
        <v>0.16609744975903293</v>
      </c>
      <c r="S267" s="2">
        <f t="shared" si="48"/>
        <v>0.63021687809253302</v>
      </c>
      <c r="T267" s="4">
        <f t="shared" si="49"/>
        <v>0.39717331343269863</v>
      </c>
      <c r="U267" s="1">
        <f t="shared" si="53"/>
        <v>0.17903697792760287</v>
      </c>
      <c r="V267" s="6">
        <f>2*sigma/alpha*corel*(B267/12-1/alpha*(1-EXP(-alpha*Output!B267/12)))</f>
        <v>0.87289350229207496</v>
      </c>
      <c r="W267" s="5">
        <f t="shared" si="50"/>
        <v>-0.21813633550509576</v>
      </c>
      <c r="X267" s="1">
        <f t="shared" si="51"/>
        <v>19.376243696111896</v>
      </c>
      <c r="Y267" s="3">
        <f t="shared" si="52"/>
        <v>8.2709812154076884E-2</v>
      </c>
      <c r="Z267" s="1">
        <f t="shared" si="42"/>
        <v>0.13644595658046357</v>
      </c>
      <c r="AA267" s="8">
        <f t="shared" si="47"/>
        <v>21.249999999999968</v>
      </c>
      <c r="AB267" s="1">
        <v>21.33</v>
      </c>
      <c r="AC267" s="1">
        <v>7.1646435660000004E-3</v>
      </c>
      <c r="AD267" s="8">
        <f t="shared" si="43"/>
        <v>0.70419924376675413</v>
      </c>
      <c r="AE267" s="3">
        <f t="shared" si="44"/>
        <v>9.8288105650998422E-3</v>
      </c>
      <c r="AF267" s="11">
        <f t="shared" si="45"/>
        <v>21.249999999999968</v>
      </c>
      <c r="AG267" s="1">
        <f t="shared" si="46"/>
        <v>0.13644595658046357</v>
      </c>
    </row>
    <row r="268" spans="2:33" ht="15" x14ac:dyDescent="0.25">
      <c r="B268" s="1">
        <v>257</v>
      </c>
      <c r="C268" s="1">
        <v>1.0003751788307178</v>
      </c>
      <c r="D268" s="1">
        <v>1.1597009730469621</v>
      </c>
      <c r="E268" s="1">
        <v>0.86159116025945381</v>
      </c>
      <c r="G268" s="1">
        <v>0.99973190054935435</v>
      </c>
      <c r="H268" s="1">
        <v>3.5655713562248175</v>
      </c>
      <c r="I268" s="1">
        <v>0.24748394941691229</v>
      </c>
      <c r="K268" s="1">
        <v>1.0000498271452716</v>
      </c>
      <c r="L268" s="1">
        <v>3.6940850799753915</v>
      </c>
      <c r="M268" s="1">
        <v>0.23602753957587783</v>
      </c>
      <c r="O268" s="1">
        <v>7.1046039518280132E-3</v>
      </c>
      <c r="P268" s="1">
        <v>0.85885348630606484</v>
      </c>
      <c r="R268" s="1">
        <v>0.16642204218582923</v>
      </c>
      <c r="S268" s="2">
        <f t="shared" si="48"/>
        <v>0.63225027824764202</v>
      </c>
      <c r="T268" s="4">
        <f t="shared" si="49"/>
        <v>0.39974041434422075</v>
      </c>
      <c r="U268" s="1">
        <f t="shared" si="53"/>
        <v>0.18075728705056449</v>
      </c>
      <c r="V268" s="6">
        <f>2*sigma/alpha*corel*(B268/12-1/alpha*(1-EXP(-alpha*Output!B268/12)))</f>
        <v>0.87888013366735995</v>
      </c>
      <c r="W268" s="5">
        <f t="shared" si="50"/>
        <v>-0.21898312729365627</v>
      </c>
      <c r="X268" s="1">
        <f t="shared" si="51"/>
        <v>19.531984860845043</v>
      </c>
      <c r="Y268" s="3">
        <f t="shared" si="52"/>
        <v>8.2660398162967108E-2</v>
      </c>
      <c r="Z268" s="1">
        <f t="shared" si="42"/>
        <v>0.13661962549556073</v>
      </c>
      <c r="AA268" s="8">
        <f t="shared" si="47"/>
        <v>21.3333333333333</v>
      </c>
      <c r="AB268" s="1">
        <v>21.42</v>
      </c>
      <c r="AC268" s="1">
        <v>7.1750146170000001E-3</v>
      </c>
      <c r="AD268" s="8">
        <f t="shared" si="43"/>
        <v>0.70410665171986853</v>
      </c>
      <c r="AE268" s="3">
        <f t="shared" si="44"/>
        <v>9.8133131332109793E-3</v>
      </c>
      <c r="AF268" s="11">
        <f t="shared" si="45"/>
        <v>21.3333333333333</v>
      </c>
      <c r="AG268" s="1">
        <f t="shared" si="46"/>
        <v>0.13661962549556073</v>
      </c>
    </row>
    <row r="269" spans="2:33" ht="15" x14ac:dyDescent="0.25">
      <c r="B269" s="1">
        <v>258</v>
      </c>
      <c r="C269" s="1">
        <v>1.0003769974172609</v>
      </c>
      <c r="D269" s="1">
        <v>1.1577842868448456</v>
      </c>
      <c r="E269" s="1">
        <v>0.86301594865539077</v>
      </c>
      <c r="G269" s="1">
        <v>0.99969170912523475</v>
      </c>
      <c r="H269" s="1">
        <v>3.4931642195175705</v>
      </c>
      <c r="I269" s="1">
        <v>0.2524915890636279</v>
      </c>
      <c r="K269" s="1">
        <v>1.0001099725920806</v>
      </c>
      <c r="L269" s="1">
        <v>3.7545001350582914</v>
      </c>
      <c r="M269" s="1">
        <v>0.23210195821713731</v>
      </c>
      <c r="O269" s="1">
        <v>7.1152844318980741E-3</v>
      </c>
      <c r="P269" s="1">
        <v>0.85814807286644923</v>
      </c>
      <c r="R269" s="1">
        <v>0.16676497150555489</v>
      </c>
      <c r="S269" s="2">
        <f t="shared" si="48"/>
        <v>0.63434956500366368</v>
      </c>
      <c r="T269" s="4">
        <f t="shared" si="49"/>
        <v>0.40239937062033732</v>
      </c>
      <c r="U269" s="1">
        <f t="shared" si="53"/>
        <v>0.18248607918711102</v>
      </c>
      <c r="V269" s="6">
        <f>2*sigma/alpha*corel*(B269/12-1/alpha*(1-EXP(-alpha*Output!B269/12)))</f>
        <v>0.88488150724296522</v>
      </c>
      <c r="W269" s="5">
        <f t="shared" si="50"/>
        <v>-0.2199132914332263</v>
      </c>
      <c r="X269" s="1">
        <f t="shared" si="51"/>
        <v>19.695558345118044</v>
      </c>
      <c r="Y269" s="3">
        <f t="shared" si="52"/>
        <v>8.2629914181418782E-2</v>
      </c>
      <c r="Z269" s="1">
        <f t="shared" ref="Z269:Z332" si="54">S269/SQRT(B269/12)</f>
        <v>0.13680734554947976</v>
      </c>
      <c r="AA269" s="8">
        <f t="shared" si="47"/>
        <v>21.416666666666632</v>
      </c>
      <c r="AB269" s="1">
        <v>21.5</v>
      </c>
      <c r="AC269" s="1">
        <v>7.1857239629999998E-3</v>
      </c>
      <c r="AD269" s="8">
        <f t="shared" ref="AD269:AD332" si="55">(AC269-O269)*10000</f>
        <v>0.70439531101925723</v>
      </c>
      <c r="AE269" s="3">
        <f t="shared" ref="AE269:AE332" si="56">AD269/AC269/10000</f>
        <v>9.8027048443032061E-3</v>
      </c>
      <c r="AF269" s="11">
        <f t="shared" ref="AF269:AF332" si="57">AA269</f>
        <v>21.416666666666632</v>
      </c>
      <c r="AG269" s="1">
        <f t="shared" ref="AG269:AG332" si="58">Z269</f>
        <v>0.13680734554947976</v>
      </c>
    </row>
    <row r="270" spans="2:33" ht="15" x14ac:dyDescent="0.25">
      <c r="B270" s="1">
        <v>259</v>
      </c>
      <c r="C270" s="1">
        <v>1.0003764256215513</v>
      </c>
      <c r="D270" s="1">
        <v>1.1558268736651802</v>
      </c>
      <c r="E270" s="1">
        <v>0.86447592268022899</v>
      </c>
      <c r="G270" s="1">
        <v>0.99946847835523167</v>
      </c>
      <c r="H270" s="1">
        <v>3.4404642333690791</v>
      </c>
      <c r="I270" s="1">
        <v>0.2562351010878135</v>
      </c>
      <c r="K270" s="1">
        <v>0.99996607233471557</v>
      </c>
      <c r="L270" s="1">
        <v>3.5586089225943369</v>
      </c>
      <c r="M270" s="1">
        <v>0.24474195137610044</v>
      </c>
      <c r="O270" s="1">
        <v>7.1262936810180828E-3</v>
      </c>
      <c r="P270" s="1">
        <v>0.85743562817063346</v>
      </c>
      <c r="R270" s="1">
        <v>0.16705994906065125</v>
      </c>
      <c r="S270" s="2">
        <f t="shared" si="48"/>
        <v>0.63632146479434559</v>
      </c>
      <c r="T270" s="4">
        <f t="shared" si="49"/>
        <v>0.40490500655802159</v>
      </c>
      <c r="U270" s="1">
        <f t="shared" si="53"/>
        <v>0.18422334686751229</v>
      </c>
      <c r="V270" s="6">
        <f>2*sigma/alpha*corel*(B270/12-1/alpha*(1-EXP(-alpha*Output!B270/12)))</f>
        <v>0.89089757396003311</v>
      </c>
      <c r="W270" s="5">
        <f t="shared" si="50"/>
        <v>-0.22068165969050929</v>
      </c>
      <c r="X270" s="1">
        <f t="shared" si="51"/>
        <v>19.845881773901844</v>
      </c>
      <c r="Y270" s="3">
        <f t="shared" si="52"/>
        <v>8.2563106934088581E-2</v>
      </c>
      <c r="Z270" s="1">
        <f t="shared" si="54"/>
        <v>0.13696743234770734</v>
      </c>
      <c r="AA270" s="8">
        <f t="shared" ref="AA270:AA333" si="59">AA269+1/12</f>
        <v>21.499999999999964</v>
      </c>
      <c r="AB270" s="1">
        <v>21.58</v>
      </c>
      <c r="AC270" s="1">
        <v>7.1967155430000002E-3</v>
      </c>
      <c r="AD270" s="8">
        <f t="shared" si="55"/>
        <v>0.70421861981917466</v>
      </c>
      <c r="AE270" s="3">
        <f t="shared" si="56"/>
        <v>9.7852779592510659E-3</v>
      </c>
      <c r="AF270" s="11">
        <f t="shared" si="57"/>
        <v>21.499999999999964</v>
      </c>
      <c r="AG270" s="1">
        <f t="shared" si="58"/>
        <v>0.13696743234770734</v>
      </c>
    </row>
    <row r="271" spans="2:33" ht="15" x14ac:dyDescent="0.25">
      <c r="B271" s="1">
        <v>260</v>
      </c>
      <c r="C271" s="1">
        <v>1.0003763480890282</v>
      </c>
      <c r="D271" s="1">
        <v>1.1551709648138648</v>
      </c>
      <c r="E271" s="1">
        <v>0.86496521512443347</v>
      </c>
      <c r="G271" s="1">
        <v>0.9992782679126907</v>
      </c>
      <c r="H271" s="1">
        <v>3.438135004334872</v>
      </c>
      <c r="I271" s="1">
        <v>0.25628459257014874</v>
      </c>
      <c r="K271" s="1">
        <v>0.99994406031927263</v>
      </c>
      <c r="L271" s="1">
        <v>3.5093796946320919</v>
      </c>
      <c r="M271" s="1">
        <v>0.24806568273772187</v>
      </c>
      <c r="O271" s="1">
        <v>7.1375346504955715E-3</v>
      </c>
      <c r="P271" s="1">
        <v>0.85671790172004469</v>
      </c>
      <c r="R271" s="1">
        <v>0.16738821561569742</v>
      </c>
      <c r="S271" s="2">
        <f t="shared" si="48"/>
        <v>0.63840133791715092</v>
      </c>
      <c r="T271" s="4">
        <f t="shared" si="49"/>
        <v>0.40755626825440833</v>
      </c>
      <c r="U271" s="1">
        <f t="shared" si="53"/>
        <v>0.18596908250895661</v>
      </c>
      <c r="V271" s="6">
        <f>2*sigma/alpha*corel*(B271/12-1/alpha*(1-EXP(-alpha*Output!B271/12)))</f>
        <v>0.8969282849229645</v>
      </c>
      <c r="W271" s="5">
        <f t="shared" si="50"/>
        <v>-0.22158718574545172</v>
      </c>
      <c r="X271" s="1">
        <f t="shared" si="51"/>
        <v>20.008703112900669</v>
      </c>
      <c r="Y271" s="3">
        <f t="shared" si="52"/>
        <v>8.2527244658008314E-2</v>
      </c>
      <c r="Z271" s="1">
        <f t="shared" si="54"/>
        <v>0.13715060810674379</v>
      </c>
      <c r="AA271" s="8">
        <f t="shared" si="59"/>
        <v>21.583333333333297</v>
      </c>
      <c r="AB271" s="1">
        <v>21.67</v>
      </c>
      <c r="AC271" s="1">
        <v>7.2079332050000002E-3</v>
      </c>
      <c r="AD271" s="8">
        <f t="shared" si="55"/>
        <v>0.70398554504428645</v>
      </c>
      <c r="AE271" s="3">
        <f t="shared" si="56"/>
        <v>9.7668156047276584E-3</v>
      </c>
      <c r="AF271" s="11">
        <f t="shared" si="57"/>
        <v>21.583333333333297</v>
      </c>
      <c r="AG271" s="1">
        <f t="shared" si="58"/>
        <v>0.13715060810674379</v>
      </c>
    </row>
    <row r="272" spans="2:33" ht="15" x14ac:dyDescent="0.25">
      <c r="B272" s="1">
        <v>261</v>
      </c>
      <c r="C272" s="1">
        <v>1.0003781095332895</v>
      </c>
      <c r="D272" s="1">
        <v>1.1562369491545479</v>
      </c>
      <c r="E272" s="1">
        <v>0.86416620920035481</v>
      </c>
      <c r="G272" s="1">
        <v>0.99926217571626075</v>
      </c>
      <c r="H272" s="1">
        <v>3.452655230757931</v>
      </c>
      <c r="I272" s="1">
        <v>0.25508326478452531</v>
      </c>
      <c r="K272" s="1">
        <v>0.99999246917713891</v>
      </c>
      <c r="L272" s="1">
        <v>3.5086197874314293</v>
      </c>
      <c r="M272" s="1">
        <v>0.24798415497185738</v>
      </c>
      <c r="O272" s="1">
        <v>7.1488659771925048E-3</v>
      </c>
      <c r="P272" s="1">
        <v>0.85599749007168779</v>
      </c>
      <c r="R272" s="1">
        <v>0.16783675895443798</v>
      </c>
      <c r="S272" s="2">
        <f t="shared" si="48"/>
        <v>0.64084092930172698</v>
      </c>
      <c r="T272" s="4">
        <f t="shared" si="49"/>
        <v>0.41067709666830104</v>
      </c>
      <c r="U272" s="1">
        <f t="shared" si="53"/>
        <v>0.187723278416843</v>
      </c>
      <c r="V272" s="6">
        <f>2*sigma/alpha*corel*(B272/12-1/alpha*(1-EXP(-alpha*Output!B272/12)))</f>
        <v>0.9029735913988719</v>
      </c>
      <c r="W272" s="5">
        <f t="shared" si="50"/>
        <v>-0.22295381825145805</v>
      </c>
      <c r="X272" s="1">
        <f t="shared" si="51"/>
        <v>20.212343494640624</v>
      </c>
      <c r="Y272" s="3">
        <f t="shared" si="52"/>
        <v>8.2594032310162824E-2</v>
      </c>
      <c r="Z272" s="1">
        <f t="shared" si="54"/>
        <v>0.13741071862829651</v>
      </c>
      <c r="AA272" s="8">
        <f t="shared" si="59"/>
        <v>21.666666666666629</v>
      </c>
      <c r="AB272" s="1">
        <v>21.75</v>
      </c>
      <c r="AC272" s="1">
        <v>7.2193204360000004E-3</v>
      </c>
      <c r="AD272" s="8">
        <f t="shared" si="55"/>
        <v>0.70454458807495646</v>
      </c>
      <c r="AE272" s="3">
        <f t="shared" si="56"/>
        <v>9.7591538472466318E-3</v>
      </c>
      <c r="AF272" s="11">
        <f t="shared" si="57"/>
        <v>21.666666666666629</v>
      </c>
      <c r="AG272" s="1">
        <f t="shared" si="58"/>
        <v>0.13741071862829651</v>
      </c>
    </row>
    <row r="273" spans="2:33" ht="15" x14ac:dyDescent="0.25">
      <c r="B273" s="1">
        <v>262</v>
      </c>
      <c r="C273" s="1">
        <v>1.0003812316534404</v>
      </c>
      <c r="D273" s="1">
        <v>1.1559464677007085</v>
      </c>
      <c r="E273" s="1">
        <v>0.86438181114113199</v>
      </c>
      <c r="G273" s="1">
        <v>0.99932906355235851</v>
      </c>
      <c r="H273" s="1">
        <v>3.4448499395109886</v>
      </c>
      <c r="I273" s="1">
        <v>0.25553749381356405</v>
      </c>
      <c r="K273" s="1">
        <v>0.9998303700009884</v>
      </c>
      <c r="L273" s="1">
        <v>3.6467120937306934</v>
      </c>
      <c r="M273" s="1">
        <v>0.23845431028528125</v>
      </c>
      <c r="O273" s="1">
        <v>7.1602400589152737E-3</v>
      </c>
      <c r="P273" s="1">
        <v>0.85527527059170905</v>
      </c>
      <c r="R273" s="1">
        <v>0.16805926798000564</v>
      </c>
      <c r="S273" s="2">
        <f t="shared" si="48"/>
        <v>0.64262176285449923</v>
      </c>
      <c r="T273" s="4">
        <f t="shared" si="49"/>
        <v>0.41296273009422424</v>
      </c>
      <c r="U273" s="1">
        <f t="shared" si="53"/>
        <v>0.18948592678606557</v>
      </c>
      <c r="V273" s="6">
        <f>2*sigma/alpha*corel*(B273/12-1/alpha*(1-EXP(-alpha*Output!B273/12)))</f>
        <v>0.90903344481704162</v>
      </c>
      <c r="W273" s="5">
        <f t="shared" si="50"/>
        <v>-0.22347680330815867</v>
      </c>
      <c r="X273" s="1">
        <f t="shared" si="51"/>
        <v>20.343315959375126</v>
      </c>
      <c r="Y273" s="3">
        <f t="shared" si="52"/>
        <v>8.2473047578791425E-2</v>
      </c>
      <c r="Z273" s="1">
        <f t="shared" si="54"/>
        <v>0.13752935510561373</v>
      </c>
      <c r="AA273" s="8">
        <f t="shared" si="59"/>
        <v>21.749999999999961</v>
      </c>
      <c r="AB273" s="1">
        <v>21.83</v>
      </c>
      <c r="AC273" s="1">
        <v>7.2308206270000003E-3</v>
      </c>
      <c r="AD273" s="8">
        <f t="shared" si="55"/>
        <v>0.70580568084726603</v>
      </c>
      <c r="AE273" s="3">
        <f t="shared" si="56"/>
        <v>9.7610730130930964E-3</v>
      </c>
      <c r="AF273" s="11">
        <f t="shared" si="57"/>
        <v>21.749999999999961</v>
      </c>
      <c r="AG273" s="1">
        <f t="shared" si="58"/>
        <v>0.13752935510561373</v>
      </c>
    </row>
    <row r="274" spans="2:33" ht="15" x14ac:dyDescent="0.25">
      <c r="B274" s="1">
        <v>263</v>
      </c>
      <c r="C274" s="1">
        <v>1.0003834444137918</v>
      </c>
      <c r="D274" s="1">
        <v>1.1589720507984329</v>
      </c>
      <c r="E274" s="1">
        <v>0.86212372493382095</v>
      </c>
      <c r="G274" s="1">
        <v>0.9993390130362193</v>
      </c>
      <c r="H274" s="1">
        <v>3.5309513701195887</v>
      </c>
      <c r="I274" s="1">
        <v>0.24918561345957918</v>
      </c>
      <c r="K274" s="1">
        <v>0.99983277048621844</v>
      </c>
      <c r="L274" s="1">
        <v>3.6097992665937846</v>
      </c>
      <c r="M274" s="1">
        <v>0.24076603082709649</v>
      </c>
      <c r="O274" s="1">
        <v>7.1716281607979923E-3</v>
      </c>
      <c r="P274" s="1">
        <v>0.85455177791887504</v>
      </c>
      <c r="R274" s="1">
        <v>0.16837724440376528</v>
      </c>
      <c r="S274" s="2">
        <f t="shared" si="48"/>
        <v>0.644687231769006</v>
      </c>
      <c r="T274" s="4">
        <f t="shared" si="49"/>
        <v>0.41562162680598408</v>
      </c>
      <c r="U274" s="1">
        <f t="shared" si="53"/>
        <v>0.19125701970228315</v>
      </c>
      <c r="V274" s="6">
        <f>2*sigma/alpha*corel*(B274/12-1/alpha*(1-EXP(-alpha*Output!B274/12)))</f>
        <v>0.91510779676839404</v>
      </c>
      <c r="W274" s="5">
        <f t="shared" si="50"/>
        <v>-0.22436460710370093</v>
      </c>
      <c r="X274" s="1">
        <f t="shared" si="51"/>
        <v>20.506719502464083</v>
      </c>
      <c r="Y274" s="3">
        <f t="shared" si="52"/>
        <v>8.2433310032278342E-2</v>
      </c>
      <c r="Z274" s="1">
        <f t="shared" si="54"/>
        <v>0.13770883928420527</v>
      </c>
      <c r="AA274" s="8">
        <f t="shared" si="59"/>
        <v>21.833333333333293</v>
      </c>
      <c r="AB274" s="1">
        <v>21.92</v>
      </c>
      <c r="AC274" s="1">
        <v>7.2423771739999997E-3</v>
      </c>
      <c r="AD274" s="8">
        <f t="shared" si="55"/>
        <v>0.70749013202007349</v>
      </c>
      <c r="AE274" s="3">
        <f t="shared" si="56"/>
        <v>9.768755686460932E-3</v>
      </c>
      <c r="AF274" s="11">
        <f t="shared" si="57"/>
        <v>21.833333333333293</v>
      </c>
      <c r="AG274" s="1">
        <f t="shared" si="58"/>
        <v>0.13770883928420527</v>
      </c>
    </row>
    <row r="275" spans="2:33" ht="15" x14ac:dyDescent="0.25">
      <c r="B275" s="1">
        <v>264</v>
      </c>
      <c r="C275" s="1">
        <v>1.0003861031784622</v>
      </c>
      <c r="D275" s="1">
        <v>1.163566857687397</v>
      </c>
      <c r="E275" s="1">
        <v>0.85871773974443844</v>
      </c>
      <c r="G275" s="1">
        <v>0.99937690103818422</v>
      </c>
      <c r="H275" s="1">
        <v>3.6596053551298229</v>
      </c>
      <c r="I275" s="1">
        <v>0.24030909684696486</v>
      </c>
      <c r="K275" s="1">
        <v>0.9998926068330396</v>
      </c>
      <c r="L275" s="1">
        <v>3.4442309171152985</v>
      </c>
      <c r="M275" s="1">
        <v>0.25220437304354004</v>
      </c>
      <c r="O275" s="1">
        <v>7.1829173285343374E-3</v>
      </c>
      <c r="P275" s="1">
        <v>0.85382913508206959</v>
      </c>
      <c r="R275" s="1">
        <v>0.16866687663215635</v>
      </c>
      <c r="S275" s="2">
        <f t="shared" si="48"/>
        <v>0.64667015465052646</v>
      </c>
      <c r="T275" s="4">
        <f t="shared" si="49"/>
        <v>0.41818228891573583</v>
      </c>
      <c r="U275" s="1">
        <f t="shared" si="53"/>
        <v>0.19303654914318358</v>
      </c>
      <c r="V275" s="6">
        <f>2*sigma/alpha*corel*(B275/12-1/alpha*(1-EXP(-alpha*Output!B275/12)))</f>
        <v>0.92119659900494155</v>
      </c>
      <c r="W275" s="5">
        <f t="shared" si="50"/>
        <v>-0.22514573977255226</v>
      </c>
      <c r="X275" s="1">
        <f t="shared" si="51"/>
        <v>20.661428274002869</v>
      </c>
      <c r="Y275" s="3">
        <f t="shared" si="52"/>
        <v>8.2370176903743569E-2</v>
      </c>
      <c r="Z275" s="1">
        <f t="shared" si="54"/>
        <v>0.13787054021728562</v>
      </c>
      <c r="AA275" s="8">
        <f t="shared" si="59"/>
        <v>21.916666666666625</v>
      </c>
      <c r="AB275" s="1">
        <v>22</v>
      </c>
      <c r="AC275" s="1">
        <v>7.253933469E-3</v>
      </c>
      <c r="AD275" s="8">
        <f t="shared" si="55"/>
        <v>0.71016140465662669</v>
      </c>
      <c r="AE275" s="3">
        <f t="shared" si="56"/>
        <v>9.7900181700250263E-3</v>
      </c>
      <c r="AF275" s="11">
        <f t="shared" si="57"/>
        <v>21.916666666666625</v>
      </c>
      <c r="AG275" s="1">
        <f t="shared" si="58"/>
        <v>0.13787054021728562</v>
      </c>
    </row>
    <row r="276" spans="2:33" ht="15" x14ac:dyDescent="0.25">
      <c r="B276" s="1">
        <v>265</v>
      </c>
      <c r="C276" s="1">
        <v>1.0003887166640202</v>
      </c>
      <c r="D276" s="1">
        <v>1.156560627342496</v>
      </c>
      <c r="E276" s="1">
        <v>0.863918137543632</v>
      </c>
      <c r="G276" s="1">
        <v>0.99941440418238248</v>
      </c>
      <c r="H276" s="1">
        <v>3.4669965959640603</v>
      </c>
      <c r="I276" s="1">
        <v>0.25353669066895312</v>
      </c>
      <c r="K276" s="1">
        <v>1.0000475320087185</v>
      </c>
      <c r="L276" s="1">
        <v>3.4153166996308619</v>
      </c>
      <c r="M276" s="1">
        <v>0.25419752213789293</v>
      </c>
      <c r="O276" s="1">
        <v>7.1941136868679976E-3</v>
      </c>
      <c r="P276" s="1">
        <v>0.85310724667378746</v>
      </c>
      <c r="R276" s="1">
        <v>0.16893720717155317</v>
      </c>
      <c r="S276" s="2">
        <f t="shared" si="48"/>
        <v>0.64859711687049937</v>
      </c>
      <c r="T276" s="4">
        <f t="shared" si="49"/>
        <v>0.4206782200127242</v>
      </c>
      <c r="U276" s="1">
        <f t="shared" si="53"/>
        <v>0.19482450697973341</v>
      </c>
      <c r="V276" s="6">
        <f>2*sigma/alpha*corel*(B276/12-1/alpha*(1-EXP(-alpha*Output!B276/12)))</f>
        <v>0.92729980343925833</v>
      </c>
      <c r="W276" s="5">
        <f t="shared" si="50"/>
        <v>-0.22585371303299079</v>
      </c>
      <c r="X276" s="1">
        <f t="shared" si="51"/>
        <v>20.810296243372672</v>
      </c>
      <c r="Y276" s="3">
        <f t="shared" si="52"/>
        <v>8.2291257909098608E-2</v>
      </c>
      <c r="Z276" s="1">
        <f t="shared" si="54"/>
        <v>0.13802021509243165</v>
      </c>
      <c r="AA276" s="8">
        <f t="shared" si="59"/>
        <v>21.999999999999957</v>
      </c>
      <c r="AB276" s="1">
        <v>22.08</v>
      </c>
      <c r="AC276" s="1">
        <v>7.2654329060000003E-3</v>
      </c>
      <c r="AD276" s="8">
        <f t="shared" si="55"/>
        <v>0.7131921913200272</v>
      </c>
      <c r="AE276" s="3">
        <f t="shared" si="56"/>
        <v>9.8162380762067576E-3</v>
      </c>
      <c r="AF276" s="11">
        <f t="shared" si="57"/>
        <v>21.999999999999957</v>
      </c>
      <c r="AG276" s="1">
        <f t="shared" si="58"/>
        <v>0.13802021509243165</v>
      </c>
    </row>
    <row r="277" spans="2:33" ht="15" x14ac:dyDescent="0.25">
      <c r="B277" s="1">
        <v>266</v>
      </c>
      <c r="C277" s="1">
        <v>1.0003895023838976</v>
      </c>
      <c r="D277" s="1">
        <v>1.1551215880843286</v>
      </c>
      <c r="E277" s="1">
        <v>0.86499284100597673</v>
      </c>
      <c r="G277" s="1">
        <v>0.99929012677295503</v>
      </c>
      <c r="H277" s="1">
        <v>3.4263523524673154</v>
      </c>
      <c r="I277" s="1">
        <v>0.25642004958002246</v>
      </c>
      <c r="K277" s="1">
        <v>1.0000639594231671</v>
      </c>
      <c r="L277" s="1">
        <v>3.5064671143255652</v>
      </c>
      <c r="M277" s="1">
        <v>0.24746600098667784</v>
      </c>
      <c r="O277" s="1">
        <v>7.2051788352900476E-3</v>
      </c>
      <c r="P277" s="1">
        <v>0.85238685715207152</v>
      </c>
      <c r="R277" s="1">
        <v>0.16916714399306576</v>
      </c>
      <c r="S277" s="2">
        <f t="shared" si="48"/>
        <v>0.65040458188590877</v>
      </c>
      <c r="T277" s="4">
        <f t="shared" si="49"/>
        <v>0.4230261201381838</v>
      </c>
      <c r="U277" s="1">
        <f t="shared" si="53"/>
        <v>0.19662088497742181</v>
      </c>
      <c r="V277" s="6">
        <f>2*sigma/alpha*corel*(B277/12-1/alpha*(1-EXP(-alpha*Output!B277/12)))</f>
        <v>0.93341736214394122</v>
      </c>
      <c r="W277" s="5">
        <f t="shared" si="50"/>
        <v>-0.226405235160762</v>
      </c>
      <c r="X277" s="1">
        <f t="shared" si="51"/>
        <v>20.945865489539315</v>
      </c>
      <c r="Y277" s="3">
        <f t="shared" si="52"/>
        <v>8.2178525459429635E-2</v>
      </c>
      <c r="Z277" s="1">
        <f t="shared" si="54"/>
        <v>0.13814443571500015</v>
      </c>
      <c r="AA277" s="8">
        <f t="shared" si="59"/>
        <v>22.08333333333329</v>
      </c>
      <c r="AB277" s="1">
        <v>22.17</v>
      </c>
      <c r="AC277" s="1">
        <v>7.2768288670000004E-3</v>
      </c>
      <c r="AD277" s="8">
        <f t="shared" si="55"/>
        <v>0.71650031709952733</v>
      </c>
      <c r="AE277" s="3">
        <f t="shared" si="56"/>
        <v>9.8463263352092135E-3</v>
      </c>
      <c r="AF277" s="11">
        <f t="shared" si="57"/>
        <v>22.08333333333329</v>
      </c>
      <c r="AG277" s="1">
        <f t="shared" si="58"/>
        <v>0.13814443571500015</v>
      </c>
    </row>
    <row r="278" spans="2:33" ht="15" x14ac:dyDescent="0.25">
      <c r="B278" s="1">
        <v>267</v>
      </c>
      <c r="C278" s="1">
        <v>1.0003930475272078</v>
      </c>
      <c r="D278" s="1">
        <v>1.1543112361035242</v>
      </c>
      <c r="E278" s="1">
        <v>0.8655985266777162</v>
      </c>
      <c r="G278" s="1">
        <v>0.99939939695400171</v>
      </c>
      <c r="H278" s="1">
        <v>3.4029604429149454</v>
      </c>
      <c r="I278" s="1">
        <v>0.25805773006470362</v>
      </c>
      <c r="K278" s="1">
        <v>1.0000864272549079</v>
      </c>
      <c r="L278" s="1">
        <v>3.5585363118614253</v>
      </c>
      <c r="M278" s="1">
        <v>0.24370701986018786</v>
      </c>
      <c r="O278" s="1">
        <v>7.2161810688183602E-3</v>
      </c>
      <c r="P278" s="1">
        <v>0.85166669752360102</v>
      </c>
      <c r="R278" s="1">
        <v>0.16959195309162062</v>
      </c>
      <c r="S278" s="2">
        <f t="shared" si="48"/>
        <v>0.65278889440182497</v>
      </c>
      <c r="T278" s="4">
        <f t="shared" si="49"/>
        <v>0.42613334065435698</v>
      </c>
      <c r="U278" s="1">
        <f t="shared" si="53"/>
        <v>0.19842567479748929</v>
      </c>
      <c r="V278" s="6">
        <f>2*sigma/alpha*corel*(B278/12-1/alpha*(1-EXP(-alpha*Output!B278/12)))</f>
        <v>0.93954922735107993</v>
      </c>
      <c r="W278" s="5">
        <f t="shared" si="50"/>
        <v>-0.22770766585686769</v>
      </c>
      <c r="X278" s="1">
        <f t="shared" si="51"/>
        <v>21.148735011877235</v>
      </c>
      <c r="Y278" s="3">
        <f t="shared" si="52"/>
        <v>8.2229801222661145E-2</v>
      </c>
      <c r="Z278" s="1">
        <f t="shared" si="54"/>
        <v>0.13839096883152602</v>
      </c>
      <c r="AA278" s="8">
        <f t="shared" si="59"/>
        <v>22.166666666666622</v>
      </c>
      <c r="AB278" s="1">
        <v>22.25</v>
      </c>
      <c r="AC278" s="1">
        <v>7.2881146879999999E-3</v>
      </c>
      <c r="AD278" s="8">
        <f t="shared" si="55"/>
        <v>0.71933619181639707</v>
      </c>
      <c r="AE278" s="3">
        <f t="shared" si="56"/>
        <v>9.8699900126543831E-3</v>
      </c>
      <c r="AF278" s="11">
        <f t="shared" si="57"/>
        <v>22.166666666666622</v>
      </c>
      <c r="AG278" s="1">
        <f t="shared" si="58"/>
        <v>0.13839096883152602</v>
      </c>
    </row>
    <row r="279" spans="2:33" ht="15" x14ac:dyDescent="0.25">
      <c r="B279" s="1">
        <v>268</v>
      </c>
      <c r="C279" s="1">
        <v>1.000398852644889</v>
      </c>
      <c r="D279" s="1">
        <v>1.1537044557239882</v>
      </c>
      <c r="E279" s="1">
        <v>0.86605222127359371</v>
      </c>
      <c r="G279" s="1">
        <v>0.99967154831268379</v>
      </c>
      <c r="H279" s="1">
        <v>3.3742472522868954</v>
      </c>
      <c r="I279" s="1">
        <v>0.26012772621147479</v>
      </c>
      <c r="K279" s="1">
        <v>0.99983586017505766</v>
      </c>
      <c r="L279" s="1">
        <v>3.5336953818518047</v>
      </c>
      <c r="M279" s="1">
        <v>0.24530550826465722</v>
      </c>
      <c r="O279" s="1">
        <v>7.2271202514143018E-3</v>
      </c>
      <c r="P279" s="1">
        <v>0.85094678420350855</v>
      </c>
      <c r="R279" s="1">
        <v>0.16982585888381088</v>
      </c>
      <c r="S279" s="2">
        <f t="shared" ref="S279:S342" si="60">optim_vol_implied(P279,R279)</f>
        <v>0.65461147297880218</v>
      </c>
      <c r="T279" s="4">
        <f t="shared" ref="T279:T342" si="61">S279*S279</f>
        <v>0.42851618055547708</v>
      </c>
      <c r="U279" s="1">
        <f t="shared" si="53"/>
        <v>0.20023886799815171</v>
      </c>
      <c r="V279" s="6">
        <f>2*sigma/alpha*corel*(B279/12-1/alpha*(1-EXP(-alpha*Output!B279/12)))</f>
        <v>0.94569535145172434</v>
      </c>
      <c r="W279" s="5">
        <f t="shared" ref="W279:W342" si="62">U279-T279</f>
        <v>-0.22827731255732536</v>
      </c>
      <c r="X279" s="1">
        <f t="shared" ref="X279:X342" si="63">V279*V279-4*W279*B279/12</f>
        <v>21.287112952878466</v>
      </c>
      <c r="Y279" s="3">
        <f t="shared" ref="Y279:Y342" si="64">(-V279+SQRT(X279))/2/B279*12</f>
        <v>8.2121654911496922E-2</v>
      </c>
      <c r="Z279" s="1">
        <f t="shared" si="54"/>
        <v>0.13851819976690122</v>
      </c>
      <c r="AA279" s="8">
        <f t="shared" si="59"/>
        <v>22.249999999999954</v>
      </c>
      <c r="AB279" s="1">
        <v>22.33</v>
      </c>
      <c r="AC279" s="1">
        <v>7.2992936919999999E-3</v>
      </c>
      <c r="AD279" s="8">
        <f t="shared" si="55"/>
        <v>0.72173440585698168</v>
      </c>
      <c r="AE279" s="3">
        <f t="shared" si="56"/>
        <v>9.8877293654864168E-3</v>
      </c>
      <c r="AF279" s="11">
        <f t="shared" si="57"/>
        <v>22.249999999999954</v>
      </c>
      <c r="AG279" s="1">
        <f t="shared" si="58"/>
        <v>0.13851819976690122</v>
      </c>
    </row>
    <row r="280" spans="2:33" ht="15" x14ac:dyDescent="0.25">
      <c r="B280" s="1">
        <v>269</v>
      </c>
      <c r="C280" s="1">
        <v>1.0004014828968748</v>
      </c>
      <c r="D280" s="1">
        <v>1.1526345662867776</v>
      </c>
      <c r="E280" s="1">
        <v>0.86685454093034064</v>
      </c>
      <c r="G280" s="1">
        <v>0.99971133458078043</v>
      </c>
      <c r="H280" s="1">
        <v>3.3470772259580515</v>
      </c>
      <c r="I280" s="1">
        <v>0.26211241465561735</v>
      </c>
      <c r="K280" s="1">
        <v>1.0000154364601925</v>
      </c>
      <c r="L280" s="1">
        <v>3.6193620465345373</v>
      </c>
      <c r="M280" s="1">
        <v>0.23936367123186758</v>
      </c>
      <c r="O280" s="1">
        <v>7.2379538982247828E-3</v>
      </c>
      <c r="P280" s="1">
        <v>0.85022794072814789</v>
      </c>
      <c r="R280" s="1">
        <v>0.17023082915830498</v>
      </c>
      <c r="S280" s="2">
        <f t="shared" si="60"/>
        <v>0.65694021203614339</v>
      </c>
      <c r="T280" s="4">
        <f t="shared" si="61"/>
        <v>0.43157044219009305</v>
      </c>
      <c r="U280" s="1">
        <f t="shared" si="53"/>
        <v>0.20206045603581169</v>
      </c>
      <c r="V280" s="6">
        <f>2*sigma/alpha*corel*(B280/12-1/alpha*(1-EXP(-alpha*Output!B280/12)))</f>
        <v>0.95185568699535983</v>
      </c>
      <c r="W280" s="5">
        <f t="shared" si="62"/>
        <v>-0.22950998615428136</v>
      </c>
      <c r="X280" s="1">
        <f t="shared" si="63"/>
        <v>21.48542467403264</v>
      </c>
      <c r="Y280" s="3">
        <f t="shared" si="64"/>
        <v>8.2157210330198654E-2</v>
      </c>
      <c r="Z280" s="1">
        <f t="shared" si="54"/>
        <v>0.13875234424867311</v>
      </c>
      <c r="AA280" s="8">
        <f t="shared" si="59"/>
        <v>22.333333333333286</v>
      </c>
      <c r="AB280" s="1">
        <v>22.42</v>
      </c>
      <c r="AC280" s="1">
        <v>7.3103692019999998E-3</v>
      </c>
      <c r="AD280" s="8">
        <f t="shared" si="55"/>
        <v>0.72415303775216944</v>
      </c>
      <c r="AE280" s="3">
        <f t="shared" si="56"/>
        <v>9.9058339974683191E-3</v>
      </c>
      <c r="AF280" s="11">
        <f t="shared" si="57"/>
        <v>22.333333333333286</v>
      </c>
      <c r="AG280" s="1">
        <f t="shared" si="58"/>
        <v>0.13875234424867311</v>
      </c>
    </row>
    <row r="281" spans="2:33" ht="15" x14ac:dyDescent="0.25">
      <c r="B281" s="1">
        <v>270</v>
      </c>
      <c r="C281" s="1">
        <v>1.0004024851506619</v>
      </c>
      <c r="D281" s="1">
        <v>1.1529049280632173</v>
      </c>
      <c r="E281" s="1">
        <v>0.86664969916193491</v>
      </c>
      <c r="G281" s="1">
        <v>0.99961376985411665</v>
      </c>
      <c r="H281" s="1">
        <v>3.3634864908591804</v>
      </c>
      <c r="I281" s="1">
        <v>0.26070743401275243</v>
      </c>
      <c r="K281" s="1">
        <v>0.99992376839974739</v>
      </c>
      <c r="L281" s="1">
        <v>3.6554631420853756</v>
      </c>
      <c r="M281" s="1">
        <v>0.23687872493857265</v>
      </c>
      <c r="O281" s="1">
        <v>7.2486929553905108E-3</v>
      </c>
      <c r="P281" s="1">
        <v>0.84950997860320343</v>
      </c>
      <c r="R281" s="1">
        <v>0.17055583101722205</v>
      </c>
      <c r="S281" s="2">
        <f t="shared" si="60"/>
        <v>0.6590335533031022</v>
      </c>
      <c r="T281" s="4">
        <f t="shared" si="61"/>
        <v>0.43432522437931287</v>
      </c>
      <c r="U281" s="1">
        <f t="shared" si="53"/>
        <v>0.20389043026625764</v>
      </c>
      <c r="V281" s="6">
        <f>2*sigma/alpha*corel*(B281/12-1/alpha*(1-EXP(-alpha*Output!B281/12)))</f>
        <v>0.95803018668937212</v>
      </c>
      <c r="W281" s="5">
        <f t="shared" si="62"/>
        <v>-0.23043479411305523</v>
      </c>
      <c r="X281" s="1">
        <f t="shared" si="63"/>
        <v>21.656953308783045</v>
      </c>
      <c r="Y281" s="3">
        <f t="shared" si="64"/>
        <v>8.2126066568728479E-2</v>
      </c>
      <c r="Z281" s="1">
        <f t="shared" si="54"/>
        <v>0.13893647219411911</v>
      </c>
      <c r="AA281" s="8">
        <f t="shared" si="59"/>
        <v>22.416666666666618</v>
      </c>
      <c r="AB281" s="1">
        <v>22.5</v>
      </c>
      <c r="AC281" s="1">
        <v>7.3213445409999996E-3</v>
      </c>
      <c r="AD281" s="8">
        <f t="shared" si="55"/>
        <v>0.72651585609488822</v>
      </c>
      <c r="AE281" s="3">
        <f t="shared" si="56"/>
        <v>9.9232572927875854E-3</v>
      </c>
      <c r="AF281" s="11">
        <f t="shared" si="57"/>
        <v>22.416666666666618</v>
      </c>
      <c r="AG281" s="1">
        <f t="shared" si="58"/>
        <v>0.13893647219411911</v>
      </c>
    </row>
    <row r="282" spans="2:33" ht="15" x14ac:dyDescent="0.25">
      <c r="B282" s="1">
        <v>271</v>
      </c>
      <c r="C282" s="1">
        <v>1.0004022727228208</v>
      </c>
      <c r="D282" s="1">
        <v>1.1545459311125852</v>
      </c>
      <c r="E282" s="1">
        <v>0.86541633651456817</v>
      </c>
      <c r="G282" s="1">
        <v>0.99941699489569313</v>
      </c>
      <c r="H282" s="1">
        <v>3.4063161128582418</v>
      </c>
      <c r="I282" s="1">
        <v>0.25730482776542923</v>
      </c>
      <c r="K282" s="1">
        <v>0.99992083826062084</v>
      </c>
      <c r="L282" s="1">
        <v>3.5613353804940679</v>
      </c>
      <c r="M282" s="1">
        <v>0.24300514181513411</v>
      </c>
      <c r="O282" s="1">
        <v>7.2592715038548184E-3</v>
      </c>
      <c r="P282" s="1">
        <v>0.84879418026828302</v>
      </c>
      <c r="R282" s="1">
        <v>0.17100164510400728</v>
      </c>
      <c r="S282" s="2">
        <f t="shared" si="60"/>
        <v>0.66148381072440943</v>
      </c>
      <c r="T282" s="4">
        <f t="shared" si="61"/>
        <v>0.43756083185048633</v>
      </c>
      <c r="U282" s="1">
        <f t="shared" si="53"/>
        <v>0.20572878194586242</v>
      </c>
      <c r="V282" s="6">
        <f>2*sigma/alpha*corel*(B282/12-1/alpha*(1-EXP(-alpha*Output!B282/12)))</f>
        <v>0.96421880339853017</v>
      </c>
      <c r="W282" s="5">
        <f t="shared" si="62"/>
        <v>-0.23183204990462392</v>
      </c>
      <c r="X282" s="1">
        <f t="shared" si="63"/>
        <v>21.87187974221165</v>
      </c>
      <c r="Y282" s="3">
        <f t="shared" si="64"/>
        <v>8.2196000337659475E-2</v>
      </c>
      <c r="Z282" s="1">
        <f t="shared" si="54"/>
        <v>0.13919550060333638</v>
      </c>
      <c r="AA282" s="8">
        <f t="shared" si="59"/>
        <v>22.49999999999995</v>
      </c>
      <c r="AB282" s="1">
        <v>22.58</v>
      </c>
      <c r="AC282" s="1">
        <v>7.3322230320000004E-3</v>
      </c>
      <c r="AD282" s="8">
        <f t="shared" si="55"/>
        <v>0.72951528145182021</v>
      </c>
      <c r="AE282" s="3">
        <f t="shared" si="56"/>
        <v>9.9494420487210855E-3</v>
      </c>
      <c r="AF282" s="11">
        <f t="shared" si="57"/>
        <v>22.49999999999995</v>
      </c>
      <c r="AG282" s="1">
        <f t="shared" si="58"/>
        <v>0.13919550060333638</v>
      </c>
    </row>
    <row r="283" spans="2:33" ht="15" x14ac:dyDescent="0.25">
      <c r="B283" s="1">
        <v>272</v>
      </c>
      <c r="C283" s="1">
        <v>1.000406843347738</v>
      </c>
      <c r="D283" s="1">
        <v>1.1565523363064212</v>
      </c>
      <c r="E283" s="1">
        <v>0.86391344311431151</v>
      </c>
      <c r="G283" s="1">
        <v>0.99959498408106229</v>
      </c>
      <c r="H283" s="1">
        <v>3.4467192654772139</v>
      </c>
      <c r="I283" s="1">
        <v>0.25416559103049524</v>
      </c>
      <c r="K283" s="1">
        <v>0.99980093490014543</v>
      </c>
      <c r="L283" s="1">
        <v>3.5610394216455972</v>
      </c>
      <c r="M283" s="1">
        <v>0.24289527685850124</v>
      </c>
      <c r="O283" s="1">
        <v>7.2697059169014849E-3</v>
      </c>
      <c r="P283" s="1">
        <v>0.8480802605592157</v>
      </c>
      <c r="R283" s="1">
        <v>0.17130997457292324</v>
      </c>
      <c r="S283" s="2">
        <f t="shared" si="60"/>
        <v>0.66352629460293944</v>
      </c>
      <c r="T283" s="4">
        <f t="shared" si="61"/>
        <v>0.44026714362950675</v>
      </c>
      <c r="U283" s="1">
        <f t="shared" si="53"/>
        <v>0.20757550223275922</v>
      </c>
      <c r="V283" s="6">
        <f>2*sigma/alpha*corel*(B283/12-1/alpha*(1-EXP(-alpha*Output!B283/12)))</f>
        <v>0.97042149014445811</v>
      </c>
      <c r="W283" s="5">
        <f t="shared" si="62"/>
        <v>-0.23269164139674753</v>
      </c>
      <c r="X283" s="1">
        <f t="shared" si="63"/>
        <v>22.039093355172636</v>
      </c>
      <c r="Y283" s="3">
        <f t="shared" si="64"/>
        <v>8.2150583507297092E-2</v>
      </c>
      <c r="Z283" s="1">
        <f t="shared" si="54"/>
        <v>0.13936839833420969</v>
      </c>
      <c r="AA283" s="8">
        <f t="shared" si="59"/>
        <v>22.583333333333282</v>
      </c>
      <c r="AB283" s="1">
        <v>22.67</v>
      </c>
      <c r="AC283" s="1">
        <v>7.3430080079999998E-3</v>
      </c>
      <c r="AD283" s="8">
        <f t="shared" si="55"/>
        <v>0.73302091098514932</v>
      </c>
      <c r="AE283" s="3">
        <f t="shared" si="56"/>
        <v>9.9825699520760935E-3</v>
      </c>
      <c r="AF283" s="11">
        <f t="shared" si="57"/>
        <v>22.583333333333282</v>
      </c>
      <c r="AG283" s="1">
        <f t="shared" si="58"/>
        <v>0.13936839833420969</v>
      </c>
    </row>
    <row r="284" spans="2:33" ht="15" x14ac:dyDescent="0.25">
      <c r="B284" s="1">
        <v>273</v>
      </c>
      <c r="C284" s="1">
        <v>1.0004102653506652</v>
      </c>
      <c r="D284" s="1">
        <v>1.1540606818067431</v>
      </c>
      <c r="E284" s="1">
        <v>0.86577710133292884</v>
      </c>
      <c r="G284" s="1">
        <v>0.99968139813011059</v>
      </c>
      <c r="H284" s="1">
        <v>3.3922388615846883</v>
      </c>
      <c r="I284" s="1">
        <v>0.2581225978232764</v>
      </c>
      <c r="K284" s="1">
        <v>0.99976687419180399</v>
      </c>
      <c r="L284" s="1">
        <v>3.6394719675389</v>
      </c>
      <c r="M284" s="1">
        <v>0.23754226469107062</v>
      </c>
      <c r="O284" s="1">
        <v>7.2800460761588519E-3</v>
      </c>
      <c r="P284" s="1">
        <v>0.84736728468438771</v>
      </c>
      <c r="R284" s="1">
        <v>0.17157189176374363</v>
      </c>
      <c r="S284" s="2">
        <f t="shared" si="60"/>
        <v>0.66543175070474403</v>
      </c>
      <c r="T284" s="4">
        <f t="shared" si="61"/>
        <v>0.44279941484598062</v>
      </c>
      <c r="U284" s="1">
        <f t="shared" si="53"/>
        <v>0.20943058218801802</v>
      </c>
      <c r="V284" s="6">
        <f>2*sigma/alpha*corel*(B284/12-1/alpha*(1-EXP(-alpha*Output!B284/12)))</f>
        <v>0.97663820010511238</v>
      </c>
      <c r="W284" s="5">
        <f t="shared" si="62"/>
        <v>-0.2333688326579626</v>
      </c>
      <c r="X284" s="1">
        <f t="shared" si="63"/>
        <v>22.190385945779148</v>
      </c>
      <c r="Y284" s="3">
        <f t="shared" si="64"/>
        <v>8.2066572538124744E-2</v>
      </c>
      <c r="Z284" s="1">
        <f t="shared" si="54"/>
        <v>0.13951240282742058</v>
      </c>
      <c r="AA284" s="8">
        <f t="shared" si="59"/>
        <v>22.666666666666615</v>
      </c>
      <c r="AB284" s="1">
        <v>22.75</v>
      </c>
      <c r="AC284" s="1">
        <v>7.3537028329999999E-3</v>
      </c>
      <c r="AD284" s="8">
        <f t="shared" si="55"/>
        <v>0.73656756841147986</v>
      </c>
      <c r="AE284" s="3">
        <f t="shared" si="56"/>
        <v>1.0016281391003549E-2</v>
      </c>
      <c r="AF284" s="11">
        <f t="shared" si="57"/>
        <v>22.666666666666615</v>
      </c>
      <c r="AG284" s="1">
        <f t="shared" si="58"/>
        <v>0.13951240282742058</v>
      </c>
    </row>
    <row r="285" spans="2:33" ht="15" x14ac:dyDescent="0.25">
      <c r="B285" s="1">
        <v>274</v>
      </c>
      <c r="C285" s="1">
        <v>1.0004137038430347</v>
      </c>
      <c r="D285" s="1">
        <v>1.1524867105334906</v>
      </c>
      <c r="E285" s="1">
        <v>0.86695794678094651</v>
      </c>
      <c r="G285" s="1">
        <v>0.99978167533029449</v>
      </c>
      <c r="H285" s="1">
        <v>3.3465175324402363</v>
      </c>
      <c r="I285" s="1">
        <v>0.26152254591476681</v>
      </c>
      <c r="K285" s="1">
        <v>0.99957891575124658</v>
      </c>
      <c r="L285" s="1">
        <v>3.6282228597752262</v>
      </c>
      <c r="M285" s="1">
        <v>0.2381429582595409</v>
      </c>
      <c r="O285" s="1">
        <v>7.2902606981213591E-3</v>
      </c>
      <c r="P285" s="1">
        <v>0.84665587599463776</v>
      </c>
      <c r="R285" s="1">
        <v>0.17208944016518898</v>
      </c>
      <c r="S285" s="2">
        <f t="shared" si="60"/>
        <v>0.66809626746873185</v>
      </c>
      <c r="T285" s="4">
        <f t="shared" si="61"/>
        <v>0.44635262260565128</v>
      </c>
      <c r="U285" s="1">
        <f t="shared" si="53"/>
        <v>0.21129401277680859</v>
      </c>
      <c r="V285" s="6">
        <f>2*sigma/alpha*corel*(B285/12-1/alpha*(1-EXP(-alpha*Output!B285/12)))</f>
        <v>0.98286888661426453</v>
      </c>
      <c r="W285" s="5">
        <f t="shared" si="62"/>
        <v>-0.23505860982884269</v>
      </c>
      <c r="X285" s="1">
        <f t="shared" si="63"/>
        <v>22.434717612641997</v>
      </c>
      <c r="Y285" s="3">
        <f t="shared" si="64"/>
        <v>8.2196961395863383E-2</v>
      </c>
      <c r="Z285" s="1">
        <f t="shared" si="54"/>
        <v>0.1398151996069219</v>
      </c>
      <c r="AA285" s="8">
        <f t="shared" si="59"/>
        <v>22.749999999999947</v>
      </c>
      <c r="AB285" s="1">
        <v>22.83</v>
      </c>
      <c r="AC285" s="1">
        <v>7.3643108799999997E-3</v>
      </c>
      <c r="AD285" s="8">
        <f t="shared" si="55"/>
        <v>0.74050181878640609</v>
      </c>
      <c r="AE285" s="3">
        <f t="shared" si="56"/>
        <v>1.0055276465819244E-2</v>
      </c>
      <c r="AF285" s="11">
        <f t="shared" si="57"/>
        <v>22.749999999999947</v>
      </c>
      <c r="AG285" s="1">
        <f t="shared" si="58"/>
        <v>0.1398151996069219</v>
      </c>
    </row>
    <row r="286" spans="2:33" ht="15" x14ac:dyDescent="0.25">
      <c r="B286" s="1">
        <v>275</v>
      </c>
      <c r="C286" s="1">
        <v>1.0004178522749327</v>
      </c>
      <c r="D286" s="1">
        <v>1.152020891804832</v>
      </c>
      <c r="E286" s="1">
        <v>0.86730693806325454</v>
      </c>
      <c r="G286" s="1">
        <v>0.99994222944540812</v>
      </c>
      <c r="H286" s="1">
        <v>3.3375144793570724</v>
      </c>
      <c r="I286" s="1">
        <v>0.26210111660871943</v>
      </c>
      <c r="K286" s="1">
        <v>0.99960728577391833</v>
      </c>
      <c r="L286" s="1">
        <v>3.5081987256950726</v>
      </c>
      <c r="M286" s="1">
        <v>0.24615837081710598</v>
      </c>
      <c r="O286" s="1">
        <v>7.3004391950135302E-3</v>
      </c>
      <c r="P286" s="1">
        <v>0.84594432473077363</v>
      </c>
      <c r="R286" s="1">
        <v>0.1722912012100265</v>
      </c>
      <c r="S286" s="2">
        <f t="shared" si="60"/>
        <v>0.66982524722288761</v>
      </c>
      <c r="T286" s="4">
        <f t="shared" si="61"/>
        <v>0.44866586181720253</v>
      </c>
      <c r="U286" s="1">
        <f t="shared" si="53"/>
        <v>0.21316578486955429</v>
      </c>
      <c r="V286" s="6">
        <f>2*sigma/alpha*corel*(B286/12-1/alpha*(1-EXP(-alpha*Output!B286/12)))</f>
        <v>0.98911350316098146</v>
      </c>
      <c r="W286" s="5">
        <f t="shared" si="62"/>
        <v>-0.23550007694764824</v>
      </c>
      <c r="X286" s="1">
        <f t="shared" si="63"/>
        <v>22.565852575669812</v>
      </c>
      <c r="Y286" s="3">
        <f t="shared" si="64"/>
        <v>8.206340479489245E-2</v>
      </c>
      <c r="Z286" s="1">
        <f t="shared" si="54"/>
        <v>0.13992193072380729</v>
      </c>
      <c r="AA286" s="8">
        <f t="shared" si="59"/>
        <v>22.833333333333279</v>
      </c>
      <c r="AB286" s="1">
        <v>22.92</v>
      </c>
      <c r="AC286" s="1">
        <v>7.3748355229999998E-3</v>
      </c>
      <c r="AD286" s="8">
        <f t="shared" si="55"/>
        <v>0.7439632798646959</v>
      </c>
      <c r="AE286" s="3">
        <f t="shared" si="56"/>
        <v>1.0087862672251978E-2</v>
      </c>
      <c r="AF286" s="11">
        <f t="shared" si="57"/>
        <v>22.833333333333279</v>
      </c>
      <c r="AG286" s="1">
        <f t="shared" si="58"/>
        <v>0.13992193072380729</v>
      </c>
    </row>
    <row r="287" spans="2:33" ht="15" x14ac:dyDescent="0.25">
      <c r="B287" s="1">
        <v>276</v>
      </c>
      <c r="C287" s="1">
        <v>1.0004185960058534</v>
      </c>
      <c r="D287" s="1">
        <v>1.1497243510891868</v>
      </c>
      <c r="E287" s="1">
        <v>0.86903779230489409</v>
      </c>
      <c r="G287" s="1">
        <v>0.99982535101482406</v>
      </c>
      <c r="H287" s="1">
        <v>3.2716872587966783</v>
      </c>
      <c r="I287" s="1">
        <v>0.26724527699762279</v>
      </c>
      <c r="K287" s="1">
        <v>0.99965977726229582</v>
      </c>
      <c r="L287" s="1">
        <v>3.4569214092640999</v>
      </c>
      <c r="M287" s="1">
        <v>0.24968091699938083</v>
      </c>
      <c r="O287" s="1">
        <v>7.3104788793665644E-3</v>
      </c>
      <c r="P287" s="1">
        <v>0.845234636172986</v>
      </c>
      <c r="R287" s="1">
        <v>0.17254106329775085</v>
      </c>
      <c r="S287" s="2">
        <f t="shared" si="60"/>
        <v>0.67169614298286628</v>
      </c>
      <c r="T287" s="4">
        <f t="shared" si="61"/>
        <v>0.45117570849805916</v>
      </c>
      <c r="U287" s="1">
        <f t="shared" si="53"/>
        <v>0.21504588924307466</v>
      </c>
      <c r="V287" s="6">
        <f>2*sigma/alpha*corel*(B287/12-1/alpha*(1-EXP(-alpha*Output!B287/12)))</f>
        <v>0.99537200338910647</v>
      </c>
      <c r="W287" s="5">
        <f t="shared" si="62"/>
        <v>-0.2361298192549845</v>
      </c>
      <c r="X287" s="1">
        <f t="shared" si="63"/>
        <v>22.714708796589417</v>
      </c>
      <c r="Y287" s="3">
        <f t="shared" si="64"/>
        <v>8.1970066184978582E-2</v>
      </c>
      <c r="Z287" s="1">
        <f t="shared" si="54"/>
        <v>0.14005832767846949</v>
      </c>
      <c r="AA287" s="8">
        <f t="shared" si="59"/>
        <v>22.916666666666611</v>
      </c>
      <c r="AB287" s="1">
        <v>23</v>
      </c>
      <c r="AC287" s="1">
        <v>7.385280133E-3</v>
      </c>
      <c r="AD287" s="8">
        <f t="shared" si="55"/>
        <v>0.74801253633435638</v>
      </c>
      <c r="AE287" s="3">
        <f t="shared" si="56"/>
        <v>1.0128424688888592E-2</v>
      </c>
      <c r="AF287" s="11">
        <f t="shared" si="57"/>
        <v>22.916666666666611</v>
      </c>
      <c r="AG287" s="1">
        <f t="shared" si="58"/>
        <v>0.14005832767846949</v>
      </c>
    </row>
    <row r="288" spans="2:33" ht="15" x14ac:dyDescent="0.25">
      <c r="B288" s="1">
        <v>277</v>
      </c>
      <c r="C288" s="1">
        <v>1.0004206022924709</v>
      </c>
      <c r="D288" s="1">
        <v>1.1500094525473274</v>
      </c>
      <c r="E288" s="1">
        <v>0.86882078133610074</v>
      </c>
      <c r="G288" s="1">
        <v>0.99980870412982037</v>
      </c>
      <c r="H288" s="1">
        <v>3.2840258122694954</v>
      </c>
      <c r="I288" s="1">
        <v>0.26611236408282318</v>
      </c>
      <c r="K288" s="1">
        <v>0.9997235605851541</v>
      </c>
      <c r="L288" s="1">
        <v>3.4645458763554706</v>
      </c>
      <c r="M288" s="1">
        <v>0.24900197592889861</v>
      </c>
      <c r="O288" s="1">
        <v>7.3204344951613275E-3</v>
      </c>
      <c r="P288" s="1">
        <v>0.84452576873787888</v>
      </c>
      <c r="R288" s="1">
        <v>0.17297380760878803</v>
      </c>
      <c r="S288" s="2">
        <f t="shared" si="60"/>
        <v>0.67411251630754898</v>
      </c>
      <c r="T288" s="4">
        <f t="shared" si="61"/>
        <v>0.4544276846424955</v>
      </c>
      <c r="U288" s="1">
        <f t="shared" si="53"/>
        <v>0.21693431658172679</v>
      </c>
      <c r="V288" s="6">
        <f>2*sigma/alpha*corel*(B288/12-1/alpha*(1-EXP(-alpha*Output!B288/12)))</f>
        <v>1.0016443410967488</v>
      </c>
      <c r="W288" s="5">
        <f t="shared" si="62"/>
        <v>-0.23749336806076871</v>
      </c>
      <c r="X288" s="1">
        <f t="shared" si="63"/>
        <v>22.931845703662116</v>
      </c>
      <c r="Y288" s="3">
        <f t="shared" si="64"/>
        <v>8.203053430948111E-2</v>
      </c>
      <c r="Z288" s="1">
        <f t="shared" si="54"/>
        <v>0.14030822460087514</v>
      </c>
      <c r="AA288" s="8">
        <f t="shared" si="59"/>
        <v>22.999999999999943</v>
      </c>
      <c r="AB288" s="1">
        <v>23.08</v>
      </c>
      <c r="AC288" s="1">
        <v>7.395648084E-3</v>
      </c>
      <c r="AD288" s="8">
        <f t="shared" si="55"/>
        <v>0.75213588838672452</v>
      </c>
      <c r="AE288" s="3">
        <f t="shared" si="56"/>
        <v>1.0169979423627813E-2</v>
      </c>
      <c r="AF288" s="11">
        <f t="shared" si="57"/>
        <v>22.999999999999943</v>
      </c>
      <c r="AG288" s="1">
        <f t="shared" si="58"/>
        <v>0.14030822460087514</v>
      </c>
    </row>
    <row r="289" spans="2:33" ht="15" x14ac:dyDescent="0.25">
      <c r="B289" s="1">
        <v>278</v>
      </c>
      <c r="C289" s="1">
        <v>1.0004237103638602</v>
      </c>
      <c r="D289" s="1">
        <v>1.1455634912004526</v>
      </c>
      <c r="E289" s="1">
        <v>0.8721911248723152</v>
      </c>
      <c r="G289" s="1">
        <v>0.99987901430486215</v>
      </c>
      <c r="H289" s="1">
        <v>3.1580092094448227</v>
      </c>
      <c r="I289" s="1">
        <v>0.27659735247421813</v>
      </c>
      <c r="K289" s="1">
        <v>0.99953836491271131</v>
      </c>
      <c r="L289" s="1">
        <v>3.484850693484518</v>
      </c>
      <c r="M289" s="1">
        <v>0.24740845066839229</v>
      </c>
      <c r="O289" s="1">
        <v>7.3303265859030447E-3</v>
      </c>
      <c r="P289" s="1">
        <v>0.84381733749916565</v>
      </c>
      <c r="R289" s="1">
        <v>0.17332517560768998</v>
      </c>
      <c r="S289" s="2">
        <f t="shared" si="60"/>
        <v>0.67628847322942587</v>
      </c>
      <c r="T289" s="4">
        <f t="shared" si="61"/>
        <v>0.45736609902298786</v>
      </c>
      <c r="U289" s="1">
        <f t="shared" si="53"/>
        <v>0.21883105747852305</v>
      </c>
      <c r="V289" s="6">
        <f>2*sigma/alpha*corel*(B289/12-1/alpha*(1-EXP(-alpha*Output!B289/12)))</f>
        <v>1.0079304702357661</v>
      </c>
      <c r="W289" s="5">
        <f t="shared" si="62"/>
        <v>-0.23853504154446481</v>
      </c>
      <c r="X289" s="1">
        <f t="shared" si="63"/>
        <v>23.120171015950099</v>
      </c>
      <c r="Y289" s="3">
        <f t="shared" si="64"/>
        <v>8.2023311333401835E-2</v>
      </c>
      <c r="Z289" s="1">
        <f t="shared" si="54"/>
        <v>0.14050772768983427</v>
      </c>
      <c r="AA289" s="8">
        <f t="shared" si="59"/>
        <v>23.083333333333275</v>
      </c>
      <c r="AB289" s="1">
        <v>23.17</v>
      </c>
      <c r="AC289" s="1">
        <v>7.4059493820000004E-3</v>
      </c>
      <c r="AD289" s="8">
        <f t="shared" si="55"/>
        <v>0.75622796096955736</v>
      </c>
      <c r="AE289" s="3">
        <f t="shared" si="56"/>
        <v>1.021108735643742E-2</v>
      </c>
      <c r="AF289" s="11">
        <f t="shared" si="57"/>
        <v>23.083333333333275</v>
      </c>
      <c r="AG289" s="1">
        <f t="shared" si="58"/>
        <v>0.14050772768983427</v>
      </c>
    </row>
    <row r="290" spans="2:33" ht="15" x14ac:dyDescent="0.25">
      <c r="B290" s="1">
        <v>279</v>
      </c>
      <c r="C290" s="1">
        <v>1.0004218684882316</v>
      </c>
      <c r="D290" s="1">
        <v>1.1471706423964554</v>
      </c>
      <c r="E290" s="1">
        <v>0.87096764084925993</v>
      </c>
      <c r="G290" s="1">
        <v>0.99954558160728924</v>
      </c>
      <c r="H290" s="1">
        <v>3.1986339222101199</v>
      </c>
      <c r="I290" s="1">
        <v>0.27295224461209705</v>
      </c>
      <c r="K290" s="1">
        <v>0.99943365565754883</v>
      </c>
      <c r="L290" s="1">
        <v>3.5926383445830656</v>
      </c>
      <c r="M290" s="1">
        <v>0.23985830994056997</v>
      </c>
      <c r="O290" s="1">
        <v>7.3402122273521549E-3</v>
      </c>
      <c r="P290" s="1">
        <v>0.84310823693127424</v>
      </c>
      <c r="R290" s="1">
        <v>0.17366215503386842</v>
      </c>
      <c r="S290" s="2">
        <f t="shared" si="60"/>
        <v>0.67842505816570076</v>
      </c>
      <c r="T290" s="4">
        <f t="shared" si="61"/>
        <v>0.46026055954713446</v>
      </c>
      <c r="U290" s="1">
        <f t="shared" si="53"/>
        <v>0.22073610243625552</v>
      </c>
      <c r="V290" s="6">
        <f>2*sigma/alpha*corel*(B290/12-1/alpha*(1-EXP(-alpha*Output!B290/12)))</f>
        <v>1.0142303449112533</v>
      </c>
      <c r="W290" s="5">
        <f t="shared" si="62"/>
        <v>-0.23952445711087894</v>
      </c>
      <c r="X290" s="1">
        <f t="shared" si="63"/>
        <v>23.304437703850542</v>
      </c>
      <c r="Y290" s="3">
        <f t="shared" si="64"/>
        <v>8.2005089507679124E-2</v>
      </c>
      <c r="Z290" s="1">
        <f t="shared" si="54"/>
        <v>0.14069880276250216</v>
      </c>
      <c r="AA290" s="8">
        <f t="shared" si="59"/>
        <v>23.166666666666607</v>
      </c>
      <c r="AB290" s="1">
        <v>23.25</v>
      </c>
      <c r="AC290" s="1">
        <v>7.4162205570000002E-3</v>
      </c>
      <c r="AD290" s="8">
        <f t="shared" si="55"/>
        <v>0.76008329647845285</v>
      </c>
      <c r="AE290" s="3">
        <f t="shared" si="56"/>
        <v>1.0248930579080846E-2</v>
      </c>
      <c r="AF290" s="11">
        <f t="shared" si="57"/>
        <v>23.166666666666607</v>
      </c>
      <c r="AG290" s="1">
        <f t="shared" si="58"/>
        <v>0.14069880276250216</v>
      </c>
    </row>
    <row r="291" spans="2:33" ht="15" x14ac:dyDescent="0.25">
      <c r="B291" s="1">
        <v>280</v>
      </c>
      <c r="C291" s="1">
        <v>1.0004234272605368</v>
      </c>
      <c r="D291" s="1">
        <v>1.1482516917894978</v>
      </c>
      <c r="E291" s="1">
        <v>0.87014607749790784</v>
      </c>
      <c r="G291" s="1">
        <v>0.9995069608010968</v>
      </c>
      <c r="H291" s="1">
        <v>3.230477550561186</v>
      </c>
      <c r="I291" s="1">
        <v>0.27013090968938813</v>
      </c>
      <c r="K291" s="1">
        <v>0.99956757423022058</v>
      </c>
      <c r="L291" s="1">
        <v>3.5314784193849142</v>
      </c>
      <c r="M291" s="1">
        <v>0.24389030129160139</v>
      </c>
      <c r="O291" s="1">
        <v>7.3501281938845335E-3</v>
      </c>
      <c r="P291" s="1">
        <v>0.84239774824399671</v>
      </c>
      <c r="R291" s="1">
        <v>0.17414800249050782</v>
      </c>
      <c r="S291" s="2">
        <f t="shared" si="60"/>
        <v>0.68101100728340369</v>
      </c>
      <c r="T291" s="4">
        <f t="shared" si="61"/>
        <v>0.4637759920411561</v>
      </c>
      <c r="U291" s="1">
        <f t="shared" si="53"/>
        <v>0.22264944186859736</v>
      </c>
      <c r="V291" s="6">
        <f>2*sigma/alpha*corel*(B291/12-1/alpha*(1-EXP(-alpha*Output!B291/12)))</f>
        <v>1.0205439193810357</v>
      </c>
      <c r="W291" s="5">
        <f t="shared" si="62"/>
        <v>-0.24112655017255874</v>
      </c>
      <c r="X291" s="1">
        <f t="shared" si="63"/>
        <v>23.546654574157756</v>
      </c>
      <c r="Y291" s="3">
        <f t="shared" si="64"/>
        <v>8.2113120084908481E-2</v>
      </c>
      <c r="Z291" s="1">
        <f t="shared" si="54"/>
        <v>0.14098267249779661</v>
      </c>
      <c r="AA291" s="8">
        <f t="shared" si="59"/>
        <v>23.24999999999994</v>
      </c>
      <c r="AB291" s="1">
        <v>23.33</v>
      </c>
      <c r="AC291" s="1">
        <v>7.4265047739999999E-3</v>
      </c>
      <c r="AD291" s="8">
        <f t="shared" si="55"/>
        <v>0.76376580115466475</v>
      </c>
      <c r="AE291" s="3">
        <f t="shared" si="56"/>
        <v>1.028432384273944E-2</v>
      </c>
      <c r="AF291" s="11">
        <f t="shared" si="57"/>
        <v>23.24999999999994</v>
      </c>
      <c r="AG291" s="1">
        <f t="shared" si="58"/>
        <v>0.14098267249779661</v>
      </c>
    </row>
    <row r="292" spans="2:33" ht="15" x14ac:dyDescent="0.25">
      <c r="B292" s="1">
        <v>281</v>
      </c>
      <c r="C292" s="1">
        <v>1.0004272384579951</v>
      </c>
      <c r="D292" s="1">
        <v>1.1418973151017329</v>
      </c>
      <c r="E292" s="1">
        <v>0.87498664646064528</v>
      </c>
      <c r="G292" s="1">
        <v>0.99961704963656262</v>
      </c>
      <c r="H292" s="1">
        <v>3.0713718012038207</v>
      </c>
      <c r="I292" s="1">
        <v>0.28398697219266733</v>
      </c>
      <c r="K292" s="1">
        <v>0.99954705348136286</v>
      </c>
      <c r="L292" s="1">
        <v>3.5247399311339285</v>
      </c>
      <c r="M292" s="1">
        <v>0.24421847719977857</v>
      </c>
      <c r="O292" s="1">
        <v>7.3601155146794366E-3</v>
      </c>
      <c r="P292" s="1">
        <v>0.84168506090802109</v>
      </c>
      <c r="R292" s="1">
        <v>0.1744126413291868</v>
      </c>
      <c r="S292" s="2">
        <f t="shared" si="60"/>
        <v>0.68294232561893864</v>
      </c>
      <c r="T292" s="4">
        <f t="shared" si="61"/>
        <v>0.46641022012180439</v>
      </c>
      <c r="U292" s="1">
        <f t="shared" si="53"/>
        <v>0.22457106610120725</v>
      </c>
      <c r="V292" s="6">
        <f>2*sigma/alpha*corel*(B292/12-1/alpha*(1-EXP(-alpha*Output!B292/12)))</f>
        <v>1.0268711480551587</v>
      </c>
      <c r="W292" s="5">
        <f t="shared" si="62"/>
        <v>-0.24183915402059714</v>
      </c>
      <c r="X292" s="1">
        <f t="shared" si="63"/>
        <v>23.70673178130405</v>
      </c>
      <c r="Y292" s="3">
        <f t="shared" si="64"/>
        <v>8.2037397332386422E-2</v>
      </c>
      <c r="Z292" s="1">
        <f t="shared" si="54"/>
        <v>0.14113069888901805</v>
      </c>
      <c r="AA292" s="8">
        <f t="shared" si="59"/>
        <v>23.333333333333272</v>
      </c>
      <c r="AB292" s="1">
        <v>23.42</v>
      </c>
      <c r="AC292" s="1">
        <v>7.4368451949999997E-3</v>
      </c>
      <c r="AD292" s="8">
        <f t="shared" si="55"/>
        <v>0.76729680320563109</v>
      </c>
      <c r="AE292" s="3">
        <f t="shared" si="56"/>
        <v>1.0317504036812631E-2</v>
      </c>
      <c r="AF292" s="11">
        <f t="shared" si="57"/>
        <v>23.333333333333272</v>
      </c>
      <c r="AG292" s="1">
        <f t="shared" si="58"/>
        <v>0.14113069888901805</v>
      </c>
    </row>
    <row r="293" spans="2:33" ht="15" x14ac:dyDescent="0.25">
      <c r="B293" s="1">
        <v>282</v>
      </c>
      <c r="C293" s="1">
        <v>1.0004275387844757</v>
      </c>
      <c r="D293" s="1">
        <v>1.1442921823668886</v>
      </c>
      <c r="E293" s="1">
        <v>0.87315382721227519</v>
      </c>
      <c r="G293" s="1">
        <v>0.99947166952147615</v>
      </c>
      <c r="H293" s="1">
        <v>3.1230928257566819</v>
      </c>
      <c r="I293" s="1">
        <v>0.27914877137054039</v>
      </c>
      <c r="K293" s="1">
        <v>0.99972680800643743</v>
      </c>
      <c r="L293" s="1">
        <v>3.5717694509484184</v>
      </c>
      <c r="M293" s="1">
        <v>0.24087834209913106</v>
      </c>
      <c r="O293" s="1">
        <v>7.3702655270662856E-3</v>
      </c>
      <c r="P293" s="1">
        <v>0.84096836143769238</v>
      </c>
      <c r="R293" s="1">
        <v>0.17472624535448683</v>
      </c>
      <c r="S293" s="2">
        <f t="shared" si="60"/>
        <v>0.68502869582908299</v>
      </c>
      <c r="T293" s="4">
        <f t="shared" si="61"/>
        <v>0.46926431410929431</v>
      </c>
      <c r="U293" s="1">
        <f t="shared" si="53"/>
        <v>0.22650096537281295</v>
      </c>
      <c r="V293" s="6">
        <f>2*sigma/alpha*corel*(B293/12-1/alpha*(1-EXP(-alpha*Output!B293/12)))</f>
        <v>1.0332119854953783</v>
      </c>
      <c r="W293" s="5">
        <f t="shared" si="62"/>
        <v>-0.24276334873648137</v>
      </c>
      <c r="X293" s="1">
        <f t="shared" si="63"/>
        <v>23.887281788200553</v>
      </c>
      <c r="Y293" s="3">
        <f t="shared" si="64"/>
        <v>8.2005312898766294E-2</v>
      </c>
      <c r="Z293" s="1">
        <f t="shared" si="54"/>
        <v>0.14131063023501372</v>
      </c>
      <c r="AA293" s="8">
        <f t="shared" si="59"/>
        <v>23.416666666666604</v>
      </c>
      <c r="AB293" s="1">
        <v>23.5</v>
      </c>
      <c r="AC293" s="1">
        <v>7.4472849850000002E-3</v>
      </c>
      <c r="AD293" s="8">
        <f t="shared" si="55"/>
        <v>0.77019457933714608</v>
      </c>
      <c r="AE293" s="3">
        <f t="shared" si="56"/>
        <v>1.0341951206223996E-2</v>
      </c>
      <c r="AF293" s="11">
        <f t="shared" si="57"/>
        <v>23.416666666666604</v>
      </c>
      <c r="AG293" s="1">
        <f t="shared" si="58"/>
        <v>0.14131063023501372</v>
      </c>
    </row>
    <row r="294" spans="2:33" ht="15" x14ac:dyDescent="0.25">
      <c r="B294" s="1">
        <v>283</v>
      </c>
      <c r="C294" s="1">
        <v>1.0004326638924737</v>
      </c>
      <c r="D294" s="1">
        <v>1.1459940852353285</v>
      </c>
      <c r="E294" s="1">
        <v>0.87185554146865318</v>
      </c>
      <c r="G294" s="1">
        <v>0.99970581332301423</v>
      </c>
      <c r="H294" s="1">
        <v>3.1627993936984637</v>
      </c>
      <c r="I294" s="1">
        <v>0.27551089129961526</v>
      </c>
      <c r="K294" s="1">
        <v>0.99976668709652838</v>
      </c>
      <c r="L294" s="1">
        <v>3.5618294505016568</v>
      </c>
      <c r="M294" s="1">
        <v>0.24142494505741213</v>
      </c>
      <c r="O294" s="1">
        <v>7.3805729239867189E-3</v>
      </c>
      <c r="P294" s="1">
        <v>0.84024773210072812</v>
      </c>
      <c r="R294" s="1">
        <v>0.17513448494421477</v>
      </c>
      <c r="S294" s="2">
        <f t="shared" si="60"/>
        <v>0.68740721914682323</v>
      </c>
      <c r="T294" s="4">
        <f t="shared" si="61"/>
        <v>0.47252868493516864</v>
      </c>
      <c r="U294" s="1">
        <f t="shared" si="53"/>
        <v>0.22843912983629888</v>
      </c>
      <c r="V294" s="6">
        <f>2*sigma/alpha*corel*(B294/12-1/alpha*(1-EXP(-alpha*Output!B294/12)))</f>
        <v>1.0395663864146627</v>
      </c>
      <c r="W294" s="5">
        <f t="shared" si="62"/>
        <v>-0.24408955509886976</v>
      </c>
      <c r="X294" s="1">
        <f t="shared" si="63"/>
        <v>24.106479636089954</v>
      </c>
      <c r="Y294" s="3">
        <f t="shared" si="64"/>
        <v>8.2055164755571813E-2</v>
      </c>
      <c r="Z294" s="1">
        <f t="shared" si="54"/>
        <v>0.14155052812118096</v>
      </c>
      <c r="AA294" s="8">
        <f t="shared" si="59"/>
        <v>23.499999999999936</v>
      </c>
      <c r="AB294" s="1">
        <v>23.58</v>
      </c>
      <c r="AC294" s="1">
        <v>7.4578673059999996E-3</v>
      </c>
      <c r="AD294" s="8">
        <f t="shared" si="55"/>
        <v>0.77294382013280705</v>
      </c>
      <c r="AE294" s="3">
        <f t="shared" si="56"/>
        <v>1.0364140154531291E-2</v>
      </c>
      <c r="AF294" s="11">
        <f t="shared" si="57"/>
        <v>23.499999999999936</v>
      </c>
      <c r="AG294" s="1">
        <f t="shared" si="58"/>
        <v>0.14155052812118096</v>
      </c>
    </row>
    <row r="295" spans="2:33" ht="15" x14ac:dyDescent="0.25">
      <c r="B295" s="1">
        <v>284</v>
      </c>
      <c r="C295" s="1">
        <v>1.0004365229014254</v>
      </c>
      <c r="D295" s="1">
        <v>1.1455399877113011</v>
      </c>
      <c r="E295" s="1">
        <v>0.87219957295625727</v>
      </c>
      <c r="G295" s="1">
        <v>0.99984296657279281</v>
      </c>
      <c r="H295" s="1">
        <v>3.1505687272015592</v>
      </c>
      <c r="I295" s="1">
        <v>0.27644660943810218</v>
      </c>
      <c r="K295" s="1">
        <v>0.9997577094259219</v>
      </c>
      <c r="L295" s="1">
        <v>3.6092002356044319</v>
      </c>
      <c r="M295" s="1">
        <v>0.23813032668329934</v>
      </c>
      <c r="O295" s="1">
        <v>7.3911704676588221E-3</v>
      </c>
      <c r="P295" s="1">
        <v>0.83952051320640886</v>
      </c>
      <c r="R295" s="1">
        <v>0.1754646836785928</v>
      </c>
      <c r="S295" s="2">
        <f t="shared" si="60"/>
        <v>0.68956527501535825</v>
      </c>
      <c r="T295" s="4">
        <f t="shared" si="61"/>
        <v>0.47550026850700666</v>
      </c>
      <c r="U295" s="1">
        <f t="shared" si="53"/>
        <v>0.23038554955977375</v>
      </c>
      <c r="V295" s="6">
        <f>2*sigma/alpha*corel*(B295/12-1/alpha*(1-EXP(-alpha*Output!B295/12)))</f>
        <v>1.0459343056766834</v>
      </c>
      <c r="W295" s="5">
        <f t="shared" si="62"/>
        <v>-0.24511471894723291</v>
      </c>
      <c r="X295" s="1">
        <f t="shared" si="63"/>
        <v>24.29817196546275</v>
      </c>
      <c r="Y295" s="3">
        <f t="shared" si="64"/>
        <v>8.2043308957409106E-2</v>
      </c>
      <c r="Z295" s="1">
        <f t="shared" si="54"/>
        <v>0.14174470233889211</v>
      </c>
      <c r="AA295" s="8">
        <f t="shared" si="59"/>
        <v>23.583333333333268</v>
      </c>
      <c r="AB295" s="1">
        <v>23.67</v>
      </c>
      <c r="AC295" s="1">
        <v>7.468635425E-3</v>
      </c>
      <c r="AD295" s="8">
        <f t="shared" si="55"/>
        <v>0.77464957341177865</v>
      </c>
      <c r="AE295" s="3">
        <f t="shared" si="56"/>
        <v>1.0372036246658519E-2</v>
      </c>
      <c r="AF295" s="11">
        <f t="shared" si="57"/>
        <v>23.583333333333268</v>
      </c>
      <c r="AG295" s="1">
        <f t="shared" si="58"/>
        <v>0.14174470233889211</v>
      </c>
    </row>
    <row r="296" spans="2:33" ht="15" x14ac:dyDescent="0.25">
      <c r="B296" s="1">
        <v>285</v>
      </c>
      <c r="C296" s="1">
        <v>1.0004423449550981</v>
      </c>
      <c r="D296" s="1">
        <v>1.1454110479752533</v>
      </c>
      <c r="E296" s="1">
        <v>0.87229617988368535</v>
      </c>
      <c r="G296" s="1">
        <v>1.0001030870120713</v>
      </c>
      <c r="H296" s="1">
        <v>3.1568045978482502</v>
      </c>
      <c r="I296" s="1">
        <v>0.27576702498752553</v>
      </c>
      <c r="K296" s="1">
        <v>0.99991370768819554</v>
      </c>
      <c r="L296" s="1">
        <v>3.5952308057162492</v>
      </c>
      <c r="M296" s="1">
        <v>0.2389227309868103</v>
      </c>
      <c r="O296" s="1">
        <v>7.4021262429364281E-3</v>
      </c>
      <c r="P296" s="1">
        <v>0.83878530576577881</v>
      </c>
      <c r="R296" s="1">
        <v>0.17570195181146839</v>
      </c>
      <c r="S296" s="2">
        <f t="shared" si="60"/>
        <v>0.69145983891422635</v>
      </c>
      <c r="T296" s="4">
        <f t="shared" si="61"/>
        <v>0.47811670883128787</v>
      </c>
      <c r="U296" s="1">
        <f t="shared" si="53"/>
        <v>0.23234021452763232</v>
      </c>
      <c r="V296" s="6">
        <f>2*sigma/alpha*corel*(B296/12-1/alpha*(1-EXP(-alpha*Output!B296/12)))</f>
        <v>1.0523156982953163</v>
      </c>
      <c r="W296" s="5">
        <f t="shared" si="62"/>
        <v>-0.24577649430365556</v>
      </c>
      <c r="X296" s="1">
        <f t="shared" si="63"/>
        <v>24.456135287726038</v>
      </c>
      <c r="Y296" s="3">
        <f t="shared" si="64"/>
        <v>8.195786904941485E-2</v>
      </c>
      <c r="Z296" s="1">
        <f t="shared" si="54"/>
        <v>0.14188456521245682</v>
      </c>
      <c r="AA296" s="8">
        <f t="shared" si="59"/>
        <v>23.6666666666666</v>
      </c>
      <c r="AB296" s="1">
        <v>23.75</v>
      </c>
      <c r="AC296" s="1">
        <v>7.4796330089999998E-3</v>
      </c>
      <c r="AD296" s="8">
        <f t="shared" si="55"/>
        <v>0.77506766063571708</v>
      </c>
      <c r="AE296" s="3">
        <f t="shared" si="56"/>
        <v>1.0362375529696488E-2</v>
      </c>
      <c r="AF296" s="11">
        <f t="shared" si="57"/>
        <v>23.6666666666666</v>
      </c>
      <c r="AG296" s="1">
        <f t="shared" si="58"/>
        <v>0.14188456521245682</v>
      </c>
    </row>
    <row r="297" spans="2:33" ht="15" x14ac:dyDescent="0.25">
      <c r="B297" s="1">
        <v>286</v>
      </c>
      <c r="C297" s="1">
        <v>1.0004427756407237</v>
      </c>
      <c r="D297" s="1">
        <v>1.1483315198517901</v>
      </c>
      <c r="E297" s="1">
        <v>0.87007615557851115</v>
      </c>
      <c r="G297" s="1">
        <v>0.99996405741190442</v>
      </c>
      <c r="H297" s="1">
        <v>3.2159914589640026</v>
      </c>
      <c r="I297" s="1">
        <v>0.27056085221081383</v>
      </c>
      <c r="K297" s="1">
        <v>0.99977967609350038</v>
      </c>
      <c r="L297" s="1">
        <v>3.6040534069804488</v>
      </c>
      <c r="M297" s="1">
        <v>0.23821339518665172</v>
      </c>
      <c r="O297" s="1">
        <v>7.4134372802543268E-3</v>
      </c>
      <c r="P297" s="1">
        <v>0.83804211613434487</v>
      </c>
      <c r="R297" s="1">
        <v>0.17594380043391455</v>
      </c>
      <c r="S297" s="2">
        <f t="shared" si="60"/>
        <v>0.69338308419711137</v>
      </c>
      <c r="T297" s="4">
        <f t="shared" si="61"/>
        <v>0.48078010145069844</v>
      </c>
      <c r="U297" s="1">
        <f t="shared" si="53"/>
        <v>0.23430311464161546</v>
      </c>
      <c r="V297" s="6">
        <f>2*sigma/alpha*corel*(B297/12-1/alpha*(1-EXP(-alpha*Output!B297/12)))</f>
        <v>1.0587105194341417</v>
      </c>
      <c r="W297" s="5">
        <f t="shared" si="62"/>
        <v>-0.24647698680908298</v>
      </c>
      <c r="X297" s="1">
        <f t="shared" si="63"/>
        <v>24.618340706426423</v>
      </c>
      <c r="Y297" s="3">
        <f t="shared" si="64"/>
        <v>8.188063142915003E-2</v>
      </c>
      <c r="Z297" s="1">
        <f t="shared" si="54"/>
        <v>0.14203024913468285</v>
      </c>
      <c r="AA297" s="8">
        <f t="shared" si="59"/>
        <v>23.749999999999932</v>
      </c>
      <c r="AB297" s="1">
        <v>23.83</v>
      </c>
      <c r="AC297" s="1">
        <v>7.4909038289999999E-3</v>
      </c>
      <c r="AD297" s="8">
        <f t="shared" si="55"/>
        <v>0.77466548745673025</v>
      </c>
      <c r="AE297" s="3">
        <f t="shared" si="56"/>
        <v>1.0341415470556701E-2</v>
      </c>
      <c r="AF297" s="11">
        <f t="shared" si="57"/>
        <v>23.749999999999932</v>
      </c>
      <c r="AG297" s="1">
        <f t="shared" si="58"/>
        <v>0.14203024913468285</v>
      </c>
    </row>
    <row r="298" spans="2:33" ht="15" x14ac:dyDescent="0.25">
      <c r="B298" s="1">
        <v>287</v>
      </c>
      <c r="C298" s="1">
        <v>1.0004445401123483</v>
      </c>
      <c r="D298" s="1">
        <v>1.149911950398993</v>
      </c>
      <c r="E298" s="1">
        <v>0.86887875665575975</v>
      </c>
      <c r="G298" s="1">
        <v>0.99993133394867639</v>
      </c>
      <c r="H298" s="1">
        <v>3.2536009754380424</v>
      </c>
      <c r="I298" s="1">
        <v>0.26730394446924283</v>
      </c>
      <c r="K298" s="1">
        <v>0.99974583862302502</v>
      </c>
      <c r="L298" s="1">
        <v>3.585663345025635</v>
      </c>
      <c r="M298" s="1">
        <v>0.23930061611429468</v>
      </c>
      <c r="O298" s="1">
        <v>7.4251223883931138E-3</v>
      </c>
      <c r="P298" s="1">
        <v>0.83729051566301615</v>
      </c>
      <c r="R298" s="1">
        <v>0.17624726137617286</v>
      </c>
      <c r="S298" s="2">
        <f t="shared" si="60"/>
        <v>0.69550726362120652</v>
      </c>
      <c r="T298" s="4">
        <f t="shared" si="61"/>
        <v>0.48373035374985845</v>
      </c>
      <c r="U298" s="1">
        <f t="shared" si="53"/>
        <v>0.23627423972185024</v>
      </c>
      <c r="V298" s="6">
        <f>2*sigma/alpha*corel*(B298/12-1/alpha*(1-EXP(-alpha*Output!B298/12)))</f>
        <v>1.0651187244059463</v>
      </c>
      <c r="W298" s="5">
        <f t="shared" si="62"/>
        <v>-0.24745611402800821</v>
      </c>
      <c r="X298" s="1">
        <f t="shared" si="63"/>
        <v>24.807779472426269</v>
      </c>
      <c r="Y298" s="3">
        <f t="shared" si="64"/>
        <v>8.1859696126266229E-2</v>
      </c>
      <c r="Z298" s="1">
        <f t="shared" si="54"/>
        <v>0.14221694480700245</v>
      </c>
      <c r="AA298" s="8">
        <f t="shared" si="59"/>
        <v>23.833333333333265</v>
      </c>
      <c r="AB298" s="1">
        <v>23.92</v>
      </c>
      <c r="AC298" s="1">
        <v>7.5024916549999996E-3</v>
      </c>
      <c r="AD298" s="8">
        <f t="shared" si="55"/>
        <v>0.77369266606885745</v>
      </c>
      <c r="AE298" s="3">
        <f t="shared" si="56"/>
        <v>1.0312476196534436E-2</v>
      </c>
      <c r="AF298" s="11">
        <f t="shared" si="57"/>
        <v>23.833333333333265</v>
      </c>
      <c r="AG298" s="1">
        <f t="shared" si="58"/>
        <v>0.14221694480700245</v>
      </c>
    </row>
    <row r="299" spans="2:33" ht="15" x14ac:dyDescent="0.25">
      <c r="B299" s="1">
        <v>288</v>
      </c>
      <c r="C299" s="1">
        <v>1.0004459054050632</v>
      </c>
      <c r="D299" s="1">
        <v>1.1518573318121368</v>
      </c>
      <c r="E299" s="1">
        <v>0.86740972905717917</v>
      </c>
      <c r="G299" s="1">
        <v>0.99985900471026712</v>
      </c>
      <c r="H299" s="1">
        <v>3.302049764662748</v>
      </c>
      <c r="I299" s="1">
        <v>0.26325453215532651</v>
      </c>
      <c r="K299" s="1">
        <v>0.99975042123776481</v>
      </c>
      <c r="L299" s="1">
        <v>3.7038498490606009</v>
      </c>
      <c r="M299" s="1">
        <v>0.23154574036410794</v>
      </c>
      <c r="O299" s="1">
        <v>7.4371801741930418E-3</v>
      </c>
      <c r="P299" s="1">
        <v>0.83653047790959256</v>
      </c>
      <c r="R299" s="1">
        <v>0.17648020531727637</v>
      </c>
      <c r="S299" s="2">
        <f t="shared" si="60"/>
        <v>0.69743537655930554</v>
      </c>
      <c r="T299" s="4">
        <f t="shared" si="61"/>
        <v>0.48641610447642031</v>
      </c>
      <c r="U299" s="1">
        <f t="shared" si="53"/>
        <v>0.2382535795078895</v>
      </c>
      <c r="V299" s="6">
        <f>2*sigma/alpha*corel*(B299/12-1/alpha*(1-EXP(-alpha*Output!B299/12)))</f>
        <v>1.0715402686722253</v>
      </c>
      <c r="W299" s="5">
        <f t="shared" si="62"/>
        <v>-0.24816252496853081</v>
      </c>
      <c r="X299" s="1">
        <f t="shared" si="63"/>
        <v>24.9718009443651</v>
      </c>
      <c r="Y299" s="3">
        <f t="shared" si="64"/>
        <v>8.1784146461015825E-2</v>
      </c>
      <c r="Z299" s="1">
        <f t="shared" si="54"/>
        <v>0.14236340009467854</v>
      </c>
      <c r="AA299" s="8">
        <f t="shared" si="59"/>
        <v>23.916666666666597</v>
      </c>
      <c r="AB299" s="1">
        <v>24</v>
      </c>
      <c r="AC299" s="1">
        <v>7.5144402590000001E-3</v>
      </c>
      <c r="AD299" s="8">
        <f t="shared" si="55"/>
        <v>0.77260084806958329</v>
      </c>
      <c r="AE299" s="3">
        <f t="shared" si="56"/>
        <v>1.0281548877100245E-2</v>
      </c>
      <c r="AF299" s="11">
        <f t="shared" si="57"/>
        <v>23.916666666666597</v>
      </c>
      <c r="AG299" s="1">
        <f t="shared" si="58"/>
        <v>0.14236340009467854</v>
      </c>
    </row>
    <row r="300" spans="2:33" ht="15" x14ac:dyDescent="0.25">
      <c r="B300" s="1">
        <v>289</v>
      </c>
      <c r="C300" s="1">
        <v>1.0004485973977777</v>
      </c>
      <c r="D300" s="1">
        <v>1.1512529804469509</v>
      </c>
      <c r="E300" s="1">
        <v>0.86786350387452327</v>
      </c>
      <c r="G300" s="1">
        <v>0.99990212993859573</v>
      </c>
      <c r="H300" s="1">
        <v>3.2832573299024483</v>
      </c>
      <c r="I300" s="1">
        <v>0.26463322153927044</v>
      </c>
      <c r="K300" s="1">
        <v>0.99992768777711505</v>
      </c>
      <c r="L300" s="1">
        <v>3.6747299743635593</v>
      </c>
      <c r="M300" s="1">
        <v>0.23326401452863357</v>
      </c>
      <c r="O300" s="1">
        <v>7.4496938005116928E-3</v>
      </c>
      <c r="P300" s="1">
        <v>0.83576027531935948</v>
      </c>
      <c r="R300" s="1">
        <v>0.17671109000360022</v>
      </c>
      <c r="S300" s="2">
        <f t="shared" si="60"/>
        <v>0.69937588728316213</v>
      </c>
      <c r="T300" s="4">
        <f t="shared" si="61"/>
        <v>0.48912663171311033</v>
      </c>
      <c r="U300" s="1">
        <f t="shared" si="53"/>
        <v>0.24024112365973993</v>
      </c>
      <c r="V300" s="6">
        <f>2*sigma/alpha*corel*(B300/12-1/alpha*(1-EXP(-alpha*Output!B300/12)))</f>
        <v>1.0779751078426878</v>
      </c>
      <c r="W300" s="5">
        <f t="shared" si="62"/>
        <v>-0.2488855080533704</v>
      </c>
      <c r="X300" s="1">
        <f t="shared" si="63"/>
        <v>25.138000942269798</v>
      </c>
      <c r="Y300" s="3">
        <f t="shared" si="64"/>
        <v>8.171223518005738E-2</v>
      </c>
      <c r="Z300" s="1">
        <f t="shared" si="54"/>
        <v>0.14251230239564719</v>
      </c>
      <c r="AA300" s="8">
        <f t="shared" si="59"/>
        <v>23.999999999999929</v>
      </c>
      <c r="AB300" s="1">
        <v>24.08</v>
      </c>
      <c r="AC300" s="1">
        <v>7.526793409E-3</v>
      </c>
      <c r="AD300" s="8">
        <f t="shared" si="55"/>
        <v>0.77099608488307225</v>
      </c>
      <c r="AE300" s="3">
        <f t="shared" si="56"/>
        <v>1.0243353882427149E-2</v>
      </c>
      <c r="AF300" s="11">
        <f t="shared" si="57"/>
        <v>23.999999999999929</v>
      </c>
      <c r="AG300" s="1">
        <f t="shared" si="58"/>
        <v>0.14251230239564719</v>
      </c>
    </row>
    <row r="301" spans="2:33" ht="15" x14ac:dyDescent="0.25">
      <c r="B301" s="1">
        <v>290</v>
      </c>
      <c r="C301" s="1">
        <v>1.0004497235822836</v>
      </c>
      <c r="D301" s="1">
        <v>1.1493904409882314</v>
      </c>
      <c r="E301" s="1">
        <v>0.86926826439224691</v>
      </c>
      <c r="G301" s="1">
        <v>0.99980142011835793</v>
      </c>
      <c r="H301" s="1">
        <v>3.2379684219153471</v>
      </c>
      <c r="I301" s="1">
        <v>0.26820476797830217</v>
      </c>
      <c r="K301" s="1">
        <v>0.99989605105802315</v>
      </c>
      <c r="L301" s="1">
        <v>3.6369585131032922</v>
      </c>
      <c r="M301" s="1">
        <v>0.23555685465318174</v>
      </c>
      <c r="O301" s="1">
        <v>7.4624976440177491E-3</v>
      </c>
      <c r="P301" s="1">
        <v>0.83498318416070572</v>
      </c>
      <c r="R301" s="1">
        <v>0.1769323486561569</v>
      </c>
      <c r="S301" s="2">
        <f t="shared" si="60"/>
        <v>0.70130072479597882</v>
      </c>
      <c r="T301" s="4">
        <f t="shared" si="61"/>
        <v>0.49182270659936522</v>
      </c>
      <c r="U301" s="1">
        <f t="shared" si="53"/>
        <v>0.24223686175888481</v>
      </c>
      <c r="V301" s="6">
        <f>2*sigma/alpha*corel*(B301/12-1/alpha*(1-EXP(-alpha*Output!B301/12)))</f>
        <v>1.0844231976747662</v>
      </c>
      <c r="W301" s="5">
        <f t="shared" si="62"/>
        <v>-0.24958584484048041</v>
      </c>
      <c r="X301" s="1">
        <f t="shared" si="63"/>
        <v>25.30260533956827</v>
      </c>
      <c r="Y301" s="3">
        <f t="shared" si="64"/>
        <v>8.1636130682577218E-2</v>
      </c>
      <c r="Z301" s="1">
        <f t="shared" si="54"/>
        <v>0.14265792796409255</v>
      </c>
      <c r="AA301" s="8">
        <f t="shared" si="59"/>
        <v>24.083333333333261</v>
      </c>
      <c r="AB301" s="1">
        <v>24.17</v>
      </c>
      <c r="AC301" s="1">
        <v>7.5395580370000003E-3</v>
      </c>
      <c r="AD301" s="8">
        <f t="shared" si="55"/>
        <v>0.77060392982251225</v>
      </c>
      <c r="AE301" s="3">
        <f t="shared" si="56"/>
        <v>1.022081037165325E-2</v>
      </c>
      <c r="AF301" s="11">
        <f t="shared" si="57"/>
        <v>24.083333333333261</v>
      </c>
      <c r="AG301" s="1">
        <f t="shared" si="58"/>
        <v>0.14265792796409255</v>
      </c>
    </row>
    <row r="302" spans="2:33" ht="15" x14ac:dyDescent="0.25">
      <c r="B302" s="1">
        <v>291</v>
      </c>
      <c r="C302" s="1">
        <v>1.0004524763791249</v>
      </c>
      <c r="D302" s="1">
        <v>1.1517650135050805</v>
      </c>
      <c r="E302" s="1">
        <v>0.86747453612549486</v>
      </c>
      <c r="G302" s="1">
        <v>0.99984311935400816</v>
      </c>
      <c r="H302" s="1">
        <v>3.3178744376773581</v>
      </c>
      <c r="I302" s="1">
        <v>0.26161881569657852</v>
      </c>
      <c r="K302" s="1">
        <v>0.99988757105191917</v>
      </c>
      <c r="L302" s="1">
        <v>3.6775947105656965</v>
      </c>
      <c r="M302" s="1">
        <v>0.23282359851484905</v>
      </c>
      <c r="O302" s="1">
        <v>7.4752287378824743E-3</v>
      </c>
      <c r="P302" s="1">
        <v>0.83420650705702926</v>
      </c>
      <c r="R302" s="1">
        <v>0.17727422120974881</v>
      </c>
      <c r="S302" s="2">
        <f t="shared" si="60"/>
        <v>0.70359108946671811</v>
      </c>
      <c r="T302" s="4">
        <f t="shared" si="61"/>
        <v>0.49504042117696334</v>
      </c>
      <c r="U302" s="1">
        <f t="shared" si="53"/>
        <v>0.24424078330929078</v>
      </c>
      <c r="V302" s="6">
        <f>2*sigma/alpha*corel*(B302/12-1/alpha*(1-EXP(-alpha*Output!B302/12)))</f>
        <v>1.090884494073121</v>
      </c>
      <c r="W302" s="5">
        <f t="shared" si="62"/>
        <v>-0.25079963786767256</v>
      </c>
      <c r="X302" s="1">
        <f t="shared" si="63"/>
        <v>25.517593852573409</v>
      </c>
      <c r="Y302" s="3">
        <f t="shared" si="64"/>
        <v>8.1662056200351343E-2</v>
      </c>
      <c r="Z302" s="1">
        <f t="shared" si="54"/>
        <v>0.14287770290244348</v>
      </c>
      <c r="AA302" s="8">
        <f t="shared" si="59"/>
        <v>24.166666666666593</v>
      </c>
      <c r="AB302" s="1">
        <v>24.25</v>
      </c>
      <c r="AC302" s="1">
        <v>7.5525937140000004E-3</v>
      </c>
      <c r="AD302" s="8">
        <f t="shared" si="55"/>
        <v>0.77364976117526119</v>
      </c>
      <c r="AE302" s="3">
        <f t="shared" si="56"/>
        <v>1.0243497670756094E-2</v>
      </c>
      <c r="AF302" s="11">
        <f t="shared" si="57"/>
        <v>24.166666666666593</v>
      </c>
      <c r="AG302" s="1">
        <f t="shared" si="58"/>
        <v>0.14287770290244348</v>
      </c>
    </row>
    <row r="303" spans="2:33" ht="15" x14ac:dyDescent="0.25">
      <c r="B303" s="1">
        <v>292</v>
      </c>
      <c r="C303" s="1">
        <v>1.0004546872310134</v>
      </c>
      <c r="D303" s="1">
        <v>1.159332720262418</v>
      </c>
      <c r="E303" s="1">
        <v>0.86181040953720889</v>
      </c>
      <c r="G303" s="1">
        <v>0.99985545332225811</v>
      </c>
      <c r="H303" s="1">
        <v>3.4965419438519794</v>
      </c>
      <c r="I303" s="1">
        <v>0.24813041367930239</v>
      </c>
      <c r="K303" s="1">
        <v>0.99998304099318758</v>
      </c>
      <c r="L303" s="1">
        <v>3.6595682557694658</v>
      </c>
      <c r="M303" s="1">
        <v>0.23385471190143411</v>
      </c>
      <c r="O303" s="1">
        <v>7.4877691683792099E-3</v>
      </c>
      <c r="P303" s="1">
        <v>0.83343265066516192</v>
      </c>
      <c r="R303" s="1">
        <v>0.17751968492312042</v>
      </c>
      <c r="S303" s="2">
        <f t="shared" si="60"/>
        <v>0.70558850220170544</v>
      </c>
      <c r="T303" s="4">
        <f t="shared" si="61"/>
        <v>0.49785513443924606</v>
      </c>
      <c r="U303" s="1">
        <f t="shared" si="53"/>
        <v>0.24625287773841542</v>
      </c>
      <c r="V303" s="6">
        <f>2*sigma/alpha*corel*(B303/12-1/alpha*(1-EXP(-alpha*Output!B303/12)))</f>
        <v>1.0973589530891534</v>
      </c>
      <c r="W303" s="5">
        <f t="shared" si="62"/>
        <v>-0.25160225670083064</v>
      </c>
      <c r="X303" s="1">
        <f t="shared" si="63"/>
        <v>25.693482990805769</v>
      </c>
      <c r="Y303" s="3">
        <f t="shared" si="64"/>
        <v>8.1606472275399675E-2</v>
      </c>
      <c r="Z303" s="1">
        <f t="shared" si="54"/>
        <v>0.1430377574119801</v>
      </c>
      <c r="AA303" s="8">
        <f t="shared" si="59"/>
        <v>24.249999999999925</v>
      </c>
      <c r="AB303" s="1">
        <v>24.33</v>
      </c>
      <c r="AC303" s="1">
        <v>7.5657231700000001E-3</v>
      </c>
      <c r="AD303" s="8">
        <f t="shared" si="55"/>
        <v>0.77954001620790181</v>
      </c>
      <c r="AE303" s="3">
        <f t="shared" si="56"/>
        <v>1.030357572821293E-2</v>
      </c>
      <c r="AF303" s="11">
        <f t="shared" si="57"/>
        <v>24.249999999999925</v>
      </c>
      <c r="AG303" s="1">
        <f t="shared" si="58"/>
        <v>0.1430377574119801</v>
      </c>
    </row>
    <row r="304" spans="2:33" ht="15" x14ac:dyDescent="0.25">
      <c r="B304" s="1">
        <v>293</v>
      </c>
      <c r="C304" s="1">
        <v>1.000458698012989</v>
      </c>
      <c r="D304" s="1">
        <v>1.1606643929312284</v>
      </c>
      <c r="E304" s="1">
        <v>0.86082005853618571</v>
      </c>
      <c r="G304" s="1">
        <v>1.0000119007533488</v>
      </c>
      <c r="H304" s="1">
        <v>3.5314296978553052</v>
      </c>
      <c r="I304" s="1">
        <v>0.24556021132506223</v>
      </c>
      <c r="K304" s="1">
        <v>1.0000104101812597</v>
      </c>
      <c r="L304" s="1">
        <v>3.7943099244300442</v>
      </c>
      <c r="M304" s="1">
        <v>0.22542917409219637</v>
      </c>
      <c r="O304" s="1">
        <v>7.5000022720078264E-3</v>
      </c>
      <c r="P304" s="1">
        <v>0.83266402003143458</v>
      </c>
      <c r="R304" s="1">
        <v>0.17770999142628424</v>
      </c>
      <c r="S304" s="2">
        <f t="shared" si="60"/>
        <v>0.70741294148672762</v>
      </c>
      <c r="T304" s="4">
        <f t="shared" si="61"/>
        <v>0.50043306978290436</v>
      </c>
      <c r="U304" s="1">
        <f t="shared" si="53"/>
        <v>0.24827313439819987</v>
      </c>
      <c r="V304" s="6">
        <f>2*sigma/alpha*corel*(B304/12-1/alpha*(1-EXP(-alpha*Output!B304/12)))</f>
        <v>1.1038465309205157</v>
      </c>
      <c r="W304" s="5">
        <f t="shared" si="62"/>
        <v>-0.25215993538470449</v>
      </c>
      <c r="X304" s="1">
        <f t="shared" si="63"/>
        <v>25.846097519731398</v>
      </c>
      <c r="Y304" s="3">
        <f t="shared" si="64"/>
        <v>8.1502918849564177E-2</v>
      </c>
      <c r="Z304" s="1">
        <f t="shared" si="54"/>
        <v>0.14316267790893517</v>
      </c>
      <c r="AA304" s="8">
        <f t="shared" si="59"/>
        <v>24.333333333333258</v>
      </c>
      <c r="AB304" s="1">
        <v>24.42</v>
      </c>
      <c r="AC304" s="1">
        <v>7.5787691349999999E-3</v>
      </c>
      <c r="AD304" s="8">
        <f t="shared" si="55"/>
        <v>0.78766862992173459</v>
      </c>
      <c r="AE304" s="3">
        <f t="shared" si="56"/>
        <v>1.039309439159654E-2</v>
      </c>
      <c r="AF304" s="11">
        <f t="shared" si="57"/>
        <v>24.333333333333258</v>
      </c>
      <c r="AG304" s="1">
        <f t="shared" si="58"/>
        <v>0.14316267790893517</v>
      </c>
    </row>
    <row r="305" spans="2:33" ht="15" x14ac:dyDescent="0.25">
      <c r="B305" s="1">
        <v>294</v>
      </c>
      <c r="C305" s="1">
        <v>1.0004614132532887</v>
      </c>
      <c r="D305" s="1">
        <v>1.1559008147965764</v>
      </c>
      <c r="E305" s="1">
        <v>0.86436600879006931</v>
      </c>
      <c r="G305" s="1">
        <v>1.0000498682071171</v>
      </c>
      <c r="H305" s="1">
        <v>3.4022063300778131</v>
      </c>
      <c r="I305" s="1">
        <v>0.25476381176657914</v>
      </c>
      <c r="K305" s="1">
        <v>0.99992383502927107</v>
      </c>
      <c r="L305" s="1">
        <v>3.954661709904649</v>
      </c>
      <c r="M305" s="1">
        <v>0.21616505307278072</v>
      </c>
      <c r="O305" s="1">
        <v>7.5117692344397876E-3</v>
      </c>
      <c r="P305" s="1">
        <v>0.8319039028251789</v>
      </c>
      <c r="R305" s="1">
        <v>0.17801467990221417</v>
      </c>
      <c r="S305" s="2">
        <f t="shared" si="60"/>
        <v>0.70957172253253509</v>
      </c>
      <c r="T305" s="4">
        <f t="shared" si="61"/>
        <v>0.50349202941778892</v>
      </c>
      <c r="U305" s="1">
        <f t="shared" si="53"/>
        <v>0.2503015425660573</v>
      </c>
      <c r="V305" s="6">
        <f>2*sigma/alpha*corel*(B305/12-1/alpha*(1-EXP(-alpha*Output!B305/12)))</f>
        <v>1.1103471839106236</v>
      </c>
      <c r="W305" s="5">
        <f t="shared" si="62"/>
        <v>-0.25319048685173162</v>
      </c>
      <c r="X305" s="1">
        <f t="shared" si="63"/>
        <v>26.045538580287953</v>
      </c>
      <c r="Y305" s="3">
        <f t="shared" si="64"/>
        <v>8.1492567373376637E-2</v>
      </c>
      <c r="Z305" s="1">
        <f t="shared" si="54"/>
        <v>0.14335513621170712</v>
      </c>
      <c r="AA305" s="8">
        <f t="shared" si="59"/>
        <v>24.41666666666659</v>
      </c>
      <c r="AB305" s="1">
        <v>24.5</v>
      </c>
      <c r="AC305" s="1">
        <v>7.5915543419999999E-3</v>
      </c>
      <c r="AD305" s="8">
        <f t="shared" si="55"/>
        <v>0.79785107560212221</v>
      </c>
      <c r="AE305" s="3">
        <f t="shared" si="56"/>
        <v>1.0509719612860307E-2</v>
      </c>
      <c r="AF305" s="11">
        <f t="shared" si="57"/>
        <v>24.41666666666659</v>
      </c>
      <c r="AG305" s="1">
        <f t="shared" si="58"/>
        <v>0.14335513621170712</v>
      </c>
    </row>
    <row r="306" spans="2:33" ht="15" x14ac:dyDescent="0.25">
      <c r="B306" s="1">
        <v>295</v>
      </c>
      <c r="C306" s="1">
        <v>1.0004633316539677</v>
      </c>
      <c r="D306" s="1">
        <v>1.1611641484115762</v>
      </c>
      <c r="E306" s="1">
        <v>0.86044643806647614</v>
      </c>
      <c r="G306" s="1">
        <v>1.0000178596702793</v>
      </c>
      <c r="H306" s="1">
        <v>3.5424089173418518</v>
      </c>
      <c r="I306" s="1">
        <v>0.2445623046925284</v>
      </c>
      <c r="K306" s="1">
        <v>0.99984457843823327</v>
      </c>
      <c r="L306" s="1">
        <v>3.9629965184225369</v>
      </c>
      <c r="M306" s="1">
        <v>0.21559790159951353</v>
      </c>
      <c r="O306" s="1">
        <v>7.5229297638559726E-3</v>
      </c>
      <c r="P306" s="1">
        <v>0.8311552403944491</v>
      </c>
      <c r="R306" s="1">
        <v>0.17831712659452656</v>
      </c>
      <c r="S306" s="2">
        <f t="shared" si="60"/>
        <v>0.71170765691194027</v>
      </c>
      <c r="T306" s="4">
        <f t="shared" si="61"/>
        <v>0.50652778890708405</v>
      </c>
      <c r="U306" s="1">
        <f t="shared" si="53"/>
        <v>0.25233809144584995</v>
      </c>
      <c r="V306" s="6">
        <f>2*sigma/alpha*corel*(B306/12-1/alpha*(1-EXP(-alpha*Output!B306/12)))</f>
        <v>1.1168608685481747</v>
      </c>
      <c r="W306" s="5">
        <f t="shared" si="62"/>
        <v>-0.2541896974612341</v>
      </c>
      <c r="X306" s="1">
        <f t="shared" si="63"/>
        <v>26.242698450048866</v>
      </c>
      <c r="Y306" s="3">
        <f t="shared" si="64"/>
        <v>8.1475970980910861E-2</v>
      </c>
      <c r="Z306" s="1">
        <f t="shared" si="54"/>
        <v>0.14354274703630571</v>
      </c>
      <c r="AA306" s="8">
        <f t="shared" si="59"/>
        <v>24.499999999999922</v>
      </c>
      <c r="AB306" s="1">
        <v>24.58</v>
      </c>
      <c r="AC306" s="1">
        <v>7.6039015200000002E-3</v>
      </c>
      <c r="AD306" s="8">
        <f t="shared" si="55"/>
        <v>0.80971756144027596</v>
      </c>
      <c r="AE306" s="3">
        <f t="shared" si="56"/>
        <v>1.0648711839711937E-2</v>
      </c>
      <c r="AF306" s="11">
        <f t="shared" si="57"/>
        <v>24.499999999999922</v>
      </c>
      <c r="AG306" s="1">
        <f t="shared" si="58"/>
        <v>0.14354274703630571</v>
      </c>
    </row>
    <row r="307" spans="2:33" ht="15" x14ac:dyDescent="0.25">
      <c r="B307" s="1">
        <v>296</v>
      </c>
      <c r="C307" s="1">
        <v>1.000467871620264</v>
      </c>
      <c r="D307" s="1">
        <v>1.157566540881158</v>
      </c>
      <c r="E307" s="1">
        <v>0.86311905215885176</v>
      </c>
      <c r="G307" s="1">
        <v>1.0002122652781553</v>
      </c>
      <c r="H307" s="1">
        <v>3.4455302584104213</v>
      </c>
      <c r="I307" s="1">
        <v>0.25131705877036342</v>
      </c>
      <c r="K307" s="1">
        <v>0.99992467590492662</v>
      </c>
      <c r="L307" s="1">
        <v>3.9825029973314794</v>
      </c>
      <c r="M307" s="1">
        <v>0.21442975474904688</v>
      </c>
      <c r="O307" s="1">
        <v>7.533252894022284E-3</v>
      </c>
      <c r="P307" s="1">
        <v>0.8304228599959661</v>
      </c>
      <c r="R307" s="1">
        <v>0.17867021382873435</v>
      </c>
      <c r="S307" s="2">
        <f t="shared" si="60"/>
        <v>0.71397314724186711</v>
      </c>
      <c r="T307" s="4">
        <f t="shared" si="61"/>
        <v>0.50975765498245684</v>
      </c>
      <c r="U307" s="1">
        <f t="shared" si="53"/>
        <v>0.25438277016886168</v>
      </c>
      <c r="V307" s="6">
        <f>2*sigma/alpha*corel*(B307/12-1/alpha*(1-EXP(-alpha*Output!B307/12)))</f>
        <v>1.1233875414666623</v>
      </c>
      <c r="W307" s="5">
        <f t="shared" si="62"/>
        <v>-0.25537488481359516</v>
      </c>
      <c r="X307" s="1">
        <f t="shared" si="63"/>
        <v>26.458988203263903</v>
      </c>
      <c r="Y307" s="3">
        <f t="shared" si="64"/>
        <v>8.1495457475632249E-2</v>
      </c>
      <c r="Z307" s="1">
        <f t="shared" si="54"/>
        <v>0.14375622030947799</v>
      </c>
      <c r="AA307" s="8">
        <f t="shared" si="59"/>
        <v>24.583333333333254</v>
      </c>
      <c r="AB307" s="1">
        <v>24.67</v>
      </c>
      <c r="AC307" s="1">
        <v>7.6156330990000002E-3</v>
      </c>
      <c r="AD307" s="8">
        <f t="shared" si="55"/>
        <v>0.82380204977716176</v>
      </c>
      <c r="AE307" s="3">
        <f t="shared" si="56"/>
        <v>1.0817249716052291E-2</v>
      </c>
      <c r="AF307" s="11">
        <f t="shared" si="57"/>
        <v>24.583333333333254</v>
      </c>
      <c r="AG307" s="1">
        <f t="shared" si="58"/>
        <v>0.14375622030947799</v>
      </c>
    </row>
    <row r="308" spans="2:33" ht="15" x14ac:dyDescent="0.25">
      <c r="B308" s="1">
        <v>297</v>
      </c>
      <c r="C308" s="1">
        <v>1.0004702475427809</v>
      </c>
      <c r="D308" s="1">
        <v>1.1542825917413448</v>
      </c>
      <c r="E308" s="1">
        <v>0.86557305916301552</v>
      </c>
      <c r="G308" s="1">
        <v>1.0002354707648129</v>
      </c>
      <c r="H308" s="1">
        <v>3.3553231748783485</v>
      </c>
      <c r="I308" s="1">
        <v>0.2579487972532889</v>
      </c>
      <c r="K308" s="1">
        <v>0.99981611662439784</v>
      </c>
      <c r="L308" s="1">
        <v>4.05193198055089</v>
      </c>
      <c r="M308" s="1">
        <v>0.21064626909757989</v>
      </c>
      <c r="O308" s="1">
        <v>7.5426454854393542E-3</v>
      </c>
      <c r="P308" s="1">
        <v>0.82970880610690467</v>
      </c>
      <c r="R308" s="1">
        <v>0.17900675254990434</v>
      </c>
      <c r="S308" s="2">
        <f t="shared" si="60"/>
        <v>0.71616122769903834</v>
      </c>
      <c r="T308" s="4">
        <f t="shared" si="61"/>
        <v>0.51288690405939386</v>
      </c>
      <c r="U308" s="1">
        <f t="shared" si="53"/>
        <v>0.25643556779475762</v>
      </c>
      <c r="V308" s="6">
        <f>2*sigma/alpha*corel*(B308/12-1/alpha*(1-EXP(-alpha*Output!B308/12)))</f>
        <v>1.1299271594438929</v>
      </c>
      <c r="W308" s="5">
        <f t="shared" si="62"/>
        <v>-0.25645133626463623</v>
      </c>
      <c r="X308" s="1">
        <f t="shared" si="63"/>
        <v>26.66541767584793</v>
      </c>
      <c r="Y308" s="3">
        <f t="shared" si="64"/>
        <v>8.1493529314489749E-2</v>
      </c>
      <c r="Z308" s="1">
        <f t="shared" si="54"/>
        <v>0.14395382313199934</v>
      </c>
      <c r="AA308" s="8">
        <f t="shared" si="59"/>
        <v>24.666666666666586</v>
      </c>
      <c r="AB308" s="1">
        <v>24.75</v>
      </c>
      <c r="AC308" s="1">
        <v>7.6265702990000002E-3</v>
      </c>
      <c r="AD308" s="8">
        <f t="shared" si="55"/>
        <v>0.83924813560645917</v>
      </c>
      <c r="AE308" s="3">
        <f t="shared" si="56"/>
        <v>1.1004266697921894E-2</v>
      </c>
      <c r="AF308" s="11">
        <f t="shared" si="57"/>
        <v>24.666666666666586</v>
      </c>
      <c r="AG308" s="1">
        <f t="shared" si="58"/>
        <v>0.14395382313199934</v>
      </c>
    </row>
    <row r="309" spans="2:33" ht="15" x14ac:dyDescent="0.25">
      <c r="B309" s="1">
        <v>298</v>
      </c>
      <c r="C309" s="1">
        <v>1.0004757854137745</v>
      </c>
      <c r="D309" s="1">
        <v>1.1554434567105052</v>
      </c>
      <c r="E309" s="1">
        <v>0.86470184704689601</v>
      </c>
      <c r="G309" s="1">
        <v>1.000508667406717</v>
      </c>
      <c r="H309" s="1">
        <v>3.3829503818871194</v>
      </c>
      <c r="I309" s="1">
        <v>0.2557184504911843</v>
      </c>
      <c r="K309" s="1">
        <v>0.99965192605365505</v>
      </c>
      <c r="L309" s="1">
        <v>3.8918298325138405</v>
      </c>
      <c r="M309" s="1">
        <v>0.2191923818189371</v>
      </c>
      <c r="O309" s="1">
        <v>7.5508998838498959E-3</v>
      </c>
      <c r="P309" s="1">
        <v>0.82901750042824518</v>
      </c>
      <c r="R309" s="1">
        <v>0.1792792188607395</v>
      </c>
      <c r="S309" s="2">
        <f t="shared" si="60"/>
        <v>0.71812001185561991</v>
      </c>
      <c r="T309" s="4">
        <f t="shared" si="61"/>
        <v>0.51569635142751569</v>
      </c>
      <c r="U309" s="1">
        <f t="shared" si="53"/>
        <v>0.258496473312543</v>
      </c>
      <c r="V309" s="6">
        <f>2*sigma/alpha*corel*(B309/12-1/alpha*(1-EXP(-alpha*Output!B309/12)))</f>
        <v>1.1364796794015075</v>
      </c>
      <c r="W309" s="5">
        <f t="shared" si="62"/>
        <v>-0.25719987811497269</v>
      </c>
      <c r="X309" s="1">
        <f t="shared" si="63"/>
        <v>26.840107287779841</v>
      </c>
      <c r="Y309" s="3">
        <f t="shared" si="64"/>
        <v>8.1428138534508698E-2</v>
      </c>
      <c r="Z309" s="1">
        <f t="shared" si="54"/>
        <v>0.14410515615562899</v>
      </c>
      <c r="AA309" s="8">
        <f t="shared" si="59"/>
        <v>24.749999999999918</v>
      </c>
      <c r="AB309" s="1">
        <v>24.83</v>
      </c>
      <c r="AC309" s="1">
        <v>7.6365340369999998E-3</v>
      </c>
      <c r="AD309" s="8">
        <f t="shared" si="55"/>
        <v>0.85634153150103942</v>
      </c>
      <c r="AE309" s="3">
        <f t="shared" si="56"/>
        <v>1.1213746018179888E-2</v>
      </c>
      <c r="AF309" s="11">
        <f t="shared" si="57"/>
        <v>24.749999999999918</v>
      </c>
      <c r="AG309" s="1">
        <f t="shared" si="58"/>
        <v>0.14410515615562899</v>
      </c>
    </row>
    <row r="310" spans="2:33" ht="15" x14ac:dyDescent="0.25">
      <c r="B310" s="1">
        <v>299</v>
      </c>
      <c r="C310" s="1">
        <v>1.0004740891197348</v>
      </c>
      <c r="D310" s="1">
        <v>1.1555814377304687</v>
      </c>
      <c r="E310" s="1">
        <v>0.86459701924445798</v>
      </c>
      <c r="G310" s="1">
        <v>1.0002087145598193</v>
      </c>
      <c r="H310" s="1">
        <v>3.38813451679041</v>
      </c>
      <c r="I310" s="1">
        <v>0.25520364758273822</v>
      </c>
      <c r="K310" s="1">
        <v>0.99972955470479441</v>
      </c>
      <c r="L310" s="1">
        <v>3.9363273753958699</v>
      </c>
      <c r="M310" s="1">
        <v>0.21659666453669249</v>
      </c>
      <c r="O310" s="1">
        <v>7.5578478709730076E-3</v>
      </c>
      <c r="P310" s="1">
        <v>0.82835259479319268</v>
      </c>
      <c r="R310" s="1">
        <v>0.1795885405546388</v>
      </c>
      <c r="S310" s="2">
        <f t="shared" si="60"/>
        <v>0.72014975680223148</v>
      </c>
      <c r="T310" s="4">
        <f t="shared" si="61"/>
        <v>0.5186156722223132</v>
      </c>
      <c r="U310" s="1">
        <f t="shared" si="53"/>
        <v>0.26056547564150456</v>
      </c>
      <c r="V310" s="6">
        <f>2*sigma/alpha*corel*(B310/12-1/alpha*(1-EXP(-alpha*Output!B310/12)))</f>
        <v>1.1430450584045044</v>
      </c>
      <c r="W310" s="5">
        <f t="shared" si="62"/>
        <v>-0.25805019658080863</v>
      </c>
      <c r="X310" s="1">
        <f t="shared" si="63"/>
        <v>27.025554931430221</v>
      </c>
      <c r="Y310" s="3">
        <f t="shared" si="64"/>
        <v>8.1382591447765995E-2</v>
      </c>
      <c r="Z310" s="1">
        <f t="shared" si="54"/>
        <v>0.14427060307606779</v>
      </c>
      <c r="AA310" s="8">
        <f t="shared" si="59"/>
        <v>24.83333333333325</v>
      </c>
      <c r="AB310" s="1">
        <v>24.92</v>
      </c>
      <c r="AC310" s="1">
        <v>7.6453452340000004E-3</v>
      </c>
      <c r="AD310" s="8">
        <f t="shared" si="55"/>
        <v>0.87497363026992758</v>
      </c>
      <c r="AE310" s="3">
        <f t="shared" si="56"/>
        <v>1.1444527401833842E-2</v>
      </c>
      <c r="AF310" s="11">
        <f t="shared" si="57"/>
        <v>24.83333333333325</v>
      </c>
      <c r="AG310" s="1">
        <f t="shared" si="58"/>
        <v>0.14427060307606779</v>
      </c>
    </row>
    <row r="311" spans="2:33" ht="15" x14ac:dyDescent="0.25">
      <c r="B311" s="1">
        <v>300</v>
      </c>
      <c r="C311" s="1">
        <v>1.0004743468596176</v>
      </c>
      <c r="D311" s="1">
        <v>1.1549766132927715</v>
      </c>
      <c r="E311" s="1">
        <v>0.8650482000902957</v>
      </c>
      <c r="G311" s="1">
        <v>1.0000486908656756</v>
      </c>
      <c r="H311" s="1">
        <v>3.3711231428968471</v>
      </c>
      <c r="I311" s="1">
        <v>0.25636736279136646</v>
      </c>
      <c r="K311" s="1">
        <v>0.99963455583601735</v>
      </c>
      <c r="L311" s="1">
        <v>3.8327322084390789</v>
      </c>
      <c r="M311" s="1">
        <v>0.22233176494749876</v>
      </c>
      <c r="O311" s="1">
        <v>7.563304377451425E-3</v>
      </c>
      <c r="P311" s="1">
        <v>0.82771812654251253</v>
      </c>
      <c r="R311" s="1">
        <v>0.18001029137274241</v>
      </c>
      <c r="S311" s="2">
        <f t="shared" si="60"/>
        <v>0.72247395694408789</v>
      </c>
      <c r="T311" s="4">
        <f t="shared" si="61"/>
        <v>0.5219686184624478</v>
      </c>
      <c r="U311" s="1">
        <f t="shared" si="53"/>
        <v>0.26264256363215388</v>
      </c>
      <c r="V311" s="6">
        <f>2*sigma/alpha*corel*(B311/12-1/alpha*(1-EXP(-alpha*Output!B311/12)))</f>
        <v>1.1496232536607573</v>
      </c>
      <c r="W311" s="5">
        <f t="shared" si="62"/>
        <v>-0.25932605483029392</v>
      </c>
      <c r="X311" s="1">
        <f t="shared" si="63"/>
        <v>27.254239108386937</v>
      </c>
      <c r="Y311" s="3">
        <f t="shared" si="64"/>
        <v>8.141872035897299E-2</v>
      </c>
      <c r="Z311" s="1">
        <f t="shared" si="54"/>
        <v>0.14449479138881757</v>
      </c>
      <c r="AA311" s="8">
        <f t="shared" si="59"/>
        <v>24.916666666666583</v>
      </c>
      <c r="AB311" s="1">
        <v>25</v>
      </c>
      <c r="AC311" s="1">
        <v>7.6528248069999997E-3</v>
      </c>
      <c r="AD311" s="8">
        <f t="shared" si="55"/>
        <v>0.89520429548574709</v>
      </c>
      <c r="AE311" s="3">
        <f t="shared" si="56"/>
        <v>1.1697697491610003E-2</v>
      </c>
      <c r="AF311" s="11">
        <f t="shared" si="57"/>
        <v>24.916666666666583</v>
      </c>
      <c r="AG311" s="1">
        <f t="shared" si="58"/>
        <v>0.14449479138881757</v>
      </c>
    </row>
    <row r="312" spans="2:33" ht="15" x14ac:dyDescent="0.25">
      <c r="B312" s="1">
        <v>301</v>
      </c>
      <c r="C312" s="1">
        <v>1.0004775156201084</v>
      </c>
      <c r="D312" s="1">
        <v>1.1519918861604246</v>
      </c>
      <c r="E312" s="1">
        <v>0.86728789026269415</v>
      </c>
      <c r="G312" s="1">
        <v>1.0001339923154227</v>
      </c>
      <c r="H312" s="1">
        <v>3.2937406238575924</v>
      </c>
      <c r="I312" s="1">
        <v>0.26226346144302459</v>
      </c>
      <c r="K312" s="1">
        <v>0.999731183047886</v>
      </c>
      <c r="L312" s="1">
        <v>3.7473096352156992</v>
      </c>
      <c r="M312" s="1">
        <v>0.22728198396791371</v>
      </c>
      <c r="O312" s="1">
        <v>7.5670590400374856E-3</v>
      </c>
      <c r="P312" s="1">
        <v>0.82711869931299176</v>
      </c>
      <c r="R312" s="1">
        <v>0.18042469764741031</v>
      </c>
      <c r="S312" s="2">
        <f t="shared" si="60"/>
        <v>0.72472087384302375</v>
      </c>
      <c r="T312" s="4">
        <f t="shared" si="61"/>
        <v>0.52522034498379599</v>
      </c>
      <c r="U312" s="1">
        <f t="shared" si="53"/>
        <v>0.26472772606715367</v>
      </c>
      <c r="V312" s="6">
        <f>2*sigma/alpha*corel*(B312/12-1/alpha*(1-EXP(-alpha*Output!B312/12)))</f>
        <v>1.1562142225205445</v>
      </c>
      <c r="W312" s="5">
        <f t="shared" si="62"/>
        <v>-0.26049261891664233</v>
      </c>
      <c r="X312" s="1">
        <f t="shared" si="63"/>
        <v>27.472924092995232</v>
      </c>
      <c r="Y312" s="3">
        <f t="shared" si="64"/>
        <v>8.1433510886386451E-2</v>
      </c>
      <c r="Z312" s="1">
        <f t="shared" si="54"/>
        <v>0.14470320340533568</v>
      </c>
      <c r="AA312" s="8">
        <f t="shared" si="59"/>
        <v>24.999999999999915</v>
      </c>
      <c r="AB312" s="1">
        <v>25.08</v>
      </c>
      <c r="AC312" s="1">
        <v>7.6587936739999996E-3</v>
      </c>
      <c r="AD312" s="8">
        <f t="shared" si="55"/>
        <v>0.91734633962514001</v>
      </c>
      <c r="AE312" s="3">
        <f t="shared" si="56"/>
        <v>1.197768707021497E-2</v>
      </c>
      <c r="AF312" s="11">
        <f t="shared" si="57"/>
        <v>24.999999999999915</v>
      </c>
      <c r="AG312" s="1">
        <f t="shared" si="58"/>
        <v>0.14470320340533568</v>
      </c>
    </row>
    <row r="313" spans="2:33" ht="15" x14ac:dyDescent="0.25">
      <c r="B313" s="1">
        <v>302</v>
      </c>
      <c r="C313" s="1">
        <v>1.0004795783221523</v>
      </c>
      <c r="D313" s="1">
        <v>1.1510405265854968</v>
      </c>
      <c r="E313" s="1">
        <v>0.8680031327565626</v>
      </c>
      <c r="G313" s="1">
        <v>1.0001037582971881</v>
      </c>
      <c r="H313" s="1">
        <v>3.2869133791054836</v>
      </c>
      <c r="I313" s="1">
        <v>0.26268105962512739</v>
      </c>
      <c r="K313" s="1">
        <v>0.9996698242898806</v>
      </c>
      <c r="L313" s="1">
        <v>3.8510330444506531</v>
      </c>
      <c r="M313" s="1">
        <v>0.22103731208659813</v>
      </c>
      <c r="O313" s="1">
        <v>7.5692927208283944E-3</v>
      </c>
      <c r="P313" s="1">
        <v>0.8265508271088321</v>
      </c>
      <c r="R313" s="1">
        <v>0.18063896409202027</v>
      </c>
      <c r="S313" s="2">
        <f t="shared" si="60"/>
        <v>0.7263082665564482</v>
      </c>
      <c r="T313" s="4">
        <f t="shared" si="61"/>
        <v>0.52752369806823263</v>
      </c>
      <c r="U313" s="1">
        <f t="shared" ref="U313:U376" si="65">sigma*sigma/alpha/alpha*(B313/12+2/alpha*EXP(-alpha*B313/12)-1/2/alpha*EXP(-2*alpha*B313/12)-3/2/alpha)</f>
        <v>0.26682095166224684</v>
      </c>
      <c r="V313" s="6">
        <f>2*sigma/alpha*corel*(B313/12-1/alpha*(1-EXP(-alpha*Output!B313/12)))</f>
        <v>1.1628179224760751</v>
      </c>
      <c r="W313" s="5">
        <f t="shared" si="62"/>
        <v>-0.26070274640598579</v>
      </c>
      <c r="X313" s="1">
        <f t="shared" si="63"/>
        <v>27.596221992367475</v>
      </c>
      <c r="Y313" s="3">
        <f t="shared" si="64"/>
        <v>8.1266080412831371E-2</v>
      </c>
      <c r="Z313" s="1">
        <f t="shared" si="54"/>
        <v>0.14477985545564545</v>
      </c>
      <c r="AA313" s="8">
        <f t="shared" si="59"/>
        <v>25.083333333333247</v>
      </c>
      <c r="AB313" s="1">
        <v>25.17</v>
      </c>
      <c r="AC313" s="1">
        <v>7.6631323939999997E-3</v>
      </c>
      <c r="AD313" s="8">
        <f t="shared" si="55"/>
        <v>0.93839673171605342</v>
      </c>
      <c r="AE313" s="3">
        <f t="shared" si="56"/>
        <v>1.2245602496060092E-2</v>
      </c>
      <c r="AF313" s="11">
        <f t="shared" si="57"/>
        <v>25.083333333333247</v>
      </c>
      <c r="AG313" s="1">
        <f t="shared" si="58"/>
        <v>0.14477985545564545</v>
      </c>
    </row>
    <row r="314" spans="2:33" ht="15" x14ac:dyDescent="0.25">
      <c r="B314" s="1">
        <v>303</v>
      </c>
      <c r="C314" s="1">
        <v>1.0004847760053797</v>
      </c>
      <c r="D314" s="1">
        <v>1.1536160704773364</v>
      </c>
      <c r="E314" s="1">
        <v>0.86606365571704735</v>
      </c>
      <c r="G314" s="1">
        <v>1.0003523132909438</v>
      </c>
      <c r="H314" s="1">
        <v>3.3380651999495621</v>
      </c>
      <c r="I314" s="1">
        <v>0.25853064992009178</v>
      </c>
      <c r="K314" s="1">
        <v>0.999547280600948</v>
      </c>
      <c r="L314" s="1">
        <v>3.8059064508429499</v>
      </c>
      <c r="M314" s="1">
        <v>0.22353894663194646</v>
      </c>
      <c r="O314" s="1">
        <v>7.5701783347137293E-3</v>
      </c>
      <c r="P314" s="1">
        <v>0.82601115314825801</v>
      </c>
      <c r="R314" s="1">
        <v>0.18111630853956751</v>
      </c>
      <c r="S314" s="2">
        <f t="shared" si="60"/>
        <v>0.72865310876555123</v>
      </c>
      <c r="T314" s="4">
        <f t="shared" si="61"/>
        <v>0.5309353529137022</v>
      </c>
      <c r="U314" s="1">
        <f t="shared" si="65"/>
        <v>0.26892222906716556</v>
      </c>
      <c r="V314" s="6">
        <f>2*sigma/alpha*corel*(B314/12-1/alpha*(1-EXP(-alpha*Output!B314/12)))</f>
        <v>1.1694343111610106</v>
      </c>
      <c r="W314" s="5">
        <f t="shared" si="62"/>
        <v>-0.26201312384653663</v>
      </c>
      <c r="X314" s="1">
        <f t="shared" si="63"/>
        <v>27.830902116620827</v>
      </c>
      <c r="Y314" s="3">
        <f t="shared" si="64"/>
        <v>8.1308234965407941E-2</v>
      </c>
      <c r="Z314" s="1">
        <f t="shared" si="54"/>
        <v>0.14500738839676955</v>
      </c>
      <c r="AA314" s="8">
        <f t="shared" si="59"/>
        <v>25.166666666666579</v>
      </c>
      <c r="AB314" s="1">
        <v>25.25</v>
      </c>
      <c r="AC314" s="1">
        <v>7.6659600830000004E-3</v>
      </c>
      <c r="AD314" s="8">
        <f t="shared" si="55"/>
        <v>0.95781748286271129</v>
      </c>
      <c r="AE314" s="3">
        <f t="shared" si="56"/>
        <v>1.2494423040197707E-2</v>
      </c>
      <c r="AF314" s="11">
        <f t="shared" si="57"/>
        <v>25.166666666666579</v>
      </c>
      <c r="AG314" s="1">
        <f t="shared" si="58"/>
        <v>0.14500738839676955</v>
      </c>
    </row>
    <row r="315" spans="2:33" ht="15" x14ac:dyDescent="0.25">
      <c r="B315" s="1">
        <v>304</v>
      </c>
      <c r="C315" s="1">
        <v>1.0004864855899385</v>
      </c>
      <c r="D315" s="1">
        <v>1.1568540510163661</v>
      </c>
      <c r="E315" s="1">
        <v>0.86363799929531981</v>
      </c>
      <c r="G315" s="1">
        <v>1.000301805072944</v>
      </c>
      <c r="H315" s="1">
        <v>3.423485196216864</v>
      </c>
      <c r="I315" s="1">
        <v>0.2519580477586959</v>
      </c>
      <c r="K315" s="1">
        <v>0.99960411856103948</v>
      </c>
      <c r="L315" s="1">
        <v>3.8636025946102732</v>
      </c>
      <c r="M315" s="1">
        <v>0.22008815212048152</v>
      </c>
      <c r="O315" s="1">
        <v>7.5699711988292291E-3</v>
      </c>
      <c r="P315" s="1">
        <v>0.82549456155645506</v>
      </c>
      <c r="R315" s="1">
        <v>0.18159536301250884</v>
      </c>
      <c r="S315" s="2">
        <f t="shared" si="60"/>
        <v>0.73096757870631235</v>
      </c>
      <c r="T315" s="4">
        <f t="shared" si="61"/>
        <v>0.53431360111976889</v>
      </c>
      <c r="U315" s="1">
        <f t="shared" si="65"/>
        <v>0.27103154686654207</v>
      </c>
      <c r="V315" s="6">
        <f>2*sigma/alpha*corel*(B315/12-1/alpha*(1-EXP(-alpha*Output!B315/12)))</f>
        <v>1.1760633463500019</v>
      </c>
      <c r="W315" s="5">
        <f t="shared" si="62"/>
        <v>-0.26328205425322682</v>
      </c>
      <c r="X315" s="1">
        <f t="shared" si="63"/>
        <v>28.062373158954948</v>
      </c>
      <c r="Y315" s="3">
        <f t="shared" si="64"/>
        <v>8.1342033685711412E-2</v>
      </c>
      <c r="Z315" s="1">
        <f t="shared" si="54"/>
        <v>0.14522853149429998</v>
      </c>
      <c r="AA315" s="8">
        <f t="shared" si="59"/>
        <v>25.249999999999911</v>
      </c>
      <c r="AB315" s="1">
        <v>25.33</v>
      </c>
      <c r="AC315" s="1">
        <v>7.6674555010000003E-3</v>
      </c>
      <c r="AD315" s="8">
        <f t="shared" si="55"/>
        <v>0.97484302170771153</v>
      </c>
      <c r="AE315" s="3">
        <f t="shared" si="56"/>
        <v>1.2714035596040578E-2</v>
      </c>
      <c r="AF315" s="11">
        <f t="shared" si="57"/>
        <v>25.249999999999911</v>
      </c>
      <c r="AG315" s="1">
        <f t="shared" si="58"/>
        <v>0.14522853149429998</v>
      </c>
    </row>
    <row r="316" spans="2:33" ht="15" x14ac:dyDescent="0.25">
      <c r="B316" s="1">
        <v>305</v>
      </c>
      <c r="C316" s="1">
        <v>1.0004867930547585</v>
      </c>
      <c r="D316" s="1">
        <v>1.1572677169188723</v>
      </c>
      <c r="E316" s="1">
        <v>0.86332770568778228</v>
      </c>
      <c r="G316" s="1">
        <v>1.0001286131373499</v>
      </c>
      <c r="H316" s="1">
        <v>3.4348398461798939</v>
      </c>
      <c r="I316" s="1">
        <v>0.25100364798196761</v>
      </c>
      <c r="K316" s="1">
        <v>0.9995084835106961</v>
      </c>
      <c r="L316" s="1">
        <v>3.8713318288533398</v>
      </c>
      <c r="M316" s="1">
        <v>0.21953271964571219</v>
      </c>
      <c r="O316" s="1">
        <v>7.568871452249628E-3</v>
      </c>
      <c r="P316" s="1">
        <v>0.8249970381751085</v>
      </c>
      <c r="R316" s="1">
        <v>0.18200748420708013</v>
      </c>
      <c r="S316" s="2">
        <f t="shared" si="60"/>
        <v>0.73304845904588212</v>
      </c>
      <c r="T316" s="4">
        <f t="shared" si="61"/>
        <v>0.53736004330954235</v>
      </c>
      <c r="U316" s="1">
        <f t="shared" si="65"/>
        <v>0.27314889358081196</v>
      </c>
      <c r="V316" s="6">
        <f>2*sigma/alpha*corel*(B316/12-1/alpha*(1-EXP(-alpha*Output!B316/12)))</f>
        <v>1.1827049859582166</v>
      </c>
      <c r="W316" s="5">
        <f t="shared" si="62"/>
        <v>-0.26421114972873039</v>
      </c>
      <c r="X316" s="1">
        <f t="shared" si="63"/>
        <v>28.260257972898017</v>
      </c>
      <c r="Y316" s="3">
        <f t="shared" si="64"/>
        <v>8.1311465345744072E-2</v>
      </c>
      <c r="Z316" s="1">
        <f t="shared" si="54"/>
        <v>0.14540300715895541</v>
      </c>
      <c r="AA316" s="8">
        <f t="shared" si="59"/>
        <v>25.333333333333243</v>
      </c>
      <c r="AB316" s="1">
        <v>25.42</v>
      </c>
      <c r="AC316" s="1">
        <v>7.6677974030000002E-3</v>
      </c>
      <c r="AD316" s="8">
        <f t="shared" si="55"/>
        <v>0.98925950750372238</v>
      </c>
      <c r="AE316" s="3">
        <f t="shared" si="56"/>
        <v>1.2901482075109053E-2</v>
      </c>
      <c r="AF316" s="11">
        <f t="shared" si="57"/>
        <v>25.333333333333243</v>
      </c>
      <c r="AG316" s="1">
        <f t="shared" si="58"/>
        <v>0.14540300715895541</v>
      </c>
    </row>
    <row r="317" spans="2:33" ht="15" x14ac:dyDescent="0.25">
      <c r="B317" s="1">
        <v>306</v>
      </c>
      <c r="C317" s="1">
        <v>1.0004874978670062</v>
      </c>
      <c r="D317" s="1">
        <v>1.1576895657622612</v>
      </c>
      <c r="E317" s="1">
        <v>0.86301153199111724</v>
      </c>
      <c r="G317" s="1">
        <v>1.0000134364502118</v>
      </c>
      <c r="H317" s="1">
        <v>3.4452175209185154</v>
      </c>
      <c r="I317" s="1">
        <v>0.25012650592010466</v>
      </c>
      <c r="K317" s="1">
        <v>0.99963632477791364</v>
      </c>
      <c r="L317" s="1">
        <v>3.931490167725594</v>
      </c>
      <c r="M317" s="1">
        <v>0.21606190734811348</v>
      </c>
      <c r="O317" s="1">
        <v>7.5670227292123212E-3</v>
      </c>
      <c r="P317" s="1">
        <v>0.82451571296577442</v>
      </c>
      <c r="R317" s="1">
        <v>0.18242318154579368</v>
      </c>
      <c r="S317" s="2">
        <f t="shared" si="60"/>
        <v>0.73511548671265881</v>
      </c>
      <c r="T317" s="4">
        <f t="shared" si="61"/>
        <v>0.54039477880478926</v>
      </c>
      <c r="U317" s="1">
        <f t="shared" si="65"/>
        <v>0.27527425766709923</v>
      </c>
      <c r="V317" s="6">
        <f>2*sigma/alpha*corel*(B317/12-1/alpha*(1-EXP(-alpha*Output!B317/12)))</f>
        <v>1.1893591880408698</v>
      </c>
      <c r="W317" s="5">
        <f t="shared" si="62"/>
        <v>-0.26512052113769002</v>
      </c>
      <c r="X317" s="1">
        <f t="shared" si="63"/>
        <v>28.456868434221622</v>
      </c>
      <c r="Y317" s="3">
        <f t="shared" si="64"/>
        <v>8.1277230728957095E-2</v>
      </c>
      <c r="Z317" s="1">
        <f t="shared" si="54"/>
        <v>0.14557455859452825</v>
      </c>
      <c r="AA317" s="8">
        <f t="shared" si="59"/>
        <v>25.416666666666575</v>
      </c>
      <c r="AB317" s="1">
        <v>25.5</v>
      </c>
      <c r="AC317" s="1">
        <v>7.6671645460000002E-3</v>
      </c>
      <c r="AD317" s="8">
        <f t="shared" si="55"/>
        <v>1.0014181678767893</v>
      </c>
      <c r="AE317" s="3">
        <f t="shared" si="56"/>
        <v>1.3061127902872966E-2</v>
      </c>
      <c r="AF317" s="11">
        <f t="shared" si="57"/>
        <v>25.416666666666575</v>
      </c>
      <c r="AG317" s="1">
        <f t="shared" si="58"/>
        <v>0.14557455859452825</v>
      </c>
    </row>
    <row r="318" spans="2:33" ht="15" x14ac:dyDescent="0.25">
      <c r="B318" s="1">
        <v>307</v>
      </c>
      <c r="C318" s="1">
        <v>1.0004887794461348</v>
      </c>
      <c r="D318" s="1">
        <v>1.159131540947266</v>
      </c>
      <c r="E318" s="1">
        <v>0.86193634749658599</v>
      </c>
      <c r="G318" s="1">
        <v>0.99993710566328742</v>
      </c>
      <c r="H318" s="1">
        <v>3.4823404387970056</v>
      </c>
      <c r="I318" s="1">
        <v>0.24734035306738797</v>
      </c>
      <c r="K318" s="1">
        <v>0.99967730778075881</v>
      </c>
      <c r="L318" s="1">
        <v>3.9658794898053729</v>
      </c>
      <c r="M318" s="1">
        <v>0.21406500573480386</v>
      </c>
      <c r="O318" s="1">
        <v>7.5645226073338713E-3</v>
      </c>
      <c r="P318" s="1">
        <v>0.82404865509462966</v>
      </c>
      <c r="R318" s="1">
        <v>0.18281052106816947</v>
      </c>
      <c r="S318" s="2">
        <f t="shared" si="60"/>
        <v>0.73707409395826673</v>
      </c>
      <c r="T318" s="4">
        <f t="shared" si="61"/>
        <v>0.54327821998439985</v>
      </c>
      <c r="U318" s="1">
        <f t="shared" si="65"/>
        <v>0.27740762752010895</v>
      </c>
      <c r="V318" s="6">
        <f>2*sigma/alpha*corel*(B318/12-1/alpha*(1-EXP(-alpha*Output!B318/12)))</f>
        <v>1.1960259107927609</v>
      </c>
      <c r="W318" s="5">
        <f t="shared" si="62"/>
        <v>-0.2658705924642909</v>
      </c>
      <c r="X318" s="1">
        <f t="shared" si="63"/>
        <v>28.637901941466755</v>
      </c>
      <c r="Y318" s="3">
        <f t="shared" si="64"/>
        <v>8.1213289825392346E-2</v>
      </c>
      <c r="Z318" s="1">
        <f t="shared" si="54"/>
        <v>0.14572450291071809</v>
      </c>
      <c r="AA318" s="8">
        <f t="shared" si="59"/>
        <v>25.499999999999908</v>
      </c>
      <c r="AB318" s="1">
        <v>25.58</v>
      </c>
      <c r="AC318" s="1">
        <v>7.6657356890000002E-3</v>
      </c>
      <c r="AD318" s="8">
        <f t="shared" si="55"/>
        <v>1.012130816661289</v>
      </c>
      <c r="AE318" s="3">
        <f t="shared" si="56"/>
        <v>1.320330960684769E-2</v>
      </c>
      <c r="AF318" s="11">
        <f t="shared" si="57"/>
        <v>25.499999999999908</v>
      </c>
      <c r="AG318" s="1">
        <f t="shared" si="58"/>
        <v>0.14572450291071809</v>
      </c>
    </row>
    <row r="319" spans="2:33" ht="15" x14ac:dyDescent="0.25">
      <c r="B319" s="1">
        <v>308</v>
      </c>
      <c r="C319" s="1">
        <v>1.0004934660326463</v>
      </c>
      <c r="D319" s="1">
        <v>1.1585840119875745</v>
      </c>
      <c r="E319" s="1">
        <v>0.86234209614312329</v>
      </c>
      <c r="G319" s="1">
        <v>1.0001446727640695</v>
      </c>
      <c r="H319" s="1">
        <v>3.4674504595561597</v>
      </c>
      <c r="I319" s="1">
        <v>0.24828231008381771</v>
      </c>
      <c r="K319" s="1">
        <v>0.99967083108040578</v>
      </c>
      <c r="L319" s="1">
        <v>3.981658897474146</v>
      </c>
      <c r="M319" s="1">
        <v>0.21309564140635534</v>
      </c>
      <c r="O319" s="1">
        <v>7.5615357080011051E-3</v>
      </c>
      <c r="P319" s="1">
        <v>0.82359249483353503</v>
      </c>
      <c r="R319" s="1">
        <v>0.18315258455148842</v>
      </c>
      <c r="S319" s="2">
        <f t="shared" si="60"/>
        <v>0.73887782951249625</v>
      </c>
      <c r="T319" s="4">
        <f t="shared" si="61"/>
        <v>0.54594044694509747</v>
      </c>
      <c r="U319" s="1">
        <f t="shared" si="65"/>
        <v>0.27954899147299939</v>
      </c>
      <c r="V319" s="6">
        <f>2*sigma/alpha*corel*(B319/12-1/alpha*(1-EXP(-alpha*Output!B319/12)))</f>
        <v>1.2027051125478088</v>
      </c>
      <c r="W319" s="5">
        <f t="shared" si="62"/>
        <v>-0.26639145547209808</v>
      </c>
      <c r="X319" s="1">
        <f t="shared" si="63"/>
        <v>28.796022349550704</v>
      </c>
      <c r="Y319" s="3">
        <f t="shared" si="64"/>
        <v>8.1106897888733542E-2</v>
      </c>
      <c r="Z319" s="1">
        <f t="shared" si="54"/>
        <v>0.14584377608878263</v>
      </c>
      <c r="AA319" s="8">
        <f t="shared" si="59"/>
        <v>25.58333333333324</v>
      </c>
      <c r="AB319" s="1">
        <v>25.67</v>
      </c>
      <c r="AC319" s="1">
        <v>7.6636897100000002E-3</v>
      </c>
      <c r="AD319" s="8">
        <f t="shared" si="55"/>
        <v>1.0215400199889511</v>
      </c>
      <c r="AE319" s="3">
        <f t="shared" si="56"/>
        <v>1.3329610913865548E-2</v>
      </c>
      <c r="AF319" s="11">
        <f t="shared" si="57"/>
        <v>25.58333333333324</v>
      </c>
      <c r="AG319" s="1">
        <f t="shared" si="58"/>
        <v>0.14584377608878263</v>
      </c>
    </row>
    <row r="320" spans="2:33" ht="15" x14ac:dyDescent="0.25">
      <c r="B320" s="1">
        <v>309</v>
      </c>
      <c r="C320" s="1">
        <v>1.0004928022897752</v>
      </c>
      <c r="D320" s="1">
        <v>1.1565463505525577</v>
      </c>
      <c r="E320" s="1">
        <v>0.86385982002440143</v>
      </c>
      <c r="G320" s="1">
        <v>0.99991181823411424</v>
      </c>
      <c r="H320" s="1">
        <v>3.411783146416222</v>
      </c>
      <c r="I320" s="1">
        <v>0.252211255361037</v>
      </c>
      <c r="K320" s="1">
        <v>0.99977739520709019</v>
      </c>
      <c r="L320" s="1">
        <v>3.9213809361238163</v>
      </c>
      <c r="M320" s="1">
        <v>0.21626219417881126</v>
      </c>
      <c r="O320" s="1">
        <v>7.5583269498378878E-3</v>
      </c>
      <c r="P320" s="1">
        <v>0.82314169933945125</v>
      </c>
      <c r="R320" s="1">
        <v>0.18362373000480595</v>
      </c>
      <c r="S320" s="2">
        <f t="shared" si="60"/>
        <v>0.74106960626621743</v>
      </c>
      <c r="T320" s="4">
        <f t="shared" si="61"/>
        <v>0.54918416133156656</v>
      </c>
      <c r="U320" s="1">
        <f t="shared" si="65"/>
        <v>0.28169833779825693</v>
      </c>
      <c r="V320" s="6">
        <f>2*sigma/alpha*corel*(B320/12-1/alpha*(1-EXP(-alpha*Output!B320/12)))</f>
        <v>1.2093967517785855</v>
      </c>
      <c r="W320" s="5">
        <f t="shared" si="62"/>
        <v>-0.26748582353330963</v>
      </c>
      <c r="X320" s="1">
        <f t="shared" si="63"/>
        <v>29.013680327143486</v>
      </c>
      <c r="Y320" s="3">
        <f t="shared" si="64"/>
        <v>8.1107535768561029E-2</v>
      </c>
      <c r="Z320" s="1">
        <f t="shared" si="54"/>
        <v>0.14603951604235779</v>
      </c>
      <c r="AA320" s="8">
        <f t="shared" si="59"/>
        <v>25.666666666666572</v>
      </c>
      <c r="AB320" s="1">
        <v>25.75</v>
      </c>
      <c r="AC320" s="1">
        <v>7.6612059749999999E-3</v>
      </c>
      <c r="AD320" s="8">
        <f t="shared" si="55"/>
        <v>1.0287902516211214</v>
      </c>
      <c r="AE320" s="3">
        <f t="shared" si="56"/>
        <v>1.3428567969302268E-2</v>
      </c>
      <c r="AF320" s="11">
        <f t="shared" si="57"/>
        <v>25.666666666666572</v>
      </c>
      <c r="AG320" s="1">
        <f t="shared" si="58"/>
        <v>0.14603951604235779</v>
      </c>
    </row>
    <row r="321" spans="2:33" ht="15" x14ac:dyDescent="0.25">
      <c r="B321" s="1">
        <v>310</v>
      </c>
      <c r="C321" s="1">
        <v>1.0004934492558808</v>
      </c>
      <c r="D321" s="1">
        <v>1.1556261602087015</v>
      </c>
      <c r="E321" s="1">
        <v>0.8645460887895019</v>
      </c>
      <c r="G321" s="1">
        <v>0.99979165615713883</v>
      </c>
      <c r="H321" s="1">
        <v>3.3863253692973516</v>
      </c>
      <c r="I321" s="1">
        <v>0.25398439905997994</v>
      </c>
      <c r="K321" s="1">
        <v>0.99963612438226435</v>
      </c>
      <c r="L321" s="1">
        <v>3.7828067445156077</v>
      </c>
      <c r="M321" s="1">
        <v>0.22407235079241261</v>
      </c>
      <c r="O321" s="1">
        <v>7.5550164414968828E-3</v>
      </c>
      <c r="P321" s="1">
        <v>0.8226937530448073</v>
      </c>
      <c r="R321" s="1">
        <v>0.18401708286172402</v>
      </c>
      <c r="S321" s="2">
        <f t="shared" si="60"/>
        <v>0.74302029446966089</v>
      </c>
      <c r="T321" s="4">
        <f t="shared" si="61"/>
        <v>0.5520791579937816</v>
      </c>
      <c r="U321" s="1">
        <f t="shared" si="65"/>
        <v>0.28385565470855489</v>
      </c>
      <c r="V321" s="6">
        <f>2*sigma/alpha*corel*(B321/12-1/alpha*(1-EXP(-alpha*Output!B321/12)))</f>
        <v>1.21610078709586</v>
      </c>
      <c r="W321" s="5">
        <f t="shared" si="62"/>
        <v>-0.26822350328522671</v>
      </c>
      <c r="X321" s="1">
        <f t="shared" si="63"/>
        <v>29.19532979718193</v>
      </c>
      <c r="Y321" s="3">
        <f t="shared" si="64"/>
        <v>8.1041990325748894E-2</v>
      </c>
      <c r="Z321" s="1">
        <f t="shared" si="54"/>
        <v>0.14618757168750127</v>
      </c>
      <c r="AA321" s="8">
        <f t="shared" si="59"/>
        <v>25.749999999999904</v>
      </c>
      <c r="AB321" s="1">
        <v>25.83</v>
      </c>
      <c r="AC321" s="1">
        <v>7.6584639720000004E-3</v>
      </c>
      <c r="AD321" s="8">
        <f t="shared" si="55"/>
        <v>1.0344753050311757</v>
      </c>
      <c r="AE321" s="3">
        <f t="shared" si="56"/>
        <v>1.3507608168077905E-2</v>
      </c>
      <c r="AF321" s="11">
        <f t="shared" si="57"/>
        <v>25.749999999999904</v>
      </c>
      <c r="AG321" s="1">
        <f t="shared" si="58"/>
        <v>0.14618757168750127</v>
      </c>
    </row>
    <row r="322" spans="2:33" ht="15" x14ac:dyDescent="0.25">
      <c r="B322" s="1">
        <v>311</v>
      </c>
      <c r="C322" s="1">
        <v>1.0004981266021229</v>
      </c>
      <c r="D322" s="1">
        <v>1.1541318222812518</v>
      </c>
      <c r="E322" s="1">
        <v>0.86566387840580061</v>
      </c>
      <c r="G322" s="1">
        <v>0.99997921890247032</v>
      </c>
      <c r="H322" s="1">
        <v>3.3465026194836427</v>
      </c>
      <c r="I322" s="1">
        <v>0.25688242877155643</v>
      </c>
      <c r="K322" s="1">
        <v>0.99982785389131046</v>
      </c>
      <c r="L322" s="1">
        <v>3.8836855232111547</v>
      </c>
      <c r="M322" s="1">
        <v>0.21813244078063368</v>
      </c>
      <c r="O322" s="1">
        <v>7.5517983740493212E-3</v>
      </c>
      <c r="P322" s="1">
        <v>0.822244534291248</v>
      </c>
      <c r="R322" s="1">
        <v>0.18455578355214111</v>
      </c>
      <c r="S322" s="2">
        <f t="shared" si="60"/>
        <v>0.74542065646420519</v>
      </c>
      <c r="T322" s="4">
        <f t="shared" si="61"/>
        <v>0.55565195508352661</v>
      </c>
      <c r="U322" s="1">
        <f t="shared" si="65"/>
        <v>0.28602093035761422</v>
      </c>
      <c r="V322" s="6">
        <f>2*sigma/alpha*corel*(B322/12-1/alpha*(1-EXP(-alpha*Output!B322/12)))</f>
        <v>1.2228171772481349</v>
      </c>
      <c r="W322" s="5">
        <f t="shared" si="62"/>
        <v>-0.26963102472591238</v>
      </c>
      <c r="X322" s="1">
        <f t="shared" si="63"/>
        <v>29.447031412226014</v>
      </c>
      <c r="Y322" s="3">
        <f t="shared" si="64"/>
        <v>8.1100219751784428E-2</v>
      </c>
      <c r="Z322" s="1">
        <f t="shared" si="54"/>
        <v>0.14642386014561681</v>
      </c>
      <c r="AA322" s="8">
        <f t="shared" si="59"/>
        <v>25.833333333333236</v>
      </c>
      <c r="AB322" s="1">
        <v>25.92</v>
      </c>
      <c r="AC322" s="1">
        <v>7.6556431900000003E-3</v>
      </c>
      <c r="AD322" s="8">
        <f t="shared" si="55"/>
        <v>1.0384481595067905</v>
      </c>
      <c r="AE322" s="3">
        <f t="shared" si="56"/>
        <v>1.3564479609802589E-2</v>
      </c>
      <c r="AF322" s="11">
        <f t="shared" si="57"/>
        <v>25.833333333333236</v>
      </c>
      <c r="AG322" s="1">
        <f t="shared" si="58"/>
        <v>0.14642386014561681</v>
      </c>
    </row>
    <row r="323" spans="2:33" ht="15" x14ac:dyDescent="0.25">
      <c r="B323" s="1">
        <v>312</v>
      </c>
      <c r="C323" s="1">
        <v>1.0004989724102398</v>
      </c>
      <c r="D323" s="1">
        <v>1.1546958994544274</v>
      </c>
      <c r="E323" s="1">
        <v>0.8652393937258388</v>
      </c>
      <c r="G323" s="1">
        <v>0.99986929087000476</v>
      </c>
      <c r="H323" s="1">
        <v>3.3596322295222238</v>
      </c>
      <c r="I323" s="1">
        <v>0.25575472912786484</v>
      </c>
      <c r="K323" s="1">
        <v>0.99981535795053533</v>
      </c>
      <c r="L323" s="1">
        <v>3.9526309650942353</v>
      </c>
      <c r="M323" s="1">
        <v>0.2142125899245034</v>
      </c>
      <c r="O323" s="1">
        <v>7.5488559291554298E-3</v>
      </c>
      <c r="P323" s="1">
        <v>0.82179011246988121</v>
      </c>
      <c r="R323" s="1">
        <v>0.18507450759398353</v>
      </c>
      <c r="S323" s="2">
        <f t="shared" si="60"/>
        <v>0.74777077662580971</v>
      </c>
      <c r="T323" s="4">
        <f t="shared" si="61"/>
        <v>0.55916113437556658</v>
      </c>
      <c r="U323" s="1">
        <f t="shared" si="65"/>
        <v>0.28819415284104544</v>
      </c>
      <c r="V323" s="6">
        <f>2*sigma/alpha*corel*(B323/12-1/alpha*(1-EXP(-alpha*Output!B323/12)))</f>
        <v>1.2295458811211879</v>
      </c>
      <c r="W323" s="5">
        <f t="shared" si="62"/>
        <v>-0.27096698153452115</v>
      </c>
      <c r="X323" s="1">
        <f t="shared" si="63"/>
        <v>29.692349153372273</v>
      </c>
      <c r="Y323" s="3">
        <f t="shared" si="64"/>
        <v>8.1144668633977901E-2</v>
      </c>
      <c r="Z323" s="1">
        <f t="shared" si="54"/>
        <v>0.14664991468113214</v>
      </c>
      <c r="AA323" s="8">
        <f t="shared" si="59"/>
        <v>25.916666666666568</v>
      </c>
      <c r="AB323" s="1">
        <v>26</v>
      </c>
      <c r="AC323" s="1">
        <v>7.6529231149999998E-3</v>
      </c>
      <c r="AD323" s="8">
        <f t="shared" si="55"/>
        <v>1.0406718584457</v>
      </c>
      <c r="AE323" s="3">
        <f t="shared" si="56"/>
        <v>1.3598357683823406E-2</v>
      </c>
      <c r="AF323" s="11">
        <f t="shared" si="57"/>
        <v>25.916666666666568</v>
      </c>
      <c r="AG323" s="1">
        <f t="shared" si="58"/>
        <v>0.14664991468113214</v>
      </c>
    </row>
    <row r="324" spans="2:33" ht="15" x14ac:dyDescent="0.25">
      <c r="B324" s="1">
        <v>313</v>
      </c>
      <c r="C324" s="1">
        <v>1.0005015015991265</v>
      </c>
      <c r="D324" s="1">
        <v>1.1566456422915214</v>
      </c>
      <c r="E324" s="1">
        <v>0.86377926925259951</v>
      </c>
      <c r="G324" s="1">
        <v>0.99989364160658989</v>
      </c>
      <c r="H324" s="1">
        <v>3.4265199954914416</v>
      </c>
      <c r="I324" s="1">
        <v>0.25064092561303075</v>
      </c>
      <c r="K324" s="1">
        <v>0.99966390581041664</v>
      </c>
      <c r="L324" s="1">
        <v>4.0299813139030221</v>
      </c>
      <c r="M324" s="1">
        <v>0.20999552436088118</v>
      </c>
      <c r="O324" s="1">
        <v>7.5463378667978325E-3</v>
      </c>
      <c r="P324" s="1">
        <v>0.82132725300151288</v>
      </c>
      <c r="R324" s="1">
        <v>0.18546321658810067</v>
      </c>
      <c r="S324" s="2">
        <f t="shared" si="60"/>
        <v>0.74973802922746158</v>
      </c>
      <c r="T324" s="4">
        <f t="shared" si="61"/>
        <v>0.56210711246987799</v>
      </c>
      <c r="U324" s="1">
        <f t="shared" si="65"/>
        <v>0.29037531019719642</v>
      </c>
      <c r="V324" s="6">
        <f>2*sigma/alpha*corel*(B324/12-1/alpha*(1-EXP(-alpha*Output!B324/12)))</f>
        <v>1.2362868577376167</v>
      </c>
      <c r="W324" s="5">
        <f t="shared" si="62"/>
        <v>-0.27173180227268157</v>
      </c>
      <c r="X324" s="1">
        <f t="shared" si="63"/>
        <v>29.879089898397861</v>
      </c>
      <c r="Y324" s="3">
        <f t="shared" si="64"/>
        <v>8.1084154158293814E-2</v>
      </c>
      <c r="Z324" s="1">
        <f t="shared" si="54"/>
        <v>0.14680065540371467</v>
      </c>
      <c r="AA324" s="8">
        <f t="shared" si="59"/>
        <v>25.999999999999901</v>
      </c>
      <c r="AB324" s="1">
        <v>26.08</v>
      </c>
      <c r="AC324" s="1">
        <v>7.6504832360000004E-3</v>
      </c>
      <c r="AD324" s="8">
        <f t="shared" si="55"/>
        <v>1.041453692021679</v>
      </c>
      <c r="AE324" s="3">
        <f t="shared" si="56"/>
        <v>1.3612913849951726E-2</v>
      </c>
      <c r="AF324" s="11">
        <f t="shared" si="57"/>
        <v>25.999999999999901</v>
      </c>
      <c r="AG324" s="1">
        <f t="shared" si="58"/>
        <v>0.14680065540371467</v>
      </c>
    </row>
    <row r="325" spans="2:33" ht="15" x14ac:dyDescent="0.25">
      <c r="B325" s="1">
        <v>314</v>
      </c>
      <c r="C325" s="1">
        <v>1.0005003728437845</v>
      </c>
      <c r="D325" s="1">
        <v>1.1603467809336785</v>
      </c>
      <c r="E325" s="1">
        <v>0.8610224891474374</v>
      </c>
      <c r="G325" s="1">
        <v>0.99962864160516696</v>
      </c>
      <c r="H325" s="1">
        <v>3.5266654968536786</v>
      </c>
      <c r="I325" s="1">
        <v>0.24340574963260203</v>
      </c>
      <c r="K325" s="1">
        <v>0.99956385237556622</v>
      </c>
      <c r="L325" s="1">
        <v>4.0733733658756526</v>
      </c>
      <c r="M325" s="1">
        <v>0.20765307751644929</v>
      </c>
      <c r="O325" s="1">
        <v>7.5442404089469351E-3</v>
      </c>
      <c r="P325" s="1">
        <v>0.82085596448809461</v>
      </c>
      <c r="R325" s="1">
        <v>0.18588052257571558</v>
      </c>
      <c r="S325" s="2">
        <f t="shared" si="60"/>
        <v>0.75180912289412261</v>
      </c>
      <c r="T325" s="4">
        <f t="shared" si="61"/>
        <v>0.56521695726682997</v>
      </c>
      <c r="U325" s="1">
        <f t="shared" si="65"/>
        <v>0.29256439040798377</v>
      </c>
      <c r="V325" s="6">
        <f>2*sigma/alpha*corel*(B325/12-1/alpha*(1-EXP(-alpha*Output!B325/12)))</f>
        <v>1.2430400662563841</v>
      </c>
      <c r="W325" s="5">
        <f t="shared" si="62"/>
        <v>-0.2726525668588462</v>
      </c>
      <c r="X325" s="1">
        <f t="shared" si="63"/>
        <v>30.08278393754458</v>
      </c>
      <c r="Y325" s="3">
        <f t="shared" si="64"/>
        <v>8.105230715128256E-2</v>
      </c>
      <c r="Z325" s="1">
        <f t="shared" si="54"/>
        <v>0.14697158925593029</v>
      </c>
      <c r="AA325" s="8">
        <f t="shared" si="59"/>
        <v>26.083333333333233</v>
      </c>
      <c r="AB325" s="1">
        <v>26.17</v>
      </c>
      <c r="AC325" s="1">
        <v>7.6484651070000001E-3</v>
      </c>
      <c r="AD325" s="8">
        <f t="shared" si="55"/>
        <v>1.0422469805306498</v>
      </c>
      <c r="AE325" s="3">
        <f t="shared" si="56"/>
        <v>1.3626877627731718E-2</v>
      </c>
      <c r="AF325" s="11">
        <f t="shared" si="57"/>
        <v>26.083333333333233</v>
      </c>
      <c r="AG325" s="1">
        <f t="shared" si="58"/>
        <v>0.14697158925593029</v>
      </c>
    </row>
    <row r="326" spans="2:33" ht="15" x14ac:dyDescent="0.25">
      <c r="B326" s="1">
        <v>315</v>
      </c>
      <c r="C326" s="1">
        <v>1.0005020077605955</v>
      </c>
      <c r="D326" s="1">
        <v>1.163116560141763</v>
      </c>
      <c r="E326" s="1">
        <v>0.85897050357093307</v>
      </c>
      <c r="G326" s="1">
        <v>0.9995856080244987</v>
      </c>
      <c r="H326" s="1">
        <v>3.6033179315320676</v>
      </c>
      <c r="I326" s="1">
        <v>0.23811259336707194</v>
      </c>
      <c r="K326" s="1">
        <v>0.99943665826957795</v>
      </c>
      <c r="L326" s="1">
        <v>4.0088149784618023</v>
      </c>
      <c r="M326" s="1">
        <v>0.21087553309164392</v>
      </c>
      <c r="O326" s="1">
        <v>7.5424829993498014E-3</v>
      </c>
      <c r="P326" s="1">
        <v>0.82037791024881845</v>
      </c>
      <c r="R326" s="1">
        <v>0.18647648832153363</v>
      </c>
      <c r="S326" s="2">
        <f t="shared" si="60"/>
        <v>0.75444304433101905</v>
      </c>
      <c r="T326" s="4">
        <f t="shared" si="61"/>
        <v>0.569184307139456</v>
      </c>
      <c r="U326" s="1">
        <f t="shared" si="65"/>
        <v>0.2947613813997183</v>
      </c>
      <c r="V326" s="6">
        <f>2*sigma/alpha*corel*(B326/12-1/alpha*(1-EXP(-alpha*Output!B326/12)))</f>
        <v>1.2498054659723601</v>
      </c>
      <c r="W326" s="5">
        <f t="shared" si="62"/>
        <v>-0.2744229257397377</v>
      </c>
      <c r="X326" s="1">
        <f t="shared" si="63"/>
        <v>30.376420905446846</v>
      </c>
      <c r="Y326" s="3">
        <f t="shared" si="64"/>
        <v>8.1174768779851511E-2</v>
      </c>
      <c r="Z326" s="1">
        <f t="shared" si="54"/>
        <v>0.14725220439963099</v>
      </c>
      <c r="AA326" s="8">
        <f t="shared" si="59"/>
        <v>26.166666666666565</v>
      </c>
      <c r="AB326" s="1">
        <v>26.25</v>
      </c>
      <c r="AC326" s="1">
        <v>7.6468585450000003E-3</v>
      </c>
      <c r="AD326" s="8">
        <f t="shared" si="55"/>
        <v>1.0437554565019893</v>
      </c>
      <c r="AE326" s="3">
        <f t="shared" si="56"/>
        <v>1.3649467299018661E-2</v>
      </c>
      <c r="AF326" s="11">
        <f t="shared" si="57"/>
        <v>26.166666666666565</v>
      </c>
      <c r="AG326" s="1">
        <f t="shared" si="58"/>
        <v>0.14725220439963099</v>
      </c>
    </row>
    <row r="327" spans="2:33" ht="15" x14ac:dyDescent="0.25">
      <c r="B327" s="1">
        <v>316</v>
      </c>
      <c r="C327" s="1">
        <v>1.0005037141958739</v>
      </c>
      <c r="D327" s="1">
        <v>1.1650787592353515</v>
      </c>
      <c r="E327" s="1">
        <v>0.85752224960669865</v>
      </c>
      <c r="G327" s="1">
        <v>0.99955869764345806</v>
      </c>
      <c r="H327" s="1">
        <v>3.6567190495642157</v>
      </c>
      <c r="I327" s="1">
        <v>0.23452179029805045</v>
      </c>
      <c r="K327" s="1">
        <v>0.9992964637985412</v>
      </c>
      <c r="L327" s="1">
        <v>4.1399895062976011</v>
      </c>
      <c r="M327" s="1">
        <v>0.20408404648946421</v>
      </c>
      <c r="O327" s="1">
        <v>7.541080383843113E-3</v>
      </c>
      <c r="P327" s="1">
        <v>0.81989271435079503</v>
      </c>
      <c r="R327" s="1">
        <v>0.18679283300131189</v>
      </c>
      <c r="S327" s="2">
        <f t="shared" si="60"/>
        <v>0.75623116751042763</v>
      </c>
      <c r="T327" s="4">
        <f t="shared" si="61"/>
        <v>0.57188557871418444</v>
      </c>
      <c r="U327" s="1">
        <f t="shared" si="65"/>
        <v>0.29696627104393025</v>
      </c>
      <c r="V327" s="6">
        <f>2*sigma/alpha*corel*(B327/12-1/alpha*(1-EXP(-alpha*Output!B327/12)))</f>
        <v>1.2565830163158758</v>
      </c>
      <c r="W327" s="5">
        <f t="shared" si="62"/>
        <v>-0.27491930767025419</v>
      </c>
      <c r="X327" s="1">
        <f t="shared" si="63"/>
        <v>30.537167951493615</v>
      </c>
      <c r="Y327" s="3">
        <f t="shared" si="64"/>
        <v>8.1065724606559364E-2</v>
      </c>
      <c r="Z327" s="1">
        <f t="shared" si="54"/>
        <v>0.1473674790285231</v>
      </c>
      <c r="AA327" s="8">
        <f t="shared" si="59"/>
        <v>26.249999999999897</v>
      </c>
      <c r="AB327" s="1">
        <v>26.33</v>
      </c>
      <c r="AC327" s="1">
        <v>7.6456154330000001E-3</v>
      </c>
      <c r="AD327" s="8">
        <f t="shared" si="55"/>
        <v>1.0453504915688712</v>
      </c>
      <c r="AE327" s="3">
        <f t="shared" si="56"/>
        <v>1.3672548674851341E-2</v>
      </c>
      <c r="AF327" s="11">
        <f t="shared" si="57"/>
        <v>26.249999999999897</v>
      </c>
      <c r="AG327" s="1">
        <f t="shared" si="58"/>
        <v>0.1473674790285231</v>
      </c>
    </row>
    <row r="328" spans="2:33" ht="15" x14ac:dyDescent="0.25">
      <c r="B328" s="1">
        <v>317</v>
      </c>
      <c r="C328" s="1">
        <v>1.0005090592819943</v>
      </c>
      <c r="D328" s="1">
        <v>1.1671927049707842</v>
      </c>
      <c r="E328" s="1">
        <v>0.85596756478493385</v>
      </c>
      <c r="G328" s="1">
        <v>0.9998381775575419</v>
      </c>
      <c r="H328" s="1">
        <v>3.7157335665930469</v>
      </c>
      <c r="I328" s="1">
        <v>0.23068538303445496</v>
      </c>
      <c r="K328" s="1">
        <v>0.99935444344211688</v>
      </c>
      <c r="L328" s="1">
        <v>4.1937403220918359</v>
      </c>
      <c r="M328" s="1">
        <v>0.20136246305811614</v>
      </c>
      <c r="O328" s="1">
        <v>7.5398868312169893E-3</v>
      </c>
      <c r="P328" s="1">
        <v>0.81940347159597571</v>
      </c>
      <c r="R328" s="1">
        <v>0.18736370014978987</v>
      </c>
      <c r="S328" s="2">
        <f t="shared" si="60"/>
        <v>0.7588116609950708</v>
      </c>
      <c r="T328" s="4">
        <f t="shared" si="61"/>
        <v>0.57579513686209827</v>
      </c>
      <c r="U328" s="1">
        <f t="shared" si="65"/>
        <v>0.29917904715817745</v>
      </c>
      <c r="V328" s="6">
        <f>2*sigma/alpha*corel*(B328/12-1/alpha*(1-EXP(-alpha*Output!B328/12)))</f>
        <v>1.2633726768522675</v>
      </c>
      <c r="W328" s="5">
        <f t="shared" si="62"/>
        <v>-0.27661608970392082</v>
      </c>
      <c r="X328" s="1">
        <f t="shared" si="63"/>
        <v>30.825210665997833</v>
      </c>
      <c r="Y328" s="3">
        <f t="shared" si="64"/>
        <v>8.1173620544530381E-2</v>
      </c>
      <c r="Z328" s="1">
        <f t="shared" si="54"/>
        <v>0.14763692401401207</v>
      </c>
      <c r="AA328" s="8">
        <f t="shared" si="59"/>
        <v>26.333333333333229</v>
      </c>
      <c r="AB328" s="1">
        <v>26.42</v>
      </c>
      <c r="AC328" s="1">
        <v>7.6446876539999998E-3</v>
      </c>
      <c r="AD328" s="8">
        <f t="shared" si="55"/>
        <v>1.0480082278301051</v>
      </c>
      <c r="AE328" s="3">
        <f t="shared" si="56"/>
        <v>1.3708973803288694E-2</v>
      </c>
      <c r="AF328" s="11">
        <f t="shared" si="57"/>
        <v>26.333333333333229</v>
      </c>
      <c r="AG328" s="1">
        <f t="shared" si="58"/>
        <v>0.14763692401401207</v>
      </c>
    </row>
    <row r="329" spans="2:33" ht="15" x14ac:dyDescent="0.25">
      <c r="B329" s="1">
        <v>318</v>
      </c>
      <c r="C329" s="1">
        <v>1.0005073820469765</v>
      </c>
      <c r="D329" s="1">
        <v>1.163938603876304</v>
      </c>
      <c r="E329" s="1">
        <v>0.85835904934151741</v>
      </c>
      <c r="G329" s="1">
        <v>0.99952492912944779</v>
      </c>
      <c r="H329" s="1">
        <v>3.6214135376043597</v>
      </c>
      <c r="I329" s="1">
        <v>0.23657909741625993</v>
      </c>
      <c r="K329" s="1">
        <v>0.99932363178535755</v>
      </c>
      <c r="L329" s="1">
        <v>4.2022936893205047</v>
      </c>
      <c r="M329" s="1">
        <v>0.20084709195697462</v>
      </c>
      <c r="O329" s="1">
        <v>7.5389307795666631E-3</v>
      </c>
      <c r="P329" s="1">
        <v>0.81890952963362795</v>
      </c>
      <c r="R329" s="1">
        <v>0.18770240971720187</v>
      </c>
      <c r="S329" s="2">
        <f t="shared" si="60"/>
        <v>0.76068729082282904</v>
      </c>
      <c r="T329" s="4">
        <f t="shared" si="61"/>
        <v>0.57864515441937525</v>
      </c>
      <c r="U329" s="1">
        <f t="shared" si="65"/>
        <v>0.30139969750685403</v>
      </c>
      <c r="V329" s="6">
        <f>2*sigma/alpha*corel*(B329/12-1/alpha*(1-EXP(-alpha*Output!B329/12)))</f>
        <v>1.2701744072814294</v>
      </c>
      <c r="W329" s="5">
        <f t="shared" si="62"/>
        <v>-0.27724545691252123</v>
      </c>
      <c r="X329" s="1">
        <f t="shared" si="63"/>
        <v>31.00136145763998</v>
      </c>
      <c r="Y329" s="3">
        <f t="shared" si="64"/>
        <v>8.1088909749274601E-2</v>
      </c>
      <c r="Z329" s="1">
        <f t="shared" si="54"/>
        <v>0.14776896225021249</v>
      </c>
      <c r="AA329" s="8">
        <f t="shared" si="59"/>
        <v>26.416666666666561</v>
      </c>
      <c r="AB329" s="1">
        <v>26.5</v>
      </c>
      <c r="AC329" s="1">
        <v>7.6440270899999999E-3</v>
      </c>
      <c r="AD329" s="8">
        <f t="shared" si="55"/>
        <v>1.0509631043333685</v>
      </c>
      <c r="AE329" s="3">
        <f t="shared" si="56"/>
        <v>1.3748814492144462E-2</v>
      </c>
      <c r="AF329" s="11">
        <f t="shared" si="57"/>
        <v>26.416666666666561</v>
      </c>
      <c r="AG329" s="1">
        <f t="shared" si="58"/>
        <v>0.14776896225021249</v>
      </c>
    </row>
    <row r="330" spans="2:33" ht="15" x14ac:dyDescent="0.25">
      <c r="B330" s="1">
        <v>319</v>
      </c>
      <c r="C330" s="1">
        <v>1.00051145699224</v>
      </c>
      <c r="D330" s="1">
        <v>1.1674418968841984</v>
      </c>
      <c r="E330" s="1">
        <v>0.85578166237470632</v>
      </c>
      <c r="G330" s="1">
        <v>0.99970003583664979</v>
      </c>
      <c r="H330" s="1">
        <v>3.7209108720454123</v>
      </c>
      <c r="I330" s="1">
        <v>0.23014157086312312</v>
      </c>
      <c r="K330" s="1">
        <v>0.99937202020154747</v>
      </c>
      <c r="L330" s="1">
        <v>4.3931223694326702</v>
      </c>
      <c r="M330" s="1">
        <v>0.1920194295566337</v>
      </c>
      <c r="O330" s="1">
        <v>7.5381525319123555E-3</v>
      </c>
      <c r="P330" s="1">
        <v>0.81841214749609192</v>
      </c>
      <c r="R330" s="1">
        <v>0.18825825589142581</v>
      </c>
      <c r="S330" s="2">
        <f t="shared" si="60"/>
        <v>0.76324026647520982</v>
      </c>
      <c r="T330" s="4">
        <f t="shared" si="61"/>
        <v>0.58253570436914925</v>
      </c>
      <c r="U330" s="1">
        <f t="shared" si="65"/>
        <v>0.30362820980199112</v>
      </c>
      <c r="V330" s="6">
        <f>2*sigma/alpha*corel*(B330/12-1/alpha*(1-EXP(-alpha*Output!B330/12)))</f>
        <v>1.2769881674373664</v>
      </c>
      <c r="W330" s="5">
        <f t="shared" si="62"/>
        <v>-0.27890749456715813</v>
      </c>
      <c r="X330" s="1">
        <f t="shared" si="63"/>
        <v>31.287862368749522</v>
      </c>
      <c r="Y330" s="3">
        <f t="shared" si="64"/>
        <v>8.1189352934939341E-2</v>
      </c>
      <c r="Z330" s="1">
        <f t="shared" si="54"/>
        <v>0.14803232355264281</v>
      </c>
      <c r="AA330" s="8">
        <f t="shared" si="59"/>
        <v>26.499999999999893</v>
      </c>
      <c r="AB330" s="1">
        <v>26.58</v>
      </c>
      <c r="AC330" s="1">
        <v>7.6435856250000002E-3</v>
      </c>
      <c r="AD330" s="8">
        <f t="shared" si="55"/>
        <v>1.0543309308764464</v>
      </c>
      <c r="AE330" s="3">
        <f t="shared" si="56"/>
        <v>1.3793669392909382E-2</v>
      </c>
      <c r="AF330" s="11">
        <f t="shared" si="57"/>
        <v>26.499999999999893</v>
      </c>
      <c r="AG330" s="1">
        <f t="shared" si="58"/>
        <v>0.14803232355264281</v>
      </c>
    </row>
    <row r="331" spans="2:33" ht="15" x14ac:dyDescent="0.25">
      <c r="B331" s="1">
        <v>320</v>
      </c>
      <c r="C331" s="1">
        <v>1.0005147147457643</v>
      </c>
      <c r="D331" s="1">
        <v>1.1667730896451614</v>
      </c>
      <c r="E331" s="1">
        <v>0.85627060447281378</v>
      </c>
      <c r="G331" s="1">
        <v>0.99978997677901371</v>
      </c>
      <c r="H331" s="1">
        <v>3.7018726501409587</v>
      </c>
      <c r="I331" s="1">
        <v>0.23121324885439037</v>
      </c>
      <c r="K331" s="1">
        <v>0.99915352363152399</v>
      </c>
      <c r="L331" s="1">
        <v>4.3600667846636716</v>
      </c>
      <c r="M331" s="1">
        <v>0.19336765164079794</v>
      </c>
      <c r="O331" s="1">
        <v>7.5375481604116109E-3</v>
      </c>
      <c r="P331" s="1">
        <v>0.8179113811278842</v>
      </c>
      <c r="R331" s="1">
        <v>0.18874857841454798</v>
      </c>
      <c r="S331" s="2">
        <f t="shared" si="60"/>
        <v>0.76559949052761711</v>
      </c>
      <c r="T331" s="4">
        <f t="shared" si="61"/>
        <v>0.58614257989614693</v>
      </c>
      <c r="U331" s="1">
        <f t="shared" si="65"/>
        <v>0.30586457170404646</v>
      </c>
      <c r="V331" s="6">
        <f>2*sigma/alpha*corel*(B331/12-1/alpha*(1-EXP(-alpha*Output!B331/12)))</f>
        <v>1.283813917287747</v>
      </c>
      <c r="W331" s="5">
        <f t="shared" si="62"/>
        <v>-0.28027800819210047</v>
      </c>
      <c r="X331" s="1">
        <f t="shared" si="63"/>
        <v>31.544499048045758</v>
      </c>
      <c r="Y331" s="3">
        <f t="shared" si="64"/>
        <v>8.1236907264113395E-2</v>
      </c>
      <c r="Z331" s="1">
        <f t="shared" si="54"/>
        <v>0.1482577038339172</v>
      </c>
      <c r="AA331" s="8">
        <f t="shared" si="59"/>
        <v>26.583333333333226</v>
      </c>
      <c r="AB331" s="1">
        <v>26.67</v>
      </c>
      <c r="AC331" s="1">
        <v>7.6433151199999999E-3</v>
      </c>
      <c r="AD331" s="8">
        <f t="shared" si="55"/>
        <v>1.0576695958838898</v>
      </c>
      <c r="AE331" s="3">
        <f t="shared" si="56"/>
        <v>1.3837838415379762E-2</v>
      </c>
      <c r="AF331" s="11">
        <f t="shared" si="57"/>
        <v>26.583333333333226</v>
      </c>
      <c r="AG331" s="1">
        <f t="shared" si="58"/>
        <v>0.1482577038339172</v>
      </c>
    </row>
    <row r="332" spans="2:33" ht="15" x14ac:dyDescent="0.25">
      <c r="B332" s="1">
        <v>321</v>
      </c>
      <c r="C332" s="1">
        <v>1.0005182063601925</v>
      </c>
      <c r="D332" s="1">
        <v>1.1677889354266111</v>
      </c>
      <c r="E332" s="1">
        <v>0.85552414229255325</v>
      </c>
      <c r="G332" s="1">
        <v>0.99988870449874634</v>
      </c>
      <c r="H332" s="1">
        <v>3.7324473514830272</v>
      </c>
      <c r="I332" s="1">
        <v>0.22920830550772006</v>
      </c>
      <c r="K332" s="1">
        <v>0.99912201722701077</v>
      </c>
      <c r="L332" s="1">
        <v>4.3435432452534757</v>
      </c>
      <c r="M332" s="1">
        <v>0.19399739477785233</v>
      </c>
      <c r="O332" s="1">
        <v>7.5370155054491073E-3</v>
      </c>
      <c r="P332" s="1">
        <v>0.81740943536902655</v>
      </c>
      <c r="R332" s="1">
        <v>0.18914970248370835</v>
      </c>
      <c r="S332" s="2">
        <f t="shared" si="60"/>
        <v>0.76768767104767544</v>
      </c>
      <c r="T332" s="4">
        <f t="shared" si="61"/>
        <v>0.58934436027860393</v>
      </c>
      <c r="U332" s="1">
        <f t="shared" si="65"/>
        <v>0.3081087708226935</v>
      </c>
      <c r="V332" s="6">
        <f>2*sigma/alpha*corel*(B332/12-1/alpha*(1-EXP(-alpha*Output!B332/12)))</f>
        <v>1.2906516169334581</v>
      </c>
      <c r="W332" s="5">
        <f t="shared" si="62"/>
        <v>-0.28123558945591043</v>
      </c>
      <c r="X332" s="1">
        <f t="shared" si="63"/>
        <v>31.757989668075368</v>
      </c>
      <c r="Y332" s="3">
        <f t="shared" si="64"/>
        <v>8.1210675545050487E-2</v>
      </c>
      <c r="Z332" s="1">
        <f t="shared" si="54"/>
        <v>0.14843033675845441</v>
      </c>
      <c r="AA332" s="8">
        <f t="shared" si="59"/>
        <v>26.666666666666558</v>
      </c>
      <c r="AB332" s="1">
        <v>26.75</v>
      </c>
      <c r="AC332" s="1">
        <v>7.6431673450000001E-3</v>
      </c>
      <c r="AD332" s="8">
        <f t="shared" si="55"/>
        <v>1.0615183955089287</v>
      </c>
      <c r="AE332" s="3">
        <f t="shared" si="56"/>
        <v>1.3888462041896176E-2</v>
      </c>
      <c r="AF332" s="11">
        <f t="shared" si="57"/>
        <v>26.666666666666558</v>
      </c>
      <c r="AG332" s="1">
        <f t="shared" si="58"/>
        <v>0.14843033675845441</v>
      </c>
    </row>
    <row r="333" spans="2:33" ht="15" x14ac:dyDescent="0.25">
      <c r="B333" s="1">
        <v>322</v>
      </c>
      <c r="C333" s="1">
        <v>1.000521927677664</v>
      </c>
      <c r="D333" s="1">
        <v>1.1699294345157156</v>
      </c>
      <c r="E333" s="1">
        <v>0.85395727652231135</v>
      </c>
      <c r="G333" s="1">
        <v>1.0000404223596591</v>
      </c>
      <c r="H333" s="1">
        <v>3.7942518462559254</v>
      </c>
      <c r="I333" s="1">
        <v>0.22536565831482724</v>
      </c>
      <c r="K333" s="1">
        <v>0.99901632044257471</v>
      </c>
      <c r="L333" s="1">
        <v>4.3873591629046178</v>
      </c>
      <c r="M333" s="1">
        <v>0.19195971568394279</v>
      </c>
      <c r="O333" s="1">
        <v>7.5365061395770375E-3</v>
      </c>
      <c r="P333" s="1">
        <v>0.81690735966687344</v>
      </c>
      <c r="R333" s="1">
        <v>0.18965749027189341</v>
      </c>
      <c r="S333" s="2">
        <f t="shared" si="60"/>
        <v>0.77010793595443539</v>
      </c>
      <c r="T333" s="4">
        <f t="shared" si="61"/>
        <v>0.59306623302000072</v>
      </c>
      <c r="U333" s="1">
        <f t="shared" si="65"/>
        <v>0.31036079471759859</v>
      </c>
      <c r="V333" s="6">
        <f>2*sigma/alpha*corel*(B333/12-1/alpha*(1-EXP(-alpha*Output!B333/12)))</f>
        <v>1.2975012266081629</v>
      </c>
      <c r="W333" s="5">
        <f t="shared" si="62"/>
        <v>-0.28270543830240213</v>
      </c>
      <c r="X333" s="1">
        <f t="shared" si="63"/>
        <v>32.027226477507519</v>
      </c>
      <c r="Y333" s="3">
        <f t="shared" si="64"/>
        <v>8.1275012694060983E-2</v>
      </c>
      <c r="Z333" s="1">
        <f t="shared" ref="Z333:Z396" si="66">S333/SQRT(B333/12)</f>
        <v>0.14866690012673281</v>
      </c>
      <c r="AA333" s="8">
        <f t="shared" si="59"/>
        <v>26.74999999999989</v>
      </c>
      <c r="AB333" s="1">
        <v>26.83</v>
      </c>
      <c r="AC333" s="1">
        <v>7.6430940500000003E-3</v>
      </c>
      <c r="AD333" s="8">
        <f t="shared" ref="AD333:AD396" si="67">(AC333-O333)*10000</f>
        <v>1.0658791042296272</v>
      </c>
      <c r="AE333" s="3">
        <f t="shared" ref="AE333:AE396" si="68">AD333/AC333/10000</f>
        <v>1.394564946155055E-2</v>
      </c>
      <c r="AF333" s="11">
        <f t="shared" ref="AF333:AF396" si="69">AA333</f>
        <v>26.74999999999989</v>
      </c>
      <c r="AG333" s="1">
        <f t="shared" ref="AG333:AG396" si="70">Z333</f>
        <v>0.14866690012673281</v>
      </c>
    </row>
    <row r="334" spans="2:33" ht="15" x14ac:dyDescent="0.25">
      <c r="B334" s="1">
        <v>323</v>
      </c>
      <c r="C334" s="1">
        <v>1.0005260833615026</v>
      </c>
      <c r="D334" s="1">
        <v>1.1689559967974328</v>
      </c>
      <c r="E334" s="1">
        <v>0.85466679614641705</v>
      </c>
      <c r="G334" s="1">
        <v>1.000192082818478</v>
      </c>
      <c r="H334" s="1">
        <v>3.7654790362680242</v>
      </c>
      <c r="I334" s="1">
        <v>0.22697786658071911</v>
      </c>
      <c r="K334" s="1">
        <v>0.99914176713084513</v>
      </c>
      <c r="L334" s="1">
        <v>4.7332360431369835</v>
      </c>
      <c r="M334" s="1">
        <v>0.17783649807772522</v>
      </c>
      <c r="O334" s="1">
        <v>7.5359677252154599E-3</v>
      </c>
      <c r="P334" s="1">
        <v>0.81640630000028691</v>
      </c>
      <c r="R334" s="1">
        <v>0.190181234155507</v>
      </c>
      <c r="S334" s="2">
        <f t="shared" si="60"/>
        <v>0.77257845785677293</v>
      </c>
      <c r="T334" s="4">
        <f t="shared" si="61"/>
        <v>0.5968774735443495</v>
      </c>
      <c r="U334" s="1">
        <f t="shared" si="65"/>
        <v>0.31262063089919545</v>
      </c>
      <c r="V334" s="6">
        <f>2*sigma/alpha*corel*(B334/12-1/alpha*(1-EXP(-alpha*Output!B334/12)))</f>
        <v>1.3043627066778591</v>
      </c>
      <c r="W334" s="5">
        <f t="shared" si="62"/>
        <v>-0.28425684264515405</v>
      </c>
      <c r="X334" s="1">
        <f t="shared" si="63"/>
        <v>32.306348795366915</v>
      </c>
      <c r="Y334" s="3">
        <f t="shared" si="64"/>
        <v>8.1353028644210679E-2</v>
      </c>
      <c r="Z334" s="1">
        <f t="shared" si="66"/>
        <v>0.14891277479452089</v>
      </c>
      <c r="AA334" s="8">
        <f t="shared" ref="AA334:AA397" si="71">AA333+1/12</f>
        <v>26.833333333333222</v>
      </c>
      <c r="AB334" s="1">
        <v>26.92</v>
      </c>
      <c r="AC334" s="1">
        <v>7.6430469809999997E-3</v>
      </c>
      <c r="AD334" s="8">
        <f t="shared" si="67"/>
        <v>1.0707925578453976</v>
      </c>
      <c r="AE334" s="3">
        <f t="shared" si="68"/>
        <v>1.4010021925906014E-2</v>
      </c>
      <c r="AF334" s="11">
        <f t="shared" si="69"/>
        <v>26.833333333333222</v>
      </c>
      <c r="AG334" s="1">
        <f t="shared" si="70"/>
        <v>0.14891277479452089</v>
      </c>
    </row>
    <row r="335" spans="2:33" ht="15" x14ac:dyDescent="0.25">
      <c r="B335" s="1">
        <v>324</v>
      </c>
      <c r="C335" s="1">
        <v>1.000526736430732</v>
      </c>
      <c r="D335" s="1">
        <v>1.170031749927523</v>
      </c>
      <c r="E335" s="1">
        <v>0.85387939077987673</v>
      </c>
      <c r="G335" s="1">
        <v>1.0000448878114589</v>
      </c>
      <c r="H335" s="1">
        <v>3.7928157194448269</v>
      </c>
      <c r="I335" s="1">
        <v>0.22523291313461402</v>
      </c>
      <c r="K335" s="1">
        <v>0.99906410683324109</v>
      </c>
      <c r="L335" s="1">
        <v>4.8079717995712166</v>
      </c>
      <c r="M335" s="1">
        <v>0.1749802102975295</v>
      </c>
      <c r="O335" s="1">
        <v>7.5354701746990303E-3</v>
      </c>
      <c r="P335" s="1">
        <v>0.81590472067276854</v>
      </c>
      <c r="R335" s="1">
        <v>0.19041766744359326</v>
      </c>
      <c r="S335" s="2">
        <f t="shared" si="60"/>
        <v>0.77416299737630845</v>
      </c>
      <c r="T335" s="4">
        <f t="shared" si="61"/>
        <v>0.59932834650667011</v>
      </c>
      <c r="U335" s="1">
        <f t="shared" si="65"/>
        <v>0.31488826682944859</v>
      </c>
      <c r="V335" s="6">
        <f>2*sigma/alpha*corel*(B335/12-1/alpha*(1-EXP(-alpha*Output!B335/12)))</f>
        <v>1.3112360176404345</v>
      </c>
      <c r="W335" s="5">
        <f t="shared" si="62"/>
        <v>-0.28444007967722151</v>
      </c>
      <c r="X335" s="1">
        <f t="shared" si="63"/>
        <v>32.438868499097467</v>
      </c>
      <c r="Y335" s="3">
        <f t="shared" si="64"/>
        <v>8.1190314757891874E-2</v>
      </c>
      <c r="Z335" s="1">
        <f t="shared" si="66"/>
        <v>0.14898773831061973</v>
      </c>
      <c r="AA335" s="8">
        <f t="shared" si="71"/>
        <v>26.916666666666554</v>
      </c>
      <c r="AB335" s="1">
        <v>27</v>
      </c>
      <c r="AC335" s="1">
        <v>7.6429778889999999E-3</v>
      </c>
      <c r="AD335" s="8">
        <f t="shared" si="67"/>
        <v>1.0750771430096968</v>
      </c>
      <c r="AE335" s="3">
        <f t="shared" si="68"/>
        <v>1.4066207682701526E-2</v>
      </c>
      <c r="AF335" s="11">
        <f t="shared" si="69"/>
        <v>26.916666666666554</v>
      </c>
      <c r="AG335" s="1">
        <f t="shared" si="70"/>
        <v>0.14898773831061973</v>
      </c>
    </row>
    <row r="336" spans="2:33" ht="15" x14ac:dyDescent="0.25">
      <c r="B336" s="1">
        <v>325</v>
      </c>
      <c r="C336" s="1">
        <v>1.0005258564608066</v>
      </c>
      <c r="D336" s="1">
        <v>1.1721610367381279</v>
      </c>
      <c r="E336" s="1">
        <v>0.85232667218777503</v>
      </c>
      <c r="G336" s="1">
        <v>0.99980261914084056</v>
      </c>
      <c r="H336" s="1">
        <v>3.8548533741621895</v>
      </c>
      <c r="I336" s="1">
        <v>0.22150094604052137</v>
      </c>
      <c r="K336" s="1">
        <v>0.99918512854150199</v>
      </c>
      <c r="L336" s="1">
        <v>4.8604192578709018</v>
      </c>
      <c r="M336" s="1">
        <v>0.17300235874232134</v>
      </c>
      <c r="O336" s="1">
        <v>7.5349995505280395E-3</v>
      </c>
      <c r="P336" s="1">
        <v>0.81540292248324442</v>
      </c>
      <c r="R336" s="1">
        <v>0.19083565782604001</v>
      </c>
      <c r="S336" s="2">
        <f t="shared" si="60"/>
        <v>0.77631182556351663</v>
      </c>
      <c r="T336" s="4">
        <f t="shared" si="61"/>
        <v>0.6026600505097599</v>
      </c>
      <c r="U336" s="1">
        <f t="shared" si="65"/>
        <v>0.31716368992261534</v>
      </c>
      <c r="V336" s="6">
        <f>2*sigma/alpha*corel*(B336/12-1/alpha*(1-EXP(-alpha*Output!B336/12)))</f>
        <v>1.3181211201252361</v>
      </c>
      <c r="W336" s="5">
        <f t="shared" si="62"/>
        <v>-0.28549636058714456</v>
      </c>
      <c r="X336" s="1">
        <f t="shared" si="63"/>
        <v>32.666215684260862</v>
      </c>
      <c r="Y336" s="3">
        <f t="shared" si="64"/>
        <v>8.1181209110596356E-2</v>
      </c>
      <c r="Z336" s="1">
        <f t="shared" si="66"/>
        <v>0.14917125528545133</v>
      </c>
      <c r="AA336" s="8">
        <f t="shared" si="71"/>
        <v>26.999999999999886</v>
      </c>
      <c r="AB336" s="1">
        <v>27.08</v>
      </c>
      <c r="AC336" s="1">
        <v>7.642838521E-3</v>
      </c>
      <c r="AD336" s="8">
        <f t="shared" si="67"/>
        <v>1.0783897047196047</v>
      </c>
      <c r="AE336" s="3">
        <f t="shared" si="68"/>
        <v>1.4109806216061551E-2</v>
      </c>
      <c r="AF336" s="11">
        <f t="shared" si="69"/>
        <v>26.999999999999886</v>
      </c>
      <c r="AG336" s="1">
        <f t="shared" si="70"/>
        <v>0.14917125528545133</v>
      </c>
    </row>
    <row r="337" spans="2:33" ht="15" x14ac:dyDescent="0.25">
      <c r="B337" s="1">
        <v>326</v>
      </c>
      <c r="C337" s="1">
        <v>1.0005271367580231</v>
      </c>
      <c r="D337" s="1">
        <v>1.1679442226873102</v>
      </c>
      <c r="E337" s="1">
        <v>0.85540234848020957</v>
      </c>
      <c r="G337" s="1">
        <v>0.99972723851545287</v>
      </c>
      <c r="H337" s="1">
        <v>3.7319014608786363</v>
      </c>
      <c r="I337" s="1">
        <v>0.22868787265200921</v>
      </c>
      <c r="K337" s="1">
        <v>0.99923926971506727</v>
      </c>
      <c r="L337" s="1">
        <v>4.8413638322774437</v>
      </c>
      <c r="M337" s="1">
        <v>0.17358759435448851</v>
      </c>
      <c r="O337" s="1">
        <v>7.5343666130753299E-3</v>
      </c>
      <c r="P337" s="1">
        <v>0.81490509015354173</v>
      </c>
      <c r="R337" s="1">
        <v>0.19122408411834976</v>
      </c>
      <c r="S337" s="2">
        <f t="shared" si="60"/>
        <v>0.77836443822287182</v>
      </c>
      <c r="T337" s="4">
        <f t="shared" si="61"/>
        <v>0.60585119869000681</v>
      </c>
      <c r="U337" s="1">
        <f t="shared" si="65"/>
        <v>0.31944688754599815</v>
      </c>
      <c r="V337" s="6">
        <f>2*sigma/alpha*corel*(B337/12-1/alpha*(1-EXP(-alpha*Output!B337/12)))</f>
        <v>1.3250179748926243</v>
      </c>
      <c r="W337" s="5">
        <f t="shared" si="62"/>
        <v>-0.28640431114400866</v>
      </c>
      <c r="X337" s="1">
        <f t="shared" si="63"/>
        <v>32.878274444770824</v>
      </c>
      <c r="Y337" s="3">
        <f t="shared" si="64"/>
        <v>8.1146135590320578E-2</v>
      </c>
      <c r="Z337" s="1">
        <f t="shared" si="66"/>
        <v>0.14933610118596094</v>
      </c>
      <c r="AA337" s="8">
        <f t="shared" si="71"/>
        <v>27.083333333333218</v>
      </c>
      <c r="AB337" s="1">
        <v>27.17</v>
      </c>
      <c r="AC337" s="1">
        <v>7.6425908139999997E-3</v>
      </c>
      <c r="AD337" s="8">
        <f t="shared" si="67"/>
        <v>1.0822420092466978</v>
      </c>
      <c r="AE337" s="3">
        <f t="shared" si="68"/>
        <v>1.4160669275453085E-2</v>
      </c>
      <c r="AF337" s="11">
        <f t="shared" si="69"/>
        <v>27.083333333333218</v>
      </c>
      <c r="AG337" s="1">
        <f t="shared" si="70"/>
        <v>0.14933610118596094</v>
      </c>
    </row>
    <row r="338" spans="2:33" ht="15" x14ac:dyDescent="0.25">
      <c r="B338" s="1">
        <v>327</v>
      </c>
      <c r="C338" s="1">
        <v>1.0005327032766784</v>
      </c>
      <c r="D338" s="1">
        <v>1.1652179664163345</v>
      </c>
      <c r="E338" s="1">
        <v>0.8574021102737408</v>
      </c>
      <c r="G338" s="1">
        <v>0.99999274486650136</v>
      </c>
      <c r="H338" s="1">
        <v>3.649119291044054</v>
      </c>
      <c r="I338" s="1">
        <v>0.23376263572194594</v>
      </c>
      <c r="K338" s="1">
        <v>0.99919706228240568</v>
      </c>
      <c r="L338" s="1">
        <v>4.6507106541863417</v>
      </c>
      <c r="M338" s="1">
        <v>0.18060735820848461</v>
      </c>
      <c r="O338" s="1">
        <v>7.5336842068292852E-3</v>
      </c>
      <c r="P338" s="1">
        <v>0.81440874552189846</v>
      </c>
      <c r="R338" s="1">
        <v>0.19155312027452331</v>
      </c>
      <c r="S338" s="2">
        <f t="shared" si="60"/>
        <v>0.78023230203256499</v>
      </c>
      <c r="T338" s="4">
        <f t="shared" si="61"/>
        <v>0.60876244513503575</v>
      </c>
      <c r="U338" s="1">
        <f t="shared" si="65"/>
        <v>0.32173784702069019</v>
      </c>
      <c r="V338" s="6">
        <f>2*sigma/alpha*corel*(B338/12-1/alpha*(1-EXP(-alpha*Output!B338/12)))</f>
        <v>1.3319265428335418</v>
      </c>
      <c r="W338" s="5">
        <f t="shared" si="62"/>
        <v>-0.28702459811434555</v>
      </c>
      <c r="X338" s="1">
        <f t="shared" si="63"/>
        <v>33.059709509968172</v>
      </c>
      <c r="Y338" s="3">
        <f t="shared" si="64"/>
        <v>8.1061115609892778E-2</v>
      </c>
      <c r="Z338" s="1">
        <f t="shared" si="66"/>
        <v>0.14946540149307982</v>
      </c>
      <c r="AA338" s="8">
        <f t="shared" si="71"/>
        <v>27.166666666666551</v>
      </c>
      <c r="AB338" s="1">
        <v>27.25</v>
      </c>
      <c r="AC338" s="1">
        <v>7.6422374499999996E-3</v>
      </c>
      <c r="AD338" s="8">
        <f t="shared" si="67"/>
        <v>1.0855324317071442</v>
      </c>
      <c r="AE338" s="3">
        <f t="shared" si="68"/>
        <v>1.4204379788109622E-2</v>
      </c>
      <c r="AF338" s="11">
        <f t="shared" si="69"/>
        <v>27.166666666666551</v>
      </c>
      <c r="AG338" s="1">
        <f t="shared" si="70"/>
        <v>0.14946540149307982</v>
      </c>
    </row>
    <row r="339" spans="2:33" ht="15" x14ac:dyDescent="0.25">
      <c r="B339" s="1">
        <v>328</v>
      </c>
      <c r="C339" s="1">
        <v>1.0005321850364968</v>
      </c>
      <c r="D339" s="1">
        <v>1.160554088170874</v>
      </c>
      <c r="E339" s="1">
        <v>0.86084609357198461</v>
      </c>
      <c r="G339" s="1">
        <v>0.99977775744356479</v>
      </c>
      <c r="H339" s="1">
        <v>3.517073354116647</v>
      </c>
      <c r="I339" s="1">
        <v>0.24242175130319857</v>
      </c>
      <c r="K339" s="1">
        <v>0.99911019621776576</v>
      </c>
      <c r="L339" s="1">
        <v>4.6419273574293314</v>
      </c>
      <c r="M339" s="1">
        <v>0.18085465936636747</v>
      </c>
      <c r="O339" s="1">
        <v>7.5329006629447845E-3</v>
      </c>
      <c r="P339" s="1">
        <v>0.81391504578213536</v>
      </c>
      <c r="R339" s="1">
        <v>0.19203674581735944</v>
      </c>
      <c r="S339" s="2">
        <f t="shared" si="60"/>
        <v>0.78257745213286345</v>
      </c>
      <c r="T339" s="4">
        <f t="shared" si="61"/>
        <v>0.61242746858676422</v>
      </c>
      <c r="U339" s="1">
        <f t="shared" si="65"/>
        <v>0.32403655562231615</v>
      </c>
      <c r="V339" s="6">
        <f>2*sigma/alpha*corel*(B339/12-1/alpha*(1-EXP(-alpha*Output!B339/12)))</f>
        <v>1.3388467849690779</v>
      </c>
      <c r="W339" s="5">
        <f t="shared" si="62"/>
        <v>-0.28839091296444808</v>
      </c>
      <c r="X339" s="1">
        <f t="shared" si="63"/>
        <v>33.323250531068361</v>
      </c>
      <c r="Y339" s="3">
        <f t="shared" si="64"/>
        <v>8.1105780084053392E-2</v>
      </c>
      <c r="Z339" s="1">
        <f t="shared" si="66"/>
        <v>0.1496859478945059</v>
      </c>
      <c r="AA339" s="8">
        <f t="shared" si="71"/>
        <v>27.249999999999883</v>
      </c>
      <c r="AB339" s="1">
        <v>27.33</v>
      </c>
      <c r="AC339" s="1">
        <v>7.6417913010000003E-3</v>
      </c>
      <c r="AD339" s="8">
        <f t="shared" si="67"/>
        <v>1.0889063805521582</v>
      </c>
      <c r="AE339" s="3">
        <f t="shared" si="68"/>
        <v>1.4249360361485722E-2</v>
      </c>
      <c r="AF339" s="11">
        <f t="shared" si="69"/>
        <v>27.249999999999883</v>
      </c>
      <c r="AG339" s="1">
        <f t="shared" si="70"/>
        <v>0.1496859478945059</v>
      </c>
    </row>
    <row r="340" spans="2:33" ht="15" x14ac:dyDescent="0.25">
      <c r="B340" s="1">
        <v>329</v>
      </c>
      <c r="C340" s="1">
        <v>1.0005337772044844</v>
      </c>
      <c r="D340" s="1">
        <v>1.158210535095709</v>
      </c>
      <c r="E340" s="1">
        <v>0.86258631751785619</v>
      </c>
      <c r="G340" s="1">
        <v>0.99973690771928669</v>
      </c>
      <c r="H340" s="1">
        <v>3.4508594164084121</v>
      </c>
      <c r="I340" s="1">
        <v>0.24695373478006974</v>
      </c>
      <c r="K340" s="1">
        <v>0.99926208768802338</v>
      </c>
      <c r="L340" s="1">
        <v>4.7231601292689129</v>
      </c>
      <c r="M340" s="1">
        <v>0.17764727891996743</v>
      </c>
      <c r="O340" s="1">
        <v>7.5320581864703889E-3</v>
      </c>
      <c r="P340" s="1">
        <v>0.81342306582674384</v>
      </c>
      <c r="R340" s="1">
        <v>0.19236749111033535</v>
      </c>
      <c r="S340" s="2">
        <f t="shared" si="60"/>
        <v>0.78444709492388776</v>
      </c>
      <c r="T340" s="4">
        <f t="shared" si="61"/>
        <v>0.61535724473452702</v>
      </c>
      <c r="U340" s="1">
        <f t="shared" si="65"/>
        <v>0.32634300058176713</v>
      </c>
      <c r="V340" s="6">
        <f>2*sigma/alpha*corel*(B340/12-1/alpha*(1-EXP(-alpha*Output!B340/12)))</f>
        <v>1.3457786624500354</v>
      </c>
      <c r="W340" s="5">
        <f t="shared" si="62"/>
        <v>-0.28901424415275989</v>
      </c>
      <c r="X340" s="1">
        <f t="shared" si="63"/>
        <v>33.50634898372514</v>
      </c>
      <c r="Y340" s="3">
        <f t="shared" si="64"/>
        <v>8.1021669877537422E-2</v>
      </c>
      <c r="Z340" s="1">
        <f t="shared" si="66"/>
        <v>0.14981535684078681</v>
      </c>
      <c r="AA340" s="8">
        <f t="shared" si="71"/>
        <v>27.333333333333215</v>
      </c>
      <c r="AB340" s="1">
        <v>27.42</v>
      </c>
      <c r="AC340" s="1">
        <v>7.6412652380000003E-3</v>
      </c>
      <c r="AD340" s="8">
        <f t="shared" si="67"/>
        <v>1.0920705152961137</v>
      </c>
      <c r="AE340" s="3">
        <f t="shared" si="68"/>
        <v>1.4291749877562796E-2</v>
      </c>
      <c r="AF340" s="11">
        <f t="shared" si="69"/>
        <v>27.333333333333215</v>
      </c>
      <c r="AG340" s="1">
        <f t="shared" si="70"/>
        <v>0.14981535684078681</v>
      </c>
    </row>
    <row r="341" spans="2:33" ht="15" x14ac:dyDescent="0.25">
      <c r="B341" s="1">
        <v>330</v>
      </c>
      <c r="C341" s="1">
        <v>1.0005381817568424</v>
      </c>
      <c r="D341" s="1">
        <v>1.1600495489398976</v>
      </c>
      <c r="E341" s="1">
        <v>0.8612172340321651</v>
      </c>
      <c r="G341" s="1">
        <v>0.99991329015894914</v>
      </c>
      <c r="H341" s="1">
        <v>3.4988376073977858</v>
      </c>
      <c r="I341" s="1">
        <v>0.24344952680045581</v>
      </c>
      <c r="K341" s="1">
        <v>0.99920050446710595</v>
      </c>
      <c r="L341" s="1">
        <v>4.6062706764034766</v>
      </c>
      <c r="M341" s="1">
        <v>0.18206248139440828</v>
      </c>
      <c r="O341" s="1">
        <v>7.5312323252423857E-3</v>
      </c>
      <c r="P341" s="1">
        <v>0.81293112595602957</v>
      </c>
      <c r="R341" s="1">
        <v>0.19280251125061337</v>
      </c>
      <c r="S341" s="2">
        <f t="shared" si="60"/>
        <v>0.78664272103917376</v>
      </c>
      <c r="T341" s="4">
        <f t="shared" si="61"/>
        <v>0.61880677056391531</v>
      </c>
      <c r="U341" s="1">
        <f t="shared" si="65"/>
        <v>0.32865716908592502</v>
      </c>
      <c r="V341" s="6">
        <f>2*sigma/alpha*corel*(B341/12-1/alpha*(1-EXP(-alpha*Output!B341/12)))</f>
        <v>1.3527221365564985</v>
      </c>
      <c r="W341" s="5">
        <f t="shared" si="62"/>
        <v>-0.29014960147799029</v>
      </c>
      <c r="X341" s="1">
        <f t="shared" si="63"/>
        <v>33.746313341308912</v>
      </c>
      <c r="Y341" s="3">
        <f t="shared" si="64"/>
        <v>8.1026101400525727E-2</v>
      </c>
      <c r="Z341" s="1">
        <f t="shared" si="66"/>
        <v>0.15000688112264177</v>
      </c>
      <c r="AA341" s="8">
        <f t="shared" si="71"/>
        <v>27.416666666666547</v>
      </c>
      <c r="AB341" s="1">
        <v>27.5</v>
      </c>
      <c r="AC341" s="1">
        <v>7.6406721310000002E-3</v>
      </c>
      <c r="AD341" s="8">
        <f t="shared" si="67"/>
        <v>1.0943980575761452</v>
      </c>
      <c r="AE341" s="3">
        <f t="shared" si="68"/>
        <v>1.4323321807461355E-2</v>
      </c>
      <c r="AF341" s="11">
        <f t="shared" si="69"/>
        <v>27.416666666666547</v>
      </c>
      <c r="AG341" s="1">
        <f t="shared" si="70"/>
        <v>0.15000688112264177</v>
      </c>
    </row>
    <row r="342" spans="2:33" ht="15" x14ac:dyDescent="0.25">
      <c r="B342" s="1">
        <v>331</v>
      </c>
      <c r="C342" s="1">
        <v>1.0005419681825669</v>
      </c>
      <c r="D342" s="1">
        <v>1.1634482699492257</v>
      </c>
      <c r="E342" s="1">
        <v>0.85869977315329427</v>
      </c>
      <c r="G342" s="1">
        <v>1.0000708097971409</v>
      </c>
      <c r="H342" s="1">
        <v>3.5892134683651946</v>
      </c>
      <c r="I342" s="1">
        <v>0.23720469881862252</v>
      </c>
      <c r="K342" s="1">
        <v>0.99925527577287676</v>
      </c>
      <c r="L342" s="1">
        <v>4.5345170428514256</v>
      </c>
      <c r="M342" s="1">
        <v>0.18483880933948635</v>
      </c>
      <c r="O342" s="1">
        <v>7.5303477338092336E-3</v>
      </c>
      <c r="P342" s="1">
        <v>0.81244091155923193</v>
      </c>
      <c r="R342" s="1">
        <v>0.19330015143365548</v>
      </c>
      <c r="S342" s="2">
        <f t="shared" si="60"/>
        <v>0.78903253176843169</v>
      </c>
      <c r="T342" s="4">
        <f t="shared" si="61"/>
        <v>0.62257233618890118</v>
      </c>
      <c r="U342" s="1">
        <f t="shared" si="65"/>
        <v>0.33097904827838764</v>
      </c>
      <c r="V342" s="6">
        <f>2*sigma/alpha*corel*(B342/12-1/alpha*(1-EXP(-alpha*Output!B342/12)))</f>
        <v>1.3596771686974032</v>
      </c>
      <c r="W342" s="5">
        <f t="shared" si="62"/>
        <v>-0.29159328791051353</v>
      </c>
      <c r="X342" s="1">
        <f t="shared" si="63"/>
        <v>34.021181435870311</v>
      </c>
      <c r="Y342" s="3">
        <f t="shared" si="64"/>
        <v>8.1083215767324066E-2</v>
      </c>
      <c r="Z342" s="1">
        <f t="shared" si="66"/>
        <v>0.15023514332817173</v>
      </c>
      <c r="AA342" s="8">
        <f t="shared" si="71"/>
        <v>27.499999999999879</v>
      </c>
      <c r="AB342" s="1">
        <v>27.58</v>
      </c>
      <c r="AC342" s="1">
        <v>7.6400248510000001E-3</v>
      </c>
      <c r="AD342" s="8">
        <f t="shared" si="67"/>
        <v>1.0967711719076649</v>
      </c>
      <c r="AE342" s="3">
        <f t="shared" si="68"/>
        <v>1.4355596916207794E-2</v>
      </c>
      <c r="AF342" s="11">
        <f t="shared" si="69"/>
        <v>27.499999999999879</v>
      </c>
      <c r="AG342" s="1">
        <f t="shared" si="70"/>
        <v>0.15023514332817173</v>
      </c>
    </row>
    <row r="343" spans="2:33" ht="15" x14ac:dyDescent="0.25">
      <c r="B343" s="1">
        <v>332</v>
      </c>
      <c r="C343" s="1">
        <v>1.0005460330200797</v>
      </c>
      <c r="D343" s="1">
        <v>1.1635423190872272</v>
      </c>
      <c r="E343" s="1">
        <v>0.85862872979144256</v>
      </c>
      <c r="G343" s="1">
        <v>1.0002516506350421</v>
      </c>
      <c r="H343" s="1">
        <v>3.5898152492914623</v>
      </c>
      <c r="I343" s="1">
        <v>0.23705020456185136</v>
      </c>
      <c r="K343" s="1">
        <v>0.99901896780285948</v>
      </c>
      <c r="L343" s="1">
        <v>4.5376080248389679</v>
      </c>
      <c r="M343" s="1">
        <v>0.18461574245143353</v>
      </c>
      <c r="O343" s="1">
        <v>7.5293664512309892E-3</v>
      </c>
      <c r="P343" s="1">
        <v>0.81195328455034432</v>
      </c>
      <c r="R343" s="1">
        <v>0.19359784189232471</v>
      </c>
      <c r="S343" s="2">
        <f t="shared" ref="S343:S406" si="72">optim_vol_implied(P343,R343)</f>
        <v>0.79079776022366022</v>
      </c>
      <c r="T343" s="4">
        <f t="shared" ref="T343:T406" si="73">S343*S343</f>
        <v>0.62536109757475755</v>
      </c>
      <c r="U343" s="1">
        <f t="shared" si="65"/>
        <v>0.33330862526018068</v>
      </c>
      <c r="V343" s="6">
        <f>2*sigma/alpha*corel*(B343/12-1/alpha*(1-EXP(-alpha*Output!B343/12)))</f>
        <v>1.3666437204101078</v>
      </c>
      <c r="W343" s="5">
        <f t="shared" ref="W343:W406" si="74">U343-T343</f>
        <v>-0.29205247231457687</v>
      </c>
      <c r="X343" s="1">
        <f t="shared" ref="X343:X406" si="75">V343*V343-4*W343*B343/12</f>
        <v>34.188188661349557</v>
      </c>
      <c r="Y343" s="3">
        <f t="shared" ref="Y343:Y406" si="76">(-V343+SQRT(X343))/2/B343*12</f>
        <v>8.0971499116675005E-2</v>
      </c>
      <c r="Z343" s="1">
        <f t="shared" si="66"/>
        <v>0.15034431537425244</v>
      </c>
      <c r="AA343" s="8">
        <f t="shared" si="71"/>
        <v>27.583333333333211</v>
      </c>
      <c r="AB343" s="1">
        <v>27.67</v>
      </c>
      <c r="AC343" s="1">
        <v>7.6393362799999998E-3</v>
      </c>
      <c r="AD343" s="8">
        <f t="shared" si="67"/>
        <v>1.0996982876901058</v>
      </c>
      <c r="AE343" s="3">
        <f t="shared" si="68"/>
        <v>1.439520721936469E-2</v>
      </c>
      <c r="AF343" s="11">
        <f t="shared" si="69"/>
        <v>27.583333333333211</v>
      </c>
      <c r="AG343" s="1">
        <f t="shared" si="70"/>
        <v>0.15034431537425244</v>
      </c>
    </row>
    <row r="344" spans="2:33" ht="15" x14ac:dyDescent="0.25">
      <c r="B344" s="1">
        <v>333</v>
      </c>
      <c r="C344" s="1">
        <v>1.0005500671130068</v>
      </c>
      <c r="D344" s="1">
        <v>1.1624011903570151</v>
      </c>
      <c r="E344" s="1">
        <v>0.8594700063127001</v>
      </c>
      <c r="G344" s="1">
        <v>1.000409034182326</v>
      </c>
      <c r="H344" s="1">
        <v>3.5578277011396127</v>
      </c>
      <c r="I344" s="1">
        <v>0.23906575863092747</v>
      </c>
      <c r="K344" s="1">
        <v>0.99914096861240143</v>
      </c>
      <c r="L344" s="1">
        <v>4.5417553410888711</v>
      </c>
      <c r="M344" s="1">
        <v>0.18435067303924588</v>
      </c>
      <c r="O344" s="1">
        <v>7.5283231042660914E-3</v>
      </c>
      <c r="P344" s="1">
        <v>0.81146748050655226</v>
      </c>
      <c r="R344" s="1">
        <v>0.19406673046401973</v>
      </c>
      <c r="S344" s="2">
        <f t="shared" si="72"/>
        <v>0.79309502726572623</v>
      </c>
      <c r="T344" s="4">
        <f t="shared" si="73"/>
        <v>0.628999722273623</v>
      </c>
      <c r="U344" s="1">
        <f t="shared" si="65"/>
        <v>0.33564588709046728</v>
      </c>
      <c r="V344" s="6">
        <f>2*sigma/alpha*corel*(B344/12-1/alpha*(1-EXP(-alpha*Output!B344/12)))</f>
        <v>1.3736217533599655</v>
      </c>
      <c r="W344" s="5">
        <f t="shared" si="74"/>
        <v>-0.29335383518315572</v>
      </c>
      <c r="X344" s="1">
        <f t="shared" si="75"/>
        <v>34.449112426633995</v>
      </c>
      <c r="Y344" s="3">
        <f t="shared" si="76"/>
        <v>8.1003871574999817E-2</v>
      </c>
      <c r="Z344" s="1">
        <f t="shared" si="66"/>
        <v>0.15055449730416207</v>
      </c>
      <c r="AA344" s="8">
        <f t="shared" si="71"/>
        <v>27.666666666666544</v>
      </c>
      <c r="AB344" s="1">
        <v>27.75</v>
      </c>
      <c r="AC344" s="1">
        <v>7.6386193359999997E-3</v>
      </c>
      <c r="AD344" s="8">
        <f t="shared" si="67"/>
        <v>1.1029623173390828</v>
      </c>
      <c r="AE344" s="3">
        <f t="shared" si="68"/>
        <v>1.4439288945070726E-2</v>
      </c>
      <c r="AF344" s="11">
        <f t="shared" si="69"/>
        <v>27.666666666666544</v>
      </c>
      <c r="AG344" s="1">
        <f t="shared" si="70"/>
        <v>0.15055449730416207</v>
      </c>
    </row>
    <row r="345" spans="2:33" ht="15" x14ac:dyDescent="0.25">
      <c r="B345" s="1">
        <v>334</v>
      </c>
      <c r="C345" s="1">
        <v>1.0005522518918117</v>
      </c>
      <c r="D345" s="1">
        <v>1.1632736914361883</v>
      </c>
      <c r="E345" s="1">
        <v>0.85882372945291752</v>
      </c>
      <c r="G345" s="1">
        <v>1.0004215106113796</v>
      </c>
      <c r="H345" s="1">
        <v>3.5792349471102058</v>
      </c>
      <c r="I345" s="1">
        <v>0.23752095904793294</v>
      </c>
      <c r="K345" s="1">
        <v>0.9992593813766677</v>
      </c>
      <c r="L345" s="1">
        <v>4.4619764425525323</v>
      </c>
      <c r="M345" s="1">
        <v>0.18754697827492653</v>
      </c>
      <c r="O345" s="1">
        <v>7.5272818053160259E-3</v>
      </c>
      <c r="P345" s="1">
        <v>0.81098206192086653</v>
      </c>
      <c r="R345" s="1">
        <v>0.1946646440532625</v>
      </c>
      <c r="S345" s="2">
        <f t="shared" si="72"/>
        <v>0.79579647226483385</v>
      </c>
      <c r="T345" s="4">
        <f t="shared" si="73"/>
        <v>0.63329202526915451</v>
      </c>
      <c r="U345" s="1">
        <f t="shared" si="65"/>
        <v>0.33799082078725196</v>
      </c>
      <c r="V345" s="6">
        <f>2*sigma/alpha*corel*(B345/12-1/alpha*(1-EXP(-alpha*Output!B345/12)))</f>
        <v>1.3806112293399013</v>
      </c>
      <c r="W345" s="5">
        <f t="shared" si="74"/>
        <v>-0.29530120448190256</v>
      </c>
      <c r="X345" s="1">
        <f t="shared" si="75"/>
        <v>34.782954798897919</v>
      </c>
      <c r="Y345" s="3">
        <f t="shared" si="76"/>
        <v>8.1145443576884788E-2</v>
      </c>
      <c r="Z345" s="1">
        <f t="shared" si="66"/>
        <v>0.15084099872348289</v>
      </c>
      <c r="AA345" s="8">
        <f t="shared" si="71"/>
        <v>27.749999999999876</v>
      </c>
      <c r="AB345" s="1">
        <v>27.83</v>
      </c>
      <c r="AC345" s="1">
        <v>7.6378869499999997E-3</v>
      </c>
      <c r="AD345" s="8">
        <f t="shared" si="67"/>
        <v>1.1060514468397373</v>
      </c>
      <c r="AE345" s="3">
        <f t="shared" si="68"/>
        <v>1.4481118326054004E-2</v>
      </c>
      <c r="AF345" s="11">
        <f t="shared" si="69"/>
        <v>27.749999999999876</v>
      </c>
      <c r="AG345" s="1">
        <f t="shared" si="70"/>
        <v>0.15084099872348289</v>
      </c>
    </row>
    <row r="346" spans="2:33" ht="15" x14ac:dyDescent="0.25">
      <c r="B346" s="1">
        <v>335</v>
      </c>
      <c r="C346" s="1">
        <v>1.0005516060189341</v>
      </c>
      <c r="D346" s="1">
        <v>1.158660764350921</v>
      </c>
      <c r="E346" s="1">
        <v>0.86224127849617183</v>
      </c>
      <c r="G346" s="1">
        <v>1.0001690447756619</v>
      </c>
      <c r="H346" s="1">
        <v>3.4223463477261848</v>
      </c>
      <c r="I346" s="1">
        <v>0.24828932258927633</v>
      </c>
      <c r="K346" s="1">
        <v>0.99951924817948234</v>
      </c>
      <c r="L346" s="1">
        <v>4.4542815967040275</v>
      </c>
      <c r="M346" s="1">
        <v>0.18777119230614167</v>
      </c>
      <c r="O346" s="1">
        <v>7.5262021682044808E-3</v>
      </c>
      <c r="P346" s="1">
        <v>0.81049794182758383</v>
      </c>
      <c r="R346" s="1">
        <v>0.19516296001579195</v>
      </c>
      <c r="S346" s="2">
        <f t="shared" si="72"/>
        <v>0.79818783877685751</v>
      </c>
      <c r="T346" s="4">
        <f t="shared" si="73"/>
        <v>0.63710382597127069</v>
      </c>
      <c r="U346" s="1">
        <f t="shared" si="65"/>
        <v>0.34034341332807561</v>
      </c>
      <c r="V346" s="6">
        <f>2*sigma/alpha*corel*(B346/12-1/alpha*(1-EXP(-alpha*Output!B346/12)))</f>
        <v>1.3876121102699823</v>
      </c>
      <c r="W346" s="5">
        <f t="shared" si="74"/>
        <v>-0.29676041264319508</v>
      </c>
      <c r="X346" s="1">
        <f t="shared" si="75"/>
        <v>35.063713447058035</v>
      </c>
      <c r="Y346" s="3">
        <f t="shared" si="76"/>
        <v>8.1203283466690965E-2</v>
      </c>
      <c r="Z346" s="1">
        <f t="shared" si="66"/>
        <v>0.1510682944466859</v>
      </c>
      <c r="AA346" s="8">
        <f t="shared" si="71"/>
        <v>27.833333333333208</v>
      </c>
      <c r="AB346" s="1">
        <v>27.92</v>
      </c>
      <c r="AC346" s="1">
        <v>7.6371520500000002E-3</v>
      </c>
      <c r="AD346" s="8">
        <f t="shared" si="67"/>
        <v>1.1094988179551937</v>
      </c>
      <c r="AE346" s="3">
        <f t="shared" si="68"/>
        <v>1.452765128533998E-2</v>
      </c>
      <c r="AF346" s="11">
        <f t="shared" si="69"/>
        <v>27.833333333333208</v>
      </c>
      <c r="AG346" s="1">
        <f t="shared" si="70"/>
        <v>0.1510682944466859</v>
      </c>
    </row>
    <row r="347" spans="2:33" ht="15" x14ac:dyDescent="0.25">
      <c r="B347" s="1">
        <v>336</v>
      </c>
      <c r="C347" s="1">
        <v>1.0005500477000506</v>
      </c>
      <c r="D347" s="1">
        <v>1.1605926764343975</v>
      </c>
      <c r="E347" s="1">
        <v>0.86080435024144752</v>
      </c>
      <c r="G347" s="1">
        <v>0.99987706598106452</v>
      </c>
      <c r="H347" s="1">
        <v>3.4572140208188138</v>
      </c>
      <c r="I347" s="1">
        <v>0.24566630506470705</v>
      </c>
      <c r="K347" s="1">
        <v>0.99915404420583553</v>
      </c>
      <c r="L347" s="1">
        <v>4.5097187352479438</v>
      </c>
      <c r="M347" s="1">
        <v>0.18536184875436648</v>
      </c>
      <c r="O347" s="1">
        <v>7.5251200582861569E-3</v>
      </c>
      <c r="P347" s="1">
        <v>0.81001431257019751</v>
      </c>
      <c r="R347" s="1">
        <v>0.19550454939508893</v>
      </c>
      <c r="S347" s="2">
        <f t="shared" si="72"/>
        <v>0.80009136034621164</v>
      </c>
      <c r="T347" s="4">
        <f t="shared" si="73"/>
        <v>0.64014618490065145</v>
      </c>
      <c r="U347" s="1">
        <f t="shared" si="65"/>
        <v>0.34270365165070737</v>
      </c>
      <c r="V347" s="6">
        <f>2*sigma/alpha*corel*(B347/12-1/alpha*(1-EXP(-alpha*Output!B347/12)))</f>
        <v>1.3946243581969986</v>
      </c>
      <c r="W347" s="5">
        <f t="shared" si="74"/>
        <v>-0.29744253324994407</v>
      </c>
      <c r="X347" s="1">
        <f t="shared" si="75"/>
        <v>35.258540824470131</v>
      </c>
      <c r="Y347" s="3">
        <f t="shared" si="76"/>
        <v>8.1129748373792998E-2</v>
      </c>
      <c r="Z347" s="1">
        <f t="shared" si="66"/>
        <v>0.15120305468624579</v>
      </c>
      <c r="AA347" s="8">
        <f t="shared" si="71"/>
        <v>27.91666666666654</v>
      </c>
      <c r="AB347" s="1">
        <v>28</v>
      </c>
      <c r="AC347" s="1">
        <v>7.6364275670000002E-3</v>
      </c>
      <c r="AD347" s="8">
        <f t="shared" si="67"/>
        <v>1.1130750871384334</v>
      </c>
      <c r="AE347" s="3">
        <f t="shared" si="68"/>
        <v>1.4575861256753978E-2</v>
      </c>
      <c r="AF347" s="11">
        <f t="shared" si="69"/>
        <v>27.91666666666654</v>
      </c>
      <c r="AG347" s="1">
        <f t="shared" si="70"/>
        <v>0.15120305468624579</v>
      </c>
    </row>
    <row r="348" spans="2:33" ht="15" x14ac:dyDescent="0.25">
      <c r="B348" s="1">
        <v>337</v>
      </c>
      <c r="C348" s="1">
        <v>1.0005525619737177</v>
      </c>
      <c r="D348" s="1">
        <v>1.1636438405958707</v>
      </c>
      <c r="E348" s="1">
        <v>0.85854560683550418</v>
      </c>
      <c r="G348" s="1">
        <v>0.99991118381876187</v>
      </c>
      <c r="H348" s="1">
        <v>3.5370324330519942</v>
      </c>
      <c r="I348" s="1">
        <v>0.24000631825665422</v>
      </c>
      <c r="K348" s="1">
        <v>0.99922214597648507</v>
      </c>
      <c r="L348" s="1">
        <v>4.4374886181631208</v>
      </c>
      <c r="M348" s="1">
        <v>0.18827867804884926</v>
      </c>
      <c r="O348" s="1">
        <v>7.5240395995338468E-3</v>
      </c>
      <c r="P348" s="1">
        <v>0.80953108035955967</v>
      </c>
      <c r="R348" s="1">
        <v>0.19592426013199107</v>
      </c>
      <c r="S348" s="2">
        <f t="shared" si="72"/>
        <v>0.80224024158070106</v>
      </c>
      <c r="T348" s="4">
        <f t="shared" si="73"/>
        <v>0.64358940521146157</v>
      </c>
      <c r="U348" s="1">
        <f t="shared" si="65"/>
        <v>0.34507152265382679</v>
      </c>
      <c r="V348" s="6">
        <f>2*sigma/alpha*corel*(B348/12-1/alpha*(1-EXP(-alpha*Output!B348/12)))</f>
        <v>1.4016479352940401</v>
      </c>
      <c r="W348" s="5">
        <f t="shared" si="74"/>
        <v>-0.29851788255763478</v>
      </c>
      <c r="X348" s="1">
        <f t="shared" si="75"/>
        <v>35.498125741821688</v>
      </c>
      <c r="Y348" s="3">
        <f t="shared" si="76"/>
        <v>8.1122535708320731E-2</v>
      </c>
      <c r="Z348" s="1">
        <f t="shared" si="66"/>
        <v>0.15138404855168111</v>
      </c>
      <c r="AA348" s="8">
        <f t="shared" si="71"/>
        <v>27.999999999999872</v>
      </c>
      <c r="AB348" s="1">
        <v>28.08</v>
      </c>
      <c r="AC348" s="1">
        <v>7.6357264299999998E-3</v>
      </c>
      <c r="AD348" s="8">
        <f t="shared" si="67"/>
        <v>1.1168683046615304</v>
      </c>
      <c r="AE348" s="3">
        <f t="shared" si="68"/>
        <v>1.4626876891155601E-2</v>
      </c>
      <c r="AF348" s="11">
        <f t="shared" si="69"/>
        <v>27.999999999999872</v>
      </c>
      <c r="AG348" s="1">
        <f t="shared" si="70"/>
        <v>0.15138404855168111</v>
      </c>
    </row>
    <row r="349" spans="2:33" ht="15" x14ac:dyDescent="0.25">
      <c r="B349" s="1">
        <v>338</v>
      </c>
      <c r="C349" s="1">
        <v>1.0005559037783194</v>
      </c>
      <c r="D349" s="1">
        <v>1.163369789475919</v>
      </c>
      <c r="E349" s="1">
        <v>0.85874620082672226</v>
      </c>
      <c r="G349" s="1">
        <v>0.99999815956888738</v>
      </c>
      <c r="H349" s="1">
        <v>3.5306030565280917</v>
      </c>
      <c r="I349" s="1">
        <v>0.24032706456638742</v>
      </c>
      <c r="K349" s="1">
        <v>0.99917232134618039</v>
      </c>
      <c r="L349" s="1">
        <v>4.3912020412998762</v>
      </c>
      <c r="M349" s="1">
        <v>0.19016138121331705</v>
      </c>
      <c r="O349" s="1">
        <v>7.5230006566429459E-3</v>
      </c>
      <c r="P349" s="1">
        <v>0.80904733605155399</v>
      </c>
      <c r="R349" s="1">
        <v>0.19627000308991208</v>
      </c>
      <c r="S349" s="2">
        <f t="shared" si="72"/>
        <v>0.80416083651538295</v>
      </c>
      <c r="T349" s="4">
        <f t="shared" si="73"/>
        <v>0.64667465098512045</v>
      </c>
      <c r="U349" s="1">
        <f t="shared" si="65"/>
        <v>0.34744701319770632</v>
      </c>
      <c r="V349" s="6">
        <f>2*sigma/alpha*corel*(B349/12-1/alpha*(1-EXP(-alpha*Output!B349/12)))</f>
        <v>1.4086828038600769</v>
      </c>
      <c r="W349" s="5">
        <f t="shared" si="74"/>
        <v>-0.29922763778741412</v>
      </c>
      <c r="X349" s="1">
        <f t="shared" si="75"/>
        <v>35.697367765939738</v>
      </c>
      <c r="Y349" s="3">
        <f t="shared" si="76"/>
        <v>8.1054046473986271E-2</v>
      </c>
      <c r="Z349" s="1">
        <f t="shared" si="66"/>
        <v>0.1515218246609516</v>
      </c>
      <c r="AA349" s="8">
        <f t="shared" si="71"/>
        <v>28.083333333333204</v>
      </c>
      <c r="AB349" s="1">
        <v>28.17</v>
      </c>
      <c r="AC349" s="1">
        <v>7.6350588309999998E-3</v>
      </c>
      <c r="AD349" s="8">
        <f t="shared" si="67"/>
        <v>1.1205817435705392</v>
      </c>
      <c r="AE349" s="3">
        <f t="shared" si="68"/>
        <v>1.467679252215757E-2</v>
      </c>
      <c r="AF349" s="11">
        <f t="shared" si="69"/>
        <v>28.083333333333204</v>
      </c>
      <c r="AG349" s="1">
        <f t="shared" si="70"/>
        <v>0.1515218246609516</v>
      </c>
    </row>
    <row r="350" spans="2:33" ht="15" x14ac:dyDescent="0.25">
      <c r="B350" s="1">
        <v>339</v>
      </c>
      <c r="C350" s="1">
        <v>1.0005565966459593</v>
      </c>
      <c r="D350" s="1">
        <v>1.165966288779787</v>
      </c>
      <c r="E350" s="1">
        <v>0.85683220286464645</v>
      </c>
      <c r="G350" s="1">
        <v>0.99989620578353988</v>
      </c>
      <c r="H350" s="1">
        <v>3.5991270153585662</v>
      </c>
      <c r="I350" s="1">
        <v>0.23563742025117387</v>
      </c>
      <c r="K350" s="1">
        <v>0.99916745750136926</v>
      </c>
      <c r="L350" s="1">
        <v>4.4961374944439143</v>
      </c>
      <c r="M350" s="1">
        <v>0.18562344729585503</v>
      </c>
      <c r="O350" s="1">
        <v>7.5219839386044141E-3</v>
      </c>
      <c r="P350" s="1">
        <v>0.80856351316052977</v>
      </c>
      <c r="R350" s="1">
        <v>0.19681265008881382</v>
      </c>
      <c r="S350" s="2">
        <f t="shared" si="72"/>
        <v>0.80669985636064045</v>
      </c>
      <c r="T350" s="4">
        <f t="shared" si="73"/>
        <v>0.65076465825227792</v>
      </c>
      <c r="U350" s="1">
        <f t="shared" si="65"/>
        <v>0.34983011010488019</v>
      </c>
      <c r="V350" s="6">
        <f>2*sigma/alpha*corel*(B350/12-1/alpha*(1-EXP(-alpha*Output!B350/12)))</f>
        <v>1.4157289263195403</v>
      </c>
      <c r="W350" s="5">
        <f t="shared" si="74"/>
        <v>-0.30093454814739773</v>
      </c>
      <c r="X350" s="1">
        <f t="shared" si="75"/>
        <v>36.009892333473822</v>
      </c>
      <c r="Y350" s="3">
        <f t="shared" si="76"/>
        <v>8.1152130587258745E-2</v>
      </c>
      <c r="Z350" s="1">
        <f t="shared" si="66"/>
        <v>0.15177587788010097</v>
      </c>
      <c r="AA350" s="8">
        <f t="shared" si="71"/>
        <v>28.166666666666536</v>
      </c>
      <c r="AB350" s="1">
        <v>28.25</v>
      </c>
      <c r="AC350" s="1">
        <v>7.6344240090000003E-3</v>
      </c>
      <c r="AD350" s="8">
        <f t="shared" si="67"/>
        <v>1.1244007039558617</v>
      </c>
      <c r="AE350" s="3">
        <f t="shared" si="68"/>
        <v>1.4728035836499759E-2</v>
      </c>
      <c r="AF350" s="11">
        <f t="shared" si="69"/>
        <v>28.166666666666536</v>
      </c>
      <c r="AG350" s="1">
        <f t="shared" si="70"/>
        <v>0.15177587788010097</v>
      </c>
    </row>
    <row r="351" spans="2:33" ht="15" x14ac:dyDescent="0.25">
      <c r="B351" s="1">
        <v>340</v>
      </c>
      <c r="C351" s="1">
        <v>1.0005578362262579</v>
      </c>
      <c r="D351" s="1">
        <v>1.16203695562926</v>
      </c>
      <c r="E351" s="1">
        <v>0.85972785274278807</v>
      </c>
      <c r="G351" s="1">
        <v>0.99980882300848228</v>
      </c>
      <c r="H351" s="1">
        <v>3.4904166678694901</v>
      </c>
      <c r="I351" s="1">
        <v>0.24285889636692726</v>
      </c>
      <c r="K351" s="1">
        <v>0.99926366369886566</v>
      </c>
      <c r="L351" s="1">
        <v>4.4909295028535761</v>
      </c>
      <c r="M351" s="1">
        <v>0.18574490960801418</v>
      </c>
      <c r="O351" s="1">
        <v>7.5209883990926445E-3</v>
      </c>
      <c r="P351" s="1">
        <v>0.80807963163971164</v>
      </c>
      <c r="R351" s="1">
        <v>0.19726990073057407</v>
      </c>
      <c r="S351" s="2">
        <f t="shared" si="72"/>
        <v>0.8089742443010508</v>
      </c>
      <c r="T351" s="4">
        <f t="shared" si="73"/>
        <v>0.65443932794245618</v>
      </c>
      <c r="U351" s="1">
        <f t="shared" si="65"/>
        <v>0.35222080016081447</v>
      </c>
      <c r="V351" s="6">
        <f>2*sigma/alpha*corel*(B351/12-1/alpha*(1-EXP(-alpha*Output!B351/12)))</f>
        <v>1.4227862652219034</v>
      </c>
      <c r="W351" s="5">
        <f t="shared" si="74"/>
        <v>-0.30221852778164171</v>
      </c>
      <c r="X351" s="1">
        <f t="shared" si="75"/>
        <v>36.275753905090156</v>
      </c>
      <c r="Y351" s="3">
        <f t="shared" si="76"/>
        <v>8.1179106879638113E-2</v>
      </c>
      <c r="Z351" s="1">
        <f t="shared" si="66"/>
        <v>0.15197979679307103</v>
      </c>
      <c r="AA351" s="8">
        <f t="shared" si="71"/>
        <v>28.249999999999869</v>
      </c>
      <c r="AB351" s="1">
        <v>28.33</v>
      </c>
      <c r="AC351" s="1">
        <v>7.6338184660000004E-3</v>
      </c>
      <c r="AD351" s="8">
        <f t="shared" si="67"/>
        <v>1.1283006690735591</v>
      </c>
      <c r="AE351" s="3">
        <f t="shared" si="68"/>
        <v>1.47802921185362E-2</v>
      </c>
      <c r="AF351" s="11">
        <f t="shared" si="69"/>
        <v>28.249999999999869</v>
      </c>
      <c r="AG351" s="1">
        <f t="shared" si="70"/>
        <v>0.15197979679307103</v>
      </c>
    </row>
    <row r="352" spans="2:33" ht="15" x14ac:dyDescent="0.25">
      <c r="B352" s="1">
        <v>341</v>
      </c>
      <c r="C352" s="1">
        <v>1.0005609972935794</v>
      </c>
      <c r="D352" s="1">
        <v>1.1617280197358002</v>
      </c>
      <c r="E352" s="1">
        <v>0.85995481667770746</v>
      </c>
      <c r="G352" s="1">
        <v>0.99989964045634516</v>
      </c>
      <c r="H352" s="1">
        <v>3.4813412542513174</v>
      </c>
      <c r="I352" s="1">
        <v>0.24337420877683433</v>
      </c>
      <c r="K352" s="1">
        <v>0.99943884207867539</v>
      </c>
      <c r="L352" s="1">
        <v>4.5803376803619287</v>
      </c>
      <c r="M352" s="1">
        <v>0.18202153002084367</v>
      </c>
      <c r="O352" s="1">
        <v>7.5199766393071457E-3</v>
      </c>
      <c r="P352" s="1">
        <v>0.8075965459370289</v>
      </c>
      <c r="R352" s="1">
        <v>0.19759140563711763</v>
      </c>
      <c r="S352" s="2">
        <f t="shared" si="72"/>
        <v>0.81082405185649487</v>
      </c>
      <c r="T352" s="4">
        <f t="shared" si="73"/>
        <v>0.65743564306898383</v>
      </c>
      <c r="U352" s="1">
        <f t="shared" si="65"/>
        <v>0.35461907011456528</v>
      </c>
      <c r="V352" s="6">
        <f>2*sigma/alpha*corel*(B352/12-1/alpha*(1-EXP(-alpha*Output!B352/12)))</f>
        <v>1.4298547832412689</v>
      </c>
      <c r="W352" s="5">
        <f t="shared" si="74"/>
        <v>-0.30281657295441855</v>
      </c>
      <c r="X352" s="1">
        <f t="shared" si="75"/>
        <v>36.464635160310181</v>
      </c>
      <c r="Y352" s="3">
        <f t="shared" si="76"/>
        <v>8.1092211366107961E-2</v>
      </c>
      <c r="Z352" s="1">
        <f t="shared" si="66"/>
        <v>0.15210379729641105</v>
      </c>
      <c r="AA352" s="8">
        <f t="shared" si="71"/>
        <v>28.333333333333201</v>
      </c>
      <c r="AB352" s="1">
        <v>28.42</v>
      </c>
      <c r="AC352" s="1">
        <v>7.6332387049999999E-3</v>
      </c>
      <c r="AD352" s="8">
        <f t="shared" si="67"/>
        <v>1.132620656928542</v>
      </c>
      <c r="AE352" s="3">
        <f t="shared" si="68"/>
        <v>1.4838009142654499E-2</v>
      </c>
      <c r="AF352" s="11">
        <f t="shared" si="69"/>
        <v>28.333333333333201</v>
      </c>
      <c r="AG352" s="1">
        <f t="shared" si="70"/>
        <v>0.15210379729641105</v>
      </c>
    </row>
    <row r="353" spans="2:33" ht="15" x14ac:dyDescent="0.25">
      <c r="B353" s="1">
        <v>342</v>
      </c>
      <c r="C353" s="1">
        <v>1.0005660660816174</v>
      </c>
      <c r="D353" s="1">
        <v>1.1644136109096517</v>
      </c>
      <c r="E353" s="1">
        <v>0.85796976539423397</v>
      </c>
      <c r="G353" s="1">
        <v>1.000123368836717</v>
      </c>
      <c r="H353" s="1">
        <v>3.5496599292888176</v>
      </c>
      <c r="I353" s="1">
        <v>0.23857463029392123</v>
      </c>
      <c r="K353" s="1">
        <v>0.99944770965937701</v>
      </c>
      <c r="L353" s="1">
        <v>4.7076996243851763</v>
      </c>
      <c r="M353" s="1">
        <v>0.17699823911550658</v>
      </c>
      <c r="O353" s="1">
        <v>7.51893322931822E-3</v>
      </c>
      <c r="P353" s="1">
        <v>0.80711461317515809</v>
      </c>
      <c r="R353" s="1">
        <v>0.19791056886011602</v>
      </c>
      <c r="S353" s="2">
        <f t="shared" si="72"/>
        <v>0.81266628505632288</v>
      </c>
      <c r="T353" s="4">
        <f t="shared" si="73"/>
        <v>0.66042649086724459</v>
      </c>
      <c r="U353" s="1">
        <f t="shared" si="65"/>
        <v>0.35702490667943643</v>
      </c>
      <c r="V353" s="6">
        <f>2*sigma/alpha*corel*(B353/12-1/alpha*(1-EXP(-alpha*Output!B353/12)))</f>
        <v>1.4369344431759496</v>
      </c>
      <c r="W353" s="5">
        <f t="shared" si="74"/>
        <v>-0.30340158418780816</v>
      </c>
      <c r="X353" s="1">
        <f t="shared" si="75"/>
        <v>36.652561191395506</v>
      </c>
      <c r="Y353" s="3">
        <f t="shared" si="76"/>
        <v>8.1003533889380253E-2</v>
      </c>
      <c r="Z353" s="1">
        <f t="shared" si="66"/>
        <v>0.15222634242691127</v>
      </c>
      <c r="AA353" s="8">
        <f t="shared" si="71"/>
        <v>28.416666666666533</v>
      </c>
      <c r="AB353" s="1">
        <v>28.5</v>
      </c>
      <c r="AC353" s="1">
        <v>7.6326812250000001E-3</v>
      </c>
      <c r="AD353" s="8">
        <f t="shared" si="67"/>
        <v>1.1374799568178007</v>
      </c>
      <c r="AE353" s="3">
        <f t="shared" si="68"/>
        <v>1.4902757278688795E-2</v>
      </c>
      <c r="AF353" s="11">
        <f t="shared" si="69"/>
        <v>28.416666666666533</v>
      </c>
      <c r="AG353" s="1">
        <f t="shared" si="70"/>
        <v>0.15222634242691127</v>
      </c>
    </row>
    <row r="354" spans="2:33" ht="15" x14ac:dyDescent="0.25">
      <c r="B354" s="1">
        <v>343</v>
      </c>
      <c r="C354" s="1">
        <v>1.0005662716744199</v>
      </c>
      <c r="D354" s="1">
        <v>1.1661349939972263</v>
      </c>
      <c r="E354" s="1">
        <v>0.85670161752397755</v>
      </c>
      <c r="G354" s="1">
        <v>0.99994868561771966</v>
      </c>
      <c r="H354" s="1">
        <v>3.594226946253499</v>
      </c>
      <c r="I354" s="1">
        <v>0.23550241779535602</v>
      </c>
      <c r="K354" s="1">
        <v>0.99936337178898682</v>
      </c>
      <c r="L354" s="1">
        <v>4.5269512460306833</v>
      </c>
      <c r="M354" s="1">
        <v>0.18397205730078794</v>
      </c>
      <c r="O354" s="1">
        <v>7.5178382026693871E-3</v>
      </c>
      <c r="P354" s="1">
        <v>0.80663429836937106</v>
      </c>
      <c r="R354" s="1">
        <v>0.19826257119519966</v>
      </c>
      <c r="S354" s="2">
        <f t="shared" si="72"/>
        <v>0.81461056817690047</v>
      </c>
      <c r="T354" s="4">
        <f t="shared" si="73"/>
        <v>0.66359037778549257</v>
      </c>
      <c r="U354" s="1">
        <f t="shared" si="65"/>
        <v>0.35943829653362602</v>
      </c>
      <c r="V354" s="6">
        <f>2*sigma/alpha*corel*(B354/12-1/alpha*(1-EXP(-alpha*Output!B354/12)))</f>
        <v>1.4440252079480587</v>
      </c>
      <c r="W354" s="5">
        <f t="shared" si="74"/>
        <v>-0.30415208125186655</v>
      </c>
      <c r="X354" s="1">
        <f t="shared" si="75"/>
        <v>36.859930090986168</v>
      </c>
      <c r="Y354" s="3">
        <f t="shared" si="76"/>
        <v>8.0942496722889959E-2</v>
      </c>
      <c r="Z354" s="1">
        <f t="shared" si="66"/>
        <v>0.15236794247271965</v>
      </c>
      <c r="AA354" s="8">
        <f t="shared" si="71"/>
        <v>28.499999999999865</v>
      </c>
      <c r="AB354" s="1">
        <v>28.58</v>
      </c>
      <c r="AC354" s="1">
        <v>7.6321425300000002E-3</v>
      </c>
      <c r="AD354" s="8">
        <f t="shared" si="67"/>
        <v>1.1430432733061311</v>
      </c>
      <c r="AE354" s="3">
        <f t="shared" si="68"/>
        <v>1.4976702397958638E-2</v>
      </c>
      <c r="AF354" s="11">
        <f t="shared" si="69"/>
        <v>28.499999999999865</v>
      </c>
      <c r="AG354" s="1">
        <f t="shared" si="70"/>
        <v>0.15236794247271965</v>
      </c>
    </row>
    <row r="355" spans="2:33" ht="15" x14ac:dyDescent="0.25">
      <c r="B355" s="1">
        <v>344</v>
      </c>
      <c r="C355" s="1">
        <v>1.0005679158758902</v>
      </c>
      <c r="D355" s="1">
        <v>1.1702756387350346</v>
      </c>
      <c r="E355" s="1">
        <v>0.85366879582012378</v>
      </c>
      <c r="G355" s="1">
        <v>0.99991640374032797</v>
      </c>
      <c r="H355" s="1">
        <v>3.7090346097809546</v>
      </c>
      <c r="I355" s="1">
        <v>0.22810239159115003</v>
      </c>
      <c r="K355" s="1">
        <v>0.99919948131581349</v>
      </c>
      <c r="L355" s="1">
        <v>4.4374434896416766</v>
      </c>
      <c r="M355" s="1">
        <v>0.18757613259011935</v>
      </c>
      <c r="O355" s="1">
        <v>7.5166988593231019E-3</v>
      </c>
      <c r="P355" s="1">
        <v>0.80615544067509837</v>
      </c>
      <c r="R355" s="1">
        <v>0.19872006740824125</v>
      </c>
      <c r="S355" s="2">
        <f t="shared" si="72"/>
        <v>0.81688568287959695</v>
      </c>
      <c r="T355" s="4">
        <f t="shared" si="73"/>
        <v>0.66730221889366548</v>
      </c>
      <c r="U355" s="1">
        <f t="shared" si="65"/>
        <v>0.3618592263208753</v>
      </c>
      <c r="V355" s="6">
        <f>2*sigma/alpha*corel*(B355/12-1/alpha*(1-EXP(-alpha*Output!B355/12)))</f>
        <v>1.4511270406030974</v>
      </c>
      <c r="W355" s="5">
        <f t="shared" si="74"/>
        <v>-0.30544299257279017</v>
      </c>
      <c r="X355" s="1">
        <f t="shared" si="75"/>
        <v>37.129899502982781</v>
      </c>
      <c r="Y355" s="3">
        <f t="shared" si="76"/>
        <v>8.0970415250482611E-2</v>
      </c>
      <c r="Z355" s="1">
        <f t="shared" si="66"/>
        <v>0.15257124362084615</v>
      </c>
      <c r="AA355" s="8">
        <f t="shared" si="71"/>
        <v>28.583333333333197</v>
      </c>
      <c r="AB355" s="1">
        <v>28.67</v>
      </c>
      <c r="AC355" s="1">
        <v>7.631619119E-3</v>
      </c>
      <c r="AD355" s="8">
        <f t="shared" si="67"/>
        <v>1.1492025967689816</v>
      </c>
      <c r="AE355" s="3">
        <f t="shared" si="68"/>
        <v>1.5058437519606796E-2</v>
      </c>
      <c r="AF355" s="11">
        <f t="shared" si="69"/>
        <v>28.583333333333197</v>
      </c>
      <c r="AG355" s="1">
        <f t="shared" si="70"/>
        <v>0.15257124362084615</v>
      </c>
    </row>
    <row r="356" spans="2:33" ht="15" x14ac:dyDescent="0.25">
      <c r="B356" s="1">
        <v>345</v>
      </c>
      <c r="C356" s="1">
        <v>1.0005703380978326</v>
      </c>
      <c r="D356" s="1">
        <v>1.1713707791126959</v>
      </c>
      <c r="E356" s="1">
        <v>0.85286902273614396</v>
      </c>
      <c r="G356" s="1">
        <v>0.999966364494974</v>
      </c>
      <c r="H356" s="1">
        <v>3.7395549257417686</v>
      </c>
      <c r="I356" s="1">
        <v>0.22613129345158461</v>
      </c>
      <c r="K356" s="1">
        <v>0.99930925125932235</v>
      </c>
      <c r="L356" s="1">
        <v>4.4430822095496829</v>
      </c>
      <c r="M356" s="1">
        <v>0.18724407423586065</v>
      </c>
      <c r="O356" s="1">
        <v>7.515689182614322E-3</v>
      </c>
      <c r="P356" s="1">
        <v>0.80567401675417283</v>
      </c>
      <c r="R356" s="1">
        <v>0.19919328126983024</v>
      </c>
      <c r="S356" s="2">
        <f t="shared" si="72"/>
        <v>0.81921713419460174</v>
      </c>
      <c r="T356" s="4">
        <f t="shared" si="73"/>
        <v>0.67111671295801612</v>
      </c>
      <c r="U356" s="1">
        <f t="shared" si="65"/>
        <v>0.36428768265110056</v>
      </c>
      <c r="V356" s="6">
        <f>2*sigma/alpha*corel*(B356/12-1/alpha*(1-EXP(-alpha*Output!B356/12)))</f>
        <v>1.4582399043095413</v>
      </c>
      <c r="W356" s="5">
        <f t="shared" si="74"/>
        <v>-0.30682903030691555</v>
      </c>
      <c r="X356" s="1">
        <f t="shared" si="75"/>
        <v>37.411802103815994</v>
      </c>
      <c r="Y356" s="3">
        <f t="shared" si="76"/>
        <v>8.1013545831545214E-2</v>
      </c>
      <c r="Z356" s="1">
        <f t="shared" si="66"/>
        <v>0.15278478332586332</v>
      </c>
      <c r="AA356" s="8">
        <f t="shared" si="71"/>
        <v>28.666666666666529</v>
      </c>
      <c r="AB356" s="1">
        <v>28.75</v>
      </c>
      <c r="AC356" s="1">
        <v>7.6311074839999996E-3</v>
      </c>
      <c r="AD356" s="8">
        <f t="shared" si="67"/>
        <v>1.1541830138567764</v>
      </c>
      <c r="AE356" s="3">
        <f t="shared" si="68"/>
        <v>1.5124711796770393E-2</v>
      </c>
      <c r="AF356" s="11">
        <f t="shared" si="69"/>
        <v>28.666666666666529</v>
      </c>
      <c r="AG356" s="1">
        <f t="shared" si="70"/>
        <v>0.15278478332586332</v>
      </c>
    </row>
    <row r="357" spans="2:33" ht="15" x14ac:dyDescent="0.25">
      <c r="B357" s="1">
        <v>346</v>
      </c>
      <c r="C357" s="1">
        <v>1.0005731020214346</v>
      </c>
      <c r="D357" s="1">
        <v>1.1701062463831373</v>
      </c>
      <c r="E357" s="1">
        <v>0.85378905345523726</v>
      </c>
      <c r="G357" s="1">
        <v>1.0000275417073514</v>
      </c>
      <c r="H357" s="1">
        <v>3.7006824498886117</v>
      </c>
      <c r="I357" s="1">
        <v>0.2283960672418156</v>
      </c>
      <c r="K357" s="1">
        <v>0.99908362186364974</v>
      </c>
      <c r="L357" s="1">
        <v>4.5335926131134263</v>
      </c>
      <c r="M357" s="1">
        <v>0.18340392695046265</v>
      </c>
      <c r="O357" s="1">
        <v>7.5147177012294458E-3</v>
      </c>
      <c r="P357" s="1">
        <v>0.80519212907243265</v>
      </c>
      <c r="R357" s="1">
        <v>0.19938024226365003</v>
      </c>
      <c r="S357" s="2">
        <f t="shared" si="72"/>
        <v>0.82065114204519829</v>
      </c>
      <c r="T357" s="4">
        <f t="shared" si="73"/>
        <v>0.67346829694008825</v>
      </c>
      <c r="U357" s="1">
        <f t="shared" si="65"/>
        <v>0.36672365210103175</v>
      </c>
      <c r="V357" s="6">
        <f>2*sigma/alpha*corel*(B357/12-1/alpha*(1-EXP(-alpha*Output!B357/12)))</f>
        <v>1.4653637623584355</v>
      </c>
      <c r="W357" s="5">
        <f t="shared" si="74"/>
        <v>-0.3067446448390565</v>
      </c>
      <c r="X357" s="1">
        <f t="shared" si="75"/>
        <v>37.525173327471116</v>
      </c>
      <c r="Y357" s="3">
        <f t="shared" si="76"/>
        <v>8.0816456243161985E-2</v>
      </c>
      <c r="Z357" s="1">
        <f t="shared" si="66"/>
        <v>0.15283089339135839</v>
      </c>
      <c r="AA357" s="8">
        <f t="shared" si="71"/>
        <v>28.749999999999861</v>
      </c>
      <c r="AB357" s="1">
        <v>28.83</v>
      </c>
      <c r="AC357" s="1">
        <v>7.6306041139999996E-3</v>
      </c>
      <c r="AD357" s="8">
        <f t="shared" si="67"/>
        <v>1.1588641277055378</v>
      </c>
      <c r="AE357" s="3">
        <f t="shared" si="68"/>
        <v>1.5187056101879929E-2</v>
      </c>
      <c r="AF357" s="11">
        <f t="shared" si="69"/>
        <v>28.749999999999861</v>
      </c>
      <c r="AG357" s="1">
        <f t="shared" si="70"/>
        <v>0.15283089339135839</v>
      </c>
    </row>
    <row r="358" spans="2:33" ht="15" x14ac:dyDescent="0.25">
      <c r="B358" s="1">
        <v>347</v>
      </c>
      <c r="C358" s="1">
        <v>1.0005746997012761</v>
      </c>
      <c r="D358" s="1">
        <v>1.1733404643383261</v>
      </c>
      <c r="E358" s="1">
        <v>0.85143399068286696</v>
      </c>
      <c r="G358" s="1">
        <v>0.99998731629040016</v>
      </c>
      <c r="H358" s="1">
        <v>3.7899721289707475</v>
      </c>
      <c r="I358" s="1">
        <v>0.22290729647649224</v>
      </c>
      <c r="K358" s="1">
        <v>0.99913169956598036</v>
      </c>
      <c r="L358" s="1">
        <v>4.5031362064715816</v>
      </c>
      <c r="M358" s="1">
        <v>0.1845506914782622</v>
      </c>
      <c r="O358" s="1">
        <v>7.5136950772961824E-3</v>
      </c>
      <c r="P358" s="1">
        <v>0.80471184997464285</v>
      </c>
      <c r="R358" s="1">
        <v>0.19984141133096642</v>
      </c>
      <c r="S358" s="2">
        <f t="shared" si="72"/>
        <v>0.82294697865982869</v>
      </c>
      <c r="T358" s="4">
        <f t="shared" si="73"/>
        <v>0.67724172968534058</v>
      </c>
      <c r="U358" s="1">
        <f t="shared" si="65"/>
        <v>0.36916712121483419</v>
      </c>
      <c r="V358" s="6">
        <f>2*sigma/alpha*corel*(B358/12-1/alpha*(1-EXP(-alpha*Output!B358/12)))</f>
        <v>1.4724985781629831</v>
      </c>
      <c r="W358" s="5">
        <f t="shared" si="74"/>
        <v>-0.30807460847050638</v>
      </c>
      <c r="X358" s="1">
        <f t="shared" si="75"/>
        <v>37.802215109113909</v>
      </c>
      <c r="Y358" s="3">
        <f t="shared" si="76"/>
        <v>8.0850467248458804E-2</v>
      </c>
      <c r="Z358" s="1">
        <f t="shared" si="66"/>
        <v>0.15303745709603581</v>
      </c>
      <c r="AA358" s="8">
        <f t="shared" si="71"/>
        <v>28.833333333333194</v>
      </c>
      <c r="AB358" s="1">
        <v>28.92</v>
      </c>
      <c r="AC358" s="1">
        <v>7.630105501E-3</v>
      </c>
      <c r="AD358" s="8">
        <f t="shared" si="67"/>
        <v>1.1641042370381764</v>
      </c>
      <c r="AE358" s="3">
        <f t="shared" si="68"/>
        <v>1.5256725308524361E-2</v>
      </c>
      <c r="AF358" s="11">
        <f t="shared" si="69"/>
        <v>28.833333333333194</v>
      </c>
      <c r="AG358" s="1">
        <f t="shared" si="70"/>
        <v>0.15303745709603581</v>
      </c>
    </row>
    <row r="359" spans="2:33" ht="15" x14ac:dyDescent="0.25">
      <c r="B359" s="1">
        <v>348</v>
      </c>
      <c r="C359" s="1">
        <v>1.0005800722255356</v>
      </c>
      <c r="D359" s="1">
        <v>1.1752337008816038</v>
      </c>
      <c r="E359" s="1">
        <v>0.85006071493552149</v>
      </c>
      <c r="G359" s="1">
        <v>1.0002414909435922</v>
      </c>
      <c r="H359" s="1">
        <v>3.843683250209073</v>
      </c>
      <c r="I359" s="1">
        <v>0.21968609461403002</v>
      </c>
      <c r="K359" s="1">
        <v>0.99913602999618112</v>
      </c>
      <c r="L359" s="1">
        <v>4.6751537206438112</v>
      </c>
      <c r="M359" s="1">
        <v>0.17766479856733308</v>
      </c>
      <c r="O359" s="1">
        <v>7.5126188293587193E-3</v>
      </c>
      <c r="P359" s="1">
        <v>0.80423324508275784</v>
      </c>
      <c r="R359" s="1">
        <v>0.20023463097731581</v>
      </c>
      <c r="S359" s="2">
        <f t="shared" si="72"/>
        <v>0.82502818829449098</v>
      </c>
      <c r="T359" s="4">
        <f t="shared" si="73"/>
        <v>0.6806715114804901</v>
      </c>
      <c r="U359" s="1">
        <f t="shared" si="65"/>
        <v>0.37161807650473433</v>
      </c>
      <c r="V359" s="6">
        <f>2*sigma/alpha*corel*(B359/12-1/alpha*(1-EXP(-alpha*Output!B359/12)))</f>
        <v>1.4796443152581413</v>
      </c>
      <c r="W359" s="5">
        <f t="shared" si="74"/>
        <v>-0.30905343497575577</v>
      </c>
      <c r="X359" s="1">
        <f t="shared" si="75"/>
        <v>38.039545756863397</v>
      </c>
      <c r="Y359" s="3">
        <f t="shared" si="76"/>
        <v>8.0827179966695362E-2</v>
      </c>
      <c r="Z359" s="1">
        <f t="shared" si="66"/>
        <v>0.15320388843094593</v>
      </c>
      <c r="AA359" s="8">
        <f t="shared" si="71"/>
        <v>28.916666666666526</v>
      </c>
      <c r="AB359" s="1">
        <v>29</v>
      </c>
      <c r="AC359" s="1">
        <v>7.6296081330000003E-3</v>
      </c>
      <c r="AD359" s="8">
        <f t="shared" si="67"/>
        <v>1.1698930364128102</v>
      </c>
      <c r="AE359" s="3">
        <f t="shared" si="68"/>
        <v>1.5333592709076688E-2</v>
      </c>
      <c r="AF359" s="11">
        <f t="shared" si="69"/>
        <v>28.916666666666526</v>
      </c>
      <c r="AG359" s="1">
        <f t="shared" si="70"/>
        <v>0.15320388843094593</v>
      </c>
    </row>
    <row r="360" spans="2:33" ht="15" x14ac:dyDescent="0.25">
      <c r="B360" s="1">
        <v>349</v>
      </c>
      <c r="C360" s="1">
        <v>1.0005858411926623</v>
      </c>
      <c r="D360" s="1">
        <v>1.1757879614697229</v>
      </c>
      <c r="E360" s="1">
        <v>0.84965833542168856</v>
      </c>
      <c r="G360" s="1">
        <v>1.0005338993592718</v>
      </c>
      <c r="H360" s="1">
        <v>3.8578235902450033</v>
      </c>
      <c r="I360" s="1">
        <v>0.21877498050638683</v>
      </c>
      <c r="K360" s="1">
        <v>0.99913567310455509</v>
      </c>
      <c r="L360" s="1">
        <v>4.9241838222181293</v>
      </c>
      <c r="M360" s="1">
        <v>0.16858980648336644</v>
      </c>
      <c r="O360" s="1">
        <v>7.5116095029054133E-3</v>
      </c>
      <c r="P360" s="1">
        <v>0.80375350466907425</v>
      </c>
      <c r="R360" s="1">
        <v>0.20067459761267492</v>
      </c>
      <c r="S360" s="2">
        <f t="shared" si="72"/>
        <v>0.8272609581790662</v>
      </c>
      <c r="T360" s="4">
        <f t="shared" si="73"/>
        <v>0.68436069292734669</v>
      </c>
      <c r="U360" s="1">
        <f t="shared" si="65"/>
        <v>0.37407650445163254</v>
      </c>
      <c r="V360" s="6">
        <f>2*sigma/alpha*corel*(B360/12-1/alpha*(1-EXP(-alpha*Output!B360/12)))</f>
        <v>1.4868009373002145</v>
      </c>
      <c r="W360" s="5">
        <f t="shared" si="74"/>
        <v>-0.31028418847571415</v>
      </c>
      <c r="X360" s="1">
        <f t="shared" si="75"/>
        <v>38.306970953164878</v>
      </c>
      <c r="Y360" s="3">
        <f t="shared" si="76"/>
        <v>8.0844612308734201E-2</v>
      </c>
      <c r="Z360" s="1">
        <f t="shared" si="66"/>
        <v>0.15339826169455648</v>
      </c>
      <c r="AA360" s="8">
        <f t="shared" si="71"/>
        <v>28.999999999999858</v>
      </c>
      <c r="AB360" s="1">
        <v>29.08</v>
      </c>
      <c r="AC360" s="1">
        <v>7.6291085010000001E-3</v>
      </c>
      <c r="AD360" s="8">
        <f t="shared" si="67"/>
        <v>1.1749899809458675</v>
      </c>
      <c r="AE360" s="3">
        <f t="shared" si="68"/>
        <v>1.5401406085545296E-2</v>
      </c>
      <c r="AF360" s="11">
        <f t="shared" si="69"/>
        <v>28.999999999999858</v>
      </c>
      <c r="AG360" s="1">
        <f t="shared" si="70"/>
        <v>0.15339826169455648</v>
      </c>
    </row>
    <row r="361" spans="2:33" ht="15" x14ac:dyDescent="0.25">
      <c r="B361" s="1">
        <v>350</v>
      </c>
      <c r="C361" s="1">
        <v>1.0005893524867611</v>
      </c>
      <c r="D361" s="1">
        <v>1.1753539427128936</v>
      </c>
      <c r="E361" s="1">
        <v>0.84997041748382529</v>
      </c>
      <c r="G361" s="1">
        <v>1.000652593277829</v>
      </c>
      <c r="H361" s="1">
        <v>3.8978039019512951</v>
      </c>
      <c r="I361" s="1">
        <v>0.21642622836727274</v>
      </c>
      <c r="K361" s="1">
        <v>0.99913625205893275</v>
      </c>
      <c r="L361" s="1">
        <v>4.7821237910304628</v>
      </c>
      <c r="M361" s="1">
        <v>0.17350597980893073</v>
      </c>
      <c r="O361" s="1">
        <v>7.5106975870713128E-3</v>
      </c>
      <c r="P361" s="1">
        <v>0.8032719033436645</v>
      </c>
      <c r="R361" s="1">
        <v>0.20121723909002617</v>
      </c>
      <c r="S361" s="2">
        <f t="shared" si="72"/>
        <v>0.82982344508897765</v>
      </c>
      <c r="T361" s="4">
        <f t="shared" si="73"/>
        <v>0.68860695001933947</v>
      </c>
      <c r="U361" s="1">
        <f t="shared" si="65"/>
        <v>0.37654239150571822</v>
      </c>
      <c r="V361" s="6">
        <f>2*sigma/alpha*corel*(B361/12-1/alpha*(1-EXP(-alpha*Output!B361/12)))</f>
        <v>1.493968408066451</v>
      </c>
      <c r="W361" s="5">
        <f t="shared" si="74"/>
        <v>-0.31206455851362125</v>
      </c>
      <c r="X361" s="1">
        <f t="shared" si="75"/>
        <v>38.639473430889751</v>
      </c>
      <c r="Y361" s="3">
        <f t="shared" si="76"/>
        <v>8.095024017854982E-2</v>
      </c>
      <c r="Z361" s="1">
        <f t="shared" si="66"/>
        <v>0.15365344494517594</v>
      </c>
      <c r="AA361" s="8">
        <f t="shared" si="71"/>
        <v>29.08333333333319</v>
      </c>
      <c r="AB361" s="1">
        <v>29.17</v>
      </c>
      <c r="AC361" s="1">
        <v>7.628603831E-3</v>
      </c>
      <c r="AD361" s="8">
        <f t="shared" si="67"/>
        <v>1.1790624392868723</v>
      </c>
      <c r="AE361" s="3">
        <f t="shared" si="68"/>
        <v>1.5455809023606278E-2</v>
      </c>
      <c r="AF361" s="11">
        <f t="shared" si="69"/>
        <v>29.08333333333319</v>
      </c>
      <c r="AG361" s="1">
        <f t="shared" si="70"/>
        <v>0.15365344494517594</v>
      </c>
    </row>
    <row r="362" spans="2:33" ht="15" x14ac:dyDescent="0.25">
      <c r="B362" s="1">
        <v>351</v>
      </c>
      <c r="C362" s="1">
        <v>1.0005903331971024</v>
      </c>
      <c r="D362" s="1">
        <v>1.1772712916323986</v>
      </c>
      <c r="E362" s="1">
        <v>0.84858445409137417</v>
      </c>
      <c r="G362" s="1">
        <v>1.0005468522625147</v>
      </c>
      <c r="H362" s="1">
        <v>3.9043004857096411</v>
      </c>
      <c r="I362" s="1">
        <v>0.21596158234362031</v>
      </c>
      <c r="K362" s="1">
        <v>0.99885765916824687</v>
      </c>
      <c r="L362" s="1">
        <v>4.7800075052000883</v>
      </c>
      <c r="M362" s="1">
        <v>0.17349096200875527</v>
      </c>
      <c r="O362" s="1">
        <v>7.5097629352347357E-3</v>
      </c>
      <c r="P362" s="1">
        <v>0.80279124648056588</v>
      </c>
      <c r="R362" s="1">
        <v>0.2014649977428811</v>
      </c>
      <c r="S362" s="2">
        <f t="shared" si="72"/>
        <v>0.83145572553520775</v>
      </c>
      <c r="T362" s="4">
        <f t="shared" si="73"/>
        <v>0.69131862352527873</v>
      </c>
      <c r="U362" s="1">
        <f t="shared" si="65"/>
        <v>0.37901572408706796</v>
      </c>
      <c r="V362" s="6">
        <f>2*sigma/alpha*corel*(B362/12-1/alpha*(1-EXP(-alpha*Output!B362/12)))</f>
        <v>1.5011466914546405</v>
      </c>
      <c r="W362" s="5">
        <f t="shared" si="74"/>
        <v>-0.31230289943821077</v>
      </c>
      <c r="X362" s="1">
        <f t="shared" si="75"/>
        <v>38.792880623535872</v>
      </c>
      <c r="Y362" s="3">
        <f t="shared" si="76"/>
        <v>8.080763093644952E-2</v>
      </c>
      <c r="Z362" s="1">
        <f t="shared" si="66"/>
        <v>0.15373621803565665</v>
      </c>
      <c r="AA362" s="8">
        <f t="shared" si="71"/>
        <v>29.166666666666522</v>
      </c>
      <c r="AB362" s="1">
        <v>29.25</v>
      </c>
      <c r="AC362" s="1">
        <v>7.6280942930000003E-3</v>
      </c>
      <c r="AD362" s="8">
        <f t="shared" si="67"/>
        <v>1.1833135776526462</v>
      </c>
      <c r="AE362" s="3">
        <f t="shared" si="68"/>
        <v>1.5512571452328877E-2</v>
      </c>
      <c r="AF362" s="11">
        <f t="shared" si="69"/>
        <v>29.166666666666522</v>
      </c>
      <c r="AG362" s="1">
        <f t="shared" si="70"/>
        <v>0.15373621803565665</v>
      </c>
    </row>
    <row r="363" spans="2:33" ht="15" x14ac:dyDescent="0.25">
      <c r="B363" s="1">
        <v>352</v>
      </c>
      <c r="C363" s="1">
        <v>1.0005936220542511</v>
      </c>
      <c r="D363" s="1">
        <v>1.1795682247455024</v>
      </c>
      <c r="E363" s="1">
        <v>0.8469303656135253</v>
      </c>
      <c r="G363" s="1">
        <v>1.0006515800817988</v>
      </c>
      <c r="H363" s="1">
        <v>3.9695575492022579</v>
      </c>
      <c r="I363" s="1">
        <v>0.21230855360061146</v>
      </c>
      <c r="K363" s="1">
        <v>0.99880795291062241</v>
      </c>
      <c r="L363" s="1">
        <v>4.8375689124683454</v>
      </c>
      <c r="M363" s="1">
        <v>0.17133300925029735</v>
      </c>
      <c r="O363" s="1">
        <v>7.5088964879917557E-3</v>
      </c>
      <c r="P363" s="1">
        <v>0.80230939705376858</v>
      </c>
      <c r="R363" s="1">
        <v>0.20177151094767973</v>
      </c>
      <c r="S363" s="2">
        <f t="shared" si="72"/>
        <v>0.83327732153747336</v>
      </c>
      <c r="T363" s="4">
        <f t="shared" si="73"/>
        <v>0.69435109458866573</v>
      </c>
      <c r="U363" s="1">
        <f t="shared" si="65"/>
        <v>0.38149648858625262</v>
      </c>
      <c r="V363" s="6">
        <f>2*sigma/alpha*corel*(B363/12-1/alpha*(1-EXP(-alpha*Output!B363/12)))</f>
        <v>1.5083357514827136</v>
      </c>
      <c r="W363" s="5">
        <f t="shared" si="74"/>
        <v>-0.3128546060024131</v>
      </c>
      <c r="X363" s="1">
        <f t="shared" si="75"/>
        <v>38.983350510150721</v>
      </c>
      <c r="Y363" s="3">
        <f t="shared" si="76"/>
        <v>8.071583656668907E-2</v>
      </c>
      <c r="Z363" s="1">
        <f t="shared" si="66"/>
        <v>0.15385402186096866</v>
      </c>
      <c r="AA363" s="8">
        <f t="shared" si="71"/>
        <v>29.249999999999854</v>
      </c>
      <c r="AB363" s="1">
        <v>29.33</v>
      </c>
      <c r="AC363" s="1">
        <v>7.6275807940000004E-3</v>
      </c>
      <c r="AD363" s="8">
        <f t="shared" si="67"/>
        <v>1.1868430600824476</v>
      </c>
      <c r="AE363" s="3">
        <f t="shared" si="68"/>
        <v>1.5559888412011849E-2</v>
      </c>
      <c r="AF363" s="11">
        <f t="shared" si="69"/>
        <v>29.249999999999854</v>
      </c>
      <c r="AG363" s="1">
        <f t="shared" si="70"/>
        <v>0.15385402186096866</v>
      </c>
    </row>
    <row r="364" spans="2:33" ht="15" x14ac:dyDescent="0.25">
      <c r="B364" s="1">
        <v>353</v>
      </c>
      <c r="C364" s="1">
        <v>1.0005957643181882</v>
      </c>
      <c r="D364" s="1">
        <v>1.1812215084682944</v>
      </c>
      <c r="E364" s="1">
        <v>0.84574329948134785</v>
      </c>
      <c r="G364" s="1">
        <v>1.0006743267392233</v>
      </c>
      <c r="H364" s="1">
        <v>4.0698015406824908</v>
      </c>
      <c r="I364" s="1">
        <v>0.20697896974250604</v>
      </c>
      <c r="K364" s="1">
        <v>0.99854917270973809</v>
      </c>
      <c r="L364" s="1">
        <v>4.9175330783278675</v>
      </c>
      <c r="M364" s="1">
        <v>0.1684597642445223</v>
      </c>
      <c r="O364" s="1">
        <v>7.5081003633796833E-3</v>
      </c>
      <c r="P364" s="1">
        <v>0.80182629392612803</v>
      </c>
      <c r="R364" s="1">
        <v>0.2020989483940098</v>
      </c>
      <c r="S364" s="2">
        <f t="shared" si="72"/>
        <v>0.83516909458654531</v>
      </c>
      <c r="T364" s="4">
        <f t="shared" si="73"/>
        <v>0.69750741655250992</v>
      </c>
      <c r="U364" s="1">
        <f t="shared" si="65"/>
        <v>0.38398467136492798</v>
      </c>
      <c r="V364" s="6">
        <f>2*sigma/alpha*corel*(B364/12-1/alpha*(1-EXP(-alpha*Output!B364/12)))</f>
        <v>1.5155355522883407</v>
      </c>
      <c r="W364" s="5">
        <f t="shared" si="74"/>
        <v>-0.31352274518758194</v>
      </c>
      <c r="X364" s="1">
        <f t="shared" si="75"/>
        <v>39.188024360655398</v>
      </c>
      <c r="Y364" s="3">
        <f t="shared" si="76"/>
        <v>8.0643031312877131E-2</v>
      </c>
      <c r="Z364" s="1">
        <f t="shared" si="66"/>
        <v>0.15398474041087784</v>
      </c>
      <c r="AA364" s="8">
        <f t="shared" si="71"/>
        <v>29.333333333333186</v>
      </c>
      <c r="AB364" s="1">
        <v>29.42</v>
      </c>
      <c r="AC364" s="1">
        <v>7.6270642409999997E-3</v>
      </c>
      <c r="AD364" s="8">
        <f t="shared" si="67"/>
        <v>1.1896387762031639</v>
      </c>
      <c r="AE364" s="3">
        <f t="shared" si="68"/>
        <v>1.559759743215678E-2</v>
      </c>
      <c r="AF364" s="11">
        <f t="shared" si="69"/>
        <v>29.333333333333186</v>
      </c>
      <c r="AG364" s="1">
        <f t="shared" si="70"/>
        <v>0.15398474041087784</v>
      </c>
    </row>
    <row r="365" spans="2:33" ht="15" x14ac:dyDescent="0.25">
      <c r="B365" s="1">
        <v>354</v>
      </c>
      <c r="C365" s="1">
        <v>1.0005974544784124</v>
      </c>
      <c r="D365" s="1">
        <v>1.1793206121367321</v>
      </c>
      <c r="E365" s="1">
        <v>0.84710484149538956</v>
      </c>
      <c r="G365" s="1">
        <v>1.0006509351193131</v>
      </c>
      <c r="H365" s="1">
        <v>4.0095812029110593</v>
      </c>
      <c r="I365" s="1">
        <v>0.20998597916712314</v>
      </c>
      <c r="K365" s="1">
        <v>0.99868092209127246</v>
      </c>
      <c r="L365" s="1">
        <v>4.9988684431064243</v>
      </c>
      <c r="M365" s="1">
        <v>0.16562460463295867</v>
      </c>
      <c r="O365" s="1">
        <v>7.5073038136850472E-3</v>
      </c>
      <c r="P365" s="1">
        <v>0.80134359807154987</v>
      </c>
      <c r="R365" s="1">
        <v>0.20248527300559377</v>
      </c>
      <c r="S365" s="2">
        <f t="shared" si="72"/>
        <v>0.83724841952528073</v>
      </c>
      <c r="T365" s="4">
        <f t="shared" si="73"/>
        <v>0.7009849159975805</v>
      </c>
      <c r="U365" s="1">
        <f t="shared" si="65"/>
        <v>0.386480258756424</v>
      </c>
      <c r="V365" s="6">
        <f>2*sigma/alpha*corel*(B365/12-1/alpha*(1-EXP(-alpha*Output!B365/12)))</f>
        <v>1.5227460581285355</v>
      </c>
      <c r="W365" s="5">
        <f t="shared" si="74"/>
        <v>-0.3145046572411565</v>
      </c>
      <c r="X365" s="1">
        <f t="shared" si="75"/>
        <v>39.430305112002458</v>
      </c>
      <c r="Y365" s="3">
        <f t="shared" si="76"/>
        <v>8.0620498497366466E-2</v>
      </c>
      <c r="Z365" s="1">
        <f t="shared" si="66"/>
        <v>0.15414992877809208</v>
      </c>
      <c r="AA365" s="8">
        <f t="shared" si="71"/>
        <v>29.416666666666519</v>
      </c>
      <c r="AB365" s="1">
        <v>29.5</v>
      </c>
      <c r="AC365" s="1">
        <v>7.6265455390000002E-3</v>
      </c>
      <c r="AD365" s="8">
        <f t="shared" si="67"/>
        <v>1.1924172531495303</v>
      </c>
      <c r="AE365" s="3">
        <f t="shared" si="68"/>
        <v>1.56350899244205E-2</v>
      </c>
      <c r="AF365" s="11">
        <f t="shared" si="69"/>
        <v>29.416666666666519</v>
      </c>
      <c r="AG365" s="1">
        <f t="shared" si="70"/>
        <v>0.15414992877809208</v>
      </c>
    </row>
    <row r="366" spans="2:33" ht="15" x14ac:dyDescent="0.25">
      <c r="B366" s="1">
        <v>355</v>
      </c>
      <c r="C366" s="1">
        <v>1.0006042991157444</v>
      </c>
      <c r="D366" s="1">
        <v>1.1836954872915011</v>
      </c>
      <c r="E366" s="1">
        <v>0.84397231507292392</v>
      </c>
      <c r="G366" s="1">
        <v>1.0010434857062167</v>
      </c>
      <c r="H366" s="1">
        <v>4.1463074445461467</v>
      </c>
      <c r="I366" s="1">
        <v>0.20296337115776986</v>
      </c>
      <c r="K366" s="1">
        <v>0.99857220348033771</v>
      </c>
      <c r="L366" s="1">
        <v>5.0660651201007774</v>
      </c>
      <c r="M366" s="1">
        <v>0.16334298492469065</v>
      </c>
      <c r="O366" s="1">
        <v>7.5064472639780784E-3</v>
      </c>
      <c r="P366" s="1">
        <v>0.80086272064904762</v>
      </c>
      <c r="R366" s="1">
        <v>0.20304532059381822</v>
      </c>
      <c r="S366" s="2">
        <f t="shared" si="72"/>
        <v>0.83987700102299478</v>
      </c>
      <c r="T366" s="4">
        <f t="shared" si="73"/>
        <v>0.70539337684737957</v>
      </c>
      <c r="U366" s="1">
        <f t="shared" si="65"/>
        <v>0.38898323706632976</v>
      </c>
      <c r="V366" s="6">
        <f>2*sigma/alpha*corel*(B366/12-1/alpha*(1-EXP(-alpha*Output!B366/12)))</f>
        <v>1.5299672333792542</v>
      </c>
      <c r="W366" s="5">
        <f t="shared" si="74"/>
        <v>-0.31641013978104982</v>
      </c>
      <c r="X366" s="1">
        <f t="shared" si="75"/>
        <v>39.782666275971735</v>
      </c>
      <c r="Y366" s="3">
        <f t="shared" si="76"/>
        <v>8.0744500483255668E-2</v>
      </c>
      <c r="Z366" s="1">
        <f t="shared" si="66"/>
        <v>0.1544159420559878</v>
      </c>
      <c r="AA366" s="8">
        <f t="shared" si="71"/>
        <v>29.499999999999851</v>
      </c>
      <c r="AB366" s="1">
        <v>29.58</v>
      </c>
      <c r="AC366" s="1">
        <v>7.6260255949999996E-3</v>
      </c>
      <c r="AD366" s="8">
        <f t="shared" si="67"/>
        <v>1.1957833102192121</v>
      </c>
      <c r="AE366" s="3">
        <f t="shared" si="68"/>
        <v>1.5680295001936882E-2</v>
      </c>
      <c r="AF366" s="11">
        <f t="shared" si="69"/>
        <v>29.499999999999851</v>
      </c>
      <c r="AG366" s="1">
        <f t="shared" si="70"/>
        <v>0.1544159420559878</v>
      </c>
    </row>
    <row r="367" spans="2:33" ht="15" x14ac:dyDescent="0.25">
      <c r="B367" s="1">
        <v>356</v>
      </c>
      <c r="C367" s="1">
        <v>1.0006050143282852</v>
      </c>
      <c r="D367" s="1">
        <v>1.1841001615126909</v>
      </c>
      <c r="E367" s="1">
        <v>0.84368220684980355</v>
      </c>
      <c r="G367" s="1">
        <v>1.0009225702061408</v>
      </c>
      <c r="H367" s="1">
        <v>4.1597561638648077</v>
      </c>
      <c r="I367" s="1">
        <v>0.20220931278468807</v>
      </c>
      <c r="K367" s="1">
        <v>0.99878395937803133</v>
      </c>
      <c r="L367" s="1">
        <v>4.9949416886889058</v>
      </c>
      <c r="M367" s="1">
        <v>0.16558079121517127</v>
      </c>
      <c r="O367" s="1">
        <v>7.5055329939409388E-3</v>
      </c>
      <c r="P367" s="1">
        <v>0.80038361660850776</v>
      </c>
      <c r="R367" s="1">
        <v>0.20348879449067392</v>
      </c>
      <c r="S367" s="2">
        <f t="shared" si="72"/>
        <v>0.84213584071409131</v>
      </c>
      <c r="T367" s="4">
        <f t="shared" si="73"/>
        <v>0.70919277421522942</v>
      </c>
      <c r="U367" s="1">
        <f t="shared" si="65"/>
        <v>0.39149359257307426</v>
      </c>
      <c r="V367" s="6">
        <f>2*sigma/alpha*corel*(B367/12-1/alpha*(1-EXP(-alpha*Output!B367/12)))</f>
        <v>1.5371990425350055</v>
      </c>
      <c r="W367" s="5">
        <f t="shared" si="74"/>
        <v>-0.31769918164215516</v>
      </c>
      <c r="X367" s="1">
        <f t="shared" si="75"/>
        <v>40.063283784572945</v>
      </c>
      <c r="Y367" s="3">
        <f t="shared" si="76"/>
        <v>8.0770067241690502E-2</v>
      </c>
      <c r="Z367" s="1">
        <f t="shared" si="66"/>
        <v>0.15461362945015328</v>
      </c>
      <c r="AA367" s="8">
        <f t="shared" si="71"/>
        <v>29.583333333333183</v>
      </c>
      <c r="AB367" s="1">
        <v>29.67</v>
      </c>
      <c r="AC367" s="1">
        <v>7.6255053179999999E-3</v>
      </c>
      <c r="AD367" s="8">
        <f t="shared" si="67"/>
        <v>1.1997232405906115</v>
      </c>
      <c r="AE367" s="3">
        <f t="shared" si="68"/>
        <v>1.5733032639275273E-2</v>
      </c>
      <c r="AF367" s="11">
        <f t="shared" si="69"/>
        <v>29.583333333333183</v>
      </c>
      <c r="AG367" s="1">
        <f t="shared" si="70"/>
        <v>0.15461362945015328</v>
      </c>
    </row>
    <row r="368" spans="2:33" ht="15" x14ac:dyDescent="0.25">
      <c r="B368" s="1">
        <v>357</v>
      </c>
      <c r="C368" s="1">
        <v>1.0006104338060837</v>
      </c>
      <c r="D368" s="1">
        <v>1.1849289953604683</v>
      </c>
      <c r="E368" s="1">
        <v>0.84309039187888257</v>
      </c>
      <c r="G368" s="1">
        <v>1.0011736581598238</v>
      </c>
      <c r="H368" s="1">
        <v>4.1858535121072906</v>
      </c>
      <c r="I368" s="1">
        <v>0.20085139828486745</v>
      </c>
      <c r="K368" s="1">
        <v>0.99893753054931966</v>
      </c>
      <c r="L368" s="1">
        <v>4.8623589469963546</v>
      </c>
      <c r="M368" s="1">
        <v>0.17000427780482122</v>
      </c>
      <c r="O368" s="1">
        <v>7.5046537651788578E-3</v>
      </c>
      <c r="P368" s="1">
        <v>0.79990408719011252</v>
      </c>
      <c r="R368" s="1">
        <v>0.20407510629028749</v>
      </c>
      <c r="S368" s="2">
        <f t="shared" si="72"/>
        <v>0.84485109488881749</v>
      </c>
      <c r="T368" s="4">
        <f t="shared" si="73"/>
        <v>0.71377337253483364</v>
      </c>
      <c r="U368" s="1">
        <f t="shared" si="65"/>
        <v>0.39401131152849445</v>
      </c>
      <c r="V368" s="6">
        <f>2*sigma/alpha*corel*(B368/12-1/alpha*(1-EXP(-alpha*Output!B368/12)))</f>
        <v>1.54444145020845</v>
      </c>
      <c r="W368" s="5">
        <f t="shared" si="74"/>
        <v>-0.31976206100633919</v>
      </c>
      <c r="X368" s="1">
        <f t="shared" si="75"/>
        <v>40.436984652876347</v>
      </c>
      <c r="Y368" s="3">
        <f t="shared" si="76"/>
        <v>8.0917087392921375E-2</v>
      </c>
      <c r="Z368" s="1">
        <f t="shared" si="66"/>
        <v>0.15489474577944357</v>
      </c>
      <c r="AA368" s="8">
        <f t="shared" si="71"/>
        <v>29.666666666666515</v>
      </c>
      <c r="AB368" s="1">
        <v>29.75</v>
      </c>
      <c r="AC368" s="1">
        <v>7.6249856169999996E-3</v>
      </c>
      <c r="AD368" s="8">
        <f t="shared" si="67"/>
        <v>1.2033185182114183</v>
      </c>
      <c r="AE368" s="3">
        <f t="shared" si="68"/>
        <v>1.5781256236452497E-2</v>
      </c>
      <c r="AF368" s="11">
        <f t="shared" si="69"/>
        <v>29.666666666666515</v>
      </c>
      <c r="AG368" s="1">
        <f t="shared" si="70"/>
        <v>0.15489474577944357</v>
      </c>
    </row>
    <row r="369" spans="2:33" ht="15" x14ac:dyDescent="0.25">
      <c r="B369" s="1">
        <v>358</v>
      </c>
      <c r="C369" s="1">
        <v>1.0006114448949082</v>
      </c>
      <c r="D369" s="1">
        <v>1.1874231009766869</v>
      </c>
      <c r="E369" s="1">
        <v>0.84131785829884775</v>
      </c>
      <c r="G369" s="1">
        <v>1.001105057490927</v>
      </c>
      <c r="H369" s="1">
        <v>4.2628101521912161</v>
      </c>
      <c r="I369" s="1">
        <v>0.1971300134101002</v>
      </c>
      <c r="K369" s="1">
        <v>0.99892990068144494</v>
      </c>
      <c r="L369" s="1">
        <v>4.743782251285694</v>
      </c>
      <c r="M369" s="1">
        <v>0.17416270181997429</v>
      </c>
      <c r="O369" s="1">
        <v>7.5036902626308055E-3</v>
      </c>
      <c r="P369" s="1">
        <v>0.7994269721069025</v>
      </c>
      <c r="R369" s="1">
        <v>0.20458269038647978</v>
      </c>
      <c r="S369" s="2">
        <f t="shared" si="72"/>
        <v>0.84731518413588458</v>
      </c>
      <c r="T369" s="4">
        <f t="shared" si="73"/>
        <v>0.71794302126722798</v>
      </c>
      <c r="U369" s="1">
        <f t="shared" si="65"/>
        <v>0.39653638015840986</v>
      </c>
      <c r="V369" s="6">
        <f>2*sigma/alpha*corel*(B369/12-1/alpha*(1-EXP(-alpha*Output!B369/12)))</f>
        <v>1.5516944211300112</v>
      </c>
      <c r="W369" s="5">
        <f t="shared" si="74"/>
        <v>-0.32140664110881811</v>
      </c>
      <c r="X369" s="1">
        <f t="shared" si="75"/>
        <v>40.762281415551634</v>
      </c>
      <c r="Y369" s="3">
        <f t="shared" si="76"/>
        <v>8.0997320589559177E-2</v>
      </c>
      <c r="Z369" s="1">
        <f t="shared" si="66"/>
        <v>0.15512939503681464</v>
      </c>
      <c r="AA369" s="8">
        <f t="shared" si="71"/>
        <v>29.749999999999847</v>
      </c>
      <c r="AB369" s="1">
        <v>29.83</v>
      </c>
      <c r="AC369" s="1">
        <v>7.6244674060000003E-3</v>
      </c>
      <c r="AD369" s="8">
        <f t="shared" si="67"/>
        <v>1.2077714336919485</v>
      </c>
      <c r="AE369" s="3">
        <f t="shared" si="68"/>
        <v>1.5840731809562261E-2</v>
      </c>
      <c r="AF369" s="11">
        <f t="shared" si="69"/>
        <v>29.749999999999847</v>
      </c>
      <c r="AG369" s="1">
        <f t="shared" si="70"/>
        <v>0.15512939503681464</v>
      </c>
    </row>
    <row r="370" spans="2:33" ht="15" x14ac:dyDescent="0.25">
      <c r="B370" s="1">
        <v>359</v>
      </c>
      <c r="C370" s="1">
        <v>1.0006136217141639</v>
      </c>
      <c r="D370" s="1">
        <v>1.1837469426499916</v>
      </c>
      <c r="E370" s="1">
        <v>0.84392890864562931</v>
      </c>
      <c r="G370" s="1">
        <v>1.0010720668073199</v>
      </c>
      <c r="H370" s="1">
        <v>4.1419307911363763</v>
      </c>
      <c r="I370" s="1">
        <v>0.20278496975694638</v>
      </c>
      <c r="K370" s="1">
        <v>0.99881260720685971</v>
      </c>
      <c r="L370" s="1">
        <v>4.9437639787689101</v>
      </c>
      <c r="M370" s="1">
        <v>0.16702857834785517</v>
      </c>
      <c r="O370" s="1">
        <v>7.5026384381289089E-3</v>
      </c>
      <c r="P370" s="1">
        <v>0.79895238097259202</v>
      </c>
      <c r="R370" s="1">
        <v>0.20496347774947676</v>
      </c>
      <c r="S370" s="2">
        <f t="shared" si="72"/>
        <v>0.84937453089413362</v>
      </c>
      <c r="T370" s="4">
        <f t="shared" si="73"/>
        <v>0.72143709373162956</v>
      </c>
      <c r="U370" s="1">
        <f t="shared" si="65"/>
        <v>0.39906878466318352</v>
      </c>
      <c r="V370" s="6">
        <f>2*sigma/alpha*corel*(B370/12-1/alpha*(1-EXP(-alpha*Output!B370/12)))</f>
        <v>1.5589579201474812</v>
      </c>
      <c r="W370" s="5">
        <f t="shared" si="74"/>
        <v>-0.32236830906844605</v>
      </c>
      <c r="X370" s="1">
        <f t="shared" si="75"/>
        <v>41.007090781981269</v>
      </c>
      <c r="Y370" s="3">
        <f t="shared" si="76"/>
        <v>8.0970250535864652E-2</v>
      </c>
      <c r="Z370" s="1">
        <f t="shared" si="66"/>
        <v>0.15528969356323213</v>
      </c>
      <c r="AA370" s="8">
        <f t="shared" si="71"/>
        <v>29.833333333333179</v>
      </c>
      <c r="AB370" s="1">
        <v>29.92</v>
      </c>
      <c r="AC370" s="1">
        <v>7.6239515959999997E-3</v>
      </c>
      <c r="AD370" s="8">
        <f t="shared" si="67"/>
        <v>1.2131315787109083</v>
      </c>
      <c r="AE370" s="3">
        <f t="shared" si="68"/>
        <v>1.5912110188991663E-2</v>
      </c>
      <c r="AF370" s="11">
        <f t="shared" si="69"/>
        <v>29.833333333333179</v>
      </c>
      <c r="AG370" s="1">
        <f t="shared" si="70"/>
        <v>0.15528969356323213</v>
      </c>
    </row>
    <row r="371" spans="2:33" ht="15" x14ac:dyDescent="0.25">
      <c r="B371" s="1">
        <v>360</v>
      </c>
      <c r="C371" s="1">
        <v>1.0006126649303446</v>
      </c>
      <c r="D371" s="1">
        <v>1.1851441894099377</v>
      </c>
      <c r="E371" s="1">
        <v>0.84293225764660284</v>
      </c>
      <c r="G371" s="1">
        <v>1.0008264795938526</v>
      </c>
      <c r="H371" s="1">
        <v>4.1884421146301154</v>
      </c>
      <c r="I371" s="1">
        <v>0.20043609808336244</v>
      </c>
      <c r="K371" s="1">
        <v>0.99890690555451334</v>
      </c>
      <c r="L371" s="1">
        <v>4.9845541903360289</v>
      </c>
      <c r="M371" s="1">
        <v>0.16557409122782174</v>
      </c>
      <c r="O371" s="1">
        <v>7.5015883853212905E-3</v>
      </c>
      <c r="P371" s="1">
        <v>0.79847816912272584</v>
      </c>
      <c r="R371" s="1">
        <v>0.20534996950649217</v>
      </c>
      <c r="S371" s="2">
        <f t="shared" si="72"/>
        <v>0.85145346206142403</v>
      </c>
      <c r="T371" s="4">
        <f t="shared" si="73"/>
        <v>0.72497299805638482</v>
      </c>
      <c r="U371" s="1">
        <f t="shared" si="65"/>
        <v>0.4016085112182779</v>
      </c>
      <c r="V371" s="6">
        <f>2*sigma/alpha*corel*(B371/12-1/alpha*(1-EXP(-alpha*Output!B371/12)))</f>
        <v>1.5662319122256321</v>
      </c>
      <c r="W371" s="5">
        <f t="shared" si="74"/>
        <v>-0.32336448683810692</v>
      </c>
      <c r="X371" s="1">
        <f t="shared" si="75"/>
        <v>41.256820823446795</v>
      </c>
      <c r="Y371" s="3">
        <f t="shared" si="76"/>
        <v>8.0948589259054085E-2</v>
      </c>
      <c r="Z371" s="1">
        <f t="shared" si="66"/>
        <v>0.15545342261230369</v>
      </c>
      <c r="AA371" s="8">
        <f t="shared" si="71"/>
        <v>29.916666666666512</v>
      </c>
      <c r="AB371" s="1">
        <v>30</v>
      </c>
      <c r="AC371" s="1">
        <v>7.6234390999999997E-3</v>
      </c>
      <c r="AD371" s="8">
        <f t="shared" si="67"/>
        <v>1.2185071467870918</v>
      </c>
      <c r="AE371" s="3">
        <f t="shared" si="68"/>
        <v>1.5983693590299577E-2</v>
      </c>
      <c r="AF371" s="11">
        <f t="shared" si="69"/>
        <v>29.916666666666512</v>
      </c>
      <c r="AG371" s="1">
        <f t="shared" si="70"/>
        <v>0.15545342261230369</v>
      </c>
    </row>
    <row r="372" spans="2:33" ht="15" x14ac:dyDescent="0.25">
      <c r="B372" s="1">
        <v>361</v>
      </c>
      <c r="C372" s="1">
        <v>1.0006169931427888</v>
      </c>
      <c r="D372" s="1">
        <v>1.1843681475512557</v>
      </c>
      <c r="E372" s="1">
        <v>0.84348288759486589</v>
      </c>
      <c r="G372" s="1">
        <v>1.0010028567832991</v>
      </c>
      <c r="H372" s="1">
        <v>4.1606918142516598</v>
      </c>
      <c r="I372" s="1">
        <v>0.20167532522239243</v>
      </c>
      <c r="K372" s="1">
        <v>0.99886279760364394</v>
      </c>
      <c r="L372" s="1">
        <v>5.1037328900577963</v>
      </c>
      <c r="M372" s="1">
        <v>0.16162190967025017</v>
      </c>
      <c r="O372" s="1">
        <v>7.5004738903777166E-3</v>
      </c>
      <c r="P372" s="1">
        <v>0.79800592543544446</v>
      </c>
      <c r="R372" s="1">
        <v>0.2056462774483005</v>
      </c>
      <c r="S372" s="2">
        <f t="shared" si="72"/>
        <v>0.85324397759561155</v>
      </c>
      <c r="T372" s="4">
        <f t="shared" si="73"/>
        <v>0.72802528530318045</v>
      </c>
      <c r="U372" s="1">
        <f t="shared" si="65"/>
        <v>0.40415554597481451</v>
      </c>
      <c r="V372" s="6">
        <f>2*sigma/alpha*corel*(B372/12-1/alpha*(1-EXP(-alpha*Output!B372/12)))</f>
        <v>1.5735163624458233</v>
      </c>
      <c r="W372" s="5">
        <f t="shared" si="74"/>
        <v>-0.32386973932836594</v>
      </c>
      <c r="X372" s="1">
        <f t="shared" si="75"/>
        <v>41.448279042064769</v>
      </c>
      <c r="Y372" s="3">
        <f t="shared" si="76"/>
        <v>8.0850705116612992E-2</v>
      </c>
      <c r="Z372" s="1">
        <f t="shared" si="66"/>
        <v>0.1555644126787116</v>
      </c>
      <c r="AA372" s="8">
        <f t="shared" si="71"/>
        <v>29.999999999999844</v>
      </c>
      <c r="AB372" s="1">
        <v>30.08</v>
      </c>
      <c r="AC372" s="1">
        <v>7.6229308300000001E-3</v>
      </c>
      <c r="AD372" s="8">
        <f t="shared" si="67"/>
        <v>1.2245693962228359</v>
      </c>
      <c r="AE372" s="3">
        <f t="shared" si="68"/>
        <v>1.6064285817779564E-2</v>
      </c>
      <c r="AF372" s="11">
        <f t="shared" si="69"/>
        <v>29.999999999999844</v>
      </c>
      <c r="AG372" s="1">
        <f t="shared" si="70"/>
        <v>0.1555644126787116</v>
      </c>
    </row>
    <row r="373" spans="2:33" ht="15" x14ac:dyDescent="0.25">
      <c r="B373" s="1">
        <v>362</v>
      </c>
      <c r="C373" s="1">
        <v>1.0006187062490042</v>
      </c>
      <c r="D373" s="1">
        <v>1.1838333013184272</v>
      </c>
      <c r="E373" s="1">
        <v>0.84386227151949256</v>
      </c>
      <c r="G373" s="1">
        <v>1.0009673673807495</v>
      </c>
      <c r="H373" s="1">
        <v>4.163979269475341</v>
      </c>
      <c r="I373" s="1">
        <v>0.20141861826441443</v>
      </c>
      <c r="K373" s="1">
        <v>0.99885255699754405</v>
      </c>
      <c r="L373" s="1">
        <v>4.8681542126729385</v>
      </c>
      <c r="M373" s="1">
        <v>0.1693513865977001</v>
      </c>
      <c r="O373" s="1">
        <v>7.4994547625287953E-3</v>
      </c>
      <c r="P373" s="1">
        <v>0.79753181475992596</v>
      </c>
      <c r="R373" s="1">
        <v>0.20611774852914849</v>
      </c>
      <c r="S373" s="2">
        <f t="shared" si="72"/>
        <v>0.85559749165870924</v>
      </c>
      <c r="T373" s="4">
        <f t="shared" si="73"/>
        <v>0.73204706773267503</v>
      </c>
      <c r="U373" s="1">
        <f t="shared" si="65"/>
        <v>0.40670987506011569</v>
      </c>
      <c r="V373" s="6">
        <f>2*sigma/alpha*corel*(B373/12-1/alpha*(1-EXP(-alpha*Output!B373/12)))</f>
        <v>1.5808112360056197</v>
      </c>
      <c r="W373" s="5">
        <f t="shared" si="74"/>
        <v>-0.32533719267255934</v>
      </c>
      <c r="X373" s="1">
        <f t="shared" si="75"/>
        <v>41.756318746370439</v>
      </c>
      <c r="Y373" s="3">
        <f t="shared" si="76"/>
        <v>8.0902238062365073E-2</v>
      </c>
      <c r="Z373" s="1">
        <f t="shared" si="66"/>
        <v>0.15577789838901254</v>
      </c>
      <c r="AA373" s="8">
        <f t="shared" si="71"/>
        <v>30.083333333333176</v>
      </c>
      <c r="AB373" s="1">
        <v>30.17</v>
      </c>
      <c r="AC373" s="1">
        <v>7.6224275019999999E-3</v>
      </c>
      <c r="AD373" s="8">
        <f t="shared" si="67"/>
        <v>1.229727394712046</v>
      </c>
      <c r="AE373" s="3">
        <f t="shared" si="68"/>
        <v>1.6133015294529016E-2</v>
      </c>
      <c r="AF373" s="11">
        <f t="shared" si="69"/>
        <v>30.083333333333176</v>
      </c>
      <c r="AG373" s="1">
        <f t="shared" si="70"/>
        <v>0.15577789838901254</v>
      </c>
    </row>
    <row r="374" spans="2:33" ht="15" x14ac:dyDescent="0.25">
      <c r="B374" s="1">
        <v>363</v>
      </c>
      <c r="C374" s="1">
        <v>1.0006169154748921</v>
      </c>
      <c r="D374" s="1">
        <v>1.1872172176202285</v>
      </c>
      <c r="E374" s="1">
        <v>0.84145532444194227</v>
      </c>
      <c r="G374" s="1">
        <v>1.0006552265154487</v>
      </c>
      <c r="H374" s="1">
        <v>4.2463667231101745</v>
      </c>
      <c r="I374" s="1">
        <v>0.19741517340234624</v>
      </c>
      <c r="K374" s="1">
        <v>0.99915535299111968</v>
      </c>
      <c r="L374" s="1">
        <v>5.0425442413030357</v>
      </c>
      <c r="M374" s="1">
        <v>0.16340705930961441</v>
      </c>
      <c r="O374" s="1">
        <v>7.4984413324547267E-3</v>
      </c>
      <c r="P374" s="1">
        <v>0.79705798376760839</v>
      </c>
      <c r="R374" s="1">
        <v>0.20667616972705821</v>
      </c>
      <c r="S374" s="2">
        <f t="shared" si="72"/>
        <v>0.85823026660047685</v>
      </c>
      <c r="T374" s="4">
        <f t="shared" si="73"/>
        <v>0.73655919050912555</v>
      </c>
      <c r="U374" s="1">
        <f t="shared" si="65"/>
        <v>0.40927148457825258</v>
      </c>
      <c r="V374" s="6">
        <f>2*sigma/alpha*corel*(B374/12-1/alpha*(1-EXP(-alpha*Output!B374/12)))</f>
        <v>1.588116498218398</v>
      </c>
      <c r="W374" s="5">
        <f t="shared" si="74"/>
        <v>-0.32728770593087297</v>
      </c>
      <c r="X374" s="1">
        <f t="shared" si="75"/>
        <v>42.123926429549094</v>
      </c>
      <c r="Y374" s="3">
        <f t="shared" si="76"/>
        <v>8.1027740319849467E-2</v>
      </c>
      <c r="Z374" s="1">
        <f t="shared" si="66"/>
        <v>0.15604186665463216</v>
      </c>
      <c r="AA374" s="8">
        <f t="shared" si="71"/>
        <v>30.166666666666508</v>
      </c>
      <c r="AB374" s="1">
        <v>30.25</v>
      </c>
      <c r="AC374" s="1">
        <v>7.6219290380000002E-3</v>
      </c>
      <c r="AD374" s="8">
        <f t="shared" si="67"/>
        <v>1.2348770554527349</v>
      </c>
      <c r="AE374" s="3">
        <f t="shared" si="68"/>
        <v>1.6201634117768794E-2</v>
      </c>
      <c r="AF374" s="11">
        <f t="shared" si="69"/>
        <v>30.166666666666508</v>
      </c>
      <c r="AG374" s="1">
        <f t="shared" si="70"/>
        <v>0.15604186665463216</v>
      </c>
    </row>
    <row r="375" spans="2:33" ht="15" x14ac:dyDescent="0.25">
      <c r="B375" s="1">
        <v>364</v>
      </c>
      <c r="C375" s="1">
        <v>1.0006185879839924</v>
      </c>
      <c r="D375" s="1">
        <v>1.1904101312898996</v>
      </c>
      <c r="E375" s="1">
        <v>0.83919668433553807</v>
      </c>
      <c r="G375" s="1">
        <v>1.0006250756927177</v>
      </c>
      <c r="H375" s="1">
        <v>4.3498086283575006</v>
      </c>
      <c r="I375" s="1">
        <v>0.19262725381016213</v>
      </c>
      <c r="K375" s="1">
        <v>0.99950396963279475</v>
      </c>
      <c r="L375" s="1">
        <v>5.0665272882241759</v>
      </c>
      <c r="M375" s="1">
        <v>0.1625446294439159</v>
      </c>
      <c r="O375" s="1">
        <v>7.49738124653016E-3</v>
      </c>
      <c r="P375" s="1">
        <v>0.79658569618485897</v>
      </c>
      <c r="R375" s="1">
        <v>0.20710875386868577</v>
      </c>
      <c r="S375" s="2">
        <f t="shared" si="72"/>
        <v>0.86046182349562317</v>
      </c>
      <c r="T375" s="4">
        <f t="shared" si="73"/>
        <v>0.74039454969341301</v>
      </c>
      <c r="U375" s="1">
        <f t="shared" si="65"/>
        <v>0.4118403606105816</v>
      </c>
      <c r="V375" s="6">
        <f>2*sigma/alpha*corel*(B375/12-1/alpha*(1-EXP(-alpha*Output!B375/12)))</f>
        <v>1.5954321145129655</v>
      </c>
      <c r="W375" s="5">
        <f t="shared" si="74"/>
        <v>-0.3285541890828314</v>
      </c>
      <c r="X375" s="1">
        <f t="shared" si="75"/>
        <v>42.409978574069527</v>
      </c>
      <c r="Y375" s="3">
        <f t="shared" si="76"/>
        <v>8.1047180810706956E-2</v>
      </c>
      <c r="Z375" s="1">
        <f t="shared" si="66"/>
        <v>0.15623255591698637</v>
      </c>
      <c r="AA375" s="8">
        <f t="shared" si="71"/>
        <v>30.24999999999984</v>
      </c>
      <c r="AB375" s="1">
        <v>30.33</v>
      </c>
      <c r="AC375" s="1">
        <v>7.6214351680000004E-3</v>
      </c>
      <c r="AD375" s="8">
        <f t="shared" si="67"/>
        <v>1.2405392146984038</v>
      </c>
      <c r="AE375" s="3">
        <f t="shared" si="68"/>
        <v>1.6276976545139901E-2</v>
      </c>
      <c r="AF375" s="11">
        <f t="shared" si="69"/>
        <v>30.24999999999984</v>
      </c>
      <c r="AG375" s="1">
        <f t="shared" si="70"/>
        <v>0.15623255591698637</v>
      </c>
    </row>
    <row r="376" spans="2:33" ht="15" x14ac:dyDescent="0.25">
      <c r="B376" s="1">
        <v>365</v>
      </c>
      <c r="C376" s="1">
        <v>1.0006207299551031</v>
      </c>
      <c r="D376" s="1">
        <v>1.188478603690571</v>
      </c>
      <c r="E376" s="1">
        <v>0.84055885707402089</v>
      </c>
      <c r="G376" s="1">
        <v>1.0006216170045428</v>
      </c>
      <c r="H376" s="1">
        <v>4.2865640588706118</v>
      </c>
      <c r="I376" s="1">
        <v>0.19537474348695011</v>
      </c>
      <c r="K376" s="1">
        <v>0.99944341439207085</v>
      </c>
      <c r="L376" s="1">
        <v>5.1079664847617856</v>
      </c>
      <c r="M376" s="1">
        <v>0.1611429701776407</v>
      </c>
      <c r="O376" s="1">
        <v>7.4963710725175327E-3</v>
      </c>
      <c r="P376" s="1">
        <v>0.7961126204864073</v>
      </c>
      <c r="R376" s="1">
        <v>0.20743240687987774</v>
      </c>
      <c r="S376" s="2">
        <f t="shared" si="72"/>
        <v>0.86234941150535649</v>
      </c>
      <c r="T376" s="4">
        <f t="shared" si="73"/>
        <v>0.7436465075236347</v>
      </c>
      <c r="U376" s="1">
        <f t="shared" si="65"/>
        <v>0.4144164892162796</v>
      </c>
      <c r="V376" s="6">
        <f>2*sigma/alpha*corel*(B376/12-1/alpha*(1-EXP(-alpha*Output!B376/12)))</f>
        <v>1.6027580504331764</v>
      </c>
      <c r="W376" s="5">
        <f t="shared" si="74"/>
        <v>-0.3292300183073551</v>
      </c>
      <c r="X376" s="1">
        <f t="shared" si="75"/>
        <v>42.625152262289895</v>
      </c>
      <c r="Y376" s="3">
        <f t="shared" si="76"/>
        <v>8.0975934887762266E-2</v>
      </c>
      <c r="Z376" s="1">
        <f t="shared" si="66"/>
        <v>0.1563606481892004</v>
      </c>
      <c r="AA376" s="8">
        <f t="shared" si="71"/>
        <v>30.333333333333172</v>
      </c>
      <c r="AB376" s="1">
        <v>30.42</v>
      </c>
      <c r="AC376" s="1">
        <v>7.6209456179999998E-3</v>
      </c>
      <c r="AD376" s="8">
        <f t="shared" si="67"/>
        <v>1.2457454548246705</v>
      </c>
      <c r="AE376" s="3">
        <f t="shared" si="68"/>
        <v>1.6346337019940545E-2</v>
      </c>
      <c r="AF376" s="11">
        <f t="shared" si="69"/>
        <v>30.333333333333172</v>
      </c>
      <c r="AG376" s="1">
        <f t="shared" si="70"/>
        <v>0.1563606481892004</v>
      </c>
    </row>
    <row r="377" spans="2:33" ht="15" x14ac:dyDescent="0.25">
      <c r="B377" s="1">
        <v>366</v>
      </c>
      <c r="C377" s="1">
        <v>1.000620724393481</v>
      </c>
      <c r="D377" s="1">
        <v>1.1888306291138808</v>
      </c>
      <c r="E377" s="1">
        <v>0.840308258252355</v>
      </c>
      <c r="G377" s="1">
        <v>1.0004614185535128</v>
      </c>
      <c r="H377" s="1">
        <v>4.2938509509912359</v>
      </c>
      <c r="I377" s="1">
        <v>0.19494882843915132</v>
      </c>
      <c r="K377" s="1">
        <v>0.99958401781248407</v>
      </c>
      <c r="L377" s="1">
        <v>5.362083460541287</v>
      </c>
      <c r="M377" s="1">
        <v>0.1534226874093981</v>
      </c>
      <c r="O377" s="1">
        <v>7.4952746003268244E-3</v>
      </c>
      <c r="P377" s="1">
        <v>0.7956420538958402</v>
      </c>
      <c r="R377" s="1">
        <v>0.20783800895075524</v>
      </c>
      <c r="S377" s="2">
        <f t="shared" si="72"/>
        <v>0.86449617123549927</v>
      </c>
      <c r="T377" s="4">
        <f t="shared" si="73"/>
        <v>0.74735363008083766</v>
      </c>
      <c r="U377" s="1">
        <f t="shared" ref="U377:U440" si="77">sigma*sigma/alpha/alpha*(B377/12+2/alpha*EXP(-alpha*B377/12)-1/2/alpha*EXP(-2*alpha*B377/12)-3/2/alpha)</f>
        <v>0.41699985643287185</v>
      </c>
      <c r="V377" s="6">
        <f>2*sigma/alpha*corel*(B377/12-1/alpha*(1-EXP(-alpha*Output!B377/12)))</f>
        <v>1.6100942716375446</v>
      </c>
      <c r="W377" s="5">
        <f t="shared" si="74"/>
        <v>-0.33035377364796581</v>
      </c>
      <c r="X377" s="1">
        <f t="shared" si="75"/>
        <v>42.895563948611866</v>
      </c>
      <c r="Y377" s="3">
        <f t="shared" si="76"/>
        <v>8.0973380940807582E-2</v>
      </c>
      <c r="Z377" s="1">
        <f t="shared" si="66"/>
        <v>0.15653561162741356</v>
      </c>
      <c r="AA377" s="8">
        <f t="shared" si="71"/>
        <v>30.416666666666504</v>
      </c>
      <c r="AB377" s="1">
        <v>30.5</v>
      </c>
      <c r="AC377" s="1">
        <v>7.6204601140000003E-3</v>
      </c>
      <c r="AD377" s="8">
        <f t="shared" si="67"/>
        <v>1.2518551367317592</v>
      </c>
      <c r="AE377" s="3">
        <f t="shared" si="68"/>
        <v>1.6427553166138902E-2</v>
      </c>
      <c r="AF377" s="11">
        <f t="shared" si="69"/>
        <v>30.416666666666504</v>
      </c>
      <c r="AG377" s="1">
        <f t="shared" si="70"/>
        <v>0.15653561162741356</v>
      </c>
    </row>
    <row r="378" spans="2:33" ht="15" x14ac:dyDescent="0.25">
      <c r="B378" s="1">
        <v>367</v>
      </c>
      <c r="C378" s="1">
        <v>1.0006243268464694</v>
      </c>
      <c r="D378" s="1">
        <v>1.1872407866248715</v>
      </c>
      <c r="E378" s="1">
        <v>0.84143181410587597</v>
      </c>
      <c r="G378" s="1">
        <v>1.0005923339575375</v>
      </c>
      <c r="H378" s="1">
        <v>4.2398030953434453</v>
      </c>
      <c r="I378" s="1">
        <v>0.1973384723288715</v>
      </c>
      <c r="K378" s="1">
        <v>0.99965344585802451</v>
      </c>
      <c r="L378" s="1">
        <v>5.1393462078686394</v>
      </c>
      <c r="M378" s="1">
        <v>0.15998595546112793</v>
      </c>
      <c r="O378" s="1">
        <v>7.4940651242197606E-3</v>
      </c>
      <c r="P378" s="1">
        <v>0.795174658909794</v>
      </c>
      <c r="R378" s="1">
        <v>0.20820689057949346</v>
      </c>
      <c r="S378" s="2">
        <f t="shared" si="72"/>
        <v>0.86652203196577315</v>
      </c>
      <c r="T378" s="4">
        <f t="shared" si="73"/>
        <v>0.75086043188209239</v>
      </c>
      <c r="U378" s="1">
        <f t="shared" si="77"/>
        <v>0.41959044827675473</v>
      </c>
      <c r="V378" s="6">
        <f>2*sigma/alpha*corel*(B378/12-1/alpha*(1-EXP(-alpha*Output!B378/12)))</f>
        <v>1.6174407438988667</v>
      </c>
      <c r="W378" s="5">
        <f t="shared" si="74"/>
        <v>-0.33126998360533766</v>
      </c>
      <c r="X378" s="1">
        <f t="shared" si="75"/>
        <v>43.141475887743766</v>
      </c>
      <c r="Y378" s="3">
        <f t="shared" si="76"/>
        <v>8.0939123006711619E-2</v>
      </c>
      <c r="Z378" s="1">
        <f t="shared" si="66"/>
        <v>0.15668852789989529</v>
      </c>
      <c r="AA378" s="8">
        <f t="shared" si="71"/>
        <v>30.499999999999837</v>
      </c>
      <c r="AB378" s="1">
        <v>30.58</v>
      </c>
      <c r="AC378" s="1">
        <v>7.6199783859999997E-3</v>
      </c>
      <c r="AD378" s="8">
        <f t="shared" si="67"/>
        <v>1.2591326178023905</v>
      </c>
      <c r="AE378" s="3">
        <f t="shared" si="68"/>
        <v>1.6524096972712732E-2</v>
      </c>
      <c r="AF378" s="11">
        <f t="shared" si="69"/>
        <v>30.499999999999837</v>
      </c>
      <c r="AG378" s="1">
        <f t="shared" si="70"/>
        <v>0.15668852789989529</v>
      </c>
    </row>
    <row r="379" spans="2:33" ht="15" x14ac:dyDescent="0.25">
      <c r="B379" s="1">
        <v>368</v>
      </c>
      <c r="C379" s="1">
        <v>1.0006254464729232</v>
      </c>
      <c r="D379" s="1">
        <v>1.1850116655668501</v>
      </c>
      <c r="E379" s="1">
        <v>0.84301291553178126</v>
      </c>
      <c r="G379" s="1">
        <v>1.0005112952812831</v>
      </c>
      <c r="H379" s="1">
        <v>4.165606566946396</v>
      </c>
      <c r="I379" s="1">
        <v>0.20075624079323337</v>
      </c>
      <c r="K379" s="1">
        <v>0.9996480121699336</v>
      </c>
      <c r="L379" s="1">
        <v>5.3087912384891212</v>
      </c>
      <c r="M379" s="1">
        <v>0.15479930986341806</v>
      </c>
      <c r="O379" s="1">
        <v>7.4928638305279101E-3</v>
      </c>
      <c r="P379" s="1">
        <v>0.79470749927476592</v>
      </c>
      <c r="R379" s="1">
        <v>0.20878054593465561</v>
      </c>
      <c r="S379" s="2">
        <f t="shared" si="72"/>
        <v>0.86920483101005441</v>
      </c>
      <c r="T379" s="4">
        <f t="shared" si="73"/>
        <v>0.7555170382512173</v>
      </c>
      <c r="U379" s="1">
        <f t="shared" si="77"/>
        <v>0.42218825074372113</v>
      </c>
      <c r="V379" s="6">
        <f>2*sigma/alpha*corel*(B379/12-1/alpha*(1-EXP(-alpha*Output!B379/12)))</f>
        <v>1.6247974331038408</v>
      </c>
      <c r="W379" s="5">
        <f t="shared" si="74"/>
        <v>-0.33332878750749617</v>
      </c>
      <c r="X379" s="1">
        <f t="shared" si="75"/>
        <v>43.528297966207028</v>
      </c>
      <c r="Y379" s="3">
        <f t="shared" si="76"/>
        <v>8.1078268378361379E-2</v>
      </c>
      <c r="Z379" s="1">
        <f t="shared" si="66"/>
        <v>0.15695994763112586</v>
      </c>
      <c r="AA379" s="8">
        <f t="shared" si="71"/>
        <v>30.583333333333169</v>
      </c>
      <c r="AB379" s="1">
        <v>30.67</v>
      </c>
      <c r="AC379" s="1">
        <v>7.6195001590000002E-3</v>
      </c>
      <c r="AD379" s="8">
        <f t="shared" si="67"/>
        <v>1.266363284720901</v>
      </c>
      <c r="AE379" s="3">
        <f t="shared" si="68"/>
        <v>1.6620030950784851E-2</v>
      </c>
      <c r="AF379" s="11">
        <f t="shared" si="69"/>
        <v>30.583333333333169</v>
      </c>
      <c r="AG379" s="1">
        <f t="shared" si="70"/>
        <v>0.15695994763112586</v>
      </c>
    </row>
    <row r="380" spans="2:33" ht="15" x14ac:dyDescent="0.25">
      <c r="B380" s="1">
        <v>369</v>
      </c>
      <c r="C380" s="1">
        <v>1.0006296422167258</v>
      </c>
      <c r="D380" s="1">
        <v>1.1914761519318924</v>
      </c>
      <c r="E380" s="1">
        <v>0.83843734799245018</v>
      </c>
      <c r="G380" s="1">
        <v>1.000694636058286</v>
      </c>
      <c r="H380" s="1">
        <v>4.3738849277210194</v>
      </c>
      <c r="I380" s="1">
        <v>0.19110401228614463</v>
      </c>
      <c r="K380" s="1">
        <v>0.9998093402028736</v>
      </c>
      <c r="L380" s="1">
        <v>5.268261178012442</v>
      </c>
      <c r="M380" s="1">
        <v>0.15590503118846216</v>
      </c>
      <c r="O380" s="1">
        <v>7.4916356818656004E-3</v>
      </c>
      <c r="P380" s="1">
        <v>0.79424142898882499</v>
      </c>
      <c r="R380" s="1">
        <v>0.20920389711313611</v>
      </c>
      <c r="S380" s="2">
        <f t="shared" si="72"/>
        <v>0.87140738278582885</v>
      </c>
      <c r="T380" s="4">
        <f t="shared" si="73"/>
        <v>0.75935082677364807</v>
      </c>
      <c r="U380" s="1">
        <f t="shared" si="77"/>
        <v>0.4247932498094662</v>
      </c>
      <c r="V380" s="6">
        <f>2*sigma/alpha*corel*(B380/12-1/alpha*(1-EXP(-alpha*Output!B380/12)))</f>
        <v>1.6321643052526857</v>
      </c>
      <c r="W380" s="5">
        <f t="shared" si="74"/>
        <v>-0.33455757696418187</v>
      </c>
      <c r="X380" s="1">
        <f t="shared" si="75"/>
        <v>43.814542285935346</v>
      </c>
      <c r="Y380" s="3">
        <f t="shared" si="76"/>
        <v>8.1090912398972231E-2</v>
      </c>
      <c r="Z380" s="1">
        <f t="shared" si="66"/>
        <v>0.15714431529660031</v>
      </c>
      <c r="AA380" s="8">
        <f t="shared" si="71"/>
        <v>30.666666666666501</v>
      </c>
      <c r="AB380" s="1">
        <v>30.75</v>
      </c>
      <c r="AC380" s="1">
        <v>7.619025162E-3</v>
      </c>
      <c r="AD380" s="8">
        <f t="shared" si="67"/>
        <v>1.2738948013439957</v>
      </c>
      <c r="AE380" s="3">
        <f t="shared" si="68"/>
        <v>1.671991854939087E-2</v>
      </c>
      <c r="AF380" s="11">
        <f t="shared" si="69"/>
        <v>30.666666666666501</v>
      </c>
      <c r="AG380" s="1">
        <f t="shared" si="70"/>
        <v>0.15714431529660031</v>
      </c>
    </row>
    <row r="381" spans="2:33" ht="15" x14ac:dyDescent="0.25">
      <c r="B381" s="1">
        <v>370</v>
      </c>
      <c r="C381" s="1">
        <v>1.0006327933216967</v>
      </c>
      <c r="D381" s="1">
        <v>1.1956080333306365</v>
      </c>
      <c r="E381" s="1">
        <v>0.83553810178758647</v>
      </c>
      <c r="G381" s="1">
        <v>1.0007811426711604</v>
      </c>
      <c r="H381" s="1">
        <v>4.5111444375986531</v>
      </c>
      <c r="I381" s="1">
        <v>0.18519970026176927</v>
      </c>
      <c r="K381" s="1">
        <v>0.99990425404979666</v>
      </c>
      <c r="L381" s="1">
        <v>5.2553815931907177</v>
      </c>
      <c r="M381" s="1">
        <v>0.15620432109567933</v>
      </c>
      <c r="O381" s="1">
        <v>7.4904310584225399E-3</v>
      </c>
      <c r="P381" s="1">
        <v>0.79377521874341617</v>
      </c>
      <c r="R381" s="1">
        <v>0.2096328426812584</v>
      </c>
      <c r="S381" s="2">
        <f t="shared" si="72"/>
        <v>0.87363047165153684</v>
      </c>
      <c r="T381" s="4">
        <f t="shared" si="73"/>
        <v>0.76323020099808669</v>
      </c>
      <c r="U381" s="1">
        <f t="shared" si="77"/>
        <v>0.4274054314301039</v>
      </c>
      <c r="V381" s="6">
        <f>2*sigma/alpha*corel*(B381/12-1/alpha*(1-EXP(-alpha*Output!B381/12)))</f>
        <v>1.6395413264587635</v>
      </c>
      <c r="W381" s="5">
        <f t="shared" si="74"/>
        <v>-0.33582476956798279</v>
      </c>
      <c r="X381" s="1">
        <f t="shared" si="75"/>
        <v>44.106484007884035</v>
      </c>
      <c r="Y381" s="3">
        <f t="shared" si="76"/>
        <v>8.1109134129434685E-2</v>
      </c>
      <c r="Z381" s="1">
        <f t="shared" si="66"/>
        <v>0.15733217065896687</v>
      </c>
      <c r="AA381" s="8">
        <f t="shared" si="71"/>
        <v>30.749999999999833</v>
      </c>
      <c r="AB381" s="1">
        <v>30.83</v>
      </c>
      <c r="AC381" s="1">
        <v>7.6185531210000001E-3</v>
      </c>
      <c r="AD381" s="8">
        <f t="shared" si="67"/>
        <v>1.2812206257746019</v>
      </c>
      <c r="AE381" s="3">
        <f t="shared" si="68"/>
        <v>1.6817112192117008E-2</v>
      </c>
      <c r="AF381" s="11">
        <f t="shared" si="69"/>
        <v>30.749999999999833</v>
      </c>
      <c r="AG381" s="1">
        <f t="shared" si="70"/>
        <v>0.15733217065896687</v>
      </c>
    </row>
    <row r="382" spans="2:33" ht="15" x14ac:dyDescent="0.25">
      <c r="B382" s="1">
        <v>371</v>
      </c>
      <c r="C382" s="1">
        <v>1.0006321254683552</v>
      </c>
      <c r="D382" s="1">
        <v>1.1921553526955522</v>
      </c>
      <c r="E382" s="1">
        <v>0.83795624608429398</v>
      </c>
      <c r="G382" s="1">
        <v>1.000561526063199</v>
      </c>
      <c r="H382" s="1">
        <v>4.3933376523582233</v>
      </c>
      <c r="I382" s="1">
        <v>0.19007381111448385</v>
      </c>
      <c r="K382" s="1">
        <v>0.99982971297105294</v>
      </c>
      <c r="L382" s="1">
        <v>5.2532664173599466</v>
      </c>
      <c r="M382" s="1">
        <v>0.15618515115750808</v>
      </c>
      <c r="O382" s="1">
        <v>7.4892313036119375E-3</v>
      </c>
      <c r="P382" s="1">
        <v>0.79330932202061144</v>
      </c>
      <c r="R382" s="1">
        <v>0.21007873865104595</v>
      </c>
      <c r="S382" s="2">
        <f t="shared" si="72"/>
        <v>0.8759097468564867</v>
      </c>
      <c r="T382" s="4">
        <f t="shared" si="73"/>
        <v>0.76721788463819462</v>
      </c>
      <c r="U382" s="1">
        <f t="shared" si="77"/>
        <v>0.43002478154267276</v>
      </c>
      <c r="V382" s="6">
        <f>2*sigma/alpha*corel*(B382/12-1/alpha*(1-EXP(-alpha*Output!B382/12)))</f>
        <v>1.6469284629482055</v>
      </c>
      <c r="W382" s="5">
        <f t="shared" si="74"/>
        <v>-0.33719310309552186</v>
      </c>
      <c r="X382" s="1">
        <f t="shared" si="75"/>
        <v>44.411920444881808</v>
      </c>
      <c r="Y382" s="3">
        <f t="shared" si="76"/>
        <v>8.1142293110362446E-2</v>
      </c>
      <c r="Z382" s="1">
        <f t="shared" si="66"/>
        <v>0.1575299108692888</v>
      </c>
      <c r="AA382" s="8">
        <f t="shared" si="71"/>
        <v>30.833333333333165</v>
      </c>
      <c r="AB382" s="1">
        <v>30.92</v>
      </c>
      <c r="AC382" s="1">
        <v>7.6180837650000003E-3</v>
      </c>
      <c r="AD382" s="8">
        <f t="shared" si="67"/>
        <v>1.2885246138806279</v>
      </c>
      <c r="AE382" s="3">
        <f t="shared" si="68"/>
        <v>1.6914025280222525E-2</v>
      </c>
      <c r="AF382" s="11">
        <f t="shared" si="69"/>
        <v>30.833333333333165</v>
      </c>
      <c r="AG382" s="1">
        <f t="shared" si="70"/>
        <v>0.1575299108692888</v>
      </c>
    </row>
    <row r="383" spans="2:33" ht="15" x14ac:dyDescent="0.25">
      <c r="B383" s="1">
        <v>372</v>
      </c>
      <c r="C383" s="1">
        <v>1.0006264997715089</v>
      </c>
      <c r="D383" s="1">
        <v>1.1945436985859177</v>
      </c>
      <c r="E383" s="1">
        <v>0.8362791410913033</v>
      </c>
      <c r="G383" s="1">
        <v>0.99994900039924484</v>
      </c>
      <c r="H383" s="1">
        <v>4.4715948892228852</v>
      </c>
      <c r="I383" s="1">
        <v>0.18665699387792153</v>
      </c>
      <c r="K383" s="1">
        <v>0.99974027484294958</v>
      </c>
      <c r="L383" s="1">
        <v>5.3595971556227289</v>
      </c>
      <c r="M383" s="1">
        <v>0.15300328534651755</v>
      </c>
      <c r="O383" s="1">
        <v>7.488108903706242E-3</v>
      </c>
      <c r="P383" s="1">
        <v>0.79284195604766794</v>
      </c>
      <c r="R383" s="1">
        <v>0.2105003505642962</v>
      </c>
      <c r="S383" s="2">
        <f t="shared" si="72"/>
        <v>0.87811622837396852</v>
      </c>
      <c r="T383" s="4">
        <f t="shared" si="73"/>
        <v>0.77108811053372361</v>
      </c>
      <c r="U383" s="1">
        <f t="shared" si="77"/>
        <v>0.43265128606563019</v>
      </c>
      <c r="V383" s="6">
        <f>2*sigma/alpha*corel*(B383/12-1/alpha*(1-EXP(-alpha*Output!B383/12)))</f>
        <v>1.6543256810595333</v>
      </c>
      <c r="W383" s="5">
        <f t="shared" si="74"/>
        <v>-0.33843682446809342</v>
      </c>
      <c r="X383" s="1">
        <f t="shared" si="75"/>
        <v>44.70295969305667</v>
      </c>
      <c r="Y383" s="3">
        <f t="shared" si="76"/>
        <v>8.1156476080482154E-2</v>
      </c>
      <c r="Z383" s="1">
        <f t="shared" si="66"/>
        <v>0.15771433041171906</v>
      </c>
      <c r="AA383" s="8">
        <f t="shared" si="71"/>
        <v>30.916666666666497</v>
      </c>
      <c r="AB383" s="1">
        <v>31</v>
      </c>
      <c r="AC383" s="1">
        <v>7.6176168210000004E-3</v>
      </c>
      <c r="AD383" s="8">
        <f t="shared" si="67"/>
        <v>1.2950791729375837</v>
      </c>
      <c r="AE383" s="3">
        <f t="shared" si="68"/>
        <v>1.7001106820801897E-2</v>
      </c>
      <c r="AF383" s="11">
        <f t="shared" si="69"/>
        <v>30.916666666666497</v>
      </c>
      <c r="AG383" s="1">
        <f t="shared" si="70"/>
        <v>0.15771433041171906</v>
      </c>
    </row>
    <row r="384" spans="2:33" ht="15" x14ac:dyDescent="0.25">
      <c r="B384" s="1">
        <v>373</v>
      </c>
      <c r="C384" s="1">
        <v>1.000632155189185</v>
      </c>
      <c r="D384" s="1">
        <v>1.1965520585212708</v>
      </c>
      <c r="E384" s="1">
        <v>0.83487376933623958</v>
      </c>
      <c r="G384" s="1">
        <v>1.0002137528793897</v>
      </c>
      <c r="H384" s="1">
        <v>4.540591991628526</v>
      </c>
      <c r="I384" s="1">
        <v>0.18373169927936986</v>
      </c>
      <c r="K384" s="1">
        <v>0.99980543740158401</v>
      </c>
      <c r="L384" s="1">
        <v>5.2887327049339303</v>
      </c>
      <c r="M384" s="1">
        <v>0.1549718149952527</v>
      </c>
      <c r="O384" s="1">
        <v>7.4868730445575103E-3</v>
      </c>
      <c r="P384" s="1">
        <v>0.79237780811024794</v>
      </c>
      <c r="R384" s="1">
        <v>0.21091159334288212</v>
      </c>
      <c r="S384" s="2">
        <f t="shared" si="72"/>
        <v>0.88028587769170596</v>
      </c>
      <c r="T384" s="4">
        <f t="shared" si="73"/>
        <v>0.77490322646345711</v>
      </c>
      <c r="U384" s="1">
        <f t="shared" si="77"/>
        <v>0.43528493089935605</v>
      </c>
      <c r="V384" s="6">
        <f>2*sigma/alpha*corel*(B384/12-1/alpha*(1-EXP(-alpha*Output!B384/12)))</f>
        <v>1.6617329472432876</v>
      </c>
      <c r="W384" s="5">
        <f t="shared" si="74"/>
        <v>-0.33961829556410106</v>
      </c>
      <c r="X384" s="1">
        <f t="shared" si="75"/>
        <v>44.987231136423759</v>
      </c>
      <c r="Y384" s="3">
        <f t="shared" si="76"/>
        <v>8.1161166479900418E-2</v>
      </c>
      <c r="Z384" s="1">
        <f t="shared" si="66"/>
        <v>0.15789193302246213</v>
      </c>
      <c r="AA384" s="8">
        <f t="shared" si="71"/>
        <v>30.999999999999829</v>
      </c>
      <c r="AB384" s="1">
        <v>31.08</v>
      </c>
      <c r="AC384" s="1">
        <v>7.6171520160000002E-3</v>
      </c>
      <c r="AD384" s="8">
        <f t="shared" si="67"/>
        <v>1.3027897144248999</v>
      </c>
      <c r="AE384" s="3">
        <f t="shared" si="68"/>
        <v>1.7103370284436498E-2</v>
      </c>
      <c r="AF384" s="11">
        <f t="shared" si="69"/>
        <v>30.999999999999829</v>
      </c>
      <c r="AG384" s="1">
        <f t="shared" si="70"/>
        <v>0.15789193302246213</v>
      </c>
    </row>
    <row r="385" spans="2:33" ht="15" x14ac:dyDescent="0.25">
      <c r="B385" s="1">
        <v>374</v>
      </c>
      <c r="C385" s="1">
        <v>1.0006377682603484</v>
      </c>
      <c r="D385" s="1">
        <v>1.1976901702885721</v>
      </c>
      <c r="E385" s="1">
        <v>0.83407871019534219</v>
      </c>
      <c r="G385" s="1">
        <v>1.0005023901815611</v>
      </c>
      <c r="H385" s="1">
        <v>4.5787719508531479</v>
      </c>
      <c r="I385" s="1">
        <v>0.18211151558047631</v>
      </c>
      <c r="K385" s="1">
        <v>0.99940122742756099</v>
      </c>
      <c r="L385" s="1">
        <v>5.3803527900189705</v>
      </c>
      <c r="M385" s="1">
        <v>0.15225197761064274</v>
      </c>
      <c r="O385" s="1">
        <v>7.4856113037395384E-3</v>
      </c>
      <c r="P385" s="1">
        <v>0.79191473380550093</v>
      </c>
      <c r="R385" s="1">
        <v>0.21105472829947147</v>
      </c>
      <c r="S385" s="2">
        <f t="shared" si="72"/>
        <v>0.88159390790346048</v>
      </c>
      <c r="T385" s="4">
        <f t="shared" si="73"/>
        <v>0.7772078184524952</v>
      </c>
      <c r="U385" s="1">
        <f t="shared" si="77"/>
        <v>0.43792570192664115</v>
      </c>
      <c r="V385" s="6">
        <f>2*sigma/alpha*corel*(B385/12-1/alpha*(1-EXP(-alpha*Output!B385/12)))</f>
        <v>1.669150228061655</v>
      </c>
      <c r="W385" s="5">
        <f t="shared" si="74"/>
        <v>-0.33928211652585405</v>
      </c>
      <c r="X385" s="1">
        <f t="shared" si="75"/>
        <v>45.08323301072808</v>
      </c>
      <c r="Y385" s="3">
        <f t="shared" si="76"/>
        <v>8.0939914343380062E-2</v>
      </c>
      <c r="Z385" s="1">
        <f t="shared" si="66"/>
        <v>0.15791500642801581</v>
      </c>
      <c r="AA385" s="8">
        <f t="shared" si="71"/>
        <v>31.083333333333162</v>
      </c>
      <c r="AB385" s="1">
        <v>31.17</v>
      </c>
      <c r="AC385" s="1">
        <v>7.6166891319999997E-3</v>
      </c>
      <c r="AD385" s="8">
        <f t="shared" si="67"/>
        <v>1.3107782826046137</v>
      </c>
      <c r="AE385" s="3">
        <f t="shared" si="68"/>
        <v>1.7209292120084568E-2</v>
      </c>
      <c r="AF385" s="11">
        <f t="shared" si="69"/>
        <v>31.083333333333162</v>
      </c>
      <c r="AG385" s="1">
        <f t="shared" si="70"/>
        <v>0.15791500642801581</v>
      </c>
    </row>
    <row r="386" spans="2:33" ht="15" x14ac:dyDescent="0.25">
      <c r="B386" s="1">
        <v>375</v>
      </c>
      <c r="C386" s="1">
        <v>1.0006389697488911</v>
      </c>
      <c r="D386" s="1">
        <v>1.2005714693628131</v>
      </c>
      <c r="E386" s="1">
        <v>0.83207525653708825</v>
      </c>
      <c r="G386" s="1">
        <v>1.000427216351969</v>
      </c>
      <c r="H386" s="1">
        <v>4.677994924916077</v>
      </c>
      <c r="I386" s="1">
        <v>0.17816259405985665</v>
      </c>
      <c r="K386" s="1">
        <v>0.99946257586901988</v>
      </c>
      <c r="L386" s="1">
        <v>5.1469067408134901</v>
      </c>
      <c r="M386" s="1">
        <v>0.15907125501371192</v>
      </c>
      <c r="O386" s="1">
        <v>7.4843101861757633E-3</v>
      </c>
      <c r="P386" s="1">
        <v>0.79145307046187163</v>
      </c>
      <c r="R386" s="1">
        <v>0.21152335433215472</v>
      </c>
      <c r="S386" s="2">
        <f t="shared" si="72"/>
        <v>0.88394756895135229</v>
      </c>
      <c r="T386" s="4">
        <f t="shared" si="73"/>
        <v>0.7813633046550057</v>
      </c>
      <c r="U386" s="1">
        <f t="shared" si="77"/>
        <v>0.44057358501317312</v>
      </c>
      <c r="V386" s="6">
        <f>2*sigma/alpha*corel*(B386/12-1/alpha*(1-EXP(-alpha*Output!B386/12)))</f>
        <v>1.6765774901880941</v>
      </c>
      <c r="W386" s="5">
        <f t="shared" si="74"/>
        <v>-0.34078971964183258</v>
      </c>
      <c r="X386" s="1">
        <f t="shared" si="75"/>
        <v>45.409627035834475</v>
      </c>
      <c r="Y386" s="3">
        <f t="shared" si="76"/>
        <v>8.0993425151385717E-2</v>
      </c>
      <c r="Z386" s="1">
        <f t="shared" si="66"/>
        <v>0.15812534821767249</v>
      </c>
      <c r="AA386" s="8">
        <f t="shared" si="71"/>
        <v>31.166666666666494</v>
      </c>
      <c r="AB386" s="1">
        <v>31.25</v>
      </c>
      <c r="AC386" s="1">
        <v>7.6162281620000003E-3</v>
      </c>
      <c r="AD386" s="8">
        <f t="shared" si="67"/>
        <v>1.3191797582423701</v>
      </c>
      <c r="AE386" s="3">
        <f t="shared" si="68"/>
        <v>1.7320643895940704E-2</v>
      </c>
      <c r="AF386" s="11">
        <f t="shared" si="69"/>
        <v>31.166666666666494</v>
      </c>
      <c r="AG386" s="1">
        <f t="shared" si="70"/>
        <v>0.15812534821767249</v>
      </c>
    </row>
    <row r="387" spans="2:33" ht="15" x14ac:dyDescent="0.25">
      <c r="B387" s="1">
        <v>376</v>
      </c>
      <c r="C387" s="1">
        <v>1.0006419333517147</v>
      </c>
      <c r="D387" s="1">
        <v>1.2031861649876956</v>
      </c>
      <c r="E387" s="1">
        <v>0.83026532303322398</v>
      </c>
      <c r="G387" s="1">
        <v>1.0005135263239175</v>
      </c>
      <c r="H387" s="1">
        <v>4.7689589327012598</v>
      </c>
      <c r="I387" s="1">
        <v>0.17467974205206269</v>
      </c>
      <c r="K387" s="1">
        <v>0.99947457569868692</v>
      </c>
      <c r="L387" s="1">
        <v>5.2928423721001794</v>
      </c>
      <c r="M387" s="1">
        <v>0.15460495688871734</v>
      </c>
      <c r="O387" s="1">
        <v>7.4829899186608E-3</v>
      </c>
      <c r="P387" s="1">
        <v>0.79099232240388151</v>
      </c>
      <c r="R387" s="1">
        <v>0.2119050231838325</v>
      </c>
      <c r="S387" s="2">
        <f t="shared" si="72"/>
        <v>0.88602215520424754</v>
      </c>
      <c r="T387" s="4">
        <f t="shared" si="73"/>
        <v>0.78503525951277975</v>
      </c>
      <c r="U387" s="1">
        <f t="shared" si="77"/>
        <v>0.44322856600802041</v>
      </c>
      <c r="V387" s="6">
        <f>2*sigma/alpha*corel*(B387/12-1/alpha*(1-EXP(-alpha*Output!B387/12)))</f>
        <v>1.6840147004069683</v>
      </c>
      <c r="W387" s="5">
        <f t="shared" si="74"/>
        <v>-0.34180669350475934</v>
      </c>
      <c r="X387" s="1">
        <f t="shared" si="75"/>
        <v>45.675677763783277</v>
      </c>
      <c r="Y387" s="3">
        <f t="shared" si="76"/>
        <v>8.0973887838931807E-2</v>
      </c>
      <c r="Z387" s="1">
        <f t="shared" si="66"/>
        <v>0.15828555459346585</v>
      </c>
      <c r="AA387" s="8">
        <f t="shared" si="71"/>
        <v>31.249999999999826</v>
      </c>
      <c r="AB387" s="1">
        <v>31.33</v>
      </c>
      <c r="AC387" s="1">
        <v>7.6157691550000003E-3</v>
      </c>
      <c r="AD387" s="8">
        <f t="shared" si="67"/>
        <v>1.3277923633920035</v>
      </c>
      <c r="AE387" s="3">
        <f t="shared" si="68"/>
        <v>1.7434776926244733E-2</v>
      </c>
      <c r="AF387" s="11">
        <f t="shared" si="69"/>
        <v>31.249999999999826</v>
      </c>
      <c r="AG387" s="1">
        <f t="shared" si="70"/>
        <v>0.15828555459346585</v>
      </c>
    </row>
    <row r="388" spans="2:33" ht="15" x14ac:dyDescent="0.25">
      <c r="B388" s="1">
        <v>377</v>
      </c>
      <c r="C388" s="1">
        <v>1.0006387770557508</v>
      </c>
      <c r="D388" s="1">
        <v>1.2060430917835032</v>
      </c>
      <c r="E388" s="1">
        <v>0.82829684054751296</v>
      </c>
      <c r="G388" s="1">
        <v>1.0001080424613995</v>
      </c>
      <c r="H388" s="1">
        <v>4.869562136401739</v>
      </c>
      <c r="I388" s="1">
        <v>0.17098816946712281</v>
      </c>
      <c r="K388" s="1">
        <v>0.99934505230400195</v>
      </c>
      <c r="L388" s="1">
        <v>5.3970682576688178</v>
      </c>
      <c r="M388" s="1">
        <v>0.1515353051407671</v>
      </c>
      <c r="O388" s="1">
        <v>7.4816584146259468E-3</v>
      </c>
      <c r="P388" s="1">
        <v>0.79053229559368943</v>
      </c>
      <c r="R388" s="1">
        <v>0.21226082711680128</v>
      </c>
      <c r="S388" s="2">
        <f t="shared" si="72"/>
        <v>0.88801423357411502</v>
      </c>
      <c r="T388" s="4">
        <f t="shared" si="73"/>
        <v>0.78856927903022289</v>
      </c>
      <c r="U388" s="1">
        <f t="shared" si="77"/>
        <v>0.44589063074411284</v>
      </c>
      <c r="V388" s="6">
        <f>2*sigma/alpha*corel*(B388/12-1/alpha*(1-EXP(-alpha*Output!B388/12)))</f>
        <v>1.6914618256131773</v>
      </c>
      <c r="W388" s="5">
        <f t="shared" si="74"/>
        <v>-0.34267864828611005</v>
      </c>
      <c r="X388" s="1">
        <f t="shared" si="75"/>
        <v>45.924326575461158</v>
      </c>
      <c r="Y388" s="3">
        <f t="shared" si="76"/>
        <v>8.0932951868427361E-2</v>
      </c>
      <c r="Z388" s="1">
        <f t="shared" si="66"/>
        <v>0.15843089472746477</v>
      </c>
      <c r="AA388" s="8">
        <f t="shared" si="71"/>
        <v>31.333333333333158</v>
      </c>
      <c r="AB388" s="1">
        <v>31.42</v>
      </c>
      <c r="AC388" s="1">
        <v>7.6153121580000002E-3</v>
      </c>
      <c r="AD388" s="8">
        <f t="shared" si="67"/>
        <v>1.3365374337405336</v>
      </c>
      <c r="AE388" s="3">
        <f t="shared" si="68"/>
        <v>1.7550658541770753E-2</v>
      </c>
      <c r="AF388" s="11">
        <f t="shared" si="69"/>
        <v>31.333333333333158</v>
      </c>
      <c r="AG388" s="1">
        <f t="shared" si="70"/>
        <v>0.15843089472746477</v>
      </c>
    </row>
    <row r="389" spans="2:33" ht="15" x14ac:dyDescent="0.25">
      <c r="B389" s="1">
        <v>378</v>
      </c>
      <c r="C389" s="1">
        <v>1.0006376570804101</v>
      </c>
      <c r="D389" s="1">
        <v>1.2068476480128552</v>
      </c>
      <c r="E389" s="1">
        <v>0.82774293211987482</v>
      </c>
      <c r="G389" s="1">
        <v>0.99988238992608025</v>
      </c>
      <c r="H389" s="1">
        <v>4.9001641048872937</v>
      </c>
      <c r="I389" s="1">
        <v>0.16983813021221525</v>
      </c>
      <c r="K389" s="1">
        <v>0.99948364658771072</v>
      </c>
      <c r="L389" s="1">
        <v>5.2646450893145866</v>
      </c>
      <c r="M389" s="1">
        <v>0.1552673221266703</v>
      </c>
      <c r="O389" s="1">
        <v>7.4802659205944963E-3</v>
      </c>
      <c r="P389" s="1">
        <v>0.79007422953478956</v>
      </c>
      <c r="R389" s="1">
        <v>0.21265770225107267</v>
      </c>
      <c r="S389" s="2">
        <f t="shared" si="72"/>
        <v>0.89013717693366656</v>
      </c>
      <c r="T389" s="4">
        <f t="shared" si="73"/>
        <v>0.79234419375943765</v>
      </c>
      <c r="U389" s="1">
        <f t="shared" si="77"/>
        <v>0.44855976503871053</v>
      </c>
      <c r="V389" s="6">
        <f>2*sigma/alpha*corel*(B389/12-1/alpha*(1-EXP(-alpha*Output!B389/12)))</f>
        <v>1.6989188328117826</v>
      </c>
      <c r="W389" s="5">
        <f t="shared" si="74"/>
        <v>-0.34378442872072712</v>
      </c>
      <c r="X389" s="1">
        <f t="shared" si="75"/>
        <v>46.203163219294169</v>
      </c>
      <c r="Y389" s="3">
        <f t="shared" si="76"/>
        <v>8.092654032876713E-2</v>
      </c>
      <c r="Z389" s="1">
        <f t="shared" si="66"/>
        <v>0.15859944491980743</v>
      </c>
      <c r="AA389" s="8">
        <f t="shared" si="71"/>
        <v>31.41666666666649</v>
      </c>
      <c r="AB389" s="1">
        <v>31.5</v>
      </c>
      <c r="AC389" s="1">
        <v>7.6148572189999996E-3</v>
      </c>
      <c r="AD389" s="8">
        <f t="shared" si="67"/>
        <v>1.345912984055033</v>
      </c>
      <c r="AE389" s="3">
        <f t="shared" si="68"/>
        <v>1.7674828894976725E-2</v>
      </c>
      <c r="AF389" s="11">
        <f t="shared" si="69"/>
        <v>31.41666666666649</v>
      </c>
      <c r="AG389" s="1">
        <f t="shared" si="70"/>
        <v>0.15859944491980743</v>
      </c>
    </row>
    <row r="390" spans="2:33" ht="15" x14ac:dyDescent="0.25">
      <c r="B390" s="1">
        <v>379</v>
      </c>
      <c r="C390" s="1">
        <v>1.0006370878776205</v>
      </c>
      <c r="D390" s="1">
        <v>1.2084128538415273</v>
      </c>
      <c r="E390" s="1">
        <v>0.82666907374985366</v>
      </c>
      <c r="G390" s="1">
        <v>0.99968136776436367</v>
      </c>
      <c r="H390" s="1">
        <v>4.9554187209658025</v>
      </c>
      <c r="I390" s="1">
        <v>0.16786312988636984</v>
      </c>
      <c r="K390" s="1">
        <v>0.99943994737683106</v>
      </c>
      <c r="L390" s="1">
        <v>5.332772290272386</v>
      </c>
      <c r="M390" s="1">
        <v>0.15320116087701807</v>
      </c>
      <c r="O390" s="1">
        <v>7.4788638621260404E-3</v>
      </c>
      <c r="P390" s="1">
        <v>0.78961685067864751</v>
      </c>
      <c r="R390" s="1">
        <v>0.21303440285968778</v>
      </c>
      <c r="S390" s="2">
        <f t="shared" si="72"/>
        <v>0.89219598094365105</v>
      </c>
      <c r="T390" s="4">
        <f t="shared" si="73"/>
        <v>0.79601366841200372</v>
      </c>
      <c r="U390" s="1">
        <f t="shared" si="77"/>
        <v>0.45123595469387645</v>
      </c>
      <c r="V390" s="6">
        <f>2*sigma/alpha*corel*(B390/12-1/alpha*(1-EXP(-alpha*Output!B390/12)))</f>
        <v>1.7063856891176497</v>
      </c>
      <c r="W390" s="5">
        <f t="shared" si="74"/>
        <v>-0.34477771371812727</v>
      </c>
      <c r="X390" s="1">
        <f t="shared" si="75"/>
        <v>46.468669953082269</v>
      </c>
      <c r="Y390" s="3">
        <f t="shared" si="76"/>
        <v>8.0903549474403536E-2</v>
      </c>
      <c r="Z390" s="1">
        <f t="shared" si="66"/>
        <v>0.15875641404318869</v>
      </c>
      <c r="AA390" s="8">
        <f t="shared" si="71"/>
        <v>31.499999999999822</v>
      </c>
      <c r="AB390" s="1">
        <v>31.58</v>
      </c>
      <c r="AC390" s="1">
        <v>7.6144043860000002E-3</v>
      </c>
      <c r="AD390" s="8">
        <f t="shared" si="67"/>
        <v>1.3554052387395981</v>
      </c>
      <c r="AE390" s="3">
        <f t="shared" si="68"/>
        <v>1.7800541841876349E-2</v>
      </c>
      <c r="AF390" s="11">
        <f t="shared" si="69"/>
        <v>31.499999999999822</v>
      </c>
      <c r="AG390" s="1">
        <f t="shared" si="70"/>
        <v>0.15875641404318869</v>
      </c>
    </row>
    <row r="391" spans="2:33" ht="15" x14ac:dyDescent="0.25">
      <c r="B391" s="1">
        <v>380</v>
      </c>
      <c r="C391" s="1">
        <v>1.0006407191517819</v>
      </c>
      <c r="D391" s="1">
        <v>1.2069194140014576</v>
      </c>
      <c r="E391" s="1">
        <v>0.82769026875699669</v>
      </c>
      <c r="G391" s="1">
        <v>0.99977882956546094</v>
      </c>
      <c r="H391" s="1">
        <v>4.8985844929161839</v>
      </c>
      <c r="I391" s="1">
        <v>0.16972855697169975</v>
      </c>
      <c r="K391" s="1">
        <v>0.99950663420108532</v>
      </c>
      <c r="L391" s="1">
        <v>5.2098663998862298</v>
      </c>
      <c r="M391" s="1">
        <v>0.15673316745784688</v>
      </c>
      <c r="O391" s="1">
        <v>7.4773856276749897E-3</v>
      </c>
      <c r="P391" s="1">
        <v>0.78916182465497875</v>
      </c>
      <c r="R391" s="1">
        <v>0.21346114043722533</v>
      </c>
      <c r="S391" s="2">
        <f t="shared" si="72"/>
        <v>0.89441417391583067</v>
      </c>
      <c r="T391" s="4">
        <f t="shared" si="73"/>
        <v>0.79997671450153784</v>
      </c>
      <c r="U391" s="1">
        <f t="shared" si="77"/>
        <v>0.45391918549694399</v>
      </c>
      <c r="V391" s="6">
        <f>2*sigma/alpha*corel*(B391/12-1/alpha*(1-EXP(-alpha*Output!B391/12)))</f>
        <v>1.7138623617550786</v>
      </c>
      <c r="W391" s="5">
        <f t="shared" si="74"/>
        <v>-0.34605752900459386</v>
      </c>
      <c r="X391" s="1">
        <f t="shared" si="75"/>
        <v>46.77127786895592</v>
      </c>
      <c r="Y391" s="3">
        <f t="shared" si="76"/>
        <v>8.0922483453250843E-2</v>
      </c>
      <c r="Z391" s="1">
        <f t="shared" si="66"/>
        <v>0.15894156965126038</v>
      </c>
      <c r="AA391" s="8">
        <f t="shared" si="71"/>
        <v>31.583333333333155</v>
      </c>
      <c r="AB391" s="1">
        <v>31.67</v>
      </c>
      <c r="AC391" s="1">
        <v>7.6139537069999999E-3</v>
      </c>
      <c r="AD391" s="8">
        <f t="shared" si="67"/>
        <v>1.3656807932501021</v>
      </c>
      <c r="AE391" s="3">
        <f t="shared" si="68"/>
        <v>1.7936552359052872E-2</v>
      </c>
      <c r="AF391" s="11">
        <f t="shared" si="69"/>
        <v>31.583333333333155</v>
      </c>
      <c r="AG391" s="1">
        <f t="shared" si="70"/>
        <v>0.15894156965126038</v>
      </c>
    </row>
    <row r="392" spans="2:33" ht="15" x14ac:dyDescent="0.25">
      <c r="B392" s="1">
        <v>381</v>
      </c>
      <c r="C392" s="1">
        <v>1.0006432273726815</v>
      </c>
      <c r="D392" s="1">
        <v>1.2071324165476485</v>
      </c>
      <c r="E392" s="1">
        <v>0.82754249295446247</v>
      </c>
      <c r="G392" s="1">
        <v>0.99980868271887469</v>
      </c>
      <c r="H392" s="1">
        <v>4.9052605545417087</v>
      </c>
      <c r="I392" s="1">
        <v>0.16941555748415918</v>
      </c>
      <c r="K392" s="1">
        <v>0.9993006381599765</v>
      </c>
      <c r="L392" s="1">
        <v>4.9785606394808832</v>
      </c>
      <c r="M392" s="1">
        <v>0.16392613599981459</v>
      </c>
      <c r="O392" s="1">
        <v>7.4759546259771182E-3</v>
      </c>
      <c r="P392" s="1">
        <v>0.78870607238511226</v>
      </c>
      <c r="R392" s="1">
        <v>0.21384041132082324</v>
      </c>
      <c r="S392" s="2">
        <f t="shared" si="72"/>
        <v>0.89648267357206679</v>
      </c>
      <c r="T392" s="4">
        <f t="shared" si="73"/>
        <v>0.80368118401492084</v>
      </c>
      <c r="U392" s="1">
        <f t="shared" si="77"/>
        <v>0.45660944322097219</v>
      </c>
      <c r="V392" s="6">
        <f>2*sigma/alpha*corel*(B392/12-1/alpha*(1-EXP(-alpha*Output!B392/12)))</f>
        <v>1.7213488180574368</v>
      </c>
      <c r="W392" s="5">
        <f t="shared" si="74"/>
        <v>-0.34707174079394865</v>
      </c>
      <c r="X392" s="1">
        <f t="shared" si="75"/>
        <v>47.041152834259215</v>
      </c>
      <c r="Y392" s="3">
        <f t="shared" si="76"/>
        <v>8.0902464638499899E-2</v>
      </c>
      <c r="Z392" s="1">
        <f t="shared" si="66"/>
        <v>0.15909994719458692</v>
      </c>
      <c r="AA392" s="8">
        <f t="shared" si="71"/>
        <v>31.666666666666487</v>
      </c>
      <c r="AB392" s="1">
        <v>31.75</v>
      </c>
      <c r="AC392" s="1">
        <v>7.6135052300000004E-3</v>
      </c>
      <c r="AD392" s="8">
        <f t="shared" si="67"/>
        <v>1.3755060402288224</v>
      </c>
      <c r="AE392" s="3">
        <f t="shared" si="68"/>
        <v>1.8066659162573693E-2</v>
      </c>
      <c r="AF392" s="11">
        <f t="shared" si="69"/>
        <v>31.666666666666487</v>
      </c>
      <c r="AG392" s="1">
        <f t="shared" si="70"/>
        <v>0.15909994719458692</v>
      </c>
    </row>
    <row r="393" spans="2:33" ht="15" x14ac:dyDescent="0.25">
      <c r="B393" s="1">
        <v>382</v>
      </c>
      <c r="C393" s="1">
        <v>1.000645592596233</v>
      </c>
      <c r="D393" s="1">
        <v>1.2094969541182949</v>
      </c>
      <c r="E393" s="1">
        <v>0.82592294000354649</v>
      </c>
      <c r="G393" s="1">
        <v>0.99984586349573001</v>
      </c>
      <c r="H393" s="1">
        <v>4.9910656026379385</v>
      </c>
      <c r="I393" s="1">
        <v>0.16642246072390288</v>
      </c>
      <c r="K393" s="1">
        <v>0.99919291607157368</v>
      </c>
      <c r="L393" s="1">
        <v>5.1809574341432549</v>
      </c>
      <c r="M393" s="1">
        <v>0.15743992595538731</v>
      </c>
      <c r="O393" s="1">
        <v>7.4744715489404017E-3</v>
      </c>
      <c r="P393" s="1">
        <v>0.78825207802603758</v>
      </c>
      <c r="R393" s="1">
        <v>0.2144054685135732</v>
      </c>
      <c r="S393" s="2">
        <f t="shared" si="72"/>
        <v>0.89915103231384097</v>
      </c>
      <c r="T393" s="4">
        <f t="shared" si="73"/>
        <v>0.80847257891104585</v>
      </c>
      <c r="U393" s="1">
        <f t="shared" si="77"/>
        <v>0.45930671362520537</v>
      </c>
      <c r="V393" s="6">
        <f>2*sigma/alpha*corel*(B393/12-1/alpha*(1-EXP(-alpha*Output!B393/12)))</f>
        <v>1.7288450254668022</v>
      </c>
      <c r="W393" s="5">
        <f t="shared" si="74"/>
        <v>-0.34916586528584048</v>
      </c>
      <c r="X393" s="1">
        <f t="shared" si="75"/>
        <v>47.449358635144996</v>
      </c>
      <c r="Y393" s="3">
        <f t="shared" si="76"/>
        <v>8.1039337069447173E-2</v>
      </c>
      <c r="Z393" s="1">
        <f t="shared" si="66"/>
        <v>0.15936450157954807</v>
      </c>
      <c r="AA393" s="8">
        <f t="shared" si="71"/>
        <v>31.749999999999819</v>
      </c>
      <c r="AB393" s="1">
        <v>31.83</v>
      </c>
      <c r="AC393" s="1">
        <v>7.6130590060000001E-3</v>
      </c>
      <c r="AD393" s="8">
        <f t="shared" si="67"/>
        <v>1.3858745705959841</v>
      </c>
      <c r="AE393" s="3">
        <f t="shared" si="68"/>
        <v>1.8203912113432318E-2</v>
      </c>
      <c r="AF393" s="11">
        <f t="shared" si="69"/>
        <v>31.749999999999819</v>
      </c>
      <c r="AG393" s="1">
        <f t="shared" si="70"/>
        <v>0.15936450157954807</v>
      </c>
    </row>
    <row r="394" spans="2:33" ht="15" x14ac:dyDescent="0.25">
      <c r="B394" s="1">
        <v>383</v>
      </c>
      <c r="C394" s="1">
        <v>1.000647919483854</v>
      </c>
      <c r="D394" s="1">
        <v>1.210905283106404</v>
      </c>
      <c r="E394" s="1">
        <v>0.82496063113986084</v>
      </c>
      <c r="G394" s="1">
        <v>0.99985833072114094</v>
      </c>
      <c r="H394" s="1">
        <v>5.0419316847904962</v>
      </c>
      <c r="I394" s="1">
        <v>0.16466378998557743</v>
      </c>
      <c r="K394" s="1">
        <v>0.99921897226801437</v>
      </c>
      <c r="L394" s="1">
        <v>5.1844619306803503</v>
      </c>
      <c r="M394" s="1">
        <v>0.15724928374607378</v>
      </c>
      <c r="O394" s="1">
        <v>7.4728317111092957E-3</v>
      </c>
      <c r="P394" s="1">
        <v>0.78780248131059327</v>
      </c>
      <c r="R394" s="1">
        <v>0.21486012310097158</v>
      </c>
      <c r="S394" s="2">
        <f t="shared" si="72"/>
        <v>0.90145691259492922</v>
      </c>
      <c r="T394" s="4">
        <f t="shared" si="73"/>
        <v>0.8126245652651819</v>
      </c>
      <c r="U394" s="1">
        <f t="shared" si="77"/>
        <v>0.46201098245552652</v>
      </c>
      <c r="V394" s="6">
        <f>2*sigma/alpha*corel*(B394/12-1/alpha*(1-EXP(-alpha*Output!B394/12)))</f>
        <v>1.7363509515335984</v>
      </c>
      <c r="W394" s="5">
        <f t="shared" si="74"/>
        <v>-0.35061358280965538</v>
      </c>
      <c r="X394" s="1">
        <f t="shared" si="75"/>
        <v>47.776582032257636</v>
      </c>
      <c r="Y394" s="3">
        <f t="shared" si="76"/>
        <v>8.1081613625279034E-2</v>
      </c>
      <c r="Z394" s="1">
        <f t="shared" si="66"/>
        <v>0.15956447564606643</v>
      </c>
      <c r="AA394" s="8">
        <f t="shared" si="71"/>
        <v>31.833333333333151</v>
      </c>
      <c r="AB394" s="1">
        <v>31.92</v>
      </c>
      <c r="AC394" s="1">
        <v>7.6126150829999998E-3</v>
      </c>
      <c r="AD394" s="8">
        <f t="shared" si="67"/>
        <v>1.3978337189070409</v>
      </c>
      <c r="AE394" s="3">
        <f t="shared" si="68"/>
        <v>1.8362070112129966E-2</v>
      </c>
      <c r="AF394" s="11">
        <f t="shared" si="69"/>
        <v>31.833333333333151</v>
      </c>
      <c r="AG394" s="1">
        <f t="shared" si="70"/>
        <v>0.15956447564606643</v>
      </c>
    </row>
    <row r="395" spans="2:33" ht="15" x14ac:dyDescent="0.25">
      <c r="B395" s="1">
        <v>384</v>
      </c>
      <c r="C395" s="1">
        <v>1.000652574820035</v>
      </c>
      <c r="D395" s="1">
        <v>1.2092527888844857</v>
      </c>
      <c r="E395" s="1">
        <v>0.82608623927188463</v>
      </c>
      <c r="G395" s="1">
        <v>1.0000743750283416</v>
      </c>
      <c r="H395" s="1">
        <v>4.9785486293242522</v>
      </c>
      <c r="I395" s="1">
        <v>0.16667948753178441</v>
      </c>
      <c r="K395" s="1">
        <v>0.99907950369037246</v>
      </c>
      <c r="L395" s="1">
        <v>5.0794604342270055</v>
      </c>
      <c r="M395" s="1">
        <v>0.16041341630550957</v>
      </c>
      <c r="O395" s="1">
        <v>7.4712288582013658E-3</v>
      </c>
      <c r="P395" s="1">
        <v>0.78735242437506348</v>
      </c>
      <c r="R395" s="1">
        <v>0.21527969479154371</v>
      </c>
      <c r="S395" s="2">
        <f t="shared" si="72"/>
        <v>0.90365249662591629</v>
      </c>
      <c r="T395" s="4">
        <f t="shared" si="73"/>
        <v>0.81658783465825169</v>
      </c>
      <c r="U395" s="1">
        <f t="shared" si="77"/>
        <v>0.46472223544490365</v>
      </c>
      <c r="V395" s="6">
        <f>2*sigma/alpha*corel*(B395/12-1/alpha*(1-EXP(-alpha*Output!B395/12)))</f>
        <v>1.7438665639162316</v>
      </c>
      <c r="W395" s="5">
        <f t="shared" si="74"/>
        <v>-0.35186559921334803</v>
      </c>
      <c r="X395" s="1">
        <f t="shared" si="75"/>
        <v>48.079867292053564</v>
      </c>
      <c r="Y395" s="3">
        <f t="shared" si="76"/>
        <v>8.1095284312830571E-2</v>
      </c>
      <c r="Z395" s="1">
        <f t="shared" si="66"/>
        <v>0.15974470205008479</v>
      </c>
      <c r="AA395" s="8">
        <f t="shared" si="71"/>
        <v>31.916666666666483</v>
      </c>
      <c r="AB395" s="1">
        <v>32</v>
      </c>
      <c r="AC395" s="1">
        <v>7.6121735100000004E-3</v>
      </c>
      <c r="AD395" s="8">
        <f t="shared" si="67"/>
        <v>1.4094465179863465</v>
      </c>
      <c r="AE395" s="3">
        <f t="shared" si="68"/>
        <v>1.8515690901353962E-2</v>
      </c>
      <c r="AF395" s="11">
        <f t="shared" si="69"/>
        <v>31.916666666666483</v>
      </c>
      <c r="AG395" s="1">
        <f t="shared" si="70"/>
        <v>0.15974470205008479</v>
      </c>
    </row>
    <row r="396" spans="2:33" ht="15" x14ac:dyDescent="0.25">
      <c r="B396" s="1">
        <v>385</v>
      </c>
      <c r="C396" s="1">
        <v>1.0006541947402416</v>
      </c>
      <c r="D396" s="1">
        <v>1.2050945706970277</v>
      </c>
      <c r="E396" s="1">
        <v>0.82893493218188297</v>
      </c>
      <c r="G396" s="1">
        <v>1.0000482055353555</v>
      </c>
      <c r="H396" s="1">
        <v>4.8252646593182034</v>
      </c>
      <c r="I396" s="1">
        <v>0.17189118935131603</v>
      </c>
      <c r="K396" s="1">
        <v>0.99923435214316547</v>
      </c>
      <c r="L396" s="1">
        <v>5.3924445264360905</v>
      </c>
      <c r="M396" s="1">
        <v>0.15101937588448372</v>
      </c>
      <c r="O396" s="1">
        <v>7.4695793172484754E-3</v>
      </c>
      <c r="P396" s="1">
        <v>0.78690401347261585</v>
      </c>
      <c r="R396" s="1">
        <v>0.21576291740622316</v>
      </c>
      <c r="S396" s="2">
        <f t="shared" si="72"/>
        <v>0.9060537474081094</v>
      </c>
      <c r="T396" s="4">
        <f t="shared" si="73"/>
        <v>0.82093339319227809</v>
      </c>
      <c r="U396" s="1">
        <f t="shared" si="77"/>
        <v>0.4674404583138343</v>
      </c>
      <c r="V396" s="6">
        <f>2*sigma/alpha*corel*(B396/12-1/alpha*(1-EXP(-alpha*Output!B396/12)))</f>
        <v>1.7513918303807365</v>
      </c>
      <c r="W396" s="5">
        <f t="shared" si="74"/>
        <v>-0.3534929348784438</v>
      </c>
      <c r="X396" s="1">
        <f t="shared" si="75"/>
        <v>48.432299986258009</v>
      </c>
      <c r="Y396" s="3">
        <f t="shared" si="76"/>
        <v>8.1162701814769103E-2</v>
      </c>
      <c r="Z396" s="1">
        <f t="shared" si="66"/>
        <v>0.15996104004808737</v>
      </c>
      <c r="AA396" s="8">
        <f t="shared" si="71"/>
        <v>31.999999999999815</v>
      </c>
      <c r="AB396" s="1">
        <v>32.08</v>
      </c>
      <c r="AC396" s="1">
        <v>7.6117343370000002E-3</v>
      </c>
      <c r="AD396" s="8">
        <f t="shared" si="67"/>
        <v>1.4215501975152478</v>
      </c>
      <c r="AE396" s="3">
        <f t="shared" si="68"/>
        <v>1.8675772623923718E-2</v>
      </c>
      <c r="AF396" s="11">
        <f t="shared" si="69"/>
        <v>31.999999999999815</v>
      </c>
      <c r="AG396" s="1">
        <f t="shared" si="70"/>
        <v>0.15996104004808737</v>
      </c>
    </row>
    <row r="397" spans="2:33" ht="15" x14ac:dyDescent="0.25">
      <c r="B397" s="1">
        <v>386</v>
      </c>
      <c r="C397" s="1">
        <v>1.0006526389582346</v>
      </c>
      <c r="D397" s="1">
        <v>1.2126768186020478</v>
      </c>
      <c r="E397" s="1">
        <v>0.82375028872493794</v>
      </c>
      <c r="G397" s="1">
        <v>0.99977365899100801</v>
      </c>
      <c r="H397" s="1">
        <v>5.1030688148938141</v>
      </c>
      <c r="I397" s="1">
        <v>0.16245503467369504</v>
      </c>
      <c r="K397" s="1">
        <v>0.99934981318573668</v>
      </c>
      <c r="L397" s="1">
        <v>5.2355625264731351</v>
      </c>
      <c r="M397" s="1">
        <v>0.15546415476112629</v>
      </c>
      <c r="O397" s="1">
        <v>7.4679033683470158E-3</v>
      </c>
      <c r="P397" s="1">
        <v>0.7864567422230605</v>
      </c>
      <c r="R397" s="1">
        <v>0.21625093699418205</v>
      </c>
      <c r="S397" s="2">
        <f t="shared" si="72"/>
        <v>0.90847110955275423</v>
      </c>
      <c r="T397" s="4">
        <f t="shared" si="73"/>
        <v>0.82531975689201242</v>
      </c>
      <c r="U397" s="1">
        <f t="shared" si="77"/>
        <v>0.47016563677078516</v>
      </c>
      <c r="V397" s="6">
        <f>2*sigma/alpha*corel*(B397/12-1/alpha*(1-EXP(-alpha*Output!B397/12)))</f>
        <v>1.7589267188004136</v>
      </c>
      <c r="W397" s="5">
        <f t="shared" si="74"/>
        <v>-0.35515412012122727</v>
      </c>
      <c r="X397" s="1">
        <f t="shared" si="75"/>
        <v>48.790319991041223</v>
      </c>
      <c r="Y397" s="3">
        <f t="shared" si="76"/>
        <v>8.1234405401678519E-2</v>
      </c>
      <c r="Z397" s="1">
        <f t="shared" ref="Z397:Z460" si="78">S397/SQRT(B397/12)</f>
        <v>0.16017992702754491</v>
      </c>
      <c r="AA397" s="8">
        <f t="shared" si="71"/>
        <v>32.083333333333151</v>
      </c>
      <c r="AB397" s="1">
        <v>32.17</v>
      </c>
      <c r="AC397" s="1">
        <v>7.6112975990000001E-3</v>
      </c>
      <c r="AD397" s="8">
        <f t="shared" ref="AD397:AD460" si="79">(AC397-O397)*10000</f>
        <v>1.4339423065298438</v>
      </c>
      <c r="AE397" s="3">
        <f t="shared" ref="AE397:AE460" si="80">AD397/AC397/10000</f>
        <v>1.8839656285654111E-2</v>
      </c>
      <c r="AF397" s="11">
        <f t="shared" ref="AF397:AF460" si="81">AA397</f>
        <v>32.083333333333151</v>
      </c>
      <c r="AG397" s="1">
        <f t="shared" ref="AG397:AG460" si="82">Z397</f>
        <v>0.16017992702754491</v>
      </c>
    </row>
    <row r="398" spans="2:33" ht="15" x14ac:dyDescent="0.25">
      <c r="B398" s="1">
        <v>387</v>
      </c>
      <c r="C398" s="1">
        <v>1.0006569411834412</v>
      </c>
      <c r="D398" s="1">
        <v>1.2190155894380434</v>
      </c>
      <c r="E398" s="1">
        <v>0.81946512951700479</v>
      </c>
      <c r="G398" s="1">
        <v>0.99997376835303786</v>
      </c>
      <c r="H398" s="1">
        <v>5.3434755595473531</v>
      </c>
      <c r="I398" s="1">
        <v>0.15507101035198065</v>
      </c>
      <c r="K398" s="1">
        <v>0.99948659466397882</v>
      </c>
      <c r="L398" s="1">
        <v>5.2664874163476689</v>
      </c>
      <c r="M398" s="1">
        <v>0.15447036462344416</v>
      </c>
      <c r="O398" s="1">
        <v>7.4661358751492548E-3</v>
      </c>
      <c r="P398" s="1">
        <v>0.78601226529507962</v>
      </c>
      <c r="R398" s="1">
        <v>0.21662704570151284</v>
      </c>
      <c r="S398" s="2">
        <f t="shared" si="72"/>
        <v>0.91052248878629194</v>
      </c>
      <c r="T398" s="4">
        <f t="shared" si="73"/>
        <v>0.82905120258558318</v>
      </c>
      <c r="U398" s="1">
        <f t="shared" si="77"/>
        <v>0.47289775651262822</v>
      </c>
      <c r="V398" s="6">
        <f>2*sigma/alpha*corel*(B398/12-1/alpha*(1-EXP(-alpha*Output!B398/12)))</f>
        <v>1.7664711971554761</v>
      </c>
      <c r="W398" s="5">
        <f t="shared" si="74"/>
        <v>-0.35615344607295496</v>
      </c>
      <c r="X398" s="1">
        <f t="shared" si="75"/>
        <v>49.064215033791093</v>
      </c>
      <c r="Y398" s="3">
        <f t="shared" si="76"/>
        <v>8.1211071150347161E-2</v>
      </c>
      <c r="Z398" s="1">
        <f t="shared" si="78"/>
        <v>0.16033407009635067</v>
      </c>
      <c r="AA398" s="8">
        <f t="shared" ref="AA398:AA461" si="83">AA397+1/12</f>
        <v>32.166666666666487</v>
      </c>
      <c r="AB398" s="1">
        <v>32.25</v>
      </c>
      <c r="AC398" s="1">
        <v>7.610863275E-3</v>
      </c>
      <c r="AD398" s="8">
        <f t="shared" si="79"/>
        <v>1.4472739985074528</v>
      </c>
      <c r="AE398" s="3">
        <f t="shared" si="80"/>
        <v>1.9015898015950796E-2</v>
      </c>
      <c r="AF398" s="11">
        <f t="shared" si="81"/>
        <v>32.166666666666487</v>
      </c>
      <c r="AG398" s="1">
        <f t="shared" si="82"/>
        <v>0.16033407009635067</v>
      </c>
    </row>
    <row r="399" spans="2:33" ht="15" x14ac:dyDescent="0.25">
      <c r="B399" s="1">
        <v>388</v>
      </c>
      <c r="C399" s="1">
        <v>1.0006546909621699</v>
      </c>
      <c r="D399" s="1">
        <v>1.2203848083739848</v>
      </c>
      <c r="E399" s="1">
        <v>0.81854399127642474</v>
      </c>
      <c r="G399" s="1">
        <v>0.999605002964425</v>
      </c>
      <c r="H399" s="1">
        <v>5.3939581408357249</v>
      </c>
      <c r="I399" s="1">
        <v>0.1535453664039314</v>
      </c>
      <c r="K399" s="1">
        <v>0.99951541656660736</v>
      </c>
      <c r="L399" s="1">
        <v>5.4170603063962135</v>
      </c>
      <c r="M399" s="1">
        <v>0.15009676830970839</v>
      </c>
      <c r="O399" s="1">
        <v>7.4644020068796281E-3</v>
      </c>
      <c r="P399" s="1">
        <v>0.7855674169097091</v>
      </c>
      <c r="R399" s="1">
        <v>0.21711029702305834</v>
      </c>
      <c r="S399" s="2">
        <f t="shared" si="72"/>
        <v>0.91292491600569825</v>
      </c>
      <c r="T399" s="4">
        <f t="shared" si="73"/>
        <v>0.8334319022640112</v>
      </c>
      <c r="U399" s="1">
        <f t="shared" si="77"/>
        <v>0.47563680322507196</v>
      </c>
      <c r="V399" s="6">
        <f>2*sigma/alpha*corel*(B399/12-1/alpha*(1-EXP(-alpha*Output!B399/12)))</f>
        <v>1.77402523353269</v>
      </c>
      <c r="W399" s="5">
        <f t="shared" si="74"/>
        <v>-0.35779509903893925</v>
      </c>
      <c r="X399" s="1">
        <f t="shared" si="75"/>
        <v>49.421998338246866</v>
      </c>
      <c r="Y399" s="3">
        <f t="shared" si="76"/>
        <v>8.1279168308876798E-2</v>
      </c>
      <c r="Z399" s="1">
        <f t="shared" si="78"/>
        <v>0.1605498190591253</v>
      </c>
      <c r="AA399" s="8">
        <f t="shared" si="83"/>
        <v>32.249999999999822</v>
      </c>
      <c r="AB399" s="1">
        <v>32.33</v>
      </c>
      <c r="AC399" s="1">
        <v>7.610431329E-3</v>
      </c>
      <c r="AD399" s="8">
        <f t="shared" si="79"/>
        <v>1.4602932212037183</v>
      </c>
      <c r="AE399" s="3">
        <f t="shared" si="80"/>
        <v>1.9188048062915755E-2</v>
      </c>
      <c r="AF399" s="11">
        <f t="shared" si="81"/>
        <v>32.249999999999822</v>
      </c>
      <c r="AG399" s="1">
        <f t="shared" si="82"/>
        <v>0.1605498190591253</v>
      </c>
    </row>
    <row r="400" spans="2:33" ht="15" x14ac:dyDescent="0.25">
      <c r="B400" s="1">
        <v>389</v>
      </c>
      <c r="C400" s="1">
        <v>1.0006556765574317</v>
      </c>
      <c r="D400" s="1">
        <v>1.2154196201117629</v>
      </c>
      <c r="E400" s="1">
        <v>0.82188613316127923</v>
      </c>
      <c r="G400" s="1">
        <v>0.99951064672940959</v>
      </c>
      <c r="H400" s="1">
        <v>5.1974514686759852</v>
      </c>
      <c r="I400" s="1">
        <v>0.15927355976865357</v>
      </c>
      <c r="K400" s="1">
        <v>0.9996990868153709</v>
      </c>
      <c r="L400" s="1">
        <v>5.5396755524644439</v>
      </c>
      <c r="M400" s="1">
        <v>0.14669623926052519</v>
      </c>
      <c r="O400" s="1">
        <v>7.4626945474535614E-3</v>
      </c>
      <c r="P400" s="1">
        <v>0.78512237503916338</v>
      </c>
      <c r="R400" s="1">
        <v>0.21751896328598086</v>
      </c>
      <c r="S400" s="2">
        <f t="shared" si="72"/>
        <v>0.91508776634081856</v>
      </c>
      <c r="T400" s="4">
        <f t="shared" si="73"/>
        <v>0.83738562010662854</v>
      </c>
      <c r="U400" s="1">
        <f t="shared" si="77"/>
        <v>0.47838276258308898</v>
      </c>
      <c r="V400" s="6">
        <f>2*sigma/alpha*corel*(B400/12-1/alpha*(1-EXP(-alpha*Output!B400/12)))</f>
        <v>1.7815887961250225</v>
      </c>
      <c r="W400" s="5">
        <f t="shared" si="74"/>
        <v>-0.35900285752353955</v>
      </c>
      <c r="X400" s="1">
        <f t="shared" si="75"/>
        <v>49.724762497363841</v>
      </c>
      <c r="Y400" s="3">
        <f t="shared" si="76"/>
        <v>8.128519168586372E-2</v>
      </c>
      <c r="Z400" s="1">
        <f t="shared" si="78"/>
        <v>0.1607232004093338</v>
      </c>
      <c r="AA400" s="8">
        <f t="shared" si="83"/>
        <v>32.333333333333158</v>
      </c>
      <c r="AB400" s="1">
        <v>32.42</v>
      </c>
      <c r="AC400" s="1">
        <v>7.610001727E-3</v>
      </c>
      <c r="AD400" s="8">
        <f t="shared" si="79"/>
        <v>1.4730717954643864</v>
      </c>
      <c r="AE400" s="3">
        <f t="shared" si="80"/>
        <v>1.9357049424022901E-2</v>
      </c>
      <c r="AF400" s="11">
        <f t="shared" si="81"/>
        <v>32.333333333333158</v>
      </c>
      <c r="AG400" s="1">
        <f t="shared" si="82"/>
        <v>0.1607232004093338</v>
      </c>
    </row>
    <row r="401" spans="2:33" ht="15" x14ac:dyDescent="0.25">
      <c r="B401" s="1">
        <v>390</v>
      </c>
      <c r="C401" s="1">
        <v>1.0006615927326439</v>
      </c>
      <c r="D401" s="1">
        <v>1.2122792960755704</v>
      </c>
      <c r="E401" s="1">
        <v>0.82401341831129604</v>
      </c>
      <c r="G401" s="1">
        <v>0.99981761547814163</v>
      </c>
      <c r="H401" s="1">
        <v>5.0746905962671214</v>
      </c>
      <c r="I401" s="1">
        <v>0.16304759701673094</v>
      </c>
      <c r="K401" s="1">
        <v>0.99954941643498951</v>
      </c>
      <c r="L401" s="1">
        <v>5.543514806858413</v>
      </c>
      <c r="M401" s="1">
        <v>0.14651316869999356</v>
      </c>
      <c r="O401" s="1">
        <v>7.4609404390174076E-3</v>
      </c>
      <c r="P401" s="1">
        <v>0.78467899824118237</v>
      </c>
      <c r="R401" s="1">
        <v>0.21791584977834069</v>
      </c>
      <c r="S401" s="2">
        <f t="shared" si="72"/>
        <v>0.91721144015701173</v>
      </c>
      <c r="T401" s="4">
        <f t="shared" si="73"/>
        <v>0.8412768259548995</v>
      </c>
      <c r="U401" s="1">
        <f t="shared" si="77"/>
        <v>0.48113562025134105</v>
      </c>
      <c r="V401" s="6">
        <f>2*sigma/alpha*corel*(B401/12-1/alpha*(1-EXP(-alpha*Output!B401/12)))</f>
        <v>1.7891618532312892</v>
      </c>
      <c r="W401" s="5">
        <f t="shared" si="74"/>
        <v>-0.36014120570355845</v>
      </c>
      <c r="X401" s="1">
        <f t="shared" si="75"/>
        <v>50.019456878520622</v>
      </c>
      <c r="Y401" s="3">
        <f t="shared" si="76"/>
        <v>8.1281255905995956E-2</v>
      </c>
      <c r="Z401" s="1">
        <f t="shared" si="78"/>
        <v>0.1608895297979713</v>
      </c>
      <c r="AA401" s="8">
        <f t="shared" si="83"/>
        <v>32.416666666666494</v>
      </c>
      <c r="AB401" s="1">
        <v>32.5</v>
      </c>
      <c r="AC401" s="1">
        <v>7.609574432E-3</v>
      </c>
      <c r="AD401" s="8">
        <f t="shared" si="79"/>
        <v>1.4863399298259243</v>
      </c>
      <c r="AE401" s="3">
        <f t="shared" si="80"/>
        <v>1.9532497422924535E-2</v>
      </c>
      <c r="AF401" s="11">
        <f t="shared" si="81"/>
        <v>32.416666666666494</v>
      </c>
      <c r="AG401" s="1">
        <f t="shared" si="82"/>
        <v>0.1608895297979713</v>
      </c>
    </row>
    <row r="402" spans="2:33" ht="15" x14ac:dyDescent="0.25">
      <c r="B402" s="1">
        <v>391</v>
      </c>
      <c r="C402" s="1">
        <v>1.0006650304105809</v>
      </c>
      <c r="D402" s="1">
        <v>1.2141280254831024</v>
      </c>
      <c r="E402" s="1">
        <v>0.82275695520041525</v>
      </c>
      <c r="G402" s="1">
        <v>0.99992287246166944</v>
      </c>
      <c r="H402" s="1">
        <v>5.1398514889785956</v>
      </c>
      <c r="I402" s="1">
        <v>0.16090266651995616</v>
      </c>
      <c r="K402" s="1">
        <v>0.99960355567835346</v>
      </c>
      <c r="L402" s="1">
        <v>5.2914920610156191</v>
      </c>
      <c r="M402" s="1">
        <v>0.15341040010557247</v>
      </c>
      <c r="O402" s="1">
        <v>7.4592122192295154E-3</v>
      </c>
      <c r="P402" s="1">
        <v>0.78423543956781561</v>
      </c>
      <c r="R402" s="1">
        <v>0.21834387795984161</v>
      </c>
      <c r="S402" s="2">
        <f t="shared" si="72"/>
        <v>0.91943914658696202</v>
      </c>
      <c r="T402" s="4">
        <f t="shared" si="73"/>
        <v>0.84536834427656105</v>
      </c>
      <c r="U402" s="1">
        <f t="shared" si="77"/>
        <v>0.48389536188459559</v>
      </c>
      <c r="V402" s="6">
        <f>2*sigma/alpha*corel*(B402/12-1/alpha*(1-EXP(-alpha*Output!B402/12)))</f>
        <v>1.7967443732557982</v>
      </c>
      <c r="W402" s="5">
        <f t="shared" si="74"/>
        <v>-0.36147298239196546</v>
      </c>
      <c r="X402" s="1">
        <f t="shared" si="75"/>
        <v>50.340269047912535</v>
      </c>
      <c r="Y402" s="3">
        <f t="shared" si="76"/>
        <v>8.1304500720467063E-2</v>
      </c>
      <c r="Z402" s="1">
        <f t="shared" si="78"/>
        <v>0.16107392253247188</v>
      </c>
      <c r="AA402" s="8">
        <f t="shared" si="83"/>
        <v>32.499999999999829</v>
      </c>
      <c r="AB402" s="1">
        <v>32.58</v>
      </c>
      <c r="AC402" s="1">
        <v>7.6091494089999996E-3</v>
      </c>
      <c r="AD402" s="8">
        <f t="shared" si="79"/>
        <v>1.499371897704842</v>
      </c>
      <c r="AE402" s="3">
        <f t="shared" si="80"/>
        <v>1.9704855524737171E-2</v>
      </c>
      <c r="AF402" s="11">
        <f t="shared" si="81"/>
        <v>32.499999999999829</v>
      </c>
      <c r="AG402" s="1">
        <f t="shared" si="82"/>
        <v>0.16107392253247188</v>
      </c>
    </row>
    <row r="403" spans="2:33" ht="15" x14ac:dyDescent="0.25">
      <c r="B403" s="1">
        <v>392</v>
      </c>
      <c r="C403" s="1">
        <v>1.0006656114287675</v>
      </c>
      <c r="D403" s="1">
        <v>1.2180730228465282</v>
      </c>
      <c r="E403" s="1">
        <v>0.82009052386234338</v>
      </c>
      <c r="G403" s="1">
        <v>0.9998082162130959</v>
      </c>
      <c r="H403" s="1">
        <v>5.2917041417801682</v>
      </c>
      <c r="I403" s="1">
        <v>0.15620973559204282</v>
      </c>
      <c r="K403" s="1">
        <v>0.99960306621243145</v>
      </c>
      <c r="L403" s="1">
        <v>5.350817826009683</v>
      </c>
      <c r="M403" s="1">
        <v>0.15162991030295103</v>
      </c>
      <c r="O403" s="1">
        <v>7.4574352239309902E-3</v>
      </c>
      <c r="P403" s="1">
        <v>0.78379360623102856</v>
      </c>
      <c r="R403" s="1">
        <v>0.21878516643186999</v>
      </c>
      <c r="S403" s="2">
        <f t="shared" si="72"/>
        <v>0.92170923854995523</v>
      </c>
      <c r="T403" s="4">
        <f t="shared" si="73"/>
        <v>0.84954792042833827</v>
      </c>
      <c r="U403" s="1">
        <f t="shared" si="77"/>
        <v>0.48666197312814408</v>
      </c>
      <c r="V403" s="6">
        <f>2*sigma/alpha*corel*(B403/12-1/alpha*(1-EXP(-alpha*Output!B403/12)))</f>
        <v>1.8043363247080015</v>
      </c>
      <c r="W403" s="5">
        <f t="shared" si="74"/>
        <v>-0.36288594730019419</v>
      </c>
      <c r="X403" s="1">
        <f t="shared" si="75"/>
        <v>50.672726686552814</v>
      </c>
      <c r="Y403" s="3">
        <f t="shared" si="76"/>
        <v>8.133890066683859E-2</v>
      </c>
      <c r="Z403" s="1">
        <f t="shared" si="78"/>
        <v>0.16126552326118634</v>
      </c>
      <c r="AA403" s="8">
        <f t="shared" si="83"/>
        <v>32.583333333333165</v>
      </c>
      <c r="AB403" s="1">
        <v>32.67</v>
      </c>
      <c r="AC403" s="1">
        <v>7.6087266239999998E-3</v>
      </c>
      <c r="AD403" s="8">
        <f t="shared" si="79"/>
        <v>1.5129140006900961</v>
      </c>
      <c r="AE403" s="3">
        <f t="shared" si="80"/>
        <v>1.9883931641307133E-2</v>
      </c>
      <c r="AF403" s="11">
        <f t="shared" si="81"/>
        <v>32.583333333333165</v>
      </c>
      <c r="AG403" s="1">
        <f t="shared" si="82"/>
        <v>0.16126552326118634</v>
      </c>
    </row>
    <row r="404" spans="2:33" ht="15" x14ac:dyDescent="0.25">
      <c r="B404" s="1">
        <v>393</v>
      </c>
      <c r="C404" s="1">
        <v>1.0006636852258226</v>
      </c>
      <c r="D404" s="1">
        <v>1.2193415084358938</v>
      </c>
      <c r="E404" s="1">
        <v>0.81923562651690796</v>
      </c>
      <c r="G404" s="1">
        <v>0.9994824929864824</v>
      </c>
      <c r="H404" s="1">
        <v>5.3416626283601829</v>
      </c>
      <c r="I404" s="1">
        <v>0.15467390004720039</v>
      </c>
      <c r="K404" s="1">
        <v>0.99939713438141686</v>
      </c>
      <c r="L404" s="1">
        <v>5.5861480613577443</v>
      </c>
      <c r="M404" s="1">
        <v>0.14516512476869517</v>
      </c>
      <c r="O404" s="1">
        <v>7.4556760624519755E-3</v>
      </c>
      <c r="P404" s="1">
        <v>0.78335179629985985</v>
      </c>
      <c r="R404" s="1">
        <v>0.21904748977780023</v>
      </c>
      <c r="S404" s="2">
        <f t="shared" si="72"/>
        <v>0.92339780866451249</v>
      </c>
      <c r="T404" s="4">
        <f t="shared" si="73"/>
        <v>0.85266351304642363</v>
      </c>
      <c r="U404" s="1">
        <f t="shared" si="77"/>
        <v>0.48943543961821234</v>
      </c>
      <c r="V404" s="6">
        <f>2*sigma/alpha*corel*(B404/12-1/alpha*(1-EXP(-alpha*Output!B404/12)))</f>
        <v>1.8119376762021466</v>
      </c>
      <c r="W404" s="5">
        <f t="shared" si="74"/>
        <v>-0.36322807342821128</v>
      </c>
      <c r="X404" s="1">
        <f t="shared" si="75"/>
        <v>50.86599576153651</v>
      </c>
      <c r="Y404" s="3">
        <f t="shared" si="76"/>
        <v>8.1222937525508465E-2</v>
      </c>
      <c r="Z404" s="1">
        <f t="shared" si="78"/>
        <v>0.1613552822684195</v>
      </c>
      <c r="AA404" s="8">
        <f t="shared" si="83"/>
        <v>32.666666666666501</v>
      </c>
      <c r="AB404" s="1">
        <v>32.75</v>
      </c>
      <c r="AC404" s="1">
        <v>7.6083060409999998E-3</v>
      </c>
      <c r="AD404" s="8">
        <f t="shared" si="79"/>
        <v>1.5262997854802434</v>
      </c>
      <c r="AE404" s="3">
        <f t="shared" si="80"/>
        <v>2.0060967280433342E-2</v>
      </c>
      <c r="AF404" s="11">
        <f t="shared" si="81"/>
        <v>32.666666666666501</v>
      </c>
      <c r="AG404" s="1">
        <f t="shared" si="82"/>
        <v>0.1613552822684195</v>
      </c>
    </row>
    <row r="405" spans="2:33" ht="15" x14ac:dyDescent="0.25">
      <c r="B405" s="1">
        <v>394</v>
      </c>
      <c r="C405" s="1">
        <v>1.0006679495084232</v>
      </c>
      <c r="D405" s="1">
        <v>1.2168967676266842</v>
      </c>
      <c r="E405" s="1">
        <v>0.82087970631452278</v>
      </c>
      <c r="G405" s="1">
        <v>0.99963813700791926</v>
      </c>
      <c r="H405" s="1">
        <v>5.2452748544360634</v>
      </c>
      <c r="I405" s="1">
        <v>0.15743999942531389</v>
      </c>
      <c r="K405" s="1">
        <v>0.99918193932404942</v>
      </c>
      <c r="L405" s="1">
        <v>5.5896950825969967</v>
      </c>
      <c r="M405" s="1">
        <v>0.14499502980867879</v>
      </c>
      <c r="O405" s="1">
        <v>7.4539968216337229E-3</v>
      </c>
      <c r="P405" s="1">
        <v>0.78290841055038407</v>
      </c>
      <c r="R405" s="1">
        <v>0.21952222983588987</v>
      </c>
      <c r="S405" s="2">
        <f t="shared" si="72"/>
        <v>0.92578454340519056</v>
      </c>
      <c r="T405" s="4">
        <f t="shared" si="73"/>
        <v>0.85707702080795722</v>
      </c>
      <c r="U405" s="1">
        <f t="shared" si="77"/>
        <v>0.49221574698236914</v>
      </c>
      <c r="V405" s="6">
        <f>2*sigma/alpha*corel*(B405/12-1/alpha*(1-EXP(-alpha*Output!B405/12)))</f>
        <v>1.8195483964569243</v>
      </c>
      <c r="W405" s="5">
        <f t="shared" si="74"/>
        <v>-0.36486127382558808</v>
      </c>
      <c r="X405" s="1">
        <f t="shared" si="75"/>
        <v>51.229203662809532</v>
      </c>
      <c r="Y405" s="3">
        <f t="shared" si="76"/>
        <v>8.1287962060055577E-2</v>
      </c>
      <c r="Z405" s="1">
        <f t="shared" si="78"/>
        <v>0.1615669169540889</v>
      </c>
      <c r="AA405" s="8">
        <f t="shared" si="83"/>
        <v>32.749999999999837</v>
      </c>
      <c r="AB405" s="1">
        <v>32.83</v>
      </c>
      <c r="AC405" s="1">
        <v>7.6078876259999999E-3</v>
      </c>
      <c r="AD405" s="8">
        <f t="shared" si="79"/>
        <v>1.5389080436627698</v>
      </c>
      <c r="AE405" s="3">
        <f t="shared" si="80"/>
        <v>2.0227796719861406E-2</v>
      </c>
      <c r="AF405" s="11">
        <f t="shared" si="81"/>
        <v>32.749999999999837</v>
      </c>
      <c r="AG405" s="1">
        <f t="shared" si="82"/>
        <v>0.1615669169540889</v>
      </c>
    </row>
    <row r="406" spans="2:33" ht="15" x14ac:dyDescent="0.25">
      <c r="B406" s="1">
        <v>395</v>
      </c>
      <c r="C406" s="1">
        <v>1.0006686890212029</v>
      </c>
      <c r="D406" s="1">
        <v>1.219081932133335</v>
      </c>
      <c r="E406" s="1">
        <v>0.81940654452284134</v>
      </c>
      <c r="G406" s="1">
        <v>0.99950569007057088</v>
      </c>
      <c r="H406" s="1">
        <v>5.3261315006298675</v>
      </c>
      <c r="I406" s="1">
        <v>0.15497487071360183</v>
      </c>
      <c r="K406" s="1">
        <v>0.99951136651500516</v>
      </c>
      <c r="L406" s="1">
        <v>5.856504198573961</v>
      </c>
      <c r="M406" s="1">
        <v>0.13831410991368681</v>
      </c>
      <c r="O406" s="1">
        <v>7.45231374693461E-3</v>
      </c>
      <c r="P406" s="1">
        <v>0.78246559349947031</v>
      </c>
      <c r="R406" s="1">
        <v>0.22003864501951564</v>
      </c>
      <c r="S406" s="2">
        <f t="shared" si="72"/>
        <v>0.92830906890321274</v>
      </c>
      <c r="T406" s="4">
        <f t="shared" si="73"/>
        <v>0.86175772740794976</v>
      </c>
      <c r="U406" s="1">
        <f t="shared" si="77"/>
        <v>0.49500288083992983</v>
      </c>
      <c r="V406" s="6">
        <f>2*sigma/alpha*corel*(B406/12-1/alpha*(1-EXP(-alpha*Output!B406/12)))</f>
        <v>1.8271684542951223</v>
      </c>
      <c r="W406" s="5">
        <f t="shared" si="74"/>
        <v>-0.36675484656801993</v>
      </c>
      <c r="X406" s="1">
        <f t="shared" si="75"/>
        <v>51.627932691827183</v>
      </c>
      <c r="Y406" s="3">
        <f t="shared" si="76"/>
        <v>8.1388702134760002E-2</v>
      </c>
      <c r="Z406" s="1">
        <f t="shared" si="78"/>
        <v>0.16180229167765284</v>
      </c>
      <c r="AA406" s="8">
        <f t="shared" si="83"/>
        <v>32.833333333333172</v>
      </c>
      <c r="AB406" s="1">
        <v>32.92</v>
      </c>
      <c r="AC406" s="1">
        <v>7.6074713450000001E-3</v>
      </c>
      <c r="AD406" s="8">
        <f t="shared" si="79"/>
        <v>1.5515759806539013</v>
      </c>
      <c r="AE406" s="3">
        <f t="shared" si="80"/>
        <v>2.0395423266019563E-2</v>
      </c>
      <c r="AF406" s="11">
        <f t="shared" si="81"/>
        <v>32.833333333333172</v>
      </c>
      <c r="AG406" s="1">
        <f t="shared" si="82"/>
        <v>0.16180229167765284</v>
      </c>
    </row>
    <row r="407" spans="2:33" ht="15" x14ac:dyDescent="0.25">
      <c r="B407" s="1">
        <v>396</v>
      </c>
      <c r="C407" s="1">
        <v>1.0006696295398085</v>
      </c>
      <c r="D407" s="1">
        <v>1.218291848509772</v>
      </c>
      <c r="E407" s="1">
        <v>0.81993617719742307</v>
      </c>
      <c r="G407" s="1">
        <v>0.99938430113259291</v>
      </c>
      <c r="H407" s="1">
        <v>5.2896041027200456</v>
      </c>
      <c r="I407" s="1">
        <v>0.15596955592639603</v>
      </c>
      <c r="K407" s="1">
        <v>0.9995676663955666</v>
      </c>
      <c r="L407" s="1">
        <v>5.905822730538409</v>
      </c>
      <c r="M407" s="1">
        <v>0.13708559209961202</v>
      </c>
      <c r="O407" s="1">
        <v>7.4506825010292009E-3</v>
      </c>
      <c r="P407" s="1">
        <v>0.78202190874293354</v>
      </c>
      <c r="R407" s="1">
        <v>0.2204664731870434</v>
      </c>
      <c r="S407" s="2">
        <f t="shared" ref="S407:S470" si="84">optim_vol_implied(P407,R407)</f>
        <v>0.93054838528323591</v>
      </c>
      <c r="T407" s="4">
        <f t="shared" ref="T407:T470" si="85">S407*S407</f>
        <v>0.86592029735323772</v>
      </c>
      <c r="U407" s="1">
        <f t="shared" si="77"/>
        <v>0.4977968268023556</v>
      </c>
      <c r="V407" s="6">
        <f>2*sigma/alpha*corel*(B407/12-1/alpha*(1-EXP(-alpha*Output!B407/12)))</f>
        <v>1.8347978186432825</v>
      </c>
      <c r="W407" s="5">
        <f t="shared" ref="W407:W470" si="86">U407-T407</f>
        <v>-0.36812347055088213</v>
      </c>
      <c r="X407" s="1">
        <f t="shared" ref="X407:X470" si="87">V407*V407-4*W407*B407/12</f>
        <v>51.958781148014587</v>
      </c>
      <c r="Y407" s="3">
        <f t="shared" ref="Y407:Y470" si="88">(-V407+SQRT(X407))/2/B407*12</f>
        <v>8.1415850795970676E-2</v>
      </c>
      <c r="Z407" s="1">
        <f t="shared" si="78"/>
        <v>0.1619876816634653</v>
      </c>
      <c r="AA407" s="8">
        <f t="shared" si="83"/>
        <v>32.916666666666508</v>
      </c>
      <c r="AB407" s="1">
        <v>33</v>
      </c>
      <c r="AC407" s="1">
        <v>7.6070571639999997E-3</v>
      </c>
      <c r="AD407" s="8">
        <f t="shared" si="79"/>
        <v>1.5637466297079885</v>
      </c>
      <c r="AE407" s="3">
        <f t="shared" si="80"/>
        <v>2.0556525289547416E-2</v>
      </c>
      <c r="AF407" s="11">
        <f t="shared" si="81"/>
        <v>32.916666666666508</v>
      </c>
      <c r="AG407" s="1">
        <f t="shared" si="82"/>
        <v>0.1619876816634653</v>
      </c>
    </row>
    <row r="408" spans="2:33" ht="15" x14ac:dyDescent="0.25">
      <c r="B408" s="1">
        <v>397</v>
      </c>
      <c r="C408" s="1">
        <v>1.0006732963463736</v>
      </c>
      <c r="D408" s="1">
        <v>1.2152861378796704</v>
      </c>
      <c r="E408" s="1">
        <v>0.82196231211582604</v>
      </c>
      <c r="G408" s="1">
        <v>0.99952864086210336</v>
      </c>
      <c r="H408" s="1">
        <v>5.1692352691018284</v>
      </c>
      <c r="I408" s="1">
        <v>0.15952418757791864</v>
      </c>
      <c r="K408" s="1">
        <v>0.99957255534465705</v>
      </c>
      <c r="L408" s="1">
        <v>5.7571563546452822</v>
      </c>
      <c r="M408" s="1">
        <v>0.14054956511274697</v>
      </c>
      <c r="O408" s="1">
        <v>7.4490428182938636E-3</v>
      </c>
      <c r="P408" s="1">
        <v>0.78157890621504167</v>
      </c>
      <c r="R408" s="1">
        <v>0.22080782100394772</v>
      </c>
      <c r="S408" s="2">
        <f t="shared" si="84"/>
        <v>0.93250576831821808</v>
      </c>
      <c r="T408" s="4">
        <f t="shared" si="85"/>
        <v>0.86956700794675024</v>
      </c>
      <c r="U408" s="1">
        <f t="shared" si="77"/>
        <v>0.50059757047365183</v>
      </c>
      <c r="V408" s="6">
        <f>2*sigma/alpha*corel*(B408/12-1/alpha*(1-EXP(-alpha*Output!B408/12)))</f>
        <v>1.8424364585313491</v>
      </c>
      <c r="W408" s="5">
        <f t="shared" si="86"/>
        <v>-0.36896943747309841</v>
      </c>
      <c r="X408" s="1">
        <f t="shared" si="87"/>
        <v>52.221527662665558</v>
      </c>
      <c r="Y408" s="3">
        <f t="shared" si="88"/>
        <v>8.1370427421714561E-2</v>
      </c>
      <c r="Z408" s="1">
        <f t="shared" si="78"/>
        <v>0.16212384555684134</v>
      </c>
      <c r="AA408" s="8">
        <f t="shared" si="83"/>
        <v>32.999999999999844</v>
      </c>
      <c r="AB408" s="1">
        <v>33.08</v>
      </c>
      <c r="AC408" s="1">
        <v>7.6066450480000002E-3</v>
      </c>
      <c r="AD408" s="8">
        <f t="shared" si="79"/>
        <v>1.5760222970613667</v>
      </c>
      <c r="AE408" s="3">
        <f t="shared" si="80"/>
        <v>2.0719019845362011E-2</v>
      </c>
      <c r="AF408" s="11">
        <f t="shared" si="81"/>
        <v>32.999999999999844</v>
      </c>
      <c r="AG408" s="1">
        <f t="shared" si="82"/>
        <v>0.16212384555684134</v>
      </c>
    </row>
    <row r="409" spans="2:33" ht="15" x14ac:dyDescent="0.25">
      <c r="B409" s="1">
        <v>398</v>
      </c>
      <c r="C409" s="1">
        <v>1.0006745985483085</v>
      </c>
      <c r="D409" s="1">
        <v>1.215565522699253</v>
      </c>
      <c r="E409" s="1">
        <v>0.8217716143604662</v>
      </c>
      <c r="G409" s="1">
        <v>0.99945494996749007</v>
      </c>
      <c r="H409" s="1">
        <v>5.1747251561930696</v>
      </c>
      <c r="I409" s="1">
        <v>0.15927785091900418</v>
      </c>
      <c r="K409" s="1">
        <v>0.99948561679416559</v>
      </c>
      <c r="L409" s="1">
        <v>5.4482308646014852</v>
      </c>
      <c r="M409" s="1">
        <v>0.14844379232728475</v>
      </c>
      <c r="O409" s="1">
        <v>7.4474784641471586E-3</v>
      </c>
      <c r="P409" s="1">
        <v>0.78113441652280724</v>
      </c>
      <c r="R409" s="1">
        <v>0.22127611412736867</v>
      </c>
      <c r="S409" s="2">
        <f t="shared" si="84"/>
        <v>0.93488382935446679</v>
      </c>
      <c r="T409" s="4">
        <f t="shared" si="85"/>
        <v>0.87400777438847177</v>
      </c>
      <c r="U409" s="1">
        <f t="shared" si="77"/>
        <v>0.50340509745075757</v>
      </c>
      <c r="V409" s="6">
        <f>2*sigma/alpha*corel*(B409/12-1/alpha*(1-EXP(-alpha*Output!B409/12)))</f>
        <v>1.8500843430923291</v>
      </c>
      <c r="W409" s="5">
        <f t="shared" si="86"/>
        <v>-0.3706026769377142</v>
      </c>
      <c r="X409" s="1">
        <f t="shared" si="87"/>
        <v>52.589433883625453</v>
      </c>
      <c r="Y409" s="3">
        <f t="shared" si="88"/>
        <v>8.1433762737130377E-2</v>
      </c>
      <c r="Z409" s="1">
        <f t="shared" si="78"/>
        <v>0.16233297014975845</v>
      </c>
      <c r="AA409" s="8">
        <f t="shared" si="83"/>
        <v>33.083333333333179</v>
      </c>
      <c r="AB409" s="1">
        <v>33.17</v>
      </c>
      <c r="AC409" s="1">
        <v>7.6062349660000004E-3</v>
      </c>
      <c r="AD409" s="8">
        <f t="shared" si="79"/>
        <v>1.5875650185284176</v>
      </c>
      <c r="AE409" s="3">
        <f t="shared" si="80"/>
        <v>2.0871890306108871E-2</v>
      </c>
      <c r="AF409" s="11">
        <f t="shared" si="81"/>
        <v>33.083333333333179</v>
      </c>
      <c r="AG409" s="1">
        <f t="shared" si="82"/>
        <v>0.16233297014975845</v>
      </c>
    </row>
    <row r="410" spans="2:33" ht="15" x14ac:dyDescent="0.25">
      <c r="B410" s="1">
        <v>399</v>
      </c>
      <c r="C410" s="1">
        <v>1.0006774079057017</v>
      </c>
      <c r="D410" s="1">
        <v>1.2118202495635491</v>
      </c>
      <c r="E410" s="1">
        <v>0.82430960826451161</v>
      </c>
      <c r="G410" s="1">
        <v>0.99950734867830193</v>
      </c>
      <c r="H410" s="1">
        <v>5.0371026895403475</v>
      </c>
      <c r="I410" s="1">
        <v>0.16355043547577869</v>
      </c>
      <c r="K410" s="1">
        <v>0.99960878382638207</v>
      </c>
      <c r="L410" s="1">
        <v>5.7142529915329501</v>
      </c>
      <c r="M410" s="1">
        <v>0.14145673226695374</v>
      </c>
      <c r="O410" s="1">
        <v>7.4458981965746041E-3</v>
      </c>
      <c r="P410" s="1">
        <v>0.78069079624125959</v>
      </c>
      <c r="R410" s="1">
        <v>0.22175614868288934</v>
      </c>
      <c r="S410" s="2">
        <f t="shared" si="84"/>
        <v>0.93730140341592794</v>
      </c>
      <c r="T410" s="4">
        <f t="shared" si="85"/>
        <v>0.87853392084546811</v>
      </c>
      <c r="U410" s="1">
        <f t="shared" si="77"/>
        <v>0.50621939332393806</v>
      </c>
      <c r="V410" s="6">
        <f>2*sigma/alpha*corel*(B410/12-1/alpha*(1-EXP(-alpha*Output!B410/12)))</f>
        <v>1.85774144156195</v>
      </c>
      <c r="W410" s="5">
        <f t="shared" si="86"/>
        <v>-0.37231452752153005</v>
      </c>
      <c r="X410" s="1">
        <f t="shared" si="87"/>
        <v>52.969035424060166</v>
      </c>
      <c r="Y410" s="3">
        <f t="shared" si="88"/>
        <v>8.1507390694783924E-2</v>
      </c>
      <c r="Z410" s="1">
        <f t="shared" si="78"/>
        <v>0.16254867827018002</v>
      </c>
      <c r="AA410" s="8">
        <f t="shared" si="83"/>
        <v>33.166666666666515</v>
      </c>
      <c r="AB410" s="1">
        <v>33.25</v>
      </c>
      <c r="AC410" s="1">
        <v>7.6058269049999998E-3</v>
      </c>
      <c r="AD410" s="8">
        <f t="shared" si="79"/>
        <v>1.5992870842539575</v>
      </c>
      <c r="AE410" s="3">
        <f t="shared" si="80"/>
        <v>2.1027129649803116E-2</v>
      </c>
      <c r="AF410" s="11">
        <f t="shared" si="81"/>
        <v>33.166666666666515</v>
      </c>
      <c r="AG410" s="1">
        <f t="shared" si="82"/>
        <v>0.16254867827018002</v>
      </c>
    </row>
    <row r="411" spans="2:33" ht="15" x14ac:dyDescent="0.25">
      <c r="B411" s="1">
        <v>400</v>
      </c>
      <c r="C411" s="1">
        <v>1.0006802443644893</v>
      </c>
      <c r="D411" s="1">
        <v>1.2104672174284195</v>
      </c>
      <c r="E411" s="1">
        <v>0.82522920875374861</v>
      </c>
      <c r="G411" s="1">
        <v>0.99958147515805817</v>
      </c>
      <c r="H411" s="1">
        <v>4.9826651049901454</v>
      </c>
      <c r="I411" s="1">
        <v>0.16525729684337595</v>
      </c>
      <c r="K411" s="1">
        <v>0.9996609894515226</v>
      </c>
      <c r="L411" s="1">
        <v>5.6205382343635995</v>
      </c>
      <c r="M411" s="1">
        <v>0.14373905792256336</v>
      </c>
      <c r="O411" s="1">
        <v>7.4442943547348775E-3</v>
      </c>
      <c r="P411" s="1">
        <v>0.78024824652540548</v>
      </c>
      <c r="R411" s="1">
        <v>0.22230065879642724</v>
      </c>
      <c r="S411" s="2">
        <f t="shared" si="84"/>
        <v>0.93993124642471582</v>
      </c>
      <c r="T411" s="4">
        <f t="shared" si="85"/>
        <v>0.88347074800551983</v>
      </c>
      <c r="U411" s="1">
        <f t="shared" si="77"/>
        <v>0.50904044367716583</v>
      </c>
      <c r="V411" s="6">
        <f>2*sigma/alpha*corel*(B411/12-1/alpha*(1-EXP(-alpha*Output!B411/12)))</f>
        <v>1.8654077232783131</v>
      </c>
      <c r="W411" s="5">
        <f t="shared" si="86"/>
        <v>-0.374430304328354</v>
      </c>
      <c r="X411" s="1">
        <f t="shared" si="87"/>
        <v>53.403786551180247</v>
      </c>
      <c r="Y411" s="3">
        <f t="shared" si="88"/>
        <v>8.1635725803992615E-2</v>
      </c>
      <c r="Z411" s="1">
        <f t="shared" si="78"/>
        <v>0.16280086744291503</v>
      </c>
      <c r="AA411" s="8">
        <f t="shared" si="83"/>
        <v>33.249999999999851</v>
      </c>
      <c r="AB411" s="1">
        <v>33.33</v>
      </c>
      <c r="AC411" s="1">
        <v>7.6054208530000004E-3</v>
      </c>
      <c r="AD411" s="8">
        <f t="shared" si="79"/>
        <v>1.6112649826512289</v>
      </c>
      <c r="AE411" s="3">
        <f t="shared" si="80"/>
        <v>2.1185743876562156E-2</v>
      </c>
      <c r="AF411" s="11">
        <f t="shared" si="81"/>
        <v>33.249999999999851</v>
      </c>
      <c r="AG411" s="1">
        <f t="shared" si="82"/>
        <v>0.16280086744291503</v>
      </c>
    </row>
    <row r="412" spans="2:33" ht="15" x14ac:dyDescent="0.25">
      <c r="B412" s="1">
        <v>401</v>
      </c>
      <c r="C412" s="1">
        <v>1.0006820753605195</v>
      </c>
      <c r="D412" s="1">
        <v>1.2063131706866368</v>
      </c>
      <c r="E412" s="1">
        <v>0.82806915531073322</v>
      </c>
      <c r="G412" s="1">
        <v>0.99956370896686186</v>
      </c>
      <c r="H412" s="1">
        <v>4.8254965868659632</v>
      </c>
      <c r="I412" s="1">
        <v>0.17055724123206764</v>
      </c>
      <c r="K412" s="1">
        <v>0.99963139516895128</v>
      </c>
      <c r="L412" s="1">
        <v>5.856636544349124</v>
      </c>
      <c r="M412" s="1">
        <v>0.13786783821104015</v>
      </c>
      <c r="O412" s="1">
        <v>7.4425707149306138E-3</v>
      </c>
      <c r="P412" s="1">
        <v>0.77980927788922361</v>
      </c>
      <c r="R412" s="1">
        <v>0.22278735272000555</v>
      </c>
      <c r="S412" s="2">
        <f t="shared" si="84"/>
        <v>0.94236746135684202</v>
      </c>
      <c r="T412" s="4">
        <f t="shared" si="85"/>
        <v>0.8880564322241391</v>
      </c>
      <c r="U412" s="1">
        <f t="shared" si="77"/>
        <v>0.51186823408850524</v>
      </c>
      <c r="V412" s="6">
        <f>2*sigma/alpha*corel*(B412/12-1/alpha*(1-EXP(-alpha*Output!B412/12)))</f>
        <v>1.873083157681557</v>
      </c>
      <c r="W412" s="5">
        <f t="shared" si="86"/>
        <v>-0.37618819813563387</v>
      </c>
      <c r="X412" s="1">
        <f t="shared" si="87"/>
        <v>53.792262999720045</v>
      </c>
      <c r="Y412" s="3">
        <f t="shared" si="88"/>
        <v>8.1714280367943967E-2</v>
      </c>
      <c r="Z412" s="1">
        <f t="shared" si="78"/>
        <v>0.16301918546493246</v>
      </c>
      <c r="AA412" s="8">
        <f t="shared" si="83"/>
        <v>33.333333333333186</v>
      </c>
      <c r="AB412" s="1">
        <v>33.42</v>
      </c>
      <c r="AC412" s="1">
        <v>7.6050168009999999E-3</v>
      </c>
      <c r="AD412" s="8">
        <f t="shared" si="79"/>
        <v>1.6244608606938611</v>
      </c>
      <c r="AE412" s="3">
        <f t="shared" si="80"/>
        <v>2.1360384903821084E-2</v>
      </c>
      <c r="AF412" s="11">
        <f t="shared" si="81"/>
        <v>33.333333333333186</v>
      </c>
      <c r="AG412" s="1">
        <f t="shared" si="82"/>
        <v>0.16301918546493246</v>
      </c>
    </row>
    <row r="413" spans="2:33" ht="15" x14ac:dyDescent="0.25">
      <c r="B413" s="1">
        <v>402</v>
      </c>
      <c r="C413" s="1">
        <v>1.0006817487982316</v>
      </c>
      <c r="D413" s="1">
        <v>1.2066275868248071</v>
      </c>
      <c r="E413" s="1">
        <v>0.82785157414190469</v>
      </c>
      <c r="G413" s="1">
        <v>0.99937011594996517</v>
      </c>
      <c r="H413" s="1">
        <v>4.8357387258418649</v>
      </c>
      <c r="I413" s="1">
        <v>0.17011365618812863</v>
      </c>
      <c r="K413" s="1">
        <v>0.99964271234310687</v>
      </c>
      <c r="L413" s="1">
        <v>5.8592907250688802</v>
      </c>
      <c r="M413" s="1">
        <v>0.13773425847788437</v>
      </c>
      <c r="O413" s="1">
        <v>7.4409111805212105E-3</v>
      </c>
      <c r="P413" s="1">
        <v>0.7793691063888265</v>
      </c>
      <c r="R413" s="1">
        <v>0.22302592004864674</v>
      </c>
      <c r="S413" s="2">
        <f t="shared" si="84"/>
        <v>0.94399321786220813</v>
      </c>
      <c r="T413" s="4">
        <f t="shared" si="85"/>
        <v>0.8911231953698463</v>
      </c>
      <c r="U413" s="1">
        <f t="shared" si="77"/>
        <v>0.51470275013048905</v>
      </c>
      <c r="V413" s="6">
        <f>2*sigma/alpha*corel*(B413/12-1/alpha*(1-EXP(-alpha*Output!B413/12)))</f>
        <v>1.8807677143135186</v>
      </c>
      <c r="W413" s="5">
        <f t="shared" si="86"/>
        <v>-0.37642044523935725</v>
      </c>
      <c r="X413" s="1">
        <f t="shared" si="87"/>
        <v>53.977626857277968</v>
      </c>
      <c r="Y413" s="3">
        <f t="shared" si="88"/>
        <v>8.1584762041488984E-2</v>
      </c>
      <c r="Z413" s="1">
        <f t="shared" si="78"/>
        <v>0.16309718697482153</v>
      </c>
      <c r="AA413" s="8">
        <f t="shared" si="83"/>
        <v>33.416666666666522</v>
      </c>
      <c r="AB413" s="1">
        <v>33.5</v>
      </c>
      <c r="AC413" s="1">
        <v>7.6046147379999996E-3</v>
      </c>
      <c r="AD413" s="8">
        <f t="shared" si="79"/>
        <v>1.6370355747878911</v>
      </c>
      <c r="AE413" s="3">
        <f t="shared" si="80"/>
        <v>2.1526870606707799E-2</v>
      </c>
      <c r="AF413" s="11">
        <f t="shared" si="81"/>
        <v>33.416666666666522</v>
      </c>
      <c r="AG413" s="1">
        <f t="shared" si="82"/>
        <v>0.16309718697482153</v>
      </c>
    </row>
    <row r="414" spans="2:33" ht="15" x14ac:dyDescent="0.25">
      <c r="B414" s="1">
        <v>403</v>
      </c>
      <c r="C414" s="1">
        <v>1.0006846943885899</v>
      </c>
      <c r="D414" s="1">
        <v>1.2086385646285474</v>
      </c>
      <c r="E414" s="1">
        <v>0.82647235565122279</v>
      </c>
      <c r="G414" s="1">
        <v>0.99945338038673359</v>
      </c>
      <c r="H414" s="1">
        <v>4.9078884211089369</v>
      </c>
      <c r="I414" s="1">
        <v>0.16753176218565929</v>
      </c>
      <c r="K414" s="1">
        <v>0.99975877289633985</v>
      </c>
      <c r="L414" s="1">
        <v>5.8462264498698193</v>
      </c>
      <c r="M414" s="1">
        <v>0.13796732969320541</v>
      </c>
      <c r="O414" s="1">
        <v>7.4393782464994025E-3</v>
      </c>
      <c r="P414" s="1">
        <v>0.77892608705288469</v>
      </c>
      <c r="R414" s="1">
        <v>0.22339813217030111</v>
      </c>
      <c r="S414" s="2">
        <f t="shared" si="84"/>
        <v>0.94606550812958679</v>
      </c>
      <c r="T414" s="4">
        <f t="shared" si="85"/>
        <v>0.89503994567249323</v>
      </c>
      <c r="U414" s="1">
        <f t="shared" si="77"/>
        <v>0.51754397737049151</v>
      </c>
      <c r="V414" s="6">
        <f>2*sigma/alpha*corel*(B414/12-1/alpha*(1-EXP(-alpha*Output!B414/12)))</f>
        <v>1.8884613628173912</v>
      </c>
      <c r="W414" s="5">
        <f t="shared" si="86"/>
        <v>-0.37749596830200172</v>
      </c>
      <c r="X414" s="1">
        <f t="shared" si="87"/>
        <v>54.27657806075635</v>
      </c>
      <c r="Y414" s="3">
        <f t="shared" si="88"/>
        <v>8.1570261795193263E-2</v>
      </c>
      <c r="Z414" s="1">
        <f t="shared" si="78"/>
        <v>0.1632523001944656</v>
      </c>
      <c r="AA414" s="8">
        <f t="shared" si="83"/>
        <v>33.499999999999858</v>
      </c>
      <c r="AB414" s="1">
        <v>33.58</v>
      </c>
      <c r="AC414" s="1">
        <v>7.6042146530000002E-3</v>
      </c>
      <c r="AD414" s="8">
        <f t="shared" si="79"/>
        <v>1.6483640650059774</v>
      </c>
      <c r="AE414" s="3">
        <f t="shared" si="80"/>
        <v>2.1676979678048252E-2</v>
      </c>
      <c r="AF414" s="11">
        <f t="shared" si="81"/>
        <v>33.499999999999858</v>
      </c>
      <c r="AG414" s="1">
        <f t="shared" si="82"/>
        <v>0.1632523001944656</v>
      </c>
    </row>
    <row r="415" spans="2:33" ht="15" x14ac:dyDescent="0.25">
      <c r="B415" s="1">
        <v>404</v>
      </c>
      <c r="C415" s="1">
        <v>1.000689373251006</v>
      </c>
      <c r="D415" s="1">
        <v>1.2081853066184198</v>
      </c>
      <c r="E415" s="1">
        <v>0.82678059877146415</v>
      </c>
      <c r="G415" s="1">
        <v>0.99966945425585652</v>
      </c>
      <c r="H415" s="1">
        <v>4.8891680695979547</v>
      </c>
      <c r="I415" s="1">
        <v>0.16809186666325687</v>
      </c>
      <c r="K415" s="1">
        <v>0.99991903820797723</v>
      </c>
      <c r="L415" s="1">
        <v>5.8119902109544608</v>
      </c>
      <c r="M415" s="1">
        <v>0.13870720660554917</v>
      </c>
      <c r="O415" s="1">
        <v>7.4379146488140722E-3</v>
      </c>
      <c r="P415" s="1">
        <v>0.77848170120771265</v>
      </c>
      <c r="R415" s="1">
        <v>0.22367356970185454</v>
      </c>
      <c r="S415" s="2">
        <f t="shared" si="84"/>
        <v>0.94782407607788</v>
      </c>
      <c r="T415" s="4">
        <f t="shared" si="85"/>
        <v>0.89837047919288682</v>
      </c>
      <c r="U415" s="1">
        <f t="shared" si="77"/>
        <v>0.52039190137109959</v>
      </c>
      <c r="V415" s="6">
        <f>2*sigma/alpha*corel*(B415/12-1/alpha*(1-EXP(-alpha*Output!B415/12)))</f>
        <v>1.8961640729373883</v>
      </c>
      <c r="W415" s="5">
        <f t="shared" si="86"/>
        <v>-0.37797857782178723</v>
      </c>
      <c r="X415" s="1">
        <f t="shared" si="87"/>
        <v>54.496553338165846</v>
      </c>
      <c r="Y415" s="3">
        <f t="shared" si="88"/>
        <v>8.1475455684555026E-2</v>
      </c>
      <c r="Z415" s="1">
        <f t="shared" si="78"/>
        <v>0.16335321135256162</v>
      </c>
      <c r="AA415" s="8">
        <f t="shared" si="83"/>
        <v>33.583333333333194</v>
      </c>
      <c r="AB415" s="1">
        <v>33.67</v>
      </c>
      <c r="AC415" s="1">
        <v>7.6038165370000002E-3</v>
      </c>
      <c r="AD415" s="8">
        <f t="shared" si="79"/>
        <v>1.6590188818592799</v>
      </c>
      <c r="AE415" s="3">
        <f t="shared" si="80"/>
        <v>2.1818239219562063E-2</v>
      </c>
      <c r="AF415" s="11">
        <f t="shared" si="81"/>
        <v>33.583333333333194</v>
      </c>
      <c r="AG415" s="1">
        <f t="shared" si="82"/>
        <v>0.16335321135256162</v>
      </c>
    </row>
    <row r="416" spans="2:33" ht="15" x14ac:dyDescent="0.25">
      <c r="B416" s="1">
        <v>405</v>
      </c>
      <c r="C416" s="1">
        <v>1.0006904550130249</v>
      </c>
      <c r="D416" s="1">
        <v>1.2112043266488817</v>
      </c>
      <c r="E416" s="1">
        <v>0.82471797233504629</v>
      </c>
      <c r="G416" s="1">
        <v>0.99960685973777252</v>
      </c>
      <c r="H416" s="1">
        <v>4.9992433648145882</v>
      </c>
      <c r="I416" s="1">
        <v>0.16431121865017562</v>
      </c>
      <c r="K416" s="1">
        <v>0.99982729442713192</v>
      </c>
      <c r="L416" s="1">
        <v>6.0520223316526156</v>
      </c>
      <c r="M416" s="1">
        <v>0.13313242192335847</v>
      </c>
      <c r="O416" s="1">
        <v>7.4364536963051238E-3</v>
      </c>
      <c r="P416" s="1">
        <v>0.77803768921945582</v>
      </c>
      <c r="R416" s="1">
        <v>0.22407204736819755</v>
      </c>
      <c r="S416" s="2">
        <f t="shared" si="84"/>
        <v>0.94998894711091375</v>
      </c>
      <c r="T416" s="4">
        <f t="shared" si="85"/>
        <v>0.90247899963290246</v>
      </c>
      <c r="U416" s="1">
        <f t="shared" si="77"/>
        <v>0.52324650769048153</v>
      </c>
      <c r="V416" s="6">
        <f>2*sigma/alpha*corel*(B416/12-1/alpha*(1-EXP(-alpha*Output!B416/12)))</f>
        <v>1.9038758145184111</v>
      </c>
      <c r="W416" s="5">
        <f t="shared" si="86"/>
        <v>-0.37923249194242092</v>
      </c>
      <c r="X416" s="1">
        <f t="shared" si="87"/>
        <v>54.821129529334968</v>
      </c>
      <c r="Y416" s="3">
        <f t="shared" si="88"/>
        <v>8.1485235659651573E-2</v>
      </c>
      <c r="Z416" s="1">
        <f t="shared" si="78"/>
        <v>0.16352406094407501</v>
      </c>
      <c r="AA416" s="8">
        <f t="shared" si="83"/>
        <v>33.666666666666529</v>
      </c>
      <c r="AB416" s="1">
        <v>33.75</v>
      </c>
      <c r="AC416" s="1">
        <v>7.6034203790000003E-3</v>
      </c>
      <c r="AD416" s="8">
        <f t="shared" si="79"/>
        <v>1.6696668269487649</v>
      </c>
      <c r="AE416" s="3">
        <f t="shared" si="80"/>
        <v>2.1959417521622802E-2</v>
      </c>
      <c r="AF416" s="11">
        <f t="shared" si="81"/>
        <v>33.666666666666529</v>
      </c>
      <c r="AG416" s="1">
        <f t="shared" si="82"/>
        <v>0.16352406094407501</v>
      </c>
    </row>
    <row r="417" spans="2:33" ht="15" x14ac:dyDescent="0.25">
      <c r="B417" s="1">
        <v>406</v>
      </c>
      <c r="C417" s="1">
        <v>1.0006917884853956</v>
      </c>
      <c r="D417" s="1">
        <v>1.213526429830631</v>
      </c>
      <c r="E417" s="1">
        <v>0.82313804791769107</v>
      </c>
      <c r="G417" s="1">
        <v>0.99956235573778518</v>
      </c>
      <c r="H417" s="1">
        <v>5.0840645581839077</v>
      </c>
      <c r="I417" s="1">
        <v>0.16149172241972981</v>
      </c>
      <c r="K417" s="1">
        <v>0.99961203177371782</v>
      </c>
      <c r="L417" s="1">
        <v>6.0453152641603447</v>
      </c>
      <c r="M417" s="1">
        <v>0.13321029577963781</v>
      </c>
      <c r="O417" s="1">
        <v>7.4349401583407061E-3</v>
      </c>
      <c r="P417" s="1">
        <v>0.77759550326524984</v>
      </c>
      <c r="R417" s="1">
        <v>0.22446977206010324</v>
      </c>
      <c r="S417" s="2">
        <f t="shared" si="84"/>
        <v>0.95215017109387978</v>
      </c>
      <c r="T417" s="4">
        <f t="shared" si="85"/>
        <v>0.90658994831410455</v>
      </c>
      <c r="U417" s="1">
        <f t="shared" si="77"/>
        <v>0.52610778188274621</v>
      </c>
      <c r="V417" s="6">
        <f>2*sigma/alpha*corel*(B417/12-1/alpha*(1-EXP(-alpha*Output!B417/12)))</f>
        <v>1.9115965575057072</v>
      </c>
      <c r="W417" s="5">
        <f t="shared" si="86"/>
        <v>-0.38048216643135835</v>
      </c>
      <c r="X417" s="1">
        <f t="shared" si="87"/>
        <v>55.146121255711499</v>
      </c>
      <c r="Y417" s="3">
        <f t="shared" si="88"/>
        <v>8.1494288986389052E-2</v>
      </c>
      <c r="Z417" s="1">
        <f t="shared" si="78"/>
        <v>0.16369411113151289</v>
      </c>
      <c r="AA417" s="8">
        <f t="shared" si="83"/>
        <v>33.749999999999865</v>
      </c>
      <c r="AB417" s="1">
        <v>33.83</v>
      </c>
      <c r="AC417" s="1">
        <v>7.6030261710000003E-3</v>
      </c>
      <c r="AD417" s="8">
        <f t="shared" si="79"/>
        <v>1.6808601265929419</v>
      </c>
      <c r="AE417" s="3">
        <f t="shared" si="80"/>
        <v>2.2107777729401978E-2</v>
      </c>
      <c r="AF417" s="11">
        <f t="shared" si="81"/>
        <v>33.749999999999865</v>
      </c>
      <c r="AG417" s="1">
        <f t="shared" si="82"/>
        <v>0.16369411113151289</v>
      </c>
    </row>
    <row r="418" spans="2:33" ht="15" x14ac:dyDescent="0.25">
      <c r="B418" s="1">
        <v>407</v>
      </c>
      <c r="C418" s="1">
        <v>1.0006934003323691</v>
      </c>
      <c r="D418" s="1">
        <v>1.2125792374184896</v>
      </c>
      <c r="E418" s="1">
        <v>0.8237792140578466</v>
      </c>
      <c r="G418" s="1">
        <v>0.99950908866976773</v>
      </c>
      <c r="H418" s="1">
        <v>5.0416070203096686</v>
      </c>
      <c r="I418" s="1">
        <v>0.1627729217473835</v>
      </c>
      <c r="K418" s="1">
        <v>0.99954222629255085</v>
      </c>
      <c r="L418" s="1">
        <v>5.892116194411865</v>
      </c>
      <c r="M418" s="1">
        <v>0.136601112914186</v>
      </c>
      <c r="O418" s="1">
        <v>7.4333253194322334E-3</v>
      </c>
      <c r="P418" s="1">
        <v>0.77715643480466756</v>
      </c>
      <c r="R418" s="1">
        <v>0.22491537450587062</v>
      </c>
      <c r="S418" s="2">
        <f t="shared" si="84"/>
        <v>0.95446569602429965</v>
      </c>
      <c r="T418" s="4">
        <f t="shared" si="85"/>
        <v>0.91100476488715076</v>
      </c>
      <c r="U418" s="1">
        <f t="shared" si="77"/>
        <v>0.5289757094983063</v>
      </c>
      <c r="V418" s="6">
        <f>2*sigma/alpha*corel*(B418/12-1/alpha*(1-EXP(-alpha*Output!B418/12)))</f>
        <v>1.9193262719445414</v>
      </c>
      <c r="W418" s="5">
        <f t="shared" si="86"/>
        <v>-0.38202905538884446</v>
      </c>
      <c r="X418" s="1">
        <f t="shared" si="87"/>
        <v>55.512421852596432</v>
      </c>
      <c r="Y418" s="3">
        <f t="shared" si="88"/>
        <v>8.1543089844412095E-2</v>
      </c>
      <c r="Z418" s="1">
        <f t="shared" si="78"/>
        <v>0.16389048583741553</v>
      </c>
      <c r="AA418" s="8">
        <f t="shared" si="83"/>
        <v>33.833333333333201</v>
      </c>
      <c r="AB418" s="1">
        <v>33.92</v>
      </c>
      <c r="AC418" s="1">
        <v>7.6026339030000004E-3</v>
      </c>
      <c r="AD418" s="8">
        <f t="shared" si="79"/>
        <v>1.6930858356776699</v>
      </c>
      <c r="AE418" s="3">
        <f t="shared" si="80"/>
        <v>2.2269727271881104E-2</v>
      </c>
      <c r="AF418" s="11">
        <f t="shared" si="81"/>
        <v>33.833333333333201</v>
      </c>
      <c r="AG418" s="1">
        <f t="shared" si="82"/>
        <v>0.16389048583741553</v>
      </c>
    </row>
    <row r="419" spans="2:33" ht="15" x14ac:dyDescent="0.25">
      <c r="B419" s="1">
        <v>408</v>
      </c>
      <c r="C419" s="1">
        <v>1.000693788491493</v>
      </c>
      <c r="D419" s="1">
        <v>1.2100484855784097</v>
      </c>
      <c r="E419" s="1">
        <v>0.82550027856009145</v>
      </c>
      <c r="G419" s="1">
        <v>0.99937053042264057</v>
      </c>
      <c r="H419" s="1">
        <v>4.9459555988637129</v>
      </c>
      <c r="I419" s="1">
        <v>0.16584056251237916</v>
      </c>
      <c r="K419" s="1">
        <v>0.9995741171235053</v>
      </c>
      <c r="L419" s="1">
        <v>5.8626635957537445</v>
      </c>
      <c r="M419" s="1">
        <v>0.13721377867974477</v>
      </c>
      <c r="O419" s="1">
        <v>7.431715472549812E-3</v>
      </c>
      <c r="P419" s="1">
        <v>0.77671769147784309</v>
      </c>
      <c r="R419" s="1">
        <v>0.22526750067854459</v>
      </c>
      <c r="S419" s="2">
        <f t="shared" si="84"/>
        <v>0.9564745136235755</v>
      </c>
      <c r="T419" s="4">
        <f t="shared" si="85"/>
        <v>0.91484349521145536</v>
      </c>
      <c r="U419" s="1">
        <f t="shared" si="77"/>
        <v>0.53185027608423496</v>
      </c>
      <c r="V419" s="6">
        <f>2*sigma/alpha*corel*(B419/12-1/alpha*(1-EXP(-alpha*Output!B419/12)))</f>
        <v>1.927064927979862</v>
      </c>
      <c r="W419" s="5">
        <f t="shared" si="86"/>
        <v>-0.3829932191272204</v>
      </c>
      <c r="X419" s="1">
        <f t="shared" si="87"/>
        <v>55.800657037952007</v>
      </c>
      <c r="Y419" s="3">
        <f t="shared" si="88"/>
        <v>8.1513511904154262E-2</v>
      </c>
      <c r="Z419" s="1">
        <f t="shared" si="78"/>
        <v>0.16403402581131249</v>
      </c>
      <c r="AA419" s="8">
        <f t="shared" si="83"/>
        <v>33.916666666666536</v>
      </c>
      <c r="AB419" s="1">
        <v>34</v>
      </c>
      <c r="AC419" s="1">
        <v>7.6022435640000002E-3</v>
      </c>
      <c r="AD419" s="8">
        <f t="shared" si="79"/>
        <v>1.7052809145018821</v>
      </c>
      <c r="AE419" s="3">
        <f t="shared" si="80"/>
        <v>2.2431284924586535E-2</v>
      </c>
      <c r="AF419" s="11">
        <f t="shared" si="81"/>
        <v>33.916666666666536</v>
      </c>
      <c r="AG419" s="1">
        <f t="shared" si="82"/>
        <v>0.16403402581131249</v>
      </c>
    </row>
    <row r="420" spans="2:33" ht="15" x14ac:dyDescent="0.25">
      <c r="B420" s="1">
        <v>409</v>
      </c>
      <c r="C420" s="1">
        <v>1.0006943082360058</v>
      </c>
      <c r="D420" s="1">
        <v>1.2113736361515763</v>
      </c>
      <c r="E420" s="1">
        <v>0.82459541603470687</v>
      </c>
      <c r="G420" s="1">
        <v>0.99923728529271816</v>
      </c>
      <c r="H420" s="1">
        <v>4.9917409857273256</v>
      </c>
      <c r="I420" s="1">
        <v>0.16423993244546289</v>
      </c>
      <c r="K420" s="1">
        <v>0.99967073539282636</v>
      </c>
      <c r="L420" s="1">
        <v>5.5433276272680585</v>
      </c>
      <c r="M420" s="1">
        <v>0.14504262281637229</v>
      </c>
      <c r="O420" s="1">
        <v>7.4300919630978218E-3</v>
      </c>
      <c r="P420" s="1">
        <v>0.77627976561211598</v>
      </c>
      <c r="R420" s="1">
        <v>0.22566131208142873</v>
      </c>
      <c r="S420" s="2">
        <f t="shared" si="84"/>
        <v>0.95862160327678114</v>
      </c>
      <c r="T420" s="4">
        <f t="shared" si="85"/>
        <v>0.91895537826894635</v>
      </c>
      <c r="U420" s="1">
        <f t="shared" si="77"/>
        <v>0.5347314671846144</v>
      </c>
      <c r="V420" s="6">
        <f>2*sigma/alpha*corel*(B420/12-1/alpha*(1-EXP(-alpha*Output!B420/12)))</f>
        <v>1.9348124958559678</v>
      </c>
      <c r="W420" s="5">
        <f t="shared" si="86"/>
        <v>-0.38422391108433196</v>
      </c>
      <c r="X420" s="1">
        <f t="shared" si="87"/>
        <v>56.126025938617659</v>
      </c>
      <c r="Y420" s="3">
        <f t="shared" si="88"/>
        <v>8.1519579575753037E-2</v>
      </c>
      <c r="Z420" s="1">
        <f t="shared" si="78"/>
        <v>0.16420114490566423</v>
      </c>
      <c r="AA420" s="8">
        <f t="shared" si="83"/>
        <v>33.999999999999872</v>
      </c>
      <c r="AB420" s="1">
        <v>34.08</v>
      </c>
      <c r="AC420" s="1">
        <v>7.6018551470000001E-3</v>
      </c>
      <c r="AD420" s="8">
        <f t="shared" si="79"/>
        <v>1.7176318390217833</v>
      </c>
      <c r="AE420" s="3">
        <f t="shared" si="80"/>
        <v>2.2594903557188017E-2</v>
      </c>
      <c r="AF420" s="11">
        <f t="shared" si="81"/>
        <v>33.999999999999872</v>
      </c>
      <c r="AG420" s="1">
        <f t="shared" si="82"/>
        <v>0.16420114490566423</v>
      </c>
    </row>
    <row r="421" spans="2:33" ht="15" x14ac:dyDescent="0.25">
      <c r="B421" s="1">
        <v>410</v>
      </c>
      <c r="C421" s="1">
        <v>1.0006972130013154</v>
      </c>
      <c r="D421" s="1">
        <v>1.207442362852003</v>
      </c>
      <c r="E421" s="1">
        <v>0.82727835153628226</v>
      </c>
      <c r="G421" s="1">
        <v>0.99931239053764453</v>
      </c>
      <c r="H421" s="1">
        <v>4.8511391617378727</v>
      </c>
      <c r="I421" s="1">
        <v>0.16891837321392084</v>
      </c>
      <c r="K421" s="1">
        <v>0.99966191818311623</v>
      </c>
      <c r="L421" s="1">
        <v>5.5444256303821433</v>
      </c>
      <c r="M421" s="1">
        <v>0.14493834127807045</v>
      </c>
      <c r="O421" s="1">
        <v>7.4284413460428992E-3</v>
      </c>
      <c r="P421" s="1">
        <v>0.77584301515437348</v>
      </c>
      <c r="R421" s="1">
        <v>0.22604334908183826</v>
      </c>
      <c r="S421" s="2">
        <f t="shared" si="84"/>
        <v>0.96072979354169008</v>
      </c>
      <c r="T421" s="4">
        <f t="shared" si="85"/>
        <v>0.92300173619865844</v>
      </c>
      <c r="U421" s="1">
        <f t="shared" si="77"/>
        <v>0.53761926834088936</v>
      </c>
      <c r="V421" s="6">
        <f>2*sigma/alpha*corel*(B421/12-1/alpha*(1-EXP(-alpha*Output!B421/12)))</f>
        <v>1.942568945916177</v>
      </c>
      <c r="W421" s="5">
        <f t="shared" si="86"/>
        <v>-0.38538246785776908</v>
      </c>
      <c r="X421" s="1">
        <f t="shared" si="87"/>
        <v>56.442511383532988</v>
      </c>
      <c r="Y421" s="3">
        <f t="shared" si="88"/>
        <v>8.1515914889878874E-2</v>
      </c>
      <c r="Z421" s="1">
        <f t="shared" si="78"/>
        <v>0.1643614460933949</v>
      </c>
      <c r="AA421" s="8">
        <f t="shared" si="83"/>
        <v>34.083333333333208</v>
      </c>
      <c r="AB421" s="1">
        <v>34.17</v>
      </c>
      <c r="AC421" s="1">
        <v>7.6014686400000002E-3</v>
      </c>
      <c r="AD421" s="8">
        <f t="shared" si="79"/>
        <v>1.7302729395710092</v>
      </c>
      <c r="AE421" s="3">
        <f t="shared" si="80"/>
        <v>2.2762350560338682E-2</v>
      </c>
      <c r="AF421" s="11">
        <f t="shared" si="81"/>
        <v>34.083333333333208</v>
      </c>
      <c r="AG421" s="1">
        <f t="shared" si="82"/>
        <v>0.1643614460933949</v>
      </c>
    </row>
    <row r="422" spans="2:33" ht="15" x14ac:dyDescent="0.25">
      <c r="B422" s="1">
        <v>411</v>
      </c>
      <c r="C422" s="1">
        <v>1.0006956144560288</v>
      </c>
      <c r="D422" s="1">
        <v>1.2063539750729686</v>
      </c>
      <c r="E422" s="1">
        <v>0.82802288896814014</v>
      </c>
      <c r="G422" s="1">
        <v>0.99902076367873982</v>
      </c>
      <c r="H422" s="1">
        <v>4.8084361380455132</v>
      </c>
      <c r="I422" s="1">
        <v>0.17033605849299413</v>
      </c>
      <c r="K422" s="1">
        <v>0.99931897583318008</v>
      </c>
      <c r="L422" s="1">
        <v>5.6629261463526266</v>
      </c>
      <c r="M422" s="1">
        <v>0.14183011258656039</v>
      </c>
      <c r="O422" s="1">
        <v>7.4268750706092046E-3</v>
      </c>
      <c r="P422" s="1">
        <v>0.77540448382312566</v>
      </c>
      <c r="R422" s="1">
        <v>0.22636797261323169</v>
      </c>
      <c r="S422" s="2">
        <f t="shared" si="84"/>
        <v>0.96265366635596883</v>
      </c>
      <c r="T422" s="4">
        <f t="shared" si="85"/>
        <v>0.926702081348589</v>
      </c>
      <c r="U422" s="1">
        <f t="shared" si="77"/>
        <v>0.5405136650922131</v>
      </c>
      <c r="V422" s="6">
        <f>2*sigma/alpha*corel*(B422/12-1/alpha*(1-EXP(-alpha*Output!B422/12)))</f>
        <v>1.950334248602501</v>
      </c>
      <c r="W422" s="5">
        <f t="shared" si="86"/>
        <v>-0.3861884162563759</v>
      </c>
      <c r="X422" s="1">
        <f t="shared" si="87"/>
        <v>56.711616708395375</v>
      </c>
      <c r="Y422" s="3">
        <f t="shared" si="88"/>
        <v>8.1465362315326348E-2</v>
      </c>
      <c r="Z422" s="1">
        <f t="shared" si="78"/>
        <v>0.16449010631606756</v>
      </c>
      <c r="AA422" s="8">
        <f t="shared" si="83"/>
        <v>34.166666666666544</v>
      </c>
      <c r="AB422" s="1">
        <v>34.25</v>
      </c>
      <c r="AC422" s="1">
        <v>7.6010840289999996E-3</v>
      </c>
      <c r="AD422" s="8">
        <f t="shared" si="79"/>
        <v>1.7420895839079502</v>
      </c>
      <c r="AE422" s="3">
        <f t="shared" si="80"/>
        <v>2.2918962311973545E-2</v>
      </c>
      <c r="AF422" s="11">
        <f t="shared" si="81"/>
        <v>34.166666666666544</v>
      </c>
      <c r="AG422" s="1">
        <f t="shared" si="82"/>
        <v>0.16449010631606756</v>
      </c>
    </row>
    <row r="423" spans="2:33" ht="15" x14ac:dyDescent="0.25">
      <c r="B423" s="1">
        <v>412</v>
      </c>
      <c r="C423" s="1">
        <v>1.0006980221628585</v>
      </c>
      <c r="D423" s="1">
        <v>1.2111597942929382</v>
      </c>
      <c r="E423" s="1">
        <v>0.82473549646826971</v>
      </c>
      <c r="G423" s="1">
        <v>0.99905499128133635</v>
      </c>
      <c r="H423" s="1">
        <v>4.9821617427942844</v>
      </c>
      <c r="I423" s="1">
        <v>0.16431698022815808</v>
      </c>
      <c r="K423" s="1">
        <v>0.99926959551100714</v>
      </c>
      <c r="L423" s="1">
        <v>5.7501794188241862</v>
      </c>
      <c r="M423" s="1">
        <v>0.13959911990285745</v>
      </c>
      <c r="O423" s="1">
        <v>7.4253344211280426E-3</v>
      </c>
      <c r="P423" s="1">
        <v>0.7749657208315901</v>
      </c>
      <c r="R423" s="1">
        <v>0.2267319518403596</v>
      </c>
      <c r="S423" s="2">
        <f t="shared" si="84"/>
        <v>0.96471032445580951</v>
      </c>
      <c r="T423" s="4">
        <f t="shared" si="85"/>
        <v>0.9306660101116333</v>
      </c>
      <c r="U423" s="1">
        <f t="shared" si="77"/>
        <v>0.54341464297578668</v>
      </c>
      <c r="V423" s="6">
        <f>2*sigma/alpha*corel*(B423/12-1/alpha*(1-EXP(-alpha*Output!B423/12)))</f>
        <v>1.9581083744553123</v>
      </c>
      <c r="W423" s="5">
        <f t="shared" si="86"/>
        <v>-0.38725136713584662</v>
      </c>
      <c r="X423" s="1">
        <f t="shared" si="87"/>
        <v>57.016709492768292</v>
      </c>
      <c r="Y423" s="3">
        <f t="shared" si="88"/>
        <v>8.1449018343477272E-2</v>
      </c>
      <c r="Z423" s="1">
        <f t="shared" si="78"/>
        <v>0.1646413586968436</v>
      </c>
      <c r="AA423" s="8">
        <f t="shared" si="83"/>
        <v>34.249999999999879</v>
      </c>
      <c r="AB423" s="1">
        <v>34.33</v>
      </c>
      <c r="AC423" s="1">
        <v>7.6007012989999997E-3</v>
      </c>
      <c r="AD423" s="8">
        <f t="shared" si="79"/>
        <v>1.7536687787195713</v>
      </c>
      <c r="AE423" s="3">
        <f t="shared" si="80"/>
        <v>2.307246015509511E-2</v>
      </c>
      <c r="AF423" s="11">
        <f t="shared" si="81"/>
        <v>34.249999999999879</v>
      </c>
      <c r="AG423" s="1">
        <f t="shared" si="82"/>
        <v>0.1646413586968436</v>
      </c>
    </row>
    <row r="424" spans="2:33" ht="15" x14ac:dyDescent="0.25">
      <c r="B424" s="1">
        <v>413</v>
      </c>
      <c r="C424" s="1">
        <v>1.0006999544673436</v>
      </c>
      <c r="D424" s="1">
        <v>1.2128578201031495</v>
      </c>
      <c r="E424" s="1">
        <v>0.82357900779607685</v>
      </c>
      <c r="G424" s="1">
        <v>0.99903032219357391</v>
      </c>
      <c r="H424" s="1">
        <v>5.0422511065424569</v>
      </c>
      <c r="I424" s="1">
        <v>0.16228023126675223</v>
      </c>
      <c r="K424" s="1">
        <v>0.99928838428472155</v>
      </c>
      <c r="L424" s="1">
        <v>5.98950476634033</v>
      </c>
      <c r="M424" s="1">
        <v>0.13395042107105623</v>
      </c>
      <c r="O424" s="1">
        <v>7.4237631302703066E-3</v>
      </c>
      <c r="P424" s="1">
        <v>0.77452822179040959</v>
      </c>
      <c r="R424" s="1">
        <v>0.22714848800490847</v>
      </c>
      <c r="S424" s="2">
        <f t="shared" si="84"/>
        <v>0.96694093632286049</v>
      </c>
      <c r="T424" s="4">
        <f t="shared" si="85"/>
        <v>0.9349747743369301</v>
      </c>
      <c r="U424" s="1">
        <f t="shared" si="77"/>
        <v>0.54632218752719997</v>
      </c>
      <c r="V424" s="6">
        <f>2*sigma/alpha*corel*(B424/12-1/alpha*(1-EXP(-alpha*Output!B424/12)))</f>
        <v>1.9658912941130193</v>
      </c>
      <c r="W424" s="5">
        <f t="shared" si="86"/>
        <v>-0.38865258680973014</v>
      </c>
      <c r="X424" s="1">
        <f t="shared" si="87"/>
        <v>57.369234697742215</v>
      </c>
      <c r="Y424" s="3">
        <f t="shared" si="88"/>
        <v>8.1477338984602216E-2</v>
      </c>
      <c r="Z424" s="1">
        <f t="shared" si="78"/>
        <v>0.16482213828509096</v>
      </c>
      <c r="AA424" s="8">
        <f t="shared" si="83"/>
        <v>34.333333333333215</v>
      </c>
      <c r="AB424" s="1">
        <v>34.42</v>
      </c>
      <c r="AC424" s="1">
        <v>7.6003204370000002E-3</v>
      </c>
      <c r="AD424" s="8">
        <f t="shared" si="79"/>
        <v>1.7655730672969365</v>
      </c>
      <c r="AE424" s="3">
        <f t="shared" si="80"/>
        <v>2.3230245118373506E-2</v>
      </c>
      <c r="AF424" s="11">
        <f t="shared" si="81"/>
        <v>34.333333333333215</v>
      </c>
      <c r="AG424" s="1">
        <f t="shared" si="82"/>
        <v>0.16482213828509096</v>
      </c>
    </row>
    <row r="425" spans="2:33" ht="15" x14ac:dyDescent="0.25">
      <c r="B425" s="1">
        <v>414</v>
      </c>
      <c r="C425" s="1">
        <v>1.0007033788149946</v>
      </c>
      <c r="D425" s="1">
        <v>1.2152994904081631</v>
      </c>
      <c r="E425" s="1">
        <v>0.82192250472340966</v>
      </c>
      <c r="G425" s="1">
        <v>0.99912344980788259</v>
      </c>
      <c r="H425" s="1">
        <v>5.1342513743513436</v>
      </c>
      <c r="I425" s="1">
        <v>0.15929523291671799</v>
      </c>
      <c r="K425" s="1">
        <v>0.99948105179884505</v>
      </c>
      <c r="L425" s="1">
        <v>6.1351432559943158</v>
      </c>
      <c r="M425" s="1">
        <v>0.13070076880428003</v>
      </c>
      <c r="O425" s="1">
        <v>7.4221215907206012E-3</v>
      </c>
      <c r="P425" s="1">
        <v>0.77409304852930672</v>
      </c>
      <c r="R425" s="1">
        <v>0.22760224092749018</v>
      </c>
      <c r="S425" s="2">
        <f t="shared" si="84"/>
        <v>0.96929295827392692</v>
      </c>
      <c r="T425" s="4">
        <f t="shared" si="85"/>
        <v>0.93952883895942063</v>
      </c>
      <c r="U425" s="1">
        <f t="shared" si="77"/>
        <v>0.54923628428077009</v>
      </c>
      <c r="V425" s="6">
        <f>2*sigma/alpha*corel*(B425/12-1/alpha*(1-EXP(-alpha*Output!B425/12)))</f>
        <v>1.9736829783117393</v>
      </c>
      <c r="W425" s="5">
        <f t="shared" si="86"/>
        <v>-0.39029255467865054</v>
      </c>
      <c r="X425" s="1">
        <f t="shared" si="87"/>
        <v>57.755797044531271</v>
      </c>
      <c r="Y425" s="3">
        <f t="shared" si="88"/>
        <v>8.1536818933764452E-2</v>
      </c>
      <c r="Z425" s="1">
        <f t="shared" si="78"/>
        <v>0.1650233921898295</v>
      </c>
      <c r="AA425" s="8">
        <f t="shared" si="83"/>
        <v>34.416666666666551</v>
      </c>
      <c r="AB425" s="1">
        <v>34.5</v>
      </c>
      <c r="AC425" s="1">
        <v>7.5999414259999998E-3</v>
      </c>
      <c r="AD425" s="8">
        <f t="shared" si="79"/>
        <v>1.7781983527939866</v>
      </c>
      <c r="AE425" s="3">
        <f t="shared" si="80"/>
        <v>2.3397527074493361E-2</v>
      </c>
      <c r="AF425" s="11">
        <f t="shared" si="81"/>
        <v>34.416666666666551</v>
      </c>
      <c r="AG425" s="1">
        <f t="shared" si="82"/>
        <v>0.1650233921898295</v>
      </c>
    </row>
    <row r="426" spans="2:33" ht="15" x14ac:dyDescent="0.25">
      <c r="B426" s="1">
        <v>415</v>
      </c>
      <c r="C426" s="1">
        <v>1.0007045040564357</v>
      </c>
      <c r="D426" s="1">
        <v>1.2159977564856737</v>
      </c>
      <c r="E426" s="1">
        <v>0.82144868420087591</v>
      </c>
      <c r="G426" s="1">
        <v>0.99905156869946676</v>
      </c>
      <c r="H426" s="1">
        <v>5.1570645533472703</v>
      </c>
      <c r="I426" s="1">
        <v>0.1585138293815804</v>
      </c>
      <c r="K426" s="1">
        <v>0.99915432882935651</v>
      </c>
      <c r="L426" s="1">
        <v>6.0735559188785073</v>
      </c>
      <c r="M426" s="1">
        <v>0.13195592070662529</v>
      </c>
      <c r="O426" s="1">
        <v>7.4204960311180807E-3</v>
      </c>
      <c r="P426" s="1">
        <v>0.77365790388367117</v>
      </c>
      <c r="R426" s="1">
        <v>0.22797021568506484</v>
      </c>
      <c r="S426" s="2">
        <f t="shared" si="84"/>
        <v>0.97136275842807751</v>
      </c>
      <c r="T426" s="4">
        <f t="shared" si="85"/>
        <v>0.94354560846100366</v>
      </c>
      <c r="U426" s="1">
        <f t="shared" si="77"/>
        <v>0.55215691876986872</v>
      </c>
      <c r="V426" s="6">
        <f>2*sigma/alpha*corel*(B426/12-1/alpha*(1-EXP(-alpha*Output!B426/12)))</f>
        <v>1.9814833978849733</v>
      </c>
      <c r="W426" s="5">
        <f t="shared" si="86"/>
        <v>-0.39138868969113494</v>
      </c>
      <c r="X426" s="1">
        <f t="shared" si="87"/>
        <v>58.06837853003411</v>
      </c>
      <c r="Y426" s="3">
        <f t="shared" si="88"/>
        <v>8.152449623196846E-2</v>
      </c>
      <c r="Z426" s="1">
        <f t="shared" si="78"/>
        <v>0.16517641027009808</v>
      </c>
      <c r="AA426" s="8">
        <f t="shared" si="83"/>
        <v>34.499999999999886</v>
      </c>
      <c r="AB426" s="1">
        <v>34.58</v>
      </c>
      <c r="AC426" s="1">
        <v>7.5995642520000004E-3</v>
      </c>
      <c r="AD426" s="8">
        <f t="shared" si="79"/>
        <v>1.7906822088191963</v>
      </c>
      <c r="AE426" s="3">
        <f t="shared" si="80"/>
        <v>2.3562958999233895E-2</v>
      </c>
      <c r="AF426" s="11">
        <f t="shared" si="81"/>
        <v>34.499999999999886</v>
      </c>
      <c r="AG426" s="1">
        <f t="shared" si="82"/>
        <v>0.16517641027009808</v>
      </c>
    </row>
    <row r="427" spans="2:33" ht="15" x14ac:dyDescent="0.25">
      <c r="B427" s="1">
        <v>416</v>
      </c>
      <c r="C427" s="1">
        <v>1.0007048621278676</v>
      </c>
      <c r="D427" s="1">
        <v>1.2153335787710915</v>
      </c>
      <c r="E427" s="1">
        <v>0.82189575398760073</v>
      </c>
      <c r="G427" s="1">
        <v>0.99892377303008284</v>
      </c>
      <c r="H427" s="1">
        <v>5.1277086156112182</v>
      </c>
      <c r="I427" s="1">
        <v>0.15934417955677962</v>
      </c>
      <c r="K427" s="1">
        <v>0.99892758345482646</v>
      </c>
      <c r="L427" s="1">
        <v>5.9305871998611668</v>
      </c>
      <c r="M427" s="1">
        <v>0.13506705457366838</v>
      </c>
      <c r="O427" s="1">
        <v>7.4188099039553456E-3</v>
      </c>
      <c r="P427" s="1">
        <v>0.77322483685417498</v>
      </c>
      <c r="R427" s="1">
        <v>0.22825702365246506</v>
      </c>
      <c r="S427" s="2">
        <f t="shared" si="84"/>
        <v>0.97316099031709236</v>
      </c>
      <c r="T427" s="4">
        <f t="shared" si="85"/>
        <v>0.94704231307494391</v>
      </c>
      <c r="U427" s="1">
        <f t="shared" si="77"/>
        <v>0.55508407652725511</v>
      </c>
      <c r="V427" s="6">
        <f>2*sigma/alpha*corel*(B427/12-1/alpha*(1-EXP(-alpha*Output!B427/12)))</f>
        <v>1.9892925237632815</v>
      </c>
      <c r="W427" s="5">
        <f t="shared" si="86"/>
        <v>-0.3919582365476888</v>
      </c>
      <c r="X427" s="1">
        <f t="shared" si="87"/>
        <v>58.308826879713337</v>
      </c>
      <c r="Y427" s="3">
        <f t="shared" si="88"/>
        <v>8.1443208778569531E-2</v>
      </c>
      <c r="Z427" s="1">
        <f t="shared" si="78"/>
        <v>0.16528317597921827</v>
      </c>
      <c r="AA427" s="8">
        <f t="shared" si="83"/>
        <v>34.583333333333222</v>
      </c>
      <c r="AB427" s="1">
        <v>34.67</v>
      </c>
      <c r="AC427" s="1">
        <v>7.5991888999999996E-3</v>
      </c>
      <c r="AD427" s="8">
        <f t="shared" si="79"/>
        <v>1.8037899604465402</v>
      </c>
      <c r="AE427" s="3">
        <f t="shared" si="80"/>
        <v>2.3736611685577922E-2</v>
      </c>
      <c r="AF427" s="11">
        <f t="shared" si="81"/>
        <v>34.583333333333222</v>
      </c>
      <c r="AG427" s="1">
        <f t="shared" si="82"/>
        <v>0.16528317597921827</v>
      </c>
    </row>
    <row r="428" spans="2:33" ht="15" x14ac:dyDescent="0.25">
      <c r="B428" s="1">
        <v>417</v>
      </c>
      <c r="C428" s="1">
        <v>1.0007115875645523</v>
      </c>
      <c r="D428" s="1">
        <v>1.2199583575264923</v>
      </c>
      <c r="E428" s="1">
        <v>0.81877815587988967</v>
      </c>
      <c r="G428" s="1">
        <v>0.99929420073569541</v>
      </c>
      <c r="H428" s="1">
        <v>5.3003252525048232</v>
      </c>
      <c r="I428" s="1">
        <v>0.15408020158570732</v>
      </c>
      <c r="K428" s="1">
        <v>0.99897079930274135</v>
      </c>
      <c r="L428" s="1">
        <v>6.2571471777240628</v>
      </c>
      <c r="M428" s="1">
        <v>0.12794756035413235</v>
      </c>
      <c r="O428" s="1">
        <v>7.4171451830267465E-3</v>
      </c>
      <c r="P428" s="1">
        <v>0.77279165455749765</v>
      </c>
      <c r="R428" s="1">
        <v>0.22858737213467445</v>
      </c>
      <c r="S428" s="2">
        <f t="shared" si="84"/>
        <v>0.97510602487523501</v>
      </c>
      <c r="T428" s="4">
        <f t="shared" si="85"/>
        <v>0.9508317597479824</v>
      </c>
      <c r="U428" s="1">
        <f t="shared" si="77"/>
        <v>0.55801774308540208</v>
      </c>
      <c r="V428" s="6">
        <f>2*sigma/alpha*corel*(B428/12-1/alpha*(1-EXP(-alpha*Output!B428/12)))</f>
        <v>1.9971103269739632</v>
      </c>
      <c r="W428" s="5">
        <f t="shared" si="86"/>
        <v>-0.39281401666258031</v>
      </c>
      <c r="X428" s="1">
        <f t="shared" si="87"/>
        <v>58.589597974204715</v>
      </c>
      <c r="Y428" s="3">
        <f t="shared" si="88"/>
        <v>8.139962453567598E-2</v>
      </c>
      <c r="Z428" s="1">
        <f t="shared" si="78"/>
        <v>0.16541482711268335</v>
      </c>
      <c r="AA428" s="8">
        <f t="shared" si="83"/>
        <v>34.666666666666558</v>
      </c>
      <c r="AB428" s="1">
        <v>34.75</v>
      </c>
      <c r="AC428" s="1">
        <v>7.5988153560000004E-3</v>
      </c>
      <c r="AD428" s="8">
        <f t="shared" si="79"/>
        <v>1.8167017297325387</v>
      </c>
      <c r="AE428" s="3">
        <f t="shared" si="80"/>
        <v>2.3907696721411669E-2</v>
      </c>
      <c r="AF428" s="11">
        <f t="shared" si="81"/>
        <v>34.666666666666558</v>
      </c>
      <c r="AG428" s="1">
        <f t="shared" si="82"/>
        <v>0.16541482711268335</v>
      </c>
    </row>
    <row r="429" spans="2:33" ht="15" x14ac:dyDescent="0.25">
      <c r="B429" s="1">
        <v>418</v>
      </c>
      <c r="C429" s="1">
        <v>1.0007130197095131</v>
      </c>
      <c r="D429" s="1">
        <v>1.2201864511805531</v>
      </c>
      <c r="E429" s="1">
        <v>0.81862324717016521</v>
      </c>
      <c r="G429" s="1">
        <v>0.99925531283801683</v>
      </c>
      <c r="H429" s="1">
        <v>5.3130253398851304</v>
      </c>
      <c r="I429" s="1">
        <v>0.15363751927911076</v>
      </c>
      <c r="K429" s="1">
        <v>0.99896431569933863</v>
      </c>
      <c r="L429" s="1">
        <v>6.2143439601040011</v>
      </c>
      <c r="M429" s="1">
        <v>0.12875988376508105</v>
      </c>
      <c r="O429" s="1">
        <v>7.4154605951950725E-3</v>
      </c>
      <c r="P429" s="1">
        <v>0.77235946373146103</v>
      </c>
      <c r="R429" s="1">
        <v>0.22892042076049149</v>
      </c>
      <c r="S429" s="2">
        <f t="shared" si="84"/>
        <v>0.97706011491888756</v>
      </c>
      <c r="T429" s="4">
        <f t="shared" si="85"/>
        <v>0.95464646816530974</v>
      </c>
      <c r="U429" s="1">
        <f t="shared" si="77"/>
        <v>0.56095790397681622</v>
      </c>
      <c r="V429" s="6">
        <f>2*sigma/alpha*corel*(B429/12-1/alpha*(1-EXP(-alpha*Output!B429/12)))</f>
        <v>2.0049367786407304</v>
      </c>
      <c r="W429" s="5">
        <f t="shared" si="86"/>
        <v>-0.39368856418849352</v>
      </c>
      <c r="X429" s="1">
        <f t="shared" si="87"/>
        <v>58.873711429943036</v>
      </c>
      <c r="Y429" s="3">
        <f t="shared" si="88"/>
        <v>8.1358620283477678E-2</v>
      </c>
      <c r="Z429" s="1">
        <f t="shared" si="78"/>
        <v>0.16554793476002752</v>
      </c>
      <c r="AA429" s="8">
        <f t="shared" si="83"/>
        <v>34.749999999999893</v>
      </c>
      <c r="AB429" s="1">
        <v>34.83</v>
      </c>
      <c r="AC429" s="1">
        <v>7.5984436049999996E-3</v>
      </c>
      <c r="AD429" s="8">
        <f t="shared" si="79"/>
        <v>1.8298300980492712</v>
      </c>
      <c r="AE429" s="3">
        <f t="shared" si="80"/>
        <v>2.4081643467685793E-2</v>
      </c>
      <c r="AF429" s="11">
        <f t="shared" si="81"/>
        <v>34.749999999999893</v>
      </c>
      <c r="AG429" s="1">
        <f t="shared" si="82"/>
        <v>0.16554793476002752</v>
      </c>
    </row>
    <row r="430" spans="2:33" ht="15" x14ac:dyDescent="0.25">
      <c r="B430" s="1">
        <v>419</v>
      </c>
      <c r="C430" s="1">
        <v>1.0007125608928111</v>
      </c>
      <c r="D430" s="1">
        <v>1.2185511984494639</v>
      </c>
      <c r="E430" s="1">
        <v>0.81971995302043965</v>
      </c>
      <c r="G430" s="1">
        <v>0.99902437688603662</v>
      </c>
      <c r="H430" s="1">
        <v>5.2499325240149579</v>
      </c>
      <c r="I430" s="1">
        <v>0.15540867787210014</v>
      </c>
      <c r="K430" s="1">
        <v>0.99871171607109877</v>
      </c>
      <c r="L430" s="1">
        <v>6.1560732053091316</v>
      </c>
      <c r="M430" s="1">
        <v>0.12990868393931781</v>
      </c>
      <c r="O430" s="1">
        <v>7.4138305135620737E-3</v>
      </c>
      <c r="P430" s="1">
        <v>0.77192626223010608</v>
      </c>
      <c r="R430" s="1">
        <v>0.22913509832996082</v>
      </c>
      <c r="S430" s="2">
        <f t="shared" si="84"/>
        <v>0.97862398536806383</v>
      </c>
      <c r="T430" s="4">
        <f t="shared" si="85"/>
        <v>0.95770490473767245</v>
      </c>
      <c r="U430" s="1">
        <f t="shared" si="77"/>
        <v>0.56390454473436025</v>
      </c>
      <c r="V430" s="6">
        <f>2*sigma/alpha*corel*(B430/12-1/alpha*(1-EXP(-alpha*Output!B430/12)))</f>
        <v>2.012771849983388</v>
      </c>
      <c r="W430" s="5">
        <f t="shared" si="86"/>
        <v>-0.3938003600033122</v>
      </c>
      <c r="X430" s="1">
        <f t="shared" si="87"/>
        <v>59.052034133881492</v>
      </c>
      <c r="Y430" s="3">
        <f t="shared" si="88"/>
        <v>8.1218524367811171E-2</v>
      </c>
      <c r="Z430" s="1">
        <f t="shared" si="78"/>
        <v>0.16561492312283776</v>
      </c>
      <c r="AA430" s="8">
        <f t="shared" si="83"/>
        <v>34.833333333333229</v>
      </c>
      <c r="AB430" s="1">
        <v>34.92</v>
      </c>
      <c r="AC430" s="1">
        <v>7.598073635E-3</v>
      </c>
      <c r="AD430" s="8">
        <f t="shared" si="79"/>
        <v>1.8424312143792629</v>
      </c>
      <c r="AE430" s="3">
        <f t="shared" si="80"/>
        <v>2.4248662264764468E-2</v>
      </c>
      <c r="AF430" s="11">
        <f t="shared" si="81"/>
        <v>34.833333333333229</v>
      </c>
      <c r="AG430" s="1">
        <f t="shared" si="82"/>
        <v>0.16561492312283776</v>
      </c>
    </row>
    <row r="431" spans="2:33" ht="15" x14ac:dyDescent="0.25">
      <c r="B431" s="1">
        <v>420</v>
      </c>
      <c r="C431" s="1">
        <v>1.0007131586476985</v>
      </c>
      <c r="D431" s="1">
        <v>1.2163549166232721</v>
      </c>
      <c r="E431" s="1">
        <v>0.82119819492004231</v>
      </c>
      <c r="G431" s="1">
        <v>0.99888590342767036</v>
      </c>
      <c r="H431" s="1">
        <v>5.1588618335327316</v>
      </c>
      <c r="I431" s="1">
        <v>0.15807562339780218</v>
      </c>
      <c r="K431" s="1">
        <v>0.99879818102374096</v>
      </c>
      <c r="L431" s="1">
        <v>6.1429420784648263</v>
      </c>
      <c r="M431" s="1">
        <v>0.13011849911149187</v>
      </c>
      <c r="O431" s="1">
        <v>7.4121926446207255E-3</v>
      </c>
      <c r="P431" s="1">
        <v>0.77149372357769741</v>
      </c>
      <c r="R431" s="1">
        <v>0.22952221111246068</v>
      </c>
      <c r="S431" s="2">
        <f t="shared" si="84"/>
        <v>0.98076270778821439</v>
      </c>
      <c r="T431" s="4">
        <f t="shared" si="85"/>
        <v>0.96189548898807042</v>
      </c>
      <c r="U431" s="1">
        <f t="shared" si="77"/>
        <v>0.56685765089156881</v>
      </c>
      <c r="V431" s="6">
        <f>2*sigma/alpha*corel*(B431/12-1/alpha*(1-EXP(-alpha*Output!B431/12)))</f>
        <v>2.0206155123175202</v>
      </c>
      <c r="W431" s="5">
        <f t="shared" si="86"/>
        <v>-0.39503783809650161</v>
      </c>
      <c r="X431" s="1">
        <f t="shared" si="87"/>
        <v>59.388184382128422</v>
      </c>
      <c r="Y431" s="3">
        <f t="shared" si="88"/>
        <v>8.1225106565554456E-2</v>
      </c>
      <c r="Z431" s="1">
        <f t="shared" si="78"/>
        <v>0.16577915507325405</v>
      </c>
      <c r="AA431" s="8">
        <f t="shared" si="83"/>
        <v>34.916666666666565</v>
      </c>
      <c r="AB431" s="1">
        <v>35</v>
      </c>
      <c r="AC431" s="1">
        <v>7.5977054299999998E-3</v>
      </c>
      <c r="AD431" s="8">
        <f t="shared" si="79"/>
        <v>1.8551278537927429</v>
      </c>
      <c r="AE431" s="3">
        <f t="shared" si="80"/>
        <v>2.4416948918125441E-2</v>
      </c>
      <c r="AF431" s="11">
        <f t="shared" si="81"/>
        <v>34.916666666666565</v>
      </c>
      <c r="AG431" s="1">
        <f t="shared" si="82"/>
        <v>0.16577915507325405</v>
      </c>
    </row>
    <row r="432" spans="2:33" ht="15" x14ac:dyDescent="0.25">
      <c r="B432" s="1">
        <v>421</v>
      </c>
      <c r="C432" s="1">
        <v>1.0007171473756793</v>
      </c>
      <c r="D432" s="1">
        <v>1.2152347370368934</v>
      </c>
      <c r="E432" s="1">
        <v>0.8219532881134709</v>
      </c>
      <c r="G432" s="1">
        <v>0.99905070631999238</v>
      </c>
      <c r="H432" s="1">
        <v>5.1113585550798275</v>
      </c>
      <c r="I432" s="1">
        <v>0.15946752874702441</v>
      </c>
      <c r="K432" s="1">
        <v>0.99874547897902133</v>
      </c>
      <c r="L432" s="1">
        <v>6.279558976253079</v>
      </c>
      <c r="M432" s="1">
        <v>0.12721983475405829</v>
      </c>
      <c r="O432" s="1">
        <v>7.4104660830301584E-3</v>
      </c>
      <c r="P432" s="1">
        <v>0.77106403704071602</v>
      </c>
      <c r="R432" s="1">
        <v>0.22991064090894561</v>
      </c>
      <c r="S432" s="2">
        <f t="shared" si="84"/>
        <v>0.98290253490854695</v>
      </c>
      <c r="T432" s="4">
        <f t="shared" si="85"/>
        <v>0.96609739312964737</v>
      </c>
      <c r="U432" s="1">
        <f t="shared" si="77"/>
        <v>0.56981720798295799</v>
      </c>
      <c r="V432" s="6">
        <f>2*sigma/alpha*corel*(B432/12-1/alpha*(1-EXP(-alpha*Output!B432/12)))</f>
        <v>2.0284677370541617</v>
      </c>
      <c r="W432" s="5">
        <f t="shared" si="86"/>
        <v>-0.39628018514668939</v>
      </c>
      <c r="X432" s="1">
        <f t="shared" si="87"/>
        <v>59.726000675855047</v>
      </c>
      <c r="Y432" s="3">
        <f t="shared" si="88"/>
        <v>8.1232191971580867E-2</v>
      </c>
      <c r="Z432" s="1">
        <f t="shared" si="78"/>
        <v>0.16594341763512949</v>
      </c>
      <c r="AA432" s="8">
        <f t="shared" si="83"/>
        <v>34.999999999999901</v>
      </c>
      <c r="AB432" s="1">
        <v>35.08</v>
      </c>
      <c r="AC432" s="1">
        <v>7.5973389770000004E-3</v>
      </c>
      <c r="AD432" s="8">
        <f t="shared" si="79"/>
        <v>1.8687289396984199</v>
      </c>
      <c r="AE432" s="3">
        <f t="shared" si="80"/>
        <v>2.4597150993996245E-2</v>
      </c>
      <c r="AF432" s="11">
        <f t="shared" si="81"/>
        <v>34.999999999999901</v>
      </c>
      <c r="AG432" s="1">
        <f t="shared" si="82"/>
        <v>0.16594341763512949</v>
      </c>
    </row>
    <row r="433" spans="2:33" ht="15" x14ac:dyDescent="0.25">
      <c r="B433" s="1">
        <v>422</v>
      </c>
      <c r="C433" s="1">
        <v>1.0007175552327283</v>
      </c>
      <c r="D433" s="1">
        <v>1.2125002861357976</v>
      </c>
      <c r="E433" s="1">
        <v>0.82380509119818235</v>
      </c>
      <c r="G433" s="1">
        <v>0.99892426146917312</v>
      </c>
      <c r="H433" s="1">
        <v>5.0068255284161207</v>
      </c>
      <c r="I433" s="1">
        <v>0.16271813712803657</v>
      </c>
      <c r="K433" s="1">
        <v>0.99873668136566807</v>
      </c>
      <c r="L433" s="1">
        <v>6.0984486282355919</v>
      </c>
      <c r="M433" s="1">
        <v>0.13092766118925242</v>
      </c>
      <c r="O433" s="1">
        <v>7.4087534354009034E-3</v>
      </c>
      <c r="P433" s="1">
        <v>0.77063443450001967</v>
      </c>
      <c r="R433" s="1">
        <v>0.23025099389846226</v>
      </c>
      <c r="S433" s="2">
        <f t="shared" si="84"/>
        <v>0.98488402062225511</v>
      </c>
      <c r="T433" s="4">
        <f t="shared" si="85"/>
        <v>0.96999653407705866</v>
      </c>
      <c r="U433" s="1">
        <f t="shared" si="77"/>
        <v>0.57278320154434104</v>
      </c>
      <c r="V433" s="6">
        <f>2*sigma/alpha*corel*(B433/12-1/alpha*(1-EXP(-alpha*Output!B433/12)))</f>
        <v>2.036328495699486</v>
      </c>
      <c r="W433" s="5">
        <f t="shared" si="86"/>
        <v>-0.39721333253271762</v>
      </c>
      <c r="X433" s="1">
        <f t="shared" si="87"/>
        <v>60.021309185333351</v>
      </c>
      <c r="Y433" s="3">
        <f t="shared" si="88"/>
        <v>8.1199245165031367E-2</v>
      </c>
      <c r="Z433" s="1">
        <f t="shared" si="78"/>
        <v>0.16608082319032241</v>
      </c>
      <c r="AA433" s="8">
        <f t="shared" si="83"/>
        <v>35.083333333333236</v>
      </c>
      <c r="AB433" s="1">
        <v>35.17</v>
      </c>
      <c r="AC433" s="1">
        <v>7.5969742609999997E-3</v>
      </c>
      <c r="AD433" s="8">
        <f t="shared" si="79"/>
        <v>1.8822082559909625</v>
      </c>
      <c r="AE433" s="3">
        <f t="shared" si="80"/>
        <v>2.477576191949879E-2</v>
      </c>
      <c r="AF433" s="11">
        <f t="shared" si="81"/>
        <v>35.083333333333236</v>
      </c>
      <c r="AG433" s="1">
        <f t="shared" si="82"/>
        <v>0.16608082319032241</v>
      </c>
    </row>
    <row r="434" spans="2:33" ht="15" x14ac:dyDescent="0.25">
      <c r="B434" s="1">
        <v>423</v>
      </c>
      <c r="C434" s="1">
        <v>1.0007220077997179</v>
      </c>
      <c r="D434" s="1">
        <v>1.2139550596635751</v>
      </c>
      <c r="E434" s="1">
        <v>0.82281598187344096</v>
      </c>
      <c r="G434" s="1">
        <v>0.9991395744160676</v>
      </c>
      <c r="H434" s="1">
        <v>5.0604733907775445</v>
      </c>
      <c r="I434" s="1">
        <v>0.16091520576086615</v>
      </c>
      <c r="K434" s="1">
        <v>0.99875434289537934</v>
      </c>
      <c r="L434" s="1">
        <v>6.0576039386729192</v>
      </c>
      <c r="M434" s="1">
        <v>0.13174008534874912</v>
      </c>
      <c r="O434" s="1">
        <v>7.4069871192454896E-3</v>
      </c>
      <c r="P434" s="1">
        <v>0.77020674825079471</v>
      </c>
      <c r="R434" s="1">
        <v>0.23069514856062148</v>
      </c>
      <c r="S434" s="2">
        <f t="shared" si="84"/>
        <v>0.98721059381831244</v>
      </c>
      <c r="T434" s="4">
        <f t="shared" si="85"/>
        <v>0.97458475654710508</v>
      </c>
      <c r="U434" s="1">
        <f t="shared" si="77"/>
        <v>0.57575561711313217</v>
      </c>
      <c r="V434" s="6">
        <f>2*sigma/alpha*corel*(B434/12-1/alpha*(1-EXP(-alpha*Output!B434/12)))</f>
        <v>2.0441977598544909</v>
      </c>
      <c r="W434" s="5">
        <f t="shared" si="86"/>
        <v>-0.39882913943397291</v>
      </c>
      <c r="X434" s="1">
        <f t="shared" si="87"/>
        <v>60.413653141584298</v>
      </c>
      <c r="Y434" s="3">
        <f t="shared" si="88"/>
        <v>8.1254244893919206E-2</v>
      </c>
      <c r="Z434" s="1">
        <f t="shared" si="78"/>
        <v>0.16627625961626216</v>
      </c>
      <c r="AA434" s="8">
        <f t="shared" si="83"/>
        <v>35.166666666666572</v>
      </c>
      <c r="AB434" s="1">
        <v>35.25</v>
      </c>
      <c r="AC434" s="1">
        <v>7.5966112709999999E-3</v>
      </c>
      <c r="AD434" s="8">
        <f t="shared" si="79"/>
        <v>1.8962415175451022</v>
      </c>
      <c r="AE434" s="3">
        <f t="shared" si="80"/>
        <v>2.496167633039206E-2</v>
      </c>
      <c r="AF434" s="11">
        <f t="shared" si="81"/>
        <v>35.166666666666572</v>
      </c>
      <c r="AG434" s="1">
        <f t="shared" si="82"/>
        <v>0.16627625961626216</v>
      </c>
    </row>
    <row r="435" spans="2:33" ht="15" x14ac:dyDescent="0.25">
      <c r="B435" s="1">
        <v>424</v>
      </c>
      <c r="C435" s="1">
        <v>1.0007181612499816</v>
      </c>
      <c r="D435" s="1">
        <v>1.2142601989883128</v>
      </c>
      <c r="E435" s="1">
        <v>0.82260732580465112</v>
      </c>
      <c r="G435" s="1">
        <v>0.99868488492624352</v>
      </c>
      <c r="H435" s="1">
        <v>5.0731744577683209</v>
      </c>
      <c r="I435" s="1">
        <v>0.16043467584847126</v>
      </c>
      <c r="K435" s="1">
        <v>0.99881799457459386</v>
      </c>
      <c r="L435" s="1">
        <v>6.1229479545311989</v>
      </c>
      <c r="M435" s="1">
        <v>0.13026572533638056</v>
      </c>
      <c r="O435" s="1">
        <v>7.4052262041098141E-3</v>
      </c>
      <c r="P435" s="1">
        <v>0.76977937906928184</v>
      </c>
      <c r="R435" s="1">
        <v>0.23125608357340427</v>
      </c>
      <c r="S435" s="2">
        <f t="shared" si="84"/>
        <v>0.98992967588329206</v>
      </c>
      <c r="T435" s="4">
        <f t="shared" si="85"/>
        <v>0.97996076319439962</v>
      </c>
      <c r="U435" s="1">
        <f t="shared" si="77"/>
        <v>0.57873444022865028</v>
      </c>
      <c r="V435" s="6">
        <f>2*sigma/alpha*corel*(B435/12-1/alpha*(1-EXP(-alpha*Output!B435/12)))</f>
        <v>2.0520755012146767</v>
      </c>
      <c r="W435" s="5">
        <f t="shared" si="86"/>
        <v>-0.40122632296574934</v>
      </c>
      <c r="X435" s="1">
        <f t="shared" si="87"/>
        <v>60.917667508511371</v>
      </c>
      <c r="Y435" s="3">
        <f t="shared" si="88"/>
        <v>8.1408984867609474E-2</v>
      </c>
      <c r="Z435" s="1">
        <f t="shared" si="78"/>
        <v>0.16653749902341386</v>
      </c>
      <c r="AA435" s="8">
        <f t="shared" si="83"/>
        <v>35.249999999999908</v>
      </c>
      <c r="AB435" s="1">
        <v>35.33</v>
      </c>
      <c r="AC435" s="1">
        <v>7.5962499950000002E-3</v>
      </c>
      <c r="AD435" s="8">
        <f t="shared" si="79"/>
        <v>1.9102379089018604</v>
      </c>
      <c r="AE435" s="3">
        <f t="shared" si="80"/>
        <v>2.5147117461368652E-2</v>
      </c>
      <c r="AF435" s="11">
        <f t="shared" si="81"/>
        <v>35.249999999999908</v>
      </c>
      <c r="AG435" s="1">
        <f t="shared" si="82"/>
        <v>0.16653749902341386</v>
      </c>
    </row>
    <row r="436" spans="2:33" ht="15" x14ac:dyDescent="0.25">
      <c r="B436" s="1">
        <v>425</v>
      </c>
      <c r="C436" s="1">
        <v>1.0007222681755819</v>
      </c>
      <c r="D436" s="1">
        <v>1.2176380286385007</v>
      </c>
      <c r="E436" s="1">
        <v>0.82032346031210823</v>
      </c>
      <c r="G436" s="1">
        <v>0.998883803564932</v>
      </c>
      <c r="H436" s="1">
        <v>5.2029544180066374</v>
      </c>
      <c r="I436" s="1">
        <v>0.15635717818017475</v>
      </c>
      <c r="K436" s="1">
        <v>0.99860868451674134</v>
      </c>
      <c r="L436" s="1">
        <v>6.3876292741416494</v>
      </c>
      <c r="M436" s="1">
        <v>0.12480185308607335</v>
      </c>
      <c r="O436" s="1">
        <v>7.4034849399741854E-3</v>
      </c>
      <c r="P436" s="1">
        <v>0.76935193737037522</v>
      </c>
      <c r="R436" s="1">
        <v>0.23166866122000954</v>
      </c>
      <c r="S436" s="2">
        <f t="shared" si="84"/>
        <v>0.99215566909912134</v>
      </c>
      <c r="T436" s="4">
        <f t="shared" si="85"/>
        <v>0.98437287172552512</v>
      </c>
      <c r="U436" s="1">
        <f t="shared" si="77"/>
        <v>0.58171965643242052</v>
      </c>
      <c r="V436" s="6">
        <f>2*sigma/alpha*corel*(B436/12-1/alpha*(1-EXP(-alpha*Output!B436/12)))</f>
        <v>2.0599616915697352</v>
      </c>
      <c r="W436" s="5">
        <f t="shared" si="86"/>
        <v>-0.4026532152931046</v>
      </c>
      <c r="X436" s="1">
        <f t="shared" si="87"/>
        <v>61.285981003924661</v>
      </c>
      <c r="Y436" s="3">
        <f t="shared" si="88"/>
        <v>8.1438700718143214E-2</v>
      </c>
      <c r="Z436" s="1">
        <f t="shared" si="78"/>
        <v>0.16671549884339806</v>
      </c>
      <c r="AA436" s="8">
        <f t="shared" si="83"/>
        <v>35.333333333333243</v>
      </c>
      <c r="AB436" s="1">
        <v>35.42</v>
      </c>
      <c r="AC436" s="1">
        <v>7.5958904209999997E-3</v>
      </c>
      <c r="AD436" s="8">
        <f t="shared" si="79"/>
        <v>1.9240548102581432</v>
      </c>
      <c r="AE436" s="3">
        <f t="shared" si="80"/>
        <v>2.5330207567750052E-2</v>
      </c>
      <c r="AF436" s="11">
        <f t="shared" si="81"/>
        <v>35.333333333333243</v>
      </c>
      <c r="AG436" s="1">
        <f t="shared" si="82"/>
        <v>0.16671549884339806</v>
      </c>
    </row>
    <row r="437" spans="2:33" ht="15" x14ac:dyDescent="0.25">
      <c r="B437" s="1">
        <v>426</v>
      </c>
      <c r="C437" s="1">
        <v>1.0007243394294629</v>
      </c>
      <c r="D437" s="1">
        <v>1.2179587807535566</v>
      </c>
      <c r="E437" s="1">
        <v>0.8201055383302629</v>
      </c>
      <c r="G437" s="1">
        <v>0.99887218982943637</v>
      </c>
      <c r="H437" s="1">
        <v>5.2074280669926942</v>
      </c>
      <c r="I437" s="1">
        <v>0.15614726115940916</v>
      </c>
      <c r="K437" s="1">
        <v>0.99863631826746757</v>
      </c>
      <c r="L437" s="1">
        <v>6.382503696916114</v>
      </c>
      <c r="M437" s="1">
        <v>0.1248349308793113</v>
      </c>
      <c r="O437" s="1">
        <v>7.4018090845129145E-3</v>
      </c>
      <c r="P437" s="1">
        <v>0.76892317072294947</v>
      </c>
      <c r="R437" s="1">
        <v>0.2319858442287128</v>
      </c>
      <c r="S437" s="2">
        <f t="shared" si="84"/>
        <v>0.99406723362984195</v>
      </c>
      <c r="T437" s="4">
        <f t="shared" si="85"/>
        <v>0.98816966497648673</v>
      </c>
      <c r="U437" s="1">
        <f t="shared" si="77"/>
        <v>0.58471125126847268</v>
      </c>
      <c r="V437" s="6">
        <f>2*sigma/alpha*corel*(B437/12-1/alpha*(1-EXP(-alpha*Output!B437/12)))</f>
        <v>2.0678563028032388</v>
      </c>
      <c r="W437" s="5">
        <f t="shared" si="86"/>
        <v>-0.40345841370801405</v>
      </c>
      <c r="X437" s="1">
        <f t="shared" si="87"/>
        <v>61.567124435581071</v>
      </c>
      <c r="Y437" s="3">
        <f t="shared" si="88"/>
        <v>8.1388954907598982E-2</v>
      </c>
      <c r="Z437" s="1">
        <f t="shared" si="78"/>
        <v>0.16684053827114459</v>
      </c>
      <c r="AA437" s="8">
        <f t="shared" si="83"/>
        <v>35.416666666666579</v>
      </c>
      <c r="AB437" s="1">
        <v>35.5</v>
      </c>
      <c r="AC437" s="1">
        <v>7.5955325370000003E-3</v>
      </c>
      <c r="AD437" s="8">
        <f t="shared" si="79"/>
        <v>1.937234524870858</v>
      </c>
      <c r="AE437" s="3">
        <f t="shared" si="80"/>
        <v>2.5504920365149349E-2</v>
      </c>
      <c r="AF437" s="11">
        <f t="shared" si="81"/>
        <v>35.416666666666579</v>
      </c>
      <c r="AG437" s="1">
        <f t="shared" si="82"/>
        <v>0.16684053827114459</v>
      </c>
    </row>
    <row r="438" spans="2:33" ht="15" x14ac:dyDescent="0.25">
      <c r="B438" s="1">
        <v>427</v>
      </c>
      <c r="C438" s="1">
        <v>1.0007270237471162</v>
      </c>
      <c r="D438" s="1">
        <v>1.2201060397119967</v>
      </c>
      <c r="E438" s="1">
        <v>0.81866034945494082</v>
      </c>
      <c r="G438" s="1">
        <v>0.99894082773019288</v>
      </c>
      <c r="H438" s="1">
        <v>5.2935344368744417</v>
      </c>
      <c r="I438" s="1">
        <v>0.15353299151730981</v>
      </c>
      <c r="K438" s="1">
        <v>0.99880581179636119</v>
      </c>
      <c r="L438" s="1">
        <v>6.4627173609769892</v>
      </c>
      <c r="M438" s="1">
        <v>0.12322180178600461</v>
      </c>
      <c r="O438" s="1">
        <v>7.4001297016212395E-3</v>
      </c>
      <c r="P438" s="1">
        <v>0.76849495413839808</v>
      </c>
      <c r="R438" s="1">
        <v>0.23235936413653477</v>
      </c>
      <c r="S438" s="2">
        <f t="shared" si="84"/>
        <v>0.99616852127592614</v>
      </c>
      <c r="T438" s="4">
        <f t="shared" si="85"/>
        <v>0.99235172278106532</v>
      </c>
      <c r="U438" s="1">
        <f t="shared" si="77"/>
        <v>0.58770921028363388</v>
      </c>
      <c r="V438" s="6">
        <f>2*sigma/alpha*corel*(B438/12-1/alpha*(1-EXP(-alpha*Output!B438/12)))</f>
        <v>2.0757593068923224</v>
      </c>
      <c r="W438" s="5">
        <f t="shared" si="86"/>
        <v>-0.40464251249743144</v>
      </c>
      <c r="X438" s="1">
        <f t="shared" si="87"/>
        <v>61.902894312284502</v>
      </c>
      <c r="Y438" s="3">
        <f t="shared" si="88"/>
        <v>8.138754004884749E-2</v>
      </c>
      <c r="Z438" s="1">
        <f t="shared" si="78"/>
        <v>0.16699731920447683</v>
      </c>
      <c r="AA438" s="8">
        <f t="shared" si="83"/>
        <v>35.499999999999915</v>
      </c>
      <c r="AB438" s="1">
        <v>35.58</v>
      </c>
      <c r="AC438" s="1">
        <v>7.5951763330000003E-3</v>
      </c>
      <c r="AD438" s="8">
        <f t="shared" si="79"/>
        <v>1.9504663137876084</v>
      </c>
      <c r="AE438" s="3">
        <f t="shared" si="80"/>
        <v>2.5680329570665787E-2</v>
      </c>
      <c r="AF438" s="11">
        <f t="shared" si="81"/>
        <v>35.499999999999915</v>
      </c>
      <c r="AG438" s="1">
        <f t="shared" si="82"/>
        <v>0.16699731920447683</v>
      </c>
    </row>
    <row r="439" spans="2:33" ht="15" x14ac:dyDescent="0.25">
      <c r="B439" s="1">
        <v>428</v>
      </c>
      <c r="C439" s="1">
        <v>1.0007262517158584</v>
      </c>
      <c r="D439" s="1">
        <v>1.2154555528061886</v>
      </c>
      <c r="E439" s="1">
        <v>0.82179074724470713</v>
      </c>
      <c r="G439" s="1">
        <v>0.99870638848136772</v>
      </c>
      <c r="H439" s="1">
        <v>5.1161653434379817</v>
      </c>
      <c r="I439" s="1">
        <v>0.15877886244109413</v>
      </c>
      <c r="K439" s="1">
        <v>0.99889988202001267</v>
      </c>
      <c r="L439" s="1">
        <v>6.5464814729103438</v>
      </c>
      <c r="M439" s="1">
        <v>0.12157753102754951</v>
      </c>
      <c r="O439" s="1">
        <v>7.3984862658038608E-3</v>
      </c>
      <c r="P439" s="1">
        <v>0.76806620626149646</v>
      </c>
      <c r="R439" s="1">
        <v>0.23256562262044761</v>
      </c>
      <c r="S439" s="2">
        <f t="shared" si="84"/>
        <v>0.99771204163997784</v>
      </c>
      <c r="T439" s="4">
        <f t="shared" si="85"/>
        <v>0.99542931803341284</v>
      </c>
      <c r="U439" s="1">
        <f t="shared" si="77"/>
        <v>0.59071351902782299</v>
      </c>
      <c r="V439" s="6">
        <f>2*sigma/alpha*corel*(B439/12-1/alpha*(1-EXP(-alpha*Output!B439/12)))</f>
        <v>2.0836706759073751</v>
      </c>
      <c r="W439" s="5">
        <f t="shared" si="86"/>
        <v>-0.40471579900558985</v>
      </c>
      <c r="X439" s="1">
        <f t="shared" si="87"/>
        <v>62.081137477100448</v>
      </c>
      <c r="Y439" s="3">
        <f t="shared" si="88"/>
        <v>8.1245155352973428E-2</v>
      </c>
      <c r="Z439" s="1">
        <f t="shared" si="78"/>
        <v>0.16706056750738663</v>
      </c>
      <c r="AA439" s="8">
        <f t="shared" si="83"/>
        <v>35.58333333333325</v>
      </c>
      <c r="AB439" s="1">
        <v>35.67</v>
      </c>
      <c r="AC439" s="1">
        <v>7.5948217949999997E-3</v>
      </c>
      <c r="AD439" s="8">
        <f t="shared" si="79"/>
        <v>1.963355291961389</v>
      </c>
      <c r="AE439" s="3">
        <f t="shared" si="80"/>
        <v>2.5851235815091154E-2</v>
      </c>
      <c r="AF439" s="11">
        <f t="shared" si="81"/>
        <v>35.58333333333325</v>
      </c>
      <c r="AG439" s="1">
        <f t="shared" si="82"/>
        <v>0.16706056750738663</v>
      </c>
    </row>
    <row r="440" spans="2:33" ht="15" x14ac:dyDescent="0.25">
      <c r="B440" s="1">
        <v>429</v>
      </c>
      <c r="C440" s="1">
        <v>1.0007333956182887</v>
      </c>
      <c r="D440" s="1">
        <v>1.2178154849595015</v>
      </c>
      <c r="E440" s="1">
        <v>0.82019634722592916</v>
      </c>
      <c r="G440" s="1">
        <v>0.99909834068465631</v>
      </c>
      <c r="H440" s="1">
        <v>5.2051058183529717</v>
      </c>
      <c r="I440" s="1">
        <v>0.15599026520924208</v>
      </c>
      <c r="K440" s="1">
        <v>0.99892154658439136</v>
      </c>
      <c r="L440" s="1">
        <v>6.7277117749544004</v>
      </c>
      <c r="M440" s="1">
        <v>0.11824134409798481</v>
      </c>
      <c r="O440" s="1">
        <v>7.3968047815712616E-3</v>
      </c>
      <c r="P440" s="1">
        <v>0.76763895201161558</v>
      </c>
      <c r="R440" s="1">
        <v>0.23284975611679792</v>
      </c>
      <c r="S440" s="2">
        <f t="shared" si="84"/>
        <v>0.99951544024994909</v>
      </c>
      <c r="T440" s="4">
        <f t="shared" si="85"/>
        <v>0.99903111529804955</v>
      </c>
      <c r="U440" s="1">
        <f t="shared" si="77"/>
        <v>0.59372416305433662</v>
      </c>
      <c r="V440" s="6">
        <f>2*sigma/alpha*corel*(B440/12-1/alpha*(1-EXP(-alpha*Output!B440/12)))</f>
        <v>2.091590382011733</v>
      </c>
      <c r="W440" s="5">
        <f t="shared" si="86"/>
        <v>-0.40530695224371294</v>
      </c>
      <c r="X440" s="1">
        <f t="shared" si="87"/>
        <v>62.333644496974941</v>
      </c>
      <c r="Y440" s="3">
        <f t="shared" si="88"/>
        <v>8.1168888282385318E-2</v>
      </c>
      <c r="Z440" s="1">
        <f t="shared" si="78"/>
        <v>0.16716736015754793</v>
      </c>
      <c r="AA440" s="8">
        <f t="shared" si="83"/>
        <v>35.666666666666586</v>
      </c>
      <c r="AB440" s="1">
        <v>35.75</v>
      </c>
      <c r="AC440" s="1">
        <v>7.5944689130000003E-3</v>
      </c>
      <c r="AD440" s="8">
        <f t="shared" si="79"/>
        <v>1.9766413142873873</v>
      </c>
      <c r="AE440" s="3">
        <f t="shared" si="80"/>
        <v>2.6027380412392335E-2</v>
      </c>
      <c r="AF440" s="11">
        <f t="shared" si="81"/>
        <v>35.666666666666586</v>
      </c>
      <c r="AG440" s="1">
        <f t="shared" si="82"/>
        <v>0.16716736015754793</v>
      </c>
    </row>
    <row r="441" spans="2:33" ht="15" x14ac:dyDescent="0.25">
      <c r="B441" s="1">
        <v>430</v>
      </c>
      <c r="C441" s="1">
        <v>1.0007375900462043</v>
      </c>
      <c r="D441" s="1">
        <v>1.2190225148648375</v>
      </c>
      <c r="E441" s="1">
        <v>0.81938231656891169</v>
      </c>
      <c r="G441" s="1">
        <v>0.99927505750563272</v>
      </c>
      <c r="H441" s="1">
        <v>5.2500840778624447</v>
      </c>
      <c r="I441" s="1">
        <v>0.15457903840918702</v>
      </c>
      <c r="K441" s="1">
        <v>0.99895722019799615</v>
      </c>
      <c r="L441" s="1">
        <v>6.5704026694735704</v>
      </c>
      <c r="M441" s="1">
        <v>0.12100788402518903</v>
      </c>
      <c r="O441" s="1">
        <v>7.3951940243846843E-3</v>
      </c>
      <c r="P441" s="1">
        <v>0.76721020603163392</v>
      </c>
      <c r="R441" s="1">
        <v>0.23332245170560412</v>
      </c>
      <c r="S441" s="2">
        <f t="shared" si="84"/>
        <v>1.0019571303908743</v>
      </c>
      <c r="T441" s="4">
        <f t="shared" si="85"/>
        <v>1.0039180911411154</v>
      </c>
      <c r="U441" s="1">
        <f t="shared" ref="U441:U504" si="89">sigma*sigma/alpha/alpha*(B441/12+2/alpha*EXP(-alpha*B441/12)-1/2/alpha*EXP(-2*alpha*B441/12)-3/2/alpha)</f>
        <v>0.59674112792013645</v>
      </c>
      <c r="V441" s="6">
        <f>2*sigma/alpha*corel*(B441/12-1/alpha*(1-EXP(-alpha*Output!B441/12)))</f>
        <v>2.0995183974613623</v>
      </c>
      <c r="W441" s="5">
        <f t="shared" si="86"/>
        <v>-0.40717696322097896</v>
      </c>
      <c r="X441" s="1">
        <f t="shared" si="87"/>
        <v>62.770008896285717</v>
      </c>
      <c r="Y441" s="3">
        <f t="shared" si="88"/>
        <v>8.1254430852399501E-2</v>
      </c>
      <c r="Z441" s="1">
        <f t="shared" si="78"/>
        <v>0.16738076001303961</v>
      </c>
      <c r="AA441" s="8">
        <f t="shared" si="83"/>
        <v>35.749999999999922</v>
      </c>
      <c r="AB441" s="1">
        <v>35.83</v>
      </c>
      <c r="AC441" s="1">
        <v>7.594117676E-3</v>
      </c>
      <c r="AD441" s="8">
        <f t="shared" si="79"/>
        <v>1.9892365161531569</v>
      </c>
      <c r="AE441" s="3">
        <f t="shared" si="80"/>
        <v>2.6194438920005444E-2</v>
      </c>
      <c r="AF441" s="11">
        <f t="shared" si="81"/>
        <v>35.749999999999922</v>
      </c>
      <c r="AG441" s="1">
        <f t="shared" si="82"/>
        <v>0.16738076001303961</v>
      </c>
    </row>
    <row r="442" spans="2:33" ht="15" x14ac:dyDescent="0.25">
      <c r="B442" s="1">
        <v>431</v>
      </c>
      <c r="C442" s="1">
        <v>1.0007389878868804</v>
      </c>
      <c r="D442" s="1">
        <v>1.2231655849813239</v>
      </c>
      <c r="E442" s="1">
        <v>0.8166050284357852</v>
      </c>
      <c r="G442" s="1">
        <v>0.99923307072378631</v>
      </c>
      <c r="H442" s="1">
        <v>5.4078248454840701</v>
      </c>
      <c r="I442" s="1">
        <v>0.14999750748179677</v>
      </c>
      <c r="K442" s="1">
        <v>0.99902588615142351</v>
      </c>
      <c r="L442" s="1">
        <v>6.6738493392369573</v>
      </c>
      <c r="M442" s="1">
        <v>0.11906979122749524</v>
      </c>
      <c r="O442" s="1">
        <v>7.393729867082032E-3</v>
      </c>
      <c r="P442" s="1">
        <v>0.76677786798028758</v>
      </c>
      <c r="R442" s="1">
        <v>0.23370738621800538</v>
      </c>
      <c r="S442" s="2">
        <f t="shared" si="84"/>
        <v>1.0041137329652459</v>
      </c>
      <c r="T442" s="4">
        <f t="shared" si="85"/>
        <v>1.008244388729401</v>
      </c>
      <c r="U442" s="1">
        <f t="shared" si="89"/>
        <v>0.599764399186133</v>
      </c>
      <c r="V442" s="6">
        <f>2*sigma/alpha*corel*(B442/12-1/alpha*(1-EXP(-alpha*Output!B442/12)))</f>
        <v>2.1074546946045563</v>
      </c>
      <c r="W442" s="5">
        <f t="shared" si="86"/>
        <v>-0.40847998954326803</v>
      </c>
      <c r="X442" s="1">
        <f t="shared" si="87"/>
        <v>63.126323787526957</v>
      </c>
      <c r="Y442" s="3">
        <f t="shared" si="88"/>
        <v>8.1268021867709983E-2</v>
      </c>
      <c r="Z442" s="1">
        <f t="shared" si="78"/>
        <v>0.16754632053193061</v>
      </c>
      <c r="AA442" s="8">
        <f t="shared" si="83"/>
        <v>35.833333333333258</v>
      </c>
      <c r="AB442" s="1">
        <v>35.92</v>
      </c>
      <c r="AC442" s="1">
        <v>7.593768073E-3</v>
      </c>
      <c r="AD442" s="8">
        <f t="shared" si="79"/>
        <v>2.0003820591796804</v>
      </c>
      <c r="AE442" s="3">
        <f t="shared" si="80"/>
        <v>2.6342417097147502E-2</v>
      </c>
      <c r="AF442" s="11">
        <f t="shared" si="81"/>
        <v>35.833333333333258</v>
      </c>
      <c r="AG442" s="1">
        <f t="shared" si="82"/>
        <v>0.16754632053193061</v>
      </c>
    </row>
    <row r="443" spans="2:33" ht="15" x14ac:dyDescent="0.25">
      <c r="B443" s="1">
        <v>432</v>
      </c>
      <c r="C443" s="1">
        <v>1.0007426512563697</v>
      </c>
      <c r="D443" s="1">
        <v>1.2235443254948284</v>
      </c>
      <c r="E443" s="1">
        <v>0.8163503486348932</v>
      </c>
      <c r="G443" s="1">
        <v>0.99937377193337829</v>
      </c>
      <c r="H443" s="1">
        <v>5.4222305745326551</v>
      </c>
      <c r="I443" s="1">
        <v>0.14952660591278594</v>
      </c>
      <c r="K443" s="1">
        <v>0.9989531948784468</v>
      </c>
      <c r="L443" s="1">
        <v>6.89906807196303</v>
      </c>
      <c r="M443" s="1">
        <v>0.1151190607548473</v>
      </c>
      <c r="O443" s="1">
        <v>7.3923389083364079E-3</v>
      </c>
      <c r="P443" s="1">
        <v>0.76634394113602022</v>
      </c>
      <c r="R443" s="1">
        <v>0.23400728674191662</v>
      </c>
      <c r="S443" s="2">
        <f t="shared" si="84"/>
        <v>1.0059897329176459</v>
      </c>
      <c r="T443" s="4">
        <f t="shared" si="85"/>
        <v>1.0120153427357166</v>
      </c>
      <c r="U443" s="1">
        <f t="shared" si="89"/>
        <v>0.60279396241746319</v>
      </c>
      <c r="V443" s="6">
        <f>2*sigma/alpha*corel*(B443/12-1/alpha*(1-EXP(-alpha*Output!B443/12)))</f>
        <v>2.1153992458816302</v>
      </c>
      <c r="W443" s="5">
        <f t="shared" si="86"/>
        <v>-0.40922138031825339</v>
      </c>
      <c r="X443" s="1">
        <f t="shared" si="87"/>
        <v>63.402792735305056</v>
      </c>
      <c r="Y443" s="3">
        <f t="shared" si="88"/>
        <v>8.1210941903942208E-2</v>
      </c>
      <c r="Z443" s="1">
        <f t="shared" si="78"/>
        <v>0.16766495548627433</v>
      </c>
      <c r="AA443" s="8">
        <f t="shared" si="83"/>
        <v>35.916666666666593</v>
      </c>
      <c r="AB443" s="1">
        <v>36</v>
      </c>
      <c r="AC443" s="1">
        <v>7.5934200919999997E-3</v>
      </c>
      <c r="AD443" s="8">
        <f t="shared" si="79"/>
        <v>2.0108118366359182</v>
      </c>
      <c r="AE443" s="3">
        <f t="shared" si="80"/>
        <v>2.6480977112729433E-2</v>
      </c>
      <c r="AF443" s="11">
        <f t="shared" si="81"/>
        <v>35.916666666666593</v>
      </c>
      <c r="AG443" s="1">
        <f t="shared" si="82"/>
        <v>0.16766495548627433</v>
      </c>
    </row>
    <row r="444" spans="2:33" ht="15" x14ac:dyDescent="0.25">
      <c r="B444" s="1">
        <v>433</v>
      </c>
      <c r="C444" s="1">
        <v>1.0007448724421191</v>
      </c>
      <c r="D444" s="1">
        <v>1.2211492178165082</v>
      </c>
      <c r="E444" s="1">
        <v>0.81794958936910211</v>
      </c>
      <c r="G444" s="1">
        <v>0.99939330162264961</v>
      </c>
      <c r="H444" s="1">
        <v>5.3251893081117476</v>
      </c>
      <c r="I444" s="1">
        <v>0.15217776529689778</v>
      </c>
      <c r="K444" s="1">
        <v>0.99898860863360972</v>
      </c>
      <c r="L444" s="1">
        <v>6.8228764683845187</v>
      </c>
      <c r="M444" s="1">
        <v>0.11633933599363701</v>
      </c>
      <c r="O444" s="1">
        <v>7.3909852247836839E-3</v>
      </c>
      <c r="P444" s="1">
        <v>0.76590940725437562</v>
      </c>
      <c r="R444" s="1">
        <v>0.2343244831204595</v>
      </c>
      <c r="S444" s="2">
        <f t="shared" si="84"/>
        <v>1.0079271422597158</v>
      </c>
      <c r="T444" s="4">
        <f t="shared" si="85"/>
        <v>1.0159171241038374</v>
      </c>
      <c r="U444" s="1">
        <f t="shared" si="89"/>
        <v>0.60582980318377055</v>
      </c>
      <c r="V444" s="6">
        <f>2*sigma/alpha*corel*(B444/12-1/alpha*(1-EXP(-alpha*Output!B444/12)))</f>
        <v>2.1233520238246095</v>
      </c>
      <c r="W444" s="5">
        <f t="shared" si="86"/>
        <v>-0.41008732092006683</v>
      </c>
      <c r="X444" s="1">
        <f t="shared" si="87"/>
        <v>63.697893803209716</v>
      </c>
      <c r="Y444" s="3">
        <f t="shared" si="88"/>
        <v>8.116966287111449E-2</v>
      </c>
      <c r="Z444" s="1">
        <f t="shared" si="78"/>
        <v>0.16779376355612285</v>
      </c>
      <c r="AA444" s="8">
        <f t="shared" si="83"/>
        <v>35.999999999999929</v>
      </c>
      <c r="AB444" s="1">
        <v>36.08</v>
      </c>
      <c r="AC444" s="1">
        <v>7.5930737229999998E-3</v>
      </c>
      <c r="AD444" s="8">
        <f t="shared" si="79"/>
        <v>2.0208849821631585</v>
      </c>
      <c r="AE444" s="3">
        <f t="shared" si="80"/>
        <v>2.6614847371252876E-2</v>
      </c>
      <c r="AF444" s="11">
        <f t="shared" si="81"/>
        <v>35.999999999999929</v>
      </c>
      <c r="AG444" s="1">
        <f t="shared" si="82"/>
        <v>0.16779376355612285</v>
      </c>
    </row>
    <row r="445" spans="2:33" ht="15" x14ac:dyDescent="0.25">
      <c r="B445" s="1">
        <v>434</v>
      </c>
      <c r="C445" s="1">
        <v>1.0007498110534156</v>
      </c>
      <c r="D445" s="1">
        <v>1.2224038817198024</v>
      </c>
      <c r="E445" s="1">
        <v>0.81710813868643861</v>
      </c>
      <c r="G445" s="1">
        <v>0.99964096488499432</v>
      </c>
      <c r="H445" s="1">
        <v>5.3774731995721821</v>
      </c>
      <c r="I445" s="1">
        <v>0.15062525471240829</v>
      </c>
      <c r="K445" s="1">
        <v>0.9990024053650588</v>
      </c>
      <c r="L445" s="1">
        <v>6.7730434024937818</v>
      </c>
      <c r="M445" s="1">
        <v>0.1171347168991542</v>
      </c>
      <c r="O445" s="1">
        <v>7.3896621366697102E-3</v>
      </c>
      <c r="P445" s="1">
        <v>0.76547444544011112</v>
      </c>
      <c r="R445" s="1">
        <v>0.23478009416840237</v>
      </c>
      <c r="S445" s="2">
        <f t="shared" si="84"/>
        <v>1.0103340030091401</v>
      </c>
      <c r="T445" s="4">
        <f t="shared" si="85"/>
        <v>1.0207747976364732</v>
      </c>
      <c r="U445" s="1">
        <f t="shared" si="89"/>
        <v>0.60887190705947525</v>
      </c>
      <c r="V445" s="6">
        <f>2*sigma/alpha*corel*(B445/12-1/alpha*(1-EXP(-alpha*Output!B445/12)))</f>
        <v>2.1313130010569257</v>
      </c>
      <c r="W445" s="5">
        <f t="shared" si="86"/>
        <v>-0.41190289057699792</v>
      </c>
      <c r="X445" s="1">
        <f t="shared" si="87"/>
        <v>64.131113278613313</v>
      </c>
      <c r="Y445" s="3">
        <f t="shared" si="88"/>
        <v>8.1247152804659314E-2</v>
      </c>
      <c r="Z445" s="1">
        <f t="shared" si="78"/>
        <v>0.16800055938324196</v>
      </c>
      <c r="AA445" s="8">
        <f t="shared" si="83"/>
        <v>36.083333333333265</v>
      </c>
      <c r="AB445" s="1">
        <v>36.17</v>
      </c>
      <c r="AC445" s="1">
        <v>7.5927289550000001E-3</v>
      </c>
      <c r="AD445" s="8">
        <f t="shared" si="79"/>
        <v>2.0306681833028981</v>
      </c>
      <c r="AE445" s="3">
        <f t="shared" si="80"/>
        <v>2.6744905492321742E-2</v>
      </c>
      <c r="AF445" s="11">
        <f t="shared" si="81"/>
        <v>36.083333333333265</v>
      </c>
      <c r="AG445" s="1">
        <f t="shared" si="82"/>
        <v>0.16800055938324196</v>
      </c>
    </row>
    <row r="446" spans="2:33" ht="15" x14ac:dyDescent="0.25">
      <c r="B446" s="1">
        <v>435</v>
      </c>
      <c r="C446" s="1">
        <v>1.0007525157362109</v>
      </c>
      <c r="D446" s="1">
        <v>1.2204336354302969</v>
      </c>
      <c r="E446" s="1">
        <v>0.81842534108646259</v>
      </c>
      <c r="G446" s="1">
        <v>0.99967410993177652</v>
      </c>
      <c r="H446" s="1">
        <v>5.2929923439385318</v>
      </c>
      <c r="I446" s="1">
        <v>0.1529553165093876</v>
      </c>
      <c r="K446" s="1">
        <v>0.99885195274477367</v>
      </c>
      <c r="L446" s="1">
        <v>6.5790529416333658</v>
      </c>
      <c r="M446" s="1">
        <v>0.1205248421304583</v>
      </c>
      <c r="O446" s="1">
        <v>7.3883519518495935E-3</v>
      </c>
      <c r="P446" s="1">
        <v>0.76503954150118592</v>
      </c>
      <c r="R446" s="1">
        <v>0.23513818683898638</v>
      </c>
      <c r="S446" s="2">
        <f t="shared" si="84"/>
        <v>1.0124145822513226</v>
      </c>
      <c r="T446" s="4">
        <f t="shared" si="85"/>
        <v>1.02498328635512</v>
      </c>
      <c r="U446" s="1">
        <f t="shared" si="89"/>
        <v>0.61192025962404939</v>
      </c>
      <c r="V446" s="6">
        <f>2*sigma/alpha*corel*(B446/12-1/alpha*(1-EXP(-alpha*Output!B446/12)))</f>
        <v>2.1392821502931176</v>
      </c>
      <c r="W446" s="5">
        <f t="shared" si="86"/>
        <v>-0.41306302673107065</v>
      </c>
      <c r="X446" s="1">
        <f t="shared" si="87"/>
        <v>64.470666994567992</v>
      </c>
      <c r="Y446" s="3">
        <f t="shared" si="88"/>
        <v>8.1242491737740632E-2</v>
      </c>
      <c r="Z446" s="1">
        <f t="shared" si="78"/>
        <v>0.16815290958796955</v>
      </c>
      <c r="AA446" s="8">
        <f t="shared" si="83"/>
        <v>36.1666666666666</v>
      </c>
      <c r="AB446" s="1">
        <v>36.25</v>
      </c>
      <c r="AC446" s="1">
        <v>7.5923857759999996E-3</v>
      </c>
      <c r="AD446" s="8">
        <f t="shared" si="79"/>
        <v>2.0403382415040605</v>
      </c>
      <c r="AE446" s="3">
        <f t="shared" si="80"/>
        <v>2.6873479584687276E-2</v>
      </c>
      <c r="AF446" s="11">
        <f t="shared" si="81"/>
        <v>36.1666666666666</v>
      </c>
      <c r="AG446" s="1">
        <f t="shared" si="82"/>
        <v>0.16815290958796955</v>
      </c>
    </row>
    <row r="447" spans="2:33" ht="15" x14ac:dyDescent="0.25">
      <c r="B447" s="1">
        <v>436</v>
      </c>
      <c r="C447" s="1">
        <v>1.0007534374752383</v>
      </c>
      <c r="D447" s="1">
        <v>1.2169262830179406</v>
      </c>
      <c r="E447" s="1">
        <v>0.82078222606529483</v>
      </c>
      <c r="G447" s="1">
        <v>0.99958094659426167</v>
      </c>
      <c r="H447" s="1">
        <v>5.1525779995847643</v>
      </c>
      <c r="I447" s="1">
        <v>0.15704751210546175</v>
      </c>
      <c r="K447" s="1">
        <v>0.99878951468410304</v>
      </c>
      <c r="L447" s="1">
        <v>6.6096838843292938</v>
      </c>
      <c r="M447" s="1">
        <v>0.11989986620944099</v>
      </c>
      <c r="O447" s="1">
        <v>7.3871361649823289E-3</v>
      </c>
      <c r="P447" s="1">
        <v>0.76460242918301735</v>
      </c>
      <c r="R447" s="1">
        <v>0.2354671125955059</v>
      </c>
      <c r="S447" s="2">
        <f t="shared" si="84"/>
        <v>1.014403408309603</v>
      </c>
      <c r="T447" s="4">
        <f t="shared" si="85"/>
        <v>1.029014274790139</v>
      </c>
      <c r="U447" s="1">
        <f t="shared" si="89"/>
        <v>0.61497484646228573</v>
      </c>
      <c r="V447" s="6">
        <f>2*sigma/alpha*corel*(B447/12-1/alpha*(1-EXP(-alpha*Output!B447/12)))</f>
        <v>2.1472594443385211</v>
      </c>
      <c r="W447" s="5">
        <f t="shared" si="86"/>
        <v>-0.41403942832785323</v>
      </c>
      <c r="X447" s="1">
        <f t="shared" si="87"/>
        <v>64.784453371615641</v>
      </c>
      <c r="Y447" s="3">
        <f t="shared" si="88"/>
        <v>8.1214948197465137E-2</v>
      </c>
      <c r="Z447" s="1">
        <f t="shared" si="78"/>
        <v>0.16828990998144677</v>
      </c>
      <c r="AA447" s="8">
        <f t="shared" si="83"/>
        <v>36.249999999999936</v>
      </c>
      <c r="AB447" s="1">
        <v>36.33</v>
      </c>
      <c r="AC447" s="1">
        <v>7.5920441760000002E-3</v>
      </c>
      <c r="AD447" s="8">
        <f t="shared" si="79"/>
        <v>2.0490801101767131</v>
      </c>
      <c r="AE447" s="3">
        <f t="shared" si="80"/>
        <v>2.6989833866539834E-2</v>
      </c>
      <c r="AF447" s="11">
        <f t="shared" si="81"/>
        <v>36.249999999999936</v>
      </c>
      <c r="AG447" s="1">
        <f t="shared" si="82"/>
        <v>0.16828990998144677</v>
      </c>
    </row>
    <row r="448" spans="2:33" ht="15" x14ac:dyDescent="0.25">
      <c r="B448" s="1">
        <v>437</v>
      </c>
      <c r="C448" s="1">
        <v>1.0007571077349231</v>
      </c>
      <c r="D448" s="1">
        <v>1.2180368530252956</v>
      </c>
      <c r="E448" s="1">
        <v>0.82003192657940016</v>
      </c>
      <c r="G448" s="1">
        <v>0.99968834907618243</v>
      </c>
      <c r="H448" s="1">
        <v>5.1907145465397759</v>
      </c>
      <c r="I448" s="1">
        <v>0.15581823502652353</v>
      </c>
      <c r="K448" s="1">
        <v>0.99895038846249928</v>
      </c>
      <c r="L448" s="1">
        <v>6.5848998588843788</v>
      </c>
      <c r="M448" s="1">
        <v>0.12028953950393047</v>
      </c>
      <c r="O448" s="1">
        <v>7.3859782130085948E-3</v>
      </c>
      <c r="P448" s="1">
        <v>0.76416411200769052</v>
      </c>
      <c r="R448" s="1">
        <v>0.23577868161843393</v>
      </c>
      <c r="S448" s="2">
        <f t="shared" si="84"/>
        <v>1.0163381536739038</v>
      </c>
      <c r="T448" s="4">
        <f t="shared" si="85"/>
        <v>1.0329432426132796</v>
      </c>
      <c r="U448" s="1">
        <f t="shared" si="89"/>
        <v>0.61803565316455833</v>
      </c>
      <c r="V448" s="6">
        <f>2*sigma/alpha*corel*(B448/12-1/alpha*(1-EXP(-alpha*Output!B448/12)))</f>
        <v>2.1552448560889692</v>
      </c>
      <c r="W448" s="5">
        <f t="shared" si="86"/>
        <v>-0.4149075894487213</v>
      </c>
      <c r="X448" s="1">
        <f t="shared" si="87"/>
        <v>65.083285919395024</v>
      </c>
      <c r="Y448" s="3">
        <f t="shared" si="88"/>
        <v>8.1174046848878065E-2</v>
      </c>
      <c r="Z448" s="1">
        <f t="shared" si="78"/>
        <v>0.16841785584631572</v>
      </c>
      <c r="AA448" s="8">
        <f t="shared" si="83"/>
        <v>36.333333333333272</v>
      </c>
      <c r="AB448" s="1">
        <v>36.42</v>
      </c>
      <c r="AC448" s="1">
        <v>7.5917041439999998E-3</v>
      </c>
      <c r="AD448" s="8">
        <f t="shared" si="79"/>
        <v>2.0572593099140497</v>
      </c>
      <c r="AE448" s="3">
        <f t="shared" si="80"/>
        <v>2.7098781392053808E-2</v>
      </c>
      <c r="AF448" s="11">
        <f t="shared" si="81"/>
        <v>36.333333333333272</v>
      </c>
      <c r="AG448" s="1">
        <f t="shared" si="82"/>
        <v>0.16841785584631572</v>
      </c>
    </row>
    <row r="449" spans="2:33" ht="15" x14ac:dyDescent="0.25">
      <c r="B449" s="1">
        <v>438</v>
      </c>
      <c r="C449" s="1">
        <v>1.0007555780479771</v>
      </c>
      <c r="D449" s="1">
        <v>1.2209233455309196</v>
      </c>
      <c r="E449" s="1">
        <v>0.8180912823807206</v>
      </c>
      <c r="G449" s="1">
        <v>0.99939046679742227</v>
      </c>
      <c r="H449" s="1">
        <v>5.3033360391840434</v>
      </c>
      <c r="I449" s="1">
        <v>0.15243548275734328</v>
      </c>
      <c r="K449" s="1">
        <v>0.99869140381349342</v>
      </c>
      <c r="L449" s="1">
        <v>6.9197155918108972</v>
      </c>
      <c r="M449" s="1">
        <v>0.11440763691173461</v>
      </c>
      <c r="O449" s="1">
        <v>7.384827917672092E-3</v>
      </c>
      <c r="P449" s="1">
        <v>0.76372598005933989</v>
      </c>
      <c r="R449" s="1">
        <v>0.23614511126317278</v>
      </c>
      <c r="S449" s="2">
        <f t="shared" si="84"/>
        <v>1.0184601057650162</v>
      </c>
      <c r="T449" s="4">
        <f t="shared" si="85"/>
        <v>1.0372609870348881</v>
      </c>
      <c r="U449" s="1">
        <f t="shared" si="89"/>
        <v>0.62110266532709346</v>
      </c>
      <c r="V449" s="6">
        <f>2*sigma/alpha*corel*(B449/12-1/alpha*(1-EXP(-alpha*Output!B449/12)))</f>
        <v>2.1632383585304962</v>
      </c>
      <c r="W449" s="5">
        <f t="shared" si="86"/>
        <v>-0.41615832170779465</v>
      </c>
      <c r="X449" s="1">
        <f t="shared" si="87"/>
        <v>65.438715165155742</v>
      </c>
      <c r="Y449" s="3">
        <f t="shared" si="88"/>
        <v>8.1180569778076292E-2</v>
      </c>
      <c r="Z449" s="1">
        <f t="shared" si="78"/>
        <v>0.16857671616754358</v>
      </c>
      <c r="AA449" s="8">
        <f t="shared" si="83"/>
        <v>36.416666666666607</v>
      </c>
      <c r="AB449" s="1">
        <v>36.5</v>
      </c>
      <c r="AC449" s="1">
        <v>7.591365668E-3</v>
      </c>
      <c r="AD449" s="8">
        <f t="shared" si="79"/>
        <v>2.06537750327908</v>
      </c>
      <c r="AE449" s="3">
        <f t="shared" si="80"/>
        <v>2.7206929472325343E-2</v>
      </c>
      <c r="AF449" s="11">
        <f t="shared" si="81"/>
        <v>36.416666666666607</v>
      </c>
      <c r="AG449" s="1">
        <f t="shared" si="82"/>
        <v>0.16857671616754358</v>
      </c>
    </row>
    <row r="450" spans="2:33" ht="15" x14ac:dyDescent="0.25">
      <c r="B450" s="1">
        <v>439</v>
      </c>
      <c r="C450" s="1">
        <v>1.0007562619032206</v>
      </c>
      <c r="D450" s="1">
        <v>1.2168862411494104</v>
      </c>
      <c r="E450" s="1">
        <v>0.82080341199855278</v>
      </c>
      <c r="G450" s="1">
        <v>0.99928775776403345</v>
      </c>
      <c r="H450" s="1">
        <v>5.147295411924472</v>
      </c>
      <c r="I450" s="1">
        <v>0.15698057369144991</v>
      </c>
      <c r="K450" s="1">
        <v>0.99862723222950311</v>
      </c>
      <c r="L450" s="1">
        <v>6.7848850324940786</v>
      </c>
      <c r="M450" s="1">
        <v>0.11662698604606563</v>
      </c>
      <c r="O450" s="1">
        <v>7.3837734590897711E-3</v>
      </c>
      <c r="P450" s="1">
        <v>0.76328556954231486</v>
      </c>
      <c r="R450" s="1">
        <v>0.23643144014255341</v>
      </c>
      <c r="S450" s="2">
        <f t="shared" si="84"/>
        <v>1.020317927625453</v>
      </c>
      <c r="T450" s="4">
        <f t="shared" si="85"/>
        <v>1.0410486734338993</v>
      </c>
      <c r="U450" s="1">
        <f t="shared" si="89"/>
        <v>0.62417586855222185</v>
      </c>
      <c r="V450" s="6">
        <f>2*sigma/alpha*corel*(B450/12-1/alpha*(1-EXP(-alpha*Output!B450/12)))</f>
        <v>2.1712399247390293</v>
      </c>
      <c r="W450" s="5">
        <f t="shared" si="86"/>
        <v>-0.41687280488167744</v>
      </c>
      <c r="X450" s="1">
        <f t="shared" si="87"/>
        <v>65.716669925132877</v>
      </c>
      <c r="Y450" s="3">
        <f t="shared" si="88"/>
        <v>8.1120846893694518E-2</v>
      </c>
      <c r="Z450" s="1">
        <f t="shared" si="78"/>
        <v>0.16869176431205082</v>
      </c>
      <c r="AA450" s="8">
        <f t="shared" si="83"/>
        <v>36.499999999999943</v>
      </c>
      <c r="AB450" s="1">
        <v>36.58</v>
      </c>
      <c r="AC450" s="1">
        <v>7.5910287389999997E-3</v>
      </c>
      <c r="AD450" s="8">
        <f t="shared" si="79"/>
        <v>2.0725527991022861</v>
      </c>
      <c r="AE450" s="3">
        <f t="shared" si="80"/>
        <v>2.7302660421429426E-2</v>
      </c>
      <c r="AF450" s="11">
        <f t="shared" si="81"/>
        <v>36.499999999999943</v>
      </c>
      <c r="AG450" s="1">
        <f t="shared" si="82"/>
        <v>0.16869176431205082</v>
      </c>
    </row>
    <row r="451" spans="2:33" ht="15" x14ac:dyDescent="0.25">
      <c r="B451" s="1">
        <v>440</v>
      </c>
      <c r="C451" s="1">
        <v>1.0007584594881973</v>
      </c>
      <c r="D451" s="1">
        <v>1.2171169147848444</v>
      </c>
      <c r="E451" s="1">
        <v>0.82064590010353233</v>
      </c>
      <c r="G451" s="1">
        <v>0.99927039890256952</v>
      </c>
      <c r="H451" s="1">
        <v>5.1552671836918451</v>
      </c>
      <c r="I451" s="1">
        <v>0.15666198113468852</v>
      </c>
      <c r="K451" s="1">
        <v>0.99845365764888594</v>
      </c>
      <c r="L451" s="1">
        <v>6.6292514728072218</v>
      </c>
      <c r="M451" s="1">
        <v>0.11929104350209067</v>
      </c>
      <c r="O451" s="1">
        <v>7.3827629564804497E-3</v>
      </c>
      <c r="P451" s="1">
        <v>0.76284431756573579</v>
      </c>
      <c r="R451" s="1">
        <v>0.23676189941136791</v>
      </c>
      <c r="S451" s="2">
        <f t="shared" si="84"/>
        <v>1.0223288730278359</v>
      </c>
      <c r="T451" s="4">
        <f t="shared" si="85"/>
        <v>1.0451563246263651</v>
      </c>
      <c r="U451" s="1">
        <f t="shared" si="89"/>
        <v>0.62725524844864289</v>
      </c>
      <c r="V451" s="6">
        <f>2*sigma/alpha*corel*(B451/12-1/alpha*(1-EXP(-alpha*Output!B451/12)))</f>
        <v>2.1792495278800921</v>
      </c>
      <c r="W451" s="5">
        <f t="shared" si="86"/>
        <v>-0.41790107617772221</v>
      </c>
      <c r="X451" s="1">
        <f t="shared" si="87"/>
        <v>66.04128634416486</v>
      </c>
      <c r="Y451" s="3">
        <f t="shared" si="88"/>
        <v>8.109994743176456E-2</v>
      </c>
      <c r="Z451" s="1">
        <f t="shared" si="78"/>
        <v>0.16883205678691729</v>
      </c>
      <c r="AA451" s="8">
        <f t="shared" si="83"/>
        <v>36.583333333333279</v>
      </c>
      <c r="AB451" s="1">
        <v>36.67</v>
      </c>
      <c r="AC451" s="1">
        <v>7.5906933449999998E-3</v>
      </c>
      <c r="AD451" s="8">
        <f t="shared" si="79"/>
        <v>2.0793038851955012</v>
      </c>
      <c r="AE451" s="3">
        <f t="shared" si="80"/>
        <v>2.7392805777948354E-2</v>
      </c>
      <c r="AF451" s="11">
        <f t="shared" si="81"/>
        <v>36.583333333333279</v>
      </c>
      <c r="AG451" s="1">
        <f t="shared" si="82"/>
        <v>0.16883205678691729</v>
      </c>
    </row>
    <row r="452" spans="2:33" ht="15" x14ac:dyDescent="0.25">
      <c r="B452" s="1">
        <v>441</v>
      </c>
      <c r="C452" s="1">
        <v>1.0007574286917071</v>
      </c>
      <c r="D452" s="1">
        <v>1.2180791169858447</v>
      </c>
      <c r="E452" s="1">
        <v>0.8199956924205416</v>
      </c>
      <c r="G452" s="1">
        <v>0.99901251925050782</v>
      </c>
      <c r="H452" s="1">
        <v>5.1883024955362256</v>
      </c>
      <c r="I452" s="1">
        <v>0.15558914343939251</v>
      </c>
      <c r="K452" s="1">
        <v>0.99851061189079338</v>
      </c>
      <c r="L452" s="1">
        <v>6.8958066112230689</v>
      </c>
      <c r="M452" s="1">
        <v>0.11462900535579651</v>
      </c>
      <c r="O452" s="1">
        <v>7.381733394021598E-3</v>
      </c>
      <c r="P452" s="1">
        <v>0.76240398310199986</v>
      </c>
      <c r="R452" s="1">
        <v>0.23715870627689842</v>
      </c>
      <c r="S452" s="2">
        <f t="shared" si="84"/>
        <v>1.0245650736934564</v>
      </c>
      <c r="T452" s="4">
        <f t="shared" si="85"/>
        <v>1.0497335902324778</v>
      </c>
      <c r="U452" s="1">
        <f t="shared" si="89"/>
        <v>0.63034079063167558</v>
      </c>
      <c r="V452" s="6">
        <f>2*sigma/alpha*corel*(B452/12-1/alpha*(1-EXP(-alpha*Output!B452/12)))</f>
        <v>2.1872671412085118</v>
      </c>
      <c r="W452" s="5">
        <f t="shared" si="86"/>
        <v>-0.41939279960080222</v>
      </c>
      <c r="X452" s="1">
        <f t="shared" si="87"/>
        <v>66.434879088328387</v>
      </c>
      <c r="Y452" s="3">
        <f t="shared" si="88"/>
        <v>8.1135949342610175E-2</v>
      </c>
      <c r="Z452" s="1">
        <f t="shared" si="78"/>
        <v>0.16900940602834452</v>
      </c>
      <c r="AA452" s="8">
        <f t="shared" si="83"/>
        <v>36.666666666666615</v>
      </c>
      <c r="AB452" s="1">
        <v>36.75</v>
      </c>
      <c r="AC452" s="1">
        <v>7.5903594760000003E-3</v>
      </c>
      <c r="AD452" s="8">
        <f t="shared" si="79"/>
        <v>2.0862608197840231</v>
      </c>
      <c r="AE452" s="3">
        <f t="shared" si="80"/>
        <v>2.7485665552212418E-2</v>
      </c>
      <c r="AF452" s="11">
        <f t="shared" si="81"/>
        <v>36.666666666666615</v>
      </c>
      <c r="AG452" s="1">
        <f t="shared" si="82"/>
        <v>0.16900940602834452</v>
      </c>
    </row>
    <row r="453" spans="2:33" ht="15" x14ac:dyDescent="0.25">
      <c r="B453" s="1">
        <v>442</v>
      </c>
      <c r="C453" s="1">
        <v>1.0007601772051058</v>
      </c>
      <c r="D453" s="1">
        <v>1.2163884670122891</v>
      </c>
      <c r="E453" s="1">
        <v>0.82113344023230483</v>
      </c>
      <c r="G453" s="1">
        <v>0.99905634439740276</v>
      </c>
      <c r="H453" s="1">
        <v>5.119834750343828</v>
      </c>
      <c r="I453" s="1">
        <v>0.15759354315389493</v>
      </c>
      <c r="K453" s="1">
        <v>0.998584533472612</v>
      </c>
      <c r="L453" s="1">
        <v>7.0987888150930267</v>
      </c>
      <c r="M453" s="1">
        <v>0.11128237373822168</v>
      </c>
      <c r="O453" s="1">
        <v>7.3807037989776477E-3</v>
      </c>
      <c r="P453" s="1">
        <v>0.76196403447405081</v>
      </c>
      <c r="R453" s="1">
        <v>0.23738713352625071</v>
      </c>
      <c r="S453" s="2">
        <f t="shared" si="84"/>
        <v>1.0262317886977141</v>
      </c>
      <c r="T453" s="4">
        <f t="shared" si="85"/>
        <v>1.0531516841337099</v>
      </c>
      <c r="U453" s="1">
        <f t="shared" si="89"/>
        <v>0.6334324807235121</v>
      </c>
      <c r="V453" s="6">
        <f>2*sigma/alpha*corel*(B453/12-1/alpha*(1-EXP(-alpha*Output!B453/12)))</f>
        <v>2.1952927380681153</v>
      </c>
      <c r="W453" s="5">
        <f t="shared" si="86"/>
        <v>-0.41971920341019775</v>
      </c>
      <c r="X453" s="1">
        <f t="shared" si="87"/>
        <v>66.657939508250408</v>
      </c>
      <c r="Y453" s="3">
        <f t="shared" si="88"/>
        <v>8.102903113021194E-2</v>
      </c>
      <c r="Z453" s="1">
        <f t="shared" si="78"/>
        <v>0.16909273614024595</v>
      </c>
      <c r="AA453" s="8">
        <f t="shared" si="83"/>
        <v>36.74999999999995</v>
      </c>
      <c r="AB453" s="1">
        <v>36.83</v>
      </c>
      <c r="AC453" s="1">
        <v>7.590027121E-3</v>
      </c>
      <c r="AD453" s="8">
        <f t="shared" si="79"/>
        <v>2.0932332202235235</v>
      </c>
      <c r="AE453" s="3">
        <f t="shared" si="80"/>
        <v>2.7578731760153925E-2</v>
      </c>
      <c r="AF453" s="11">
        <f t="shared" si="81"/>
        <v>36.74999999999995</v>
      </c>
      <c r="AG453" s="1">
        <f t="shared" si="82"/>
        <v>0.16909273614024595</v>
      </c>
    </row>
    <row r="454" spans="2:33" ht="15" x14ac:dyDescent="0.25">
      <c r="B454" s="1">
        <v>443</v>
      </c>
      <c r="C454" s="1">
        <v>1.0007639833297644</v>
      </c>
      <c r="D454" s="1">
        <v>1.2142788528827113</v>
      </c>
      <c r="E454" s="1">
        <v>0.82255806072878179</v>
      </c>
      <c r="G454" s="1">
        <v>0.99916523159631054</v>
      </c>
      <c r="H454" s="1">
        <v>5.0410732311668998</v>
      </c>
      <c r="I454" s="1">
        <v>0.15997832311564017</v>
      </c>
      <c r="K454" s="1">
        <v>0.99838766109488253</v>
      </c>
      <c r="L454" s="1">
        <v>7.1502680738311515</v>
      </c>
      <c r="M454" s="1">
        <v>0.11042633161227323</v>
      </c>
      <c r="O454" s="1">
        <v>7.3797783190222028E-3</v>
      </c>
      <c r="P454" s="1">
        <v>0.76152154342124878</v>
      </c>
      <c r="R454" s="1">
        <v>0.23766294052561429</v>
      </c>
      <c r="S454" s="2">
        <f t="shared" si="84"/>
        <v>1.0280661912976672</v>
      </c>
      <c r="T454" s="4">
        <f t="shared" si="85"/>
        <v>1.0569200936892915</v>
      </c>
      <c r="U454" s="1">
        <f t="shared" si="89"/>
        <v>0.63653030435346647</v>
      </c>
      <c r="V454" s="6">
        <f>2*sigma/alpha*corel*(B454/12-1/alpha*(1-EXP(-alpha*Output!B454/12)))</f>
        <v>2.2033262918914347</v>
      </c>
      <c r="W454" s="5">
        <f t="shared" si="86"/>
        <v>-0.42038978933582505</v>
      </c>
      <c r="X454" s="1">
        <f t="shared" si="87"/>
        <v>66.932205640463565</v>
      </c>
      <c r="Y454" s="3">
        <f t="shared" si="88"/>
        <v>8.0964571994473378E-2</v>
      </c>
      <c r="Z454" s="1">
        <f t="shared" si="78"/>
        <v>0.1692036928410304</v>
      </c>
      <c r="AA454" s="8">
        <f t="shared" si="83"/>
        <v>36.833333333333286</v>
      </c>
      <c r="AB454" s="1">
        <v>36.92</v>
      </c>
      <c r="AC454" s="1">
        <v>7.5896962699999997E-3</v>
      </c>
      <c r="AD454" s="8">
        <f t="shared" si="79"/>
        <v>2.0991795097779695</v>
      </c>
      <c r="AE454" s="3">
        <f t="shared" si="80"/>
        <v>2.765828084682985E-2</v>
      </c>
      <c r="AF454" s="11">
        <f t="shared" si="81"/>
        <v>36.833333333333286</v>
      </c>
      <c r="AG454" s="1">
        <f t="shared" si="82"/>
        <v>0.1692036928410304</v>
      </c>
    </row>
    <row r="455" spans="2:33" ht="15" x14ac:dyDescent="0.25">
      <c r="B455" s="1">
        <v>444</v>
      </c>
      <c r="C455" s="1">
        <v>1.0007658894116018</v>
      </c>
      <c r="D455" s="1">
        <v>1.2174061607345987</v>
      </c>
      <c r="E455" s="1">
        <v>0.82044308374849795</v>
      </c>
      <c r="G455" s="1">
        <v>0.99921862582198717</v>
      </c>
      <c r="H455" s="1">
        <v>5.154074020454436</v>
      </c>
      <c r="I455" s="1">
        <v>0.15639514852259265</v>
      </c>
      <c r="K455" s="1">
        <v>0.99838660028522508</v>
      </c>
      <c r="L455" s="1">
        <v>7.1841131983228879</v>
      </c>
      <c r="M455" s="1">
        <v>0.10984406772467221</v>
      </c>
      <c r="O455" s="1">
        <v>7.3788601741285971E-3</v>
      </c>
      <c r="P455" s="1">
        <v>0.76107922017285212</v>
      </c>
      <c r="R455" s="1">
        <v>0.23791119685324236</v>
      </c>
      <c r="S455" s="2">
        <f t="shared" si="84"/>
        <v>1.0298085610818088</v>
      </c>
      <c r="T455" s="4">
        <f t="shared" si="85"/>
        <v>1.0605056724773856</v>
      </c>
      <c r="U455" s="1">
        <f t="shared" si="89"/>
        <v>0.63963424715822237</v>
      </c>
      <c r="V455" s="6">
        <f>2*sigma/alpha*corel*(B455/12-1/alpha*(1-EXP(-alpha*Output!B455/12)))</f>
        <v>2.2113677761994146</v>
      </c>
      <c r="W455" s="5">
        <f t="shared" si="86"/>
        <v>-0.42087142531916322</v>
      </c>
      <c r="X455" s="1">
        <f t="shared" si="87"/>
        <v>67.17911838884929</v>
      </c>
      <c r="Y455" s="3">
        <f t="shared" si="88"/>
        <v>8.0877284996551058E-2</v>
      </c>
      <c r="Z455" s="1">
        <f t="shared" si="78"/>
        <v>0.16929948456023655</v>
      </c>
      <c r="AA455" s="8">
        <f t="shared" si="83"/>
        <v>36.916666666666622</v>
      </c>
      <c r="AB455" s="1">
        <v>37</v>
      </c>
      <c r="AC455" s="1">
        <v>7.589366914E-3</v>
      </c>
      <c r="AD455" s="8">
        <f t="shared" si="79"/>
        <v>2.1050673987140294</v>
      </c>
      <c r="AE455" s="3">
        <f t="shared" si="80"/>
        <v>2.7737061899469381E-2</v>
      </c>
      <c r="AF455" s="11">
        <f t="shared" si="81"/>
        <v>36.916666666666622</v>
      </c>
      <c r="AG455" s="1">
        <f t="shared" si="82"/>
        <v>0.16929948456023655</v>
      </c>
    </row>
    <row r="456" spans="2:33" ht="15" x14ac:dyDescent="0.25">
      <c r="B456" s="1">
        <v>445</v>
      </c>
      <c r="C456" s="1">
        <v>1.0007724060018361</v>
      </c>
      <c r="D456" s="1">
        <v>1.2151769376191572</v>
      </c>
      <c r="E456" s="1">
        <v>0.82194620002717711</v>
      </c>
      <c r="G456" s="1">
        <v>0.99958717286160825</v>
      </c>
      <c r="H456" s="1">
        <v>5.0686780896960144</v>
      </c>
      <c r="I456" s="1">
        <v>0.15895309863897641</v>
      </c>
      <c r="K456" s="1">
        <v>0.99802322378276598</v>
      </c>
      <c r="L456" s="1">
        <v>7.4274554076634711</v>
      </c>
      <c r="M456" s="1">
        <v>0.10619676639549347</v>
      </c>
      <c r="O456" s="1">
        <v>7.3778967817821027E-3</v>
      </c>
      <c r="P456" s="1">
        <v>0.76063854653438812</v>
      </c>
      <c r="R456" s="1">
        <v>0.23825022504067112</v>
      </c>
      <c r="S456" s="2">
        <f t="shared" si="84"/>
        <v>1.0318580319338737</v>
      </c>
      <c r="T456" s="4">
        <f t="shared" si="85"/>
        <v>1.0647309980664472</v>
      </c>
      <c r="U456" s="1">
        <f t="shared" si="89"/>
        <v>0.64274429478207873</v>
      </c>
      <c r="V456" s="6">
        <f>2*sigma/alpha*corel*(B456/12-1/alpha*(1-EXP(-alpha*Output!B456/12)))</f>
        <v>2.2194171646011158</v>
      </c>
      <c r="W456" s="5">
        <f t="shared" si="86"/>
        <v>-0.42198670328436849</v>
      </c>
      <c r="X456" s="1">
        <f t="shared" si="87"/>
        <v>67.520506871040723</v>
      </c>
      <c r="Y456" s="3">
        <f t="shared" si="88"/>
        <v>8.0867448696147121E-2</v>
      </c>
      <c r="Z456" s="1">
        <f t="shared" si="78"/>
        <v>0.16944570557813049</v>
      </c>
      <c r="AA456" s="8">
        <f t="shared" si="83"/>
        <v>36.999999999999957</v>
      </c>
      <c r="AB456" s="1">
        <v>37.08</v>
      </c>
      <c r="AC456" s="1">
        <v>7.5890390400000004E-3</v>
      </c>
      <c r="AD456" s="8">
        <f t="shared" si="79"/>
        <v>2.1114225821789767</v>
      </c>
      <c r="AE456" s="3">
        <f t="shared" si="80"/>
        <v>2.7822001850961311E-2</v>
      </c>
      <c r="AF456" s="11">
        <f t="shared" si="81"/>
        <v>36.999999999999957</v>
      </c>
      <c r="AG456" s="1">
        <f t="shared" si="82"/>
        <v>0.16944570557813049</v>
      </c>
    </row>
    <row r="457" spans="2:33" ht="15" x14ac:dyDescent="0.25">
      <c r="B457" s="1">
        <v>446</v>
      </c>
      <c r="C457" s="1">
        <v>1.0007767476005638</v>
      </c>
      <c r="D457" s="1">
        <v>1.2140644760477528</v>
      </c>
      <c r="E457" s="1">
        <v>0.82269737901785611</v>
      </c>
      <c r="G457" s="1">
        <v>0.99979256666024208</v>
      </c>
      <c r="H457" s="1">
        <v>5.0246019721406023</v>
      </c>
      <c r="I457" s="1">
        <v>0.16026984731471852</v>
      </c>
      <c r="K457" s="1">
        <v>0.9979863794088325</v>
      </c>
      <c r="L457" s="1">
        <v>7.729110907254519</v>
      </c>
      <c r="M457" s="1">
        <v>0.10199402378847609</v>
      </c>
      <c r="O457" s="1">
        <v>7.3769839789093851E-3</v>
      </c>
      <c r="P457" s="1">
        <v>0.76019682075714112</v>
      </c>
      <c r="R457" s="1">
        <v>0.23849568579557626</v>
      </c>
      <c r="S457" s="2">
        <f t="shared" si="84"/>
        <v>1.0335934712434762</v>
      </c>
      <c r="T457" s="4">
        <f t="shared" si="85"/>
        <v>1.0683154637971388</v>
      </c>
      <c r="U457" s="1">
        <f t="shared" si="89"/>
        <v>0.64586043287718642</v>
      </c>
      <c r="V457" s="6">
        <f>2*sigma/alpha*corel*(B457/12-1/alpha*(1-EXP(-alpha*Output!B457/12)))</f>
        <v>2.2274744307934209</v>
      </c>
      <c r="W457" s="5">
        <f t="shared" si="86"/>
        <v>-0.4224550309199524</v>
      </c>
      <c r="X457" s="1">
        <f t="shared" si="87"/>
        <v>67.766623603271398</v>
      </c>
      <c r="Y457" s="3">
        <f t="shared" si="88"/>
        <v>8.0779024248854248E-2</v>
      </c>
      <c r="Z457" s="1">
        <f t="shared" si="78"/>
        <v>0.16954030147471799</v>
      </c>
      <c r="AA457" s="8">
        <f t="shared" si="83"/>
        <v>37.083333333333293</v>
      </c>
      <c r="AB457" s="1">
        <v>37.17</v>
      </c>
      <c r="AC457" s="1">
        <v>7.5887126400000001E-3</v>
      </c>
      <c r="AD457" s="8">
        <f t="shared" si="79"/>
        <v>2.1172866109061497</v>
      </c>
      <c r="AE457" s="3">
        <f t="shared" si="80"/>
        <v>2.7900471546991525E-2</v>
      </c>
      <c r="AF457" s="11">
        <f t="shared" si="81"/>
        <v>37.083333333333293</v>
      </c>
      <c r="AG457" s="1">
        <f t="shared" si="82"/>
        <v>0.16954030147471799</v>
      </c>
    </row>
    <row r="458" spans="2:33" ht="15" x14ac:dyDescent="0.25">
      <c r="B458" s="1">
        <v>447</v>
      </c>
      <c r="C458" s="1">
        <v>1.0007840306955498</v>
      </c>
      <c r="D458" s="1">
        <v>1.2173893242527667</v>
      </c>
      <c r="E458" s="1">
        <v>0.82044850669539737</v>
      </c>
      <c r="G458" s="1">
        <v>1.0002275324407277</v>
      </c>
      <c r="H458" s="1">
        <v>5.1433554421320142</v>
      </c>
      <c r="I458" s="1">
        <v>0.15649365252831887</v>
      </c>
      <c r="K458" s="1">
        <v>0.99788334331160933</v>
      </c>
      <c r="L458" s="1">
        <v>7.6901927671492123</v>
      </c>
      <c r="M458" s="1">
        <v>0.10245662871982507</v>
      </c>
      <c r="O458" s="1">
        <v>7.375993738794143E-3</v>
      </c>
      <c r="P458" s="1">
        <v>0.75975765863401334</v>
      </c>
      <c r="R458" s="1">
        <v>0.23868204846966645</v>
      </c>
      <c r="S458" s="2">
        <f t="shared" si="84"/>
        <v>1.0351241689550157</v>
      </c>
      <c r="T458" s="4">
        <f t="shared" si="85"/>
        <v>1.0714820451548119</v>
      </c>
      <c r="U458" s="1">
        <f t="shared" si="89"/>
        <v>0.64898264710379383</v>
      </c>
      <c r="V458" s="6">
        <f>2*sigma/alpha*corel*(B458/12-1/alpha*(1-EXP(-alpha*Output!B458/12)))</f>
        <v>2.2355395485607459</v>
      </c>
      <c r="W458" s="5">
        <f t="shared" si="86"/>
        <v>-0.4224993980510181</v>
      </c>
      <c r="X458" s="1">
        <f t="shared" si="87"/>
        <v>67.95004738278088</v>
      </c>
      <c r="Y458" s="3">
        <f t="shared" si="88"/>
        <v>8.0639494280793728E-2</v>
      </c>
      <c r="Z458" s="1">
        <f t="shared" si="78"/>
        <v>0.16960135218173866</v>
      </c>
      <c r="AA458" s="8">
        <f t="shared" si="83"/>
        <v>37.166666666666629</v>
      </c>
      <c r="AB458" s="1">
        <v>37.25</v>
      </c>
      <c r="AC458" s="1">
        <v>7.588387704E-3</v>
      </c>
      <c r="AD458" s="8">
        <f t="shared" si="79"/>
        <v>2.1239396520585703</v>
      </c>
      <c r="AE458" s="3">
        <f t="shared" si="80"/>
        <v>2.7989340224920198E-2</v>
      </c>
      <c r="AF458" s="11">
        <f t="shared" si="81"/>
        <v>37.166666666666629</v>
      </c>
      <c r="AG458" s="1">
        <f t="shared" si="82"/>
        <v>0.16960135218173866</v>
      </c>
    </row>
    <row r="459" spans="2:33" ht="15" x14ac:dyDescent="0.25">
      <c r="B459" s="1">
        <v>448</v>
      </c>
      <c r="C459" s="1">
        <v>1.0007839227387603</v>
      </c>
      <c r="D459" s="1">
        <v>1.2174543035784362</v>
      </c>
      <c r="E459" s="1">
        <v>0.82040273333847247</v>
      </c>
      <c r="G459" s="1">
        <v>1.000063850143124</v>
      </c>
      <c r="H459" s="1">
        <v>5.142849383830761</v>
      </c>
      <c r="I459" s="1">
        <v>0.15643331033902122</v>
      </c>
      <c r="K459" s="1">
        <v>0.99782553486473413</v>
      </c>
      <c r="L459" s="1">
        <v>7.1947746869517104</v>
      </c>
      <c r="M459" s="1">
        <v>0.10945600315441552</v>
      </c>
      <c r="O459" s="1">
        <v>7.3749541322203765E-3</v>
      </c>
      <c r="P459" s="1">
        <v>0.75932027496771781</v>
      </c>
      <c r="R459" s="1">
        <v>0.23905689920726544</v>
      </c>
      <c r="S459" s="2">
        <f t="shared" si="84"/>
        <v>1.0372951541332862</v>
      </c>
      <c r="T459" s="4">
        <f t="shared" si="85"/>
        <v>1.0759812367883981</v>
      </c>
      <c r="U459" s="1">
        <f t="shared" si="89"/>
        <v>0.65211092313047914</v>
      </c>
      <c r="V459" s="6">
        <f>2*sigma/alpha*corel*(B459/12-1/alpha*(1-EXP(-alpha*Output!B459/12)))</f>
        <v>2.2436124917747455</v>
      </c>
      <c r="W459" s="5">
        <f t="shared" si="86"/>
        <v>-0.42387031365791894</v>
      </c>
      <c r="X459" s="1">
        <f t="shared" si="87"/>
        <v>68.331763852830235</v>
      </c>
      <c r="Y459" s="3">
        <f t="shared" si="88"/>
        <v>8.0661032429844182E-2</v>
      </c>
      <c r="Z459" s="1">
        <f t="shared" si="78"/>
        <v>0.16976727006523817</v>
      </c>
      <c r="AA459" s="8">
        <f t="shared" si="83"/>
        <v>37.249999999999964</v>
      </c>
      <c r="AB459" s="1">
        <v>37.33</v>
      </c>
      <c r="AC459" s="1">
        <v>7.5880642209999998E-3</v>
      </c>
      <c r="AD459" s="8">
        <f t="shared" si="79"/>
        <v>2.1311008877962325</v>
      </c>
      <c r="AE459" s="3">
        <f t="shared" si="80"/>
        <v>2.8084908426294044E-2</v>
      </c>
      <c r="AF459" s="11">
        <f t="shared" si="81"/>
        <v>37.249999999999964</v>
      </c>
      <c r="AG459" s="1">
        <f t="shared" si="82"/>
        <v>0.16976727006523817</v>
      </c>
    </row>
    <row r="460" spans="2:33" ht="15" x14ac:dyDescent="0.25">
      <c r="B460" s="1">
        <v>449</v>
      </c>
      <c r="C460" s="1">
        <v>1.000788954579197</v>
      </c>
      <c r="D460" s="1">
        <v>1.216723655119619</v>
      </c>
      <c r="E460" s="1">
        <v>0.82089340051333692</v>
      </c>
      <c r="G460" s="1">
        <v>1.0003138679971435</v>
      </c>
      <c r="H460" s="1">
        <v>5.1144771509621885</v>
      </c>
      <c r="I460" s="1">
        <v>0.15722498908031499</v>
      </c>
      <c r="K460" s="1">
        <v>0.99751094175530763</v>
      </c>
      <c r="L460" s="1">
        <v>7.1427951512026491</v>
      </c>
      <c r="M460" s="1">
        <v>0.11019055612844388</v>
      </c>
      <c r="O460" s="1">
        <v>7.3740133570115007E-3</v>
      </c>
      <c r="P460" s="1">
        <v>0.75888046828831113</v>
      </c>
      <c r="R460" s="1">
        <v>0.23942099072948178</v>
      </c>
      <c r="S460" s="2">
        <f t="shared" si="84"/>
        <v>1.0394368708881496</v>
      </c>
      <c r="T460" s="4">
        <f t="shared" si="85"/>
        <v>1.0804290085617478</v>
      </c>
      <c r="U460" s="1">
        <f t="shared" si="89"/>
        <v>0.65524524663438388</v>
      </c>
      <c r="V460" s="6">
        <f>2*sigma/alpha*corel*(B460/12-1/alpha*(1-EXP(-alpha*Output!B460/12)))</f>
        <v>2.2516932343940228</v>
      </c>
      <c r="W460" s="5">
        <f t="shared" si="86"/>
        <v>-0.42518376192736396</v>
      </c>
      <c r="X460" s="1">
        <f t="shared" si="87"/>
        <v>68.705958790277961</v>
      </c>
      <c r="Y460" s="3">
        <f t="shared" si="88"/>
        <v>8.067544585072528E-2</v>
      </c>
      <c r="Z460" s="1">
        <f t="shared" si="78"/>
        <v>0.16992824440521695</v>
      </c>
      <c r="AA460" s="8">
        <f t="shared" si="83"/>
        <v>37.3333333333333</v>
      </c>
      <c r="AB460" s="1">
        <v>37.42</v>
      </c>
      <c r="AC460" s="1">
        <v>7.5877421830000003E-3</v>
      </c>
      <c r="AD460" s="8">
        <f t="shared" si="79"/>
        <v>2.1372882598849965</v>
      </c>
      <c r="AE460" s="3">
        <f t="shared" si="80"/>
        <v>2.8167644713515648E-2</v>
      </c>
      <c r="AF460" s="11">
        <f t="shared" si="81"/>
        <v>37.3333333333333</v>
      </c>
      <c r="AG460" s="1">
        <f t="shared" si="82"/>
        <v>0.16992824440521695</v>
      </c>
    </row>
    <row r="461" spans="2:33" ht="15" x14ac:dyDescent="0.25">
      <c r="B461" s="1">
        <v>450</v>
      </c>
      <c r="C461" s="1">
        <v>1.0007889176838791</v>
      </c>
      <c r="D461" s="1">
        <v>1.2153108945726314</v>
      </c>
      <c r="E461" s="1">
        <v>0.82184566732581199</v>
      </c>
      <c r="G461" s="1">
        <v>1.0001541856197529</v>
      </c>
      <c r="H461" s="1">
        <v>5.0595851948487462</v>
      </c>
      <c r="I461" s="1">
        <v>0.15885382477961069</v>
      </c>
      <c r="K461" s="1">
        <v>0.99745178740634755</v>
      </c>
      <c r="L461" s="1">
        <v>7.394562558307304</v>
      </c>
      <c r="M461" s="1">
        <v>0.10638339748516612</v>
      </c>
      <c r="O461" s="1">
        <v>7.3730843265918718E-3</v>
      </c>
      <c r="P461" s="1">
        <v>0.7584407012303902</v>
      </c>
      <c r="R461" s="1">
        <v>0.23978047455842086</v>
      </c>
      <c r="S461" s="2">
        <f t="shared" si="84"/>
        <v>1.0415652085859464</v>
      </c>
      <c r="T461" s="4">
        <f t="shared" si="85"/>
        <v>1.0848580837366859</v>
      </c>
      <c r="U461" s="1">
        <f t="shared" si="89"/>
        <v>0.65838560330144968</v>
      </c>
      <c r="V461" s="6">
        <f>2*sigma/alpha*corel*(B461/12-1/alpha*(1-EXP(-alpha*Output!B461/12)))</f>
        <v>2.2597817504638429</v>
      </c>
      <c r="W461" s="5">
        <f t="shared" si="86"/>
        <v>-0.42647248043523622</v>
      </c>
      <c r="X461" s="1">
        <f t="shared" si="87"/>
        <v>69.077485625014859</v>
      </c>
      <c r="Y461" s="3">
        <f t="shared" si="88"/>
        <v>8.0686731870727099E-2</v>
      </c>
      <c r="Z461" s="1">
        <f t="shared" ref="Z461:Z524" si="90">S461/SQRT(B461/12)</f>
        <v>0.17008688632473981</v>
      </c>
      <c r="AA461" s="8">
        <f t="shared" si="83"/>
        <v>37.416666666666636</v>
      </c>
      <c r="AB461" s="1">
        <v>37.5</v>
      </c>
      <c r="AC461" s="1">
        <v>7.5874215790000003E-3</v>
      </c>
      <c r="AD461" s="8">
        <f t="shared" ref="AD461:AD524" si="91">(AC461-O461)*10000</f>
        <v>2.1433725240812844</v>
      </c>
      <c r="AE461" s="3">
        <f t="shared" ref="AE461:AE524" si="92">AD461/AC461/10000</f>
        <v>2.8249023752859329E-2</v>
      </c>
      <c r="AF461" s="11">
        <f t="shared" ref="AF461:AF524" si="93">AA461</f>
        <v>37.416666666666636</v>
      </c>
      <c r="AG461" s="1">
        <f t="shared" ref="AG461:AG524" si="94">Z461</f>
        <v>0.17008688632473981</v>
      </c>
    </row>
    <row r="462" spans="2:33" ht="15" x14ac:dyDescent="0.25">
      <c r="B462" s="1">
        <v>451</v>
      </c>
      <c r="C462" s="1">
        <v>1.0007903828133318</v>
      </c>
      <c r="D462" s="1">
        <v>1.2185537097868249</v>
      </c>
      <c r="E462" s="1">
        <v>0.81965657695581606</v>
      </c>
      <c r="G462" s="1">
        <v>1.0001297358087509</v>
      </c>
      <c r="H462" s="1">
        <v>5.1824648399698772</v>
      </c>
      <c r="I462" s="1">
        <v>0.15501224157559992</v>
      </c>
      <c r="K462" s="1">
        <v>0.9977240423874566</v>
      </c>
      <c r="L462" s="1">
        <v>7.3122386530348047</v>
      </c>
      <c r="M462" s="1">
        <v>0.10751645634170096</v>
      </c>
      <c r="O462" s="1">
        <v>7.3721183476564908E-3</v>
      </c>
      <c r="P462" s="1">
        <v>0.7580023589807835</v>
      </c>
      <c r="R462" s="1">
        <v>0.24013532973585988</v>
      </c>
      <c r="S462" s="2">
        <f t="shared" si="84"/>
        <v>1.04367721673522</v>
      </c>
      <c r="T462" s="4">
        <f t="shared" si="85"/>
        <v>1.0892621327321752</v>
      </c>
      <c r="U462" s="1">
        <f t="shared" si="89"/>
        <v>0.66153197882663939</v>
      </c>
      <c r="V462" s="6">
        <f>2*sigma/alpha*corel*(B462/12-1/alpha*(1-EXP(-alpha*Output!B462/12)))</f>
        <v>2.2678780141158428</v>
      </c>
      <c r="W462" s="5">
        <f t="shared" si="86"/>
        <v>-0.42773015390553581</v>
      </c>
      <c r="X462" s="1">
        <f t="shared" si="87"/>
        <v>69.445370490708896</v>
      </c>
      <c r="Y462" s="3">
        <f t="shared" si="88"/>
        <v>8.0694158072835392E-2</v>
      </c>
      <c r="Z462" s="1">
        <f t="shared" si="90"/>
        <v>0.17024272220256689</v>
      </c>
      <c r="AA462" s="8">
        <f t="shared" ref="AA462:AA525" si="95">AA461+1/12</f>
        <v>37.499999999999972</v>
      </c>
      <c r="AB462" s="1">
        <v>37.58</v>
      </c>
      <c r="AC462" s="1">
        <v>7.5871024000000002E-3</v>
      </c>
      <c r="AD462" s="8">
        <f t="shared" si="91"/>
        <v>2.1498405234350941</v>
      </c>
      <c r="AE462" s="3">
        <f t="shared" si="92"/>
        <v>2.8335462078844409E-2</v>
      </c>
      <c r="AF462" s="11">
        <f t="shared" si="93"/>
        <v>37.499999999999972</v>
      </c>
      <c r="AG462" s="1">
        <f t="shared" si="94"/>
        <v>0.17024272220256689</v>
      </c>
    </row>
    <row r="463" spans="2:33" ht="15" x14ac:dyDescent="0.25">
      <c r="B463" s="1">
        <v>452</v>
      </c>
      <c r="C463" s="1">
        <v>1.0007918862210883</v>
      </c>
      <c r="D463" s="1">
        <v>1.2128904480721467</v>
      </c>
      <c r="E463" s="1">
        <v>0.8234817318711547</v>
      </c>
      <c r="G463" s="1">
        <v>1.0000712398639562</v>
      </c>
      <c r="H463" s="1">
        <v>4.9677424359261053</v>
      </c>
      <c r="I463" s="1">
        <v>0.16163412644787103</v>
      </c>
      <c r="K463" s="1">
        <v>0.99764600633302947</v>
      </c>
      <c r="L463" s="1">
        <v>7.2758155840650209</v>
      </c>
      <c r="M463" s="1">
        <v>0.10799527491777816</v>
      </c>
      <c r="O463" s="1">
        <v>7.3711104003427296E-3</v>
      </c>
      <c r="P463" s="1">
        <v>0.75756558960260767</v>
      </c>
      <c r="R463" s="1">
        <v>0.24049021865327844</v>
      </c>
      <c r="S463" s="2">
        <f t="shared" si="84"/>
        <v>1.0457884909901145</v>
      </c>
      <c r="T463" s="4">
        <f t="shared" si="85"/>
        <v>1.0936735678873808</v>
      </c>
      <c r="U463" s="1">
        <f t="shared" si="89"/>
        <v>0.66468435891416977</v>
      </c>
      <c r="V463" s="6">
        <f>2*sigma/alpha*corel*(B463/12-1/alpha*(1-EXP(-alpha*Output!B463/12)))</f>
        <v>2.2759819995677404</v>
      </c>
      <c r="W463" s="5">
        <f t="shared" si="86"/>
        <v>-0.42898920897321102</v>
      </c>
      <c r="X463" s="1">
        <f t="shared" si="87"/>
        <v>69.814468214320172</v>
      </c>
      <c r="Y463" s="3">
        <f t="shared" si="88"/>
        <v>8.0701636251609976E-2</v>
      </c>
      <c r="Z463" s="1">
        <f t="shared" si="90"/>
        <v>0.17039830236342599</v>
      </c>
      <c r="AA463" s="8">
        <f t="shared" si="95"/>
        <v>37.583333333333307</v>
      </c>
      <c r="AB463" s="1">
        <v>37.67</v>
      </c>
      <c r="AC463" s="1">
        <v>7.5867846360000001E-3</v>
      </c>
      <c r="AD463" s="8">
        <f t="shared" si="91"/>
        <v>2.1567423565727051</v>
      </c>
      <c r="AE463" s="3">
        <f t="shared" si="92"/>
        <v>2.8427620659465691E-2</v>
      </c>
      <c r="AF463" s="11">
        <f t="shared" si="93"/>
        <v>37.583333333333307</v>
      </c>
      <c r="AG463" s="1">
        <f t="shared" si="94"/>
        <v>0.17039830236342599</v>
      </c>
    </row>
    <row r="464" spans="2:33" ht="15" x14ac:dyDescent="0.25">
      <c r="B464" s="1">
        <v>453</v>
      </c>
      <c r="C464" s="1">
        <v>1.0007895124676665</v>
      </c>
      <c r="D464" s="1">
        <v>1.2120430103679669</v>
      </c>
      <c r="E464" s="1">
        <v>0.82405548070356482</v>
      </c>
      <c r="G464" s="1">
        <v>0.99973775020947375</v>
      </c>
      <c r="H464" s="1">
        <v>4.9363390253710513</v>
      </c>
      <c r="I464" s="1">
        <v>0.16258366933385829</v>
      </c>
      <c r="K464" s="1">
        <v>0.9975920913117382</v>
      </c>
      <c r="L464" s="1">
        <v>7.4905295653114239</v>
      </c>
      <c r="M464" s="1">
        <v>0.10485001045116427</v>
      </c>
      <c r="O464" s="1">
        <v>7.3700356923744473E-3</v>
      </c>
      <c r="P464" s="1">
        <v>0.75713110721739307</v>
      </c>
      <c r="R464" s="1">
        <v>0.24070377725068609</v>
      </c>
      <c r="S464" s="2">
        <f t="shared" si="84"/>
        <v>1.0474136675875705</v>
      </c>
      <c r="T464" s="4">
        <f t="shared" si="85"/>
        <v>1.0970753910492457</v>
      </c>
      <c r="U464" s="1">
        <f t="shared" si="89"/>
        <v>0.66784272927773447</v>
      </c>
      <c r="V464" s="6">
        <f>2*sigma/alpha*corel*(B464/12-1/alpha*(1-EXP(-alpha*Output!B464/12)))</f>
        <v>2.284093681123057</v>
      </c>
      <c r="W464" s="5">
        <f t="shared" si="86"/>
        <v>-0.4292326617715112</v>
      </c>
      <c r="X464" s="1">
        <f t="shared" si="87"/>
        <v>70.031215871644477</v>
      </c>
      <c r="Y464" s="3">
        <f t="shared" si="88"/>
        <v>8.0587707038814307E-2</v>
      </c>
      <c r="Z464" s="1">
        <f t="shared" si="90"/>
        <v>0.17047463084838729</v>
      </c>
      <c r="AA464" s="8">
        <f t="shared" si="95"/>
        <v>37.666666666666643</v>
      </c>
      <c r="AB464" s="1">
        <v>37.75</v>
      </c>
      <c r="AC464" s="1">
        <v>7.586468279E-3</v>
      </c>
      <c r="AD464" s="8">
        <f t="shared" si="91"/>
        <v>2.1643258662555271</v>
      </c>
      <c r="AE464" s="3">
        <f t="shared" si="92"/>
        <v>2.8528767097683233E-2</v>
      </c>
      <c r="AF464" s="11">
        <f t="shared" si="93"/>
        <v>37.666666666666643</v>
      </c>
      <c r="AG464" s="1">
        <f t="shared" si="94"/>
        <v>0.17047463084838729</v>
      </c>
    </row>
    <row r="465" spans="2:33" ht="15" x14ac:dyDescent="0.25">
      <c r="B465" s="1">
        <v>454</v>
      </c>
      <c r="C465" s="1">
        <v>1.0007926666303222</v>
      </c>
      <c r="D465" s="1">
        <v>1.2172871378609531</v>
      </c>
      <c r="E465" s="1">
        <v>0.8205034028780479</v>
      </c>
      <c r="G465" s="1">
        <v>0.99988566336527951</v>
      </c>
      <c r="H465" s="1">
        <v>5.1301122455549901</v>
      </c>
      <c r="I465" s="1">
        <v>0.15636689052465769</v>
      </c>
      <c r="K465" s="1">
        <v>0.99753542536068107</v>
      </c>
      <c r="L465" s="1">
        <v>7.3991127322827142</v>
      </c>
      <c r="M465" s="1">
        <v>0.10608580776196862</v>
      </c>
      <c r="O465" s="1">
        <v>7.3689853004460419E-3</v>
      </c>
      <c r="P465" s="1">
        <v>0.75669631342821553</v>
      </c>
      <c r="R465" s="1">
        <v>0.24117080300298804</v>
      </c>
      <c r="S465" s="2">
        <f t="shared" si="84"/>
        <v>1.0499093863224334</v>
      </c>
      <c r="T465" s="4">
        <f t="shared" si="85"/>
        <v>1.1023097194879485</v>
      </c>
      <c r="U465" s="1">
        <f t="shared" si="89"/>
        <v>0.67100707564072248</v>
      </c>
      <c r="V465" s="6">
        <f>2*sigma/alpha*corel*(B465/12-1/alpha*(1-EXP(-alpha*Output!B465/12)))</f>
        <v>2.292213033170821</v>
      </c>
      <c r="W465" s="5">
        <f t="shared" si="86"/>
        <v>-0.43130264384722605</v>
      </c>
      <c r="X465" s="1">
        <f t="shared" si="87"/>
        <v>70.524707358318381</v>
      </c>
      <c r="Y465" s="3">
        <f t="shared" si="88"/>
        <v>8.0691884822831642E-2</v>
      </c>
      <c r="Z465" s="1">
        <f t="shared" si="90"/>
        <v>0.17069252977839544</v>
      </c>
      <c r="AA465" s="8">
        <f t="shared" si="95"/>
        <v>37.749999999999979</v>
      </c>
      <c r="AB465" s="1">
        <v>37.83</v>
      </c>
      <c r="AC465" s="1">
        <v>7.5861533179999996E-3</v>
      </c>
      <c r="AD465" s="8">
        <f t="shared" si="91"/>
        <v>2.1716801755395765</v>
      </c>
      <c r="AE465" s="3">
        <f t="shared" si="92"/>
        <v>2.8626895404113908E-2</v>
      </c>
      <c r="AF465" s="11">
        <f t="shared" si="93"/>
        <v>37.749999999999979</v>
      </c>
      <c r="AG465" s="1">
        <f t="shared" si="94"/>
        <v>0.17069252977839544</v>
      </c>
    </row>
    <row r="466" spans="2:33" ht="15" x14ac:dyDescent="0.25">
      <c r="B466" s="1">
        <v>455</v>
      </c>
      <c r="C466" s="1">
        <v>1.0007961311771079</v>
      </c>
      <c r="D466" s="1">
        <v>1.2197434108428031</v>
      </c>
      <c r="E466" s="1">
        <v>0.81884909354318514</v>
      </c>
      <c r="G466" s="1">
        <v>1.000037432919912</v>
      </c>
      <c r="H466" s="1">
        <v>5.2221073108663791</v>
      </c>
      <c r="I466" s="1">
        <v>0.15353791582694801</v>
      </c>
      <c r="K466" s="1">
        <v>0.99767052698672687</v>
      </c>
      <c r="L466" s="1">
        <v>7.4805295555849654</v>
      </c>
      <c r="M466" s="1">
        <v>0.10487929551368487</v>
      </c>
      <c r="O466" s="1">
        <v>7.3679428690681149E-3</v>
      </c>
      <c r="P466" s="1">
        <v>0.75626167345285689</v>
      </c>
      <c r="R466" s="1">
        <v>0.24136051587203058</v>
      </c>
      <c r="S466" s="2">
        <f t="shared" si="84"/>
        <v>1.0514570024148762</v>
      </c>
      <c r="T466" s="4">
        <f t="shared" si="85"/>
        <v>1.105561827927277</v>
      </c>
      <c r="U466" s="1">
        <f t="shared" si="89"/>
        <v>0.67417738373644021</v>
      </c>
      <c r="V466" s="6">
        <f>2*sigma/alpha*corel*(B466/12-1/alpha*(1-EXP(-alpha*Output!B466/12)))</f>
        <v>2.3003400301852914</v>
      </c>
      <c r="W466" s="5">
        <f t="shared" si="86"/>
        <v>-0.43138444419083677</v>
      </c>
      <c r="X466" s="1">
        <f t="shared" si="87"/>
        <v>70.718204956749787</v>
      </c>
      <c r="Y466" s="3">
        <f t="shared" si="88"/>
        <v>8.0559186710946015E-2</v>
      </c>
      <c r="Z466" s="1">
        <f t="shared" si="90"/>
        <v>0.17075618461038947</v>
      </c>
      <c r="AA466" s="8">
        <f t="shared" si="95"/>
        <v>37.833333333333314</v>
      </c>
      <c r="AB466" s="1">
        <v>37.92</v>
      </c>
      <c r="AC466" s="1">
        <v>7.5858397440000001E-3</v>
      </c>
      <c r="AD466" s="8">
        <f t="shared" si="91"/>
        <v>2.1789687493188516</v>
      </c>
      <c r="AE466" s="3">
        <f t="shared" si="92"/>
        <v>2.8724160051526282E-2</v>
      </c>
      <c r="AF466" s="11">
        <f t="shared" si="93"/>
        <v>37.833333333333314</v>
      </c>
      <c r="AG466" s="1">
        <f t="shared" si="94"/>
        <v>0.17075618461038947</v>
      </c>
    </row>
    <row r="467" spans="2:33" ht="15" x14ac:dyDescent="0.25">
      <c r="B467" s="1">
        <v>456</v>
      </c>
      <c r="C467" s="1">
        <v>1.0007946653978959</v>
      </c>
      <c r="D467" s="1">
        <v>1.2185175218930655</v>
      </c>
      <c r="E467" s="1">
        <v>0.81967087977916075</v>
      </c>
      <c r="G467" s="1">
        <v>0.99977587662390632</v>
      </c>
      <c r="H467" s="1">
        <v>5.172005711102301</v>
      </c>
      <c r="I467" s="1">
        <v>0.15495022166691358</v>
      </c>
      <c r="K467" s="1">
        <v>0.9974765700248277</v>
      </c>
      <c r="L467" s="1">
        <v>7.2770240233669954</v>
      </c>
      <c r="M467" s="1">
        <v>0.10775061591292784</v>
      </c>
      <c r="O467" s="1">
        <v>7.3670301676948555E-3</v>
      </c>
      <c r="P467" s="1">
        <v>0.75582368842380088</v>
      </c>
      <c r="R467" s="1">
        <v>0.24162458260291825</v>
      </c>
      <c r="S467" s="2">
        <f t="shared" si="84"/>
        <v>1.0532681474258989</v>
      </c>
      <c r="T467" s="4">
        <f t="shared" si="85"/>
        <v>1.1093737903819851</v>
      </c>
      <c r="U467" s="1">
        <f t="shared" si="89"/>
        <v>0.67735363930832859</v>
      </c>
      <c r="V467" s="6">
        <f>2*sigma/alpha*corel*(B467/12-1/alpha*(1-EXP(-alpha*Output!B467/12)))</f>
        <v>2.3084746467256707</v>
      </c>
      <c r="W467" s="5">
        <f t="shared" si="86"/>
        <v>-0.43202015107365654</v>
      </c>
      <c r="X467" s="1">
        <f t="shared" si="87"/>
        <v>70.996118157770994</v>
      </c>
      <c r="Y467" s="3">
        <f t="shared" si="88"/>
        <v>8.04926944518983E-2</v>
      </c>
      <c r="Z467" s="1">
        <f t="shared" si="90"/>
        <v>0.17086265570719483</v>
      </c>
      <c r="AA467" s="8">
        <f t="shared" si="95"/>
        <v>37.91666666666665</v>
      </c>
      <c r="AB467" s="1">
        <v>38</v>
      </c>
      <c r="AC467" s="1">
        <v>7.5855275500000003E-3</v>
      </c>
      <c r="AD467" s="8">
        <f t="shared" si="91"/>
        <v>2.1849738230514482</v>
      </c>
      <c r="AE467" s="3">
        <f t="shared" si="92"/>
        <v>2.8804507117655226E-2</v>
      </c>
      <c r="AF467" s="11">
        <f t="shared" si="93"/>
        <v>37.91666666666665</v>
      </c>
      <c r="AG467" s="1">
        <f t="shared" si="94"/>
        <v>0.17086265570719483</v>
      </c>
    </row>
    <row r="468" spans="2:33" ht="15" x14ac:dyDescent="0.25">
      <c r="B468" s="1">
        <v>457</v>
      </c>
      <c r="C468" s="1">
        <v>1.0007937933344586</v>
      </c>
      <c r="D468" s="1">
        <v>1.2151105897614378</v>
      </c>
      <c r="E468" s="1">
        <v>0.82196704949541211</v>
      </c>
      <c r="G468" s="1">
        <v>0.99955741710791368</v>
      </c>
      <c r="H468" s="1">
        <v>5.0431424313157152</v>
      </c>
      <c r="I468" s="1">
        <v>0.15883262979033128</v>
      </c>
      <c r="K468" s="1">
        <v>0.99736079908613506</v>
      </c>
      <c r="L468" s="1">
        <v>7.3039043084529469</v>
      </c>
      <c r="M468" s="1">
        <v>0.10730131610032219</v>
      </c>
      <c r="O468" s="1">
        <v>7.3660897713739007E-3</v>
      </c>
      <c r="P468" s="1">
        <v>0.75538686867661975</v>
      </c>
      <c r="R468" s="1">
        <v>0.24191972625559247</v>
      </c>
      <c r="S468" s="2">
        <f t="shared" si="84"/>
        <v>1.0551855005839779</v>
      </c>
      <c r="T468" s="4">
        <f t="shared" si="85"/>
        <v>1.1134164406426599</v>
      </c>
      <c r="U468" s="1">
        <f t="shared" si="89"/>
        <v>0.68053582811017543</v>
      </c>
      <c r="V468" s="6">
        <f>2*sigma/alpha*corel*(B468/12-1/alpha*(1-EXP(-alpha*Output!B468/12)))</f>
        <v>2.3166168574358239</v>
      </c>
      <c r="W468" s="5">
        <f t="shared" si="86"/>
        <v>-0.43288061253248444</v>
      </c>
      <c r="X468" s="1">
        <f t="shared" si="87"/>
        <v>71.308860306604302</v>
      </c>
      <c r="Y468" s="3">
        <f t="shared" si="88"/>
        <v>8.0453048330542495E-2</v>
      </c>
      <c r="Z468" s="1">
        <f t="shared" si="90"/>
        <v>0.17098630914847726</v>
      </c>
      <c r="AA468" s="8">
        <f t="shared" si="95"/>
        <v>37.999999999999986</v>
      </c>
      <c r="AB468" s="1">
        <v>38.08</v>
      </c>
      <c r="AC468" s="1">
        <v>7.5852167240000002E-3</v>
      </c>
      <c r="AD468" s="8">
        <f t="shared" si="91"/>
        <v>2.1912695262609958</v>
      </c>
      <c r="AE468" s="3">
        <f t="shared" si="92"/>
        <v>2.8888687113285908E-2</v>
      </c>
      <c r="AF468" s="11">
        <f t="shared" si="93"/>
        <v>37.999999999999986</v>
      </c>
      <c r="AG468" s="1">
        <f t="shared" si="94"/>
        <v>0.17098630914847726</v>
      </c>
    </row>
    <row r="469" spans="2:33" ht="15" x14ac:dyDescent="0.25">
      <c r="B469" s="1">
        <v>458</v>
      </c>
      <c r="C469" s="1">
        <v>1.0007931188283457</v>
      </c>
      <c r="D469" s="1">
        <v>1.2150271725544288</v>
      </c>
      <c r="E469" s="1">
        <v>0.8220214496896191</v>
      </c>
      <c r="G469" s="1">
        <v>0.99933861439043792</v>
      </c>
      <c r="H469" s="1">
        <v>5.0362228938849309</v>
      </c>
      <c r="I469" s="1">
        <v>0.1589738817800721</v>
      </c>
      <c r="K469" s="1">
        <v>0.99732359675001603</v>
      </c>
      <c r="L469" s="1">
        <v>7.4882009551845456</v>
      </c>
      <c r="M469" s="1">
        <v>0.10459688876667204</v>
      </c>
      <c r="O469" s="1">
        <v>7.3652208722983174E-3</v>
      </c>
      <c r="P469" s="1">
        <v>0.75494835959529139</v>
      </c>
      <c r="R469" s="1">
        <v>0.24233784876157644</v>
      </c>
      <c r="S469" s="2">
        <f t="shared" si="84"/>
        <v>1.0575311022050806</v>
      </c>
      <c r="T469" s="4">
        <f t="shared" si="85"/>
        <v>1.1183720321310926</v>
      </c>
      <c r="U469" s="1">
        <f t="shared" si="89"/>
        <v>0.68372393590632896</v>
      </c>
      <c r="V469" s="6">
        <f>2*sigma/alpha*corel*(B469/12-1/alpha*(1-EXP(-alpha*Output!B469/12)))</f>
        <v>2.3247666370439926</v>
      </c>
      <c r="W469" s="5">
        <f t="shared" si="86"/>
        <v>-0.43464809622476364</v>
      </c>
      <c r="X469" s="1">
        <f t="shared" si="87"/>
        <v>71.760815940360089</v>
      </c>
      <c r="Y469" s="3">
        <f t="shared" si="88"/>
        <v>8.0520641354392963E-2</v>
      </c>
      <c r="Z469" s="1">
        <f t="shared" si="90"/>
        <v>0.17117921598712704</v>
      </c>
      <c r="AA469" s="8">
        <f t="shared" si="95"/>
        <v>38.083333333333321</v>
      </c>
      <c r="AB469" s="1">
        <v>38.17</v>
      </c>
      <c r="AC469" s="1">
        <v>7.5849072590000004E-3</v>
      </c>
      <c r="AD469" s="8">
        <f t="shared" si="91"/>
        <v>2.1968638670168303</v>
      </c>
      <c r="AE469" s="3">
        <f t="shared" si="92"/>
        <v>2.8963621993005968E-2</v>
      </c>
      <c r="AF469" s="11">
        <f t="shared" si="93"/>
        <v>38.083333333333321</v>
      </c>
      <c r="AG469" s="1">
        <f t="shared" si="94"/>
        <v>0.17117921598712704</v>
      </c>
    </row>
    <row r="470" spans="2:33" ht="15" x14ac:dyDescent="0.25">
      <c r="B470" s="1">
        <v>459</v>
      </c>
      <c r="C470" s="1">
        <v>1.0007947966171018</v>
      </c>
      <c r="D470" s="1">
        <v>1.2156125003718639</v>
      </c>
      <c r="E470" s="1">
        <v>0.82162360387037781</v>
      </c>
      <c r="G470" s="1">
        <v>0.99931553109225502</v>
      </c>
      <c r="H470" s="1">
        <v>5.0558031299590462</v>
      </c>
      <c r="I470" s="1">
        <v>0.1582815618094976</v>
      </c>
      <c r="K470" s="1">
        <v>0.99713904943636145</v>
      </c>
      <c r="L470" s="1">
        <v>7.5308138942212466</v>
      </c>
      <c r="M470" s="1">
        <v>0.10395272853465459</v>
      </c>
      <c r="O470" s="1">
        <v>7.3643939942958188E-3</v>
      </c>
      <c r="P470" s="1">
        <v>0.75450900161022638</v>
      </c>
      <c r="R470" s="1">
        <v>0.24258984775090872</v>
      </c>
      <c r="S470" s="2">
        <f t="shared" si="84"/>
        <v>1.0593098260097549</v>
      </c>
      <c r="T470" s="4">
        <f t="shared" si="85"/>
        <v>1.1221373074808172</v>
      </c>
      <c r="U470" s="1">
        <f t="shared" si="89"/>
        <v>0.68691794847190613</v>
      </c>
      <c r="V470" s="6">
        <f>2*sigma/alpha*corel*(B470/12-1/alpha*(1-EXP(-alpha*Output!B470/12)))</f>
        <v>2.332923960362522</v>
      </c>
      <c r="W470" s="5">
        <f t="shared" si="86"/>
        <v>-0.43521935900891107</v>
      </c>
      <c r="X470" s="1">
        <f t="shared" si="87"/>
        <v>72.031096133196939</v>
      </c>
      <c r="Y470" s="3">
        <f t="shared" si="88"/>
        <v>8.0446922526735298E-2</v>
      </c>
      <c r="Z470" s="1">
        <f t="shared" si="90"/>
        <v>0.17128024717227003</v>
      </c>
      <c r="AA470" s="8">
        <f t="shared" si="95"/>
        <v>38.166666666666657</v>
      </c>
      <c r="AB470" s="1">
        <v>38.25</v>
      </c>
      <c r="AC470" s="1">
        <v>7.5845991460000003E-3</v>
      </c>
      <c r="AD470" s="8">
        <f t="shared" si="91"/>
        <v>2.2020515170418156</v>
      </c>
      <c r="AE470" s="3">
        <f t="shared" si="92"/>
        <v>2.9033195751724639E-2</v>
      </c>
      <c r="AF470" s="11">
        <f t="shared" si="93"/>
        <v>38.166666666666657</v>
      </c>
      <c r="AG470" s="1">
        <f t="shared" si="94"/>
        <v>0.17128024717227003</v>
      </c>
    </row>
    <row r="471" spans="2:33" ht="15" x14ac:dyDescent="0.25">
      <c r="B471" s="1">
        <v>460</v>
      </c>
      <c r="C471" s="1">
        <v>1.0008012226135103</v>
      </c>
      <c r="D471" s="1">
        <v>1.2123441171131026</v>
      </c>
      <c r="E471" s="1">
        <v>0.82383659078283578</v>
      </c>
      <c r="G471" s="1">
        <v>0.99964579071199844</v>
      </c>
      <c r="H471" s="1">
        <v>4.9324347653654916</v>
      </c>
      <c r="I471" s="1">
        <v>0.16216192438683</v>
      </c>
      <c r="K471" s="1">
        <v>0.99708461254122871</v>
      </c>
      <c r="L471" s="1">
        <v>7.6338295776478509</v>
      </c>
      <c r="M471" s="1">
        <v>0.10249976093704653</v>
      </c>
      <c r="O471" s="1">
        <v>7.3636153529369423E-3</v>
      </c>
      <c r="P471" s="1">
        <v>0.75406860891142968</v>
      </c>
      <c r="R471" s="1">
        <v>0.24289975874228398</v>
      </c>
      <c r="S471" s="2">
        <f t="shared" ref="S471:S534" si="96">optim_vol_implied(P471,R471)</f>
        <v>1.0612919323004093</v>
      </c>
      <c r="T471" s="4">
        <f t="shared" ref="T471:T534" si="97">S471*S471</f>
        <v>1.1263405655659366</v>
      </c>
      <c r="U471" s="1">
        <f t="shared" si="89"/>
        <v>0.69011785159300176</v>
      </c>
      <c r="V471" s="6">
        <f>2*sigma/alpha*corel*(B471/12-1/alpha*(1-EXP(-alpha*Output!B471/12)))</f>
        <v>2.3410888022875724</v>
      </c>
      <c r="W471" s="5">
        <f t="shared" ref="W471:W534" si="98">U471-T471</f>
        <v>-0.43622271397293488</v>
      </c>
      <c r="X471" s="1">
        <f t="shared" ref="X471:X534" si="99">V471*V471-4*W471*B471/12</f>
        <v>72.368179589379594</v>
      </c>
      <c r="Y471" s="3">
        <f t="shared" ref="Y471:Y534" si="100">(-V471+SQRT(X471))/2/B471*12</f>
        <v>8.0424262145737502E-2</v>
      </c>
      <c r="Z471" s="1">
        <f t="shared" si="90"/>
        <v>0.17141411074526405</v>
      </c>
      <c r="AA471" s="8">
        <f t="shared" si="95"/>
        <v>38.249999999999993</v>
      </c>
      <c r="AB471" s="1">
        <v>38.33</v>
      </c>
      <c r="AC471" s="1">
        <v>7.5842923750000001E-3</v>
      </c>
      <c r="AD471" s="8">
        <f t="shared" si="91"/>
        <v>2.2067702206305784</v>
      </c>
      <c r="AE471" s="3">
        <f t="shared" si="92"/>
        <v>2.9096586886664933E-2</v>
      </c>
      <c r="AF471" s="11">
        <f t="shared" si="93"/>
        <v>38.249999999999993</v>
      </c>
      <c r="AG471" s="1">
        <f t="shared" si="94"/>
        <v>0.17141411074526405</v>
      </c>
    </row>
    <row r="472" spans="2:33" ht="15" x14ac:dyDescent="0.25">
      <c r="B472" s="1">
        <v>461</v>
      </c>
      <c r="C472" s="1">
        <v>1.0008018549213751</v>
      </c>
      <c r="D472" s="1">
        <v>1.2101324062853824</v>
      </c>
      <c r="E472" s="1">
        <v>0.82534023090197928</v>
      </c>
      <c r="G472" s="1">
        <v>0.99954965303310184</v>
      </c>
      <c r="H472" s="1">
        <v>4.8515171296512358</v>
      </c>
      <c r="I472" s="1">
        <v>0.16478680266789109</v>
      </c>
      <c r="K472" s="1">
        <v>0.99688022191755832</v>
      </c>
      <c r="L472" s="1">
        <v>7.67201329720519</v>
      </c>
      <c r="M472" s="1">
        <v>0.10192868639591844</v>
      </c>
      <c r="O472" s="1">
        <v>7.3629583642943718E-3</v>
      </c>
      <c r="P472" s="1">
        <v>0.75362504899386018</v>
      </c>
      <c r="R472" s="1">
        <v>0.24323378072404103</v>
      </c>
      <c r="S472" s="2">
        <f t="shared" si="96"/>
        <v>1.0633659122604964</v>
      </c>
      <c r="T472" s="4">
        <f t="shared" si="97"/>
        <v>1.1307470633575976</v>
      </c>
      <c r="U472" s="1">
        <f t="shared" si="89"/>
        <v>0.69332363106689243</v>
      </c>
      <c r="V472" s="6">
        <f>2*sigma/alpha*corel*(B472/12-1/alpha*(1-EXP(-alpha*Output!B472/12)))</f>
        <v>2.349261137798845</v>
      </c>
      <c r="W472" s="5">
        <f t="shared" si="98"/>
        <v>-0.43742343229070513</v>
      </c>
      <c r="X472" s="1">
        <f t="shared" si="99"/>
        <v>72.736428655576958</v>
      </c>
      <c r="Y472" s="3">
        <f t="shared" si="100"/>
        <v>8.0424784990170015E-2</v>
      </c>
      <c r="Z472" s="1">
        <f t="shared" si="90"/>
        <v>0.17156270876128055</v>
      </c>
      <c r="AA472" s="8">
        <f t="shared" si="95"/>
        <v>38.333333333333329</v>
      </c>
      <c r="AB472" s="1">
        <v>38.42</v>
      </c>
      <c r="AC472" s="1">
        <v>7.5839869379999997E-3</v>
      </c>
      <c r="AD472" s="8">
        <f t="shared" si="91"/>
        <v>2.2102857370562798</v>
      </c>
      <c r="AE472" s="3">
        <f t="shared" si="92"/>
        <v>2.9144113183812551E-2</v>
      </c>
      <c r="AF472" s="11">
        <f t="shared" si="93"/>
        <v>38.333333333333329</v>
      </c>
      <c r="AG472" s="1">
        <f t="shared" si="94"/>
        <v>0.17156270876128055</v>
      </c>
    </row>
    <row r="473" spans="2:33" ht="15" x14ac:dyDescent="0.25">
      <c r="B473" s="1">
        <v>462</v>
      </c>
      <c r="C473" s="1">
        <v>1.000802595935691</v>
      </c>
      <c r="D473" s="1">
        <v>1.2132457975093485</v>
      </c>
      <c r="E473" s="1">
        <v>0.82322021802345469</v>
      </c>
      <c r="G473" s="1">
        <v>0.99946646654850924</v>
      </c>
      <c r="H473" s="1">
        <v>4.9633203831623494</v>
      </c>
      <c r="I473" s="1">
        <v>0.16099687335910015</v>
      </c>
      <c r="K473" s="1">
        <v>0.99680747361405309</v>
      </c>
      <c r="L473" s="1">
        <v>7.6759699269794899</v>
      </c>
      <c r="M473" s="1">
        <v>0.1018269650858655</v>
      </c>
      <c r="O473" s="1">
        <v>7.3624077298259788E-3</v>
      </c>
      <c r="P473" s="1">
        <v>0.75317874846116406</v>
      </c>
      <c r="R473" s="1">
        <v>0.24354155564872645</v>
      </c>
      <c r="S473" s="2">
        <f t="shared" si="96"/>
        <v>1.0653574630994844</v>
      </c>
      <c r="T473" s="4">
        <f t="shared" si="97"/>
        <v>1.1349865241817694</v>
      </c>
      <c r="U473" s="1">
        <f t="shared" si="89"/>
        <v>0.69653527270224025</v>
      </c>
      <c r="V473" s="6">
        <f>2*sigma/alpha*corel*(B473/12-1/alpha*(1-EXP(-alpha*Output!B473/12)))</f>
        <v>2.3574409419593061</v>
      </c>
      <c r="W473" s="5">
        <f t="shared" si="98"/>
        <v>-0.43845125147952912</v>
      </c>
      <c r="X473" s="1">
        <f t="shared" si="99"/>
        <v>73.079020522673474</v>
      </c>
      <c r="Y473" s="3">
        <f t="shared" si="100"/>
        <v>8.0405011414557942E-2</v>
      </c>
      <c r="Z473" s="1">
        <f t="shared" si="90"/>
        <v>0.17169790173227725</v>
      </c>
      <c r="AA473" s="8">
        <f t="shared" si="95"/>
        <v>38.416666666666664</v>
      </c>
      <c r="AB473" s="1">
        <v>38.5</v>
      </c>
      <c r="AC473" s="1">
        <v>7.5836828270000002E-3</v>
      </c>
      <c r="AD473" s="8">
        <f t="shared" si="91"/>
        <v>2.2127509717402138</v>
      </c>
      <c r="AE473" s="3">
        <f t="shared" si="92"/>
        <v>2.9177788974272641E-2</v>
      </c>
      <c r="AF473" s="11">
        <f t="shared" si="93"/>
        <v>38.416666666666664</v>
      </c>
      <c r="AG473" s="1">
        <f t="shared" si="94"/>
        <v>0.17169790173227725</v>
      </c>
    </row>
    <row r="474" spans="2:33" ht="15" x14ac:dyDescent="0.25">
      <c r="B474" s="1">
        <v>463</v>
      </c>
      <c r="C474" s="1">
        <v>1.0008022005641741</v>
      </c>
      <c r="D474" s="1">
        <v>1.2138463412803875</v>
      </c>
      <c r="E474" s="1">
        <v>0.82281087834689104</v>
      </c>
      <c r="G474" s="1">
        <v>0.99930589172638884</v>
      </c>
      <c r="H474" s="1">
        <v>4.9829548878405463</v>
      </c>
      <c r="I474" s="1">
        <v>0.16028487762847124</v>
      </c>
      <c r="K474" s="1">
        <v>0.99659562415526726</v>
      </c>
      <c r="L474" s="1">
        <v>7.4373162784283933</v>
      </c>
      <c r="M474" s="1">
        <v>0.10503673029240237</v>
      </c>
      <c r="O474" s="1">
        <v>7.3619086992828715E-3</v>
      </c>
      <c r="P474" s="1">
        <v>0.75273128258177635</v>
      </c>
      <c r="R474" s="1">
        <v>0.24389262770627007</v>
      </c>
      <c r="S474" s="2">
        <f t="shared" si="96"/>
        <v>1.0675031216963962</v>
      </c>
      <c r="T474" s="4">
        <f t="shared" si="97"/>
        <v>1.1395629148315507</v>
      </c>
      <c r="U474" s="1">
        <f t="shared" si="89"/>
        <v>0.6997527623192914</v>
      </c>
      <c r="V474" s="6">
        <f>2*sigma/alpha*corel*(B474/12-1/alpha*(1-EXP(-alpha*Output!B474/12)))</f>
        <v>2.3656281899149034</v>
      </c>
      <c r="W474" s="5">
        <f t="shared" si="98"/>
        <v>-0.4398101525122593</v>
      </c>
      <c r="X474" s="1">
        <f t="shared" si="99"/>
        <v>73.473563603978747</v>
      </c>
      <c r="Y474" s="3">
        <f t="shared" si="100"/>
        <v>8.0423895929636322E-2</v>
      </c>
      <c r="Z474" s="1">
        <f t="shared" si="90"/>
        <v>0.17185781315901319</v>
      </c>
      <c r="AA474" s="8">
        <f t="shared" si="95"/>
        <v>38.5</v>
      </c>
      <c r="AB474" s="1">
        <v>38.58</v>
      </c>
      <c r="AC474" s="1">
        <v>7.5833800319999997E-3</v>
      </c>
      <c r="AD474" s="8">
        <f t="shared" si="91"/>
        <v>2.2147133271712813</v>
      </c>
      <c r="AE474" s="3">
        <f t="shared" si="92"/>
        <v>2.9204831062477888E-2</v>
      </c>
      <c r="AF474" s="11">
        <f t="shared" si="93"/>
        <v>38.5</v>
      </c>
      <c r="AG474" s="1">
        <f t="shared" si="94"/>
        <v>0.17185781315901319</v>
      </c>
    </row>
    <row r="475" spans="2:33" ht="15" x14ac:dyDescent="0.25">
      <c r="B475" s="1">
        <v>464</v>
      </c>
      <c r="C475" s="1">
        <v>1.0008021040627879</v>
      </c>
      <c r="D475" s="1">
        <v>1.2079958538922446</v>
      </c>
      <c r="E475" s="1">
        <v>0.82679379231148498</v>
      </c>
      <c r="G475" s="1">
        <v>0.99913049922694586</v>
      </c>
      <c r="H475" s="1">
        <v>4.7667548216286599</v>
      </c>
      <c r="I475" s="1">
        <v>0.1674736335095687</v>
      </c>
      <c r="K475" s="1">
        <v>0.99648031834902195</v>
      </c>
      <c r="L475" s="1">
        <v>7.4102752172414075</v>
      </c>
      <c r="M475" s="1">
        <v>0.10536537451148219</v>
      </c>
      <c r="O475" s="1">
        <v>7.3614621436317966E-3</v>
      </c>
      <c r="P475" s="1">
        <v>0.75228261870715873</v>
      </c>
      <c r="R475" s="1">
        <v>0.24399411843671931</v>
      </c>
      <c r="S475" s="2">
        <f t="shared" si="96"/>
        <v>1.0687916813666283</v>
      </c>
      <c r="T475" s="4">
        <f t="shared" si="97"/>
        <v>1.1423156581585043</v>
      </c>
      <c r="U475" s="1">
        <f t="shared" si="89"/>
        <v>0.70297608575007597</v>
      </c>
      <c r="V475" s="6">
        <f>2*sigma/alpha*corel*(B475/12-1/alpha*(1-EXP(-alpha*Output!B475/12)))</f>
        <v>2.3738228568942943</v>
      </c>
      <c r="W475" s="5">
        <f t="shared" si="98"/>
        <v>-0.43933957240842836</v>
      </c>
      <c r="X475" s="1">
        <f t="shared" si="99"/>
        <v>73.586222155084045</v>
      </c>
      <c r="Y475" s="3">
        <f t="shared" si="100"/>
        <v>8.0229547592698625E-2</v>
      </c>
      <c r="Z475" s="1">
        <f t="shared" si="90"/>
        <v>0.17187974380852869</v>
      </c>
      <c r="AA475" s="8">
        <f t="shared" si="95"/>
        <v>38.583333333333336</v>
      </c>
      <c r="AB475" s="1">
        <v>38.67</v>
      </c>
      <c r="AC475" s="1">
        <v>7.583078545E-3</v>
      </c>
      <c r="AD475" s="8">
        <f t="shared" si="91"/>
        <v>2.2161640136820342</v>
      </c>
      <c r="AE475" s="3">
        <f t="shared" si="92"/>
        <v>2.9225122758926064E-2</v>
      </c>
      <c r="AF475" s="11">
        <f t="shared" si="93"/>
        <v>38.583333333333336</v>
      </c>
      <c r="AG475" s="1">
        <f t="shared" si="94"/>
        <v>0.17187974380852869</v>
      </c>
    </row>
    <row r="476" spans="2:33" ht="15" x14ac:dyDescent="0.25">
      <c r="B476" s="1">
        <v>465</v>
      </c>
      <c r="C476" s="1">
        <v>1.0008064345048833</v>
      </c>
      <c r="D476" s="1">
        <v>1.2076675670110206</v>
      </c>
      <c r="E476" s="1">
        <v>0.82701646862440314</v>
      </c>
      <c r="G476" s="1">
        <v>0.99932263724144754</v>
      </c>
      <c r="H476" s="1">
        <v>4.7513493541728549</v>
      </c>
      <c r="I476" s="1">
        <v>0.16793531907673126</v>
      </c>
      <c r="K476" s="1">
        <v>0.99638709002818415</v>
      </c>
      <c r="L476" s="1">
        <v>7.1279981379100468</v>
      </c>
      <c r="M476" s="1">
        <v>0.10948316560935099</v>
      </c>
      <c r="O476" s="1">
        <v>7.3610428840902731E-3</v>
      </c>
      <c r="P476" s="1">
        <v>0.75183348298073449</v>
      </c>
      <c r="R476" s="1">
        <v>0.24423001186914794</v>
      </c>
      <c r="S476" s="2">
        <f t="shared" si="96"/>
        <v>1.0705469502084604</v>
      </c>
      <c r="T476" s="4">
        <f t="shared" si="97"/>
        <v>1.1460707726006356</v>
      </c>
      <c r="U476" s="1">
        <f t="shared" si="89"/>
        <v>0.7062052288386047</v>
      </c>
      <c r="V476" s="6">
        <f>2*sigma/alpha*corel*(B476/12-1/alpha*(1-EXP(-alpha*Output!B476/12)))</f>
        <v>2.3820249182085722</v>
      </c>
      <c r="W476" s="5">
        <f t="shared" si="98"/>
        <v>-0.43986554376203091</v>
      </c>
      <c r="X476" s="1">
        <f t="shared" si="99"/>
        <v>73.85320199408136</v>
      </c>
      <c r="Y476" s="3">
        <f t="shared" si="100"/>
        <v>8.0151789061543313E-2</v>
      </c>
      <c r="Z476" s="1">
        <f t="shared" si="90"/>
        <v>0.17197680058101128</v>
      </c>
      <c r="AA476" s="8">
        <f t="shared" si="95"/>
        <v>38.666666666666671</v>
      </c>
      <c r="AB476" s="1">
        <v>38.75</v>
      </c>
      <c r="AC476" s="1">
        <v>7.582778357E-3</v>
      </c>
      <c r="AD476" s="8">
        <f t="shared" si="91"/>
        <v>2.2173547290972682</v>
      </c>
      <c r="AE476" s="3">
        <f t="shared" si="92"/>
        <v>2.9241982617760801E-2</v>
      </c>
      <c r="AF476" s="11">
        <f t="shared" si="93"/>
        <v>38.666666666666671</v>
      </c>
      <c r="AG476" s="1">
        <f t="shared" si="94"/>
        <v>0.17197680058101128</v>
      </c>
    </row>
    <row r="477" spans="2:33" ht="15" x14ac:dyDescent="0.25">
      <c r="B477" s="1">
        <v>466</v>
      </c>
      <c r="C477" s="1">
        <v>1.0008119844081482</v>
      </c>
      <c r="D477" s="1">
        <v>1.2041726551986807</v>
      </c>
      <c r="E477" s="1">
        <v>0.82941466107767881</v>
      </c>
      <c r="G477" s="1">
        <v>0.99960698661417247</v>
      </c>
      <c r="H477" s="1">
        <v>4.6902928868165352</v>
      </c>
      <c r="I477" s="1">
        <v>0.17003909845456569</v>
      </c>
      <c r="K477" s="1">
        <v>0.9962979217710114</v>
      </c>
      <c r="L477" s="1">
        <v>7.02525794347524</v>
      </c>
      <c r="M477" s="1">
        <v>0.11102061501433953</v>
      </c>
      <c r="O477" s="1">
        <v>7.3606600276000956E-3</v>
      </c>
      <c r="P477" s="1">
        <v>0.75138360571071117</v>
      </c>
      <c r="R477" s="1">
        <v>0.24437023641875494</v>
      </c>
      <c r="S477" s="2">
        <f t="shared" si="96"/>
        <v>1.0719746801031438</v>
      </c>
      <c r="T477" s="4">
        <f t="shared" si="97"/>
        <v>1.1491297147822375</v>
      </c>
      <c r="U477" s="1">
        <f t="shared" si="89"/>
        <v>0.70944017744106125</v>
      </c>
      <c r="V477" s="6">
        <f>2*sigma/alpha*corel*(B477/12-1/alpha*(1-EXP(-alpha*Output!B477/12)))</f>
        <v>2.3902343492509872</v>
      </c>
      <c r="W477" s="5">
        <f t="shared" si="98"/>
        <v>-0.43968953734117622</v>
      </c>
      <c r="X477" s="1">
        <f t="shared" si="99"/>
        <v>74.011661711335336</v>
      </c>
      <c r="Y477" s="3">
        <f t="shared" si="100"/>
        <v>7.9992730226939604E-2</v>
      </c>
      <c r="Z477" s="1">
        <f t="shared" si="90"/>
        <v>0.17202128684392401</v>
      </c>
      <c r="AA477" s="8">
        <f t="shared" si="95"/>
        <v>38.750000000000007</v>
      </c>
      <c r="AB477" s="1">
        <v>38.83</v>
      </c>
      <c r="AC477" s="1">
        <v>7.5824794609999999E-3</v>
      </c>
      <c r="AD477" s="8">
        <f t="shared" si="91"/>
        <v>2.2181943339990435</v>
      </c>
      <c r="AE477" s="3">
        <f t="shared" si="92"/>
        <v>2.9254208275910076E-2</v>
      </c>
      <c r="AF477" s="11">
        <f t="shared" si="93"/>
        <v>38.750000000000007</v>
      </c>
      <c r="AG477" s="1">
        <f t="shared" si="94"/>
        <v>0.17202128684392401</v>
      </c>
    </row>
    <row r="478" spans="2:33" ht="15" x14ac:dyDescent="0.25">
      <c r="B478" s="1">
        <v>467</v>
      </c>
      <c r="C478" s="1">
        <v>1.0008087401647723</v>
      </c>
      <c r="D478" s="1">
        <v>1.2032038274455772</v>
      </c>
      <c r="E478" s="1">
        <v>0.83008041894793649</v>
      </c>
      <c r="G478" s="1">
        <v>0.99918455509571635</v>
      </c>
      <c r="H478" s="1">
        <v>4.6730769630265883</v>
      </c>
      <c r="I478" s="1">
        <v>0.17058293031624505</v>
      </c>
      <c r="K478" s="1">
        <v>0.99615208759132312</v>
      </c>
      <c r="L478" s="1">
        <v>7.0459702520649472</v>
      </c>
      <c r="M478" s="1">
        <v>0.11063528316584011</v>
      </c>
      <c r="O478" s="1">
        <v>7.3602513866791739E-3</v>
      </c>
      <c r="P478" s="1">
        <v>0.75093479907272043</v>
      </c>
      <c r="R478" s="1">
        <v>0.24483890561122112</v>
      </c>
      <c r="S478" s="2">
        <f t="shared" si="96"/>
        <v>1.0745386573154077</v>
      </c>
      <c r="T478" s="4">
        <f t="shared" si="97"/>
        <v>1.1546333260651991</v>
      </c>
      <c r="U478" s="1">
        <f t="shared" si="89"/>
        <v>0.7126809174259936</v>
      </c>
      <c r="V478" s="6">
        <f>2*sigma/alpha*corel*(B478/12-1/alpha*(1-EXP(-alpha*Output!B478/12)))</f>
        <v>2.3984511254966758</v>
      </c>
      <c r="W478" s="5">
        <f t="shared" si="98"/>
        <v>-0.44195240863920549</v>
      </c>
      <c r="X478" s="1">
        <f t="shared" si="99"/>
        <v>74.549826079565918</v>
      </c>
      <c r="Y478" s="3">
        <f t="shared" si="100"/>
        <v>8.0116997732381276E-2</v>
      </c>
      <c r="Z478" s="1">
        <f t="shared" si="90"/>
        <v>0.17224801545512161</v>
      </c>
      <c r="AA478" s="8">
        <f t="shared" si="95"/>
        <v>38.833333333333343</v>
      </c>
      <c r="AB478" s="1">
        <v>38.92</v>
      </c>
      <c r="AC478" s="1">
        <v>7.5821818480000004E-3</v>
      </c>
      <c r="AD478" s="8">
        <f t="shared" si="91"/>
        <v>2.2193046132082657</v>
      </c>
      <c r="AE478" s="3">
        <f t="shared" si="92"/>
        <v>2.9269999819295622E-2</v>
      </c>
      <c r="AF478" s="11">
        <f t="shared" si="93"/>
        <v>38.833333333333343</v>
      </c>
      <c r="AG478" s="1">
        <f t="shared" si="94"/>
        <v>0.17224801545512161</v>
      </c>
    </row>
    <row r="479" spans="2:33" ht="15" x14ac:dyDescent="0.25">
      <c r="B479" s="1">
        <v>468</v>
      </c>
      <c r="C479" s="1">
        <v>1.0008085485439449</v>
      </c>
      <c r="D479" s="1">
        <v>1.2007984216476724</v>
      </c>
      <c r="E479" s="1">
        <v>0.83174111172141896</v>
      </c>
      <c r="G479" s="1">
        <v>0.99902535023048333</v>
      </c>
      <c r="H479" s="1">
        <v>4.5875244580407077</v>
      </c>
      <c r="I479" s="1">
        <v>0.17368001873968503</v>
      </c>
      <c r="K479" s="1">
        <v>0.99595433805921263</v>
      </c>
      <c r="L479" s="1">
        <v>7.3564636338073726</v>
      </c>
      <c r="M479" s="1">
        <v>0.10590675481698104</v>
      </c>
      <c r="O479" s="1">
        <v>7.35985265613505E-3</v>
      </c>
      <c r="P479" s="1">
        <v>0.75048602155685418</v>
      </c>
      <c r="R479" s="1">
        <v>0.24510864116237482</v>
      </c>
      <c r="S479" s="2">
        <f t="shared" si="96"/>
        <v>1.0764164243920062</v>
      </c>
      <c r="T479" s="4">
        <f t="shared" si="97"/>
        <v>1.1586723187008716</v>
      </c>
      <c r="U479" s="1">
        <f t="shared" si="89"/>
        <v>0.71592743467450459</v>
      </c>
      <c r="V479" s="6">
        <f>2*sigma/alpha*corel*(B479/12-1/alpha*(1-EXP(-alpha*Output!B479/12)))</f>
        <v>2.4066752225023897</v>
      </c>
      <c r="W479" s="5">
        <f t="shared" si="98"/>
        <v>-0.44274488402636702</v>
      </c>
      <c r="X479" s="1">
        <f t="shared" si="99"/>
        <v>74.860287534720186</v>
      </c>
      <c r="Y479" s="3">
        <f t="shared" si="100"/>
        <v>8.0070625030148723E-2</v>
      </c>
      <c r="Z479" s="1">
        <f t="shared" si="90"/>
        <v>0.17236457476336511</v>
      </c>
      <c r="AA479" s="8">
        <f t="shared" si="95"/>
        <v>38.916666666666679</v>
      </c>
      <c r="AB479" s="1">
        <v>39</v>
      </c>
      <c r="AC479" s="1">
        <v>7.5818855099999997E-3</v>
      </c>
      <c r="AD479" s="8">
        <f t="shared" si="91"/>
        <v>2.2203285386494973</v>
      </c>
      <c r="AE479" s="3">
        <f t="shared" si="92"/>
        <v>2.9284648729145702E-2</v>
      </c>
      <c r="AF479" s="11">
        <f t="shared" si="93"/>
        <v>38.916666666666679</v>
      </c>
      <c r="AG479" s="1">
        <f t="shared" si="94"/>
        <v>0.17236457476336511</v>
      </c>
    </row>
    <row r="480" spans="2:33" ht="15" x14ac:dyDescent="0.25">
      <c r="B480" s="1">
        <v>469</v>
      </c>
      <c r="C480" s="1">
        <v>1.0008086042199962</v>
      </c>
      <c r="D480" s="1">
        <v>1.201744121737421</v>
      </c>
      <c r="E480" s="1">
        <v>0.8310844777407399</v>
      </c>
      <c r="G480" s="1">
        <v>0.99886899565608689</v>
      </c>
      <c r="H480" s="1">
        <v>4.6160496207481572</v>
      </c>
      <c r="I480" s="1">
        <v>0.17252320816865446</v>
      </c>
      <c r="K480" s="1">
        <v>0.99636863099166295</v>
      </c>
      <c r="L480" s="1">
        <v>7.6371367692226482</v>
      </c>
      <c r="M480" s="1">
        <v>0.10195938561578577</v>
      </c>
      <c r="O480" s="1">
        <v>7.3594479575171869E-3</v>
      </c>
      <c r="P480" s="1">
        <v>0.75003773703347043</v>
      </c>
      <c r="R480" s="1">
        <v>0.24545710991577557</v>
      </c>
      <c r="S480" s="2">
        <f t="shared" si="96"/>
        <v>1.0785682976780901</v>
      </c>
      <c r="T480" s="4">
        <f t="shared" si="97"/>
        <v>1.1633095727562133</v>
      </c>
      <c r="U480" s="1">
        <f t="shared" si="89"/>
        <v>0.71917971508043976</v>
      </c>
      <c r="V480" s="6">
        <f>2*sigma/alpha*corel*(B480/12-1/alpha*(1-EXP(-alpha*Output!B480/12)))</f>
        <v>2.4149066159062209</v>
      </c>
      <c r="W480" s="5">
        <f t="shared" si="98"/>
        <v>-0.44412985767577351</v>
      </c>
      <c r="X480" s="1">
        <f t="shared" si="99"/>
        <v>75.264075046860228</v>
      </c>
      <c r="Y480" s="3">
        <f t="shared" si="100"/>
        <v>8.0092713068112137E-2</v>
      </c>
      <c r="Z480" s="1">
        <f t="shared" si="90"/>
        <v>0.17252492711384845</v>
      </c>
      <c r="AA480" s="8">
        <f t="shared" si="95"/>
        <v>39.000000000000014</v>
      </c>
      <c r="AB480" s="1">
        <v>39.08</v>
      </c>
      <c r="AC480" s="1">
        <v>7.581590438E-3</v>
      </c>
      <c r="AD480" s="8">
        <f t="shared" si="91"/>
        <v>2.2214248048281307</v>
      </c>
      <c r="AE480" s="3">
        <f t="shared" si="92"/>
        <v>2.93002480547358E-2</v>
      </c>
      <c r="AF480" s="11">
        <f t="shared" si="93"/>
        <v>39.000000000000014</v>
      </c>
      <c r="AG480" s="1">
        <f t="shared" si="94"/>
        <v>0.17252492711384845</v>
      </c>
    </row>
    <row r="481" spans="2:33" ht="15" x14ac:dyDescent="0.25">
      <c r="B481" s="1">
        <v>470</v>
      </c>
      <c r="C481" s="1">
        <v>1.0008181944672807</v>
      </c>
      <c r="D481" s="1">
        <v>1.2052021229009722</v>
      </c>
      <c r="E481" s="1">
        <v>0.82869780341195376</v>
      </c>
      <c r="G481" s="1">
        <v>0.99953529708419597</v>
      </c>
      <c r="H481" s="1">
        <v>4.7376843538893665</v>
      </c>
      <c r="I481" s="1">
        <v>0.16801250773745663</v>
      </c>
      <c r="K481" s="1">
        <v>0.99619559972757599</v>
      </c>
      <c r="L481" s="1">
        <v>7.7109919695852005</v>
      </c>
      <c r="M481" s="1">
        <v>0.10092713604395273</v>
      </c>
      <c r="O481" s="1">
        <v>7.3590949412574626E-3</v>
      </c>
      <c r="P481" s="1">
        <v>0.74958825350423219</v>
      </c>
      <c r="R481" s="1">
        <v>0.24587726908447374</v>
      </c>
      <c r="S481" s="2">
        <f t="shared" si="96"/>
        <v>1.0809741242534077</v>
      </c>
      <c r="T481" s="4">
        <f t="shared" si="97"/>
        <v>1.1685050573054216</v>
      </c>
      <c r="U481" s="1">
        <f t="shared" si="89"/>
        <v>0.7224377445505703</v>
      </c>
      <c r="V481" s="6">
        <f>2*sigma/alpha*corel*(B481/12-1/alpha*(1-EXP(-alpha*Output!B481/12)))</f>
        <v>2.423145281427332</v>
      </c>
      <c r="W481" s="5">
        <f t="shared" si="98"/>
        <v>-0.44606731275485134</v>
      </c>
      <c r="X481" s="1">
        <f t="shared" si="99"/>
        <v>75.755512053163585</v>
      </c>
      <c r="Y481" s="3">
        <f t="shared" si="100"/>
        <v>8.0178114443711437E-2</v>
      </c>
      <c r="Z481" s="1">
        <f t="shared" si="90"/>
        <v>0.17272571226045966</v>
      </c>
      <c r="AA481" s="8">
        <f t="shared" si="95"/>
        <v>39.08333333333335</v>
      </c>
      <c r="AB481" s="1">
        <v>39.17</v>
      </c>
      <c r="AC481" s="1">
        <v>7.5812966239999996E-3</v>
      </c>
      <c r="AD481" s="8">
        <f t="shared" si="91"/>
        <v>2.22201682742537</v>
      </c>
      <c r="AE481" s="3">
        <f t="shared" si="92"/>
        <v>2.9309192577839049E-2</v>
      </c>
      <c r="AF481" s="11">
        <f t="shared" si="93"/>
        <v>39.08333333333335</v>
      </c>
      <c r="AG481" s="1">
        <f t="shared" si="94"/>
        <v>0.17272571226045966</v>
      </c>
    </row>
    <row r="482" spans="2:33" ht="15" x14ac:dyDescent="0.25">
      <c r="B482" s="1">
        <v>471</v>
      </c>
      <c r="C482" s="1">
        <v>1.0008197919799942</v>
      </c>
      <c r="D482" s="1">
        <v>1.208195440965725</v>
      </c>
      <c r="E482" s="1">
        <v>0.82664259335305323</v>
      </c>
      <c r="G482" s="1">
        <v>0.99952282656527081</v>
      </c>
      <c r="H482" s="1">
        <v>4.8455622644666407</v>
      </c>
      <c r="I482" s="1">
        <v>0.16419249386153378</v>
      </c>
      <c r="K482" s="1">
        <v>0.99631513534042182</v>
      </c>
      <c r="L482" s="1">
        <v>7.768307950400291</v>
      </c>
      <c r="M482" s="1">
        <v>0.10013291350506037</v>
      </c>
      <c r="O482" s="1">
        <v>7.3587775322835926E-3</v>
      </c>
      <c r="P482" s="1">
        <v>0.74913803643286869</v>
      </c>
      <c r="R482" s="1">
        <v>0.24608502307542501</v>
      </c>
      <c r="S482" s="2">
        <f t="shared" si="96"/>
        <v>1.0826464470131303</v>
      </c>
      <c r="T482" s="4">
        <f t="shared" si="97"/>
        <v>1.1721233292301547</v>
      </c>
      <c r="U482" s="1">
        <f t="shared" si="89"/>
        <v>0.72570150900477826</v>
      </c>
      <c r="V482" s="6">
        <f>2*sigma/alpha*corel*(B482/12-1/alpha*(1-EXP(-alpha*Output!B482/12)))</f>
        <v>2.4313911948656886</v>
      </c>
      <c r="W482" s="5">
        <f t="shared" si="98"/>
        <v>-0.44642182022537646</v>
      </c>
      <c r="X482" s="1">
        <f t="shared" si="99"/>
        <v>75.999888917854506</v>
      </c>
      <c r="Y482" s="3">
        <f t="shared" si="100"/>
        <v>8.008153275433566E-2</v>
      </c>
      <c r="Z482" s="1">
        <f t="shared" si="90"/>
        <v>0.17280918597532993</v>
      </c>
      <c r="AA482" s="8">
        <f t="shared" si="95"/>
        <v>39.166666666666686</v>
      </c>
      <c r="AB482" s="1">
        <v>39.25</v>
      </c>
      <c r="AC482" s="1">
        <v>7.5810040609999999E-3</v>
      </c>
      <c r="AD482" s="8">
        <f t="shared" si="91"/>
        <v>2.2222652871640731</v>
      </c>
      <c r="AE482" s="3">
        <f t="shared" si="92"/>
        <v>2.9313601065014298E-2</v>
      </c>
      <c r="AF482" s="11">
        <f t="shared" si="93"/>
        <v>39.166666666666686</v>
      </c>
      <c r="AG482" s="1">
        <f t="shared" si="94"/>
        <v>0.17280918597532993</v>
      </c>
    </row>
    <row r="483" spans="2:33" ht="15" x14ac:dyDescent="0.25">
      <c r="B483" s="1">
        <v>472</v>
      </c>
      <c r="C483" s="1">
        <v>1.0008228557090981</v>
      </c>
      <c r="D483" s="1">
        <v>1.2046576439853927</v>
      </c>
      <c r="E483" s="1">
        <v>0.82906813608790075</v>
      </c>
      <c r="G483" s="1">
        <v>0.99961616363998962</v>
      </c>
      <c r="H483" s="1">
        <v>4.7190336988268342</v>
      </c>
      <c r="I483" s="1">
        <v>0.16851328251477599</v>
      </c>
      <c r="K483" s="1">
        <v>0.99629457064145299</v>
      </c>
      <c r="L483" s="1">
        <v>7.7743905506954611</v>
      </c>
      <c r="M483" s="1">
        <v>0.100003906663308</v>
      </c>
      <c r="O483" s="1">
        <v>7.358376506771876E-3</v>
      </c>
      <c r="P483" s="1">
        <v>0.74869059175450958</v>
      </c>
      <c r="R483" s="1">
        <v>0.24642638835964731</v>
      </c>
      <c r="S483" s="2">
        <f t="shared" si="96"/>
        <v>1.0847792692449396</v>
      </c>
      <c r="T483" s="4">
        <f t="shared" si="97"/>
        <v>1.1767460629835851</v>
      </c>
      <c r="U483" s="1">
        <f t="shared" si="89"/>
        <v>0.72897099437623503</v>
      </c>
      <c r="V483" s="6">
        <f>2*sigma/alpha*corel*(B483/12-1/alpha*(1-EXP(-alpha*Output!B483/12)))</f>
        <v>2.4396443321017887</v>
      </c>
      <c r="W483" s="5">
        <f t="shared" si="98"/>
        <v>-0.44777506860735006</v>
      </c>
      <c r="X483" s="1">
        <f t="shared" si="99"/>
        <v>76.40180859471279</v>
      </c>
      <c r="Y483" s="3">
        <f t="shared" si="100"/>
        <v>8.009959930640731E-2</v>
      </c>
      <c r="Z483" s="1">
        <f t="shared" si="90"/>
        <v>0.17296610300205723</v>
      </c>
      <c r="AA483" s="8">
        <f t="shared" si="95"/>
        <v>39.250000000000021</v>
      </c>
      <c r="AB483" s="1">
        <v>39.33</v>
      </c>
      <c r="AC483" s="1">
        <v>7.5807127400000004E-3</v>
      </c>
      <c r="AD483" s="8">
        <f t="shared" si="91"/>
        <v>2.2233623322812437</v>
      </c>
      <c r="AE483" s="3">
        <f t="shared" si="92"/>
        <v>2.9329199094295762E-2</v>
      </c>
      <c r="AF483" s="11">
        <f t="shared" si="93"/>
        <v>39.250000000000021</v>
      </c>
      <c r="AG483" s="1">
        <f t="shared" si="94"/>
        <v>0.17296610300205723</v>
      </c>
    </row>
    <row r="484" spans="2:33" ht="15" x14ac:dyDescent="0.25">
      <c r="B484" s="1">
        <v>473</v>
      </c>
      <c r="C484" s="1">
        <v>1.0008276576971791</v>
      </c>
      <c r="D484" s="1">
        <v>1.2062137355756952</v>
      </c>
      <c r="E484" s="1">
        <v>0.82799647155358824</v>
      </c>
      <c r="G484" s="1">
        <v>0.99986247215134749</v>
      </c>
      <c r="H484" s="1">
        <v>4.7679970544645176</v>
      </c>
      <c r="I484" s="1">
        <v>0.16670206374029914</v>
      </c>
      <c r="K484" s="1">
        <v>0.99655455945775129</v>
      </c>
      <c r="L484" s="1">
        <v>7.9299649969430313</v>
      </c>
      <c r="M484" s="1">
        <v>9.7988088232045786E-2</v>
      </c>
      <c r="O484" s="1">
        <v>7.3579740080751809E-3</v>
      </c>
      <c r="P484" s="1">
        <v>0.7482435077854348</v>
      </c>
      <c r="R484" s="1">
        <v>0.2467823077808001</v>
      </c>
      <c r="S484" s="2">
        <f t="shared" si="96"/>
        <v>1.0869644951349151</v>
      </c>
      <c r="T484" s="4">
        <f t="shared" si="97"/>
        <v>1.181491813683901</v>
      </c>
      <c r="U484" s="1">
        <f t="shared" si="89"/>
        <v>0.73224618661158347</v>
      </c>
      <c r="V484" s="6">
        <f>2*sigma/alpha*corel*(B484/12-1/alpha*(1-EXP(-alpha*Output!B484/12)))</f>
        <v>2.4479046690963924</v>
      </c>
      <c r="W484" s="5">
        <f t="shared" si="98"/>
        <v>-0.44924562707231752</v>
      </c>
      <c r="X484" s="1">
        <f t="shared" si="99"/>
        <v>76.823297804052643</v>
      </c>
      <c r="Y484" s="3">
        <f t="shared" si="100"/>
        <v>8.0130892936933193E-2</v>
      </c>
      <c r="Z484" s="1">
        <f t="shared" si="90"/>
        <v>0.17313122865178104</v>
      </c>
      <c r="AA484" s="8">
        <f t="shared" si="95"/>
        <v>39.333333333333357</v>
      </c>
      <c r="AB484" s="1">
        <v>39.42</v>
      </c>
      <c r="AC484" s="1">
        <v>7.5804226539999998E-3</v>
      </c>
      <c r="AD484" s="8">
        <f t="shared" si="91"/>
        <v>2.2244864592481894</v>
      </c>
      <c r="AE484" s="3">
        <f t="shared" si="92"/>
        <v>2.9345150802038505E-2</v>
      </c>
      <c r="AF484" s="11">
        <f t="shared" si="93"/>
        <v>39.333333333333357</v>
      </c>
      <c r="AG484" s="1">
        <f t="shared" si="94"/>
        <v>0.17313122865178104</v>
      </c>
    </row>
    <row r="485" spans="2:33" ht="15" x14ac:dyDescent="0.25">
      <c r="B485" s="1">
        <v>474</v>
      </c>
      <c r="C485" s="1">
        <v>1.0008273079685073</v>
      </c>
      <c r="D485" s="1">
        <v>1.2068027275684243</v>
      </c>
      <c r="E485" s="1">
        <v>0.82759024163891859</v>
      </c>
      <c r="G485" s="1">
        <v>0.9996731264927694</v>
      </c>
      <c r="H485" s="1">
        <v>4.7872333570486605</v>
      </c>
      <c r="I485" s="1">
        <v>0.16595184795458287</v>
      </c>
      <c r="K485" s="1">
        <v>0.99654768938205396</v>
      </c>
      <c r="L485" s="1">
        <v>7.6496803998289824</v>
      </c>
      <c r="M485" s="1">
        <v>0.10152522228783484</v>
      </c>
      <c r="O485" s="1">
        <v>7.3575043522973952E-3</v>
      </c>
      <c r="P485" s="1">
        <v>0.74779872464566854</v>
      </c>
      <c r="R485" s="1">
        <v>0.24724800582031475</v>
      </c>
      <c r="S485" s="2">
        <f t="shared" si="96"/>
        <v>1.0895299062059507</v>
      </c>
      <c r="T485" s="4">
        <f t="shared" si="97"/>
        <v>1.1870754165171478</v>
      </c>
      <c r="U485" s="1">
        <f t="shared" si="89"/>
        <v>0.73552707167111109</v>
      </c>
      <c r="V485" s="6">
        <f>2*sigma/alpha*corel*(B485/12-1/alpha*(1-EXP(-alpha*Output!B485/12)))</f>
        <v>2.4561721818902607</v>
      </c>
      <c r="W485" s="5">
        <f t="shared" si="98"/>
        <v>-0.45154834484603668</v>
      </c>
      <c r="X485" s="1">
        <f t="shared" si="99"/>
        <v>77.377420272765363</v>
      </c>
      <c r="Y485" s="3">
        <f t="shared" si="100"/>
        <v>8.0256600419751772E-2</v>
      </c>
      <c r="Z485" s="1">
        <f t="shared" si="90"/>
        <v>0.1733566906418888</v>
      </c>
      <c r="AA485" s="8">
        <f t="shared" si="95"/>
        <v>39.416666666666693</v>
      </c>
      <c r="AB485" s="1">
        <v>39.5</v>
      </c>
      <c r="AC485" s="1">
        <v>7.5801337939999996E-3</v>
      </c>
      <c r="AD485" s="8">
        <f t="shared" si="91"/>
        <v>2.2262944170260441</v>
      </c>
      <c r="AE485" s="3">
        <f t="shared" si="92"/>
        <v>2.9370120337298682E-2</v>
      </c>
      <c r="AF485" s="11">
        <f t="shared" si="93"/>
        <v>39.416666666666693</v>
      </c>
      <c r="AG485" s="1">
        <f t="shared" si="94"/>
        <v>0.1733566906418888</v>
      </c>
    </row>
    <row r="486" spans="2:33" ht="15" x14ac:dyDescent="0.25">
      <c r="B486" s="1">
        <v>475</v>
      </c>
      <c r="C486" s="1">
        <v>1.0008341531088902</v>
      </c>
      <c r="D486" s="1">
        <v>1.2075232409715073</v>
      </c>
      <c r="E486" s="1">
        <v>0.82709430812773177</v>
      </c>
      <c r="G486" s="1">
        <v>1.0000679529620133</v>
      </c>
      <c r="H486" s="1">
        <v>4.8091283278053085</v>
      </c>
      <c r="I486" s="1">
        <v>0.16511634225104257</v>
      </c>
      <c r="K486" s="1">
        <v>0.99674395565129781</v>
      </c>
      <c r="L486" s="1">
        <v>7.5717115540165674</v>
      </c>
      <c r="M486" s="1">
        <v>0.10251004734103107</v>
      </c>
      <c r="O486" s="1">
        <v>7.357012769349568E-3</v>
      </c>
      <c r="P486" s="1">
        <v>0.74735491306781554</v>
      </c>
      <c r="R486" s="1">
        <v>0.24753261521539699</v>
      </c>
      <c r="S486" s="2">
        <f t="shared" si="96"/>
        <v>1.0914650601666878</v>
      </c>
      <c r="T486" s="4">
        <f t="shared" si="97"/>
        <v>1.1912959775646714</v>
      </c>
      <c r="U486" s="1">
        <f t="shared" si="89"/>
        <v>0.73881363552892809</v>
      </c>
      <c r="V486" s="6">
        <f>2*sigma/alpha*corel*(B486/12-1/alpha*(1-EXP(-alpha*Output!B486/12)))</f>
        <v>2.4644468466038836</v>
      </c>
      <c r="W486" s="5">
        <f t="shared" si="98"/>
        <v>-0.45248234203574333</v>
      </c>
      <c r="X486" s="1">
        <f t="shared" si="99"/>
        <v>77.716535748728532</v>
      </c>
      <c r="Y486" s="3">
        <f t="shared" si="100"/>
        <v>8.0226333598022503E-2</v>
      </c>
      <c r="Z486" s="1">
        <f t="shared" si="90"/>
        <v>0.17348169465560673</v>
      </c>
      <c r="AA486" s="8">
        <f t="shared" si="95"/>
        <v>39.500000000000028</v>
      </c>
      <c r="AB486" s="1">
        <v>39.58</v>
      </c>
      <c r="AC486" s="1">
        <v>7.5798461530000001E-3</v>
      </c>
      <c r="AD486" s="8">
        <f t="shared" si="91"/>
        <v>2.2283338365043215</v>
      </c>
      <c r="AE486" s="3">
        <f t="shared" si="92"/>
        <v>2.939814069474718E-2</v>
      </c>
      <c r="AF486" s="11">
        <f t="shared" si="93"/>
        <v>39.500000000000028</v>
      </c>
      <c r="AG486" s="1">
        <f t="shared" si="94"/>
        <v>0.17348169465560673</v>
      </c>
    </row>
    <row r="487" spans="2:33" ht="15" x14ac:dyDescent="0.25">
      <c r="B487" s="1">
        <v>476</v>
      </c>
      <c r="C487" s="1">
        <v>1.0008365596751814</v>
      </c>
      <c r="D487" s="1">
        <v>1.205558663062005</v>
      </c>
      <c r="E487" s="1">
        <v>0.82844001123143307</v>
      </c>
      <c r="G487" s="1">
        <v>1.0000943601344066</v>
      </c>
      <c r="H487" s="1">
        <v>4.7382125299170408</v>
      </c>
      <c r="I487" s="1">
        <v>0.16750648341053986</v>
      </c>
      <c r="K487" s="1">
        <v>0.99661447657752567</v>
      </c>
      <c r="L487" s="1">
        <v>7.3135758916253915</v>
      </c>
      <c r="M487" s="1">
        <v>0.10607694827689038</v>
      </c>
      <c r="O487" s="1">
        <v>7.356575327244529E-3</v>
      </c>
      <c r="P487" s="1">
        <v>0.74690982202744771</v>
      </c>
      <c r="R487" s="1">
        <v>0.24782571661538694</v>
      </c>
      <c r="S487" s="2">
        <f t="shared" si="96"/>
        <v>1.0934347432809826</v>
      </c>
      <c r="T487" s="4">
        <f t="shared" si="97"/>
        <v>1.1955995378139481</v>
      </c>
      <c r="U487" s="1">
        <f t="shared" si="89"/>
        <v>0.74210586417313484</v>
      </c>
      <c r="V487" s="6">
        <f>2*sigma/alpha*corel*(B487/12-1/alpha*(1-EXP(-alpha*Output!B487/12)))</f>
        <v>2.4727286394372157</v>
      </c>
      <c r="W487" s="5">
        <f t="shared" si="98"/>
        <v>-0.45349367364081328</v>
      </c>
      <c r="X487" s="1">
        <f t="shared" si="99"/>
        <v>78.068716475302068</v>
      </c>
      <c r="Y487" s="3">
        <f t="shared" si="100"/>
        <v>8.0204895060377118E-2</v>
      </c>
      <c r="Z487" s="1">
        <f t="shared" si="90"/>
        <v>0.17361211023093706</v>
      </c>
      <c r="AA487" s="8">
        <f t="shared" si="95"/>
        <v>39.583333333333364</v>
      </c>
      <c r="AB487" s="1">
        <v>39.67</v>
      </c>
      <c r="AC487" s="1">
        <v>7.5795597229999997E-3</v>
      </c>
      <c r="AD487" s="8">
        <f t="shared" si="91"/>
        <v>2.2298439575547078</v>
      </c>
      <c r="AE487" s="3">
        <f t="shared" si="92"/>
        <v>2.9419175242966916E-2</v>
      </c>
      <c r="AF487" s="11">
        <f t="shared" si="93"/>
        <v>39.583333333333364</v>
      </c>
      <c r="AG487" s="1">
        <f t="shared" si="94"/>
        <v>0.17361211023093706</v>
      </c>
    </row>
    <row r="488" spans="2:33" ht="15" x14ac:dyDescent="0.25">
      <c r="B488" s="1">
        <v>477</v>
      </c>
      <c r="C488" s="1">
        <v>1.0008359090253047</v>
      </c>
      <c r="D488" s="1">
        <v>1.2007285402056469</v>
      </c>
      <c r="E488" s="1">
        <v>0.83177040150746862</v>
      </c>
      <c r="G488" s="1">
        <v>0.99987988351924673</v>
      </c>
      <c r="H488" s="1">
        <v>4.5673331034279316</v>
      </c>
      <c r="I488" s="1">
        <v>0.17368935514623771</v>
      </c>
      <c r="K488" s="1">
        <v>0.99656285715318582</v>
      </c>
      <c r="L488" s="1">
        <v>7.3267567882954765</v>
      </c>
      <c r="M488" s="1">
        <v>0.10583061841020633</v>
      </c>
      <c r="O488" s="1">
        <v>7.3561419686063341E-3</v>
      </c>
      <c r="P488" s="1">
        <v>0.74646492932130348</v>
      </c>
      <c r="R488" s="1">
        <v>0.2482809611349214</v>
      </c>
      <c r="S488" s="2">
        <f t="shared" si="96"/>
        <v>1.0959726340010281</v>
      </c>
      <c r="T488" s="4">
        <f t="shared" si="97"/>
        <v>1.2011560144791513</v>
      </c>
      <c r="U488" s="1">
        <f t="shared" si="89"/>
        <v>0.74540374360600037</v>
      </c>
      <c r="V488" s="6">
        <f>2*sigma/alpha*corel*(B488/12-1/alpha*(1-EXP(-alpha*Output!B488/12)))</f>
        <v>2.4810175366694169</v>
      </c>
      <c r="W488" s="5">
        <f t="shared" si="98"/>
        <v>-0.45575227087315096</v>
      </c>
      <c r="X488" s="1">
        <f t="shared" si="99"/>
        <v>78.620059086092184</v>
      </c>
      <c r="Y488" s="3">
        <f t="shared" si="100"/>
        <v>8.032424873295238E-2</v>
      </c>
      <c r="Z488" s="1">
        <f t="shared" si="90"/>
        <v>0.17383256705964131</v>
      </c>
      <c r="AA488" s="8">
        <f t="shared" si="95"/>
        <v>39.6666666666667</v>
      </c>
      <c r="AB488" s="1">
        <v>39.75</v>
      </c>
      <c r="AC488" s="1">
        <v>7.5792744969999997E-3</v>
      </c>
      <c r="AD488" s="8">
        <f t="shared" si="91"/>
        <v>2.2313252839366564</v>
      </c>
      <c r="AE488" s="3">
        <f t="shared" si="92"/>
        <v>2.9439826791071509E-2</v>
      </c>
      <c r="AF488" s="11">
        <f t="shared" si="93"/>
        <v>39.6666666666667</v>
      </c>
      <c r="AG488" s="1">
        <f t="shared" si="94"/>
        <v>0.17383256705964131</v>
      </c>
    </row>
    <row r="489" spans="2:33" ht="15" x14ac:dyDescent="0.25">
      <c r="B489" s="1">
        <v>478</v>
      </c>
      <c r="C489" s="1">
        <v>1.0008414680860591</v>
      </c>
      <c r="D489" s="1">
        <v>1.2023452915292794</v>
      </c>
      <c r="E489" s="1">
        <v>0.83064980486430029</v>
      </c>
      <c r="G489" s="1">
        <v>1.0002196910499326</v>
      </c>
      <c r="H489" s="1">
        <v>4.6202222567729487</v>
      </c>
      <c r="I489" s="1">
        <v>0.17161796620505954</v>
      </c>
      <c r="K489" s="1">
        <v>0.996738967739213</v>
      </c>
      <c r="L489" s="1">
        <v>7.5315247734296102</v>
      </c>
      <c r="M489" s="1">
        <v>0.10289529917553447</v>
      </c>
      <c r="O489" s="1">
        <v>7.355677475482306E-3</v>
      </c>
      <c r="P489" s="1">
        <v>0.74602128070325358</v>
      </c>
      <c r="R489" s="1">
        <v>0.24873761785791684</v>
      </c>
      <c r="S489" s="2">
        <f t="shared" si="96"/>
        <v>1.0985160783722787</v>
      </c>
      <c r="T489" s="4">
        <f t="shared" si="97"/>
        <v>1.2067375744424105</v>
      </c>
      <c r="U489" s="1">
        <f t="shared" si="89"/>
        <v>0.74870725984412356</v>
      </c>
      <c r="V489" s="6">
        <f>2*sigma/alpha*corel*(B489/12-1/alpha*(1-EXP(-alpha*Output!B489/12)))</f>
        <v>2.4893135146585816</v>
      </c>
      <c r="W489" s="5">
        <f t="shared" si="98"/>
        <v>-0.45803031459828691</v>
      </c>
      <c r="X489" s="1">
        <f t="shared" si="99"/>
        <v>79.176178566922246</v>
      </c>
      <c r="Y489" s="3">
        <f t="shared" si="100"/>
        <v>8.0445015087388383E-2</v>
      </c>
      <c r="Z489" s="1">
        <f t="shared" si="90"/>
        <v>0.17405363294345122</v>
      </c>
      <c r="AA489" s="8">
        <f t="shared" si="95"/>
        <v>39.750000000000036</v>
      </c>
      <c r="AB489" s="1">
        <v>39.83</v>
      </c>
      <c r="AC489" s="1">
        <v>7.5789904670000002E-3</v>
      </c>
      <c r="AD489" s="8">
        <f t="shared" si="91"/>
        <v>2.2331299151769417</v>
      </c>
      <c r="AE489" s="3">
        <f t="shared" si="92"/>
        <v>2.946474104830064E-2</v>
      </c>
      <c r="AF489" s="11">
        <f t="shared" si="93"/>
        <v>39.750000000000036</v>
      </c>
      <c r="AG489" s="1">
        <f t="shared" si="94"/>
        <v>0.17405363294345122</v>
      </c>
    </row>
    <row r="490" spans="2:33" ht="15" x14ac:dyDescent="0.25">
      <c r="B490" s="1">
        <v>479</v>
      </c>
      <c r="C490" s="1">
        <v>1.0008425347055478</v>
      </c>
      <c r="D490" s="1">
        <v>1.2002079547129099</v>
      </c>
      <c r="E490" s="1">
        <v>0.8321268780027935</v>
      </c>
      <c r="G490" s="1">
        <v>1.000140583115811</v>
      </c>
      <c r="H490" s="1">
        <v>4.504994858649586</v>
      </c>
      <c r="I490" s="1">
        <v>0.17592236188871724</v>
      </c>
      <c r="K490" s="1">
        <v>0.99672105575152814</v>
      </c>
      <c r="L490" s="1">
        <v>7.2652821637213529</v>
      </c>
      <c r="M490" s="1">
        <v>0.10660774150868321</v>
      </c>
      <c r="O490" s="1">
        <v>7.3551890398789767E-3</v>
      </c>
      <c r="P490" s="1">
        <v>0.74557866603159517</v>
      </c>
      <c r="R490" s="1">
        <v>0.24921921423400939</v>
      </c>
      <c r="S490" s="2">
        <f t="shared" si="96"/>
        <v>1.1011478900687022</v>
      </c>
      <c r="T490" s="4">
        <f t="shared" si="97"/>
        <v>1.2125266758027546</v>
      </c>
      <c r="U490" s="1">
        <f t="shared" si="89"/>
        <v>0.7520163989186015</v>
      </c>
      <c r="V490" s="6">
        <f>2*sigma/alpha*corel*(B490/12-1/alpha*(1-EXP(-alpha*Output!B490/12)))</f>
        <v>2.4976165498414806</v>
      </c>
      <c r="W490" s="5">
        <f t="shared" si="98"/>
        <v>-0.46051027688415314</v>
      </c>
      <c r="X490" s="1">
        <f t="shared" si="99"/>
        <v>79.766229305878511</v>
      </c>
      <c r="Y490" s="3">
        <f t="shared" si="100"/>
        <v>8.0587611111007582E-2</v>
      </c>
      <c r="Z490" s="1">
        <f t="shared" si="90"/>
        <v>0.17428841375242426</v>
      </c>
      <c r="AA490" s="8">
        <f t="shared" si="95"/>
        <v>39.833333333333371</v>
      </c>
      <c r="AB490" s="1">
        <v>39.92</v>
      </c>
      <c r="AC490" s="1">
        <v>7.5787076250000002E-3</v>
      </c>
      <c r="AD490" s="8">
        <f t="shared" si="91"/>
        <v>2.2351858512102347</v>
      </c>
      <c r="AE490" s="3">
        <f t="shared" si="92"/>
        <v>2.9492968482343774E-2</v>
      </c>
      <c r="AF490" s="11">
        <f t="shared" si="93"/>
        <v>39.833333333333371</v>
      </c>
      <c r="AG490" s="1">
        <f t="shared" si="94"/>
        <v>0.17428841375242426</v>
      </c>
    </row>
    <row r="491" spans="2:33" ht="15" x14ac:dyDescent="0.25">
      <c r="B491" s="1">
        <v>480</v>
      </c>
      <c r="C491" s="1">
        <v>1.0008439125878597</v>
      </c>
      <c r="D491" s="1">
        <v>1.200344567132188</v>
      </c>
      <c r="E491" s="1">
        <v>0.83203001575930757</v>
      </c>
      <c r="G491" s="1">
        <v>1.0001233139786987</v>
      </c>
      <c r="H491" s="1">
        <v>4.4579573906631556</v>
      </c>
      <c r="I491" s="1">
        <v>0.17769252543802216</v>
      </c>
      <c r="K491" s="1">
        <v>0.99667894279704883</v>
      </c>
      <c r="L491" s="1">
        <v>7.3108922540371823</v>
      </c>
      <c r="M491" s="1">
        <v>0.10588969385789555</v>
      </c>
      <c r="O491" s="1">
        <v>7.3546961924448777E-3</v>
      </c>
      <c r="P491" s="1">
        <v>0.74513650611852233</v>
      </c>
      <c r="R491" s="1">
        <v>0.24953199477206178</v>
      </c>
      <c r="S491" s="2">
        <f t="shared" si="96"/>
        <v>1.1031907309775908</v>
      </c>
      <c r="T491" s="4">
        <f t="shared" si="97"/>
        <v>1.2170297889148711</v>
      </c>
      <c r="U491" s="1">
        <f t="shared" si="89"/>
        <v>0.75533114687519953</v>
      </c>
      <c r="V491" s="6">
        <f>2*sigma/alpha*corel*(B491/12-1/alpha*(1-EXP(-alpha*Output!B491/12)))</f>
        <v>2.5059266187332985</v>
      </c>
      <c r="W491" s="5">
        <f t="shared" si="98"/>
        <v>-0.46169864203967159</v>
      </c>
      <c r="X491" s="1">
        <f t="shared" si="99"/>
        <v>80.151450944823566</v>
      </c>
      <c r="Y491" s="3">
        <f t="shared" si="100"/>
        <v>8.058509566568034E-2</v>
      </c>
      <c r="Z491" s="1">
        <f t="shared" si="90"/>
        <v>0.17442977017376299</v>
      </c>
      <c r="AA491" s="8">
        <f t="shared" si="95"/>
        <v>39.916666666666707</v>
      </c>
      <c r="AB491" s="1">
        <v>40</v>
      </c>
      <c r="AC491" s="1">
        <v>7.5784259649999998E-3</v>
      </c>
      <c r="AD491" s="8">
        <f t="shared" si="91"/>
        <v>2.2372977255512208</v>
      </c>
      <c r="AE491" s="3">
        <f t="shared" si="92"/>
        <v>2.9521931544675594E-2</v>
      </c>
      <c r="AF491" s="11">
        <f t="shared" si="93"/>
        <v>39.916666666666707</v>
      </c>
      <c r="AG491" s="1">
        <f t="shared" si="94"/>
        <v>0.17442977017376299</v>
      </c>
    </row>
    <row r="492" spans="2:33" ht="15" x14ac:dyDescent="0.25">
      <c r="B492" s="1">
        <v>481</v>
      </c>
      <c r="C492" s="1">
        <v>1.0008447594444856</v>
      </c>
      <c r="D492" s="1">
        <v>1.1992506142237878</v>
      </c>
      <c r="E492" s="1">
        <v>0.8327868276010636</v>
      </c>
      <c r="G492" s="1">
        <v>1.0000336756917816</v>
      </c>
      <c r="H492" s="1">
        <v>4.479088000323622</v>
      </c>
      <c r="I492" s="1">
        <v>0.17676863259307307</v>
      </c>
      <c r="K492" s="1">
        <v>0.99661281565322135</v>
      </c>
      <c r="L492" s="1">
        <v>7.219611401010269</v>
      </c>
      <c r="M492" s="1">
        <v>0.10716784930524946</v>
      </c>
      <c r="O492" s="1">
        <v>7.3542002324551974E-3</v>
      </c>
      <c r="P492" s="1">
        <v>0.74469476250456212</v>
      </c>
      <c r="R492" s="1">
        <v>0.24979095425741332</v>
      </c>
      <c r="S492" s="2">
        <f t="shared" si="96"/>
        <v>1.1050463263518686</v>
      </c>
      <c r="T492" s="4">
        <f t="shared" si="97"/>
        <v>1.2211273833837606</v>
      </c>
      <c r="U492" s="1">
        <f t="shared" si="89"/>
        <v>0.75865148977450492</v>
      </c>
      <c r="V492" s="6">
        <f>2*sigma/alpha*corel*(B492/12-1/alpha*(1-EXP(-alpha*Output!B492/12)))</f>
        <v>2.5142436979273706</v>
      </c>
      <c r="W492" s="5">
        <f t="shared" si="98"/>
        <v>-0.46247589360925567</v>
      </c>
      <c r="X492" s="1">
        <f t="shared" si="99"/>
        <v>80.471722981251489</v>
      </c>
      <c r="Y492" s="3">
        <f t="shared" si="100"/>
        <v>8.0536709806425355E-2</v>
      </c>
      <c r="Z492" s="1">
        <f t="shared" si="90"/>
        <v>0.17454144615355541</v>
      </c>
      <c r="AA492" s="8">
        <f t="shared" si="95"/>
        <v>40.000000000000043</v>
      </c>
      <c r="AB492" s="1">
        <v>40.08</v>
      </c>
      <c r="AC492" s="1">
        <v>7.5781454780000004E-3</v>
      </c>
      <c r="AD492" s="8">
        <f t="shared" si="91"/>
        <v>2.2394524554480295</v>
      </c>
      <c r="AE492" s="3">
        <f t="shared" si="92"/>
        <v>2.9551457700955335E-2</v>
      </c>
      <c r="AF492" s="11">
        <f t="shared" si="93"/>
        <v>40.000000000000043</v>
      </c>
      <c r="AG492" s="1">
        <f t="shared" si="94"/>
        <v>0.17454144615355541</v>
      </c>
    </row>
    <row r="493" spans="2:33" ht="15" x14ac:dyDescent="0.25">
      <c r="B493" s="1">
        <v>482</v>
      </c>
      <c r="C493" s="1">
        <v>1.0008451452655198</v>
      </c>
      <c r="D493" s="1">
        <v>1.1990670986049228</v>
      </c>
      <c r="E493" s="1">
        <v>0.83291211583740132</v>
      </c>
      <c r="G493" s="1">
        <v>0.99992429832169527</v>
      </c>
      <c r="H493" s="1">
        <v>4.456853111858277</v>
      </c>
      <c r="I493" s="1">
        <v>0.17756452318175037</v>
      </c>
      <c r="K493" s="1">
        <v>0.99671620584258913</v>
      </c>
      <c r="L493" s="1">
        <v>7.4056526517515531</v>
      </c>
      <c r="M493" s="1">
        <v>0.10442519419675186</v>
      </c>
      <c r="O493" s="1">
        <v>7.3536370267063712E-3</v>
      </c>
      <c r="P493" s="1">
        <v>0.74425535255128683</v>
      </c>
      <c r="R493" s="1">
        <v>0.25007804697191133</v>
      </c>
      <c r="S493" s="2">
        <f t="shared" si="96"/>
        <v>1.1069976738183145</v>
      </c>
      <c r="T493" s="4">
        <f t="shared" si="97"/>
        <v>1.2254438498391593</v>
      </c>
      <c r="U493" s="1">
        <f t="shared" si="89"/>
        <v>0.76197741369209426</v>
      </c>
      <c r="V493" s="6">
        <f>2*sigma/alpha*corel*(B493/12-1/alpha*(1-EXP(-alpha*Output!B493/12)))</f>
        <v>2.5225677640949256</v>
      </c>
      <c r="W493" s="5">
        <f t="shared" si="98"/>
        <v>-0.46346643614706506</v>
      </c>
      <c r="X493" s="1">
        <f t="shared" si="99"/>
        <v>80.826955532079324</v>
      </c>
      <c r="Y493" s="3">
        <f t="shared" si="100"/>
        <v>8.051220142362836E-2</v>
      </c>
      <c r="Z493" s="1">
        <f t="shared" si="90"/>
        <v>0.1746681868992401</v>
      </c>
      <c r="AA493" s="8">
        <f t="shared" si="95"/>
        <v>40.083333333333378</v>
      </c>
      <c r="AB493" s="1">
        <v>40.17</v>
      </c>
      <c r="AC493" s="1">
        <v>7.5778661569999997E-3</v>
      </c>
      <c r="AD493" s="8">
        <f t="shared" si="91"/>
        <v>2.2422913029362856</v>
      </c>
      <c r="AE493" s="3">
        <f t="shared" si="92"/>
        <v>2.9590009330858726E-2</v>
      </c>
      <c r="AF493" s="11">
        <f t="shared" si="93"/>
        <v>40.083333333333378</v>
      </c>
      <c r="AG493" s="1">
        <f t="shared" si="94"/>
        <v>0.1746681868992401</v>
      </c>
    </row>
    <row r="494" spans="2:33" ht="15" x14ac:dyDescent="0.25">
      <c r="B494" s="1">
        <v>483</v>
      </c>
      <c r="C494" s="1">
        <v>1.0008488248576399</v>
      </c>
      <c r="D494" s="1">
        <v>1.2015442534657659</v>
      </c>
      <c r="E494" s="1">
        <v>0.83119277997258667</v>
      </c>
      <c r="G494" s="1">
        <v>1.0000821006021536</v>
      </c>
      <c r="H494" s="1">
        <v>4.470182901653895</v>
      </c>
      <c r="I494" s="1">
        <v>0.17694934048563182</v>
      </c>
      <c r="K494" s="1">
        <v>0.99690529111582826</v>
      </c>
      <c r="L494" s="1">
        <v>7.4447814917874693</v>
      </c>
      <c r="M494" s="1">
        <v>0.10382152304626421</v>
      </c>
      <c r="O494" s="1">
        <v>7.3529994279414798E-3</v>
      </c>
      <c r="P494" s="1">
        <v>0.74381849892022756</v>
      </c>
      <c r="R494" s="1">
        <v>0.25034589056443218</v>
      </c>
      <c r="S494" s="2">
        <f t="shared" si="96"/>
        <v>1.1088781124684697</v>
      </c>
      <c r="T494" s="4">
        <f t="shared" si="97"/>
        <v>1.2296106683116361</v>
      </c>
      <c r="U494" s="1">
        <f t="shared" si="89"/>
        <v>0.76530890471869073</v>
      </c>
      <c r="V494" s="6">
        <f>2*sigma/alpha*corel*(B494/12-1/alpha*(1-EXP(-alpha*Output!B494/12)))</f>
        <v>2.5308987939848264</v>
      </c>
      <c r="W494" s="5">
        <f t="shared" si="98"/>
        <v>-0.46430176359294539</v>
      </c>
      <c r="X494" s="1">
        <f t="shared" si="99"/>
        <v>81.158032643858064</v>
      </c>
      <c r="Y494" s="3">
        <f t="shared" si="100"/>
        <v>8.0470515766742093E-2</v>
      </c>
      <c r="Z494" s="1">
        <f t="shared" si="90"/>
        <v>0.17478367593743455</v>
      </c>
      <c r="AA494" s="8">
        <f t="shared" si="95"/>
        <v>40.166666666666714</v>
      </c>
      <c r="AB494" s="1">
        <v>40.25</v>
      </c>
      <c r="AC494" s="1">
        <v>7.5775879959999997E-3</v>
      </c>
      <c r="AD494" s="8">
        <f t="shared" si="91"/>
        <v>2.2458856805851988</v>
      </c>
      <c r="AE494" s="3">
        <f t="shared" si="92"/>
        <v>2.9638529856343996E-2</v>
      </c>
      <c r="AF494" s="11">
        <f t="shared" si="93"/>
        <v>40.166666666666714</v>
      </c>
      <c r="AG494" s="1">
        <f t="shared" si="94"/>
        <v>0.17478367593743455</v>
      </c>
    </row>
    <row r="495" spans="2:33" ht="15" x14ac:dyDescent="0.25">
      <c r="B495" s="1">
        <v>484</v>
      </c>
      <c r="C495" s="1">
        <v>1.0008522027965903</v>
      </c>
      <c r="D495" s="1">
        <v>1.2038201110368092</v>
      </c>
      <c r="E495" s="1">
        <v>0.82961921622805801</v>
      </c>
      <c r="G495" s="1">
        <v>1.000220317624618</v>
      </c>
      <c r="H495" s="1">
        <v>4.5426024578654376</v>
      </c>
      <c r="I495" s="1">
        <v>0.17404406949408355</v>
      </c>
      <c r="K495" s="1">
        <v>0.99684441095166687</v>
      </c>
      <c r="L495" s="1">
        <v>7.34157772044576</v>
      </c>
      <c r="M495" s="1">
        <v>0.10522730597381295</v>
      </c>
      <c r="O495" s="1">
        <v>7.3524172704880122E-3</v>
      </c>
      <c r="P495" s="1">
        <v>0.74338031840553598</v>
      </c>
      <c r="R495" s="1">
        <v>0.2505918227779339</v>
      </c>
      <c r="S495" s="2">
        <f t="shared" si="96"/>
        <v>1.1106864716827876</v>
      </c>
      <c r="T495" s="4">
        <f t="shared" si="97"/>
        <v>1.2336244383791597</v>
      </c>
      <c r="U495" s="1">
        <f t="shared" si="89"/>
        <v>0.76864594896031857</v>
      </c>
      <c r="V495" s="6">
        <f>2*sigma/alpha*corel*(B495/12-1/alpha*(1-EXP(-alpha*Output!B495/12)))</f>
        <v>2.5392367644233094</v>
      </c>
      <c r="W495" s="5">
        <f t="shared" si="98"/>
        <v>-0.46497848941884112</v>
      </c>
      <c r="X495" s="1">
        <f t="shared" si="99"/>
        <v>81.464252972038665</v>
      </c>
      <c r="Y495" s="3">
        <f t="shared" si="100"/>
        <v>8.0411382846685323E-2</v>
      </c>
      <c r="Z495" s="1">
        <f t="shared" si="90"/>
        <v>0.17488776365763628</v>
      </c>
      <c r="AA495" s="8">
        <f t="shared" si="95"/>
        <v>40.25000000000005</v>
      </c>
      <c r="AB495" s="1">
        <v>40.33</v>
      </c>
      <c r="AC495" s="1">
        <v>7.5773109859999998E-3</v>
      </c>
      <c r="AD495" s="8">
        <f t="shared" si="91"/>
        <v>2.2489371551198767</v>
      </c>
      <c r="AE495" s="3">
        <f t="shared" si="92"/>
        <v>2.9679884582737338E-2</v>
      </c>
      <c r="AF495" s="11">
        <f t="shared" si="93"/>
        <v>40.25000000000005</v>
      </c>
      <c r="AG495" s="1">
        <f t="shared" si="94"/>
        <v>0.17488776365763628</v>
      </c>
    </row>
    <row r="496" spans="2:33" ht="15" x14ac:dyDescent="0.25">
      <c r="B496" s="1">
        <v>485</v>
      </c>
      <c r="C496" s="1">
        <v>1.000853841582471</v>
      </c>
      <c r="D496" s="1">
        <v>1.2032640210929682</v>
      </c>
      <c r="E496" s="1">
        <v>0.8300004508312272</v>
      </c>
      <c r="G496" s="1">
        <v>1.0002137696634019</v>
      </c>
      <c r="H496" s="1">
        <v>4.6697578830844462</v>
      </c>
      <c r="I496" s="1">
        <v>0.16922297072252687</v>
      </c>
      <c r="K496" s="1">
        <v>0.99690894104235139</v>
      </c>
      <c r="L496" s="1">
        <v>7.2048441541622434</v>
      </c>
      <c r="M496" s="1">
        <v>0.107158683002543</v>
      </c>
      <c r="O496" s="1">
        <v>7.3518862085779763E-3</v>
      </c>
      <c r="P496" s="1">
        <v>0.742940933848667</v>
      </c>
      <c r="R496" s="1">
        <v>0.25088644495094459</v>
      </c>
      <c r="S496" s="2">
        <f t="shared" si="96"/>
        <v>1.1126706889895466</v>
      </c>
      <c r="T496" s="4">
        <f t="shared" si="97"/>
        <v>1.2380360621364723</v>
      </c>
      <c r="U496" s="1">
        <f t="shared" si="89"/>
        <v>0.77198853253846123</v>
      </c>
      <c r="V496" s="6">
        <f>2*sigma/alpha*corel*(B496/12-1/alpha*(1-EXP(-alpha*Output!B496/12)))</f>
        <v>2.5475816523137271</v>
      </c>
      <c r="W496" s="5">
        <f t="shared" si="98"/>
        <v>-0.4660475295980111</v>
      </c>
      <c r="X496" s="1">
        <f t="shared" si="99"/>
        <v>81.83452289355067</v>
      </c>
      <c r="Y496" s="3">
        <f t="shared" si="100"/>
        <v>8.0395817651745541E-2</v>
      </c>
      <c r="Z496" s="1">
        <f t="shared" si="90"/>
        <v>0.1750194848983915</v>
      </c>
      <c r="AA496" s="8">
        <f t="shared" si="95"/>
        <v>40.333333333333385</v>
      </c>
      <c r="AB496" s="1">
        <v>40.42</v>
      </c>
      <c r="AC496" s="1">
        <v>7.5770351210000001E-3</v>
      </c>
      <c r="AD496" s="8">
        <f t="shared" si="91"/>
        <v>2.2514891242202388</v>
      </c>
      <c r="AE496" s="3">
        <f t="shared" si="92"/>
        <v>2.9714645481583729E-2</v>
      </c>
      <c r="AF496" s="11">
        <f t="shared" si="93"/>
        <v>40.333333333333385</v>
      </c>
      <c r="AG496" s="1">
        <f t="shared" si="94"/>
        <v>0.1750194848983915</v>
      </c>
    </row>
    <row r="497" spans="2:33" ht="15" x14ac:dyDescent="0.25">
      <c r="B497" s="1">
        <v>486</v>
      </c>
      <c r="C497" s="1">
        <v>1.0008568851478672</v>
      </c>
      <c r="D497" s="1">
        <v>1.2031320690905156</v>
      </c>
      <c r="E497" s="1">
        <v>0.83008930030739358</v>
      </c>
      <c r="G497" s="1">
        <v>1.0003321681031183</v>
      </c>
      <c r="H497" s="1">
        <v>4.6582450781144518</v>
      </c>
      <c r="I497" s="1">
        <v>0.16955908374731671</v>
      </c>
      <c r="K497" s="1">
        <v>0.996890592111907</v>
      </c>
      <c r="L497" s="1">
        <v>7.1533239062588878</v>
      </c>
      <c r="M497" s="1">
        <v>0.10787345404611341</v>
      </c>
      <c r="O497" s="1">
        <v>7.3514256621559438E-3</v>
      </c>
      <c r="P497" s="1">
        <v>0.74249975422360592</v>
      </c>
      <c r="R497" s="1">
        <v>0.25121290335918062</v>
      </c>
      <c r="S497" s="2">
        <f t="shared" si="96"/>
        <v>1.1147731569695616</v>
      </c>
      <c r="T497" s="4">
        <f t="shared" si="97"/>
        <v>1.2427191914998827</v>
      </c>
      <c r="U497" s="1">
        <f t="shared" si="89"/>
        <v>0.77533664159021232</v>
      </c>
      <c r="V497" s="6">
        <f>2*sigma/alpha*corel*(B497/12-1/alpha*(1-EXP(-alpha*Output!B497/12)))</f>
        <v>2.5559334346362959</v>
      </c>
      <c r="W497" s="5">
        <f t="shared" si="98"/>
        <v>-0.46738254990967043</v>
      </c>
      <c r="X497" s="1">
        <f t="shared" si="99"/>
        <v>82.248768807658308</v>
      </c>
      <c r="Y497" s="3">
        <f t="shared" si="100"/>
        <v>8.0409595813421969E-2</v>
      </c>
      <c r="Z497" s="1">
        <f t="shared" si="90"/>
        <v>0.17516970195064724</v>
      </c>
      <c r="AA497" s="8">
        <f t="shared" si="95"/>
        <v>40.416666666666721</v>
      </c>
      <c r="AB497" s="1">
        <v>40.5</v>
      </c>
      <c r="AC497" s="1">
        <v>7.5767603940000003E-3</v>
      </c>
      <c r="AD497" s="8">
        <f t="shared" si="91"/>
        <v>2.2533473184405648</v>
      </c>
      <c r="AE497" s="3">
        <f t="shared" si="92"/>
        <v>2.9740247827092163E-2</v>
      </c>
      <c r="AF497" s="11">
        <f t="shared" si="93"/>
        <v>40.416666666666721</v>
      </c>
      <c r="AG497" s="1">
        <f t="shared" si="94"/>
        <v>0.17516970195064724</v>
      </c>
    </row>
    <row r="498" spans="2:33" ht="15" x14ac:dyDescent="0.25">
      <c r="B498" s="1">
        <v>487</v>
      </c>
      <c r="C498" s="1">
        <v>1.0008589325186572</v>
      </c>
      <c r="D498" s="1">
        <v>1.1985866882247489</v>
      </c>
      <c r="E498" s="1">
        <v>0.83323504171282925</v>
      </c>
      <c r="G498" s="1">
        <v>1.0003447036495399</v>
      </c>
      <c r="H498" s="1">
        <v>4.4377526290442901</v>
      </c>
      <c r="I498" s="1">
        <v>0.17789757140326889</v>
      </c>
      <c r="K498" s="1">
        <v>0.99706496554186985</v>
      </c>
      <c r="L498" s="1">
        <v>7.2840948652937119</v>
      </c>
      <c r="M498" s="1">
        <v>0.10588173236303092</v>
      </c>
      <c r="O498" s="1">
        <v>7.3509214618895074E-3</v>
      </c>
      <c r="P498" s="1">
        <v>0.74206020818885543</v>
      </c>
      <c r="R498" s="1">
        <v>0.2513981862580047</v>
      </c>
      <c r="S498" s="2">
        <f t="shared" si="96"/>
        <v>1.1163770413112897</v>
      </c>
      <c r="T498" s="4">
        <f t="shared" si="97"/>
        <v>1.2462976983669489</v>
      </c>
      <c r="U498" s="1">
        <f t="shared" si="89"/>
        <v>0.77869026226842797</v>
      </c>
      <c r="V498" s="6">
        <f>2*sigma/alpha*corel*(B498/12-1/alpha*(1-EXP(-alpha*Output!B498/12)))</f>
        <v>2.564292088447834</v>
      </c>
      <c r="W498" s="5">
        <f t="shared" si="98"/>
        <v>-0.46760743609852096</v>
      </c>
      <c r="X498" s="1">
        <f t="shared" si="99"/>
        <v>82.483867708202723</v>
      </c>
      <c r="Y498" s="3">
        <f t="shared" si="100"/>
        <v>8.0301078566629033E-2</v>
      </c>
      <c r="Z498" s="1">
        <f t="shared" si="90"/>
        <v>0.1752415310657662</v>
      </c>
      <c r="AA498" s="8">
        <f t="shared" si="95"/>
        <v>40.500000000000057</v>
      </c>
      <c r="AB498" s="1">
        <v>40.58</v>
      </c>
      <c r="AC498" s="1">
        <v>7.5764867979999997E-3</v>
      </c>
      <c r="AD498" s="8">
        <f t="shared" si="91"/>
        <v>2.2556533611049234</v>
      </c>
      <c r="AE498" s="3">
        <f t="shared" si="92"/>
        <v>2.9771758616412541E-2</v>
      </c>
      <c r="AF498" s="11">
        <f t="shared" si="93"/>
        <v>40.500000000000057</v>
      </c>
      <c r="AG498" s="1">
        <f t="shared" si="94"/>
        <v>0.1752415310657662</v>
      </c>
    </row>
    <row r="499" spans="2:33" ht="15" x14ac:dyDescent="0.25">
      <c r="B499" s="1">
        <v>488</v>
      </c>
      <c r="C499" s="1">
        <v>1.0008629367102126</v>
      </c>
      <c r="D499" s="1">
        <v>1.201827163866702</v>
      </c>
      <c r="E499" s="1">
        <v>0.8309862061768547</v>
      </c>
      <c r="G499" s="1">
        <v>1.0005059931315181</v>
      </c>
      <c r="H499" s="1">
        <v>4.5065989511236637</v>
      </c>
      <c r="I499" s="1">
        <v>0.17509506697520758</v>
      </c>
      <c r="K499" s="1">
        <v>0.99701230969302912</v>
      </c>
      <c r="L499" s="1">
        <v>7.5390696636638594</v>
      </c>
      <c r="M499" s="1">
        <v>0.10224352606121326</v>
      </c>
      <c r="O499" s="1">
        <v>7.3504999538350603E-3</v>
      </c>
      <c r="P499" s="1">
        <v>0.74161849074690978</v>
      </c>
      <c r="R499" s="1">
        <v>0.25167026949322102</v>
      </c>
      <c r="S499" s="2">
        <f t="shared" si="96"/>
        <v>1.1182934127219311</v>
      </c>
      <c r="T499" s="4">
        <f t="shared" si="97"/>
        <v>1.2505801569372632</v>
      </c>
      <c r="U499" s="1">
        <f t="shared" si="89"/>
        <v>0.78204938074187424</v>
      </c>
      <c r="V499" s="6">
        <f>2*sigma/alpha*corel*(B499/12-1/alpha*(1-EXP(-alpha*Output!B499/12)))</f>
        <v>2.5726575908815104</v>
      </c>
      <c r="W499" s="5">
        <f t="shared" si="98"/>
        <v>-0.46853077619538896</v>
      </c>
      <c r="X499" s="1">
        <f t="shared" si="99"/>
        <v>82.832906674370193</v>
      </c>
      <c r="Y499" s="3">
        <f t="shared" si="100"/>
        <v>8.0269683572633602E-2</v>
      </c>
      <c r="Z499" s="1">
        <f t="shared" si="90"/>
        <v>0.17536239925430933</v>
      </c>
      <c r="AA499" s="8">
        <f t="shared" si="95"/>
        <v>40.583333333333393</v>
      </c>
      <c r="AB499" s="1">
        <v>40.67</v>
      </c>
      <c r="AC499" s="1">
        <v>7.5762143250000004E-3</v>
      </c>
      <c r="AD499" s="8">
        <f t="shared" si="91"/>
        <v>2.2571437116494004</v>
      </c>
      <c r="AE499" s="3">
        <f t="shared" si="92"/>
        <v>2.9792500777086985E-2</v>
      </c>
      <c r="AF499" s="11">
        <f t="shared" si="93"/>
        <v>40.583333333333393</v>
      </c>
      <c r="AG499" s="1">
        <f t="shared" si="94"/>
        <v>0.17536239925430933</v>
      </c>
    </row>
    <row r="500" spans="2:33" ht="15" x14ac:dyDescent="0.25">
      <c r="B500" s="1">
        <v>489</v>
      </c>
      <c r="C500" s="1">
        <v>1.0008635638905645</v>
      </c>
      <c r="D500" s="1">
        <v>1.2040977326747371</v>
      </c>
      <c r="E500" s="1">
        <v>0.82941702254304295</v>
      </c>
      <c r="G500" s="1">
        <v>1.0004015887577171</v>
      </c>
      <c r="H500" s="1">
        <v>4.5251729587197262</v>
      </c>
      <c r="I500" s="1">
        <v>0.17429195835289599</v>
      </c>
      <c r="K500" s="1">
        <v>0.99688531488333776</v>
      </c>
      <c r="L500" s="1">
        <v>7.4965967996155518</v>
      </c>
      <c r="M500" s="1">
        <v>0.10277344298406392</v>
      </c>
      <c r="O500" s="1">
        <v>7.3501126214313784E-3</v>
      </c>
      <c r="P500" s="1">
        <v>0.74117605610427673</v>
      </c>
      <c r="R500" s="1">
        <v>0.25200363980837159</v>
      </c>
      <c r="S500" s="2">
        <f t="shared" si="96"/>
        <v>1.1204298546233005</v>
      </c>
      <c r="T500" s="4">
        <f t="shared" si="97"/>
        <v>1.2553630591311902</v>
      </c>
      <c r="U500" s="1">
        <f t="shared" si="89"/>
        <v>0.78541398319537903</v>
      </c>
      <c r="V500" s="6">
        <f>2*sigma/alpha*corel*(B500/12-1/alpha*(1-EXP(-alpha*Output!B500/12)))</f>
        <v>2.5810299191465917</v>
      </c>
      <c r="W500" s="5">
        <f t="shared" si="98"/>
        <v>-0.46994907593581114</v>
      </c>
      <c r="X500" s="1">
        <f t="shared" si="99"/>
        <v>83.263414821067073</v>
      </c>
      <c r="Y500" s="3">
        <f t="shared" si="100"/>
        <v>8.0292625452206057E-2</v>
      </c>
      <c r="Z500" s="1">
        <f t="shared" si="90"/>
        <v>0.1755176784224376</v>
      </c>
      <c r="AA500" s="8">
        <f t="shared" si="95"/>
        <v>40.666666666666728</v>
      </c>
      <c r="AB500" s="1">
        <v>40.75</v>
      </c>
      <c r="AC500" s="1">
        <v>7.5759429689999996E-3</v>
      </c>
      <c r="AD500" s="8">
        <f t="shared" si="91"/>
        <v>2.2583034756862124</v>
      </c>
      <c r="AE500" s="3">
        <f t="shared" si="92"/>
        <v>2.9808876398977186E-2</v>
      </c>
      <c r="AF500" s="11">
        <f t="shared" si="93"/>
        <v>40.666666666666728</v>
      </c>
      <c r="AG500" s="1">
        <f t="shared" si="94"/>
        <v>0.1755176784224376</v>
      </c>
    </row>
    <row r="501" spans="2:33" ht="15" x14ac:dyDescent="0.25">
      <c r="B501" s="1">
        <v>490</v>
      </c>
      <c r="C501" s="1">
        <v>1.0008583592237517</v>
      </c>
      <c r="D501" s="1">
        <v>1.2026635084680579</v>
      </c>
      <c r="E501" s="1">
        <v>0.83040393614261709</v>
      </c>
      <c r="G501" s="1">
        <v>0.9998556085908058</v>
      </c>
      <c r="H501" s="1">
        <v>4.6164570254482475</v>
      </c>
      <c r="I501" s="1">
        <v>0.17076286989830888</v>
      </c>
      <c r="K501" s="1">
        <v>0.99690812154541986</v>
      </c>
      <c r="L501" s="1">
        <v>7.488556509865929</v>
      </c>
      <c r="M501" s="1">
        <v>0.1028270412333388</v>
      </c>
      <c r="O501" s="1">
        <v>7.3496366902317707E-3</v>
      </c>
      <c r="P501" s="1">
        <v>0.74073661304795058</v>
      </c>
      <c r="R501" s="1">
        <v>0.25241666102418825</v>
      </c>
      <c r="S501" s="2">
        <f t="shared" si="96"/>
        <v>1.122843788734923</v>
      </c>
      <c r="T501" s="4">
        <f t="shared" si="97"/>
        <v>1.2607781739005963</v>
      </c>
      <c r="U501" s="1">
        <f t="shared" si="89"/>
        <v>0.78878405582997191</v>
      </c>
      <c r="V501" s="6">
        <f>2*sigma/alpha*corel*(B501/12-1/alpha*(1-EXP(-alpha*Output!B501/12)))</f>
        <v>2.589409050528185</v>
      </c>
      <c r="W501" s="5">
        <f t="shared" si="98"/>
        <v>-0.47199411807062441</v>
      </c>
      <c r="X501" s="1">
        <f t="shared" si="99"/>
        <v>83.797411849159275</v>
      </c>
      <c r="Y501" s="3">
        <f t="shared" si="100"/>
        <v>8.0383880545256831E-2</v>
      </c>
      <c r="Z501" s="1">
        <f t="shared" si="90"/>
        <v>0.17571624904133784</v>
      </c>
      <c r="AA501" s="8">
        <f t="shared" si="95"/>
        <v>40.750000000000064</v>
      </c>
      <c r="AB501" s="1">
        <v>40.83</v>
      </c>
      <c r="AC501" s="1">
        <v>7.575672722E-3</v>
      </c>
      <c r="AD501" s="8">
        <f t="shared" si="91"/>
        <v>2.2603603176822933</v>
      </c>
      <c r="AE501" s="3">
        <f t="shared" si="92"/>
        <v>2.983709038958525E-2</v>
      </c>
      <c r="AF501" s="11">
        <f t="shared" si="93"/>
        <v>40.750000000000064</v>
      </c>
      <c r="AG501" s="1">
        <f t="shared" si="94"/>
        <v>0.17571624904133784</v>
      </c>
    </row>
    <row r="502" spans="2:33" ht="15" x14ac:dyDescent="0.25">
      <c r="B502" s="1">
        <v>491</v>
      </c>
      <c r="C502" s="1">
        <v>1.0008584714408129</v>
      </c>
      <c r="D502" s="1">
        <v>1.206152223002934</v>
      </c>
      <c r="E502" s="1">
        <v>0.82799985090707506</v>
      </c>
      <c r="G502" s="1">
        <v>0.99968671812336818</v>
      </c>
      <c r="H502" s="1">
        <v>4.5947768039874006</v>
      </c>
      <c r="I502" s="1">
        <v>0.17148554959942139</v>
      </c>
      <c r="K502" s="1">
        <v>0.99714534780755548</v>
      </c>
      <c r="L502" s="1">
        <v>7.2070618200380983</v>
      </c>
      <c r="M502" s="1">
        <v>0.10678646292836481</v>
      </c>
      <c r="O502" s="1">
        <v>7.3492077653623212E-3</v>
      </c>
      <c r="P502" s="1">
        <v>0.74029606541491633</v>
      </c>
      <c r="R502" s="1">
        <v>0.25269616705312709</v>
      </c>
      <c r="S502" s="2">
        <f t="shared" si="96"/>
        <v>1.1247909813778156</v>
      </c>
      <c r="T502" s="4">
        <f t="shared" si="97"/>
        <v>1.2651547517888695</v>
      </c>
      <c r="U502" s="1">
        <f t="shared" si="89"/>
        <v>0.79215958486303251</v>
      </c>
      <c r="V502" s="6">
        <f>2*sigma/alpha*corel*(B502/12-1/alpha*(1-EXP(-alpha*Output!B502/12)))</f>
        <v>2.5977949623869874</v>
      </c>
      <c r="W502" s="5">
        <f t="shared" si="98"/>
        <v>-0.47299516692583699</v>
      </c>
      <c r="X502" s="1">
        <f t="shared" si="99"/>
        <v>84.162080986798529</v>
      </c>
      <c r="Y502" s="3">
        <f t="shared" si="100"/>
        <v>8.0360827808871743E-2</v>
      </c>
      <c r="Z502" s="1">
        <f t="shared" si="90"/>
        <v>0.17584163063996844</v>
      </c>
      <c r="AA502" s="8">
        <f t="shared" si="95"/>
        <v>40.8333333333334</v>
      </c>
      <c r="AB502" s="1">
        <v>40.92</v>
      </c>
      <c r="AC502" s="1">
        <v>7.5754035790000004E-3</v>
      </c>
      <c r="AD502" s="8">
        <f t="shared" si="91"/>
        <v>2.2619581363767916</v>
      </c>
      <c r="AE502" s="3">
        <f t="shared" si="92"/>
        <v>2.9859242650084446E-2</v>
      </c>
      <c r="AF502" s="11">
        <f t="shared" si="93"/>
        <v>40.8333333333334</v>
      </c>
      <c r="AG502" s="1">
        <f t="shared" si="94"/>
        <v>0.17584163063996844</v>
      </c>
    </row>
    <row r="503" spans="2:33" ht="15" x14ac:dyDescent="0.25">
      <c r="B503" s="1">
        <v>492</v>
      </c>
      <c r="C503" s="1">
        <v>1.0008576125249931</v>
      </c>
      <c r="D503" s="1">
        <v>1.2052276033933949</v>
      </c>
      <c r="E503" s="1">
        <v>0.82863286736672459</v>
      </c>
      <c r="G503" s="1">
        <v>0.99948197554035745</v>
      </c>
      <c r="H503" s="1">
        <v>4.5616436418855999</v>
      </c>
      <c r="I503" s="1">
        <v>0.1726475025755414</v>
      </c>
      <c r="K503" s="1">
        <v>0.9971868176037697</v>
      </c>
      <c r="L503" s="1">
        <v>6.9883406078458981</v>
      </c>
      <c r="M503" s="1">
        <v>0.11006849049066682</v>
      </c>
      <c r="O503" s="1">
        <v>7.3487416143301395E-3</v>
      </c>
      <c r="P503" s="1">
        <v>0.73985696190736128</v>
      </c>
      <c r="R503" s="1">
        <v>0.25306186578484818</v>
      </c>
      <c r="S503" s="2">
        <f t="shared" si="96"/>
        <v>1.1270423491925918</v>
      </c>
      <c r="T503" s="4">
        <f t="shared" si="97"/>
        <v>1.2702244568735561</v>
      </c>
      <c r="U503" s="1">
        <f t="shared" si="89"/>
        <v>0.79554055652843081</v>
      </c>
      <c r="V503" s="6">
        <f>2*sigma/alpha*corel*(B503/12-1/alpha*(1-EXP(-alpha*Output!B503/12)))</f>
        <v>2.6061876321590374</v>
      </c>
      <c r="W503" s="5">
        <f t="shared" si="98"/>
        <v>-0.47468390034512531</v>
      </c>
      <c r="X503" s="1">
        <f t="shared" si="99"/>
        <v>84.64037363061928</v>
      </c>
      <c r="Y503" s="3">
        <f t="shared" si="100"/>
        <v>8.0412593583298428E-2</v>
      </c>
      <c r="Z503" s="1">
        <f t="shared" si="90"/>
        <v>0.17601444348117906</v>
      </c>
      <c r="AA503" s="8">
        <f t="shared" si="95"/>
        <v>40.916666666666735</v>
      </c>
      <c r="AB503" s="1">
        <v>41</v>
      </c>
      <c r="AC503" s="1">
        <v>7.5751355330000002E-3</v>
      </c>
      <c r="AD503" s="8">
        <f t="shared" si="91"/>
        <v>2.2639391866986074</v>
      </c>
      <c r="AE503" s="3">
        <f t="shared" si="92"/>
        <v>2.9886451230292561E-2</v>
      </c>
      <c r="AF503" s="11">
        <f t="shared" si="93"/>
        <v>40.916666666666735</v>
      </c>
      <c r="AG503" s="1">
        <f t="shared" si="94"/>
        <v>0.17601444348117906</v>
      </c>
    </row>
    <row r="504" spans="2:33" ht="15" x14ac:dyDescent="0.25">
      <c r="B504" s="1">
        <v>493</v>
      </c>
      <c r="C504" s="1">
        <v>1.0008628389724472</v>
      </c>
      <c r="D504" s="1">
        <v>1.2030482266998972</v>
      </c>
      <c r="E504" s="1">
        <v>0.83013176109957432</v>
      </c>
      <c r="G504" s="1">
        <v>0.99970859596406625</v>
      </c>
      <c r="H504" s="1">
        <v>4.5025615014676248</v>
      </c>
      <c r="I504" s="1">
        <v>0.17482828843722764</v>
      </c>
      <c r="K504" s="1">
        <v>0.99701873252208661</v>
      </c>
      <c r="L504" s="1">
        <v>6.8033695353421155</v>
      </c>
      <c r="M504" s="1">
        <v>0.11300311524940887</v>
      </c>
      <c r="O504" s="1">
        <v>7.3482919597215122E-3</v>
      </c>
      <c r="P504" s="1">
        <v>0.73941767517468426</v>
      </c>
      <c r="R504" s="1">
        <v>0.25319996758588592</v>
      </c>
      <c r="S504" s="2">
        <f t="shared" si="96"/>
        <v>1.1284905333503892</v>
      </c>
      <c r="T504" s="4">
        <f t="shared" si="97"/>
        <v>1.2734908838614458</v>
      </c>
      <c r="U504" s="1">
        <f t="shared" si="89"/>
        <v>0.79892695707666705</v>
      </c>
      <c r="V504" s="6">
        <f>2*sigma/alpha*corel*(B504/12-1/alpha*(1-EXP(-alpha*Output!B504/12)))</f>
        <v>2.6145870373554589</v>
      </c>
      <c r="W504" s="5">
        <f t="shared" si="98"/>
        <v>-0.47456392678477877</v>
      </c>
      <c r="X504" s="1">
        <f t="shared" si="99"/>
        <v>84.822737344205834</v>
      </c>
      <c r="Y504" s="3">
        <f t="shared" si="100"/>
        <v>8.0267817266252386E-2</v>
      </c>
      <c r="Z504" s="1">
        <f t="shared" si="90"/>
        <v>0.17606177810244628</v>
      </c>
      <c r="AA504" s="8">
        <f t="shared" si="95"/>
        <v>41.000000000000071</v>
      </c>
      <c r="AB504" s="1">
        <v>41.08</v>
      </c>
      <c r="AC504" s="1">
        <v>7.5748685759999997E-3</v>
      </c>
      <c r="AD504" s="8">
        <f t="shared" si="91"/>
        <v>2.2657661627848746</v>
      </c>
      <c r="AE504" s="3">
        <f t="shared" si="92"/>
        <v>2.9911623416987915E-2</v>
      </c>
      <c r="AF504" s="11">
        <f t="shared" si="93"/>
        <v>41.000000000000071</v>
      </c>
      <c r="AG504" s="1">
        <f t="shared" si="94"/>
        <v>0.17606177810244628</v>
      </c>
    </row>
    <row r="505" spans="2:33" ht="15" x14ac:dyDescent="0.25">
      <c r="B505" s="1">
        <v>494</v>
      </c>
      <c r="C505" s="1">
        <v>1.0008616908419949</v>
      </c>
      <c r="D505" s="1">
        <v>1.203386908218939</v>
      </c>
      <c r="E505" s="1">
        <v>0.82989591203387447</v>
      </c>
      <c r="G505" s="1">
        <v>0.99948961195897734</v>
      </c>
      <c r="H505" s="1">
        <v>4.6366320352116208</v>
      </c>
      <c r="I505" s="1">
        <v>0.16969085200450096</v>
      </c>
      <c r="K505" s="1">
        <v>0.99721161246978596</v>
      </c>
      <c r="L505" s="1">
        <v>7.057072512096048</v>
      </c>
      <c r="M505" s="1">
        <v>0.10887762244250491</v>
      </c>
      <c r="O505" s="1">
        <v>7.3478404700247617E-3</v>
      </c>
      <c r="P505" s="1">
        <v>0.73897876047313393</v>
      </c>
      <c r="R505" s="1">
        <v>0.25362603670118283</v>
      </c>
      <c r="S505" s="2">
        <f t="shared" si="96"/>
        <v>1.1309603502250873</v>
      </c>
      <c r="T505" s="4">
        <f t="shared" si="97"/>
        <v>1.2790713137812522</v>
      </c>
      <c r="U505" s="1">
        <f t="shared" ref="U505:U568" si="101">sigma*sigma/alpha/alpha*(B505/12+2/alpha*EXP(-alpha*B505/12)-1/2/alpha*EXP(-2*alpha*B505/12)-3/2/alpha)</f>
        <v>0.80231877277500985</v>
      </c>
      <c r="V505" s="6">
        <f>2*sigma/alpha*corel*(B505/12-1/alpha*(1-EXP(-alpha*Output!B505/12)))</f>
        <v>2.6229931555622139</v>
      </c>
      <c r="W505" s="5">
        <f t="shared" si="98"/>
        <v>-0.47675254100624231</v>
      </c>
      <c r="X505" s="1">
        <f t="shared" si="99"/>
        <v>85.385344846487456</v>
      </c>
      <c r="Y505" s="3">
        <f t="shared" si="100"/>
        <v>8.0373594271561599E-2</v>
      </c>
      <c r="Z505" s="1">
        <f t="shared" si="90"/>
        <v>0.1762684266381932</v>
      </c>
      <c r="AA505" s="8">
        <f t="shared" si="95"/>
        <v>41.083333333333407</v>
      </c>
      <c r="AB505" s="1">
        <v>41.17</v>
      </c>
      <c r="AC505" s="1">
        <v>7.5746027020000004E-3</v>
      </c>
      <c r="AD505" s="8">
        <f t="shared" si="91"/>
        <v>2.2676223197523866</v>
      </c>
      <c r="AE505" s="3">
        <f t="shared" si="92"/>
        <v>2.9937178344068702E-2</v>
      </c>
      <c r="AF505" s="11">
        <f t="shared" si="93"/>
        <v>41.083333333333407</v>
      </c>
      <c r="AG505" s="1">
        <f t="shared" si="94"/>
        <v>0.1762684266381932</v>
      </c>
    </row>
    <row r="506" spans="2:33" ht="15" x14ac:dyDescent="0.25">
      <c r="B506" s="1">
        <v>495</v>
      </c>
      <c r="C506" s="1">
        <v>1.0008679894819799</v>
      </c>
      <c r="D506" s="1">
        <v>1.2050740712483421</v>
      </c>
      <c r="E506" s="1">
        <v>0.82873179888234838</v>
      </c>
      <c r="G506" s="1">
        <v>0.9998699608460101</v>
      </c>
      <c r="H506" s="1">
        <v>4.6721262404652117</v>
      </c>
      <c r="I506" s="1">
        <v>0.16832018253830452</v>
      </c>
      <c r="K506" s="1">
        <v>0.99709984432649834</v>
      </c>
      <c r="L506" s="1">
        <v>7.0205641911661862</v>
      </c>
      <c r="M506" s="1">
        <v>0.10939003579732645</v>
      </c>
      <c r="O506" s="1">
        <v>7.3474245397715937E-3</v>
      </c>
      <c r="P506" s="1">
        <v>0.73853907857318157</v>
      </c>
      <c r="R506" s="1">
        <v>0.25389405610755589</v>
      </c>
      <c r="S506" s="2">
        <f t="shared" si="96"/>
        <v>1.1328740721949038</v>
      </c>
      <c r="T506" s="4">
        <f t="shared" si="97"/>
        <v>1.2834036634514641</v>
      </c>
      <c r="U506" s="1">
        <f t="shared" si="101"/>
        <v>0.80571598990763782</v>
      </c>
      <c r="V506" s="6">
        <f>2*sigma/alpha*corel*(B506/12-1/alpha*(1-EXP(-alpha*Output!B506/12)))</f>
        <v>2.6314059644398564</v>
      </c>
      <c r="W506" s="5">
        <f t="shared" si="98"/>
        <v>-0.47768767354382624</v>
      </c>
      <c r="X506" s="1">
        <f t="shared" si="99"/>
        <v>85.74276348442099</v>
      </c>
      <c r="Y506" s="3">
        <f t="shared" si="100"/>
        <v>8.0343428859737609E-2</v>
      </c>
      <c r="Z506" s="1">
        <f t="shared" si="90"/>
        <v>0.17638825381433951</v>
      </c>
      <c r="AA506" s="8">
        <f t="shared" si="95"/>
        <v>41.166666666666742</v>
      </c>
      <c r="AB506" s="1">
        <v>41.25</v>
      </c>
      <c r="AC506" s="1">
        <v>7.5743379040000003E-3</v>
      </c>
      <c r="AD506" s="8">
        <f t="shared" si="91"/>
        <v>2.269133642284066</v>
      </c>
      <c r="AE506" s="3">
        <f t="shared" si="92"/>
        <v>2.9958178141032483E-2</v>
      </c>
      <c r="AF506" s="11">
        <f t="shared" si="93"/>
        <v>41.166666666666742</v>
      </c>
      <c r="AG506" s="1">
        <f t="shared" si="94"/>
        <v>0.17638825381433951</v>
      </c>
    </row>
    <row r="507" spans="2:33" ht="15" x14ac:dyDescent="0.25">
      <c r="B507" s="1">
        <v>496</v>
      </c>
      <c r="C507" s="1">
        <v>1.0008714653396995</v>
      </c>
      <c r="D507" s="1">
        <v>1.2056967409704105</v>
      </c>
      <c r="E507" s="1">
        <v>0.82830158743304194</v>
      </c>
      <c r="G507" s="1">
        <v>1.0000071954919034</v>
      </c>
      <c r="H507" s="1">
        <v>4.6626779909305549</v>
      </c>
      <c r="I507" s="1">
        <v>0.16857960716509887</v>
      </c>
      <c r="K507" s="1">
        <v>0.99718301367378925</v>
      </c>
      <c r="L507" s="1">
        <v>7.3667296503236797</v>
      </c>
      <c r="M507" s="1">
        <v>0.10419483868332606</v>
      </c>
      <c r="O507" s="1">
        <v>7.3469668388759148E-3</v>
      </c>
      <c r="P507" s="1">
        <v>0.73810098378899558</v>
      </c>
      <c r="R507" s="1">
        <v>0.25414613366503702</v>
      </c>
      <c r="S507" s="2">
        <f t="shared" si="96"/>
        <v>1.1347298560092176</v>
      </c>
      <c r="T507" s="4">
        <f t="shared" si="97"/>
        <v>1.2876118461186998</v>
      </c>
      <c r="U507" s="1">
        <f t="shared" si="101"/>
        <v>0.80911859477576709</v>
      </c>
      <c r="V507" s="6">
        <f>2*sigma/alpha*corel*(B507/12-1/alpha*(1-EXP(-alpha*Output!B507/12)))</f>
        <v>2.6398254417232785</v>
      </c>
      <c r="W507" s="5">
        <f t="shared" si="98"/>
        <v>-0.47849325134293275</v>
      </c>
      <c r="X507" s="1">
        <f t="shared" si="99"/>
        <v>86.079562584801039</v>
      </c>
      <c r="Y507" s="3">
        <f t="shared" si="100"/>
        <v>8.0299376481725165E-2</v>
      </c>
      <c r="Z507" s="1">
        <f t="shared" si="90"/>
        <v>0.17649900708749544</v>
      </c>
      <c r="AA507" s="8">
        <f t="shared" si="95"/>
        <v>41.250000000000078</v>
      </c>
      <c r="AB507" s="1">
        <v>41.33</v>
      </c>
      <c r="AC507" s="1">
        <v>7.5740741769999998E-3</v>
      </c>
      <c r="AD507" s="8">
        <f t="shared" si="91"/>
        <v>2.2710733812408499</v>
      </c>
      <c r="AE507" s="3">
        <f t="shared" si="92"/>
        <v>2.998483152089217E-2</v>
      </c>
      <c r="AF507" s="11">
        <f t="shared" si="93"/>
        <v>41.250000000000078</v>
      </c>
      <c r="AG507" s="1">
        <f t="shared" si="94"/>
        <v>0.17649900708749544</v>
      </c>
    </row>
    <row r="508" spans="2:33" ht="15" x14ac:dyDescent="0.25">
      <c r="B508" s="1">
        <v>497</v>
      </c>
      <c r="C508" s="1">
        <v>1.0008738849510492</v>
      </c>
      <c r="D508" s="1">
        <v>1.2055676276327458</v>
      </c>
      <c r="E508" s="1">
        <v>0.82838807008945814</v>
      </c>
      <c r="G508" s="1">
        <v>1.0000490298270448</v>
      </c>
      <c r="H508" s="1">
        <v>4.5603560258904228</v>
      </c>
      <c r="I508" s="1">
        <v>0.17227862973318678</v>
      </c>
      <c r="K508" s="1">
        <v>0.99682298642072387</v>
      </c>
      <c r="L508" s="1">
        <v>7.4126397382863765</v>
      </c>
      <c r="M508" s="1">
        <v>0.10349495156796572</v>
      </c>
      <c r="O508" s="1">
        <v>7.3465115793440415E-3</v>
      </c>
      <c r="P508" s="1">
        <v>0.73766313056279098</v>
      </c>
      <c r="R508" s="1">
        <v>0.25427146887907914</v>
      </c>
      <c r="S508" s="2">
        <f t="shared" si="96"/>
        <v>1.1361366211742194</v>
      </c>
      <c r="T508" s="4">
        <f t="shared" si="97"/>
        <v>1.2908064219731719</v>
      </c>
      <c r="U508" s="1">
        <f t="shared" si="101"/>
        <v>0.81252657369778891</v>
      </c>
      <c r="V508" s="6">
        <f>2*sigma/alpha*corel*(B508/12-1/alpha*(1-EXP(-alpha*Output!B508/12)))</f>
        <v>2.6482515652214653</v>
      </c>
      <c r="W508" s="5">
        <f t="shared" si="98"/>
        <v>-0.47827984827538295</v>
      </c>
      <c r="X508" s="1">
        <f t="shared" si="99"/>
        <v>86.248264550319718</v>
      </c>
      <c r="Y508" s="3">
        <f t="shared" si="100"/>
        <v>8.0145788466904316E-2</v>
      </c>
      <c r="Z508" s="1">
        <f t="shared" si="90"/>
        <v>0.17653994517049373</v>
      </c>
      <c r="AA508" s="8">
        <f t="shared" si="95"/>
        <v>41.333333333333414</v>
      </c>
      <c r="AB508" s="1">
        <v>41.42</v>
      </c>
      <c r="AC508" s="1">
        <v>7.5738115129999999E-3</v>
      </c>
      <c r="AD508" s="8">
        <f t="shared" si="91"/>
        <v>2.2729993365595833</v>
      </c>
      <c r="AE508" s="3">
        <f t="shared" si="92"/>
        <v>3.0011300553996024E-2</v>
      </c>
      <c r="AF508" s="11">
        <f t="shared" si="93"/>
        <v>41.333333333333414</v>
      </c>
      <c r="AG508" s="1">
        <f t="shared" si="94"/>
        <v>0.17653994517049373</v>
      </c>
    </row>
    <row r="509" spans="2:33" ht="15" x14ac:dyDescent="0.25">
      <c r="B509" s="1">
        <v>498</v>
      </c>
      <c r="C509" s="1">
        <v>1.0008804091384829</v>
      </c>
      <c r="D509" s="1">
        <v>1.2020186069843639</v>
      </c>
      <c r="E509" s="1">
        <v>0.8308316902217372</v>
      </c>
      <c r="G509" s="1">
        <v>1.0004055551134468</v>
      </c>
      <c r="H509" s="1">
        <v>4.4750443802829816</v>
      </c>
      <c r="I509" s="1">
        <v>0.17547793163580158</v>
      </c>
      <c r="K509" s="1">
        <v>0.99683502240756083</v>
      </c>
      <c r="L509" s="1">
        <v>7.4667738768374878</v>
      </c>
      <c r="M509" s="1">
        <v>0.10268687715192848</v>
      </c>
      <c r="O509" s="1">
        <v>7.3461353657812067E-3</v>
      </c>
      <c r="P509" s="1">
        <v>0.73722317461967879</v>
      </c>
      <c r="R509" s="1">
        <v>0.25447722198638623</v>
      </c>
      <c r="S509" s="2">
        <f t="shared" si="96"/>
        <v>1.137835456797381</v>
      </c>
      <c r="T509" s="4">
        <f t="shared" si="97"/>
        <v>1.2946695267453046</v>
      </c>
      <c r="U509" s="1">
        <f t="shared" si="101"/>
        <v>0.81593991300940294</v>
      </c>
      <c r="V509" s="6">
        <f>2*sigma/alpha*corel*(B509/12-1/alpha*(1-EXP(-alpha*Output!B509/12)))</f>
        <v>2.6566843128172515</v>
      </c>
      <c r="W509" s="5">
        <f t="shared" si="98"/>
        <v>-0.47872961373590162</v>
      </c>
      <c r="X509" s="1">
        <f t="shared" si="99"/>
        <v>86.527087418128929</v>
      </c>
      <c r="Y509" s="3">
        <f t="shared" si="100"/>
        <v>8.0063968923924575E-2</v>
      </c>
      <c r="Z509" s="1">
        <f t="shared" si="90"/>
        <v>0.17662631759211853</v>
      </c>
      <c r="AA509" s="8">
        <f t="shared" si="95"/>
        <v>41.41666666666675</v>
      </c>
      <c r="AB509" s="1">
        <v>41.5</v>
      </c>
      <c r="AC509" s="1">
        <v>7.5735499059999996E-3</v>
      </c>
      <c r="AD509" s="8">
        <f t="shared" si="91"/>
        <v>2.2741454021879286</v>
      </c>
      <c r="AE509" s="3">
        <f t="shared" si="92"/>
        <v>3.0027469686128041E-2</v>
      </c>
      <c r="AF509" s="11">
        <f t="shared" si="93"/>
        <v>41.41666666666675</v>
      </c>
      <c r="AG509" s="1">
        <f t="shared" si="94"/>
        <v>0.17662631759211853</v>
      </c>
    </row>
    <row r="510" spans="2:33" ht="15" x14ac:dyDescent="0.25">
      <c r="B510" s="1">
        <v>499</v>
      </c>
      <c r="C510" s="1">
        <v>1.0008857248120622</v>
      </c>
      <c r="D510" s="1">
        <v>1.2020497344574421</v>
      </c>
      <c r="E510" s="1">
        <v>0.83080793321613677</v>
      </c>
      <c r="G510" s="1">
        <v>1.0006999102246268</v>
      </c>
      <c r="H510" s="1">
        <v>4.4689033260492552</v>
      </c>
      <c r="I510" s="1">
        <v>0.17563399788573783</v>
      </c>
      <c r="K510" s="1">
        <v>0.99683467389521163</v>
      </c>
      <c r="L510" s="1">
        <v>7.3193755040286232</v>
      </c>
      <c r="M510" s="1">
        <v>0.10469601398426548</v>
      </c>
      <c r="O510" s="1">
        <v>7.3457456579089685E-3</v>
      </c>
      <c r="P510" s="1">
        <v>0.73678394071004516</v>
      </c>
      <c r="R510" s="1">
        <v>0.25478837875640103</v>
      </c>
      <c r="S510" s="2">
        <f t="shared" si="96"/>
        <v>1.1399098310817075</v>
      </c>
      <c r="T510" s="4">
        <f t="shared" si="97"/>
        <v>1.2993944229967269</v>
      </c>
      <c r="U510" s="1">
        <f t="shared" si="101"/>
        <v>0.81935859906374242</v>
      </c>
      <c r="V510" s="6">
        <f>2*sigma/alpha*corel*(B510/12-1/alpha*(1-EXP(-alpha*Output!B510/12)))</f>
        <v>2.6651236624670713</v>
      </c>
      <c r="W510" s="5">
        <f t="shared" si="98"/>
        <v>-0.4800358239329845</v>
      </c>
      <c r="X510" s="1">
        <f t="shared" si="99"/>
        <v>86.948842850428321</v>
      </c>
      <c r="Y510" s="3">
        <f t="shared" si="100"/>
        <v>8.007430071714558E-2</v>
      </c>
      <c r="Z510" s="1">
        <f t="shared" si="90"/>
        <v>0.17677093108334749</v>
      </c>
      <c r="AA510" s="8">
        <f t="shared" si="95"/>
        <v>41.500000000000085</v>
      </c>
      <c r="AB510" s="1">
        <v>41.58</v>
      </c>
      <c r="AC510" s="1">
        <v>7.5732893499999999E-3</v>
      </c>
      <c r="AD510" s="8">
        <f t="shared" si="91"/>
        <v>2.2754369209103138</v>
      </c>
      <c r="AE510" s="3">
        <f t="shared" si="92"/>
        <v>3.0045556372546543E-2</v>
      </c>
      <c r="AF510" s="11">
        <f t="shared" si="93"/>
        <v>41.500000000000085</v>
      </c>
      <c r="AG510" s="1">
        <f t="shared" si="94"/>
        <v>0.17677093108334749</v>
      </c>
    </row>
    <row r="511" spans="2:33" ht="15" x14ac:dyDescent="0.25">
      <c r="B511" s="1">
        <v>500</v>
      </c>
      <c r="C511" s="1">
        <v>1.0008896986586271</v>
      </c>
      <c r="D511" s="1">
        <v>1.204662558390009</v>
      </c>
      <c r="E511" s="1">
        <v>0.82900373021173879</v>
      </c>
      <c r="G511" s="1">
        <v>1.0008515166039689</v>
      </c>
      <c r="H511" s="1">
        <v>4.6514775065641301</v>
      </c>
      <c r="I511" s="1">
        <v>0.16865853107769796</v>
      </c>
      <c r="K511" s="1">
        <v>0.99678866884810668</v>
      </c>
      <c r="L511" s="1">
        <v>7.2944559723999873</v>
      </c>
      <c r="M511" s="1">
        <v>0.105004682952459</v>
      </c>
      <c r="O511" s="1">
        <v>7.3453030825846519E-3</v>
      </c>
      <c r="P511" s="1">
        <v>0.73634663835069147</v>
      </c>
      <c r="R511" s="1">
        <v>0.25507575289437434</v>
      </c>
      <c r="S511" s="2">
        <f t="shared" si="96"/>
        <v>1.141897646011804</v>
      </c>
      <c r="T511" s="4">
        <f t="shared" si="97"/>
        <v>1.3039302339672991</v>
      </c>
      <c r="U511" s="1">
        <f t="shared" si="101"/>
        <v>0.82278261823150656</v>
      </c>
      <c r="V511" s="6">
        <f>2*sigma/alpha*corel*(B511/12-1/alpha*(1-EXP(-alpha*Output!B511/12)))</f>
        <v>2.6735695922007134</v>
      </c>
      <c r="W511" s="5">
        <f t="shared" si="98"/>
        <v>-0.48114761573579257</v>
      </c>
      <c r="X511" s="1">
        <f t="shared" si="99"/>
        <v>87.339243653639045</v>
      </c>
      <c r="Y511" s="3">
        <f t="shared" si="100"/>
        <v>8.0063725634989216E-2</v>
      </c>
      <c r="Z511" s="1">
        <f t="shared" si="90"/>
        <v>0.17690202264308677</v>
      </c>
      <c r="AA511" s="8">
        <f t="shared" si="95"/>
        <v>41.583333333333421</v>
      </c>
      <c r="AB511" s="1">
        <v>41.67</v>
      </c>
      <c r="AC511" s="1">
        <v>7.5730298380000003E-3</v>
      </c>
      <c r="AD511" s="8">
        <f t="shared" si="91"/>
        <v>2.2772675541534846</v>
      </c>
      <c r="AE511" s="3">
        <f t="shared" si="92"/>
        <v>3.0070759033941685E-2</v>
      </c>
      <c r="AF511" s="11">
        <f t="shared" si="93"/>
        <v>41.583333333333421</v>
      </c>
      <c r="AG511" s="1">
        <f t="shared" si="94"/>
        <v>0.17690202264308677</v>
      </c>
    </row>
    <row r="512" spans="2:33" ht="15" x14ac:dyDescent="0.25">
      <c r="B512" s="1">
        <v>501</v>
      </c>
      <c r="C512" s="1">
        <v>1.0008944959966197</v>
      </c>
      <c r="D512" s="1">
        <v>1.2057739888361836</v>
      </c>
      <c r="E512" s="1">
        <v>0.82823734563256157</v>
      </c>
      <c r="G512" s="1">
        <v>1.0011108640997497</v>
      </c>
      <c r="H512" s="1">
        <v>4.7039313531183655</v>
      </c>
      <c r="I512" s="1">
        <v>0.16669706500166973</v>
      </c>
      <c r="K512" s="1">
        <v>0.99668880039354846</v>
      </c>
      <c r="L512" s="1">
        <v>7.2388564824752502</v>
      </c>
      <c r="M512" s="1">
        <v>0.10574457124394322</v>
      </c>
      <c r="O512" s="1">
        <v>7.3448503043598741E-3</v>
      </c>
      <c r="P512" s="1">
        <v>0.73590996330168479</v>
      </c>
      <c r="R512" s="1">
        <v>0.25524484486375343</v>
      </c>
      <c r="S512" s="2">
        <f t="shared" si="96"/>
        <v>1.1434644772000488</v>
      </c>
      <c r="T512" s="4">
        <f t="shared" si="97"/>
        <v>1.3075110106183809</v>
      </c>
      <c r="U512" s="1">
        <f t="shared" si="101"/>
        <v>0.82621195690108484</v>
      </c>
      <c r="V512" s="6">
        <f>2*sigma/alpha*corel*(B512/12-1/alpha*(1-EXP(-alpha*Output!B512/12)))</f>
        <v>2.6820220801210839</v>
      </c>
      <c r="W512" s="5">
        <f t="shared" si="98"/>
        <v>-0.48129905371729609</v>
      </c>
      <c r="X512" s="1">
        <f t="shared" si="99"/>
        <v>87.570184409045481</v>
      </c>
      <c r="Y512" s="3">
        <f t="shared" si="100"/>
        <v>7.9950564662283799E-2</v>
      </c>
      <c r="Z512" s="1">
        <f t="shared" si="90"/>
        <v>0.17696787560697971</v>
      </c>
      <c r="AA512" s="8">
        <f t="shared" si="95"/>
        <v>41.666666666666757</v>
      </c>
      <c r="AB512" s="1">
        <v>41.75</v>
      </c>
      <c r="AC512" s="1">
        <v>7.5727713640000001E-3</v>
      </c>
      <c r="AD512" s="8">
        <f t="shared" si="91"/>
        <v>2.2792105964012603</v>
      </c>
      <c r="AE512" s="3">
        <f t="shared" si="92"/>
        <v>3.0097443681402297E-2</v>
      </c>
      <c r="AF512" s="11">
        <f t="shared" si="93"/>
        <v>41.666666666666757</v>
      </c>
      <c r="AG512" s="1">
        <f t="shared" si="94"/>
        <v>0.17696787560697971</v>
      </c>
    </row>
    <row r="513" spans="2:33" ht="15" x14ac:dyDescent="0.25">
      <c r="B513" s="1">
        <v>502</v>
      </c>
      <c r="C513" s="1">
        <v>1.0008988157520013</v>
      </c>
      <c r="D513" s="1">
        <v>1.2062096221166994</v>
      </c>
      <c r="E513" s="1">
        <v>0.82793597187739687</v>
      </c>
      <c r="G513" s="1">
        <v>1.0013131416041696</v>
      </c>
      <c r="H513" s="1">
        <v>4.718022566898342</v>
      </c>
      <c r="I513" s="1">
        <v>0.16611873027512067</v>
      </c>
      <c r="K513" s="1">
        <v>0.99677711261213187</v>
      </c>
      <c r="L513" s="1">
        <v>7.4361711308321912</v>
      </c>
      <c r="M513" s="1">
        <v>0.10288885712555887</v>
      </c>
      <c r="O513" s="1">
        <v>7.3443633772542908E-3</v>
      </c>
      <c r="P513" s="1">
        <v>0.73547465338483142</v>
      </c>
      <c r="R513" s="1">
        <v>0.25546181211707197</v>
      </c>
      <c r="S513" s="2">
        <f t="shared" si="96"/>
        <v>1.1452007933750996</v>
      </c>
      <c r="T513" s="4">
        <f t="shared" si="97"/>
        <v>1.3114848571469575</v>
      </c>
      <c r="U513" s="1">
        <f t="shared" si="101"/>
        <v>0.82964660147868274</v>
      </c>
      <c r="V513" s="6">
        <f>2*sigma/alpha*corel*(B513/12-1/alpha*(1-EXP(-alpha*Output!B513/12)))</f>
        <v>2.6904811044039514</v>
      </c>
      <c r="W513" s="5">
        <f t="shared" si="98"/>
        <v>-0.48183825566827476</v>
      </c>
      <c r="X513" s="1">
        <f t="shared" si="99"/>
        <v>87.866290021646023</v>
      </c>
      <c r="Y513" s="3">
        <f t="shared" si="100"/>
        <v>7.9879134743830321E-2</v>
      </c>
      <c r="Z513" s="1">
        <f t="shared" si="90"/>
        <v>0.17705997749071056</v>
      </c>
      <c r="AA513" s="8">
        <f t="shared" si="95"/>
        <v>41.750000000000092</v>
      </c>
      <c r="AB513" s="1">
        <v>41.83</v>
      </c>
      <c r="AC513" s="1">
        <v>7.5725139220000001E-3</v>
      </c>
      <c r="AD513" s="8">
        <f t="shared" si="91"/>
        <v>2.2815054474570937</v>
      </c>
      <c r="AE513" s="3">
        <f t="shared" si="92"/>
        <v>3.0128771910590536E-2</v>
      </c>
      <c r="AF513" s="11">
        <f t="shared" si="93"/>
        <v>41.750000000000092</v>
      </c>
      <c r="AG513" s="1">
        <f t="shared" si="94"/>
        <v>0.17705997749071056</v>
      </c>
    </row>
    <row r="514" spans="2:33" ht="15" x14ac:dyDescent="0.25">
      <c r="B514" s="1">
        <v>503</v>
      </c>
      <c r="C514" s="1">
        <v>1.0008958928829566</v>
      </c>
      <c r="D514" s="1">
        <v>1.2087581346845491</v>
      </c>
      <c r="E514" s="1">
        <v>0.82618812596389513</v>
      </c>
      <c r="G514" s="1">
        <v>1.0009557178273787</v>
      </c>
      <c r="H514" s="1">
        <v>4.8059876395116143</v>
      </c>
      <c r="I514" s="1">
        <v>0.16299926784839189</v>
      </c>
      <c r="K514" s="1">
        <v>0.99677590763606638</v>
      </c>
      <c r="L514" s="1">
        <v>7.1486924361140138</v>
      </c>
      <c r="M514" s="1">
        <v>0.10697177767979392</v>
      </c>
      <c r="O514" s="1">
        <v>7.3439254815689751E-3</v>
      </c>
      <c r="P514" s="1">
        <v>0.73503814994019356</v>
      </c>
      <c r="R514" s="1">
        <v>0.25564175430963698</v>
      </c>
      <c r="S514" s="2">
        <f t="shared" si="96"/>
        <v>1.1468093554775696</v>
      </c>
      <c r="T514" s="4">
        <f t="shared" si="97"/>
        <v>1.3151716978108785</v>
      </c>
      <c r="U514" s="1">
        <f t="shared" si="101"/>
        <v>0.83308653838844515</v>
      </c>
      <c r="V514" s="6">
        <f>2*sigma/alpha*corel*(B514/12-1/alpha*(1-EXP(-alpha*Output!B514/12)))</f>
        <v>2.6989466432977141</v>
      </c>
      <c r="W514" s="5">
        <f t="shared" si="98"/>
        <v>-0.48208515942243335</v>
      </c>
      <c r="X514" s="1">
        <f t="shared" si="99"/>
        <v>88.113924713195985</v>
      </c>
      <c r="Y514" s="3">
        <f t="shared" si="100"/>
        <v>7.9776800635798034E-2</v>
      </c>
      <c r="Z514" s="1">
        <f t="shared" si="90"/>
        <v>0.17713233909745638</v>
      </c>
      <c r="AA514" s="8">
        <f t="shared" si="95"/>
        <v>41.833333333333428</v>
      </c>
      <c r="AB514" s="1">
        <v>41.92</v>
      </c>
      <c r="AC514" s="1">
        <v>7.5722575060000004E-3</v>
      </c>
      <c r="AD514" s="8">
        <f t="shared" si="91"/>
        <v>2.2833202443102527</v>
      </c>
      <c r="AE514" s="3">
        <f t="shared" si="92"/>
        <v>3.0153758538996159E-2</v>
      </c>
      <c r="AF514" s="11">
        <f t="shared" si="93"/>
        <v>41.833333333333428</v>
      </c>
      <c r="AG514" s="1">
        <f t="shared" si="94"/>
        <v>0.17713233909745638</v>
      </c>
    </row>
    <row r="515" spans="2:33" ht="15" x14ac:dyDescent="0.25">
      <c r="B515" s="1">
        <v>504</v>
      </c>
      <c r="C515" s="1">
        <v>1.0008968116414114</v>
      </c>
      <c r="D515" s="1">
        <v>1.2071236394426212</v>
      </c>
      <c r="E515" s="1">
        <v>0.82730456288193666</v>
      </c>
      <c r="G515" s="1">
        <v>1.0008973692951026</v>
      </c>
      <c r="H515" s="1">
        <v>4.7454525721493059</v>
      </c>
      <c r="I515" s="1">
        <v>0.16499863470648615</v>
      </c>
      <c r="K515" s="1">
        <v>0.99675957996016007</v>
      </c>
      <c r="L515" s="1">
        <v>7.1292702303405635</v>
      </c>
      <c r="M515" s="1">
        <v>0.10720412722540264</v>
      </c>
      <c r="O515" s="1">
        <v>7.3434585827056066E-3</v>
      </c>
      <c r="P515" s="1">
        <v>0.73460285401685188</v>
      </c>
      <c r="R515" s="1">
        <v>0.25604449268983631</v>
      </c>
      <c r="S515" s="2">
        <f t="shared" si="96"/>
        <v>1.1492135694885628</v>
      </c>
      <c r="T515" s="4">
        <f t="shared" si="97"/>
        <v>1.3206918282966438</v>
      </c>
      <c r="U515" s="1">
        <f t="shared" si="101"/>
        <v>0.83653175407257896</v>
      </c>
      <c r="V515" s="6">
        <f>2*sigma/alpha*corel*(B515/12-1/alpha*(1-EXP(-alpha*Output!B515/12)))</f>
        <v>2.7074186751231561</v>
      </c>
      <c r="W515" s="5">
        <f t="shared" si="98"/>
        <v>-0.48416007422406482</v>
      </c>
      <c r="X515" s="1">
        <f t="shared" si="99"/>
        <v>88.669008352048508</v>
      </c>
      <c r="Y515" s="3">
        <f t="shared" si="100"/>
        <v>7.9869090405779636E-2</v>
      </c>
      <c r="Z515" s="1">
        <f t="shared" si="90"/>
        <v>0.17732750359397853</v>
      </c>
      <c r="AA515" s="8">
        <f t="shared" si="95"/>
        <v>41.916666666666764</v>
      </c>
      <c r="AB515" s="1">
        <v>42</v>
      </c>
      <c r="AC515" s="1">
        <v>7.5720021090000004E-3</v>
      </c>
      <c r="AD515" s="8">
        <f t="shared" si="91"/>
        <v>2.2854352629439378</v>
      </c>
      <c r="AE515" s="3">
        <f t="shared" si="92"/>
        <v>3.0182707691371269E-2</v>
      </c>
      <c r="AF515" s="11">
        <f t="shared" si="93"/>
        <v>41.916666666666764</v>
      </c>
      <c r="AG515" s="1">
        <f t="shared" si="94"/>
        <v>0.17732750359397853</v>
      </c>
    </row>
    <row r="516" spans="2:33" ht="15" x14ac:dyDescent="0.25">
      <c r="B516" s="1">
        <v>505</v>
      </c>
      <c r="C516" s="1">
        <v>1.0008935121467843</v>
      </c>
      <c r="D516" s="1">
        <v>1.2062260600451495</v>
      </c>
      <c r="E516" s="1">
        <v>0.82791791579899365</v>
      </c>
      <c r="G516" s="1">
        <v>1.0004798309463738</v>
      </c>
      <c r="H516" s="1">
        <v>4.5684258006063514</v>
      </c>
      <c r="I516" s="1">
        <v>0.17130936094093835</v>
      </c>
      <c r="K516" s="1">
        <v>0.996750611526666</v>
      </c>
      <c r="L516" s="1">
        <v>7.1212357994665787</v>
      </c>
      <c r="M516" s="1">
        <v>0.10726409973726564</v>
      </c>
      <c r="O516" s="1">
        <v>7.3429514846481032E-3</v>
      </c>
      <c r="P516" s="1">
        <v>0.7341691150145121</v>
      </c>
      <c r="R516" s="1">
        <v>0.25624978864874609</v>
      </c>
      <c r="S516" s="2">
        <f t="shared" si="96"/>
        <v>1.1509107191709267</v>
      </c>
      <c r="T516" s="4">
        <f t="shared" si="97"/>
        <v>1.3245954835025398</v>
      </c>
      <c r="U516" s="1">
        <f t="shared" si="101"/>
        <v>0.83998223499147029</v>
      </c>
      <c r="V516" s="6">
        <f>2*sigma/alpha*corel*(B516/12-1/alpha*(1-EXP(-alpha*Output!B516/12)))</f>
        <v>2.7158971782732024</v>
      </c>
      <c r="W516" s="5">
        <f t="shared" si="98"/>
        <v>-0.48461324851106946</v>
      </c>
      <c r="X516" s="1">
        <f t="shared" si="99"/>
        <v>88.952660982315706</v>
      </c>
      <c r="Y516" s="3">
        <f t="shared" si="100"/>
        <v>7.978900582748355E-2</v>
      </c>
      <c r="Z516" s="1">
        <f t="shared" si="90"/>
        <v>0.17741346127519328</v>
      </c>
      <c r="AA516" s="8">
        <f t="shared" si="95"/>
        <v>42.000000000000099</v>
      </c>
      <c r="AB516" s="1">
        <v>42.08</v>
      </c>
      <c r="AC516" s="1">
        <v>7.5717477259999999E-3</v>
      </c>
      <c r="AD516" s="8">
        <f t="shared" si="91"/>
        <v>2.2879624135189665</v>
      </c>
      <c r="AE516" s="3">
        <f t="shared" si="92"/>
        <v>3.0217097773378276E-2</v>
      </c>
      <c r="AF516" s="11">
        <f t="shared" si="93"/>
        <v>42.000000000000099</v>
      </c>
      <c r="AG516" s="1">
        <f t="shared" si="94"/>
        <v>0.17741346127519328</v>
      </c>
    </row>
    <row r="517" spans="2:33" ht="15" x14ac:dyDescent="0.25">
      <c r="B517" s="1">
        <v>506</v>
      </c>
      <c r="C517" s="1">
        <v>1.0008945610367406</v>
      </c>
      <c r="D517" s="1">
        <v>1.2088815406208724</v>
      </c>
      <c r="E517" s="1">
        <v>0.8260970139753232</v>
      </c>
      <c r="G517" s="1">
        <v>1.0004274424884041</v>
      </c>
      <c r="H517" s="1">
        <v>4.8091721005443908</v>
      </c>
      <c r="I517" s="1">
        <v>0.16265485566301183</v>
      </c>
      <c r="K517" s="1">
        <v>0.99684644091085028</v>
      </c>
      <c r="L517" s="1">
        <v>7.2291249390008598</v>
      </c>
      <c r="M517" s="1">
        <v>0.10561534824702876</v>
      </c>
      <c r="O517" s="1">
        <v>7.342443819688696E-3</v>
      </c>
      <c r="P517" s="1">
        <v>0.73373571166122387</v>
      </c>
      <c r="R517" s="1">
        <v>0.25641226950012336</v>
      </c>
      <c r="S517" s="2">
        <f t="shared" si="96"/>
        <v>1.1524555844142774</v>
      </c>
      <c r="T517" s="4">
        <f t="shared" si="97"/>
        <v>1.3281538740476537</v>
      </c>
      <c r="U517" s="1">
        <f t="shared" si="101"/>
        <v>0.84343796762380485</v>
      </c>
      <c r="V517" s="6">
        <f>2*sigma/alpha*corel*(B517/12-1/alpha*(1-EXP(-alpha*Output!B517/12)))</f>
        <v>2.7243821312126819</v>
      </c>
      <c r="W517" s="5">
        <f t="shared" si="98"/>
        <v>-0.48471590642384887</v>
      </c>
      <c r="X517" s="1">
        <f t="shared" si="99"/>
        <v>89.177674213693464</v>
      </c>
      <c r="Y517" s="3">
        <f t="shared" si="100"/>
        <v>7.9672067434171906E-2</v>
      </c>
      <c r="Z517" s="1">
        <f t="shared" si="90"/>
        <v>0.17747597114298586</v>
      </c>
      <c r="AA517" s="8">
        <f t="shared" si="95"/>
        <v>42.083333333333435</v>
      </c>
      <c r="AB517" s="1">
        <v>42.17</v>
      </c>
      <c r="AC517" s="1">
        <v>7.5714943509999997E-3</v>
      </c>
      <c r="AD517" s="8">
        <f t="shared" si="91"/>
        <v>2.2905053131130373</v>
      </c>
      <c r="AE517" s="3">
        <f t="shared" si="92"/>
        <v>3.0251694142920685E-2</v>
      </c>
      <c r="AF517" s="11">
        <f t="shared" si="93"/>
        <v>42.083333333333435</v>
      </c>
      <c r="AG517" s="1">
        <f t="shared" si="94"/>
        <v>0.17747597114298586</v>
      </c>
    </row>
    <row r="518" spans="2:33" ht="15" x14ac:dyDescent="0.25">
      <c r="B518" s="1">
        <v>507</v>
      </c>
      <c r="C518" s="1">
        <v>1.0008935525331255</v>
      </c>
      <c r="D518" s="1">
        <v>1.2080135151850355</v>
      </c>
      <c r="E518" s="1">
        <v>0.82668834273537872</v>
      </c>
      <c r="G518" s="1">
        <v>1.0001913616322109</v>
      </c>
      <c r="H518" s="1">
        <v>4.7732226252765173</v>
      </c>
      <c r="I518" s="1">
        <v>0.16380054417668238</v>
      </c>
      <c r="K518" s="1">
        <v>0.99665012731676117</v>
      </c>
      <c r="L518" s="1">
        <v>7.1132603256624565</v>
      </c>
      <c r="M518" s="1">
        <v>0.10727958161915294</v>
      </c>
      <c r="O518" s="1">
        <v>7.3420061208998473E-3</v>
      </c>
      <c r="P518" s="1">
        <v>0.73330045851383496</v>
      </c>
      <c r="R518" s="1">
        <v>0.2567187123303038</v>
      </c>
      <c r="S518" s="2">
        <f t="shared" si="96"/>
        <v>1.1545222108683817</v>
      </c>
      <c r="T518" s="4">
        <f t="shared" si="97"/>
        <v>1.3329215353884161</v>
      </c>
      <c r="U518" s="1">
        <f t="shared" si="101"/>
        <v>0.84689893846668607</v>
      </c>
      <c r="V518" s="6">
        <f>2*sigma/alpha*corel*(B518/12-1/alpha*(1-EXP(-alpha*Output!B518/12)))</f>
        <v>2.7328735124780912</v>
      </c>
      <c r="W518" s="5">
        <f t="shared" si="98"/>
        <v>-0.48602259692173</v>
      </c>
      <c r="X518" s="1">
        <f t="shared" si="99"/>
        <v>89.606416514976701</v>
      </c>
      <c r="Y518" s="3">
        <f t="shared" si="100"/>
        <v>7.9682758206767054E-2</v>
      </c>
      <c r="Z518" s="1">
        <f t="shared" si="90"/>
        <v>0.17761880167205873</v>
      </c>
      <c r="AA518" s="8">
        <f t="shared" si="95"/>
        <v>42.166666666666771</v>
      </c>
      <c r="AB518" s="1">
        <v>42.25</v>
      </c>
      <c r="AC518" s="1">
        <v>7.5712419770000003E-3</v>
      </c>
      <c r="AD518" s="8">
        <f t="shared" si="91"/>
        <v>2.2923585610015293</v>
      </c>
      <c r="AE518" s="3">
        <f t="shared" si="92"/>
        <v>3.0277179991938984E-2</v>
      </c>
      <c r="AF518" s="11">
        <f t="shared" si="93"/>
        <v>42.166666666666771</v>
      </c>
      <c r="AG518" s="1">
        <f t="shared" si="94"/>
        <v>0.17761880167205873</v>
      </c>
    </row>
    <row r="519" spans="2:33" ht="15" x14ac:dyDescent="0.25">
      <c r="B519" s="1">
        <v>508</v>
      </c>
      <c r="C519" s="1">
        <v>1.0008929616056303</v>
      </c>
      <c r="D519" s="1">
        <v>1.208843843367245</v>
      </c>
      <c r="E519" s="1">
        <v>0.82611823703123066</v>
      </c>
      <c r="G519" s="1">
        <v>1.0000263746775397</v>
      </c>
      <c r="H519" s="1">
        <v>4.8065307375937545</v>
      </c>
      <c r="I519" s="1">
        <v>0.16258668797496081</v>
      </c>
      <c r="K519" s="1">
        <v>0.99660622957572509</v>
      </c>
      <c r="L519" s="1">
        <v>6.9924189234922469</v>
      </c>
      <c r="M519" s="1">
        <v>0.10907109186934766</v>
      </c>
      <c r="O519" s="1">
        <v>7.3416306723383465E-3</v>
      </c>
      <c r="P519" s="1">
        <v>0.73286358573330657</v>
      </c>
      <c r="R519" s="1">
        <v>0.25678862700447269</v>
      </c>
      <c r="S519" s="2">
        <f t="shared" si="96"/>
        <v>1.1557462776044491</v>
      </c>
      <c r="T519" s="4">
        <f t="shared" si="97"/>
        <v>1.3357494581965403</v>
      </c>
      <c r="U519" s="1">
        <f t="shared" si="101"/>
        <v>0.85036513403574743</v>
      </c>
      <c r="V519" s="6">
        <f>2*sigma/alpha*corel*(B519/12-1/alpha*(1-EXP(-alpha*Output!B519/12)))</f>
        <v>2.7413713006773492</v>
      </c>
      <c r="W519" s="5">
        <f t="shared" si="98"/>
        <v>-0.48538432416079291</v>
      </c>
      <c r="X519" s="1">
        <f t="shared" si="99"/>
        <v>89.706862166071687</v>
      </c>
      <c r="Y519" s="3">
        <f t="shared" si="100"/>
        <v>7.9488181401193847E-2</v>
      </c>
      <c r="Z519" s="1">
        <f t="shared" si="90"/>
        <v>0.17763202641357301</v>
      </c>
      <c r="AA519" s="8">
        <f t="shared" si="95"/>
        <v>42.250000000000107</v>
      </c>
      <c r="AB519" s="1">
        <v>42.33</v>
      </c>
      <c r="AC519" s="1">
        <v>7.5709905990000003E-3</v>
      </c>
      <c r="AD519" s="8">
        <f t="shared" si="91"/>
        <v>2.2935992666165381</v>
      </c>
      <c r="AE519" s="3">
        <f t="shared" si="92"/>
        <v>3.0294572904627354E-2</v>
      </c>
      <c r="AF519" s="11">
        <f t="shared" si="93"/>
        <v>42.250000000000107</v>
      </c>
      <c r="AG519" s="1">
        <f t="shared" si="94"/>
        <v>0.17763202641357301</v>
      </c>
    </row>
    <row r="520" spans="2:33" ht="15" x14ac:dyDescent="0.25">
      <c r="B520" s="1">
        <v>509</v>
      </c>
      <c r="C520" s="1">
        <v>1.0008927461047461</v>
      </c>
      <c r="D520" s="1">
        <v>1.2093116893477736</v>
      </c>
      <c r="E520" s="1">
        <v>0.82579636167099268</v>
      </c>
      <c r="G520" s="1">
        <v>0.9998500175927586</v>
      </c>
      <c r="H520" s="1">
        <v>4.8172952579474542</v>
      </c>
      <c r="I520" s="1">
        <v>0.16214483465340643</v>
      </c>
      <c r="K520" s="1">
        <v>0.9968717364480435</v>
      </c>
      <c r="L520" s="1">
        <v>7.2611190813801549</v>
      </c>
      <c r="M520" s="1">
        <v>0.10497458494104649</v>
      </c>
      <c r="O520" s="1">
        <v>7.3413434819123609E-3</v>
      </c>
      <c r="P520" s="1">
        <v>0.73242427713624947</v>
      </c>
      <c r="R520" s="1">
        <v>0.25710727339174561</v>
      </c>
      <c r="S520" s="2">
        <f t="shared" si="96"/>
        <v>1.1578699434108815</v>
      </c>
      <c r="T520" s="4">
        <f t="shared" si="97"/>
        <v>1.3406628058543177</v>
      </c>
      <c r="U520" s="1">
        <f t="shared" si="101"/>
        <v>0.85383654086527017</v>
      </c>
      <c r="V520" s="6">
        <f>2*sigma/alpha*corel*(B520/12-1/alpha*(1-EXP(-alpha*Output!B520/12)))</f>
        <v>2.7498754744895639</v>
      </c>
      <c r="W520" s="5">
        <f t="shared" si="98"/>
        <v>-0.48682626498904757</v>
      </c>
      <c r="X520" s="1">
        <f t="shared" si="99"/>
        <v>90.160004751674279</v>
      </c>
      <c r="Y520" s="3">
        <f t="shared" si="100"/>
        <v>7.9513399828275669E-2</v>
      </c>
      <c r="Z520" s="1">
        <f t="shared" si="90"/>
        <v>0.17778352474409936</v>
      </c>
      <c r="AA520" s="8">
        <f t="shared" si="95"/>
        <v>42.333333333333442</v>
      </c>
      <c r="AB520" s="1">
        <v>42.42</v>
      </c>
      <c r="AC520" s="1">
        <v>7.5707402100000003E-3</v>
      </c>
      <c r="AD520" s="8">
        <f t="shared" si="91"/>
        <v>2.2939672808763945</v>
      </c>
      <c r="AE520" s="3">
        <f t="shared" si="92"/>
        <v>3.0300435852314029E-2</v>
      </c>
      <c r="AF520" s="11">
        <f t="shared" si="93"/>
        <v>42.333333333333442</v>
      </c>
      <c r="AG520" s="1">
        <f t="shared" si="94"/>
        <v>0.17778352474409936</v>
      </c>
    </row>
    <row r="521" spans="2:33" ht="15" x14ac:dyDescent="0.25">
      <c r="B521" s="1">
        <v>510</v>
      </c>
      <c r="C521" s="1">
        <v>1.0008952953129913</v>
      </c>
      <c r="D521" s="1">
        <v>1.2162789199242299</v>
      </c>
      <c r="E521" s="1">
        <v>0.82106367191641638</v>
      </c>
      <c r="G521" s="1">
        <v>0.99992624429341903</v>
      </c>
      <c r="H521" s="1">
        <v>5.0699356978304353</v>
      </c>
      <c r="I521" s="1">
        <v>0.15399038555773664</v>
      </c>
      <c r="K521" s="1">
        <v>0.99697784897171426</v>
      </c>
      <c r="L521" s="1">
        <v>7.4314928363289985</v>
      </c>
      <c r="M521" s="1">
        <v>0.10251278482887213</v>
      </c>
      <c r="O521" s="1">
        <v>7.3409945369874692E-3</v>
      </c>
      <c r="P521" s="1">
        <v>0.73198718806168683</v>
      </c>
      <c r="R521" s="1">
        <v>0.25739006396768771</v>
      </c>
      <c r="S521" s="2">
        <f t="shared" si="96"/>
        <v>1.1598623587536896</v>
      </c>
      <c r="T521" s="4">
        <f t="shared" si="97"/>
        <v>1.3452806912536726</v>
      </c>
      <c r="U521" s="1">
        <f t="shared" si="101"/>
        <v>0.85731314550829074</v>
      </c>
      <c r="V521" s="6">
        <f>2*sigma/alpha*corel*(B521/12-1/alpha*(1-EXP(-alpha*Output!B521/12)))</f>
        <v>2.7583860126647957</v>
      </c>
      <c r="W521" s="5">
        <f t="shared" si="98"/>
        <v>-0.48796754574538181</v>
      </c>
      <c r="X521" s="1">
        <f t="shared" si="99"/>
        <v>90.563176171579698</v>
      </c>
      <c r="Y521" s="3">
        <f t="shared" si="100"/>
        <v>7.9506854930940271E-2</v>
      </c>
      <c r="Z521" s="1">
        <f t="shared" si="90"/>
        <v>0.17791476420920166</v>
      </c>
      <c r="AA521" s="8">
        <f t="shared" si="95"/>
        <v>42.416666666666778</v>
      </c>
      <c r="AB521" s="1">
        <v>42.5</v>
      </c>
      <c r="AC521" s="1">
        <v>7.5704908049999999E-3</v>
      </c>
      <c r="AD521" s="8">
        <f t="shared" si="91"/>
        <v>2.2949626801253062</v>
      </c>
      <c r="AE521" s="3">
        <f t="shared" si="92"/>
        <v>3.0314582491924789E-2</v>
      </c>
      <c r="AF521" s="11">
        <f t="shared" si="93"/>
        <v>42.416666666666778</v>
      </c>
      <c r="AG521" s="1">
        <f t="shared" si="94"/>
        <v>0.17791476420920166</v>
      </c>
    </row>
    <row r="522" spans="2:33" ht="15" x14ac:dyDescent="0.25">
      <c r="B522" s="1">
        <v>511</v>
      </c>
      <c r="C522" s="1">
        <v>1.0009020762125289</v>
      </c>
      <c r="D522" s="1">
        <v>1.2227945193403074</v>
      </c>
      <c r="E522" s="1">
        <v>0.8166864158485172</v>
      </c>
      <c r="G522" s="1">
        <v>1.0003356588161936</v>
      </c>
      <c r="H522" s="1">
        <v>5.3149026176664247</v>
      </c>
      <c r="I522" s="1">
        <v>0.14682175735370809</v>
      </c>
      <c r="K522" s="1">
        <v>0.99707805798939886</v>
      </c>
      <c r="L522" s="1">
        <v>7.4497985167520682</v>
      </c>
      <c r="M522" s="1">
        <v>0.10220851757955458</v>
      </c>
      <c r="O522" s="1">
        <v>7.3406684375882034E-3</v>
      </c>
      <c r="P522" s="1">
        <v>0.73154969069389864</v>
      </c>
      <c r="R522" s="1">
        <v>0.25763760185138018</v>
      </c>
      <c r="S522" s="2">
        <f t="shared" si="96"/>
        <v>1.1617312175766872</v>
      </c>
      <c r="T522" s="4">
        <f t="shared" si="97"/>
        <v>1.3496194218922122</v>
      </c>
      <c r="U522" s="1">
        <f t="shared" si="101"/>
        <v>0.86079493453671629</v>
      </c>
      <c r="V522" s="6">
        <f>2*sigma/alpha*corel*(B522/12-1/alpha*(1-EXP(-alpha*Output!B522/12)))</f>
        <v>2.7669028940238198</v>
      </c>
      <c r="W522" s="5">
        <f t="shared" si="98"/>
        <v>-0.48882448735549588</v>
      </c>
      <c r="X522" s="1">
        <f t="shared" si="99"/>
        <v>90.918855971176853</v>
      </c>
      <c r="Y522" s="3">
        <f t="shared" si="100"/>
        <v>7.9470470475819649E-2</v>
      </c>
      <c r="Z522" s="1">
        <f t="shared" si="90"/>
        <v>0.17802698328156252</v>
      </c>
      <c r="AA522" s="8">
        <f t="shared" si="95"/>
        <v>42.500000000000114</v>
      </c>
      <c r="AB522" s="1">
        <v>42.58</v>
      </c>
      <c r="AC522" s="1">
        <v>7.5702423790000003E-3</v>
      </c>
      <c r="AD522" s="8">
        <f t="shared" si="91"/>
        <v>2.295739414117969</v>
      </c>
      <c r="AE522" s="3">
        <f t="shared" si="92"/>
        <v>3.0325837657277588E-2</v>
      </c>
      <c r="AF522" s="11">
        <f t="shared" si="93"/>
        <v>42.500000000000114</v>
      </c>
      <c r="AG522" s="1">
        <f t="shared" si="94"/>
        <v>0.17802698328156252</v>
      </c>
    </row>
    <row r="523" spans="2:33" ht="15" x14ac:dyDescent="0.25">
      <c r="B523" s="1">
        <v>512</v>
      </c>
      <c r="C523" s="1">
        <v>1.0009027065352283</v>
      </c>
      <c r="D523" s="1">
        <v>1.224183263014383</v>
      </c>
      <c r="E523" s="1">
        <v>0.81575768500511614</v>
      </c>
      <c r="G523" s="1">
        <v>1.0002257895940765</v>
      </c>
      <c r="H523" s="1">
        <v>5.3669562900160326</v>
      </c>
      <c r="I523" s="1">
        <v>0.14532734561287627</v>
      </c>
      <c r="K523" s="1">
        <v>0.99712277589975995</v>
      </c>
      <c r="L523" s="1">
        <v>7.7665413474780927</v>
      </c>
      <c r="M523" s="1">
        <v>9.7986855918582014E-2</v>
      </c>
      <c r="O523" s="1">
        <v>7.3402883641995025E-3</v>
      </c>
      <c r="P523" s="1">
        <v>0.73111417822112768</v>
      </c>
      <c r="R523" s="1">
        <v>0.25810861396182067</v>
      </c>
      <c r="S523" s="2">
        <f t="shared" si="96"/>
        <v>1.1644023854899814</v>
      </c>
      <c r="T523" s="4">
        <f t="shared" si="97"/>
        <v>1.3558329153347592</v>
      </c>
      <c r="U523" s="1">
        <f t="shared" si="101"/>
        <v>0.86428189454142856</v>
      </c>
      <c r="V523" s="6">
        <f>2*sigma/alpha*corel*(B523/12-1/alpha*(1-EXP(-alpha*Output!B523/12)))</f>
        <v>2.7754260974578893</v>
      </c>
      <c r="W523" s="5">
        <f t="shared" si="98"/>
        <v>-0.49155102079333068</v>
      </c>
      <c r="X523" s="1">
        <f t="shared" si="99"/>
        <v>91.59436423784544</v>
      </c>
      <c r="Y523" s="3">
        <f t="shared" si="100"/>
        <v>7.9629707391267415E-2</v>
      </c>
      <c r="Z523" s="1">
        <f t="shared" si="90"/>
        <v>0.17826198123312334</v>
      </c>
      <c r="AA523" s="8">
        <f t="shared" si="95"/>
        <v>42.583333333333449</v>
      </c>
      <c r="AB523" s="1">
        <v>42.67</v>
      </c>
      <c r="AC523" s="1">
        <v>7.5699949250000002E-3</v>
      </c>
      <c r="AD523" s="8">
        <f t="shared" si="91"/>
        <v>2.2970656080049769</v>
      </c>
      <c r="AE523" s="3">
        <f t="shared" si="92"/>
        <v>3.0344348057868439E-2</v>
      </c>
      <c r="AF523" s="11">
        <f t="shared" si="93"/>
        <v>42.583333333333449</v>
      </c>
      <c r="AG523" s="1">
        <f t="shared" si="94"/>
        <v>0.17826198123312334</v>
      </c>
    </row>
    <row r="524" spans="2:33" ht="15" x14ac:dyDescent="0.25">
      <c r="B524" s="1">
        <v>513</v>
      </c>
      <c r="C524" s="1">
        <v>1.000904906771245</v>
      </c>
      <c r="D524" s="1">
        <v>1.2254725068543757</v>
      </c>
      <c r="E524" s="1">
        <v>0.81489721325513143</v>
      </c>
      <c r="G524" s="1">
        <v>1.0002752118771703</v>
      </c>
      <c r="H524" s="1">
        <v>5.4120367461780585</v>
      </c>
      <c r="I524" s="1">
        <v>0.14404703762061752</v>
      </c>
      <c r="K524" s="1">
        <v>0.99722375485571613</v>
      </c>
      <c r="L524" s="1">
        <v>7.9961847476853789</v>
      </c>
      <c r="M524" s="1">
        <v>9.5122065636687222E-2</v>
      </c>
      <c r="O524" s="1">
        <v>7.3399190184913633E-3</v>
      </c>
      <c r="P524" s="1">
        <v>0.73067863621127349</v>
      </c>
      <c r="R524" s="1">
        <v>0.25858114688438122</v>
      </c>
      <c r="S524" s="2">
        <f t="shared" si="96"/>
        <v>1.1670827609009387</v>
      </c>
      <c r="T524" s="4">
        <f t="shared" si="97"/>
        <v>1.3620821707921575</v>
      </c>
      <c r="U524" s="1">
        <f t="shared" si="101"/>
        <v>0.86777401213239758</v>
      </c>
      <c r="V524" s="6">
        <f>2*sigma/alpha*corel*(B524/12-1/alpha*(1-EXP(-alpha*Output!B524/12)))</f>
        <v>2.7839556019285068</v>
      </c>
      <c r="W524" s="5">
        <f t="shared" si="98"/>
        <v>-0.49430815865975997</v>
      </c>
      <c r="X524" s="1">
        <f t="shared" si="99"/>
        <v>92.27710392432806</v>
      </c>
      <c r="Y524" s="3">
        <f t="shared" si="100"/>
        <v>7.9791130111555877E-2</v>
      </c>
      <c r="Z524" s="1">
        <f t="shared" si="90"/>
        <v>0.17849809871984681</v>
      </c>
      <c r="AA524" s="8">
        <f t="shared" si="95"/>
        <v>42.666666666666785</v>
      </c>
      <c r="AB524" s="1">
        <v>42.75</v>
      </c>
      <c r="AC524" s="1">
        <v>7.5697484369999998E-3</v>
      </c>
      <c r="AD524" s="8">
        <f t="shared" si="91"/>
        <v>2.2982941850863656</v>
      </c>
      <c r="AE524" s="3">
        <f t="shared" si="92"/>
        <v>3.0361566229236712E-2</v>
      </c>
      <c r="AF524" s="11">
        <f t="shared" si="93"/>
        <v>42.666666666666785</v>
      </c>
      <c r="AG524" s="1">
        <f t="shared" si="94"/>
        <v>0.17849809871984681</v>
      </c>
    </row>
    <row r="525" spans="2:33" ht="15" x14ac:dyDescent="0.25">
      <c r="B525" s="1">
        <v>514</v>
      </c>
      <c r="C525" s="1">
        <v>1.0009053379892521</v>
      </c>
      <c r="D525" s="1">
        <v>1.221308637401467</v>
      </c>
      <c r="E525" s="1">
        <v>0.81767320753951078</v>
      </c>
      <c r="G525" s="1">
        <v>1.0001667414574502</v>
      </c>
      <c r="H525" s="1">
        <v>5.2442057442530388</v>
      </c>
      <c r="I525" s="1">
        <v>0.14858501501714327</v>
      </c>
      <c r="K525" s="1">
        <v>0.99732882985028604</v>
      </c>
      <c r="L525" s="1">
        <v>8.008702244059954</v>
      </c>
      <c r="M525" s="1">
        <v>9.4922606897588246E-2</v>
      </c>
      <c r="O525" s="1">
        <v>7.3395640173932516E-3</v>
      </c>
      <c r="P525" s="1">
        <v>0.73024294993467898</v>
      </c>
      <c r="R525" s="1">
        <v>0.25890808821260275</v>
      </c>
      <c r="S525" s="2">
        <f t="shared" si="96"/>
        <v>1.1692418133509934</v>
      </c>
      <c r="T525" s="4">
        <f t="shared" si="97"/>
        <v>1.3671264180883194</v>
      </c>
      <c r="U525" s="1">
        <f t="shared" si="101"/>
        <v>0.87127127393878245</v>
      </c>
      <c r="V525" s="6">
        <f>2*sigma/alpha*corel*(B525/12-1/alpha*(1-EXP(-alpha*Output!B525/12)))</f>
        <v>2.7924913864671823</v>
      </c>
      <c r="W525" s="5">
        <f t="shared" si="98"/>
        <v>-0.49585514414953691</v>
      </c>
      <c r="X525" s="1">
        <f t="shared" si="99"/>
        <v>92.754522841114053</v>
      </c>
      <c r="Y525" s="3">
        <f t="shared" si="100"/>
        <v>7.982595603513841E-2</v>
      </c>
      <c r="Z525" s="1">
        <f t="shared" ref="Z525:Z588" si="102">S525/SQRT(B525/12)</f>
        <v>0.17865427026023634</v>
      </c>
      <c r="AA525" s="8">
        <f t="shared" si="95"/>
        <v>42.750000000000121</v>
      </c>
      <c r="AB525" s="1">
        <v>42.83</v>
      </c>
      <c r="AC525" s="1">
        <v>7.5695029109999999E-3</v>
      </c>
      <c r="AD525" s="8">
        <f t="shared" ref="AD525:AD588" si="103">(AC525-O525)*10000</f>
        <v>2.2993889360674835</v>
      </c>
      <c r="AE525" s="3">
        <f t="shared" ref="AE525:AE588" si="104">AD525/AC525/10000</f>
        <v>3.0377013696976218E-2</v>
      </c>
      <c r="AF525" s="11">
        <f t="shared" ref="AF525:AF588" si="105">AA525</f>
        <v>42.750000000000121</v>
      </c>
      <c r="AG525" s="1">
        <f t="shared" ref="AG525:AG588" si="106">Z525</f>
        <v>0.17865427026023634</v>
      </c>
    </row>
    <row r="526" spans="2:33" ht="15" x14ac:dyDescent="0.25">
      <c r="B526" s="1">
        <v>515</v>
      </c>
      <c r="C526" s="1">
        <v>1.0009069010243401</v>
      </c>
      <c r="D526" s="1">
        <v>1.2204958320861241</v>
      </c>
      <c r="E526" s="1">
        <v>0.81821546563650249</v>
      </c>
      <c r="G526" s="1">
        <v>1.0001336093142674</v>
      </c>
      <c r="H526" s="1">
        <v>5.2112469488038773</v>
      </c>
      <c r="I526" s="1">
        <v>0.14945234891639406</v>
      </c>
      <c r="K526" s="1">
        <v>0.9973153411930743</v>
      </c>
      <c r="L526" s="1">
        <v>7.9675075784266243</v>
      </c>
      <c r="M526" s="1">
        <v>9.5363837826919137E-2</v>
      </c>
      <c r="O526" s="1">
        <v>7.3392130017988551E-3</v>
      </c>
      <c r="P526" s="1">
        <v>0.72980744179826795</v>
      </c>
      <c r="R526" s="1">
        <v>0.2591383370675755</v>
      </c>
      <c r="S526" s="2">
        <f t="shared" si="96"/>
        <v>1.1710539347586495</v>
      </c>
      <c r="T526" s="4">
        <f t="shared" si="97"/>
        <v>1.3713673181137154</v>
      </c>
      <c r="U526" s="1">
        <f t="shared" si="101"/>
        <v>0.87477366660903977</v>
      </c>
      <c r="V526" s="6">
        <f>2*sigma/alpha*corel*(B526/12-1/alpha*(1-EXP(-alpha*Output!B526/12)))</f>
        <v>2.801033430175206</v>
      </c>
      <c r="W526" s="5">
        <f t="shared" si="98"/>
        <v>-0.4965936515046756</v>
      </c>
      <c r="X526" s="1">
        <f t="shared" si="99"/>
        <v>93.094365118595064</v>
      </c>
      <c r="Y526" s="3">
        <f t="shared" si="100"/>
        <v>7.9776800316400928E-2</v>
      </c>
      <c r="Z526" s="1">
        <f t="shared" si="102"/>
        <v>0.17875734932200765</v>
      </c>
      <c r="AA526" s="8">
        <f t="shared" ref="AA526:AA589" si="107">AA525+1/12</f>
        <v>42.833333333333456</v>
      </c>
      <c r="AB526" s="1">
        <v>42.92</v>
      </c>
      <c r="AC526" s="1">
        <v>7.5692583400000001E-3</v>
      </c>
      <c r="AD526" s="8">
        <f t="shared" si="103"/>
        <v>2.3004533820114492</v>
      </c>
      <c r="AE526" s="3">
        <f t="shared" si="104"/>
        <v>3.0392057962332002E-2</v>
      </c>
      <c r="AF526" s="11">
        <f t="shared" si="105"/>
        <v>42.833333333333456</v>
      </c>
      <c r="AG526" s="1">
        <f t="shared" si="106"/>
        <v>0.17875734932200765</v>
      </c>
    </row>
    <row r="527" spans="2:33" ht="15" x14ac:dyDescent="0.25">
      <c r="B527" s="1">
        <v>516</v>
      </c>
      <c r="C527" s="1">
        <v>1.0009093736468839</v>
      </c>
      <c r="D527" s="1">
        <v>1.2188551130300136</v>
      </c>
      <c r="E527" s="1">
        <v>0.81931458791460443</v>
      </c>
      <c r="G527" s="1">
        <v>1.0001776717126003</v>
      </c>
      <c r="H527" s="1">
        <v>5.1488905229080908</v>
      </c>
      <c r="I527" s="1">
        <v>0.1511890729320495</v>
      </c>
      <c r="K527" s="1">
        <v>0.99714298862281003</v>
      </c>
      <c r="L527" s="1">
        <v>8.0763556016863696</v>
      </c>
      <c r="M527" s="1">
        <v>9.4026554214093117E-2</v>
      </c>
      <c r="O527" s="1">
        <v>7.3387948973498464E-3</v>
      </c>
      <c r="P527" s="1">
        <v>0.72937434017505087</v>
      </c>
      <c r="R527" s="1">
        <v>0.25942255380874862</v>
      </c>
      <c r="S527" s="2">
        <f t="shared" si="96"/>
        <v>1.1730577135964799</v>
      </c>
      <c r="T527" s="4">
        <f t="shared" si="97"/>
        <v>1.3760643994282011</v>
      </c>
      <c r="U527" s="1">
        <f t="shared" si="101"/>
        <v>0.87828117681102524</v>
      </c>
      <c r="V527" s="6">
        <f>2*sigma/alpha*corel*(B527/12-1/alpha*(1-EXP(-alpha*Output!B527/12)))</f>
        <v>2.8095817122234163</v>
      </c>
      <c r="W527" s="5">
        <f t="shared" si="98"/>
        <v>-0.49778322261717589</v>
      </c>
      <c r="X527" s="1">
        <f t="shared" si="99"/>
        <v>93.512463687814503</v>
      </c>
      <c r="Y527" s="3">
        <f t="shared" si="100"/>
        <v>7.9774448269318093E-2</v>
      </c>
      <c r="Z527" s="1">
        <f t="shared" si="102"/>
        <v>0.17888962424109722</v>
      </c>
      <c r="AA527" s="8">
        <f t="shared" si="107"/>
        <v>42.916666666666792</v>
      </c>
      <c r="AB527" s="1">
        <v>43</v>
      </c>
      <c r="AC527" s="1">
        <v>7.5690147189999999E-3</v>
      </c>
      <c r="AD527" s="8">
        <f t="shared" si="103"/>
        <v>2.3021982165015356</v>
      </c>
      <c r="AE527" s="3">
        <f t="shared" si="104"/>
        <v>3.0416088513112265E-2</v>
      </c>
      <c r="AF527" s="11">
        <f t="shared" si="105"/>
        <v>42.916666666666792</v>
      </c>
      <c r="AG527" s="1">
        <f t="shared" si="106"/>
        <v>0.17888962424109722</v>
      </c>
    </row>
    <row r="528" spans="2:33" ht="15" x14ac:dyDescent="0.25">
      <c r="B528" s="1">
        <v>517</v>
      </c>
      <c r="C528" s="1">
        <v>1.0009121178211504</v>
      </c>
      <c r="D528" s="1">
        <v>1.2162011372673573</v>
      </c>
      <c r="E528" s="1">
        <v>0.82110018419554442</v>
      </c>
      <c r="G528" s="1">
        <v>1.0002641713664187</v>
      </c>
      <c r="H528" s="1">
        <v>5.0454724904419672</v>
      </c>
      <c r="I528" s="1">
        <v>0.1542133175505136</v>
      </c>
      <c r="K528" s="1">
        <v>0.99729378475754982</v>
      </c>
      <c r="L528" s="1">
        <v>8.4172246645607416</v>
      </c>
      <c r="M528" s="1">
        <v>9.0172750540691071E-2</v>
      </c>
      <c r="O528" s="1">
        <v>7.3385143845433546E-3</v>
      </c>
      <c r="P528" s="1">
        <v>0.72893722528546767</v>
      </c>
      <c r="R528" s="1">
        <v>0.25973231275898173</v>
      </c>
      <c r="S528" s="2">
        <f t="shared" si="96"/>
        <v>1.1751653357454639</v>
      </c>
      <c r="T528" s="4">
        <f t="shared" si="97"/>
        <v>1.381013566337749</v>
      </c>
      <c r="U528" s="1">
        <f t="shared" si="101"/>
        <v>0.881793791232095</v>
      </c>
      <c r="V528" s="6">
        <f>2*sigma/alpha*corel*(B528/12-1/alpha*(1-EXP(-alpha*Output!B528/12)))</f>
        <v>2.8181362118519639</v>
      </c>
      <c r="W528" s="5">
        <f t="shared" si="98"/>
        <v>-0.49921977510565396</v>
      </c>
      <c r="X528" s="1">
        <f t="shared" si="99"/>
        <v>93.974099618425711</v>
      </c>
      <c r="Y528" s="3">
        <f t="shared" si="100"/>
        <v>7.9797536179112588E-2</v>
      </c>
      <c r="Z528" s="1">
        <f t="shared" si="102"/>
        <v>0.17903763150056656</v>
      </c>
      <c r="AA528" s="8">
        <f t="shared" si="107"/>
        <v>43.000000000000128</v>
      </c>
      <c r="AB528" s="1">
        <v>43.08</v>
      </c>
      <c r="AC528" s="1">
        <v>7.5687720420000004E-3</v>
      </c>
      <c r="AD528" s="8">
        <f t="shared" si="103"/>
        <v>2.3025765745664577</v>
      </c>
      <c r="AE528" s="3">
        <f t="shared" si="104"/>
        <v>3.042206267792439E-2</v>
      </c>
      <c r="AF528" s="11">
        <f t="shared" si="105"/>
        <v>43.000000000000128</v>
      </c>
      <c r="AG528" s="1">
        <f t="shared" si="106"/>
        <v>0.17903763150056656</v>
      </c>
    </row>
    <row r="529" spans="2:33" ht="15" x14ac:dyDescent="0.25">
      <c r="B529" s="1">
        <v>518</v>
      </c>
      <c r="C529" s="1">
        <v>1.0009140400775456</v>
      </c>
      <c r="D529" s="1">
        <v>1.2157530904777911</v>
      </c>
      <c r="E529" s="1">
        <v>0.82140048278164157</v>
      </c>
      <c r="G529" s="1">
        <v>1.0002699044277752</v>
      </c>
      <c r="H529" s="1">
        <v>5.0245042607154433</v>
      </c>
      <c r="I529" s="1">
        <v>0.15478189625762728</v>
      </c>
      <c r="K529" s="1">
        <v>0.99732779549423523</v>
      </c>
      <c r="L529" s="1">
        <v>8.3450696788677998</v>
      </c>
      <c r="M529" s="1">
        <v>9.090508396692841E-2</v>
      </c>
      <c r="O529" s="1">
        <v>7.3383192057602624E-3</v>
      </c>
      <c r="P529" s="1">
        <v>0.72849772292981652</v>
      </c>
      <c r="R529" s="1">
        <v>0.26008418565871927</v>
      </c>
      <c r="S529" s="2">
        <f t="shared" si="96"/>
        <v>1.1774334352353073</v>
      </c>
      <c r="T529" s="4">
        <f t="shared" si="97"/>
        <v>1.3863494944100165</v>
      </c>
      <c r="U529" s="1">
        <f t="shared" si="101"/>
        <v>0.88531149657920638</v>
      </c>
      <c r="V529" s="6">
        <f>2*sigma/alpha*corel*(B529/12-1/alpha*(1-EXP(-alpha*Output!B529/12)))</f>
        <v>2.8266969083700837</v>
      </c>
      <c r="W529" s="5">
        <f t="shared" si="98"/>
        <v>-0.50103799783081016</v>
      </c>
      <c r="X529" s="1">
        <f t="shared" si="99"/>
        <v>94.502776370575546</v>
      </c>
      <c r="Y529" s="3">
        <f t="shared" si="100"/>
        <v>7.9859732887487017E-2</v>
      </c>
      <c r="Z529" s="1">
        <f t="shared" si="102"/>
        <v>0.17920994532588572</v>
      </c>
      <c r="AA529" s="8">
        <f t="shared" si="107"/>
        <v>43.083333333333464</v>
      </c>
      <c r="AB529" s="1">
        <v>43.17</v>
      </c>
      <c r="AC529" s="1">
        <v>7.568530304E-3</v>
      </c>
      <c r="AD529" s="8">
        <f t="shared" si="103"/>
        <v>2.3021109823973767</v>
      </c>
      <c r="AE529" s="3">
        <f t="shared" si="104"/>
        <v>3.0416882669819019E-2</v>
      </c>
      <c r="AF529" s="11">
        <f t="shared" si="105"/>
        <v>43.083333333333464</v>
      </c>
      <c r="AG529" s="1">
        <f t="shared" si="106"/>
        <v>0.17920994532588572</v>
      </c>
    </row>
    <row r="530" spans="2:33" ht="15" x14ac:dyDescent="0.25">
      <c r="B530" s="1">
        <v>519</v>
      </c>
      <c r="C530" s="1">
        <v>1.0009115846311134</v>
      </c>
      <c r="D530" s="1">
        <v>1.2150196644129123</v>
      </c>
      <c r="E530" s="1">
        <v>0.82189399628724358</v>
      </c>
      <c r="G530" s="1">
        <v>0.99993745529224631</v>
      </c>
      <c r="H530" s="1">
        <v>4.9916726945408243</v>
      </c>
      <c r="I530" s="1">
        <v>0.15572449754871057</v>
      </c>
      <c r="K530" s="1">
        <v>0.99731046666234568</v>
      </c>
      <c r="L530" s="1">
        <v>8.2906322306854978</v>
      </c>
      <c r="M530" s="1">
        <v>9.14540632810798E-2</v>
      </c>
      <c r="O530" s="1">
        <v>7.3381278634280156E-3</v>
      </c>
      <c r="P530" s="1">
        <v>0.72805838844527948</v>
      </c>
      <c r="R530" s="1">
        <v>0.26017880151701689</v>
      </c>
      <c r="S530" s="2">
        <f t="shared" si="96"/>
        <v>1.1787716563551849</v>
      </c>
      <c r="T530" s="4">
        <f t="shared" si="97"/>
        <v>1.3895026178263461</v>
      </c>
      <c r="U530" s="1">
        <f t="shared" si="101"/>
        <v>0.88883427957901828</v>
      </c>
      <c r="V530" s="6">
        <f>2*sigma/alpha*corel*(B530/12-1/alpha*(1-EXP(-alpha*Output!B530/12)))</f>
        <v>2.8352637811558683</v>
      </c>
      <c r="W530" s="5">
        <f t="shared" si="98"/>
        <v>-0.50066833824732782</v>
      </c>
      <c r="X530" s="1">
        <f t="shared" si="99"/>
        <v>94.654343225521984</v>
      </c>
      <c r="Y530" s="3">
        <f t="shared" si="100"/>
        <v>7.9696908515356407E-2</v>
      </c>
      <c r="Z530" s="1">
        <f t="shared" si="102"/>
        <v>0.17924069894372369</v>
      </c>
      <c r="AA530" s="8">
        <f t="shared" si="107"/>
        <v>43.166666666666799</v>
      </c>
      <c r="AB530" s="1">
        <v>43.25</v>
      </c>
      <c r="AC530" s="1">
        <v>7.5682894989999999E-3</v>
      </c>
      <c r="AD530" s="8">
        <f t="shared" si="103"/>
        <v>2.3016163557198435</v>
      </c>
      <c r="AE530" s="3">
        <f t="shared" si="104"/>
        <v>3.0411314948033591E-2</v>
      </c>
      <c r="AF530" s="11">
        <f t="shared" si="105"/>
        <v>43.166666666666799</v>
      </c>
      <c r="AG530" s="1">
        <f t="shared" si="106"/>
        <v>0.17924069894372369</v>
      </c>
    </row>
    <row r="531" spans="2:33" ht="15" x14ac:dyDescent="0.25">
      <c r="B531" s="1">
        <v>520</v>
      </c>
      <c r="C531" s="1">
        <v>1.0009105562826812</v>
      </c>
      <c r="D531" s="1">
        <v>1.2175426510928373</v>
      </c>
      <c r="E531" s="1">
        <v>0.82018856024936992</v>
      </c>
      <c r="G531" s="1">
        <v>0.99967046673113602</v>
      </c>
      <c r="H531" s="1">
        <v>5.0862822828044374</v>
      </c>
      <c r="I531" s="1">
        <v>0.15275387467880816</v>
      </c>
      <c r="K531" s="1">
        <v>0.99721963283096748</v>
      </c>
      <c r="L531" s="1">
        <v>8.3406862612037926</v>
      </c>
      <c r="M531" s="1">
        <v>9.0858389338572224E-2</v>
      </c>
      <c r="O531" s="1">
        <v>7.3378806838985938E-3</v>
      </c>
      <c r="P531" s="1">
        <v>0.72762110267240143</v>
      </c>
      <c r="R531" s="1">
        <v>0.26061599453020035</v>
      </c>
      <c r="S531" s="2">
        <f t="shared" si="96"/>
        <v>1.1813491006080408</v>
      </c>
      <c r="T531" s="4">
        <f t="shared" si="97"/>
        <v>1.3955856975074268</v>
      </c>
      <c r="U531" s="1">
        <f t="shared" si="101"/>
        <v>0.89236212697798711</v>
      </c>
      <c r="V531" s="6">
        <f>2*sigma/alpha*corel*(B531/12-1/alpha*(1-EXP(-alpha*Output!B531/12)))</f>
        <v>2.843836809656032</v>
      </c>
      <c r="W531" s="5">
        <f t="shared" si="98"/>
        <v>-0.50322357052943967</v>
      </c>
      <c r="X531" s="1">
        <f t="shared" si="99"/>
        <v>95.312826691724155</v>
      </c>
      <c r="Y531" s="3">
        <f t="shared" si="100"/>
        <v>7.9834523269022004E-2</v>
      </c>
      <c r="Z531" s="1">
        <f t="shared" si="102"/>
        <v>0.17945981106819689</v>
      </c>
      <c r="AA531" s="8">
        <f t="shared" si="107"/>
        <v>43.250000000000135</v>
      </c>
      <c r="AB531" s="1">
        <v>43.33</v>
      </c>
      <c r="AC531" s="1">
        <v>7.568049623E-3</v>
      </c>
      <c r="AD531" s="8">
        <f t="shared" si="103"/>
        <v>2.3016893910140621</v>
      </c>
      <c r="AE531" s="3">
        <f t="shared" si="104"/>
        <v>3.0413243909223536E-2</v>
      </c>
      <c r="AF531" s="11">
        <f t="shared" si="105"/>
        <v>43.250000000000135</v>
      </c>
      <c r="AG531" s="1">
        <f t="shared" si="106"/>
        <v>0.17945981106819689</v>
      </c>
    </row>
    <row r="532" spans="2:33" ht="15" x14ac:dyDescent="0.25">
      <c r="B532" s="1">
        <v>521</v>
      </c>
      <c r="C532" s="1">
        <v>1.0009125566490384</v>
      </c>
      <c r="D532" s="1">
        <v>1.215473011078035</v>
      </c>
      <c r="E532" s="1">
        <v>0.82158281227138219</v>
      </c>
      <c r="G532" s="1">
        <v>0.99964188730953996</v>
      </c>
      <c r="H532" s="1">
        <v>5.0064334250013216</v>
      </c>
      <c r="I532" s="1">
        <v>0.15511503766883575</v>
      </c>
      <c r="K532" s="1">
        <v>0.99771234006260012</v>
      </c>
      <c r="L532" s="1">
        <v>8.2109440001433942</v>
      </c>
      <c r="M532" s="1">
        <v>9.2241892284631075E-2</v>
      </c>
      <c r="O532" s="1">
        <v>7.3376376953476312E-3</v>
      </c>
      <c r="P532" s="1">
        <v>0.72718397718203076</v>
      </c>
      <c r="R532" s="1">
        <v>0.26092435573790546</v>
      </c>
      <c r="S532" s="2">
        <f t="shared" si="96"/>
        <v>1.1834618628098792</v>
      </c>
      <c r="T532" s="4">
        <f t="shared" si="97"/>
        <v>1.4005819807254294</v>
      </c>
      <c r="U532" s="1">
        <f t="shared" si="101"/>
        <v>0.89589502554246048</v>
      </c>
      <c r="V532" s="6">
        <f>2*sigma/alpha*corel*(B532/12-1/alpha*(1-EXP(-alpha*Output!B532/12)))</f>
        <v>2.8524159733856864</v>
      </c>
      <c r="W532" s="5">
        <f t="shared" si="98"/>
        <v>-0.50468695518296891</v>
      </c>
      <c r="X532" s="1">
        <f t="shared" si="99"/>
        <v>95.783578102001414</v>
      </c>
      <c r="Y532" s="3">
        <f t="shared" si="100"/>
        <v>7.9859798838432583E-2</v>
      </c>
      <c r="Z532" s="1">
        <f t="shared" si="102"/>
        <v>0.17960814549573412</v>
      </c>
      <c r="AA532" s="8">
        <f t="shared" si="107"/>
        <v>43.333333333333471</v>
      </c>
      <c r="AB532" s="1">
        <v>43.42</v>
      </c>
      <c r="AC532" s="1">
        <v>7.5678106689999998E-3</v>
      </c>
      <c r="AD532" s="8">
        <f t="shared" si="103"/>
        <v>2.3017297365236864</v>
      </c>
      <c r="AE532" s="3">
        <f t="shared" si="104"/>
        <v>3.0414737328885024E-2</v>
      </c>
      <c r="AF532" s="11">
        <f t="shared" si="105"/>
        <v>43.333333333333471</v>
      </c>
      <c r="AG532" s="1">
        <f t="shared" si="106"/>
        <v>0.17960814549573412</v>
      </c>
    </row>
    <row r="533" spans="2:33" ht="15" x14ac:dyDescent="0.25">
      <c r="B533" s="1">
        <v>522</v>
      </c>
      <c r="C533" s="1">
        <v>1.000917425185234</v>
      </c>
      <c r="D533" s="1">
        <v>1.215982514555457</v>
      </c>
      <c r="E533" s="1">
        <v>0.82123624127712913</v>
      </c>
      <c r="G533" s="1">
        <v>0.99987412999686798</v>
      </c>
      <c r="H533" s="1">
        <v>5.023704727588135</v>
      </c>
      <c r="I533" s="1">
        <v>0.15450690539623735</v>
      </c>
      <c r="K533" s="1">
        <v>0.99744840073029095</v>
      </c>
      <c r="L533" s="1">
        <v>8.3013372898007454</v>
      </c>
      <c r="M533" s="1">
        <v>9.1191118727179374E-2</v>
      </c>
      <c r="O533" s="1">
        <v>7.3373297291047012E-3</v>
      </c>
      <c r="P533" s="1">
        <v>0.72674919790616055</v>
      </c>
      <c r="R533" s="1">
        <v>0.26123852523944868</v>
      </c>
      <c r="S533" s="2">
        <f t="shared" si="96"/>
        <v>1.1855929818531232</v>
      </c>
      <c r="T533" s="4">
        <f t="shared" si="97"/>
        <v>1.4056307186193802</v>
      </c>
      <c r="U533" s="1">
        <f t="shared" si="101"/>
        <v>0.89943296205877843</v>
      </c>
      <c r="V533" s="6">
        <f>2*sigma/alpha*corel*(B533/12-1/alpha*(1-EXP(-alpha*Output!B533/12)))</f>
        <v>2.8610012519281152</v>
      </c>
      <c r="W533" s="5">
        <f t="shared" si="98"/>
        <v>-0.50619775656060173</v>
      </c>
      <c r="X533" s="1">
        <f t="shared" si="99"/>
        <v>96.263737805078932</v>
      </c>
      <c r="Y533" s="3">
        <f t="shared" si="100"/>
        <v>7.988973909933926E-2</v>
      </c>
      <c r="Z533" s="1">
        <f t="shared" si="102"/>
        <v>0.17975914400474621</v>
      </c>
      <c r="AA533" s="8">
        <f t="shared" si="107"/>
        <v>43.416666666666806</v>
      </c>
      <c r="AB533" s="1">
        <v>43.5</v>
      </c>
      <c r="AC533" s="1">
        <v>7.5675726319999999E-3</v>
      </c>
      <c r="AD533" s="8">
        <f t="shared" si="103"/>
        <v>2.3024290289529876</v>
      </c>
      <c r="AE533" s="3">
        <f t="shared" si="104"/>
        <v>3.0424934664214635E-2</v>
      </c>
      <c r="AF533" s="11">
        <f t="shared" si="105"/>
        <v>43.416666666666806</v>
      </c>
      <c r="AG533" s="1">
        <f t="shared" si="106"/>
        <v>0.17975914400474621</v>
      </c>
    </row>
    <row r="534" spans="2:33" ht="15" x14ac:dyDescent="0.25">
      <c r="B534" s="1">
        <v>523</v>
      </c>
      <c r="C534" s="1">
        <v>1.0009197780937547</v>
      </c>
      <c r="D534" s="1">
        <v>1.2120119237318991</v>
      </c>
      <c r="E534" s="1">
        <v>0.82392430295964281</v>
      </c>
      <c r="G534" s="1">
        <v>0.99992595981666965</v>
      </c>
      <c r="H534" s="1">
        <v>4.8769866986709518</v>
      </c>
      <c r="I534" s="1">
        <v>0.15907798397239187</v>
      </c>
      <c r="K534" s="1">
        <v>0.99743143585721239</v>
      </c>
      <c r="L534" s="1">
        <v>8.3884288212876683</v>
      </c>
      <c r="M534" s="1">
        <v>9.0196251489430224E-2</v>
      </c>
      <c r="O534" s="1">
        <v>7.3370155811926276E-3</v>
      </c>
      <c r="P534" s="1">
        <v>0.72631491154458205</v>
      </c>
      <c r="R534" s="1">
        <v>0.26151157380149659</v>
      </c>
      <c r="S534" s="2">
        <f t="shared" si="96"/>
        <v>1.187576008359563</v>
      </c>
      <c r="T534" s="4">
        <f t="shared" si="97"/>
        <v>1.4103367756312328</v>
      </c>
      <c r="U534" s="1">
        <f t="shared" si="101"/>
        <v>0.90297592333336052</v>
      </c>
      <c r="V534" s="6">
        <f>2*sigma/alpha*corel*(B534/12-1/alpha*(1-EXP(-alpha*Output!B534/12)))</f>
        <v>2.8695926249345418</v>
      </c>
      <c r="W534" s="5">
        <f t="shared" si="98"/>
        <v>-0.50736085229787231</v>
      </c>
      <c r="X534" s="1">
        <f t="shared" si="99"/>
        <v>96.684470417007788</v>
      </c>
      <c r="Y534" s="3">
        <f t="shared" si="100"/>
        <v>7.9884132405917005E-2</v>
      </c>
      <c r="Z534" s="1">
        <f t="shared" si="102"/>
        <v>0.17988758603397184</v>
      </c>
      <c r="AA534" s="8">
        <f t="shared" si="107"/>
        <v>43.500000000000142</v>
      </c>
      <c r="AB534" s="1">
        <v>43.58</v>
      </c>
      <c r="AC534" s="1">
        <v>7.5673355080000003E-3</v>
      </c>
      <c r="AD534" s="8">
        <f t="shared" si="103"/>
        <v>2.303199268073727</v>
      </c>
      <c r="AE534" s="3">
        <f t="shared" si="104"/>
        <v>3.0436066507674223E-2</v>
      </c>
      <c r="AF534" s="11">
        <f t="shared" si="105"/>
        <v>43.500000000000142</v>
      </c>
      <c r="AG534" s="1">
        <f t="shared" si="106"/>
        <v>0.17988758603397184</v>
      </c>
    </row>
    <row r="535" spans="2:33" ht="15" x14ac:dyDescent="0.25">
      <c r="B535" s="1">
        <v>524</v>
      </c>
      <c r="C535" s="1">
        <v>1.0009226997115923</v>
      </c>
      <c r="D535" s="1">
        <v>1.2127139593369858</v>
      </c>
      <c r="E535" s="1">
        <v>0.82344499737226595</v>
      </c>
      <c r="G535" s="1">
        <v>1.0000281510447242</v>
      </c>
      <c r="H535" s="1">
        <v>4.9014958049907218</v>
      </c>
      <c r="I535" s="1">
        <v>0.15820589506714391</v>
      </c>
      <c r="K535" s="1">
        <v>0.99740913266482922</v>
      </c>
      <c r="L535" s="1">
        <v>8.4203904936116789</v>
      </c>
      <c r="M535" s="1">
        <v>8.980267095016875E-2</v>
      </c>
      <c r="O535" s="1">
        <v>7.3367121876971031E-3</v>
      </c>
      <c r="P535" s="1">
        <v>0.72588058182635196</v>
      </c>
      <c r="R535" s="1">
        <v>0.26169749098328349</v>
      </c>
      <c r="S535" s="2">
        <f t="shared" ref="S535:S598" si="108">optim_vol_implied(P535,R535)</f>
        <v>1.1892442481536489</v>
      </c>
      <c r="T535" s="4">
        <f t="shared" ref="T535:T598" si="109">S535*S535</f>
        <v>1.4143018817665378</v>
      </c>
      <c r="U535" s="1">
        <f t="shared" si="101"/>
        <v>0.90652389619279949</v>
      </c>
      <c r="V535" s="6">
        <f>2*sigma/alpha*corel*(B535/12-1/alpha*(1-EXP(-alpha*Output!B535/12)))</f>
        <v>2.878190072123906</v>
      </c>
      <c r="W535" s="5">
        <f t="shared" ref="W535:W598" si="110">U535-T535</f>
        <v>-0.50777798557373832</v>
      </c>
      <c r="X535" s="1">
        <f t="shared" ref="X535:X598" si="111">V535*V535-4*W535*B535/12</f>
        <v>96.97586623815225</v>
      </c>
      <c r="Y535" s="3">
        <f t="shared" ref="Y535:Y598" si="112">(-V535+SQRT(X535))/2/B535*12</f>
        <v>7.9802776114434343E-2</v>
      </c>
      <c r="Z535" s="1">
        <f t="shared" si="102"/>
        <v>0.17996831029992694</v>
      </c>
      <c r="AA535" s="8">
        <f t="shared" si="107"/>
        <v>43.583333333333478</v>
      </c>
      <c r="AB535" s="1">
        <v>43.67</v>
      </c>
      <c r="AC535" s="1">
        <v>7.5670992899999996E-3</v>
      </c>
      <c r="AD535" s="8">
        <f t="shared" si="103"/>
        <v>2.303871023028965</v>
      </c>
      <c r="AE535" s="3">
        <f t="shared" si="104"/>
        <v>3.0445893924948949E-2</v>
      </c>
      <c r="AF535" s="11">
        <f t="shared" si="105"/>
        <v>43.583333333333478</v>
      </c>
      <c r="AG535" s="1">
        <f t="shared" si="106"/>
        <v>0.17996831029992694</v>
      </c>
    </row>
    <row r="536" spans="2:33" ht="15" x14ac:dyDescent="0.25">
      <c r="B536" s="1">
        <v>525</v>
      </c>
      <c r="C536" s="1">
        <v>1.0009233992650897</v>
      </c>
      <c r="D536" s="1">
        <v>1.2116732266452572</v>
      </c>
      <c r="E536" s="1">
        <v>0.8241499269899133</v>
      </c>
      <c r="G536" s="1">
        <v>0.99990910171283942</v>
      </c>
      <c r="H536" s="1">
        <v>4.8602576203503309</v>
      </c>
      <c r="I536" s="1">
        <v>0.15947097652315179</v>
      </c>
      <c r="K536" s="1">
        <v>0.99749877191027747</v>
      </c>
      <c r="L536" s="1">
        <v>8.2699081236936625</v>
      </c>
      <c r="M536" s="1">
        <v>9.1386605668286214E-2</v>
      </c>
      <c r="O536" s="1">
        <v>7.3364883137471242E-3</v>
      </c>
      <c r="P536" s="1">
        <v>0.72544402470624525</v>
      </c>
      <c r="R536" s="1">
        <v>0.26209240744485152</v>
      </c>
      <c r="S536" s="2">
        <f t="shared" si="108"/>
        <v>1.1916810138615783</v>
      </c>
      <c r="T536" s="4">
        <f t="shared" si="109"/>
        <v>1.4201036387981592</v>
      </c>
      <c r="U536" s="1">
        <f t="shared" si="101"/>
        <v>0.91007686748395455</v>
      </c>
      <c r="V536" s="6">
        <f>2*sigma/alpha*corel*(B536/12-1/alpha*(1-EXP(-alpha*Output!B536/12)))</f>
        <v>2.8867935732826413</v>
      </c>
      <c r="W536" s="5">
        <f t="shared" si="110"/>
        <v>-0.5100267713142046</v>
      </c>
      <c r="X536" s="1">
        <f t="shared" si="111"/>
        <v>97.588262114731776</v>
      </c>
      <c r="Y536" s="3">
        <f t="shared" si="112"/>
        <v>7.9907240807818802E-2</v>
      </c>
      <c r="Z536" s="1">
        <f t="shared" si="102"/>
        <v>0.18016523455971722</v>
      </c>
      <c r="AA536" s="8">
        <f t="shared" si="107"/>
        <v>43.666666666666814</v>
      </c>
      <c r="AB536" s="1">
        <v>43.75</v>
      </c>
      <c r="AC536" s="1">
        <v>7.5668639739999996E-3</v>
      </c>
      <c r="AD536" s="8">
        <f t="shared" si="103"/>
        <v>2.3037566025287548</v>
      </c>
      <c r="AE536" s="3">
        <f t="shared" si="104"/>
        <v>3.0445328612282982E-2</v>
      </c>
      <c r="AF536" s="11">
        <f t="shared" si="105"/>
        <v>43.666666666666814</v>
      </c>
      <c r="AG536" s="1">
        <f t="shared" si="106"/>
        <v>0.18016523455971722</v>
      </c>
    </row>
    <row r="537" spans="2:33" ht="15" x14ac:dyDescent="0.25">
      <c r="B537" s="1">
        <v>526</v>
      </c>
      <c r="C537" s="1">
        <v>1.0009268661222528</v>
      </c>
      <c r="D537" s="1">
        <v>1.2106334215961538</v>
      </c>
      <c r="E537" s="1">
        <v>0.82485543206501488</v>
      </c>
      <c r="G537" s="1">
        <v>1.000007384858294</v>
      </c>
      <c r="H537" s="1">
        <v>4.818125863367313</v>
      </c>
      <c r="I537" s="1">
        <v>0.16078756084131179</v>
      </c>
      <c r="K537" s="1">
        <v>0.99751608981033879</v>
      </c>
      <c r="L537" s="1">
        <v>8.4327460628794331</v>
      </c>
      <c r="M537" s="1">
        <v>8.9578054564235648E-2</v>
      </c>
      <c r="O537" s="1">
        <v>7.3363247786454866E-3</v>
      </c>
      <c r="P537" s="1">
        <v>0.725005839654557</v>
      </c>
      <c r="R537" s="1">
        <v>0.26242340722905233</v>
      </c>
      <c r="S537" s="2">
        <f t="shared" si="108"/>
        <v>1.1938915749094019</v>
      </c>
      <c r="T537" s="4">
        <f t="shared" si="109"/>
        <v>1.4253770926396521</v>
      </c>
      <c r="U537" s="1">
        <f t="shared" si="101"/>
        <v>0.91363482407403662</v>
      </c>
      <c r="V537" s="6">
        <f>2*sigma/alpha*corel*(B537/12-1/alpha*(1-EXP(-alpha*Output!B537/12)))</f>
        <v>2.895403108264444</v>
      </c>
      <c r="W537" s="5">
        <f t="shared" si="110"/>
        <v>-0.51174226856561544</v>
      </c>
      <c r="X537" s="1">
        <f t="shared" si="111"/>
        <v>98.108836914518648</v>
      </c>
      <c r="Y537" s="3">
        <f t="shared" si="112"/>
        <v>7.9957270691172519E-2</v>
      </c>
      <c r="Z537" s="1">
        <f t="shared" si="102"/>
        <v>0.1803277809360789</v>
      </c>
      <c r="AA537" s="8">
        <f t="shared" si="107"/>
        <v>43.750000000000149</v>
      </c>
      <c r="AB537" s="1">
        <v>43.83</v>
      </c>
      <c r="AC537" s="1">
        <v>7.5666295539999996E-3</v>
      </c>
      <c r="AD537" s="8">
        <f t="shared" si="103"/>
        <v>2.3030477535451297</v>
      </c>
      <c r="AE537" s="3">
        <f t="shared" si="104"/>
        <v>3.0436903737776532E-2</v>
      </c>
      <c r="AF537" s="11">
        <f t="shared" si="105"/>
        <v>43.750000000000149</v>
      </c>
      <c r="AG537" s="1">
        <f t="shared" si="106"/>
        <v>0.1803277809360789</v>
      </c>
    </row>
    <row r="538" spans="2:33" ht="15" x14ac:dyDescent="0.25">
      <c r="B538" s="1">
        <v>527</v>
      </c>
      <c r="C538" s="1">
        <v>1.0009299795354811</v>
      </c>
      <c r="D538" s="1">
        <v>1.2126351426772102</v>
      </c>
      <c r="E538" s="1">
        <v>0.82349147365280118</v>
      </c>
      <c r="G538" s="1">
        <v>1.0000974984849478</v>
      </c>
      <c r="H538" s="1">
        <v>4.8917924190586257</v>
      </c>
      <c r="I538" s="1">
        <v>0.15828953757379804</v>
      </c>
      <c r="K538" s="1">
        <v>0.99754605810031005</v>
      </c>
      <c r="L538" s="1">
        <v>8.1984726822033593</v>
      </c>
      <c r="M538" s="1">
        <v>9.2089497294062947E-2</v>
      </c>
      <c r="O538" s="1">
        <v>7.336157701586409E-3</v>
      </c>
      <c r="P538" s="1">
        <v>0.7245680517327896</v>
      </c>
      <c r="R538" s="1">
        <v>0.2628026325720037</v>
      </c>
      <c r="S538" s="2">
        <f t="shared" si="108"/>
        <v>1.1962801206526985</v>
      </c>
      <c r="T538" s="4">
        <f t="shared" si="109"/>
        <v>1.4310861270688349</v>
      </c>
      <c r="U538" s="1">
        <f t="shared" si="101"/>
        <v>0.91719775285069671</v>
      </c>
      <c r="V538" s="6">
        <f>2*sigma/alpha*corel*(B538/12-1/alpha*(1-EXP(-alpha*Output!B538/12)))</f>
        <v>2.9040186569900537</v>
      </c>
      <c r="W538" s="5">
        <f t="shared" si="110"/>
        <v>-0.51388837421813816</v>
      </c>
      <c r="X538" s="1">
        <f t="shared" si="111"/>
        <v>98.706382097799249</v>
      </c>
      <c r="Y538" s="3">
        <f t="shared" si="112"/>
        <v>8.0050359426378628E-2</v>
      </c>
      <c r="Z538" s="1">
        <f t="shared" si="102"/>
        <v>0.18051703901676827</v>
      </c>
      <c r="AA538" s="8">
        <f t="shared" si="107"/>
        <v>43.833333333333485</v>
      </c>
      <c r="AB538" s="1">
        <v>43.92</v>
      </c>
      <c r="AC538" s="1">
        <v>7.5663960260000003E-3</v>
      </c>
      <c r="AD538" s="8">
        <f t="shared" si="103"/>
        <v>2.3023832441359127</v>
      </c>
      <c r="AE538" s="3">
        <f t="shared" si="104"/>
        <v>3.0429060760557031E-2</v>
      </c>
      <c r="AF538" s="11">
        <f t="shared" si="105"/>
        <v>43.833333333333485</v>
      </c>
      <c r="AG538" s="1">
        <f t="shared" si="106"/>
        <v>0.18051703901676827</v>
      </c>
    </row>
    <row r="539" spans="2:33" ht="15" x14ac:dyDescent="0.25">
      <c r="B539" s="1">
        <v>528</v>
      </c>
      <c r="C539" s="1">
        <v>1.0009282980419216</v>
      </c>
      <c r="D539" s="1">
        <v>1.2153921790175519</v>
      </c>
      <c r="E539" s="1">
        <v>0.821621086011323</v>
      </c>
      <c r="G539" s="1">
        <v>0.99983004031015899</v>
      </c>
      <c r="H539" s="1">
        <v>4.9908325177310946</v>
      </c>
      <c r="I539" s="1">
        <v>0.15507324486634941</v>
      </c>
      <c r="K539" s="1">
        <v>0.99768447852527231</v>
      </c>
      <c r="L539" s="1">
        <v>8.3792824778459689</v>
      </c>
      <c r="M539" s="1">
        <v>9.0053606574581335E-2</v>
      </c>
      <c r="O539" s="1">
        <v>7.335994571565755E-3</v>
      </c>
      <c r="P539" s="1">
        <v>0.72413042256986915</v>
      </c>
      <c r="R539" s="1">
        <v>0.2632503562852348</v>
      </c>
      <c r="S539" s="2">
        <f t="shared" si="108"/>
        <v>1.1989218448702201</v>
      </c>
      <c r="T539" s="4">
        <f t="shared" si="109"/>
        <v>1.4374135901070122</v>
      </c>
      <c r="U539" s="1">
        <f t="shared" si="101"/>
        <v>0.92076564072211697</v>
      </c>
      <c r="V539" s="6">
        <f>2*sigma/alpha*corel*(B539/12-1/alpha*(1-EXP(-alpha*Output!B539/12)))</f>
        <v>2.9126401994470328</v>
      </c>
      <c r="W539" s="5">
        <f t="shared" si="110"/>
        <v>-0.51664794938489522</v>
      </c>
      <c r="X539" s="1">
        <f t="shared" si="111"/>
        <v>99.413512023176409</v>
      </c>
      <c r="Y539" s="3">
        <f t="shared" si="112"/>
        <v>8.0204457717569427E-2</v>
      </c>
      <c r="Z539" s="1">
        <f t="shared" si="102"/>
        <v>0.1807442687452365</v>
      </c>
      <c r="AA539" s="8">
        <f t="shared" si="107"/>
        <v>43.916666666666821</v>
      </c>
      <c r="AB539" s="1">
        <v>44</v>
      </c>
      <c r="AC539" s="1">
        <v>7.5661633840000001E-3</v>
      </c>
      <c r="AD539" s="8">
        <f t="shared" si="103"/>
        <v>2.301688124342451</v>
      </c>
      <c r="AE539" s="3">
        <f t="shared" si="104"/>
        <v>3.0420809167427978E-2</v>
      </c>
      <c r="AF539" s="11">
        <f t="shared" si="105"/>
        <v>43.916666666666821</v>
      </c>
      <c r="AG539" s="1">
        <f t="shared" si="106"/>
        <v>0.1807442687452365</v>
      </c>
    </row>
    <row r="540" spans="2:33" ht="15" x14ac:dyDescent="0.25">
      <c r="B540" s="1">
        <v>529</v>
      </c>
      <c r="C540" s="1">
        <v>1.0009306130990898</v>
      </c>
      <c r="D540" s="1">
        <v>1.2146257944606798</v>
      </c>
      <c r="E540" s="1">
        <v>0.82213714072412269</v>
      </c>
      <c r="G540" s="1">
        <v>0.99989126204600876</v>
      </c>
      <c r="H540" s="1">
        <v>4.9559113423643932</v>
      </c>
      <c r="I540" s="1">
        <v>0.1560903234536537</v>
      </c>
      <c r="K540" s="1">
        <v>0.99777224720744984</v>
      </c>
      <c r="L540" s="1">
        <v>8.4057766195373009</v>
      </c>
      <c r="M540" s="1">
        <v>8.9717697047557846E-2</v>
      </c>
      <c r="O540" s="1">
        <v>7.3358683562291388E-3</v>
      </c>
      <c r="P540" s="1">
        <v>0.7236918997240297</v>
      </c>
      <c r="R540" s="1">
        <v>0.26353869240591704</v>
      </c>
      <c r="S540" s="2">
        <f t="shared" si="108"/>
        <v>1.2009860761177678</v>
      </c>
      <c r="T540" s="4">
        <f t="shared" si="109"/>
        <v>1.4423675550287527</v>
      </c>
      <c r="U540" s="1">
        <f t="shared" si="101"/>
        <v>0.92433847461709107</v>
      </c>
      <c r="V540" s="6">
        <f>2*sigma/alpha*corel*(B540/12-1/alpha*(1-EXP(-alpha*Output!B540/12)))</f>
        <v>2.9212677156895372</v>
      </c>
      <c r="W540" s="5">
        <f t="shared" si="110"/>
        <v>-0.51802908041166162</v>
      </c>
      <c r="X540" s="1">
        <f t="shared" si="111"/>
        <v>99.879599579319645</v>
      </c>
      <c r="Y540" s="3">
        <f t="shared" si="112"/>
        <v>8.0219778262594854E-2</v>
      </c>
      <c r="Z540" s="1">
        <f t="shared" si="102"/>
        <v>0.18088425243641362</v>
      </c>
      <c r="AA540" s="8">
        <f t="shared" si="107"/>
        <v>44.000000000000156</v>
      </c>
      <c r="AB540" s="1">
        <v>44.08</v>
      </c>
      <c r="AC540" s="1">
        <v>7.5659316239999998E-3</v>
      </c>
      <c r="AD540" s="8">
        <f t="shared" si="103"/>
        <v>2.3006326777086099</v>
      </c>
      <c r="AE540" s="3">
        <f t="shared" si="104"/>
        <v>3.0407791030132234E-2</v>
      </c>
      <c r="AF540" s="11">
        <f t="shared" si="105"/>
        <v>44.000000000000156</v>
      </c>
      <c r="AG540" s="1">
        <f t="shared" si="106"/>
        <v>0.18088425243641362</v>
      </c>
    </row>
    <row r="541" spans="2:33" ht="15" x14ac:dyDescent="0.25">
      <c r="B541" s="1">
        <v>530</v>
      </c>
      <c r="C541" s="1">
        <v>1.000929914050382</v>
      </c>
      <c r="D541" s="1">
        <v>1.2109105273843634</v>
      </c>
      <c r="E541" s="1">
        <v>0.82465721878181009</v>
      </c>
      <c r="G541" s="1">
        <v>0.99967256562627094</v>
      </c>
      <c r="H541" s="1">
        <v>4.8208119446560573</v>
      </c>
      <c r="I541" s="1">
        <v>0.16038692294449464</v>
      </c>
      <c r="K541" s="1">
        <v>0.99812857796248866</v>
      </c>
      <c r="L541" s="1">
        <v>8.3645307099551225</v>
      </c>
      <c r="M541" s="1">
        <v>9.0115293480857492E-2</v>
      </c>
      <c r="O541" s="1">
        <v>7.3357034820310764E-3</v>
      </c>
      <c r="P541" s="1">
        <v>0.72325489256377862</v>
      </c>
      <c r="R541" s="1">
        <v>0.26394182522943366</v>
      </c>
      <c r="S541" s="2">
        <f t="shared" si="108"/>
        <v>1.2034697912502434</v>
      </c>
      <c r="T541" s="4">
        <f t="shared" si="109"/>
        <v>1.4483395384519044</v>
      </c>
      <c r="U541" s="1">
        <f t="shared" si="101"/>
        <v>0.92791624148510765</v>
      </c>
      <c r="V541" s="6">
        <f>2*sigma/alpha*corel*(B541/12-1/alpha*(1-EXP(-alpha*Output!B541/12)))</f>
        <v>2.9299011858380983</v>
      </c>
      <c r="W541" s="5">
        <f t="shared" si="110"/>
        <v>-0.52042329696679679</v>
      </c>
      <c r="X541" s="1">
        <f t="shared" si="111"/>
        <v>100.52577008957626</v>
      </c>
      <c r="Y541" s="3">
        <f t="shared" si="112"/>
        <v>8.0336070055561579E-2</v>
      </c>
      <c r="Z541" s="1">
        <f t="shared" si="102"/>
        <v>0.18108725334335202</v>
      </c>
      <c r="AA541" s="8">
        <f t="shared" si="107"/>
        <v>44.083333333333492</v>
      </c>
      <c r="AB541" s="1">
        <v>44.17</v>
      </c>
      <c r="AC541" s="1">
        <v>7.5657007400000004E-3</v>
      </c>
      <c r="AD541" s="8">
        <f t="shared" si="103"/>
        <v>2.2999725796892401</v>
      </c>
      <c r="AE541" s="3">
        <f t="shared" si="104"/>
        <v>3.0399994114613103E-2</v>
      </c>
      <c r="AF541" s="11">
        <f t="shared" si="105"/>
        <v>44.083333333333492</v>
      </c>
      <c r="AG541" s="1">
        <f t="shared" si="106"/>
        <v>0.18108725334335202</v>
      </c>
    </row>
    <row r="542" spans="2:33" ht="15" x14ac:dyDescent="0.25">
      <c r="B542" s="1">
        <v>531</v>
      </c>
      <c r="C542" s="1">
        <v>1.0009282443476855</v>
      </c>
      <c r="D542" s="1">
        <v>1.2116565439582243</v>
      </c>
      <c r="E542" s="1">
        <v>0.8241471040552274</v>
      </c>
      <c r="G542" s="1">
        <v>0.99939828679103271</v>
      </c>
      <c r="H542" s="1">
        <v>4.8441808729515872</v>
      </c>
      <c r="I542" s="1">
        <v>0.15953590121413869</v>
      </c>
      <c r="K542" s="1">
        <v>0.99808832189731633</v>
      </c>
      <c r="L542" s="1">
        <v>8.2220031728599743</v>
      </c>
      <c r="M542" s="1">
        <v>9.1625768309982397E-2</v>
      </c>
      <c r="O542" s="1">
        <v>7.3355235761459496E-3</v>
      </c>
      <c r="P542" s="1">
        <v>0.72281864994037281</v>
      </c>
      <c r="R542" s="1">
        <v>0.26436097089486682</v>
      </c>
      <c r="S542" s="2">
        <f t="shared" si="108"/>
        <v>1.2060138073631512</v>
      </c>
      <c r="T542" s="4">
        <f t="shared" si="109"/>
        <v>1.454469303550564</v>
      </c>
      <c r="U542" s="1">
        <f t="shared" si="101"/>
        <v>0.93149892829643832</v>
      </c>
      <c r="V542" s="6">
        <f>2*sigma/alpha*corel*(B542/12-1/alpha*(1-EXP(-alpha*Output!B542/12)))</f>
        <v>2.9385405900794042</v>
      </c>
      <c r="W542" s="5">
        <f t="shared" si="110"/>
        <v>-0.52297037525412571</v>
      </c>
      <c r="X542" s="1">
        <f t="shared" si="111"/>
        <v>101.20077721952445</v>
      </c>
      <c r="Y542" s="3">
        <f t="shared" si="112"/>
        <v>8.0466882618101129E-2</v>
      </c>
      <c r="Z542" s="1">
        <f t="shared" si="102"/>
        <v>0.18129909760421628</v>
      </c>
      <c r="AA542" s="8">
        <f t="shared" si="107"/>
        <v>44.166666666666828</v>
      </c>
      <c r="AB542" s="1">
        <v>44.25</v>
      </c>
      <c r="AC542" s="1">
        <v>7.5654707269999996E-3</v>
      </c>
      <c r="AD542" s="8">
        <f t="shared" si="103"/>
        <v>2.2994715085405004</v>
      </c>
      <c r="AE542" s="3">
        <f t="shared" si="104"/>
        <v>3.0394295233131242E-2</v>
      </c>
      <c r="AF542" s="11">
        <f t="shared" si="105"/>
        <v>44.166666666666828</v>
      </c>
      <c r="AG542" s="1">
        <f t="shared" si="106"/>
        <v>0.18129909760421628</v>
      </c>
    </row>
    <row r="543" spans="2:33" ht="15" x14ac:dyDescent="0.25">
      <c r="B543" s="1">
        <v>532</v>
      </c>
      <c r="C543" s="1">
        <v>1.0009302125406743</v>
      </c>
      <c r="D543" s="1">
        <v>1.2111963079643016</v>
      </c>
      <c r="E543" s="1">
        <v>0.82445788831093814</v>
      </c>
      <c r="G543" s="1">
        <v>0.99941719651402905</v>
      </c>
      <c r="H543" s="1">
        <v>4.8264935605301718</v>
      </c>
      <c r="I543" s="1">
        <v>0.16004299951751921</v>
      </c>
      <c r="K543" s="1">
        <v>0.99807380138199386</v>
      </c>
      <c r="L543" s="1">
        <v>8.3783063626806626</v>
      </c>
      <c r="M543" s="1">
        <v>8.9868176540317757E-2</v>
      </c>
      <c r="O543" s="1">
        <v>7.3353961102192115E-3</v>
      </c>
      <c r="P543" s="1">
        <v>0.72238101268285859</v>
      </c>
      <c r="R543" s="1">
        <v>0.26460089640259432</v>
      </c>
      <c r="S543" s="2">
        <f t="shared" si="108"/>
        <v>1.2079067691774041</v>
      </c>
      <c r="T543" s="4">
        <f t="shared" si="109"/>
        <v>1.4590387630245947</v>
      </c>
      <c r="U543" s="1">
        <f t="shared" si="101"/>
        <v>0.9350865220422131</v>
      </c>
      <c r="V543" s="6">
        <f>2*sigma/alpha*corel*(B543/12-1/alpha*(1-EXP(-alpha*Output!B543/12)))</f>
        <v>2.9471859086660768</v>
      </c>
      <c r="W543" s="5">
        <f t="shared" si="110"/>
        <v>-0.52395224098238158</v>
      </c>
      <c r="X543" s="1">
        <f t="shared" si="111"/>
        <v>101.60010218111556</v>
      </c>
      <c r="Y543" s="3">
        <f t="shared" si="112"/>
        <v>8.0441748436278063E-2</v>
      </c>
      <c r="Z543" s="1">
        <f t="shared" si="102"/>
        <v>0.1814129234371919</v>
      </c>
      <c r="AA543" s="8">
        <f t="shared" si="107"/>
        <v>44.250000000000163</v>
      </c>
      <c r="AB543" s="1">
        <v>44.33</v>
      </c>
      <c r="AC543" s="1">
        <v>7.5652415799999997E-3</v>
      </c>
      <c r="AD543" s="8">
        <f t="shared" si="103"/>
        <v>2.2984546978078826</v>
      </c>
      <c r="AE543" s="3">
        <f t="shared" si="104"/>
        <v>3.038177530092678E-2</v>
      </c>
      <c r="AF543" s="11">
        <f t="shared" si="105"/>
        <v>44.250000000000163</v>
      </c>
      <c r="AG543" s="1">
        <f t="shared" si="106"/>
        <v>0.1814129234371919</v>
      </c>
    </row>
    <row r="544" spans="2:33" ht="15" x14ac:dyDescent="0.25">
      <c r="B544" s="1">
        <v>533</v>
      </c>
      <c r="C544" s="1">
        <v>1.0009289243180466</v>
      </c>
      <c r="D544" s="1">
        <v>1.2084451436642645</v>
      </c>
      <c r="E544" s="1">
        <v>0.82633247250209219</v>
      </c>
      <c r="G544" s="1">
        <v>0.99916869908193362</v>
      </c>
      <c r="H544" s="1">
        <v>4.7271942309197303</v>
      </c>
      <c r="I544" s="1">
        <v>0.16332572604282314</v>
      </c>
      <c r="K544" s="1">
        <v>0.99828685002389173</v>
      </c>
      <c r="L544" s="1">
        <v>8.6029416713595168</v>
      </c>
      <c r="M544" s="1">
        <v>8.7477020004461156E-2</v>
      </c>
      <c r="O544" s="1">
        <v>7.3351946647839967E-3</v>
      </c>
      <c r="P544" s="1">
        <v>0.7219460279893668</v>
      </c>
      <c r="R544" s="1">
        <v>0.26489170351858204</v>
      </c>
      <c r="S544" s="2">
        <f t="shared" si="108"/>
        <v>1.2099827030932395</v>
      </c>
      <c r="T544" s="4">
        <f t="shared" si="109"/>
        <v>1.4640581417848226</v>
      </c>
      <c r="U544" s="1">
        <f t="shared" si="101"/>
        <v>0.93867900973450435</v>
      </c>
      <c r="V544" s="6">
        <f>2*sigma/alpha*corel*(B544/12-1/alpha*(1-EXP(-alpha*Output!B544/12)))</f>
        <v>2.955837121916451</v>
      </c>
      <c r="W544" s="5">
        <f t="shared" si="110"/>
        <v>-0.52537913205031828</v>
      </c>
      <c r="X544" s="1">
        <f t="shared" si="111"/>
        <v>102.07933221890588</v>
      </c>
      <c r="Y544" s="3">
        <f t="shared" si="112"/>
        <v>8.046072701480167E-2</v>
      </c>
      <c r="Z544" s="1">
        <f t="shared" si="102"/>
        <v>0.18155415000358216</v>
      </c>
      <c r="AA544" s="8">
        <f t="shared" si="107"/>
        <v>44.333333333333499</v>
      </c>
      <c r="AB544" s="1">
        <v>44.42</v>
      </c>
      <c r="AC544" s="1">
        <v>7.5650132949999999E-3</v>
      </c>
      <c r="AD544" s="8">
        <f t="shared" si="103"/>
        <v>2.2981863021600319</v>
      </c>
      <c r="AE544" s="3">
        <f t="shared" si="104"/>
        <v>3.0379144259785891E-2</v>
      </c>
      <c r="AF544" s="11">
        <f t="shared" si="105"/>
        <v>44.333333333333499</v>
      </c>
      <c r="AG544" s="1">
        <f t="shared" si="106"/>
        <v>0.18155415000358216</v>
      </c>
    </row>
    <row r="545" spans="2:33" ht="15" x14ac:dyDescent="0.25">
      <c r="B545" s="1">
        <v>534</v>
      </c>
      <c r="C545" s="1">
        <v>1.0009288288050584</v>
      </c>
      <c r="D545" s="1">
        <v>1.2090219808215323</v>
      </c>
      <c r="E545" s="1">
        <v>0.82593582819796152</v>
      </c>
      <c r="G545" s="1">
        <v>0.99906875735137879</v>
      </c>
      <c r="H545" s="1">
        <v>4.7486468283971224</v>
      </c>
      <c r="I545" s="1">
        <v>0.16250914398353222</v>
      </c>
      <c r="K545" s="1">
        <v>0.99833189376864051</v>
      </c>
      <c r="L545" s="1">
        <v>8.4018258347100172</v>
      </c>
      <c r="M545" s="1">
        <v>8.9518789594609585E-2</v>
      </c>
      <c r="O545" s="1">
        <v>7.3350048481907893E-3</v>
      </c>
      <c r="P545" s="1">
        <v>0.72151095607779892</v>
      </c>
      <c r="R545" s="1">
        <v>0.26519308654794393</v>
      </c>
      <c r="S545" s="2">
        <f t="shared" si="108"/>
        <v>1.2121002804465346</v>
      </c>
      <c r="T545" s="4">
        <f t="shared" si="109"/>
        <v>1.4691870898585679</v>
      </c>
      <c r="U545" s="1">
        <f t="shared" si="101"/>
        <v>0.9422763784064041</v>
      </c>
      <c r="V545" s="6">
        <f>2*sigma/alpha*corel*(B545/12-1/alpha*(1-EXP(-alpha*Output!B545/12)))</f>
        <v>2.9644942102143608</v>
      </c>
      <c r="W545" s="5">
        <f t="shared" si="110"/>
        <v>-0.52691071145216384</v>
      </c>
      <c r="X545" s="1">
        <f t="shared" si="111"/>
        <v>102.57833256087963</v>
      </c>
      <c r="Y545" s="3">
        <f t="shared" si="112"/>
        <v>8.048990995567068E-2</v>
      </c>
      <c r="Z545" s="1">
        <f t="shared" si="102"/>
        <v>0.18170151408708968</v>
      </c>
      <c r="AA545" s="8">
        <f t="shared" si="107"/>
        <v>44.416666666666835</v>
      </c>
      <c r="AB545" s="1">
        <v>44.5</v>
      </c>
      <c r="AC545" s="1">
        <v>7.5647858660000001E-3</v>
      </c>
      <c r="AD545" s="8">
        <f t="shared" si="103"/>
        <v>2.2978101780921079</v>
      </c>
      <c r="AE545" s="3">
        <f t="shared" si="104"/>
        <v>3.0375085544980685E-2</v>
      </c>
      <c r="AF545" s="11">
        <f t="shared" si="105"/>
        <v>44.416666666666835</v>
      </c>
      <c r="AG545" s="1">
        <f t="shared" si="106"/>
        <v>0.18170151408708968</v>
      </c>
    </row>
    <row r="546" spans="2:33" ht="15" x14ac:dyDescent="0.25">
      <c r="B546" s="1">
        <v>535</v>
      </c>
      <c r="C546" s="1">
        <v>1.0009334883770853</v>
      </c>
      <c r="D546" s="1">
        <v>1.2109459035137642</v>
      </c>
      <c r="E546" s="1">
        <v>0.82462120720036525</v>
      </c>
      <c r="G546" s="1">
        <v>0.99934863113258487</v>
      </c>
      <c r="H546" s="1">
        <v>4.8138881869106527</v>
      </c>
      <c r="I546" s="1">
        <v>0.1602290664075918</v>
      </c>
      <c r="K546" s="1">
        <v>0.99856579659896183</v>
      </c>
      <c r="L546" s="1">
        <v>8.3495271978860703</v>
      </c>
      <c r="M546" s="1">
        <v>9.0034145791629952E-2</v>
      </c>
      <c r="O546" s="1">
        <v>7.3347489147024374E-3</v>
      </c>
      <c r="P546" s="1">
        <v>0.72107829469671758</v>
      </c>
      <c r="R546" s="1">
        <v>0.26571662231261572</v>
      </c>
      <c r="S546" s="2">
        <f t="shared" si="108"/>
        <v>1.2150325592211921</v>
      </c>
      <c r="T546" s="4">
        <f t="shared" si="109"/>
        <v>1.4763041199675997</v>
      </c>
      <c r="U546" s="1">
        <f t="shared" si="101"/>
        <v>0.94587861511210169</v>
      </c>
      <c r="V546" s="6">
        <f>2*sigma/alpha*corel*(B546/12-1/alpha*(1-EXP(-alpha*Output!B546/12)))</f>
        <v>2.9731571540089172</v>
      </c>
      <c r="W546" s="5">
        <f t="shared" si="110"/>
        <v>-0.530425504855498</v>
      </c>
      <c r="X546" s="1">
        <f t="shared" si="111"/>
        <v>103.43221182833155</v>
      </c>
      <c r="Y546" s="3">
        <f t="shared" si="112"/>
        <v>8.0714082259134415E-2</v>
      </c>
      <c r="Z546" s="1">
        <f t="shared" si="102"/>
        <v>0.18197077633105158</v>
      </c>
      <c r="AA546" s="8">
        <f t="shared" si="107"/>
        <v>44.500000000000171</v>
      </c>
      <c r="AB546" s="1">
        <v>44.58</v>
      </c>
      <c r="AC546" s="1">
        <v>7.5645592899999999E-3</v>
      </c>
      <c r="AD546" s="8">
        <f t="shared" si="103"/>
        <v>2.2981037529756256</v>
      </c>
      <c r="AE546" s="3">
        <f t="shared" si="104"/>
        <v>3.0379876274003341E-2</v>
      </c>
      <c r="AF546" s="11">
        <f t="shared" si="105"/>
        <v>44.500000000000171</v>
      </c>
      <c r="AG546" s="1">
        <f t="shared" si="106"/>
        <v>0.18197077633105158</v>
      </c>
    </row>
    <row r="547" spans="2:33" ht="15" x14ac:dyDescent="0.25">
      <c r="B547" s="1">
        <v>536</v>
      </c>
      <c r="C547" s="1">
        <v>1.0009349183482663</v>
      </c>
      <c r="D547" s="1">
        <v>1.2099346277288439</v>
      </c>
      <c r="E547" s="1">
        <v>0.82530803408115416</v>
      </c>
      <c r="G547" s="1">
        <v>0.99933573661835384</v>
      </c>
      <c r="H547" s="1">
        <v>4.7853605477675076</v>
      </c>
      <c r="I547" s="1">
        <v>0.1611062027260311</v>
      </c>
      <c r="K547" s="1">
        <v>0.99866463784858828</v>
      </c>
      <c r="L547" s="1">
        <v>8.3705156302616643</v>
      </c>
      <c r="M547" s="1">
        <v>8.9758242787050246E-2</v>
      </c>
      <c r="O547" s="1">
        <v>7.3344547068509135E-3</v>
      </c>
      <c r="P547" s="1">
        <v>0.72064715551383884</v>
      </c>
      <c r="R547" s="1">
        <v>0.2661424869732672</v>
      </c>
      <c r="S547" s="2">
        <f t="shared" si="108"/>
        <v>1.2176057040578974</v>
      </c>
      <c r="T547" s="4">
        <f t="shared" si="109"/>
        <v>1.482563650554328</v>
      </c>
      <c r="U547" s="1">
        <f t="shared" si="101"/>
        <v>0.94948570692695977</v>
      </c>
      <c r="V547" s="6">
        <f>2*sigma/alpha*corel*(B547/12-1/alpha*(1-EXP(-alpha*Output!B547/12)))</f>
        <v>2.9818259338142914</v>
      </c>
      <c r="W547" s="5">
        <f t="shared" si="110"/>
        <v>-0.53307794362736827</v>
      </c>
      <c r="X547" s="1">
        <f t="shared" si="111"/>
        <v>104.1345451609906</v>
      </c>
      <c r="Y547" s="3">
        <f t="shared" si="112"/>
        <v>8.085232366205243E-2</v>
      </c>
      <c r="Z547" s="1">
        <f t="shared" si="102"/>
        <v>0.18218595862434903</v>
      </c>
      <c r="AA547" s="8">
        <f t="shared" si="107"/>
        <v>44.583333333333506</v>
      </c>
      <c r="AB547" s="1">
        <v>44.67</v>
      </c>
      <c r="AC547" s="1">
        <v>7.5643335599999998E-3</v>
      </c>
      <c r="AD547" s="8">
        <f t="shared" si="103"/>
        <v>2.2987885314908629</v>
      </c>
      <c r="AE547" s="3">
        <f t="shared" si="104"/>
        <v>3.038983557846784E-2</v>
      </c>
      <c r="AF547" s="11">
        <f t="shared" si="105"/>
        <v>44.583333333333506</v>
      </c>
      <c r="AG547" s="1">
        <f t="shared" si="106"/>
        <v>0.18218595862434903</v>
      </c>
    </row>
    <row r="548" spans="2:33" ht="15" x14ac:dyDescent="0.25">
      <c r="B548" s="1">
        <v>537</v>
      </c>
      <c r="C548" s="1">
        <v>1.0009418458841428</v>
      </c>
      <c r="D548" s="1">
        <v>1.2178347771760618</v>
      </c>
      <c r="E548" s="1">
        <v>0.81995183415200124</v>
      </c>
      <c r="G548" s="1">
        <v>0.99974965203823773</v>
      </c>
      <c r="H548" s="1">
        <v>5.070514882153331</v>
      </c>
      <c r="I548" s="1">
        <v>0.15197231804071834</v>
      </c>
      <c r="K548" s="1">
        <v>0.99875736149102967</v>
      </c>
      <c r="L548" s="1">
        <v>8.3355443099580651</v>
      </c>
      <c r="M548" s="1">
        <v>9.0088504984042611E-2</v>
      </c>
      <c r="O548" s="1">
        <v>7.3341646058725949E-3</v>
      </c>
      <c r="P548" s="1">
        <v>0.72021617706529784</v>
      </c>
      <c r="R548" s="1">
        <v>0.26650561742098428</v>
      </c>
      <c r="S548" s="2">
        <f t="shared" si="108"/>
        <v>1.2199506126899597</v>
      </c>
      <c r="T548" s="4">
        <f t="shared" si="109"/>
        <v>1.4882794974026081</v>
      </c>
      <c r="U548" s="1">
        <f t="shared" si="101"/>
        <v>0.9530976409475902</v>
      </c>
      <c r="V548" s="6">
        <f>2*sigma/alpha*corel*(B548/12-1/alpha*(1-EXP(-alpha*Output!B548/12)))</f>
        <v>2.990500530209502</v>
      </c>
      <c r="W548" s="5">
        <f t="shared" si="110"/>
        <v>-0.53518185645501792</v>
      </c>
      <c r="X548" s="1">
        <f t="shared" si="111"/>
        <v>104.74064572663153</v>
      </c>
      <c r="Y548" s="3">
        <f t="shared" si="112"/>
        <v>8.0936170040878108E-2</v>
      </c>
      <c r="Z548" s="1">
        <f t="shared" si="102"/>
        <v>0.1823667798697402</v>
      </c>
      <c r="AA548" s="8">
        <f t="shared" si="107"/>
        <v>44.666666666666842</v>
      </c>
      <c r="AB548" s="1">
        <v>44.75</v>
      </c>
      <c r="AC548" s="1">
        <v>7.5641086730000003E-3</v>
      </c>
      <c r="AD548" s="8">
        <f t="shared" si="103"/>
        <v>2.2994406712740534</v>
      </c>
      <c r="AE548" s="3">
        <f t="shared" si="104"/>
        <v>3.0399360594618115E-2</v>
      </c>
      <c r="AF548" s="11">
        <f t="shared" si="105"/>
        <v>44.666666666666842</v>
      </c>
      <c r="AG548" s="1">
        <f t="shared" si="106"/>
        <v>0.1823667798697402</v>
      </c>
    </row>
    <row r="549" spans="2:33" ht="15" x14ac:dyDescent="0.25">
      <c r="B549" s="1">
        <v>538</v>
      </c>
      <c r="C549" s="1">
        <v>1.0009473267581805</v>
      </c>
      <c r="D549" s="1">
        <v>1.2180782657583211</v>
      </c>
      <c r="E549" s="1">
        <v>0.81978553623764916</v>
      </c>
      <c r="G549" s="1">
        <v>1.0000667303358808</v>
      </c>
      <c r="H549" s="1">
        <v>5.0793639199962684</v>
      </c>
      <c r="I549" s="1">
        <v>0.15163408725143707</v>
      </c>
      <c r="K549" s="1">
        <v>0.99884961641186187</v>
      </c>
      <c r="L549" s="1">
        <v>7.9794009641601047</v>
      </c>
      <c r="M549" s="1">
        <v>9.405897812516649E-2</v>
      </c>
      <c r="O549" s="1">
        <v>7.3339586661286208E-3</v>
      </c>
      <c r="P549" s="1">
        <v>0.71978277525229239</v>
      </c>
      <c r="R549" s="1">
        <v>0.26669211647434166</v>
      </c>
      <c r="S549" s="2">
        <f t="shared" si="108"/>
        <v>1.2216521342614464</v>
      </c>
      <c r="T549" s="4">
        <f t="shared" si="109"/>
        <v>1.4924339371455471</v>
      </c>
      <c r="U549" s="1">
        <f t="shared" si="101"/>
        <v>0.95671440429192822</v>
      </c>
      <c r="V549" s="6">
        <f>2*sigma/alpha*corel*(B549/12-1/alpha*(1-EXP(-alpha*Output!B549/12)))</f>
        <v>2.9991809238381939</v>
      </c>
      <c r="W549" s="5">
        <f t="shared" si="110"/>
        <v>-0.53571953285361884</v>
      </c>
      <c r="X549" s="1">
        <f t="shared" si="111"/>
        <v>105.06745577233056</v>
      </c>
      <c r="Y549" s="3">
        <f t="shared" si="112"/>
        <v>8.0866849274752906E-2</v>
      </c>
      <c r="Z549" s="1">
        <f t="shared" si="102"/>
        <v>0.18245133407120279</v>
      </c>
      <c r="AA549" s="8">
        <f t="shared" si="107"/>
        <v>44.750000000000178</v>
      </c>
      <c r="AB549" s="1">
        <v>44.83</v>
      </c>
      <c r="AC549" s="1">
        <v>7.563884624E-3</v>
      </c>
      <c r="AD549" s="8">
        <f t="shared" si="103"/>
        <v>2.2992595787137917</v>
      </c>
      <c r="AE549" s="3">
        <f t="shared" si="104"/>
        <v>3.039786687674087E-2</v>
      </c>
      <c r="AF549" s="11">
        <f t="shared" si="105"/>
        <v>44.750000000000178</v>
      </c>
      <c r="AG549" s="1">
        <f t="shared" si="106"/>
        <v>0.18245133407120279</v>
      </c>
    </row>
    <row r="550" spans="2:33" ht="15" x14ac:dyDescent="0.25">
      <c r="B550" s="1">
        <v>539</v>
      </c>
      <c r="C550" s="1">
        <v>1.0009475404872641</v>
      </c>
      <c r="D550" s="1">
        <v>1.2224644960615088</v>
      </c>
      <c r="E550" s="1">
        <v>0.81684173777172731</v>
      </c>
      <c r="G550" s="1">
        <v>0.99997285613654407</v>
      </c>
      <c r="H550" s="1">
        <v>5.2471065637845378</v>
      </c>
      <c r="I550" s="1">
        <v>0.14671546900703761</v>
      </c>
      <c r="K550" s="1">
        <v>0.99858821604684866</v>
      </c>
      <c r="L550" s="1">
        <v>8.1564428688622037</v>
      </c>
      <c r="M550" s="1">
        <v>9.1970349930768414E-2</v>
      </c>
      <c r="O550" s="1">
        <v>7.3336902882174589E-3</v>
      </c>
      <c r="P550" s="1">
        <v>0.71935167636559771</v>
      </c>
      <c r="R550" s="1">
        <v>0.26698318351882167</v>
      </c>
      <c r="S550" s="2">
        <f t="shared" si="108"/>
        <v>1.2237365460233145</v>
      </c>
      <c r="T550" s="4">
        <f t="shared" si="109"/>
        <v>1.4975311340730717</v>
      </c>
      <c r="U550" s="1">
        <f t="shared" si="101"/>
        <v>0.96033598409930221</v>
      </c>
      <c r="V550" s="6">
        <f>2*sigma/alpha*corel*(B550/12-1/alpha*(1-EXP(-alpha*Output!B550/12)))</f>
        <v>3.0078670954084257</v>
      </c>
      <c r="W550" s="5">
        <f t="shared" si="110"/>
        <v>-0.53719514997376949</v>
      </c>
      <c r="X550" s="1">
        <f t="shared" si="111"/>
        <v>105.56332640892798</v>
      </c>
      <c r="Y550" s="3">
        <f t="shared" si="112"/>
        <v>8.0889065850572567E-2</v>
      </c>
      <c r="Z550" s="1">
        <f t="shared" si="102"/>
        <v>0.18259301951919474</v>
      </c>
      <c r="AA550" s="8">
        <f t="shared" si="107"/>
        <v>44.833333333333513</v>
      </c>
      <c r="AB550" s="1">
        <v>44.92</v>
      </c>
      <c r="AC550" s="1">
        <v>7.5636614069999998E-3</v>
      </c>
      <c r="AD550" s="8">
        <f t="shared" si="103"/>
        <v>2.2997111878254093</v>
      </c>
      <c r="AE550" s="3">
        <f t="shared" si="104"/>
        <v>3.0404734745226404E-2</v>
      </c>
      <c r="AF550" s="11">
        <f t="shared" si="105"/>
        <v>44.833333333333513</v>
      </c>
      <c r="AG550" s="1">
        <f t="shared" si="106"/>
        <v>0.18259301951919474</v>
      </c>
    </row>
    <row r="551" spans="2:33" ht="15" x14ac:dyDescent="0.25">
      <c r="B551" s="1">
        <v>540</v>
      </c>
      <c r="C551" s="1">
        <v>1.0009505942642623</v>
      </c>
      <c r="D551" s="1">
        <v>1.222880277664572</v>
      </c>
      <c r="E551" s="1">
        <v>0.81656161691209739</v>
      </c>
      <c r="G551" s="1">
        <v>1.0001013815320461</v>
      </c>
      <c r="H551" s="1">
        <v>5.2591094434684464</v>
      </c>
      <c r="I551" s="1">
        <v>0.1463097268898792</v>
      </c>
      <c r="K551" s="1">
        <v>0.99850947880279883</v>
      </c>
      <c r="L551" s="1">
        <v>8.3404809674514535</v>
      </c>
      <c r="M551" s="1">
        <v>8.9894562000595882E-2</v>
      </c>
      <c r="O551" s="1">
        <v>7.3332885619909957E-3</v>
      </c>
      <c r="P551" s="1">
        <v>0.71892518185651155</v>
      </c>
      <c r="R551" s="1">
        <v>0.26721923894477384</v>
      </c>
      <c r="S551" s="2">
        <f t="shared" si="108"/>
        <v>1.2256092617421601</v>
      </c>
      <c r="T551" s="4">
        <f t="shared" si="109"/>
        <v>1.5021180624681627</v>
      </c>
      <c r="U551" s="1">
        <f t="shared" si="101"/>
        <v>0.96396236753051046</v>
      </c>
      <c r="V551" s="6">
        <f>2*sigma/alpha*corel*(B551/12-1/alpha*(1-EXP(-alpha*Output!B551/12)))</f>
        <v>3.0165590256924579</v>
      </c>
      <c r="W551" s="5">
        <f t="shared" si="110"/>
        <v>-0.53815569493765225</v>
      </c>
      <c r="X551" s="1">
        <f t="shared" si="111"/>
        <v>105.96765344426403</v>
      </c>
      <c r="Y551" s="3">
        <f t="shared" si="112"/>
        <v>8.0861112309118008E-2</v>
      </c>
      <c r="Z551" s="1">
        <f t="shared" si="102"/>
        <v>0.18270304154058681</v>
      </c>
      <c r="AA551" s="8">
        <f t="shared" si="107"/>
        <v>44.916666666666849</v>
      </c>
      <c r="AB551" s="1">
        <v>45</v>
      </c>
      <c r="AC551" s="1">
        <v>7.5634390190000003E-3</v>
      </c>
      <c r="AD551" s="8">
        <f t="shared" si="103"/>
        <v>2.3015045700900458</v>
      </c>
      <c r="AE551" s="3">
        <f t="shared" si="104"/>
        <v>3.0429339937936582E-2</v>
      </c>
      <c r="AF551" s="11">
        <f t="shared" si="105"/>
        <v>44.916666666666849</v>
      </c>
      <c r="AG551" s="1">
        <f t="shared" si="106"/>
        <v>0.18270304154058681</v>
      </c>
    </row>
    <row r="552" spans="2:33" ht="15" x14ac:dyDescent="0.25">
      <c r="B552" s="1">
        <v>541</v>
      </c>
      <c r="C552" s="1">
        <v>1.0009534126422035</v>
      </c>
      <c r="D552" s="1">
        <v>1.2220135784797044</v>
      </c>
      <c r="E552" s="1">
        <v>0.8171383545184272</v>
      </c>
      <c r="G552" s="1">
        <v>1.0001766252584052</v>
      </c>
      <c r="H552" s="1">
        <v>5.2231342340629778</v>
      </c>
      <c r="I552" s="1">
        <v>0.14724611220497424</v>
      </c>
      <c r="K552" s="1">
        <v>0.9984419537934589</v>
      </c>
      <c r="L552" s="1">
        <v>8.4672957217042359</v>
      </c>
      <c r="M552" s="1">
        <v>8.8502003456923717E-2</v>
      </c>
      <c r="O552" s="1">
        <v>7.3328050964355067E-3</v>
      </c>
      <c r="P552" s="1">
        <v>0.7185016360494193</v>
      </c>
      <c r="R552" s="1">
        <v>0.26747534615487606</v>
      </c>
      <c r="S552" s="2">
        <f t="shared" si="108"/>
        <v>1.2275514595948229</v>
      </c>
      <c r="T552" s="4">
        <f t="shared" si="109"/>
        <v>1.5068825859533801</v>
      </c>
      <c r="U552" s="1">
        <f t="shared" si="101"/>
        <v>0.96759354176788648</v>
      </c>
      <c r="V552" s="6">
        <f>2*sigma/alpha*corel*(B552/12-1/alpha*(1-EXP(-alpha*Output!B552/12)))</f>
        <v>3.0252566955265343</v>
      </c>
      <c r="W552" s="5">
        <f t="shared" si="110"/>
        <v>-0.53928904418549362</v>
      </c>
      <c r="X552" s="1">
        <f t="shared" si="111"/>
        <v>106.40396904194547</v>
      </c>
      <c r="Y552" s="3">
        <f t="shared" si="112"/>
        <v>8.0849980705926014E-2</v>
      </c>
      <c r="Z552" s="1">
        <f t="shared" si="102"/>
        <v>0.18282336470726215</v>
      </c>
      <c r="AA552" s="8">
        <f t="shared" si="107"/>
        <v>45.000000000000185</v>
      </c>
      <c r="AB552" s="1">
        <v>45.08</v>
      </c>
      <c r="AC552" s="1">
        <v>7.5632174539999996E-3</v>
      </c>
      <c r="AD552" s="8">
        <f t="shared" si="103"/>
        <v>2.3041235756449292</v>
      </c>
      <c r="AE552" s="3">
        <f t="shared" si="104"/>
        <v>3.0464859560878223E-2</v>
      </c>
      <c r="AF552" s="11">
        <f t="shared" si="105"/>
        <v>45.000000000000185</v>
      </c>
      <c r="AG552" s="1">
        <f t="shared" si="106"/>
        <v>0.18282336470726215</v>
      </c>
    </row>
    <row r="553" spans="2:33" ht="15" x14ac:dyDescent="0.25">
      <c r="B553" s="1">
        <v>542</v>
      </c>
      <c r="C553" s="1">
        <v>1.0009485473442372</v>
      </c>
      <c r="D553" s="1">
        <v>1.2185076584526418</v>
      </c>
      <c r="E553" s="1">
        <v>0.81948703403439394</v>
      </c>
      <c r="G553" s="1">
        <v>0.99968872631884864</v>
      </c>
      <c r="H553" s="1">
        <v>5.0897400138290187</v>
      </c>
      <c r="I553" s="1">
        <v>0.15103202277965486</v>
      </c>
      <c r="K553" s="1">
        <v>0.99827686023609552</v>
      </c>
      <c r="L553" s="1">
        <v>8.4484186944513873</v>
      </c>
      <c r="M553" s="1">
        <v>8.8650772682863213E-2</v>
      </c>
      <c r="O553" s="1">
        <v>7.3324207956039777E-3</v>
      </c>
      <c r="P553" s="1">
        <v>0.71807518140720594</v>
      </c>
      <c r="R553" s="1">
        <v>0.26770754980028205</v>
      </c>
      <c r="S553" s="2">
        <f t="shared" si="108"/>
        <v>1.2294142345049803</v>
      </c>
      <c r="T553" s="4">
        <f t="shared" si="109"/>
        <v>1.5114593600034667</v>
      </c>
      <c r="U553" s="1">
        <f t="shared" si="101"/>
        <v>0.97122949401537007</v>
      </c>
      <c r="V553" s="6">
        <f>2*sigma/alpha*corel*(B553/12-1/alpha*(1-EXP(-alpha*Output!B553/12)))</f>
        <v>3.0339600858106719</v>
      </c>
      <c r="W553" s="5">
        <f t="shared" si="110"/>
        <v>-0.54022986598809664</v>
      </c>
      <c r="X553" s="1">
        <f t="shared" si="111"/>
        <v>106.80644292414176</v>
      </c>
      <c r="Y553" s="3">
        <f t="shared" si="112"/>
        <v>8.0820223368903335E-2</v>
      </c>
      <c r="Z553" s="1">
        <f t="shared" si="102"/>
        <v>0.18293180388036812</v>
      </c>
      <c r="AA553" s="8">
        <f t="shared" si="107"/>
        <v>45.08333333333352</v>
      </c>
      <c r="AB553" s="1">
        <v>45.17</v>
      </c>
      <c r="AC553" s="1">
        <v>7.562996709E-3</v>
      </c>
      <c r="AD553" s="8">
        <f t="shared" si="103"/>
        <v>2.3057591339602226</v>
      </c>
      <c r="AE553" s="3">
        <f t="shared" si="104"/>
        <v>3.0487374551100344E-2</v>
      </c>
      <c r="AF553" s="11">
        <f t="shared" si="105"/>
        <v>45.08333333333352</v>
      </c>
      <c r="AG553" s="1">
        <f t="shared" si="106"/>
        <v>0.18293180388036812</v>
      </c>
    </row>
    <row r="554" spans="2:33" ht="15" x14ac:dyDescent="0.25">
      <c r="B554" s="1">
        <v>543</v>
      </c>
      <c r="C554" s="1">
        <v>1.0009466304032113</v>
      </c>
      <c r="D554" s="1">
        <v>1.2178852789812373</v>
      </c>
      <c r="E554" s="1">
        <v>0.81990340188442556</v>
      </c>
      <c r="G554" s="1">
        <v>0.9993518111493267</v>
      </c>
      <c r="H554" s="1">
        <v>5.066637201730658</v>
      </c>
      <c r="I554" s="1">
        <v>0.1516472161188461</v>
      </c>
      <c r="K554" s="1">
        <v>0.99826554712840199</v>
      </c>
      <c r="L554" s="1">
        <v>8.3513822649889526</v>
      </c>
      <c r="M554" s="1">
        <v>8.963318377443627E-2</v>
      </c>
      <c r="O554" s="1">
        <v>7.3321086381075437E-3</v>
      </c>
      <c r="P554" s="1">
        <v>0.71764668309422741</v>
      </c>
      <c r="R554" s="1">
        <v>0.26779386046254594</v>
      </c>
      <c r="S554" s="2">
        <f t="shared" si="108"/>
        <v>1.2307429792132243</v>
      </c>
      <c r="T554" s="4">
        <f t="shared" si="109"/>
        <v>1.514728280882643</v>
      </c>
      <c r="U554" s="1">
        <f t="shared" si="101"/>
        <v>0.97487021149857656</v>
      </c>
      <c r="V554" s="6">
        <f>2*sigma/alpha*corel*(B554/12-1/alpha*(1-EXP(-alpha*Output!B554/12)))</f>
        <v>3.0426691775084502</v>
      </c>
      <c r="W554" s="5">
        <f t="shared" si="110"/>
        <v>-0.53985806938406644</v>
      </c>
      <c r="X554" s="1">
        <f t="shared" si="111"/>
        <v>106.97214628227599</v>
      </c>
      <c r="Y554" s="3">
        <f t="shared" si="112"/>
        <v>8.0663699529119254E-2</v>
      </c>
      <c r="Z554" s="1">
        <f t="shared" si="102"/>
        <v>0.18296081039679751</v>
      </c>
      <c r="AA554" s="8">
        <f t="shared" si="107"/>
        <v>45.166666666666856</v>
      </c>
      <c r="AB554" s="1">
        <v>45.25</v>
      </c>
      <c r="AC554" s="1">
        <v>7.5627767779999997E-3</v>
      </c>
      <c r="AD554" s="8">
        <f t="shared" si="103"/>
        <v>2.3066813989245598</v>
      </c>
      <c r="AE554" s="3">
        <f t="shared" si="104"/>
        <v>3.0500455938811524E-2</v>
      </c>
      <c r="AF554" s="11">
        <f t="shared" si="105"/>
        <v>45.166666666666856</v>
      </c>
      <c r="AG554" s="1">
        <f t="shared" si="106"/>
        <v>0.18296081039679751</v>
      </c>
    </row>
    <row r="555" spans="2:33" ht="15" x14ac:dyDescent="0.25">
      <c r="B555" s="1">
        <v>544</v>
      </c>
      <c r="C555" s="1">
        <v>1.0009463255271642</v>
      </c>
      <c r="D555" s="1">
        <v>1.2169943511763941</v>
      </c>
      <c r="E555" s="1">
        <v>0.82050120715835739</v>
      </c>
      <c r="G555" s="1">
        <v>0.99924574500107322</v>
      </c>
      <c r="H555" s="1">
        <v>5.0304205449210269</v>
      </c>
      <c r="I555" s="1">
        <v>0.15266502947982408</v>
      </c>
      <c r="K555" s="1">
        <v>0.99821695203043026</v>
      </c>
      <c r="L555" s="1">
        <v>8.1942996696462735</v>
      </c>
      <c r="M555" s="1">
        <v>9.1302395913942458E-2</v>
      </c>
      <c r="O555" s="1">
        <v>7.3318563704552857E-3</v>
      </c>
      <c r="P555" s="1">
        <v>0.71721653054399503</v>
      </c>
      <c r="R555" s="1">
        <v>0.26800797664123505</v>
      </c>
      <c r="S555" s="2">
        <f t="shared" si="108"/>
        <v>1.2325512137710068</v>
      </c>
      <c r="T555" s="4">
        <f t="shared" si="109"/>
        <v>1.5191824945683823</v>
      </c>
      <c r="U555" s="1">
        <f t="shared" si="101"/>
        <v>0.97851568146486079</v>
      </c>
      <c r="V555" s="6">
        <f>2*sigma/alpha*corel*(B555/12-1/alpha*(1-EXP(-alpha*Output!B555/12)))</f>
        <v>3.0513839516467955</v>
      </c>
      <c r="W555" s="5">
        <f t="shared" si="110"/>
        <v>-0.54066681310352149</v>
      </c>
      <c r="X555" s="1">
        <f t="shared" si="111"/>
        <v>107.35185946313952</v>
      </c>
      <c r="Y555" s="3">
        <f t="shared" si="112"/>
        <v>8.0621584092710502E-2</v>
      </c>
      <c r="Z555" s="1">
        <f t="shared" si="102"/>
        <v>0.183061133386242</v>
      </c>
      <c r="AA555" s="8">
        <f t="shared" si="107"/>
        <v>45.250000000000192</v>
      </c>
      <c r="AB555" s="1">
        <v>45.33</v>
      </c>
      <c r="AC555" s="1">
        <v>7.5625576569999997E-3</v>
      </c>
      <c r="AD555" s="8">
        <f t="shared" si="103"/>
        <v>2.30701286544714</v>
      </c>
      <c r="AE555" s="3">
        <f t="shared" si="104"/>
        <v>3.0505722667935494E-2</v>
      </c>
      <c r="AF555" s="11">
        <f t="shared" si="105"/>
        <v>45.250000000000192</v>
      </c>
      <c r="AG555" s="1">
        <f t="shared" si="106"/>
        <v>0.183061133386242</v>
      </c>
    </row>
    <row r="556" spans="2:33" ht="15" x14ac:dyDescent="0.25">
      <c r="B556" s="1">
        <v>545</v>
      </c>
      <c r="C556" s="1">
        <v>1.0009493218975263</v>
      </c>
      <c r="D556" s="1">
        <v>1.2149633888024194</v>
      </c>
      <c r="E556" s="1">
        <v>0.82187034528507774</v>
      </c>
      <c r="G556" s="1">
        <v>0.99928560731445881</v>
      </c>
      <c r="H556" s="1">
        <v>4.9446070528188226</v>
      </c>
      <c r="I556" s="1">
        <v>0.15523930287107887</v>
      </c>
      <c r="K556" s="1">
        <v>0.99846505851061873</v>
      </c>
      <c r="L556" s="1">
        <v>8.3576187055526088</v>
      </c>
      <c r="M556" s="1">
        <v>8.9468436349675898E-2</v>
      </c>
      <c r="O556" s="1">
        <v>7.3316196299394653E-3</v>
      </c>
      <c r="P556" s="1">
        <v>0.71678616049012578</v>
      </c>
      <c r="R556" s="1">
        <v>0.2682630012972953</v>
      </c>
      <c r="S556" s="2">
        <f t="shared" si="108"/>
        <v>1.2345140067709448</v>
      </c>
      <c r="T556" s="4">
        <f t="shared" si="109"/>
        <v>1.5240248329136523</v>
      </c>
      <c r="U556" s="1">
        <f t="shared" si="101"/>
        <v>0.98216589118338549</v>
      </c>
      <c r="V556" s="6">
        <f>2*sigma/alpha*corel*(B556/12-1/alpha*(1-EXP(-alpha*Output!B556/12)))</f>
        <v>3.0601043893157729</v>
      </c>
      <c r="W556" s="5">
        <f t="shared" si="110"/>
        <v>-0.54185894173026683</v>
      </c>
      <c r="X556" s="1">
        <f t="shared" si="111"/>
        <v>107.80194662117479</v>
      </c>
      <c r="Y556" s="3">
        <f t="shared" si="112"/>
        <v>8.0616520028145011E-2</v>
      </c>
      <c r="Z556" s="1">
        <f t="shared" si="102"/>
        <v>0.1831843609113574</v>
      </c>
      <c r="AA556" s="8">
        <f t="shared" si="107"/>
        <v>45.333333333333528</v>
      </c>
      <c r="AB556" s="1">
        <v>45.42</v>
      </c>
      <c r="AC556" s="1">
        <v>7.5623393419999999E-3</v>
      </c>
      <c r="AD556" s="8">
        <f t="shared" si="103"/>
        <v>2.3071971206053457</v>
      </c>
      <c r="AE556" s="3">
        <f t="shared" si="104"/>
        <v>3.0509039812476397E-2</v>
      </c>
      <c r="AF556" s="11">
        <f t="shared" si="105"/>
        <v>45.333333333333528</v>
      </c>
      <c r="AG556" s="1">
        <f t="shared" si="106"/>
        <v>0.1831843609113574</v>
      </c>
    </row>
    <row r="557" spans="2:33" ht="15" x14ac:dyDescent="0.25">
      <c r="B557" s="1">
        <v>546</v>
      </c>
      <c r="C557" s="1">
        <v>1.0009499975270661</v>
      </c>
      <c r="D557" s="1">
        <v>1.2185232390516179</v>
      </c>
      <c r="E557" s="1">
        <v>0.81946686595423712</v>
      </c>
      <c r="G557" s="1">
        <v>0.9992228358214772</v>
      </c>
      <c r="H557" s="1">
        <v>5.0760120718533592</v>
      </c>
      <c r="I557" s="1">
        <v>0.15114731187497391</v>
      </c>
      <c r="K557" s="1">
        <v>0.99834790427806386</v>
      </c>
      <c r="L557" s="1">
        <v>8.427878124553958</v>
      </c>
      <c r="M557" s="1">
        <v>8.8675246680094563E-2</v>
      </c>
      <c r="O557" s="1">
        <v>7.3315389768589499E-3</v>
      </c>
      <c r="P557" s="1">
        <v>0.71635098942020403</v>
      </c>
      <c r="R557" s="1">
        <v>0.26837016991636914</v>
      </c>
      <c r="S557" s="2">
        <f t="shared" si="108"/>
        <v>1.2359408044842464</v>
      </c>
      <c r="T557" s="4">
        <f t="shared" si="109"/>
        <v>1.5275496721891662</v>
      </c>
      <c r="U557" s="1">
        <f t="shared" si="101"/>
        <v>0.98582082794518389</v>
      </c>
      <c r="V557" s="6">
        <f>2*sigma/alpha*corel*(B557/12-1/alpha*(1-EXP(-alpha*Output!B557/12)))</f>
        <v>3.0688304716683774</v>
      </c>
      <c r="W557" s="5">
        <f t="shared" si="110"/>
        <v>-0.54172884424398227</v>
      </c>
      <c r="X557" s="1">
        <f t="shared" si="111"/>
        <v>108.01237011624512</v>
      </c>
      <c r="Y557" s="3">
        <f t="shared" si="112"/>
        <v>8.048428037581476E-2</v>
      </c>
      <c r="Z557" s="1">
        <f t="shared" si="102"/>
        <v>0.18322805535150385</v>
      </c>
      <c r="AA557" s="8">
        <f t="shared" si="107"/>
        <v>45.416666666666863</v>
      </c>
      <c r="AB557" s="1">
        <v>45.5</v>
      </c>
      <c r="AC557" s="1">
        <v>7.5621218279999999E-3</v>
      </c>
      <c r="AD557" s="8">
        <f t="shared" si="103"/>
        <v>2.3058285114105002</v>
      </c>
      <c r="AE557" s="3">
        <f t="shared" si="104"/>
        <v>3.0491819146218863E-2</v>
      </c>
      <c r="AF557" s="11">
        <f t="shared" si="105"/>
        <v>45.416666666666863</v>
      </c>
      <c r="AG557" s="1">
        <f t="shared" si="106"/>
        <v>0.18322805535150385</v>
      </c>
    </row>
    <row r="558" spans="2:33" ht="15" x14ac:dyDescent="0.25">
      <c r="B558" s="1">
        <v>547</v>
      </c>
      <c r="C558" s="1">
        <v>1.0009525759574565</v>
      </c>
      <c r="D558" s="1">
        <v>1.2159908714917818</v>
      </c>
      <c r="E558" s="1">
        <v>0.82117101114799329</v>
      </c>
      <c r="G558" s="1">
        <v>0.99928764030938799</v>
      </c>
      <c r="H558" s="1">
        <v>4.9866146288956346</v>
      </c>
      <c r="I558" s="1">
        <v>0.15378248389200147</v>
      </c>
      <c r="K558" s="1">
        <v>0.99850091828845078</v>
      </c>
      <c r="L558" s="1">
        <v>8.5370785586763951</v>
      </c>
      <c r="M558" s="1">
        <v>8.7496413934690334E-2</v>
      </c>
      <c r="O558" s="1">
        <v>7.3315892187841639E-3</v>
      </c>
      <c r="P558" s="1">
        <v>0.71591182057812464</v>
      </c>
      <c r="R558" s="1">
        <v>0.26858941387926011</v>
      </c>
      <c r="S558" s="2">
        <f t="shared" si="108"/>
        <v>1.2377955388752071</v>
      </c>
      <c r="T558" s="4">
        <f t="shared" si="109"/>
        <v>1.5321377960593643</v>
      </c>
      <c r="U558" s="1">
        <f t="shared" si="101"/>
        <v>0.98948047906322367</v>
      </c>
      <c r="V558" s="6">
        <f>2*sigma/alpha*corel*(B558/12-1/alpha*(1-EXP(-alpha*Output!B558/12)))</f>
        <v>3.0775621799203203</v>
      </c>
      <c r="W558" s="5">
        <f t="shared" si="110"/>
        <v>-0.54265731699614062</v>
      </c>
      <c r="X558" s="1">
        <f t="shared" si="111"/>
        <v>108.41590643690556</v>
      </c>
      <c r="Y558" s="3">
        <f t="shared" si="112"/>
        <v>8.0454117865691968E-2</v>
      </c>
      <c r="Z558" s="1">
        <f t="shared" si="102"/>
        <v>0.18333520688999533</v>
      </c>
      <c r="AA558" s="8">
        <f t="shared" si="107"/>
        <v>45.500000000000199</v>
      </c>
      <c r="AB558" s="1">
        <v>45.58</v>
      </c>
      <c r="AC558" s="1">
        <v>7.5619051109999998E-3</v>
      </c>
      <c r="AD558" s="8">
        <f t="shared" si="103"/>
        <v>2.3031589221583597</v>
      </c>
      <c r="AE558" s="3">
        <f t="shared" si="104"/>
        <v>3.0457389881923366E-2</v>
      </c>
      <c r="AF558" s="11">
        <f t="shared" si="105"/>
        <v>45.500000000000199</v>
      </c>
      <c r="AG558" s="1">
        <f t="shared" si="106"/>
        <v>0.18333520688999533</v>
      </c>
    </row>
    <row r="559" spans="2:33" ht="15" x14ac:dyDescent="0.25">
      <c r="B559" s="1">
        <v>548</v>
      </c>
      <c r="C559" s="1">
        <v>1.0009568499606858</v>
      </c>
      <c r="D559" s="1">
        <v>1.2199217853601769</v>
      </c>
      <c r="E559" s="1">
        <v>0.8185225431753993</v>
      </c>
      <c r="G559" s="1">
        <v>0.99950729830118212</v>
      </c>
      <c r="H559" s="1">
        <v>5.1297821598327022</v>
      </c>
      <c r="I559" s="1">
        <v>0.14941815092354863</v>
      </c>
      <c r="K559" s="1">
        <v>0.9984992654762006</v>
      </c>
      <c r="L559" s="1">
        <v>8.591758266224895</v>
      </c>
      <c r="M559" s="1">
        <v>8.6894539575829613E-2</v>
      </c>
      <c r="O559" s="1">
        <v>7.3316548323978954E-3</v>
      </c>
      <c r="P559" s="1">
        <v>0.71547241274038365</v>
      </c>
      <c r="R559" s="1">
        <v>0.26881664517075404</v>
      </c>
      <c r="S559" s="2">
        <f t="shared" si="108"/>
        <v>1.2396827822938217</v>
      </c>
      <c r="T559" s="4">
        <f t="shared" si="109"/>
        <v>1.5368134007157508</v>
      </c>
      <c r="U559" s="1">
        <f t="shared" si="101"/>
        <v>0.9931448318724696</v>
      </c>
      <c r="V559" s="6">
        <f>2*sigma/alpha*corel*(B559/12-1/alpha*(1-EXP(-alpha*Output!B559/12)))</f>
        <v>3.0862994953498246</v>
      </c>
      <c r="W559" s="5">
        <f t="shared" si="110"/>
        <v>-0.54366856884328119</v>
      </c>
      <c r="X559" s="1">
        <f t="shared" si="111"/>
        <v>108.83536981703594</v>
      </c>
      <c r="Y559" s="3">
        <f t="shared" si="112"/>
        <v>8.0431967281863581E-2</v>
      </c>
      <c r="Z559" s="1">
        <f t="shared" si="102"/>
        <v>0.18344712641754807</v>
      </c>
      <c r="AA559" s="8">
        <f t="shared" si="107"/>
        <v>45.583333333333535</v>
      </c>
      <c r="AB559" s="1">
        <v>45.67</v>
      </c>
      <c r="AC559" s="1">
        <v>7.561689186E-3</v>
      </c>
      <c r="AD559" s="8">
        <f t="shared" si="103"/>
        <v>2.3003435360210469</v>
      </c>
      <c r="AE559" s="3">
        <f t="shared" si="104"/>
        <v>3.04210273582785E-2</v>
      </c>
      <c r="AF559" s="11">
        <f t="shared" si="105"/>
        <v>45.583333333333535</v>
      </c>
      <c r="AG559" s="1">
        <f t="shared" si="106"/>
        <v>0.18344712641754807</v>
      </c>
    </row>
    <row r="560" spans="2:33" ht="15" x14ac:dyDescent="0.25">
      <c r="B560" s="1">
        <v>549</v>
      </c>
      <c r="C560" s="1">
        <v>1.0009596319600884</v>
      </c>
      <c r="D560" s="1">
        <v>1.2168167575276585</v>
      </c>
      <c r="E560" s="1">
        <v>0.82060877194260851</v>
      </c>
      <c r="G560" s="1">
        <v>0.99963176727052649</v>
      </c>
      <c r="H560" s="1">
        <v>5.0120817219816827</v>
      </c>
      <c r="I560" s="1">
        <v>0.15285291917929922</v>
      </c>
      <c r="K560" s="1">
        <v>0.99838249471348883</v>
      </c>
      <c r="L560" s="1">
        <v>8.6045651108588626</v>
      </c>
      <c r="M560" s="1">
        <v>8.6719472495277075E-2</v>
      </c>
      <c r="O560" s="1">
        <v>7.3317998522011932E-3</v>
      </c>
      <c r="P560" s="1">
        <v>0.71503066918843905</v>
      </c>
      <c r="R560" s="1">
        <v>0.26910694257007911</v>
      </c>
      <c r="S560" s="2">
        <f t="shared" si="108"/>
        <v>1.2418129381839134</v>
      </c>
      <c r="T560" s="4">
        <f t="shared" si="109"/>
        <v>1.5420993734409638</v>
      </c>
      <c r="U560" s="1">
        <f t="shared" si="101"/>
        <v>0.99681387372994612</v>
      </c>
      <c r="V560" s="6">
        <f>2*sigma/alpha*corel*(B560/12-1/alpha*(1-EXP(-alpha*Output!B560/12)))</f>
        <v>3.095042399297415</v>
      </c>
      <c r="W560" s="5">
        <f t="shared" si="110"/>
        <v>-0.5452854997110177</v>
      </c>
      <c r="X560" s="1">
        <f t="shared" si="111"/>
        <v>109.36653390056493</v>
      </c>
      <c r="Y560" s="3">
        <f t="shared" si="112"/>
        <v>8.0467794181153768E-2</v>
      </c>
      <c r="Z560" s="1">
        <f t="shared" si="102"/>
        <v>0.18359490769042897</v>
      </c>
      <c r="AA560" s="8">
        <f t="shared" si="107"/>
        <v>45.66666666666687</v>
      </c>
      <c r="AB560" s="1">
        <v>45.75</v>
      </c>
      <c r="AC560" s="1">
        <v>7.5614740500000001E-3</v>
      </c>
      <c r="AD560" s="8">
        <f t="shared" si="103"/>
        <v>2.2967419779880687</v>
      </c>
      <c r="AE560" s="3">
        <f t="shared" si="104"/>
        <v>3.0374262515495489E-2</v>
      </c>
      <c r="AF560" s="11">
        <f t="shared" si="105"/>
        <v>45.66666666666687</v>
      </c>
      <c r="AG560" s="1">
        <f t="shared" si="106"/>
        <v>0.18359490769042897</v>
      </c>
    </row>
    <row r="561" spans="2:33" ht="15" x14ac:dyDescent="0.25">
      <c r="B561" s="1">
        <v>550</v>
      </c>
      <c r="C561" s="1">
        <v>1.000955478195904</v>
      </c>
      <c r="D561" s="1">
        <v>1.220710195598709</v>
      </c>
      <c r="E561" s="1">
        <v>0.81798900828007326</v>
      </c>
      <c r="G561" s="1">
        <v>0.99917383064557252</v>
      </c>
      <c r="H561" s="1">
        <v>5.1546312098844762</v>
      </c>
      <c r="I561" s="1">
        <v>0.14855383925440616</v>
      </c>
      <c r="K561" s="1">
        <v>0.99824009669222857</v>
      </c>
      <c r="L561" s="1">
        <v>8.884270159689498</v>
      </c>
      <c r="M561" s="1">
        <v>8.3941698825908767E-2</v>
      </c>
      <c r="O561" s="1">
        <v>7.3319821113405435E-3</v>
      </c>
      <c r="P561" s="1">
        <v>0.71458796144223879</v>
      </c>
      <c r="R561" s="1">
        <v>0.26918465210978609</v>
      </c>
      <c r="S561" s="2">
        <f t="shared" si="108"/>
        <v>1.2431548673333046</v>
      </c>
      <c r="T561" s="4">
        <f t="shared" si="109"/>
        <v>1.5454340241744862</v>
      </c>
      <c r="U561" s="1">
        <f t="shared" si="101"/>
        <v>1.0004875920147929</v>
      </c>
      <c r="V561" s="6">
        <f>2*sigma/alpha*corel*(B561/12-1/alpha*(1-EXP(-alpha*Output!B561/12)))</f>
        <v>3.1037908731657105</v>
      </c>
      <c r="W561" s="5">
        <f t="shared" si="110"/>
        <v>-0.54494643215969329</v>
      </c>
      <c r="X561" s="1">
        <f t="shared" si="111"/>
        <v>109.54036368029054</v>
      </c>
      <c r="Y561" s="3">
        <f t="shared" si="112"/>
        <v>8.0316680384814654E-2</v>
      </c>
      <c r="Z561" s="1">
        <f t="shared" si="102"/>
        <v>0.18362614336592525</v>
      </c>
      <c r="AA561" s="8">
        <f t="shared" si="107"/>
        <v>45.750000000000206</v>
      </c>
      <c r="AB561" s="1">
        <v>45.83</v>
      </c>
      <c r="AC561" s="1">
        <v>7.5612596970000001E-3</v>
      </c>
      <c r="AD561" s="8">
        <f t="shared" si="103"/>
        <v>2.2927758565945666</v>
      </c>
      <c r="AE561" s="3">
        <f t="shared" si="104"/>
        <v>3.0322670407739689E-2</v>
      </c>
      <c r="AF561" s="11">
        <f t="shared" si="105"/>
        <v>45.750000000000206</v>
      </c>
      <c r="AG561" s="1">
        <f t="shared" si="106"/>
        <v>0.18362614336592525</v>
      </c>
    </row>
    <row r="562" spans="2:33" ht="15" x14ac:dyDescent="0.25">
      <c r="B562" s="1">
        <v>551</v>
      </c>
      <c r="C562" s="1">
        <v>1.0009526881108297</v>
      </c>
      <c r="D562" s="1">
        <v>1.2218932399661733</v>
      </c>
      <c r="E562" s="1">
        <v>0.81719458060886496</v>
      </c>
      <c r="G562" s="1">
        <v>0.99881822196046055</v>
      </c>
      <c r="H562" s="1">
        <v>5.1967642929964457</v>
      </c>
      <c r="I562" s="1">
        <v>0.14727806053060161</v>
      </c>
      <c r="K562" s="1">
        <v>0.99831526137171278</v>
      </c>
      <c r="L562" s="1">
        <v>8.7784530549340278</v>
      </c>
      <c r="M562" s="1">
        <v>8.4908102033497759E-2</v>
      </c>
      <c r="O562" s="1">
        <v>7.3321274165231553E-3</v>
      </c>
      <c r="P562" s="1">
        <v>0.71414671786803718</v>
      </c>
      <c r="R562" s="1">
        <v>0.26944194697758445</v>
      </c>
      <c r="S562" s="2">
        <f t="shared" si="108"/>
        <v>1.2451652650574181</v>
      </c>
      <c r="T562" s="4">
        <f t="shared" si="109"/>
        <v>1.5504365373055102</v>
      </c>
      <c r="U562" s="1">
        <f t="shared" si="101"/>
        <v>1.0041659741283282</v>
      </c>
      <c r="V562" s="6">
        <f>2*sigma/alpha*corel*(B562/12-1/alpha*(1-EXP(-alpha*Output!B562/12)))</f>
        <v>3.1125448984192174</v>
      </c>
      <c r="W562" s="5">
        <f t="shared" si="110"/>
        <v>-0.54627056317718203</v>
      </c>
      <c r="X562" s="1">
        <f t="shared" si="111"/>
        <v>110.01962918155127</v>
      </c>
      <c r="Y562" s="3">
        <f t="shared" si="112"/>
        <v>8.0324638759190686E-2</v>
      </c>
      <c r="Z562" s="1">
        <f t="shared" si="102"/>
        <v>0.18375612363176042</v>
      </c>
      <c r="AA562" s="8">
        <f t="shared" si="107"/>
        <v>45.833333333333542</v>
      </c>
      <c r="AB562" s="1">
        <v>45.92</v>
      </c>
      <c r="AC562" s="1">
        <v>7.5610461239999996E-3</v>
      </c>
      <c r="AD562" s="8">
        <f t="shared" si="103"/>
        <v>2.2891870747684431</v>
      </c>
      <c r="AE562" s="3">
        <f t="shared" si="104"/>
        <v>3.0276062825515482E-2</v>
      </c>
      <c r="AF562" s="11">
        <f t="shared" si="105"/>
        <v>45.833333333333542</v>
      </c>
      <c r="AG562" s="1">
        <f t="shared" si="106"/>
        <v>0.18375612363176042</v>
      </c>
    </row>
    <row r="563" spans="2:33" ht="15" x14ac:dyDescent="0.25">
      <c r="B563" s="1">
        <v>552</v>
      </c>
      <c r="C563" s="1">
        <v>1.0009494542858526</v>
      </c>
      <c r="D563" s="1">
        <v>1.2202269032538076</v>
      </c>
      <c r="E563" s="1">
        <v>0.81830808486436224</v>
      </c>
      <c r="G563" s="1">
        <v>0.9983865505885906</v>
      </c>
      <c r="H563" s="1">
        <v>5.1266062346180679</v>
      </c>
      <c r="I563" s="1">
        <v>0.14922126216431711</v>
      </c>
      <c r="K563" s="1">
        <v>0.9983462379858018</v>
      </c>
      <c r="L563" s="1">
        <v>8.5892953727670101</v>
      </c>
      <c r="M563" s="1">
        <v>8.6729225235764873E-2</v>
      </c>
      <c r="O563" s="1">
        <v>7.3322347687007055E-3</v>
      </c>
      <c r="P563" s="1">
        <v>0.71370697548444084</v>
      </c>
      <c r="R563" s="1">
        <v>0.26971927458779227</v>
      </c>
      <c r="S563" s="2">
        <f t="shared" si="108"/>
        <v>1.247249465924867</v>
      </c>
      <c r="T563" s="4">
        <f t="shared" si="109"/>
        <v>1.5556312302498658</v>
      </c>
      <c r="U563" s="1">
        <f t="shared" si="101"/>
        <v>1.007849007494106</v>
      </c>
      <c r="V563" s="6">
        <f>2*sigma/alpha*corel*(B563/12-1/alpha*(1-EXP(-alpha*Output!B563/12)))</f>
        <v>3.1213044565841268</v>
      </c>
      <c r="W563" s="5">
        <f t="shared" si="110"/>
        <v>-0.54778222275575983</v>
      </c>
      <c r="X563" s="1">
        <f t="shared" si="111"/>
        <v>110.53447049775174</v>
      </c>
      <c r="Y563" s="3">
        <f t="shared" si="112"/>
        <v>8.0350359029980084E-2</v>
      </c>
      <c r="Z563" s="1">
        <f t="shared" si="102"/>
        <v>0.18389690106911311</v>
      </c>
      <c r="AA563" s="8">
        <f t="shared" si="107"/>
        <v>45.916666666666877</v>
      </c>
      <c r="AB563" s="1">
        <v>46</v>
      </c>
      <c r="AC563" s="1">
        <v>7.5608333259999999E-3</v>
      </c>
      <c r="AD563" s="8">
        <f t="shared" si="103"/>
        <v>2.2859855729929439</v>
      </c>
      <c r="AE563" s="3">
        <f t="shared" si="104"/>
        <v>3.0234571699020996E-2</v>
      </c>
      <c r="AF563" s="11">
        <f t="shared" si="105"/>
        <v>45.916666666666877</v>
      </c>
      <c r="AG563" s="1">
        <f t="shared" si="106"/>
        <v>0.18389690106911311</v>
      </c>
    </row>
    <row r="564" spans="2:33" ht="15" x14ac:dyDescent="0.25">
      <c r="B564" s="1">
        <v>553</v>
      </c>
      <c r="C564" s="1">
        <v>1.0009485804683727</v>
      </c>
      <c r="D564" s="1">
        <v>1.2195771515008285</v>
      </c>
      <c r="E564" s="1">
        <v>0.81874159350150333</v>
      </c>
      <c r="G564" s="1">
        <v>0.99817546645153266</v>
      </c>
      <c r="H564" s="1">
        <v>5.100311736483123</v>
      </c>
      <c r="I564" s="1">
        <v>0.14991791769955581</v>
      </c>
      <c r="K564" s="1">
        <v>0.99819145739118686</v>
      </c>
      <c r="L564" s="1">
        <v>8.4781629587402296</v>
      </c>
      <c r="M564" s="1">
        <v>8.7821270060480891E-2</v>
      </c>
      <c r="O564" s="1">
        <v>7.3324073803454782E-3</v>
      </c>
      <c r="P564" s="1">
        <v>0.71326534605571612</v>
      </c>
      <c r="R564" s="1">
        <v>0.26993915856026829</v>
      </c>
      <c r="S564" s="2">
        <f t="shared" si="108"/>
        <v>1.2491258758260002</v>
      </c>
      <c r="T564" s="4">
        <f t="shared" si="109"/>
        <v>1.5603154536580721</v>
      </c>
      <c r="U564" s="1">
        <f t="shared" si="101"/>
        <v>1.0115366795579708</v>
      </c>
      <c r="V564" s="6">
        <f>2*sigma/alpha*corel*(B564/12-1/alpha*(1-EXP(-alpha*Output!B564/12)))</f>
        <v>3.1300695292481047</v>
      </c>
      <c r="W564" s="5">
        <f t="shared" si="110"/>
        <v>-0.54877877410010134</v>
      </c>
      <c r="X564" s="1">
        <f t="shared" si="111"/>
        <v>110.95555595037946</v>
      </c>
      <c r="Y564" s="3">
        <f t="shared" si="112"/>
        <v>8.0327032092346387E-2</v>
      </c>
      <c r="Z564" s="1">
        <f t="shared" si="102"/>
        <v>0.18400696505754047</v>
      </c>
      <c r="AA564" s="8">
        <f t="shared" si="107"/>
        <v>46.000000000000213</v>
      </c>
      <c r="AB564" s="1">
        <v>46.08</v>
      </c>
      <c r="AC564" s="1">
        <v>7.5606212990000001E-3</v>
      </c>
      <c r="AD564" s="8">
        <f t="shared" si="103"/>
        <v>2.2821391865452192</v>
      </c>
      <c r="AE564" s="3">
        <f t="shared" si="104"/>
        <v>3.01845456384261E-2</v>
      </c>
      <c r="AF564" s="11">
        <f t="shared" si="105"/>
        <v>46.000000000000213</v>
      </c>
      <c r="AG564" s="1">
        <f t="shared" si="106"/>
        <v>0.18400696505754047</v>
      </c>
    </row>
    <row r="565" spans="2:33" ht="15" x14ac:dyDescent="0.25">
      <c r="B565" s="1">
        <v>554</v>
      </c>
      <c r="C565" s="1">
        <v>1.0009525691257182</v>
      </c>
      <c r="D565" s="1">
        <v>1.2211245867884282</v>
      </c>
      <c r="E565" s="1">
        <v>0.81770160546632364</v>
      </c>
      <c r="G565" s="1">
        <v>0.99840726581446415</v>
      </c>
      <c r="H565" s="1">
        <v>5.1580771893581421</v>
      </c>
      <c r="I565" s="1">
        <v>0.14816718043804367</v>
      </c>
      <c r="K565" s="1">
        <v>0.99817205834221889</v>
      </c>
      <c r="L565" s="1">
        <v>8.6485464192692572</v>
      </c>
      <c r="M565" s="1">
        <v>8.604463481293699E-2</v>
      </c>
      <c r="O565" s="1">
        <v>7.3325708257517839E-3</v>
      </c>
      <c r="P565" s="1">
        <v>0.71282427104174229</v>
      </c>
      <c r="R565" s="1">
        <v>0.27003847582875545</v>
      </c>
      <c r="S565" s="2">
        <f t="shared" si="108"/>
        <v>1.2505517098531505</v>
      </c>
      <c r="T565" s="4">
        <f t="shared" si="109"/>
        <v>1.5638795790166382</v>
      </c>
      <c r="U565" s="1">
        <f t="shared" si="101"/>
        <v>1.0152289777881145</v>
      </c>
      <c r="V565" s="6">
        <f>2*sigma/alpha*corel*(B565/12-1/alpha*(1-EXP(-alpha*Output!B565/12)))</f>
        <v>3.1388400980600886</v>
      </c>
      <c r="W565" s="5">
        <f t="shared" si="110"/>
        <v>-0.54865060122852372</v>
      </c>
      <c r="X565" s="1">
        <f t="shared" si="111"/>
        <v>111.1697948547239</v>
      </c>
      <c r="Y565" s="3">
        <f t="shared" si="112"/>
        <v>8.0197133748293625E-2</v>
      </c>
      <c r="Z565" s="1">
        <f t="shared" si="102"/>
        <v>0.18405066672234038</v>
      </c>
      <c r="AA565" s="8">
        <f t="shared" si="107"/>
        <v>46.083333333333549</v>
      </c>
      <c r="AB565" s="1">
        <v>46.17</v>
      </c>
      <c r="AC565" s="1">
        <v>7.5604100390000003E-3</v>
      </c>
      <c r="AD565" s="8">
        <f t="shared" si="103"/>
        <v>2.2783921324821645</v>
      </c>
      <c r="AE565" s="3">
        <f t="shared" si="104"/>
        <v>3.0135827563970628E-2</v>
      </c>
      <c r="AF565" s="11">
        <f t="shared" si="105"/>
        <v>46.083333333333549</v>
      </c>
      <c r="AG565" s="1">
        <f t="shared" si="106"/>
        <v>0.18405066672234038</v>
      </c>
    </row>
    <row r="566" spans="2:33" ht="15" x14ac:dyDescent="0.25">
      <c r="B566" s="1">
        <v>555</v>
      </c>
      <c r="C566" s="1">
        <v>1.0009518204313999</v>
      </c>
      <c r="D566" s="1">
        <v>1.2154465890664703</v>
      </c>
      <c r="E566" s="1">
        <v>0.82151904748964144</v>
      </c>
      <c r="G566" s="1">
        <v>0.99819641555686789</v>
      </c>
      <c r="H566" s="1">
        <v>4.9440916090741718</v>
      </c>
      <c r="I566" s="1">
        <v>0.15450514037048751</v>
      </c>
      <c r="K566" s="1">
        <v>0.9980351985763386</v>
      </c>
      <c r="L566" s="1">
        <v>8.5162963959591096</v>
      </c>
      <c r="M566" s="1">
        <v>8.7334877590232271E-2</v>
      </c>
      <c r="O566" s="1">
        <v>7.332847497434374E-3</v>
      </c>
      <c r="P566" s="1">
        <v>0.7123797188379466</v>
      </c>
      <c r="R566" s="1">
        <v>0.27031422854870718</v>
      </c>
      <c r="S566" s="2">
        <f t="shared" si="108"/>
        <v>1.2526486204829104</v>
      </c>
      <c r="T566" s="4">
        <f t="shared" si="109"/>
        <v>1.5691285663977383</v>
      </c>
      <c r="U566" s="1">
        <f t="shared" si="101"/>
        <v>1.0189258896751339</v>
      </c>
      <c r="V566" s="6">
        <f>2*sigma/alpha*corel*(B566/12-1/alpha*(1-EXP(-alpha*Output!B566/12)))</f>
        <v>3.1476161447300863</v>
      </c>
      <c r="W566" s="5">
        <f t="shared" si="110"/>
        <v>-0.55020267672260448</v>
      </c>
      <c r="X566" s="1">
        <f t="shared" si="111"/>
        <v>111.69498258824731</v>
      </c>
      <c r="Y566" s="3">
        <f t="shared" si="112"/>
        <v>8.022668709789707E-2</v>
      </c>
      <c r="Z566" s="1">
        <f t="shared" si="102"/>
        <v>0.18419311642493449</v>
      </c>
      <c r="AA566" s="8">
        <f t="shared" si="107"/>
        <v>46.166666666666885</v>
      </c>
      <c r="AB566" s="1">
        <v>46.25</v>
      </c>
      <c r="AC566" s="1">
        <v>7.5601995410000001E-3</v>
      </c>
      <c r="AD566" s="8">
        <f t="shared" si="103"/>
        <v>2.2735204356562604</v>
      </c>
      <c r="AE566" s="3">
        <f t="shared" si="104"/>
        <v>3.0072227899894007E-2</v>
      </c>
      <c r="AF566" s="11">
        <f t="shared" si="105"/>
        <v>46.166666666666885</v>
      </c>
      <c r="AG566" s="1">
        <f t="shared" si="106"/>
        <v>0.18419311642493449</v>
      </c>
    </row>
    <row r="567" spans="2:33" ht="15" x14ac:dyDescent="0.25">
      <c r="B567" s="1">
        <v>556</v>
      </c>
      <c r="C567" s="1">
        <v>1.0009533019379211</v>
      </c>
      <c r="D567" s="1">
        <v>1.2157576583859047</v>
      </c>
      <c r="E567" s="1">
        <v>0.82130636885522235</v>
      </c>
      <c r="G567" s="1">
        <v>0.99816976217430764</v>
      </c>
      <c r="H567" s="1">
        <v>4.9247248528953929</v>
      </c>
      <c r="I567" s="1">
        <v>0.15503760746234763</v>
      </c>
      <c r="K567" s="1">
        <v>0.99803980928370639</v>
      </c>
      <c r="L567" s="1">
        <v>8.3794717500203735</v>
      </c>
      <c r="M567" s="1">
        <v>8.8715072448981219E-2</v>
      </c>
      <c r="O567" s="1">
        <v>7.333140484857328E-3</v>
      </c>
      <c r="P567" s="1">
        <v>0.71193487285362966</v>
      </c>
      <c r="R567" s="1">
        <v>0.27049537707200461</v>
      </c>
      <c r="S567" s="2">
        <f t="shared" si="108"/>
        <v>1.2543939840300833</v>
      </c>
      <c r="T567" s="4">
        <f t="shared" si="109"/>
        <v>1.5735042671708648</v>
      </c>
      <c r="U567" s="1">
        <f t="shared" si="101"/>
        <v>1.0226274027320783</v>
      </c>
      <c r="V567" s="6">
        <f>2*sigma/alpha*corel*(B567/12-1/alpha*(1-EXP(-alpha*Output!B567/12)))</f>
        <v>3.15639765102897</v>
      </c>
      <c r="W567" s="5">
        <f t="shared" si="110"/>
        <v>-0.55087686443878647</v>
      </c>
      <c r="X567" s="1">
        <f t="shared" si="111"/>
        <v>112.05869167407629</v>
      </c>
      <c r="Y567" s="3">
        <f t="shared" si="112"/>
        <v>8.017316709719724E-2</v>
      </c>
      <c r="Z567" s="1">
        <f t="shared" si="102"/>
        <v>0.18428381304902819</v>
      </c>
      <c r="AA567" s="8">
        <f t="shared" si="107"/>
        <v>46.25000000000022</v>
      </c>
      <c r="AB567" s="1">
        <v>46.33</v>
      </c>
      <c r="AC567" s="1">
        <v>7.5599898019999999E-3</v>
      </c>
      <c r="AD567" s="8">
        <f t="shared" si="103"/>
        <v>2.268493171426718</v>
      </c>
      <c r="AE567" s="3">
        <f t="shared" si="104"/>
        <v>3.0006563908678646E-2</v>
      </c>
      <c r="AF567" s="11">
        <f t="shared" si="105"/>
        <v>46.25000000000022</v>
      </c>
      <c r="AG567" s="1">
        <f t="shared" si="106"/>
        <v>0.18428381304902819</v>
      </c>
    </row>
    <row r="568" spans="2:33" ht="15" x14ac:dyDescent="0.25">
      <c r="B568" s="1">
        <v>557</v>
      </c>
      <c r="C568" s="1">
        <v>1.0009576146111361</v>
      </c>
      <c r="D568" s="1">
        <v>1.2165029188236258</v>
      </c>
      <c r="E568" s="1">
        <v>0.82080073153536826</v>
      </c>
      <c r="G568" s="1">
        <v>0.99841186688654071</v>
      </c>
      <c r="H568" s="1">
        <v>4.9776171335238981</v>
      </c>
      <c r="I568" s="1">
        <v>0.1533158747134743</v>
      </c>
      <c r="K568" s="1">
        <v>0.99801635134844868</v>
      </c>
      <c r="L568" s="1">
        <v>8.5920051393467993</v>
      </c>
      <c r="M568" s="1">
        <v>8.6475459347648442E-2</v>
      </c>
      <c r="O568" s="1">
        <v>7.3335515514433153E-3</v>
      </c>
      <c r="P568" s="1">
        <v>0.71148637035626627</v>
      </c>
      <c r="R568" s="1">
        <v>0.27082623353503715</v>
      </c>
      <c r="S568" s="2">
        <f t="shared" si="108"/>
        <v>1.2567123539711618</v>
      </c>
      <c r="T568" s="4">
        <f t="shared" si="109"/>
        <v>1.5793259406237385</v>
      </c>
      <c r="U568" s="1">
        <f t="shared" si="101"/>
        <v>1.0263335044945086</v>
      </c>
      <c r="V568" s="6">
        <f>2*sigma/alpha*corel*(B568/12-1/alpha*(1-EXP(-alpha*Output!B568/12)))</f>
        <v>3.1651845987882723</v>
      </c>
      <c r="W568" s="5">
        <f t="shared" si="110"/>
        <v>-0.55299243612922999</v>
      </c>
      <c r="X568" s="1">
        <f t="shared" si="111"/>
        <v>112.69065585240018</v>
      </c>
      <c r="Y568" s="3">
        <f t="shared" si="112"/>
        <v>8.0255665178909585E-2</v>
      </c>
      <c r="Z568" s="1">
        <f t="shared" si="102"/>
        <v>0.18445860072515161</v>
      </c>
      <c r="AA568" s="8">
        <f t="shared" si="107"/>
        <v>46.333333333333556</v>
      </c>
      <c r="AB568" s="1">
        <v>46.42</v>
      </c>
      <c r="AC568" s="1">
        <v>7.5597808179999997E-3</v>
      </c>
      <c r="AD568" s="8">
        <f t="shared" si="103"/>
        <v>2.2622926655668438</v>
      </c>
      <c r="AE568" s="3">
        <f t="shared" si="104"/>
        <v>2.9925373764544561E-2</v>
      </c>
      <c r="AF568" s="11">
        <f t="shared" si="105"/>
        <v>46.333333333333556</v>
      </c>
      <c r="AG568" s="1">
        <f t="shared" si="106"/>
        <v>0.18445860072515161</v>
      </c>
    </row>
    <row r="569" spans="2:33" ht="15" x14ac:dyDescent="0.25">
      <c r="B569" s="1">
        <v>558</v>
      </c>
      <c r="C569" s="1">
        <v>1.0009607819980622</v>
      </c>
      <c r="D569" s="1">
        <v>1.2186344941228509</v>
      </c>
      <c r="E569" s="1">
        <v>0.8193625427958221</v>
      </c>
      <c r="G569" s="1">
        <v>0.99847844154470966</v>
      </c>
      <c r="H569" s="1">
        <v>5.0667129672725526</v>
      </c>
      <c r="I569" s="1">
        <v>0.15054692686756208</v>
      </c>
      <c r="K569" s="1">
        <v>0.99796777216337429</v>
      </c>
      <c r="L569" s="1">
        <v>8.423583076402009</v>
      </c>
      <c r="M569" s="1">
        <v>8.8153260669378147E-2</v>
      </c>
      <c r="O569" s="1">
        <v>7.3340026217992727E-3</v>
      </c>
      <c r="P569" s="1">
        <v>0.71103677903680984</v>
      </c>
      <c r="R569" s="1">
        <v>0.27089410297722832</v>
      </c>
      <c r="S569" s="2">
        <f t="shared" si="108"/>
        <v>1.2580479238777806</v>
      </c>
      <c r="T569" s="4">
        <f t="shared" si="109"/>
        <v>1.5826845787731942</v>
      </c>
      <c r="U569" s="1">
        <f t="shared" ref="U569:U632" si="113">sigma*sigma/alpha/alpha*(B569/12+2/alpha*EXP(-alpha*B569/12)-1/2/alpha*EXP(-2*alpha*B569/12)-3/2/alpha)</f>
        <v>1.0300441825205455</v>
      </c>
      <c r="V569" s="6">
        <f>2*sigma/alpha*corel*(B569/12-1/alpha*(1-EXP(-alpha*Output!B569/12)))</f>
        <v>3.1739769698999916</v>
      </c>
      <c r="W569" s="5">
        <f t="shared" si="110"/>
        <v>-0.55264039625264871</v>
      </c>
      <c r="X569" s="1">
        <f t="shared" si="111"/>
        <v>112.86524350844819</v>
      </c>
      <c r="Y569" s="3">
        <f t="shared" si="112"/>
        <v>8.0105683223917201E-2</v>
      </c>
      <c r="Z569" s="1">
        <f t="shared" si="102"/>
        <v>0.18448909859527962</v>
      </c>
      <c r="AA569" s="8">
        <f t="shared" si="107"/>
        <v>46.416666666666892</v>
      </c>
      <c r="AB569" s="1">
        <v>46.5</v>
      </c>
      <c r="AC569" s="1">
        <v>7.5595725839999999E-3</v>
      </c>
      <c r="AD569" s="8">
        <f t="shared" si="103"/>
        <v>2.2556996220072718</v>
      </c>
      <c r="AE569" s="3">
        <f t="shared" si="104"/>
        <v>2.9838983579329726E-2</v>
      </c>
      <c r="AF569" s="11">
        <f t="shared" si="105"/>
        <v>46.416666666666892</v>
      </c>
      <c r="AG569" s="1">
        <f t="shared" si="106"/>
        <v>0.18448909859527962</v>
      </c>
    </row>
    <row r="570" spans="2:33" ht="15" x14ac:dyDescent="0.25">
      <c r="B570" s="1">
        <v>559</v>
      </c>
      <c r="C570" s="1">
        <v>1.0009642520087261</v>
      </c>
      <c r="D570" s="1">
        <v>1.2213382932148178</v>
      </c>
      <c r="E570" s="1">
        <v>0.81754615440086009</v>
      </c>
      <c r="G570" s="1">
        <v>0.99861164713921968</v>
      </c>
      <c r="H570" s="1">
        <v>5.165277599964206</v>
      </c>
      <c r="I570" s="1">
        <v>0.14760263500893137</v>
      </c>
      <c r="K570" s="1">
        <v>0.99778193629700829</v>
      </c>
      <c r="L570" s="1">
        <v>8.3598460975892284</v>
      </c>
      <c r="M570" s="1">
        <v>8.8779282235803517E-2</v>
      </c>
      <c r="O570" s="1">
        <v>7.3345612706179862E-3</v>
      </c>
      <c r="P570" s="1">
        <v>0.7105838573923825</v>
      </c>
      <c r="R570" s="1">
        <v>0.27120774978996415</v>
      </c>
      <c r="S570" s="2">
        <f t="shared" si="108"/>
        <v>1.2603174739105374</v>
      </c>
      <c r="T570" s="4">
        <f t="shared" si="109"/>
        <v>1.588400135044238</v>
      </c>
      <c r="U570" s="1">
        <f t="shared" si="113"/>
        <v>1.0337594243909192</v>
      </c>
      <c r="V570" s="6">
        <f>2*sigma/alpha*corel*(B570/12-1/alpha*(1-EXP(-alpha*Output!B570/12)))</f>
        <v>3.1827747463163814</v>
      </c>
      <c r="W570" s="5">
        <f t="shared" si="110"/>
        <v>-0.55464071065331888</v>
      </c>
      <c r="X570" s="1">
        <f t="shared" si="111"/>
        <v>113.47810750419107</v>
      </c>
      <c r="Y570" s="3">
        <f t="shared" si="112"/>
        <v>8.0177126455021494E-2</v>
      </c>
      <c r="Z570" s="1">
        <f t="shared" si="102"/>
        <v>0.18465653278273053</v>
      </c>
      <c r="AA570" s="8">
        <f t="shared" si="107"/>
        <v>46.500000000000227</v>
      </c>
      <c r="AB570" s="1">
        <v>46.58</v>
      </c>
      <c r="AC570" s="1">
        <v>7.5593650970000002E-3</v>
      </c>
      <c r="AD570" s="8">
        <f t="shared" si="103"/>
        <v>2.2480382638201402</v>
      </c>
      <c r="AE570" s="3">
        <f t="shared" si="104"/>
        <v>2.973845336180804E-2</v>
      </c>
      <c r="AF570" s="11">
        <f t="shared" si="105"/>
        <v>46.500000000000227</v>
      </c>
      <c r="AG570" s="1">
        <f t="shared" si="106"/>
        <v>0.18465653278273053</v>
      </c>
    </row>
    <row r="571" spans="2:33" ht="15" x14ac:dyDescent="0.25">
      <c r="B571" s="1">
        <v>560</v>
      </c>
      <c r="C571" s="1">
        <v>1.0009706640347185</v>
      </c>
      <c r="D571" s="1">
        <v>1.2277658019494002</v>
      </c>
      <c r="E571" s="1">
        <v>0.81326372159933047</v>
      </c>
      <c r="G571" s="1">
        <v>0.99902624568709364</v>
      </c>
      <c r="H571" s="1">
        <v>5.4145513806257863</v>
      </c>
      <c r="I571" s="1">
        <v>0.14073913485543102</v>
      </c>
      <c r="K571" s="1">
        <v>0.99772448654318058</v>
      </c>
      <c r="L571" s="1">
        <v>8.0634521236045558</v>
      </c>
      <c r="M571" s="1">
        <v>9.199577478341732E-2</v>
      </c>
      <c r="O571" s="1">
        <v>7.3351857939114307E-3</v>
      </c>
      <c r="P571" s="1">
        <v>0.710128975093683</v>
      </c>
      <c r="R571" s="1">
        <v>0.27143354584409879</v>
      </c>
      <c r="S571" s="2">
        <f t="shared" si="108"/>
        <v>1.2622639624143874</v>
      </c>
      <c r="T571" s="4">
        <f t="shared" si="109"/>
        <v>1.5933103108100701</v>
      </c>
      <c r="U571" s="1">
        <f t="shared" si="113"/>
        <v>1.0374792177090213</v>
      </c>
      <c r="V571" s="6">
        <f>2*sigma/alpha*corel*(B571/12-1/alpha*(1-EXP(-alpha*Output!B571/12)))</f>
        <v>3.1915779100497543</v>
      </c>
      <c r="W571" s="5">
        <f t="shared" si="110"/>
        <v>-0.55583109310104883</v>
      </c>
      <c r="X571" s="1">
        <f t="shared" si="111"/>
        <v>113.94130693478002</v>
      </c>
      <c r="Y571" s="3">
        <f t="shared" si="112"/>
        <v>8.0172336787606754E-2</v>
      </c>
      <c r="Z571" s="1">
        <f t="shared" si="102"/>
        <v>0.18477652395007579</v>
      </c>
      <c r="AA571" s="8">
        <f t="shared" si="107"/>
        <v>46.583333333333563</v>
      </c>
      <c r="AB571" s="1">
        <v>46.67</v>
      </c>
      <c r="AC571" s="1">
        <v>7.5591583520000002E-3</v>
      </c>
      <c r="AD571" s="8">
        <f t="shared" si="103"/>
        <v>2.2397255808856951</v>
      </c>
      <c r="AE571" s="3">
        <f t="shared" si="104"/>
        <v>2.9629298350299926E-2</v>
      </c>
      <c r="AF571" s="11">
        <f t="shared" si="105"/>
        <v>46.583333333333563</v>
      </c>
      <c r="AG571" s="1">
        <f t="shared" si="106"/>
        <v>0.18477652395007579</v>
      </c>
    </row>
    <row r="572" spans="2:33" ht="15" x14ac:dyDescent="0.25">
      <c r="B572" s="1">
        <v>561</v>
      </c>
      <c r="C572" s="1">
        <v>1.000971591814213</v>
      </c>
      <c r="D572" s="1">
        <v>1.2260906271028689</v>
      </c>
      <c r="E572" s="1">
        <v>0.81437237972185905</v>
      </c>
      <c r="G572" s="1">
        <v>0.99894218007690083</v>
      </c>
      <c r="H572" s="1">
        <v>5.3521356558511091</v>
      </c>
      <c r="I572" s="1">
        <v>0.14231144260055448</v>
      </c>
      <c r="K572" s="1">
        <v>0.99764892488972601</v>
      </c>
      <c r="L572" s="1">
        <v>7.9857909855474993</v>
      </c>
      <c r="M572" s="1">
        <v>9.2837279513712442E-2</v>
      </c>
      <c r="O572" s="1">
        <v>7.3358217458137937E-3</v>
      </c>
      <c r="P572" s="1">
        <v>0.70967393095117948</v>
      </c>
      <c r="R572" s="1">
        <v>0.27169943025591287</v>
      </c>
      <c r="S572" s="2">
        <f t="shared" si="108"/>
        <v>1.264364399530338</v>
      </c>
      <c r="T572" s="4">
        <f t="shared" si="109"/>
        <v>1.5986173347997121</v>
      </c>
      <c r="U572" s="1">
        <f t="shared" si="113"/>
        <v>1.0412035501009536</v>
      </c>
      <c r="V572" s="6">
        <f>2*sigma/alpha*corel*(B572/12-1/alpha*(1-EXP(-alpha*Output!B572/12)))</f>
        <v>3.2003864431722855</v>
      </c>
      <c r="W572" s="5">
        <f t="shared" si="110"/>
        <v>-0.55741378469875857</v>
      </c>
      <c r="X572" s="1">
        <f t="shared" si="111"/>
        <v>114.4788511243088</v>
      </c>
      <c r="Y572" s="3">
        <f t="shared" si="112"/>
        <v>8.0204198595128798E-2</v>
      </c>
      <c r="Z572" s="1">
        <f t="shared" si="102"/>
        <v>0.18491896388491882</v>
      </c>
      <c r="AA572" s="8">
        <f t="shared" si="107"/>
        <v>46.666666666666899</v>
      </c>
      <c r="AB572" s="1">
        <v>46.75</v>
      </c>
      <c r="AC572" s="1">
        <v>7.5589523449999998E-3</v>
      </c>
      <c r="AD572" s="8">
        <f t="shared" si="103"/>
        <v>2.2313059918620608</v>
      </c>
      <c r="AE572" s="3">
        <f t="shared" si="104"/>
        <v>2.9518720187963574E-2</v>
      </c>
      <c r="AF572" s="11">
        <f t="shared" si="105"/>
        <v>46.666666666666899</v>
      </c>
      <c r="AG572" s="1">
        <f t="shared" si="106"/>
        <v>0.18491896388491882</v>
      </c>
    </row>
    <row r="573" spans="2:33" ht="15" x14ac:dyDescent="0.25">
      <c r="B573" s="1">
        <v>562</v>
      </c>
      <c r="C573" s="1">
        <v>1.0009795789553491</v>
      </c>
      <c r="D573" s="1">
        <v>1.2246977921771647</v>
      </c>
      <c r="E573" s="1">
        <v>0.81529606510649777</v>
      </c>
      <c r="G573" s="1">
        <v>0.99945250113446271</v>
      </c>
      <c r="H573" s="1">
        <v>5.2995180701011764</v>
      </c>
      <c r="I573" s="1">
        <v>0.14365479642930071</v>
      </c>
      <c r="K573" s="1">
        <v>0.997565128659052</v>
      </c>
      <c r="L573" s="1">
        <v>8.2618264502080443</v>
      </c>
      <c r="M573" s="1">
        <v>8.9690163487599853E-2</v>
      </c>
      <c r="O573" s="1">
        <v>7.3364456766628816E-3</v>
      </c>
      <c r="P573" s="1">
        <v>0.70921950250578558</v>
      </c>
      <c r="R573" s="1">
        <v>0.27194414949050699</v>
      </c>
      <c r="S573" s="2">
        <f t="shared" si="108"/>
        <v>1.266386218803172</v>
      </c>
      <c r="T573" s="4">
        <f t="shared" si="109"/>
        <v>1.6037340551745956</v>
      </c>
      <c r="U573" s="1">
        <f t="shared" si="113"/>
        <v>1.0449324092155741</v>
      </c>
      <c r="V573" s="6">
        <f>2*sigma/alpha*corel*(B573/12-1/alpha*(1-EXP(-alpha*Output!B573/12)))</f>
        <v>3.2092003278158074</v>
      </c>
      <c r="W573" s="5">
        <f t="shared" si="110"/>
        <v>-0.55880164595902149</v>
      </c>
      <c r="X573" s="1">
        <f t="shared" si="111"/>
        <v>114.98114175370978</v>
      </c>
      <c r="Y573" s="3">
        <f t="shared" si="112"/>
        <v>8.0217711679335432E-2</v>
      </c>
      <c r="Z573" s="1">
        <f t="shared" si="102"/>
        <v>0.18504980892475259</v>
      </c>
      <c r="AA573" s="8">
        <f t="shared" si="107"/>
        <v>46.750000000000234</v>
      </c>
      <c r="AB573" s="1">
        <v>46.83</v>
      </c>
      <c r="AC573" s="1">
        <v>7.5587470730000004E-3</v>
      </c>
      <c r="AD573" s="8">
        <f t="shared" si="103"/>
        <v>2.2230139633711876</v>
      </c>
      <c r="AE573" s="3">
        <f t="shared" si="104"/>
        <v>2.9409820726927605E-2</v>
      </c>
      <c r="AF573" s="11">
        <f t="shared" si="105"/>
        <v>46.750000000000234</v>
      </c>
      <c r="AG573" s="1">
        <f t="shared" si="106"/>
        <v>0.18504980892475259</v>
      </c>
    </row>
    <row r="574" spans="2:33" ht="15" x14ac:dyDescent="0.25">
      <c r="B574" s="1">
        <v>563</v>
      </c>
      <c r="C574" s="1">
        <v>1.0009798201512963</v>
      </c>
      <c r="D574" s="1">
        <v>1.2325954515743323</v>
      </c>
      <c r="E574" s="1">
        <v>0.81006970636463838</v>
      </c>
      <c r="G574" s="1">
        <v>0.99936804556769421</v>
      </c>
      <c r="H574" s="1">
        <v>5.6168677213162423</v>
      </c>
      <c r="I574" s="1">
        <v>0.13547273084241454</v>
      </c>
      <c r="K574" s="1">
        <v>0.99733029321758748</v>
      </c>
      <c r="L574" s="1">
        <v>8.2963430551173865</v>
      </c>
      <c r="M574" s="1">
        <v>8.9271038302945555E-2</v>
      </c>
      <c r="O574" s="1">
        <v>7.3370779564995211E-3</v>
      </c>
      <c r="P574" s="1">
        <v>0.70876501371497858</v>
      </c>
      <c r="R574" s="1">
        <v>0.27207147086300182</v>
      </c>
      <c r="S574" s="2">
        <f t="shared" si="108"/>
        <v>1.2679673578388997</v>
      </c>
      <c r="T574" s="4">
        <f t="shared" si="109"/>
        <v>1.6077412205449604</v>
      </c>
      <c r="U574" s="1">
        <f t="shared" si="113"/>
        <v>1.048665782724544</v>
      </c>
      <c r="V574" s="6">
        <f>2*sigma/alpha*corel*(B574/12-1/alpha*(1-EXP(-alpha*Output!B574/12)))</f>
        <v>3.2180195461716128</v>
      </c>
      <c r="W574" s="5">
        <f t="shared" si="110"/>
        <v>-0.55907543782041635</v>
      </c>
      <c r="X574" s="1">
        <f t="shared" si="111"/>
        <v>115.27547363050735</v>
      </c>
      <c r="Y574" s="3">
        <f t="shared" si="112"/>
        <v>8.0127411264542342E-2</v>
      </c>
      <c r="Z574" s="1">
        <f t="shared" si="102"/>
        <v>0.18511623081289269</v>
      </c>
      <c r="AA574" s="8">
        <f t="shared" si="107"/>
        <v>46.83333333333357</v>
      </c>
      <c r="AB574" s="1">
        <v>46.92</v>
      </c>
      <c r="AC574" s="1">
        <v>7.5585425309999997E-3</v>
      </c>
      <c r="AD574" s="8">
        <f t="shared" si="103"/>
        <v>2.2146457450047863</v>
      </c>
      <c r="AE574" s="3">
        <f t="shared" si="104"/>
        <v>2.929990452420974E-2</v>
      </c>
      <c r="AF574" s="11">
        <f t="shared" si="105"/>
        <v>46.83333333333357</v>
      </c>
      <c r="AG574" s="1">
        <f t="shared" si="106"/>
        <v>0.18511623081289269</v>
      </c>
    </row>
    <row r="575" spans="2:33" ht="15" x14ac:dyDescent="0.25">
      <c r="B575" s="1">
        <v>564</v>
      </c>
      <c r="C575" s="1">
        <v>1.0009777900031933</v>
      </c>
      <c r="D575" s="1">
        <v>1.2358725575234817</v>
      </c>
      <c r="E575" s="1">
        <v>0.80791920540194928</v>
      </c>
      <c r="G575" s="1">
        <v>0.99906584327300063</v>
      </c>
      <c r="H575" s="1">
        <v>5.7550953617282676</v>
      </c>
      <c r="I575" s="1">
        <v>0.13215485685741013</v>
      </c>
      <c r="K575" s="1">
        <v>0.99714247781663623</v>
      </c>
      <c r="L575" s="1">
        <v>8.1758871501628398</v>
      </c>
      <c r="M575" s="1">
        <v>9.0537816175540936E-2</v>
      </c>
      <c r="O575" s="1">
        <v>7.3377570058367082E-3</v>
      </c>
      <c r="P575" s="1">
        <v>0.7083091845489824</v>
      </c>
      <c r="R575" s="1">
        <v>0.2722123038532015</v>
      </c>
      <c r="S575" s="2">
        <f t="shared" si="108"/>
        <v>1.2696045961200462</v>
      </c>
      <c r="T575" s="4">
        <f t="shared" si="109"/>
        <v>1.6118958304891455</v>
      </c>
      <c r="U575" s="1">
        <f t="shared" si="113"/>
        <v>1.0524036583223739</v>
      </c>
      <c r="V575" s="6">
        <f>2*sigma/alpha*corel*(B575/12-1/alpha*(1-EXP(-alpha*Output!B575/12)))</f>
        <v>3.2268440804902623</v>
      </c>
      <c r="W575" s="5">
        <f t="shared" si="110"/>
        <v>-0.55949217216677161</v>
      </c>
      <c r="X575" s="1">
        <f t="shared" si="111"/>
        <v>115.5970510871481</v>
      </c>
      <c r="Y575" s="3">
        <f t="shared" si="112"/>
        <v>8.0050668369350167E-2</v>
      </c>
      <c r="Z575" s="1">
        <f t="shared" si="102"/>
        <v>0.1851908636187384</v>
      </c>
      <c r="AA575" s="8">
        <f t="shared" si="107"/>
        <v>46.916666666666906</v>
      </c>
      <c r="AB575" s="1">
        <v>47</v>
      </c>
      <c r="AC575" s="1">
        <v>7.5583387160000001E-3</v>
      </c>
      <c r="AD575" s="8">
        <f t="shared" si="103"/>
        <v>2.2058171016329196</v>
      </c>
      <c r="AE575" s="3">
        <f t="shared" si="104"/>
        <v>2.9183887948333109E-2</v>
      </c>
      <c r="AF575" s="11">
        <f t="shared" si="105"/>
        <v>46.916666666666906</v>
      </c>
      <c r="AG575" s="1">
        <f t="shared" si="106"/>
        <v>0.1851908636187384</v>
      </c>
    </row>
    <row r="576" spans="2:33" ht="15" x14ac:dyDescent="0.25">
      <c r="B576" s="1">
        <v>565</v>
      </c>
      <c r="C576" s="1">
        <v>1.0009800527897974</v>
      </c>
      <c r="D576" s="1">
        <v>1.2377679809307793</v>
      </c>
      <c r="E576" s="1">
        <v>0.80667954163552269</v>
      </c>
      <c r="G576" s="1">
        <v>0.9990980384979572</v>
      </c>
      <c r="H576" s="1">
        <v>5.8326829275179222</v>
      </c>
      <c r="I576" s="1">
        <v>0.13033373878197968</v>
      </c>
      <c r="K576" s="1">
        <v>0.99705280441820243</v>
      </c>
      <c r="L576" s="1">
        <v>8.3439072047851628</v>
      </c>
      <c r="M576" s="1">
        <v>8.8666629303389963E-2</v>
      </c>
      <c r="O576" s="1">
        <v>7.338363478790029E-3</v>
      </c>
      <c r="P576" s="1">
        <v>0.70785598726737786</v>
      </c>
      <c r="R576" s="1">
        <v>0.2724199810999865</v>
      </c>
      <c r="S576" s="2">
        <f t="shared" si="108"/>
        <v>1.2714902269547912</v>
      </c>
      <c r="T576" s="4">
        <f t="shared" si="109"/>
        <v>1.6166873972415463</v>
      </c>
      <c r="U576" s="1">
        <f t="shared" si="113"/>
        <v>1.0561460237264688</v>
      </c>
      <c r="V576" s="6">
        <f>2*sigma/alpha*corel*(B576/12-1/alpha*(1-EXP(-alpha*Output!B576/12)))</f>
        <v>3.2356739130813779</v>
      </c>
      <c r="W576" s="5">
        <f t="shared" si="110"/>
        <v>-0.56054137351507749</v>
      </c>
      <c r="X576" s="1">
        <f t="shared" si="111"/>
        <v>116.03821101713494</v>
      </c>
      <c r="Y576" s="3">
        <f t="shared" si="112"/>
        <v>8.0032879190078676E-2</v>
      </c>
      <c r="Z576" s="1">
        <f t="shared" si="102"/>
        <v>0.18530170933166371</v>
      </c>
      <c r="AA576" s="8">
        <f t="shared" si="107"/>
        <v>47.000000000000242</v>
      </c>
      <c r="AB576" s="1">
        <v>47.08</v>
      </c>
      <c r="AC576" s="1">
        <v>7.5581356239999998E-3</v>
      </c>
      <c r="AD576" s="8">
        <f t="shared" si="103"/>
        <v>2.1977214520997079</v>
      </c>
      <c r="AE576" s="3">
        <f t="shared" si="104"/>
        <v>2.9077560412135148E-2</v>
      </c>
      <c r="AF576" s="11">
        <f t="shared" si="105"/>
        <v>47.000000000000242</v>
      </c>
      <c r="AG576" s="1">
        <f t="shared" si="106"/>
        <v>0.18530170933166371</v>
      </c>
    </row>
    <row r="577" spans="2:33" ht="15" x14ac:dyDescent="0.25">
      <c r="B577" s="1">
        <v>566</v>
      </c>
      <c r="C577" s="1">
        <v>1.000983683024804</v>
      </c>
      <c r="D577" s="1">
        <v>1.242489674411513</v>
      </c>
      <c r="E577" s="1">
        <v>0.80361153572235522</v>
      </c>
      <c r="G577" s="1">
        <v>0.99927125293936536</v>
      </c>
      <c r="H577" s="1">
        <v>6.0309109439499169</v>
      </c>
      <c r="I577" s="1">
        <v>0.12598878096018692</v>
      </c>
      <c r="K577" s="1">
        <v>0.997134514488077</v>
      </c>
      <c r="L577" s="1">
        <v>8.2319275704490948</v>
      </c>
      <c r="M577" s="1">
        <v>8.9826025275882099E-2</v>
      </c>
      <c r="O577" s="1">
        <v>7.3389852273569251E-3</v>
      </c>
      <c r="P577" s="1">
        <v>0.70740249876787964</v>
      </c>
      <c r="R577" s="1">
        <v>0.27263552854140227</v>
      </c>
      <c r="S577" s="2">
        <f t="shared" si="108"/>
        <v>1.2734086999717096</v>
      </c>
      <c r="T577" s="4">
        <f t="shared" si="109"/>
        <v>1.6215697171636394</v>
      </c>
      <c r="U577" s="1">
        <f t="shared" si="113"/>
        <v>1.059892866677171</v>
      </c>
      <c r="V577" s="6">
        <f>2*sigma/alpha*corel*(B577/12-1/alpha*(1-EXP(-alpha*Output!B577/12)))</f>
        <v>3.2445090263134535</v>
      </c>
      <c r="W577" s="5">
        <f t="shared" si="110"/>
        <v>-0.56167685048646843</v>
      </c>
      <c r="X577" s="1">
        <f t="shared" si="111"/>
        <v>116.49653794694318</v>
      </c>
      <c r="Y577" s="3">
        <f t="shared" si="112"/>
        <v>8.0023114859847144E-2</v>
      </c>
      <c r="Z577" s="1">
        <f t="shared" si="102"/>
        <v>0.18541728607441335</v>
      </c>
      <c r="AA577" s="8">
        <f t="shared" si="107"/>
        <v>47.083333333333577</v>
      </c>
      <c r="AB577" s="1">
        <v>47.17</v>
      </c>
      <c r="AC577" s="1">
        <v>7.5579332509999996E-3</v>
      </c>
      <c r="AD577" s="8">
        <f t="shared" si="103"/>
        <v>2.1894802364307453</v>
      </c>
      <c r="AE577" s="3">
        <f t="shared" si="104"/>
        <v>2.8969298401002049E-2</v>
      </c>
      <c r="AF577" s="11">
        <f t="shared" si="105"/>
        <v>47.083333333333577</v>
      </c>
      <c r="AG577" s="1">
        <f t="shared" si="106"/>
        <v>0.18541728607441335</v>
      </c>
    </row>
    <row r="578" spans="2:33" ht="15" x14ac:dyDescent="0.25">
      <c r="B578" s="1">
        <v>567</v>
      </c>
      <c r="C578" s="1">
        <v>1.0009886397343626</v>
      </c>
      <c r="D578" s="1">
        <v>1.2393019146450146</v>
      </c>
      <c r="E578" s="1">
        <v>0.80567611913581916</v>
      </c>
      <c r="G578" s="1">
        <v>0.99953102432344898</v>
      </c>
      <c r="H578" s="1">
        <v>5.8905127512365203</v>
      </c>
      <c r="I578" s="1">
        <v>0.12892918991959934</v>
      </c>
      <c r="K578" s="1">
        <v>0.99709751350868248</v>
      </c>
      <c r="L578" s="1">
        <v>8.2716072301673407</v>
      </c>
      <c r="M578" s="1">
        <v>8.934709112040419E-2</v>
      </c>
      <c r="O578" s="1">
        <v>7.339587204751097E-3</v>
      </c>
      <c r="P578" s="1">
        <v>0.70694988796243019</v>
      </c>
      <c r="R578" s="1">
        <v>0.27281220864721273</v>
      </c>
      <c r="S578" s="2">
        <f t="shared" si="108"/>
        <v>1.2751800859413189</v>
      </c>
      <c r="T578" s="4">
        <f t="shared" si="109"/>
        <v>1.6260842515813094</v>
      </c>
      <c r="U578" s="1">
        <f t="shared" si="113"/>
        <v>1.0636441749378052</v>
      </c>
      <c r="V578" s="6">
        <f>2*sigma/alpha*corel*(B578/12-1/alpha*(1-EXP(-alpha*Output!B578/12)))</f>
        <v>3.2533494026136589</v>
      </c>
      <c r="W578" s="5">
        <f t="shared" si="110"/>
        <v>-0.56244007664350426</v>
      </c>
      <c r="X578" s="1">
        <f t="shared" si="111"/>
        <v>116.88545682110896</v>
      </c>
      <c r="Y578" s="3">
        <f t="shared" si="112"/>
        <v>7.9978924517795855E-2</v>
      </c>
      <c r="Z578" s="1">
        <f t="shared" si="102"/>
        <v>0.18551140535004404</v>
      </c>
      <c r="AA578" s="8">
        <f t="shared" si="107"/>
        <v>47.166666666666913</v>
      </c>
      <c r="AB578" s="1">
        <v>47.25</v>
      </c>
      <c r="AC578" s="1">
        <v>7.5577315929999996E-3</v>
      </c>
      <c r="AD578" s="8">
        <f t="shared" si="103"/>
        <v>2.1814438824890261</v>
      </c>
      <c r="AE578" s="3">
        <f t="shared" si="104"/>
        <v>2.8863738486154863E-2</v>
      </c>
      <c r="AF578" s="11">
        <f t="shared" si="105"/>
        <v>47.166666666666913</v>
      </c>
      <c r="AG578" s="1">
        <f t="shared" si="106"/>
        <v>0.18551140535004404</v>
      </c>
    </row>
    <row r="579" spans="2:33" ht="15" x14ac:dyDescent="0.25">
      <c r="B579" s="1">
        <v>568</v>
      </c>
      <c r="C579" s="1">
        <v>1.0009986175228622</v>
      </c>
      <c r="D579" s="1">
        <v>1.2462792069706849</v>
      </c>
      <c r="E579" s="1">
        <v>0.80116306834421003</v>
      </c>
      <c r="G579" s="1">
        <v>1.0002523058015667</v>
      </c>
      <c r="H579" s="1">
        <v>6.1935926685787432</v>
      </c>
      <c r="I579" s="1">
        <v>0.12256071271103537</v>
      </c>
      <c r="K579" s="1">
        <v>0.99722881355480608</v>
      </c>
      <c r="L579" s="1">
        <v>8.4943786556289052</v>
      </c>
      <c r="M579" s="1">
        <v>8.6958059988792538E-2</v>
      </c>
      <c r="O579" s="1">
        <v>7.3402475406292439E-3</v>
      </c>
      <c r="P579" s="1">
        <v>0.70649554430773043</v>
      </c>
      <c r="R579" s="1">
        <v>0.27298236413070603</v>
      </c>
      <c r="S579" s="2">
        <f t="shared" si="108"/>
        <v>1.2769330597358246</v>
      </c>
      <c r="T579" s="4">
        <f t="shared" si="109"/>
        <v>1.630558039046295</v>
      </c>
      <c r="U579" s="1">
        <f t="shared" si="113"/>
        <v>1.0673999362947155</v>
      </c>
      <c r="V579" s="6">
        <f>2*sigma/alpha*corel*(B579/12-1/alpha*(1-EXP(-alpha*Output!B579/12)))</f>
        <v>3.2621950244676392</v>
      </c>
      <c r="W579" s="5">
        <f t="shared" si="110"/>
        <v>-0.56315810275157951</v>
      </c>
      <c r="X579" s="1">
        <f t="shared" si="111"/>
        <v>117.26651716529381</v>
      </c>
      <c r="Y579" s="3">
        <f t="shared" si="112"/>
        <v>7.9930685433345083E-2</v>
      </c>
      <c r="Z579" s="1">
        <f t="shared" si="102"/>
        <v>0.18560282669082911</v>
      </c>
      <c r="AA579" s="8">
        <f t="shared" si="107"/>
        <v>47.250000000000249</v>
      </c>
      <c r="AB579" s="1">
        <v>47.33</v>
      </c>
      <c r="AC579" s="1">
        <v>7.5575306459999998E-3</v>
      </c>
      <c r="AD579" s="8">
        <f t="shared" si="103"/>
        <v>2.1728310537075592</v>
      </c>
      <c r="AE579" s="3">
        <f t="shared" si="104"/>
        <v>2.8750542412389432E-2</v>
      </c>
      <c r="AF579" s="11">
        <f t="shared" si="105"/>
        <v>47.250000000000249</v>
      </c>
      <c r="AG579" s="1">
        <f t="shared" si="106"/>
        <v>0.18560282669082911</v>
      </c>
    </row>
    <row r="580" spans="2:33" ht="15" x14ac:dyDescent="0.25">
      <c r="B580" s="1">
        <v>569</v>
      </c>
      <c r="C580" s="1">
        <v>1.0009988359945077</v>
      </c>
      <c r="D580" s="1">
        <v>1.2473781831310917</v>
      </c>
      <c r="E580" s="1">
        <v>0.80045474383650117</v>
      </c>
      <c r="G580" s="1">
        <v>1.0001627003228473</v>
      </c>
      <c r="H580" s="1">
        <v>6.2409209663875265</v>
      </c>
      <c r="I580" s="1">
        <v>0.12157234562588522</v>
      </c>
      <c r="K580" s="1">
        <v>0.99724296386999767</v>
      </c>
      <c r="L580" s="1">
        <v>8.3628910236403655</v>
      </c>
      <c r="M580" s="1">
        <v>8.8277680575464063E-2</v>
      </c>
      <c r="O580" s="1">
        <v>7.3409599700735755E-3</v>
      </c>
      <c r="P580" s="1">
        <v>0.70603967095418507</v>
      </c>
      <c r="R580" s="1">
        <v>0.27315409942234337</v>
      </c>
      <c r="S580" s="2">
        <f t="shared" si="108"/>
        <v>1.2786978587326183</v>
      </c>
      <c r="T580" s="4">
        <f t="shared" si="109"/>
        <v>1.6350682139273831</v>
      </c>
      <c r="U580" s="1">
        <f t="shared" si="113"/>
        <v>1.0711601385573108</v>
      </c>
      <c r="V580" s="6">
        <f>2*sigma/alpha*corel*(B580/12-1/alpha*(1-EXP(-alpha*Output!B580/12)))</f>
        <v>3.2710458744193236</v>
      </c>
      <c r="W580" s="5">
        <f t="shared" si="110"/>
        <v>-0.56390807537007226</v>
      </c>
      <c r="X580" s="1">
        <f t="shared" si="111"/>
        <v>117.65430607441272</v>
      </c>
      <c r="Y580" s="3">
        <f t="shared" si="112"/>
        <v>7.9885529980251752E-2</v>
      </c>
      <c r="Z580" s="1">
        <f t="shared" si="102"/>
        <v>0.18569594820428331</v>
      </c>
      <c r="AA580" s="8">
        <f t="shared" si="107"/>
        <v>47.333333333333584</v>
      </c>
      <c r="AB580" s="1">
        <v>47.42</v>
      </c>
      <c r="AC580" s="1">
        <v>7.5573304069999998E-3</v>
      </c>
      <c r="AD580" s="8">
        <f t="shared" si="103"/>
        <v>2.1637043692642433</v>
      </c>
      <c r="AE580" s="3">
        <f t="shared" si="104"/>
        <v>2.8630538202486237E-2</v>
      </c>
      <c r="AF580" s="11">
        <f t="shared" si="105"/>
        <v>47.333333333333584</v>
      </c>
      <c r="AG580" s="1">
        <f t="shared" si="106"/>
        <v>0.18569594820428331</v>
      </c>
    </row>
    <row r="581" spans="2:33" ht="15" x14ac:dyDescent="0.25">
      <c r="B581" s="1">
        <v>570</v>
      </c>
      <c r="C581" s="1">
        <v>1.0010012711083338</v>
      </c>
      <c r="D581" s="1">
        <v>1.241167762873622</v>
      </c>
      <c r="E581" s="1">
        <v>0.80445747873471907</v>
      </c>
      <c r="G581" s="1">
        <v>1.0001908246025706</v>
      </c>
      <c r="H581" s="1">
        <v>5.9685919184434688</v>
      </c>
      <c r="I581" s="1">
        <v>0.12705774745452927</v>
      </c>
      <c r="K581" s="1">
        <v>0.99722416920307033</v>
      </c>
      <c r="L581" s="1">
        <v>8.4715367450230765</v>
      </c>
      <c r="M581" s="1">
        <v>8.7099211670352603E-2</v>
      </c>
      <c r="O581" s="1">
        <v>7.3417126549701938E-3</v>
      </c>
      <c r="P581" s="1">
        <v>0.70558265880782589</v>
      </c>
      <c r="R581" s="1">
        <v>0.27339401956586762</v>
      </c>
      <c r="S581" s="2">
        <f t="shared" si="108"/>
        <v>1.2807267582733315</v>
      </c>
      <c r="T581" s="4">
        <f t="shared" si="109"/>
        <v>1.6402610293573165</v>
      </c>
      <c r="U581" s="1">
        <f t="shared" si="113"/>
        <v>1.074924769558105</v>
      </c>
      <c r="V581" s="6">
        <f>2*sigma/alpha*corel*(B581/12-1/alpha*(1-EXP(-alpha*Output!B581/12)))</f>
        <v>3.2799019350707348</v>
      </c>
      <c r="W581" s="5">
        <f t="shared" si="110"/>
        <v>-0.56533625979921154</v>
      </c>
      <c r="X581" s="1">
        <f t="shared" si="111"/>
        <v>118.17164606553095</v>
      </c>
      <c r="Y581" s="3">
        <f t="shared" si="112"/>
        <v>7.9902908796321115E-2</v>
      </c>
      <c r="Z581" s="1">
        <f t="shared" si="102"/>
        <v>0.18582736920153758</v>
      </c>
      <c r="AA581" s="8">
        <f t="shared" si="107"/>
        <v>47.41666666666692</v>
      </c>
      <c r="AB581" s="1">
        <v>47.5</v>
      </c>
      <c r="AC581" s="1">
        <v>7.5571308720000004E-3</v>
      </c>
      <c r="AD581" s="8">
        <f t="shared" si="103"/>
        <v>2.1541821702980668</v>
      </c>
      <c r="AE581" s="3">
        <f t="shared" si="104"/>
        <v>2.8505291317364213E-2</v>
      </c>
      <c r="AF581" s="11">
        <f t="shared" si="105"/>
        <v>47.41666666666692</v>
      </c>
      <c r="AG581" s="1">
        <f t="shared" si="106"/>
        <v>0.18582736920153758</v>
      </c>
    </row>
    <row r="582" spans="2:33" ht="15" x14ac:dyDescent="0.25">
      <c r="B582" s="1">
        <v>571</v>
      </c>
      <c r="C582" s="1">
        <v>1.0010018693006841</v>
      </c>
      <c r="D582" s="1">
        <v>1.2398624475167797</v>
      </c>
      <c r="E582" s="1">
        <v>0.8053019035306066</v>
      </c>
      <c r="G582" s="1">
        <v>1.0001189820544594</v>
      </c>
      <c r="H582" s="1">
        <v>5.9116173341423801</v>
      </c>
      <c r="I582" s="1">
        <v>0.12822015034394887</v>
      </c>
      <c r="K582" s="1">
        <v>0.99714497963166482</v>
      </c>
      <c r="L582" s="1">
        <v>8.0561153730197681</v>
      </c>
      <c r="M582" s="1">
        <v>9.1541210154262795E-2</v>
      </c>
      <c r="O582" s="1">
        <v>7.3424001709624931E-3</v>
      </c>
      <c r="P582" s="1">
        <v>0.705128040590428</v>
      </c>
      <c r="R582" s="1">
        <v>0.27351232758696642</v>
      </c>
      <c r="S582" s="2">
        <f t="shared" si="108"/>
        <v>1.2822896748973542</v>
      </c>
      <c r="T582" s="4">
        <f t="shared" si="109"/>
        <v>1.6442668103483624</v>
      </c>
      <c r="U582" s="1">
        <f t="shared" si="113"/>
        <v>1.0786938171527538</v>
      </c>
      <c r="V582" s="6">
        <f>2*sigma/alpha*corel*(B582/12-1/alpha*(1-EXP(-alpha*Output!B582/12)))</f>
        <v>3.2887631890817883</v>
      </c>
      <c r="W582" s="5">
        <f t="shared" si="110"/>
        <v>-0.56557299319560861</v>
      </c>
      <c r="X582" s="1">
        <f t="shared" si="111"/>
        <v>118.46335635209026</v>
      </c>
      <c r="Y582" s="3">
        <f t="shared" si="112"/>
        <v>7.9810761234635763E-2</v>
      </c>
      <c r="Z582" s="1">
        <f t="shared" si="102"/>
        <v>0.18589115002349735</v>
      </c>
      <c r="AA582" s="8">
        <f t="shared" si="107"/>
        <v>47.500000000000256</v>
      </c>
      <c r="AB582" s="1">
        <v>47.58</v>
      </c>
      <c r="AC582" s="1">
        <v>7.556932037E-3</v>
      </c>
      <c r="AD582" s="8">
        <f t="shared" si="103"/>
        <v>2.1453186603750689</v>
      </c>
      <c r="AE582" s="3">
        <f t="shared" si="104"/>
        <v>2.8388751544558437E-2</v>
      </c>
      <c r="AF582" s="11">
        <f t="shared" si="105"/>
        <v>47.500000000000256</v>
      </c>
      <c r="AG582" s="1">
        <f t="shared" si="106"/>
        <v>0.18589115002349735</v>
      </c>
    </row>
    <row r="583" spans="2:33" ht="15" x14ac:dyDescent="0.25">
      <c r="B583" s="1">
        <v>572</v>
      </c>
      <c r="C583" s="1">
        <v>1.0010055697164386</v>
      </c>
      <c r="D583" s="1">
        <v>1.2380201339419978</v>
      </c>
      <c r="E583" s="1">
        <v>0.80649777527963662</v>
      </c>
      <c r="G583" s="1">
        <v>1.0002775960453516</v>
      </c>
      <c r="H583" s="1">
        <v>5.8311150631710973</v>
      </c>
      <c r="I583" s="1">
        <v>0.1299273378573147</v>
      </c>
      <c r="K583" s="1">
        <v>0.99707433133345236</v>
      </c>
      <c r="L583" s="1">
        <v>7.855712042073665</v>
      </c>
      <c r="M583" s="1">
        <v>9.3827753108443629E-2</v>
      </c>
      <c r="O583" s="1">
        <v>7.3429701584384237E-3</v>
      </c>
      <c r="P583" s="1">
        <v>0.70467758227358657</v>
      </c>
      <c r="R583" s="1">
        <v>0.27372407041947805</v>
      </c>
      <c r="S583" s="2">
        <f t="shared" si="108"/>
        <v>1.2841999734285723</v>
      </c>
      <c r="T583" s="4">
        <f t="shared" si="109"/>
        <v>1.6491695717539459</v>
      </c>
      <c r="U583" s="1">
        <f t="shared" si="113"/>
        <v>1.0824672692200932</v>
      </c>
      <c r="V583" s="6">
        <f>2*sigma/alpha*corel*(B583/12-1/alpha*(1-EXP(-alpha*Output!B583/12)))</f>
        <v>3.2976296191701056</v>
      </c>
      <c r="W583" s="5">
        <f t="shared" si="110"/>
        <v>-0.56670230253385268</v>
      </c>
      <c r="X583" s="1">
        <f t="shared" si="111"/>
        <v>118.92560012168255</v>
      </c>
      <c r="Y583" s="3">
        <f t="shared" si="112"/>
        <v>7.980075366565309E-2</v>
      </c>
      <c r="Z583" s="1">
        <f t="shared" si="102"/>
        <v>0.18600527692457836</v>
      </c>
      <c r="AA583" s="8">
        <f t="shared" si="107"/>
        <v>47.583333333333591</v>
      </c>
      <c r="AB583" s="1">
        <v>47.67</v>
      </c>
      <c r="AC583" s="1">
        <v>7.5567338980000003E-3</v>
      </c>
      <c r="AD583" s="8">
        <f t="shared" si="103"/>
        <v>2.1376373956157653</v>
      </c>
      <c r="AE583" s="3">
        <f t="shared" si="104"/>
        <v>2.8287847957455831E-2</v>
      </c>
      <c r="AF583" s="11">
        <f t="shared" si="105"/>
        <v>47.583333333333591</v>
      </c>
      <c r="AG583" s="1">
        <f t="shared" si="106"/>
        <v>0.18600527692457836</v>
      </c>
    </row>
    <row r="584" spans="2:33" ht="15" x14ac:dyDescent="0.25">
      <c r="B584" s="1">
        <v>573</v>
      </c>
      <c r="C584" s="1">
        <v>1.0010128329919532</v>
      </c>
      <c r="D584" s="1">
        <v>1.2359047594514843</v>
      </c>
      <c r="E584" s="1">
        <v>0.80787565899888181</v>
      </c>
      <c r="G584" s="1">
        <v>1.000748694904078</v>
      </c>
      <c r="H584" s="1">
        <v>5.7374131263850323</v>
      </c>
      <c r="I584" s="1">
        <v>0.13198530549231369</v>
      </c>
      <c r="K584" s="1">
        <v>0.9973171705094811</v>
      </c>
      <c r="L584" s="1">
        <v>8.0364903047100551</v>
      </c>
      <c r="M584" s="1">
        <v>9.1666769966328387E-2</v>
      </c>
      <c r="O584" s="1">
        <v>7.3435183392177757E-3</v>
      </c>
      <c r="P584" s="1">
        <v>0.7042280781147976</v>
      </c>
      <c r="R584" s="1">
        <v>0.27392173668890524</v>
      </c>
      <c r="S584" s="2">
        <f t="shared" si="108"/>
        <v>1.2860566502949753</v>
      </c>
      <c r="T584" s="4">
        <f t="shared" si="109"/>
        <v>1.6539417077679324</v>
      </c>
      <c r="U584" s="1">
        <f t="shared" si="113"/>
        <v>1.0862451136621782</v>
      </c>
      <c r="V584" s="6">
        <f>2*sigma/alpha*corel*(B584/12-1/alpha*(1-EXP(-alpha*Output!B584/12)))</f>
        <v>3.30650120811082</v>
      </c>
      <c r="W584" s="5">
        <f t="shared" si="110"/>
        <v>-0.56769659410575413</v>
      </c>
      <c r="X584" s="1">
        <f t="shared" si="111"/>
        <v>119.36299971343735</v>
      </c>
      <c r="Y584" s="3">
        <f t="shared" si="112"/>
        <v>7.9778390598585186E-2</v>
      </c>
      <c r="Z584" s="1">
        <f t="shared" si="102"/>
        <v>0.18611158662417612</v>
      </c>
      <c r="AA584" s="8">
        <f t="shared" si="107"/>
        <v>47.666666666666927</v>
      </c>
      <c r="AB584" s="1">
        <v>47.75</v>
      </c>
      <c r="AC584" s="1">
        <v>7.5565364519999999E-3</v>
      </c>
      <c r="AD584" s="8">
        <f t="shared" si="103"/>
        <v>2.1301811278222424</v>
      </c>
      <c r="AE584" s="3">
        <f t="shared" si="104"/>
        <v>2.8189914008268219E-2</v>
      </c>
      <c r="AF584" s="11">
        <f t="shared" si="105"/>
        <v>47.666666666666927</v>
      </c>
      <c r="AG584" s="1">
        <f t="shared" si="106"/>
        <v>0.18611158662417612</v>
      </c>
    </row>
    <row r="585" spans="2:33" ht="15" x14ac:dyDescent="0.25">
      <c r="B585" s="1">
        <v>574</v>
      </c>
      <c r="C585" s="1">
        <v>1.0010095888477866</v>
      </c>
      <c r="D585" s="1">
        <v>1.2360902923871417</v>
      </c>
      <c r="E585" s="1">
        <v>0.80775187795670067</v>
      </c>
      <c r="G585" s="1">
        <v>1.0003733855513017</v>
      </c>
      <c r="H585" s="1">
        <v>5.7448349997057786</v>
      </c>
      <c r="I585" s="1">
        <v>0.13175093213434891</v>
      </c>
      <c r="K585" s="1">
        <v>0.9973516692334421</v>
      </c>
      <c r="L585" s="1">
        <v>7.9810166918913801</v>
      </c>
      <c r="M585" s="1">
        <v>9.2255253223002681E-2</v>
      </c>
      <c r="O585" s="1">
        <v>7.3441289069952793E-3</v>
      </c>
      <c r="P585" s="1">
        <v>0.70377669619074901</v>
      </c>
      <c r="R585" s="1">
        <v>0.27425817045595063</v>
      </c>
      <c r="S585" s="2">
        <f t="shared" si="108"/>
        <v>1.2884497625746454</v>
      </c>
      <c r="T585" s="4">
        <f t="shared" si="109"/>
        <v>1.6601027906786601</v>
      </c>
      <c r="U585" s="1">
        <f t="shared" si="113"/>
        <v>1.0900273384043189</v>
      </c>
      <c r="V585" s="6">
        <f>2*sigma/alpha*corel*(B585/12-1/alpha*(1-EXP(-alpha*Output!B585/12)))</f>
        <v>3.3153779387363862</v>
      </c>
      <c r="W585" s="5">
        <f t="shared" si="110"/>
        <v>-0.5700754522743412</v>
      </c>
      <c r="X585" s="1">
        <f t="shared" si="111"/>
        <v>120.06616741181722</v>
      </c>
      <c r="Y585" s="3">
        <f t="shared" si="112"/>
        <v>7.9882504290917894E-2</v>
      </c>
      <c r="Z585" s="1">
        <f t="shared" si="102"/>
        <v>0.18629541509833752</v>
      </c>
      <c r="AA585" s="8">
        <f t="shared" si="107"/>
        <v>47.750000000000263</v>
      </c>
      <c r="AB585" s="1">
        <v>47.83</v>
      </c>
      <c r="AC585" s="1">
        <v>7.5563396960000003E-3</v>
      </c>
      <c r="AD585" s="8">
        <f t="shared" si="103"/>
        <v>2.1221078900472095</v>
      </c>
      <c r="AE585" s="3">
        <f t="shared" si="104"/>
        <v>2.8083807444106327E-2</v>
      </c>
      <c r="AF585" s="11">
        <f t="shared" si="105"/>
        <v>47.750000000000263</v>
      </c>
      <c r="AG585" s="1">
        <f t="shared" si="106"/>
        <v>0.18629541509833752</v>
      </c>
    </row>
    <row r="586" spans="2:33" ht="15" x14ac:dyDescent="0.25">
      <c r="B586" s="1">
        <v>575</v>
      </c>
      <c r="C586" s="1">
        <v>1.001016295292229</v>
      </c>
      <c r="D586" s="1">
        <v>1.2334248235360328</v>
      </c>
      <c r="E586" s="1">
        <v>0.80949492302570736</v>
      </c>
      <c r="G586" s="1">
        <v>1.0007488396291253</v>
      </c>
      <c r="H586" s="1">
        <v>5.6360951346819448</v>
      </c>
      <c r="I586" s="1">
        <v>0.13422780567736833</v>
      </c>
      <c r="K586" s="1">
        <v>0.99718699258972021</v>
      </c>
      <c r="L586" s="1">
        <v>8.3841274488898172</v>
      </c>
      <c r="M586" s="1">
        <v>8.7772891243520557E-2</v>
      </c>
      <c r="O586" s="1">
        <v>7.3447576574663951E-3</v>
      </c>
      <c r="P586" s="1">
        <v>0.70332491923810514</v>
      </c>
      <c r="R586" s="1">
        <v>0.27442981855090148</v>
      </c>
      <c r="S586" s="2">
        <f t="shared" si="108"/>
        <v>1.2902177351564144</v>
      </c>
      <c r="T586" s="4">
        <f t="shared" si="109"/>
        <v>1.6646618041121475</v>
      </c>
      <c r="U586" s="1">
        <f t="shared" si="113"/>
        <v>1.0938139313951152</v>
      </c>
      <c r="V586" s="6">
        <f>2*sigma/alpha*corel*(B586/12-1/alpha*(1-EXP(-alpha*Output!B586/12)))</f>
        <v>3.3242597939363856</v>
      </c>
      <c r="W586" s="5">
        <f t="shared" si="110"/>
        <v>-0.5708478727170323</v>
      </c>
      <c r="X586" s="1">
        <f t="shared" si="111"/>
        <v>120.46321211501318</v>
      </c>
      <c r="Y586" s="3">
        <f t="shared" si="112"/>
        <v>7.9839794462174984E-2</v>
      </c>
      <c r="Z586" s="1">
        <f t="shared" si="102"/>
        <v>0.18638875525583279</v>
      </c>
      <c r="AA586" s="8">
        <f t="shared" si="107"/>
        <v>47.833333333333599</v>
      </c>
      <c r="AB586" s="1">
        <v>47.92</v>
      </c>
      <c r="AC586" s="1">
        <v>7.5561436250000001E-3</v>
      </c>
      <c r="AD586" s="8">
        <f t="shared" si="103"/>
        <v>2.1138596753360503</v>
      </c>
      <c r="AE586" s="3">
        <f t="shared" si="104"/>
        <v>2.7975377126795285E-2</v>
      </c>
      <c r="AF586" s="11">
        <f t="shared" si="105"/>
        <v>47.833333333333599</v>
      </c>
      <c r="AG586" s="1">
        <f t="shared" si="106"/>
        <v>0.18638875525583279</v>
      </c>
    </row>
    <row r="587" spans="2:33" ht="15" x14ac:dyDescent="0.25">
      <c r="B587" s="1">
        <v>576</v>
      </c>
      <c r="C587" s="1">
        <v>1.0010153934696633</v>
      </c>
      <c r="D587" s="1">
        <v>1.2318132285584515</v>
      </c>
      <c r="E587" s="1">
        <v>0.81055145455214739</v>
      </c>
      <c r="G587" s="1">
        <v>1.0005286748067848</v>
      </c>
      <c r="H587" s="1">
        <v>5.5653306069244701</v>
      </c>
      <c r="I587" s="1">
        <v>0.13586868887512688</v>
      </c>
      <c r="K587" s="1">
        <v>0.99758633866099167</v>
      </c>
      <c r="L587" s="1">
        <v>8.5336261723458051</v>
      </c>
      <c r="M587" s="1">
        <v>8.6189036237444547E-2</v>
      </c>
      <c r="O587" s="1">
        <v>7.3453783440854091E-3</v>
      </c>
      <c r="P587" s="1">
        <v>0.70287363069798325</v>
      </c>
      <c r="R587" s="1">
        <v>0.27461165131550719</v>
      </c>
      <c r="S587" s="2">
        <f t="shared" si="108"/>
        <v>1.2920255677737875</v>
      </c>
      <c r="T587" s="4">
        <f t="shared" si="109"/>
        <v>1.669330067781178</v>
      </c>
      <c r="U587" s="1">
        <f t="shared" si="113"/>
        <v>1.0976048806064926</v>
      </c>
      <c r="V587" s="6">
        <f>2*sigma/alpha*corel*(B587/12-1/alpha*(1-EXP(-alpha*Output!B587/12)))</f>
        <v>3.3331467566573445</v>
      </c>
      <c r="W587" s="5">
        <f t="shared" si="110"/>
        <v>-0.57172518717468535</v>
      </c>
      <c r="X587" s="1">
        <f t="shared" si="111"/>
        <v>120.88110323895496</v>
      </c>
      <c r="Y587" s="3">
        <f t="shared" si="112"/>
        <v>7.9806744967146986E-2</v>
      </c>
      <c r="Z587" s="1">
        <f t="shared" si="102"/>
        <v>0.18648782733851885</v>
      </c>
      <c r="AA587" s="8">
        <f t="shared" si="107"/>
        <v>47.916666666666934</v>
      </c>
      <c r="AB587" s="1">
        <v>48</v>
      </c>
      <c r="AC587" s="1">
        <v>7.5559482359999998E-3</v>
      </c>
      <c r="AD587" s="8">
        <f t="shared" si="103"/>
        <v>2.1056989191459063</v>
      </c>
      <c r="AE587" s="3">
        <f t="shared" si="104"/>
        <v>2.7868096145939592E-2</v>
      </c>
      <c r="AF587" s="11">
        <f t="shared" si="105"/>
        <v>47.916666666666934</v>
      </c>
      <c r="AG587" s="1">
        <f t="shared" si="106"/>
        <v>0.18648782733851885</v>
      </c>
    </row>
    <row r="588" spans="2:33" ht="15" x14ac:dyDescent="0.25">
      <c r="B588" s="1">
        <v>577</v>
      </c>
      <c r="C588" s="1">
        <v>1.0010168209942536</v>
      </c>
      <c r="D588" s="1">
        <v>1.2355837962048224</v>
      </c>
      <c r="E588" s="1">
        <v>0.80807539990767718</v>
      </c>
      <c r="G588" s="1">
        <v>1.0005419512932201</v>
      </c>
      <c r="H588" s="1">
        <v>5.7162614076106673</v>
      </c>
      <c r="I588" s="1">
        <v>0.13221715789692798</v>
      </c>
      <c r="K588" s="1">
        <v>0.99748383638957849</v>
      </c>
      <c r="L588" s="1">
        <v>8.3951580512892363</v>
      </c>
      <c r="M588" s="1">
        <v>8.7564784591173228E-2</v>
      </c>
      <c r="O588" s="1">
        <v>7.3460425144967487E-3</v>
      </c>
      <c r="P588" s="1">
        <v>0.70242109040753153</v>
      </c>
      <c r="R588" s="1">
        <v>0.27485608142455925</v>
      </c>
      <c r="S588" s="2">
        <f t="shared" si="108"/>
        <v>1.2940782595092692</v>
      </c>
      <c r="T588" s="4">
        <f t="shared" si="109"/>
        <v>1.6746385417345395</v>
      </c>
      <c r="U588" s="1">
        <f t="shared" si="113"/>
        <v>1.1014001740337358</v>
      </c>
      <c r="V588" s="6">
        <f>2*sigma/alpha*corel*(B588/12-1/alpha*(1-EXP(-alpha*Output!B588/12)))</f>
        <v>3.3420388099025344</v>
      </c>
      <c r="W588" s="5">
        <f t="shared" si="110"/>
        <v>-0.57323836770080372</v>
      </c>
      <c r="X588" s="1">
        <f t="shared" si="111"/>
        <v>121.42206946134934</v>
      </c>
      <c r="Y588" s="3">
        <f t="shared" si="112"/>
        <v>7.9831502231328316E-2</v>
      </c>
      <c r="Z588" s="1">
        <f t="shared" si="102"/>
        <v>0.18662217970099618</v>
      </c>
      <c r="AA588" s="8">
        <f t="shared" si="107"/>
        <v>48.00000000000027</v>
      </c>
      <c r="AB588" s="1">
        <v>48.08</v>
      </c>
      <c r="AC588" s="1">
        <v>7.5557535250000002E-3</v>
      </c>
      <c r="AD588" s="8">
        <f t="shared" si="103"/>
        <v>2.0971101050325149</v>
      </c>
      <c r="AE588" s="3">
        <f t="shared" si="104"/>
        <v>2.7755141801459372E-2</v>
      </c>
      <c r="AF588" s="11">
        <f t="shared" si="105"/>
        <v>48.00000000000027</v>
      </c>
      <c r="AG588" s="1">
        <f t="shared" si="106"/>
        <v>0.18662217970099618</v>
      </c>
    </row>
    <row r="589" spans="2:33" ht="15" x14ac:dyDescent="0.25">
      <c r="B589" s="1">
        <v>578</v>
      </c>
      <c r="C589" s="1">
        <v>1.0010131652869172</v>
      </c>
      <c r="D589" s="1">
        <v>1.2366028581346646</v>
      </c>
      <c r="E589" s="1">
        <v>0.80740694124050083</v>
      </c>
      <c r="G589" s="1">
        <v>1.000111329609876</v>
      </c>
      <c r="H589" s="1">
        <v>5.759042287572564</v>
      </c>
      <c r="I589" s="1">
        <v>0.13117140631241675</v>
      </c>
      <c r="K589" s="1">
        <v>0.99729283162263405</v>
      </c>
      <c r="L589" s="1">
        <v>8.4429408640982455</v>
      </c>
      <c r="M589" s="1">
        <v>8.702163877978894E-2</v>
      </c>
      <c r="O589" s="1">
        <v>7.3466472232740845E-3</v>
      </c>
      <c r="P589" s="1">
        <v>0.70197077426715537</v>
      </c>
      <c r="R589" s="1">
        <v>0.27503854727258531</v>
      </c>
      <c r="S589" s="2">
        <f t="shared" si="108"/>
        <v>1.2958907489370886</v>
      </c>
      <c r="T589" s="4">
        <f t="shared" si="109"/>
        <v>1.6793328331807282</v>
      </c>
      <c r="U589" s="1">
        <f t="shared" si="113"/>
        <v>1.1051997996955203</v>
      </c>
      <c r="V589" s="6">
        <f>2*sigma/alpha*corel*(B589/12-1/alpha*(1-EXP(-alpha*Output!B589/12)))</f>
        <v>3.3509359367317915</v>
      </c>
      <c r="W589" s="5">
        <f t="shared" si="110"/>
        <v>-0.57413303348520794</v>
      </c>
      <c r="X589" s="1">
        <f t="shared" si="111"/>
        <v>121.84506943689729</v>
      </c>
      <c r="Y589" s="3">
        <f t="shared" si="112"/>
        <v>7.9800098360255672E-2</v>
      </c>
      <c r="Z589" s="1">
        <f t="shared" ref="Z589:Z652" si="114">S589/SQRT(B589/12)</f>
        <v>0.18672182925229464</v>
      </c>
      <c r="AA589" s="8">
        <f t="shared" si="107"/>
        <v>48.083333333333606</v>
      </c>
      <c r="AB589" s="1">
        <v>48.17</v>
      </c>
      <c r="AC589" s="1">
        <v>7.5555594899999997E-3</v>
      </c>
      <c r="AD589" s="8">
        <f t="shared" ref="AD589:AD652" si="115">(AC589-O589)*10000</f>
        <v>2.0891226672591512</v>
      </c>
      <c r="AE589" s="3">
        <f t="shared" ref="AE589:AE652" si="116">AD589/AC589/10000</f>
        <v>2.7650138550615152E-2</v>
      </c>
      <c r="AF589" s="11">
        <f t="shared" ref="AF589:AF652" si="117">AA589</f>
        <v>48.083333333333606</v>
      </c>
      <c r="AG589" s="1">
        <f t="shared" ref="AG589:AG652" si="118">Z589</f>
        <v>0.18672182925229464</v>
      </c>
    </row>
    <row r="590" spans="2:33" ht="15" x14ac:dyDescent="0.25">
      <c r="B590" s="1">
        <v>579</v>
      </c>
      <c r="C590" s="1">
        <v>1.0010189192960737</v>
      </c>
      <c r="D590" s="1">
        <v>1.2401314131816894</v>
      </c>
      <c r="E590" s="1">
        <v>0.80510708464628855</v>
      </c>
      <c r="G590" s="1">
        <v>1.000402258986602</v>
      </c>
      <c r="H590" s="1">
        <v>5.9051486585596136</v>
      </c>
      <c r="I590" s="1">
        <v>0.12786395944486323</v>
      </c>
      <c r="K590" s="1">
        <v>0.9973293303803199</v>
      </c>
      <c r="L590" s="1">
        <v>8.2582363578043712</v>
      </c>
      <c r="M590" s="1">
        <v>8.8920209618087553E-2</v>
      </c>
      <c r="O590" s="1">
        <v>7.3472091059036985E-3</v>
      </c>
      <c r="P590" s="1">
        <v>0.70152212571487882</v>
      </c>
      <c r="R590" s="1">
        <v>0.2752844801153842</v>
      </c>
      <c r="S590" s="2">
        <f t="shared" si="108"/>
        <v>1.2979446816754032</v>
      </c>
      <c r="T590" s="4">
        <f t="shared" si="109"/>
        <v>1.6846603966894638</v>
      </c>
      <c r="U590" s="1">
        <f t="shared" si="113"/>
        <v>1.1090037456339483</v>
      </c>
      <c r="V590" s="6">
        <f>2*sigma/alpha*corel*(B590/12-1/alpha*(1-EXP(-alpha*Output!B590/12)))</f>
        <v>3.3598381202613239</v>
      </c>
      <c r="W590" s="5">
        <f t="shared" si="110"/>
        <v>-0.57565665105551544</v>
      </c>
      <c r="X590" s="1">
        <f t="shared" si="111"/>
        <v>122.39024584807562</v>
      </c>
      <c r="Y590" s="3">
        <f t="shared" si="112"/>
        <v>7.9825641368636707E-2</v>
      </c>
      <c r="Z590" s="1">
        <f t="shared" si="114"/>
        <v>0.18685620509409115</v>
      </c>
      <c r="AA590" s="8">
        <f t="shared" ref="AA590:AA653" si="119">AA589+1/12</f>
        <v>48.166666666666941</v>
      </c>
      <c r="AB590" s="1">
        <v>48.25</v>
      </c>
      <c r="AC590" s="1">
        <v>7.5553661249999999E-3</v>
      </c>
      <c r="AD590" s="8">
        <f t="shared" si="115"/>
        <v>2.081570190963014</v>
      </c>
      <c r="AE590" s="3">
        <f t="shared" si="116"/>
        <v>2.7550884451188841E-2</v>
      </c>
      <c r="AF590" s="11">
        <f t="shared" si="117"/>
        <v>48.166666666666941</v>
      </c>
      <c r="AG590" s="1">
        <f t="shared" si="118"/>
        <v>0.18685620509409115</v>
      </c>
    </row>
    <row r="591" spans="2:33" ht="15" x14ac:dyDescent="0.25">
      <c r="B591" s="1">
        <v>580</v>
      </c>
      <c r="C591" s="1">
        <v>1.0010231281817659</v>
      </c>
      <c r="D591" s="1">
        <v>1.2370096276702207</v>
      </c>
      <c r="E591" s="1">
        <v>0.80713635041421128</v>
      </c>
      <c r="G591" s="1">
        <v>1.0005863083977879</v>
      </c>
      <c r="H591" s="1">
        <v>5.7709176980213091</v>
      </c>
      <c r="I591" s="1">
        <v>0.13077467302704876</v>
      </c>
      <c r="K591" s="1">
        <v>0.99726439492534591</v>
      </c>
      <c r="L591" s="1">
        <v>8.2741219098098338</v>
      </c>
      <c r="M591" s="1">
        <v>8.8702817266989267E-2</v>
      </c>
      <c r="O591" s="1">
        <v>7.3477837218078696E-3</v>
      </c>
      <c r="P591" s="1">
        <v>0.70107326678274129</v>
      </c>
      <c r="R591" s="1">
        <v>0.27548021594690575</v>
      </c>
      <c r="S591" s="2">
        <f t="shared" si="108"/>
        <v>1.2998091420201925</v>
      </c>
      <c r="T591" s="4">
        <f t="shared" si="109"/>
        <v>1.6895038056792688</v>
      </c>
      <c r="U591" s="1">
        <f t="shared" si="113"/>
        <v>1.1128119999145745</v>
      </c>
      <c r="V591" s="6">
        <f>2*sigma/alpha*corel*(B591/12-1/alpha*(1-EXP(-alpha*Output!B591/12)))</f>
        <v>3.3687453436635266</v>
      </c>
      <c r="W591" s="5">
        <f t="shared" si="110"/>
        <v>-0.57669180576469437</v>
      </c>
      <c r="X591" s="1">
        <f t="shared" si="111"/>
        <v>122.84219430496228</v>
      </c>
      <c r="Y591" s="3">
        <f t="shared" si="112"/>
        <v>7.98069770607472E-2</v>
      </c>
      <c r="Z591" s="1">
        <f t="shared" si="114"/>
        <v>0.1869632347601658</v>
      </c>
      <c r="AA591" s="8">
        <f t="shared" si="119"/>
        <v>48.250000000000277</v>
      </c>
      <c r="AB591" s="1">
        <v>48.33</v>
      </c>
      <c r="AC591" s="1">
        <v>7.5551734289999997E-3</v>
      </c>
      <c r="AD591" s="8">
        <f t="shared" si="115"/>
        <v>2.0738970719213006</v>
      </c>
      <c r="AE591" s="3">
        <f t="shared" si="116"/>
        <v>2.7450026017414676E-2</v>
      </c>
      <c r="AF591" s="11">
        <f t="shared" si="117"/>
        <v>48.250000000000277</v>
      </c>
      <c r="AG591" s="1">
        <f t="shared" si="118"/>
        <v>0.1869632347601658</v>
      </c>
    </row>
    <row r="592" spans="2:33" ht="15" x14ac:dyDescent="0.25">
      <c r="B592" s="1">
        <v>581</v>
      </c>
      <c r="C592" s="1">
        <v>1.0010274168139917</v>
      </c>
      <c r="D592" s="1">
        <v>1.2400491607489519</v>
      </c>
      <c r="E592" s="1">
        <v>0.80515540180502232</v>
      </c>
      <c r="G592" s="1">
        <v>1.0008299033550627</v>
      </c>
      <c r="H592" s="1">
        <v>5.8968494575157813</v>
      </c>
      <c r="I592" s="1">
        <v>0.12791987324360105</v>
      </c>
      <c r="K592" s="1">
        <v>0.99725200531048197</v>
      </c>
      <c r="L592" s="1">
        <v>8.2980840180564641</v>
      </c>
      <c r="M592" s="1">
        <v>8.8399504227794579E-2</v>
      </c>
      <c r="O592" s="1">
        <v>7.3483450921573261E-3</v>
      </c>
      <c r="P592" s="1">
        <v>0.70062507726289425</v>
      </c>
      <c r="R592" s="1">
        <v>0.27565077870480376</v>
      </c>
      <c r="S592" s="2">
        <f t="shared" si="108"/>
        <v>1.3015775382498422</v>
      </c>
      <c r="T592" s="4">
        <f t="shared" si="109"/>
        <v>1.6941040880765195</v>
      </c>
      <c r="U592" s="1">
        <f t="shared" si="113"/>
        <v>1.1166245506264421</v>
      </c>
      <c r="V592" s="6">
        <f>2*sigma/alpha*corel*(B592/12-1/alpha*(1-EXP(-alpha*Output!B592/12)))</f>
        <v>3.3776575901667902</v>
      </c>
      <c r="W592" s="5">
        <f t="shared" si="110"/>
        <v>-0.57747953745007741</v>
      </c>
      <c r="X592" s="1">
        <f t="shared" si="111"/>
        <v>123.24710788257632</v>
      </c>
      <c r="Y592" s="3">
        <f t="shared" si="112"/>
        <v>7.9766063444803567E-2</v>
      </c>
      <c r="Z592" s="1">
        <f t="shared" si="114"/>
        <v>0.18705641300693043</v>
      </c>
      <c r="AA592" s="8">
        <f t="shared" si="119"/>
        <v>48.333333333333613</v>
      </c>
      <c r="AB592" s="1">
        <v>48.42</v>
      </c>
      <c r="AC592" s="1">
        <v>7.5549813979999998E-3</v>
      </c>
      <c r="AD592" s="8">
        <f t="shared" si="115"/>
        <v>2.0663630584267372</v>
      </c>
      <c r="AE592" s="3">
        <f t="shared" si="116"/>
        <v>2.7351001274123019E-2</v>
      </c>
      <c r="AF592" s="11">
        <f t="shared" si="117"/>
        <v>48.333333333333613</v>
      </c>
      <c r="AG592" s="1">
        <f t="shared" si="118"/>
        <v>0.18705641300693043</v>
      </c>
    </row>
    <row r="593" spans="2:33" ht="15" x14ac:dyDescent="0.25">
      <c r="B593" s="1">
        <v>582</v>
      </c>
      <c r="C593" s="1">
        <v>1.0010334730483079</v>
      </c>
      <c r="D593" s="1">
        <v>1.2342896517790596</v>
      </c>
      <c r="E593" s="1">
        <v>0.80890990021611486</v>
      </c>
      <c r="G593" s="1">
        <v>1.001130316390189</v>
      </c>
      <c r="H593" s="1">
        <v>5.6534943437048835</v>
      </c>
      <c r="I593" s="1">
        <v>0.13336155011157932</v>
      </c>
      <c r="K593" s="1">
        <v>0.99713889793156085</v>
      </c>
      <c r="L593" s="1">
        <v>8.1892034760771661</v>
      </c>
      <c r="M593" s="1">
        <v>8.9527086108125695E-2</v>
      </c>
      <c r="O593" s="1">
        <v>7.3489145196033393E-3</v>
      </c>
      <c r="P593" s="1">
        <v>0.70017683514901108</v>
      </c>
      <c r="R593" s="1">
        <v>0.27578549739660824</v>
      </c>
      <c r="S593" s="2">
        <f t="shared" si="108"/>
        <v>1.303210364733719</v>
      </c>
      <c r="T593" s="4">
        <f t="shared" si="109"/>
        <v>1.6983572547493928</v>
      </c>
      <c r="U593" s="1">
        <f t="shared" si="113"/>
        <v>1.1204413858821085</v>
      </c>
      <c r="V593" s="6">
        <f>2*sigma/alpha*corel*(B593/12-1/alpha*(1-EXP(-alpha*Output!B593/12)))</f>
        <v>3.3865748430553215</v>
      </c>
      <c r="W593" s="5">
        <f t="shared" si="110"/>
        <v>-0.5779158688672843</v>
      </c>
      <c r="X593" s="1">
        <f t="shared" si="111"/>
        <v>123.58456772786833</v>
      </c>
      <c r="Y593" s="3">
        <f t="shared" si="112"/>
        <v>7.969365745582771E-2</v>
      </c>
      <c r="Z593" s="1">
        <f t="shared" si="114"/>
        <v>0.18713010275115435</v>
      </c>
      <c r="AA593" s="8">
        <f t="shared" si="119"/>
        <v>48.416666666666949</v>
      </c>
      <c r="AB593" s="1">
        <v>48.5</v>
      </c>
      <c r="AC593" s="1">
        <v>7.5547900269999999E-3</v>
      </c>
      <c r="AD593" s="8">
        <f t="shared" si="115"/>
        <v>2.0587550739666058</v>
      </c>
      <c r="AE593" s="3">
        <f t="shared" si="116"/>
        <v>2.7250989989249717E-2</v>
      </c>
      <c r="AF593" s="11">
        <f t="shared" si="117"/>
        <v>48.416666666666949</v>
      </c>
      <c r="AG593" s="1">
        <f t="shared" si="118"/>
        <v>0.18713010275115435</v>
      </c>
    </row>
    <row r="594" spans="2:33" ht="15" x14ac:dyDescent="0.25">
      <c r="B594" s="1">
        <v>583</v>
      </c>
      <c r="C594" s="1">
        <v>1.0010375124324993</v>
      </c>
      <c r="D594" s="1">
        <v>1.2348566050964684</v>
      </c>
      <c r="E594" s="1">
        <v>0.80853594508951965</v>
      </c>
      <c r="G594" s="1">
        <v>1.0013145133015857</v>
      </c>
      <c r="H594" s="1">
        <v>5.676600277341346</v>
      </c>
      <c r="I594" s="1">
        <v>0.13275436706496335</v>
      </c>
      <c r="K594" s="1">
        <v>0.99715040642658137</v>
      </c>
      <c r="L594" s="1">
        <v>8.2445175445524441</v>
      </c>
      <c r="M594" s="1">
        <v>8.8879958966824116E-2</v>
      </c>
      <c r="O594" s="1">
        <v>7.3495770792357563E-3</v>
      </c>
      <c r="P594" s="1">
        <v>0.69972564736532306</v>
      </c>
      <c r="R594" s="1">
        <v>0.27607183063864216</v>
      </c>
      <c r="S594" s="2">
        <f t="shared" si="108"/>
        <v>1.3054359886091345</v>
      </c>
      <c r="T594" s="4">
        <f t="shared" si="109"/>
        <v>1.7041631203559082</v>
      </c>
      <c r="U594" s="1">
        <f t="shared" si="113"/>
        <v>1.1242624938176773</v>
      </c>
      <c r="V594" s="6">
        <f>2*sigma/alpha*corel*(B594/12-1/alpha*(1-EXP(-alpha*Output!B594/12)))</f>
        <v>3.3954970856689513</v>
      </c>
      <c r="W594" s="5">
        <f t="shared" si="110"/>
        <v>-0.57990062653823093</v>
      </c>
      <c r="X594" s="1">
        <f t="shared" si="111"/>
        <v>124.22342221604922</v>
      </c>
      <c r="Y594" s="3">
        <f t="shared" si="112"/>
        <v>7.9760470794156241E-2</v>
      </c>
      <c r="Z594" s="1">
        <f t="shared" si="114"/>
        <v>0.18728885169595619</v>
      </c>
      <c r="AA594" s="8">
        <f t="shared" si="119"/>
        <v>48.500000000000284</v>
      </c>
      <c r="AB594" s="1">
        <v>48.58</v>
      </c>
      <c r="AC594" s="1">
        <v>7.554599314E-3</v>
      </c>
      <c r="AD594" s="8">
        <f t="shared" si="115"/>
        <v>2.0502223476424364</v>
      </c>
      <c r="AE594" s="3">
        <f t="shared" si="116"/>
        <v>2.7138730492866962E-2</v>
      </c>
      <c r="AF594" s="11">
        <f t="shared" si="117"/>
        <v>48.500000000000284</v>
      </c>
      <c r="AG594" s="1">
        <f t="shared" si="118"/>
        <v>0.18728885169595619</v>
      </c>
    </row>
    <row r="595" spans="2:33" ht="15" x14ac:dyDescent="0.25">
      <c r="B595" s="1">
        <v>584</v>
      </c>
      <c r="C595" s="1">
        <v>1.0010427253491283</v>
      </c>
      <c r="D595" s="1">
        <v>1.2386828518364978</v>
      </c>
      <c r="E595" s="1">
        <v>0.80603584537257056</v>
      </c>
      <c r="G595" s="1">
        <v>1.0015419299350365</v>
      </c>
      <c r="H595" s="1">
        <v>5.8389674640557407</v>
      </c>
      <c r="I595" s="1">
        <v>0.12900026632017655</v>
      </c>
      <c r="K595" s="1">
        <v>0.99709389244387492</v>
      </c>
      <c r="L595" s="1">
        <v>8.4497489309216611</v>
      </c>
      <c r="M595" s="1">
        <v>8.6674496152648994E-2</v>
      </c>
      <c r="O595" s="1">
        <v>7.3502591609423181E-3</v>
      </c>
      <c r="P595" s="1">
        <v>0.69927400874197243</v>
      </c>
      <c r="R595" s="1">
        <v>0.27643709387247845</v>
      </c>
      <c r="S595" s="2">
        <f t="shared" si="108"/>
        <v>1.3079699544092291</v>
      </c>
      <c r="T595" s="4">
        <f t="shared" si="109"/>
        <v>1.710785401637281</v>
      </c>
      <c r="U595" s="1">
        <f t="shared" si="113"/>
        <v>1.1280878625928223</v>
      </c>
      <c r="V595" s="6">
        <f>2*sigma/alpha*corel*(B595/12-1/alpha*(1-EXP(-alpha*Output!B595/12)))</f>
        <v>3.4044243014029525</v>
      </c>
      <c r="W595" s="5">
        <f t="shared" si="110"/>
        <v>-0.58269753904445865</v>
      </c>
      <c r="X595" s="1">
        <f t="shared" si="111"/>
        <v>125.0218924246376</v>
      </c>
      <c r="Y595" s="3">
        <f t="shared" si="112"/>
        <v>7.9899602077658602E-2</v>
      </c>
      <c r="Z595" s="1">
        <f t="shared" si="114"/>
        <v>0.18749166565790865</v>
      </c>
      <c r="AA595" s="8">
        <f t="shared" si="119"/>
        <v>48.58333333333362</v>
      </c>
      <c r="AB595" s="1">
        <v>48.67</v>
      </c>
      <c r="AC595" s="1">
        <v>7.5544092559999996E-3</v>
      </c>
      <c r="AD595" s="8">
        <f t="shared" si="115"/>
        <v>2.0415009505768151</v>
      </c>
      <c r="AE595" s="3">
        <f t="shared" si="116"/>
        <v>2.7023965493468294E-2</v>
      </c>
      <c r="AF595" s="11">
        <f t="shared" si="117"/>
        <v>48.58333333333362</v>
      </c>
      <c r="AG595" s="1">
        <f t="shared" si="118"/>
        <v>0.18749166565790865</v>
      </c>
    </row>
    <row r="596" spans="2:33" ht="15" x14ac:dyDescent="0.25">
      <c r="B596" s="1">
        <v>585</v>
      </c>
      <c r="C596" s="1">
        <v>1.0010466743875945</v>
      </c>
      <c r="D596" s="1">
        <v>1.2365669142288895</v>
      </c>
      <c r="E596" s="1">
        <v>0.80741251467159414</v>
      </c>
      <c r="G596" s="1">
        <v>1.0017157878498946</v>
      </c>
      <c r="H596" s="1">
        <v>5.7516954564468739</v>
      </c>
      <c r="I596" s="1">
        <v>0.13089417169030451</v>
      </c>
      <c r="K596" s="1">
        <v>0.99720968687813483</v>
      </c>
      <c r="L596" s="1">
        <v>8.3211698987150591</v>
      </c>
      <c r="M596" s="1">
        <v>8.7966947749921268E-2</v>
      </c>
      <c r="O596" s="1">
        <v>7.3509326251234176E-3</v>
      </c>
      <c r="P596" s="1">
        <v>0.69882287576535118</v>
      </c>
      <c r="R596" s="1">
        <v>0.27653668769011142</v>
      </c>
      <c r="S596" s="2">
        <f t="shared" si="108"/>
        <v>1.3094815478544126</v>
      </c>
      <c r="T596" s="4">
        <f t="shared" si="109"/>
        <v>1.7147419241711883</v>
      </c>
      <c r="U596" s="1">
        <f t="shared" si="113"/>
        <v>1.1319174803908201</v>
      </c>
      <c r="V596" s="6">
        <f>2*sigma/alpha*corel*(B596/12-1/alpha*(1-EXP(-alpha*Output!B596/12)))</f>
        <v>3.4133564737078546</v>
      </c>
      <c r="W596" s="5">
        <f t="shared" si="110"/>
        <v>-0.58282444378036824</v>
      </c>
      <c r="X596" s="1">
        <f t="shared" si="111"/>
        <v>125.30176895377512</v>
      </c>
      <c r="Y596" s="3">
        <f t="shared" si="112"/>
        <v>7.9799700476247848E-2</v>
      </c>
      <c r="Z596" s="1">
        <f t="shared" si="114"/>
        <v>0.18754784273974487</v>
      </c>
      <c r="AA596" s="8">
        <f t="shared" si="119"/>
        <v>48.666666666666956</v>
      </c>
      <c r="AB596" s="1">
        <v>48.75</v>
      </c>
      <c r="AC596" s="1">
        <v>7.5542198480000001E-3</v>
      </c>
      <c r="AD596" s="8">
        <f t="shared" si="115"/>
        <v>2.0328722287658256</v>
      </c>
      <c r="AE596" s="3">
        <f t="shared" si="116"/>
        <v>2.6910419205022656E-2</v>
      </c>
      <c r="AF596" s="11">
        <f t="shared" si="117"/>
        <v>48.666666666666956</v>
      </c>
      <c r="AG596" s="1">
        <f t="shared" si="118"/>
        <v>0.18754784273974487</v>
      </c>
    </row>
    <row r="597" spans="2:33" ht="15" x14ac:dyDescent="0.25">
      <c r="B597" s="1">
        <v>586</v>
      </c>
      <c r="C597" s="1">
        <v>1.0010457246990434</v>
      </c>
      <c r="D597" s="1">
        <v>1.2357822329029251</v>
      </c>
      <c r="E597" s="1">
        <v>0.8079226192930008</v>
      </c>
      <c r="G597" s="1">
        <v>1.0014999115171461</v>
      </c>
      <c r="H597" s="1">
        <v>5.7154671496074334</v>
      </c>
      <c r="I597" s="1">
        <v>0.13166004125676764</v>
      </c>
      <c r="K597" s="1">
        <v>0.99712637681991234</v>
      </c>
      <c r="L597" s="1">
        <v>8.3186298936513481</v>
      </c>
      <c r="M597" s="1">
        <v>8.7946130759053651E-2</v>
      </c>
      <c r="O597" s="1">
        <v>7.3516153169477837E-3</v>
      </c>
      <c r="P597" s="1">
        <v>0.69837164074881675</v>
      </c>
      <c r="R597" s="1">
        <v>0.27662306327989938</v>
      </c>
      <c r="S597" s="2">
        <f t="shared" si="108"/>
        <v>1.3109440536281614</v>
      </c>
      <c r="T597" s="4">
        <f t="shared" si="109"/>
        <v>1.7185743117430357</v>
      </c>
      <c r="U597" s="1">
        <f t="shared" si="113"/>
        <v>1.1357513354185715</v>
      </c>
      <c r="V597" s="6">
        <f>2*sigma/alpha*corel*(B597/12-1/alpha*(1-EXP(-alpha*Output!B597/12)))</f>
        <v>3.4222935860892618</v>
      </c>
      <c r="W597" s="5">
        <f t="shared" si="110"/>
        <v>-0.58282297632446411</v>
      </c>
      <c r="X597" s="1">
        <f t="shared" si="111"/>
        <v>125.55684809809969</v>
      </c>
      <c r="Y597" s="3">
        <f t="shared" si="112"/>
        <v>7.9688617399070794E-2</v>
      </c>
      <c r="Z597" s="1">
        <f t="shared" si="114"/>
        <v>0.18759703628267074</v>
      </c>
      <c r="AA597" s="8">
        <f t="shared" si="119"/>
        <v>48.750000000000291</v>
      </c>
      <c r="AB597" s="1">
        <v>48.83</v>
      </c>
      <c r="AC597" s="1">
        <v>7.5540310879999998E-3</v>
      </c>
      <c r="AD597" s="8">
        <f t="shared" si="115"/>
        <v>2.0241577105221604</v>
      </c>
      <c r="AE597" s="3">
        <f t="shared" si="116"/>
        <v>2.6795729153638884E-2</v>
      </c>
      <c r="AF597" s="11">
        <f t="shared" si="117"/>
        <v>48.750000000000291</v>
      </c>
      <c r="AG597" s="1">
        <f t="shared" si="118"/>
        <v>0.18759703628267074</v>
      </c>
    </row>
    <row r="598" spans="2:33" ht="15" x14ac:dyDescent="0.25">
      <c r="B598" s="1">
        <v>587</v>
      </c>
      <c r="C598" s="1">
        <v>1.001046681236003</v>
      </c>
      <c r="D598" s="1">
        <v>1.2372063280068302</v>
      </c>
      <c r="E598" s="1">
        <v>0.80699007617232987</v>
      </c>
      <c r="G598" s="1">
        <v>1.0014970253801347</v>
      </c>
      <c r="H598" s="1">
        <v>5.7739947996549539</v>
      </c>
      <c r="I598" s="1">
        <v>0.13026233442477397</v>
      </c>
      <c r="K598" s="1">
        <v>0.9970868950724634</v>
      </c>
      <c r="L598" s="1">
        <v>8.2596980754179139</v>
      </c>
      <c r="M598" s="1">
        <v>8.8526149350957581E-2</v>
      </c>
      <c r="O598" s="1">
        <v>7.3523072557549196E-3</v>
      </c>
      <c r="P598" s="1">
        <v>0.6979203019957686</v>
      </c>
      <c r="R598" s="1">
        <v>0.2766756744646236</v>
      </c>
      <c r="S598" s="2">
        <f t="shared" si="108"/>
        <v>1.3122779690097148</v>
      </c>
      <c r="T598" s="4">
        <f t="shared" si="109"/>
        <v>1.7220734679482621</v>
      </c>
      <c r="U598" s="1">
        <f t="shared" si="113"/>
        <v>1.13958941590663</v>
      </c>
      <c r="V598" s="6">
        <f>2*sigma/alpha*corel*(B598/12-1/alpha*(1-EXP(-alpha*Output!B598/12)))</f>
        <v>3.431235622107665</v>
      </c>
      <c r="W598" s="5">
        <f t="shared" si="110"/>
        <v>-0.58248405204163212</v>
      </c>
      <c r="X598" s="1">
        <f t="shared" si="111"/>
        <v>125.74609074389993</v>
      </c>
      <c r="Y598" s="3">
        <f t="shared" si="112"/>
        <v>7.954774259720164E-2</v>
      </c>
      <c r="Z598" s="1">
        <f t="shared" si="114"/>
        <v>0.18762789671089763</v>
      </c>
      <c r="AA598" s="8">
        <f t="shared" si="119"/>
        <v>48.833333333333627</v>
      </c>
      <c r="AB598" s="1">
        <v>48.92</v>
      </c>
      <c r="AC598" s="1">
        <v>7.5538429720000003E-3</v>
      </c>
      <c r="AD598" s="8">
        <f t="shared" si="115"/>
        <v>2.0153571624508069</v>
      </c>
      <c r="AE598" s="3">
        <f t="shared" si="116"/>
        <v>2.6679892207465479E-2</v>
      </c>
      <c r="AF598" s="11">
        <f t="shared" si="117"/>
        <v>48.833333333333627</v>
      </c>
      <c r="AG598" s="1">
        <f t="shared" si="118"/>
        <v>0.18762789671089763</v>
      </c>
    </row>
    <row r="599" spans="2:33" ht="15" x14ac:dyDescent="0.25">
      <c r="B599" s="1">
        <v>588</v>
      </c>
      <c r="C599" s="1">
        <v>1.0010475071897682</v>
      </c>
      <c r="D599" s="1">
        <v>1.2352371875572898</v>
      </c>
      <c r="E599" s="1">
        <v>0.80827394470566849</v>
      </c>
      <c r="G599" s="1">
        <v>1.0014040417863166</v>
      </c>
      <c r="H599" s="1">
        <v>5.6852530926689351</v>
      </c>
      <c r="I599" s="1">
        <v>0.13223151260309965</v>
      </c>
      <c r="K599" s="1">
        <v>0.99681011897352723</v>
      </c>
      <c r="L599" s="1">
        <v>8.410665017554642</v>
      </c>
      <c r="M599" s="1">
        <v>8.6891294793105825E-2</v>
      </c>
      <c r="O599" s="1">
        <v>7.3531339714792308E-3</v>
      </c>
      <c r="P599" s="1">
        <v>0.69746456837714221</v>
      </c>
      <c r="R599" s="1">
        <v>0.27678851842334956</v>
      </c>
      <c r="S599" s="2">
        <f t="shared" ref="S599:S662" si="120">optim_vol_implied(P599,R599)</f>
        <v>1.3138572105871174</v>
      </c>
      <c r="T599" s="4">
        <f t="shared" ref="T599:T662" si="121">S599*S599</f>
        <v>1.7262207698117609</v>
      </c>
      <c r="U599" s="1">
        <f t="shared" si="113"/>
        <v>1.1434317101092262</v>
      </c>
      <c r="V599" s="6">
        <f>2*sigma/alpha*corel*(B599/12-1/alpha*(1-EXP(-alpha*Output!B599/12)))</f>
        <v>3.4401825653782656</v>
      </c>
      <c r="W599" s="5">
        <f t="shared" ref="W599:W662" si="122">U599-T599</f>
        <v>-0.5827890597025347</v>
      </c>
      <c r="X599" s="1">
        <f t="shared" ref="X599:X662" si="123">V599*V599-4*W599*B599/12</f>
        <v>126.06151178482938</v>
      </c>
      <c r="Y599" s="3">
        <f t="shared" ref="Y599:Y662" si="124">(-V599+SQRT(X599))/2/B599*12</f>
        <v>7.9464583809074035E-2</v>
      </c>
      <c r="Z599" s="1">
        <f t="shared" si="114"/>
        <v>0.18769388722673105</v>
      </c>
      <c r="AA599" s="8">
        <f t="shared" si="119"/>
        <v>48.916666666666963</v>
      </c>
      <c r="AB599" s="1">
        <v>49</v>
      </c>
      <c r="AC599" s="1">
        <v>7.5536554969999996E-3</v>
      </c>
      <c r="AD599" s="8">
        <f t="shared" si="115"/>
        <v>2.0052152552076876</v>
      </c>
      <c r="AE599" s="3">
        <f t="shared" si="116"/>
        <v>2.6546289488633367E-2</v>
      </c>
      <c r="AF599" s="11">
        <f t="shared" si="117"/>
        <v>48.916666666666963</v>
      </c>
      <c r="AG599" s="1">
        <f t="shared" si="118"/>
        <v>0.18769388722673105</v>
      </c>
    </row>
    <row r="600" spans="2:33" ht="15" x14ac:dyDescent="0.25">
      <c r="B600" s="1">
        <v>589</v>
      </c>
      <c r="C600" s="1">
        <v>1.0010507532429</v>
      </c>
      <c r="D600" s="1">
        <v>1.2324311305172739</v>
      </c>
      <c r="E600" s="1">
        <v>0.81011166458988548</v>
      </c>
      <c r="G600" s="1">
        <v>1.0015074142945188</v>
      </c>
      <c r="H600" s="1">
        <v>5.5635177067629655</v>
      </c>
      <c r="I600" s="1">
        <v>0.13505940009812106</v>
      </c>
      <c r="K600" s="1">
        <v>0.99679278555461515</v>
      </c>
      <c r="L600" s="1">
        <v>8.372105785524333</v>
      </c>
      <c r="M600" s="1">
        <v>8.7245187347214398E-2</v>
      </c>
      <c r="O600" s="1">
        <v>7.3540150137224236E-3</v>
      </c>
      <c r="P600" s="1">
        <v>0.69700717771837994</v>
      </c>
      <c r="R600" s="1">
        <v>0.27694664888660003</v>
      </c>
      <c r="S600" s="2">
        <f t="shared" si="120"/>
        <v>1.3156177141852969</v>
      </c>
      <c r="T600" s="4">
        <f t="shared" si="121"/>
        <v>1.7308499698781457</v>
      </c>
      <c r="U600" s="1">
        <f t="shared" si="113"/>
        <v>1.1472782063042923</v>
      </c>
      <c r="V600" s="6">
        <f>2*sigma/alpha*corel*(B600/12-1/alpha*(1-EXP(-alpha*Output!B600/12)))</f>
        <v>3.4491343995707879</v>
      </c>
      <c r="W600" s="5">
        <f t="shared" si="122"/>
        <v>-0.58357176357385332</v>
      </c>
      <c r="X600" s="1">
        <f t="shared" si="123"/>
        <v>126.47111768796908</v>
      </c>
      <c r="Y600" s="3">
        <f t="shared" si="124"/>
        <v>7.9424143609012107E-2</v>
      </c>
      <c r="Z600" s="1">
        <f t="shared" si="114"/>
        <v>0.18778577379456268</v>
      </c>
      <c r="AA600" s="8">
        <f t="shared" si="119"/>
        <v>49.000000000000298</v>
      </c>
      <c r="AB600" s="1">
        <v>49.08</v>
      </c>
      <c r="AC600" s="1">
        <v>7.5534686599999998E-3</v>
      </c>
      <c r="AD600" s="8">
        <f t="shared" si="115"/>
        <v>1.994536462775762</v>
      </c>
      <c r="AE600" s="3">
        <f t="shared" si="116"/>
        <v>2.6405570110298999E-2</v>
      </c>
      <c r="AF600" s="11">
        <f t="shared" si="117"/>
        <v>49.000000000000298</v>
      </c>
      <c r="AG600" s="1">
        <f t="shared" si="118"/>
        <v>0.18778577379456268</v>
      </c>
    </row>
    <row r="601" spans="2:33" ht="15" x14ac:dyDescent="0.25">
      <c r="B601" s="1">
        <v>590</v>
      </c>
      <c r="C601" s="1">
        <v>1.0010547004968899</v>
      </c>
      <c r="D601" s="1">
        <v>1.2346259599654272</v>
      </c>
      <c r="E601" s="1">
        <v>0.80866890992017082</v>
      </c>
      <c r="G601" s="1">
        <v>1.0016685245537809</v>
      </c>
      <c r="H601" s="1">
        <v>5.5764387779668505</v>
      </c>
      <c r="I601" s="1">
        <v>0.13468116741564906</v>
      </c>
      <c r="K601" s="1">
        <v>0.99674919184944188</v>
      </c>
      <c r="L601" s="1">
        <v>8.1812190238881684</v>
      </c>
      <c r="M601" s="1">
        <v>8.9232315371364626E-2</v>
      </c>
      <c r="O601" s="1">
        <v>7.354935605614189E-3</v>
      </c>
      <c r="P601" s="1">
        <v>0.69654863027329639</v>
      </c>
      <c r="R601" s="1">
        <v>0.27705791292541132</v>
      </c>
      <c r="S601" s="2">
        <f t="shared" si="120"/>
        <v>1.3172017139622898</v>
      </c>
      <c r="T601" s="4">
        <f t="shared" si="121"/>
        <v>1.7350203552651939</v>
      </c>
      <c r="U601" s="1">
        <f t="shared" si="113"/>
        <v>1.1511288927934826</v>
      </c>
      <c r="V601" s="6">
        <f>2*sigma/alpha*corel*(B601/12-1/alpha*(1-EXP(-alpha*Output!B601/12)))</f>
        <v>3.4580911084092998</v>
      </c>
      <c r="W601" s="5">
        <f t="shared" si="122"/>
        <v>-0.58389146247171131</v>
      </c>
      <c r="X601" s="1">
        <f t="shared" si="123"/>
        <v>126.79038173349602</v>
      </c>
      <c r="Y601" s="3">
        <f t="shared" si="124"/>
        <v>7.934270251235552E-2</v>
      </c>
      <c r="Z601" s="1">
        <f t="shared" si="114"/>
        <v>0.18785246764047075</v>
      </c>
      <c r="AA601" s="8">
        <f t="shared" si="119"/>
        <v>49.083333333333634</v>
      </c>
      <c r="AB601" s="1">
        <v>49.17</v>
      </c>
      <c r="AC601" s="1">
        <v>7.553282457E-3</v>
      </c>
      <c r="AD601" s="8">
        <f t="shared" si="115"/>
        <v>1.983468513858111</v>
      </c>
      <c r="AE601" s="3">
        <f t="shared" si="116"/>
        <v>2.6259689415161915E-2</v>
      </c>
      <c r="AF601" s="11">
        <f t="shared" si="117"/>
        <v>49.083333333333634</v>
      </c>
      <c r="AG601" s="1">
        <f t="shared" si="118"/>
        <v>0.18785246764047075</v>
      </c>
    </row>
    <row r="602" spans="2:33" ht="15" x14ac:dyDescent="0.25">
      <c r="B602" s="1">
        <v>591</v>
      </c>
      <c r="C602" s="1">
        <v>1.0010569250250028</v>
      </c>
      <c r="D602" s="1">
        <v>1.2342502490529828</v>
      </c>
      <c r="E602" s="1">
        <v>0.80891247060053717</v>
      </c>
      <c r="G602" s="1">
        <v>1.0017370871196167</v>
      </c>
      <c r="H602" s="1">
        <v>5.610612223036644</v>
      </c>
      <c r="I602" s="1">
        <v>0.13379598313444335</v>
      </c>
      <c r="K602" s="1">
        <v>0.99667197958190989</v>
      </c>
      <c r="L602" s="1">
        <v>8.4487630036962127</v>
      </c>
      <c r="M602" s="1">
        <v>8.6361110929021559E-2</v>
      </c>
      <c r="O602" s="1">
        <v>7.3558879588651203E-3</v>
      </c>
      <c r="P602" s="1">
        <v>0.69608918883889126</v>
      </c>
      <c r="R602" s="1">
        <v>0.27720477626749279</v>
      </c>
      <c r="S602" s="2">
        <f t="shared" si="120"/>
        <v>1.3189278403467151</v>
      </c>
      <c r="T602" s="4">
        <f t="shared" si="121"/>
        <v>1.73957064804165</v>
      </c>
      <c r="U602" s="1">
        <f t="shared" si="113"/>
        <v>1.154983757902202</v>
      </c>
      <c r="V602" s="6">
        <f>2*sigma/alpha*corel*(B602/12-1/alpha*(1-EXP(-alpha*Output!B602/12)))</f>
        <v>3.4670526756720341</v>
      </c>
      <c r="W602" s="5">
        <f t="shared" si="122"/>
        <v>-0.58458689013944798</v>
      </c>
      <c r="X602" s="1">
        <f t="shared" si="123"/>
        <v>127.18407161335587</v>
      </c>
      <c r="Y602" s="3">
        <f t="shared" si="124"/>
        <v>7.9294811107057245E-2</v>
      </c>
      <c r="Z602" s="1">
        <f t="shared" si="114"/>
        <v>0.18793943554325623</v>
      </c>
      <c r="AA602" s="8">
        <f t="shared" si="119"/>
        <v>49.16666666666697</v>
      </c>
      <c r="AB602" s="1">
        <v>49.25</v>
      </c>
      <c r="AC602" s="1">
        <v>7.5530968860000004E-3</v>
      </c>
      <c r="AD602" s="8">
        <f t="shared" si="115"/>
        <v>1.9720892713488007</v>
      </c>
      <c r="AE602" s="3">
        <f t="shared" si="116"/>
        <v>2.6109677938914774E-2</v>
      </c>
      <c r="AF602" s="11">
        <f t="shared" si="117"/>
        <v>49.16666666666697</v>
      </c>
      <c r="AG602" s="1">
        <f t="shared" si="118"/>
        <v>0.18793943554325623</v>
      </c>
    </row>
    <row r="603" spans="2:33" ht="15" x14ac:dyDescent="0.25">
      <c r="B603" s="1">
        <v>592</v>
      </c>
      <c r="C603" s="1">
        <v>1.0010525453560073</v>
      </c>
      <c r="D603" s="1">
        <v>1.2380907984710854</v>
      </c>
      <c r="E603" s="1">
        <v>0.80640063140931439</v>
      </c>
      <c r="G603" s="1">
        <v>1.0012215172463328</v>
      </c>
      <c r="H603" s="1">
        <v>5.713891949123191</v>
      </c>
      <c r="I603" s="1">
        <v>0.13131393655747342</v>
      </c>
      <c r="K603" s="1">
        <v>0.99672430039761439</v>
      </c>
      <c r="L603" s="1">
        <v>8.2107976823020685</v>
      </c>
      <c r="M603" s="1">
        <v>8.88162951451371E-2</v>
      </c>
      <c r="O603" s="1">
        <v>7.3568140585015315E-3</v>
      </c>
      <c r="P603" s="1">
        <v>0.69563084100185935</v>
      </c>
      <c r="R603" s="1">
        <v>0.27739582140607</v>
      </c>
      <c r="S603" s="2">
        <f t="shared" si="120"/>
        <v>1.3208247940749553</v>
      </c>
      <c r="T603" s="4">
        <f t="shared" si="121"/>
        <v>1.7445781366431481</v>
      </c>
      <c r="U603" s="1">
        <f t="shared" si="113"/>
        <v>1.1588427899796212</v>
      </c>
      <c r="V603" s="6">
        <f>2*sigma/alpha*corel*(B603/12-1/alpha*(1-EXP(-alpha*Output!B603/12)))</f>
        <v>3.4760190851912038</v>
      </c>
      <c r="W603" s="5">
        <f t="shared" si="122"/>
        <v>-0.58573534666352689</v>
      </c>
      <c r="X603" s="1">
        <f t="shared" si="123"/>
        <v>127.6678170888828</v>
      </c>
      <c r="Y603" s="3">
        <f t="shared" si="124"/>
        <v>7.9287155345632535E-2</v>
      </c>
      <c r="Z603" s="1">
        <f t="shared" si="114"/>
        <v>0.18805071214265875</v>
      </c>
      <c r="AA603" s="8">
        <f t="shared" si="119"/>
        <v>49.250000000000306</v>
      </c>
      <c r="AB603" s="1">
        <v>49.33</v>
      </c>
      <c r="AC603" s="1">
        <v>7.5529119420000004E-3</v>
      </c>
      <c r="AD603" s="8">
        <f t="shared" si="115"/>
        <v>1.9609788349846895</v>
      </c>
      <c r="AE603" s="3">
        <f t="shared" si="116"/>
        <v>2.5963215909881574E-2</v>
      </c>
      <c r="AF603" s="11">
        <f t="shared" si="117"/>
        <v>49.250000000000306</v>
      </c>
      <c r="AG603" s="1">
        <f t="shared" si="118"/>
        <v>0.18805071214265875</v>
      </c>
    </row>
    <row r="604" spans="2:33" ht="15" x14ac:dyDescent="0.25">
      <c r="B604" s="1">
        <v>593</v>
      </c>
      <c r="C604" s="1">
        <v>1.0010509780405998</v>
      </c>
      <c r="D604" s="1">
        <v>1.2338574776631883</v>
      </c>
      <c r="E604" s="1">
        <v>0.80916475186733938</v>
      </c>
      <c r="G604" s="1">
        <v>1.0009839323203851</v>
      </c>
      <c r="H604" s="1">
        <v>5.5410841619650117</v>
      </c>
      <c r="I604" s="1">
        <v>0.13534356499174291</v>
      </c>
      <c r="K604" s="1">
        <v>0.99667506350556367</v>
      </c>
      <c r="L604" s="1">
        <v>8.2716993028622454</v>
      </c>
      <c r="M604" s="1">
        <v>8.8115343985716785E-2</v>
      </c>
      <c r="O604" s="1">
        <v>7.3578095264432916E-3</v>
      </c>
      <c r="P604" s="1">
        <v>0.69517030465587493</v>
      </c>
      <c r="R604" s="1">
        <v>0.27760994126998784</v>
      </c>
      <c r="S604" s="2">
        <f t="shared" si="120"/>
        <v>1.3228193597844287</v>
      </c>
      <c r="T604" s="4">
        <f t="shared" si="121"/>
        <v>1.7498510586204856</v>
      </c>
      <c r="U604" s="1">
        <f t="shared" si="113"/>
        <v>1.1627059773987023</v>
      </c>
      <c r="V604" s="6">
        <f>2*sigma/alpha*corel*(B604/12-1/alpha*(1-EXP(-alpha*Output!B604/12)))</f>
        <v>3.484990320852825</v>
      </c>
      <c r="W604" s="5">
        <f t="shared" si="122"/>
        <v>-0.58714508122178333</v>
      </c>
      <c r="X604" s="1">
        <f t="shared" si="123"/>
        <v>128.20416859127704</v>
      </c>
      <c r="Y604" s="3">
        <f t="shared" si="124"/>
        <v>7.9302573137742485E-2</v>
      </c>
      <c r="Z604" s="1">
        <f t="shared" si="114"/>
        <v>0.18817582062045549</v>
      </c>
      <c r="AA604" s="8">
        <f t="shared" si="119"/>
        <v>49.333333333333641</v>
      </c>
      <c r="AB604" s="1">
        <v>49.42</v>
      </c>
      <c r="AC604" s="1">
        <v>7.5527276239999996E-3</v>
      </c>
      <c r="AD604" s="8">
        <f t="shared" si="115"/>
        <v>1.9491809755670801</v>
      </c>
      <c r="AE604" s="3">
        <f t="shared" si="116"/>
        <v>2.5807642915299182E-2</v>
      </c>
      <c r="AF604" s="11">
        <f t="shared" si="117"/>
        <v>49.333333333333641</v>
      </c>
      <c r="AG604" s="1">
        <f t="shared" si="118"/>
        <v>0.18817582062045549</v>
      </c>
    </row>
    <row r="605" spans="2:33" ht="15" x14ac:dyDescent="0.25">
      <c r="B605" s="1">
        <v>594</v>
      </c>
      <c r="C605" s="1">
        <v>1.0010467236883391</v>
      </c>
      <c r="D605" s="1">
        <v>1.2373539726288167</v>
      </c>
      <c r="E605" s="1">
        <v>0.8068756186438556</v>
      </c>
      <c r="G605" s="1">
        <v>1.0005385336551151</v>
      </c>
      <c r="H605" s="1">
        <v>5.687371371127103</v>
      </c>
      <c r="I605" s="1">
        <v>0.13179844387510034</v>
      </c>
      <c r="K605" s="1">
        <v>0.99653054742731106</v>
      </c>
      <c r="L605" s="1">
        <v>8.2694697844973497</v>
      </c>
      <c r="M605" s="1">
        <v>8.8092460843342837E-2</v>
      </c>
      <c r="O605" s="1">
        <v>7.3587778233754446E-3</v>
      </c>
      <c r="P605" s="1">
        <v>0.69471089230490335</v>
      </c>
      <c r="R605" s="1">
        <v>0.27782412294269693</v>
      </c>
      <c r="S605" s="2">
        <f t="shared" si="120"/>
        <v>1.3248139506354824</v>
      </c>
      <c r="T605" s="4">
        <f t="shared" si="121"/>
        <v>1.7551320037983942</v>
      </c>
      <c r="U605" s="1">
        <f t="shared" si="113"/>
        <v>1.1665733085562184</v>
      </c>
      <c r="V605" s="6">
        <f>2*sigma/alpha*corel*(B605/12-1/alpha*(1-EXP(-alpha*Output!B605/12)))</f>
        <v>3.4939663665965401</v>
      </c>
      <c r="W605" s="5">
        <f t="shared" si="122"/>
        <v>-0.58855869524217574</v>
      </c>
      <c r="X605" s="1">
        <f t="shared" si="123"/>
        <v>128.74242262885863</v>
      </c>
      <c r="Y605" s="3">
        <f t="shared" si="124"/>
        <v>7.9318236843777701E-2</v>
      </c>
      <c r="Z605" s="1">
        <f t="shared" si="114"/>
        <v>0.18830085554226078</v>
      </c>
      <c r="AA605" s="8">
        <f t="shared" si="119"/>
        <v>49.416666666666977</v>
      </c>
      <c r="AB605" s="1">
        <v>49.5</v>
      </c>
      <c r="AC605" s="1">
        <v>7.5525439270000003E-3</v>
      </c>
      <c r="AD605" s="8">
        <f t="shared" si="115"/>
        <v>1.9376610362455571</v>
      </c>
      <c r="AE605" s="3">
        <f t="shared" si="116"/>
        <v>2.5655740039041773E-2</v>
      </c>
      <c r="AF605" s="11">
        <f t="shared" si="117"/>
        <v>49.416666666666977</v>
      </c>
      <c r="AG605" s="1">
        <f t="shared" si="118"/>
        <v>0.18830085554226078</v>
      </c>
    </row>
    <row r="606" spans="2:33" ht="15" x14ac:dyDescent="0.25">
      <c r="B606" s="1">
        <v>595</v>
      </c>
      <c r="C606" s="1">
        <v>1.001044566323984</v>
      </c>
      <c r="D606" s="1">
        <v>1.2346425927801099</v>
      </c>
      <c r="E606" s="1">
        <v>0.80864496738464853</v>
      </c>
      <c r="G606" s="1">
        <v>1.0002259780059364</v>
      </c>
      <c r="H606" s="1">
        <v>5.5708510043808577</v>
      </c>
      <c r="I606" s="1">
        <v>0.13448995147480611</v>
      </c>
      <c r="K606" s="1">
        <v>0.99645577243422412</v>
      </c>
      <c r="L606" s="1">
        <v>8.0663630984354189</v>
      </c>
      <c r="M606" s="1">
        <v>9.0262841970113986E-2</v>
      </c>
      <c r="O606" s="1">
        <v>7.3597707401116472E-3</v>
      </c>
      <c r="P606" s="1">
        <v>0.69425082402758498</v>
      </c>
      <c r="R606" s="1">
        <v>0.27798710823842798</v>
      </c>
      <c r="S606" s="2">
        <f t="shared" si="120"/>
        <v>1.3266135129181407</v>
      </c>
      <c r="T606" s="4">
        <f t="shared" si="121"/>
        <v>1.7599034126570099</v>
      </c>
      <c r="U606" s="1">
        <f t="shared" si="113"/>
        <v>1.1704447718727713</v>
      </c>
      <c r="V606" s="6">
        <f>2*sigma/alpha*corel*(B606/12-1/alpha*(1-EXP(-alpha*Output!B606/12)))</f>
        <v>3.5029472064154339</v>
      </c>
      <c r="W606" s="5">
        <f t="shared" si="122"/>
        <v>-0.5894586407842386</v>
      </c>
      <c r="X606" s="1">
        <f t="shared" si="123"/>
        <v>129.17993621980767</v>
      </c>
      <c r="Y606" s="3">
        <f t="shared" si="124"/>
        <v>7.9288618237841862E-2</v>
      </c>
      <c r="Z606" s="1">
        <f t="shared" si="114"/>
        <v>0.18839811660231914</v>
      </c>
      <c r="AA606" s="8">
        <f t="shared" si="119"/>
        <v>49.500000000000313</v>
      </c>
      <c r="AB606" s="1">
        <v>49.58</v>
      </c>
      <c r="AC606" s="1">
        <v>7.5523608480000002E-3</v>
      </c>
      <c r="AD606" s="8">
        <f t="shared" si="115"/>
        <v>1.9259010788835307</v>
      </c>
      <c r="AE606" s="3">
        <f t="shared" si="116"/>
        <v>2.5500649633201037E-2</v>
      </c>
      <c r="AF606" s="11">
        <f t="shared" si="117"/>
        <v>49.500000000000313</v>
      </c>
      <c r="AG606" s="1">
        <f t="shared" si="118"/>
        <v>0.18839811660231914</v>
      </c>
    </row>
    <row r="607" spans="2:33" ht="15" x14ac:dyDescent="0.25">
      <c r="B607" s="1">
        <v>596</v>
      </c>
      <c r="C607" s="1">
        <v>1.0010457785563618</v>
      </c>
      <c r="D607" s="1">
        <v>1.2334935040961059</v>
      </c>
      <c r="E607" s="1">
        <v>0.80939565319012907</v>
      </c>
      <c r="G607" s="1">
        <v>1.0001904940044135</v>
      </c>
      <c r="H607" s="1">
        <v>5.5243980159476909</v>
      </c>
      <c r="I607" s="1">
        <v>0.13555512044285084</v>
      </c>
      <c r="K607" s="1">
        <v>0.99663983846061299</v>
      </c>
      <c r="L607" s="1">
        <v>8.0011460474318632</v>
      </c>
      <c r="M607" s="1">
        <v>9.0946941427271263E-2</v>
      </c>
      <c r="O607" s="1">
        <v>7.3607086808026119E-3</v>
      </c>
      <c r="P607" s="1">
        <v>0.69379283999778996</v>
      </c>
      <c r="R607" s="1">
        <v>0.2782605085829658</v>
      </c>
      <c r="S607" s="2">
        <f t="shared" si="120"/>
        <v>1.32884033425347</v>
      </c>
      <c r="T607" s="4">
        <f t="shared" si="121"/>
        <v>1.7658166339388739</v>
      </c>
      <c r="U607" s="1">
        <f t="shared" si="113"/>
        <v>1.1743203557928115</v>
      </c>
      <c r="V607" s="6">
        <f>2*sigma/alpha*corel*(B607/12-1/alpha*(1-EXP(-alpha*Output!B607/12)))</f>
        <v>3.5119328243558594</v>
      </c>
      <c r="W607" s="5">
        <f t="shared" si="122"/>
        <v>-0.59149627814606243</v>
      </c>
      <c r="X607" s="1">
        <f t="shared" si="123"/>
        <v>129.84426608780586</v>
      </c>
      <c r="Y607" s="3">
        <f t="shared" si="124"/>
        <v>7.9358959693898695E-2</v>
      </c>
      <c r="Z607" s="1">
        <f t="shared" si="114"/>
        <v>0.18855597324335591</v>
      </c>
      <c r="AA607" s="8">
        <f t="shared" si="119"/>
        <v>49.583333333333648</v>
      </c>
      <c r="AB607" s="1">
        <v>49.67</v>
      </c>
      <c r="AC607" s="1">
        <v>7.5521783850000003E-3</v>
      </c>
      <c r="AD607" s="8">
        <f t="shared" si="115"/>
        <v>1.9146970419738845</v>
      </c>
      <c r="AE607" s="3">
        <f t="shared" si="116"/>
        <v>2.5352910701590695E-2</v>
      </c>
      <c r="AF607" s="11">
        <f t="shared" si="117"/>
        <v>49.583333333333648</v>
      </c>
      <c r="AG607" s="1">
        <f t="shared" si="118"/>
        <v>0.18855597324335591</v>
      </c>
    </row>
    <row r="608" spans="2:33" ht="15" x14ac:dyDescent="0.25">
      <c r="B608" s="1">
        <v>597</v>
      </c>
      <c r="C608" s="1">
        <v>1.0010424477899407</v>
      </c>
      <c r="D608" s="1">
        <v>1.2337093214393018</v>
      </c>
      <c r="E608" s="1">
        <v>0.80925143313912473</v>
      </c>
      <c r="G608" s="1">
        <v>0.999848575133092</v>
      </c>
      <c r="H608" s="1">
        <v>5.530266636125357</v>
      </c>
      <c r="I608" s="1">
        <v>0.13534565645308497</v>
      </c>
      <c r="K608" s="1">
        <v>0.99666559421837508</v>
      </c>
      <c r="L608" s="1">
        <v>7.8868111762332678</v>
      </c>
      <c r="M608" s="1">
        <v>9.2218536247706678E-2</v>
      </c>
      <c r="O608" s="1">
        <v>7.3615548620588906E-3</v>
      </c>
      <c r="P608" s="1">
        <v>0.69333821481061841</v>
      </c>
      <c r="R608" s="1">
        <v>0.27845948214888211</v>
      </c>
      <c r="S608" s="2">
        <f t="shared" si="120"/>
        <v>1.3307713632750964</v>
      </c>
      <c r="T608" s="4">
        <f t="shared" si="121"/>
        <v>1.7709524213130585</v>
      </c>
      <c r="U608" s="1">
        <f t="shared" si="113"/>
        <v>1.1782000487846584</v>
      </c>
      <c r="V608" s="6">
        <f>2*sigma/alpha*corel*(B608/12-1/alpha*(1-EXP(-alpha*Output!B608/12)))</f>
        <v>3.520923204517262</v>
      </c>
      <c r="W608" s="5">
        <f t="shared" si="122"/>
        <v>-0.59275237252840007</v>
      </c>
      <c r="X608" s="1">
        <f t="shared" si="123"/>
        <v>130.35462234525971</v>
      </c>
      <c r="Y608" s="3">
        <f t="shared" si="124"/>
        <v>7.9360519337670729E-2</v>
      </c>
      <c r="Z608" s="1">
        <f t="shared" si="114"/>
        <v>0.18867176151780723</v>
      </c>
      <c r="AA608" s="8">
        <f t="shared" si="119"/>
        <v>49.666666666666984</v>
      </c>
      <c r="AB608" s="1">
        <v>49.75</v>
      </c>
      <c r="AC608" s="1">
        <v>7.5519965350000001E-3</v>
      </c>
      <c r="AD608" s="8">
        <f t="shared" si="115"/>
        <v>1.9044167294110947</v>
      </c>
      <c r="AE608" s="3">
        <f t="shared" si="116"/>
        <v>2.5217394110087402E-2</v>
      </c>
      <c r="AF608" s="11">
        <f t="shared" si="117"/>
        <v>49.666666666666984</v>
      </c>
      <c r="AG608" s="1">
        <f t="shared" si="118"/>
        <v>0.18867176151780723</v>
      </c>
    </row>
    <row r="609" spans="2:33" ht="15" x14ac:dyDescent="0.25">
      <c r="B609" s="1">
        <v>598</v>
      </c>
      <c r="C609" s="1">
        <v>1.0010463265402787</v>
      </c>
      <c r="D609" s="1">
        <v>1.2364996334331053</v>
      </c>
      <c r="E609" s="1">
        <v>0.80742263128603498</v>
      </c>
      <c r="G609" s="1">
        <v>1.0000694767788261</v>
      </c>
      <c r="H609" s="1">
        <v>5.6478942214793468</v>
      </c>
      <c r="I609" s="1">
        <v>0.1324626208597911</v>
      </c>
      <c r="K609" s="1">
        <v>0.99665900300975729</v>
      </c>
      <c r="L609" s="1">
        <v>7.6588415181941292</v>
      </c>
      <c r="M609" s="1">
        <v>9.4914277911105627E-2</v>
      </c>
      <c r="O609" s="1">
        <v>7.3624316170457366E-3</v>
      </c>
      <c r="P609" s="1">
        <v>0.69288273413983126</v>
      </c>
      <c r="R609" s="1">
        <v>0.27863294280926115</v>
      </c>
      <c r="S609" s="2">
        <f t="shared" si="120"/>
        <v>1.3326074383809223</v>
      </c>
      <c r="T609" s="4">
        <f t="shared" si="121"/>
        <v>1.7758425848281636</v>
      </c>
      <c r="U609" s="1">
        <f t="shared" si="113"/>
        <v>1.1820838393405149</v>
      </c>
      <c r="V609" s="6">
        <f>2*sigma/alpha*corel*(B609/12-1/alpha*(1-EXP(-alpha*Output!B609/12)))</f>
        <v>3.5299183310519986</v>
      </c>
      <c r="W609" s="5">
        <f t="shared" si="122"/>
        <v>-0.59375874548764873</v>
      </c>
      <c r="X609" s="1">
        <f t="shared" si="123"/>
        <v>130.81623335776825</v>
      </c>
      <c r="Y609" s="3">
        <f t="shared" si="124"/>
        <v>7.9340208469717274E-2</v>
      </c>
      <c r="Z609" s="1">
        <f t="shared" si="114"/>
        <v>0.18877403728728803</v>
      </c>
      <c r="AA609" s="8">
        <f t="shared" si="119"/>
        <v>49.75000000000032</v>
      </c>
      <c r="AB609" s="1">
        <v>49.83</v>
      </c>
      <c r="AC609" s="1">
        <v>7.551815293E-3</v>
      </c>
      <c r="AD609" s="8">
        <f t="shared" si="115"/>
        <v>1.8938367595426349</v>
      </c>
      <c r="AE609" s="3">
        <f t="shared" si="116"/>
        <v>2.5077900955788577E-2</v>
      </c>
      <c r="AF609" s="11">
        <f t="shared" si="117"/>
        <v>49.75000000000032</v>
      </c>
      <c r="AG609" s="1">
        <f t="shared" si="118"/>
        <v>0.18877403728728803</v>
      </c>
    </row>
    <row r="610" spans="2:33" ht="15" x14ac:dyDescent="0.25">
      <c r="B610" s="1">
        <v>599</v>
      </c>
      <c r="C610" s="1">
        <v>1.0010531832259091</v>
      </c>
      <c r="D610" s="1">
        <v>1.2383326716676917</v>
      </c>
      <c r="E610" s="1">
        <v>0.80622481815529001</v>
      </c>
      <c r="G610" s="1">
        <v>1.0005173360092012</v>
      </c>
      <c r="H610" s="1">
        <v>5.7169020875627954</v>
      </c>
      <c r="I610" s="1">
        <v>0.13080027159398647</v>
      </c>
      <c r="K610" s="1">
        <v>0.99656035174256508</v>
      </c>
      <c r="L610" s="1">
        <v>7.576274844590178</v>
      </c>
      <c r="M610" s="1">
        <v>9.5892767235875892E-2</v>
      </c>
      <c r="O610" s="1">
        <v>7.3634186593146802E-3</v>
      </c>
      <c r="P610" s="1">
        <v>0.69242363958759412</v>
      </c>
      <c r="R610" s="1">
        <v>0.27891195866792584</v>
      </c>
      <c r="S610" s="2">
        <f t="shared" si="120"/>
        <v>1.3348676683584058</v>
      </c>
      <c r="T610" s="4">
        <f t="shared" si="121"/>
        <v>1.7818716920286068</v>
      </c>
      <c r="U610" s="1">
        <f t="shared" si="113"/>
        <v>1.1859717159764847</v>
      </c>
      <c r="V610" s="6">
        <f>2*sigma/alpha*corel*(B610/12-1/alpha*(1-EXP(-alpha*Output!B610/12)))</f>
        <v>3.5389181881651632</v>
      </c>
      <c r="W610" s="5">
        <f t="shared" si="122"/>
        <v>-0.59589997605212219</v>
      </c>
      <c r="X610" s="1">
        <f t="shared" si="123"/>
        <v>131.50530382759993</v>
      </c>
      <c r="Y610" s="3">
        <f t="shared" si="124"/>
        <v>7.941894499388058E-2</v>
      </c>
      <c r="Z610" s="1">
        <f t="shared" si="114"/>
        <v>0.18893630863805691</v>
      </c>
      <c r="AA610" s="8">
        <f t="shared" si="119"/>
        <v>49.833333333333655</v>
      </c>
      <c r="AB610" s="1">
        <v>49.92</v>
      </c>
      <c r="AC610" s="1">
        <v>7.5516346579999998E-3</v>
      </c>
      <c r="AD610" s="8">
        <f t="shared" si="115"/>
        <v>1.882159986853196</v>
      </c>
      <c r="AE610" s="3">
        <f t="shared" si="116"/>
        <v>2.4923875056101743E-2</v>
      </c>
      <c r="AF610" s="11">
        <f t="shared" si="117"/>
        <v>49.833333333333655</v>
      </c>
      <c r="AG610" s="1">
        <f t="shared" si="118"/>
        <v>0.18893630863805691</v>
      </c>
    </row>
    <row r="611" spans="2:33" ht="15" x14ac:dyDescent="0.25">
      <c r="B611" s="1">
        <v>600</v>
      </c>
      <c r="C611" s="1">
        <v>1.0010554783216421</v>
      </c>
      <c r="D611" s="1">
        <v>1.2388832918408741</v>
      </c>
      <c r="E611" s="1">
        <v>0.80586386048626923</v>
      </c>
      <c r="G611" s="1">
        <v>1.0005870432758701</v>
      </c>
      <c r="H611" s="1">
        <v>5.7376976939023212</v>
      </c>
      <c r="I611" s="1">
        <v>0.13026304837211183</v>
      </c>
      <c r="K611" s="1">
        <v>0.99655219549806828</v>
      </c>
      <c r="L611" s="1">
        <v>7.6098735295176256</v>
      </c>
      <c r="M611" s="1">
        <v>9.5420175847409583E-2</v>
      </c>
      <c r="O611" s="1">
        <v>7.3643843838958507E-3</v>
      </c>
      <c r="P611" s="1">
        <v>0.69196547294680022</v>
      </c>
      <c r="R611" s="1">
        <v>0.27911892210566785</v>
      </c>
      <c r="S611" s="2">
        <f t="shared" si="120"/>
        <v>1.3368467606617405</v>
      </c>
      <c r="T611" s="4">
        <f t="shared" si="121"/>
        <v>1.7871592614917888</v>
      </c>
      <c r="U611" s="1">
        <f t="shared" si="113"/>
        <v>1.1898636672325913</v>
      </c>
      <c r="V611" s="6">
        <f>2*sigma/alpha*corel*(B611/12-1/alpha*(1-EXP(-alpha*Output!B611/12)))</f>
        <v>3.5479227601144148</v>
      </c>
      <c r="W611" s="5">
        <f t="shared" si="122"/>
        <v>-0.59729559425919754</v>
      </c>
      <c r="X611" s="1">
        <f t="shared" si="123"/>
        <v>132.04687476357739</v>
      </c>
      <c r="Y611" s="3">
        <f t="shared" si="124"/>
        <v>7.9432423141318598E-2</v>
      </c>
      <c r="Z611" s="1">
        <f t="shared" si="114"/>
        <v>0.18905868197423722</v>
      </c>
      <c r="AA611" s="8">
        <f t="shared" si="119"/>
        <v>49.916666666666991</v>
      </c>
      <c r="AB611" s="1">
        <v>50</v>
      </c>
      <c r="AC611" s="1">
        <v>7.5514546260000001E-3</v>
      </c>
      <c r="AD611" s="8">
        <f t="shared" si="115"/>
        <v>1.8707024210414935</v>
      </c>
      <c r="AE611" s="3">
        <f t="shared" si="116"/>
        <v>2.477274265279408E-2</v>
      </c>
      <c r="AF611" s="11">
        <f t="shared" si="117"/>
        <v>49.916666666666991</v>
      </c>
      <c r="AG611" s="1">
        <f t="shared" si="118"/>
        <v>0.18905868197423722</v>
      </c>
    </row>
    <row r="612" spans="2:33" ht="15" x14ac:dyDescent="0.25">
      <c r="B612" s="1">
        <v>601</v>
      </c>
      <c r="C612" s="1">
        <v>1.0010530073202608</v>
      </c>
      <c r="D612" s="1">
        <v>1.2362203516604711</v>
      </c>
      <c r="E612" s="1">
        <v>0.80759712858709665</v>
      </c>
      <c r="G612" s="1">
        <v>1.0002712187902216</v>
      </c>
      <c r="H612" s="1">
        <v>5.6250048881424641</v>
      </c>
      <c r="I612" s="1">
        <v>0.13280838434660802</v>
      </c>
      <c r="K612" s="1">
        <v>0.99669413078024882</v>
      </c>
      <c r="L612" s="1">
        <v>7.4865492046263249</v>
      </c>
      <c r="M612" s="1">
        <v>9.6937240823462612E-2</v>
      </c>
      <c r="O612" s="1">
        <v>7.3653836355276146E-3</v>
      </c>
      <c r="P612" s="1">
        <v>0.69150633702584174</v>
      </c>
      <c r="R612" s="1">
        <v>0.279258685273582</v>
      </c>
      <c r="S612" s="2">
        <f t="shared" si="120"/>
        <v>1.3385677127300031</v>
      </c>
      <c r="T612" s="4">
        <f t="shared" si="121"/>
        <v>1.7917635215632322</v>
      </c>
      <c r="U612" s="1">
        <f t="shared" si="113"/>
        <v>1.1937596816727885</v>
      </c>
      <c r="V612" s="6">
        <f>2*sigma/alpha*corel*(B612/12-1/alpha*(1-EXP(-alpha*Output!B612/12)))</f>
        <v>3.5569320312097963</v>
      </c>
      <c r="W612" s="5">
        <f t="shared" si="122"/>
        <v>-0.5980038398904437</v>
      </c>
      <c r="X612" s="1">
        <f t="shared" si="123"/>
        <v>132.45186806603181</v>
      </c>
      <c r="Y612" s="3">
        <f t="shared" si="124"/>
        <v>7.938610477036237E-2</v>
      </c>
      <c r="Z612" s="1">
        <f t="shared" si="114"/>
        <v>0.18914450654813039</v>
      </c>
      <c r="AA612" s="8">
        <f t="shared" si="119"/>
        <v>50.000000000000327</v>
      </c>
      <c r="AB612" s="1">
        <v>50.08</v>
      </c>
      <c r="AC612" s="1">
        <v>7.5512751939999997E-3</v>
      </c>
      <c r="AD612" s="8">
        <f t="shared" si="115"/>
        <v>1.8589155847238519</v>
      </c>
      <c r="AE612" s="3">
        <f t="shared" si="116"/>
        <v>2.4617240624482686E-2</v>
      </c>
      <c r="AF612" s="11">
        <f t="shared" si="117"/>
        <v>50.000000000000327</v>
      </c>
      <c r="AG612" s="1">
        <f t="shared" si="118"/>
        <v>0.18914450654813039</v>
      </c>
    </row>
    <row r="613" spans="2:33" ht="15" x14ac:dyDescent="0.25">
      <c r="B613" s="1">
        <v>602</v>
      </c>
      <c r="C613" s="1">
        <v>1.0010519429596638</v>
      </c>
      <c r="D613" s="1">
        <v>1.2336016628007558</v>
      </c>
      <c r="E613" s="1">
        <v>0.8093088442138705</v>
      </c>
      <c r="G613" s="1">
        <v>1.0000804118730287</v>
      </c>
      <c r="H613" s="1">
        <v>5.512839256981926</v>
      </c>
      <c r="I613" s="1">
        <v>0.13544487116182191</v>
      </c>
      <c r="K613" s="1">
        <v>0.99689411679750251</v>
      </c>
      <c r="L613" s="1">
        <v>7.8192730309993577</v>
      </c>
      <c r="M613" s="1">
        <v>9.2767631675624213E-2</v>
      </c>
      <c r="O613" s="1">
        <v>7.3663875452576449E-3</v>
      </c>
      <c r="P613" s="1">
        <v>0.69104722917954375</v>
      </c>
      <c r="R613" s="1">
        <v>0.27952045157156941</v>
      </c>
      <c r="S613" s="2">
        <f t="shared" si="120"/>
        <v>1.3407690713494136</v>
      </c>
      <c r="T613" s="4">
        <f t="shared" si="121"/>
        <v>1.7976617026871688</v>
      </c>
      <c r="U613" s="1">
        <f t="shared" si="113"/>
        <v>1.1976597478849791</v>
      </c>
      <c r="V613" s="6">
        <f>2*sigma/alpha*corel*(B613/12-1/alpha*(1-EXP(-alpha*Output!B613/12)))</f>
        <v>3.5659459858135638</v>
      </c>
      <c r="W613" s="5">
        <f t="shared" si="122"/>
        <v>-0.60000195480218976</v>
      </c>
      <c r="X613" s="1">
        <f t="shared" si="123"/>
        <v>133.11636303737927</v>
      </c>
      <c r="Y613" s="3">
        <f t="shared" si="124"/>
        <v>7.945176561482481E-2</v>
      </c>
      <c r="Z613" s="1">
        <f t="shared" si="114"/>
        <v>0.18929814603802103</v>
      </c>
      <c r="AA613" s="8">
        <f t="shared" si="119"/>
        <v>50.083333333333663</v>
      </c>
      <c r="AB613" s="1">
        <v>50.17</v>
      </c>
      <c r="AC613" s="1">
        <v>7.5510963599999996E-3</v>
      </c>
      <c r="AD613" s="8">
        <f t="shared" si="115"/>
        <v>1.8470881474235474</v>
      </c>
      <c r="AE613" s="3">
        <f t="shared" si="116"/>
        <v>2.446119158547657E-2</v>
      </c>
      <c r="AF613" s="11">
        <f t="shared" si="117"/>
        <v>50.083333333333663</v>
      </c>
      <c r="AG613" s="1">
        <f t="shared" si="118"/>
        <v>0.18929814603802103</v>
      </c>
    </row>
    <row r="614" spans="2:33" ht="15" x14ac:dyDescent="0.25">
      <c r="B614" s="1">
        <v>603</v>
      </c>
      <c r="C614" s="1">
        <v>1.001053542069692</v>
      </c>
      <c r="D614" s="1">
        <v>1.2335968005216522</v>
      </c>
      <c r="E614" s="1">
        <v>0.80930937790529645</v>
      </c>
      <c r="G614" s="1">
        <v>1.0000964316591441</v>
      </c>
      <c r="H614" s="1">
        <v>5.5126925328888721</v>
      </c>
      <c r="I614" s="1">
        <v>0.13538283906205431</v>
      </c>
      <c r="K614" s="1">
        <v>0.99646958737678049</v>
      </c>
      <c r="L614" s="1">
        <v>8.2135780457777336</v>
      </c>
      <c r="M614" s="1">
        <v>8.826667921065752E-2</v>
      </c>
      <c r="O614" s="1">
        <v>7.367453568785147E-3</v>
      </c>
      <c r="P614" s="1">
        <v>0.69058615512450316</v>
      </c>
      <c r="R614" s="1">
        <v>0.27952025508413941</v>
      </c>
      <c r="S614" s="2">
        <f t="shared" si="120"/>
        <v>1.3419503804504973</v>
      </c>
      <c r="T614" s="4">
        <f t="shared" si="121"/>
        <v>1.8008308235912345</v>
      </c>
      <c r="U614" s="1">
        <f t="shared" si="113"/>
        <v>1.2015638544810288</v>
      </c>
      <c r="V614" s="6">
        <f>2*sigma/alpha*corel*(B614/12-1/alpha*(1-EXP(-alpha*Output!B614/12)))</f>
        <v>3.5749646083400153</v>
      </c>
      <c r="W614" s="5">
        <f t="shared" si="122"/>
        <v>-0.59926696911020572</v>
      </c>
      <c r="X614" s="1">
        <f t="shared" si="123"/>
        <v>133.23303274203502</v>
      </c>
      <c r="Y614" s="3">
        <f t="shared" si="124"/>
        <v>7.9280565326905944E-2</v>
      </c>
      <c r="Z614" s="1">
        <f t="shared" si="114"/>
        <v>0.18930776351010725</v>
      </c>
      <c r="AA614" s="8">
        <f t="shared" si="119"/>
        <v>50.166666666666998</v>
      </c>
      <c r="AB614" s="1">
        <v>50.25</v>
      </c>
      <c r="AC614" s="1">
        <v>7.5509181190000002E-3</v>
      </c>
      <c r="AD614" s="8">
        <f t="shared" si="115"/>
        <v>1.8346455021485322</v>
      </c>
      <c r="AE614" s="3">
        <f t="shared" si="116"/>
        <v>2.4296985786829085E-2</v>
      </c>
      <c r="AF614" s="11">
        <f t="shared" si="117"/>
        <v>50.166666666666998</v>
      </c>
      <c r="AG614" s="1">
        <f t="shared" si="118"/>
        <v>0.18930776351010725</v>
      </c>
    </row>
    <row r="615" spans="2:33" ht="15" x14ac:dyDescent="0.25">
      <c r="B615" s="1">
        <v>604</v>
      </c>
      <c r="C615" s="1">
        <v>1.0010556972176827</v>
      </c>
      <c r="D615" s="1">
        <v>1.2396057456083198</v>
      </c>
      <c r="E615" s="1">
        <v>0.80538363135762969</v>
      </c>
      <c r="G615" s="1">
        <v>1.0000880562929186</v>
      </c>
      <c r="H615" s="1">
        <v>5.7601099944608061</v>
      </c>
      <c r="I615" s="1">
        <v>0.12950487083856482</v>
      </c>
      <c r="K615" s="1">
        <v>0.99656667227887308</v>
      </c>
      <c r="L615" s="1">
        <v>8.1850603037585348</v>
      </c>
      <c r="M615" s="1">
        <v>8.8523929242410926E-2</v>
      </c>
      <c r="O615" s="1">
        <v>7.3684655808238884E-3</v>
      </c>
      <c r="P615" s="1">
        <v>0.69012714225009975</v>
      </c>
      <c r="R615" s="1">
        <v>0.27971405335859906</v>
      </c>
      <c r="S615" s="2">
        <f t="shared" si="120"/>
        <v>1.3438895620721263</v>
      </c>
      <c r="T615" s="4">
        <f t="shared" si="121"/>
        <v>1.8060391550464114</v>
      </c>
      <c r="U615" s="1">
        <f t="shared" si="113"/>
        <v>1.2054719900967763</v>
      </c>
      <c r="V615" s="6">
        <f>2*sigma/alpha*corel*(B615/12-1/alpha*(1-EXP(-alpha*Output!B615/12)))</f>
        <v>3.583987883255312</v>
      </c>
      <c r="W615" s="5">
        <f t="shared" si="122"/>
        <v>-0.60056716494963513</v>
      </c>
      <c r="X615" s="1">
        <f t="shared" si="123"/>
        <v>133.75915835718078</v>
      </c>
      <c r="Y615" s="3">
        <f t="shared" si="124"/>
        <v>7.9285843375790588E-2</v>
      </c>
      <c r="Z615" s="1">
        <f t="shared" si="114"/>
        <v>0.18942431896885922</v>
      </c>
      <c r="AA615" s="8">
        <f t="shared" si="119"/>
        <v>50.250000000000334</v>
      </c>
      <c r="AB615" s="1">
        <v>50.33</v>
      </c>
      <c r="AC615" s="1">
        <v>7.5507404689999997E-3</v>
      </c>
      <c r="AD615" s="8">
        <f t="shared" si="115"/>
        <v>1.8227488817611128</v>
      </c>
      <c r="AE615" s="3">
        <f t="shared" si="116"/>
        <v>2.4140001755384301E-2</v>
      </c>
      <c r="AF615" s="11">
        <f t="shared" si="117"/>
        <v>50.250000000000334</v>
      </c>
      <c r="AG615" s="1">
        <f t="shared" si="118"/>
        <v>0.18942431896885922</v>
      </c>
    </row>
    <row r="616" spans="2:33" ht="15" x14ac:dyDescent="0.25">
      <c r="B616" s="1">
        <v>605</v>
      </c>
      <c r="C616" s="1">
        <v>1.0010609792774383</v>
      </c>
      <c r="D616" s="1">
        <v>1.2415875579046849</v>
      </c>
      <c r="E616" s="1">
        <v>0.80409543634907121</v>
      </c>
      <c r="G616" s="1">
        <v>1.0003877138090804</v>
      </c>
      <c r="H616" s="1">
        <v>5.8428006835869546</v>
      </c>
      <c r="I616" s="1">
        <v>0.12761017327259563</v>
      </c>
      <c r="K616" s="1">
        <v>0.99634369831539848</v>
      </c>
      <c r="L616" s="1">
        <v>7.9213003340005912</v>
      </c>
      <c r="M616" s="1">
        <v>9.1424766693898443E-2</v>
      </c>
      <c r="O616" s="1">
        <v>7.3695060501985602E-3</v>
      </c>
      <c r="P616" s="1">
        <v>0.68966732865998959</v>
      </c>
      <c r="R616" s="1">
        <v>0.27992383481128569</v>
      </c>
      <c r="S616" s="2">
        <f t="shared" si="120"/>
        <v>1.3458961982907069</v>
      </c>
      <c r="T616" s="4">
        <f t="shared" si="121"/>
        <v>1.811436576573378</v>
      </c>
      <c r="U616" s="1">
        <f t="shared" si="113"/>
        <v>1.2093841433920489</v>
      </c>
      <c r="V616" s="6">
        <f>2*sigma/alpha*corel*(B616/12-1/alpha*(1-EXP(-alpha*Output!B616/12)))</f>
        <v>3.5930157950773074</v>
      </c>
      <c r="W616" s="5">
        <f t="shared" si="122"/>
        <v>-0.60205243318132906</v>
      </c>
      <c r="X616" s="1">
        <f t="shared" si="123"/>
        <v>134.32366986190971</v>
      </c>
      <c r="Y616" s="3">
        <f t="shared" si="124"/>
        <v>7.9307038853168074E-2</v>
      </c>
      <c r="Z616" s="1">
        <f t="shared" si="114"/>
        <v>0.18955031133468303</v>
      </c>
      <c r="AA616" s="8">
        <f t="shared" si="119"/>
        <v>50.33333333333367</v>
      </c>
      <c r="AB616" s="1">
        <v>50.42</v>
      </c>
      <c r="AC616" s="1">
        <v>7.5505634079999998E-3</v>
      </c>
      <c r="AD616" s="8">
        <f t="shared" si="115"/>
        <v>1.8105735780143961</v>
      </c>
      <c r="AE616" s="3">
        <f t="shared" si="116"/>
        <v>2.3979317571137155E-2</v>
      </c>
      <c r="AF616" s="11">
        <f t="shared" si="117"/>
        <v>50.33333333333367</v>
      </c>
      <c r="AG616" s="1">
        <f t="shared" si="118"/>
        <v>0.18955031133468303</v>
      </c>
    </row>
    <row r="617" spans="2:33" ht="15" x14ac:dyDescent="0.25">
      <c r="B617" s="1">
        <v>606</v>
      </c>
      <c r="C617" s="1">
        <v>1.0010633716849715</v>
      </c>
      <c r="D617" s="1">
        <v>1.2474358978519429</v>
      </c>
      <c r="E617" s="1">
        <v>0.80032296460468355</v>
      </c>
      <c r="G617" s="1">
        <v>1.0004721806489916</v>
      </c>
      <c r="H617" s="1">
        <v>6.0917800475136747</v>
      </c>
      <c r="I617" s="1">
        <v>0.12233525838282745</v>
      </c>
      <c r="K617" s="1">
        <v>0.99668319145964313</v>
      </c>
      <c r="L617" s="1">
        <v>8.149999996271438</v>
      </c>
      <c r="M617" s="1">
        <v>8.8812327270719624E-2</v>
      </c>
      <c r="O617" s="1">
        <v>7.370662813887219E-3</v>
      </c>
      <c r="P617" s="1">
        <v>0.68920365430457631</v>
      </c>
      <c r="R617" s="1">
        <v>0.28009376933278679</v>
      </c>
      <c r="S617" s="2">
        <f t="shared" si="120"/>
        <v>1.3477586163781006</v>
      </c>
      <c r="T617" s="4">
        <f t="shared" si="121"/>
        <v>1.8164532880214121</v>
      </c>
      <c r="U617" s="1">
        <f t="shared" si="113"/>
        <v>1.2133003030506742</v>
      </c>
      <c r="V617" s="6">
        <f>2*sigma/alpha*corel*(B617/12-1/alpha*(1-EXP(-alpha*Output!B617/12)))</f>
        <v>3.6020483283753801</v>
      </c>
      <c r="W617" s="5">
        <f t="shared" si="122"/>
        <v>-0.60315298497073799</v>
      </c>
      <c r="X617" s="1">
        <f t="shared" si="123"/>
        <v>134.81165512404095</v>
      </c>
      <c r="Y617" s="3">
        <f t="shared" si="124"/>
        <v>7.9294988201520686E-2</v>
      </c>
      <c r="Z617" s="1">
        <f t="shared" si="114"/>
        <v>0.18965593067454539</v>
      </c>
      <c r="AA617" s="8">
        <f t="shared" si="119"/>
        <v>50.416666666667005</v>
      </c>
      <c r="AB617" s="1">
        <v>50.5</v>
      </c>
      <c r="AC617" s="1">
        <v>7.5503869330000003E-3</v>
      </c>
      <c r="AD617" s="8">
        <f t="shared" si="115"/>
        <v>1.797241191127813</v>
      </c>
      <c r="AE617" s="3">
        <f t="shared" si="116"/>
        <v>2.3803299182889877E-2</v>
      </c>
      <c r="AF617" s="11">
        <f t="shared" si="117"/>
        <v>50.416666666667005</v>
      </c>
      <c r="AG617" s="1">
        <f t="shared" si="118"/>
        <v>0.18965593067454539</v>
      </c>
    </row>
    <row r="618" spans="2:33" ht="15" x14ac:dyDescent="0.25">
      <c r="B618" s="1">
        <v>607</v>
      </c>
      <c r="C618" s="1">
        <v>1.0010651289506984</v>
      </c>
      <c r="D618" s="1">
        <v>1.2461022388866088</v>
      </c>
      <c r="E618" s="1">
        <v>0.8011768750198428</v>
      </c>
      <c r="G618" s="1">
        <v>1.0004633093270856</v>
      </c>
      <c r="H618" s="1">
        <v>6.0307038768877756</v>
      </c>
      <c r="I618" s="1">
        <v>0.12351432798436376</v>
      </c>
      <c r="K618" s="1">
        <v>0.9966053814290482</v>
      </c>
      <c r="L618" s="1">
        <v>8.0967310165192306</v>
      </c>
      <c r="M618" s="1">
        <v>8.9346029193245247E-2</v>
      </c>
      <c r="O618" s="1">
        <v>7.3718001205768484E-3</v>
      </c>
      <c r="P618" s="1">
        <v>0.68874083675819409</v>
      </c>
      <c r="R618" s="1">
        <v>0.28034131457820971</v>
      </c>
      <c r="S618" s="2">
        <f t="shared" si="120"/>
        <v>1.3499270455732193</v>
      </c>
      <c r="T618" s="4">
        <f t="shared" si="121"/>
        <v>1.8223030283700405</v>
      </c>
      <c r="U618" s="1">
        <f t="shared" si="113"/>
        <v>1.2172204577804919</v>
      </c>
      <c r="V618" s="6">
        <f>2*sigma/alpha*corel*(B618/12-1/alpha*(1-EXP(-alpha*Output!B618/12)))</f>
        <v>3.6110854677702555</v>
      </c>
      <c r="W618" s="5">
        <f t="shared" si="122"/>
        <v>-0.60508257058954862</v>
      </c>
      <c r="X618" s="1">
        <f t="shared" si="123"/>
        <v>135.46831170482687</v>
      </c>
      <c r="Y618" s="3">
        <f t="shared" si="124"/>
        <v>7.9354201489010831E-2</v>
      </c>
      <c r="Z618" s="1">
        <f t="shared" si="114"/>
        <v>0.18980453111997778</v>
      </c>
      <c r="AA618" s="8">
        <f t="shared" si="119"/>
        <v>50.500000000000341</v>
      </c>
      <c r="AB618" s="1">
        <v>50.58</v>
      </c>
      <c r="AC618" s="1">
        <v>7.5502110389999997E-3</v>
      </c>
      <c r="AD618" s="8">
        <f t="shared" si="115"/>
        <v>1.7841091842315127</v>
      </c>
      <c r="AE618" s="3">
        <f t="shared" si="116"/>
        <v>2.3629924713572139E-2</v>
      </c>
      <c r="AF618" s="11">
        <f t="shared" si="117"/>
        <v>50.500000000000341</v>
      </c>
      <c r="AG618" s="1">
        <f t="shared" si="118"/>
        <v>0.18980453111997778</v>
      </c>
    </row>
    <row r="619" spans="2:33" ht="15" x14ac:dyDescent="0.25">
      <c r="B619" s="1">
        <v>608</v>
      </c>
      <c r="C619" s="1">
        <v>1.0010626230067088</v>
      </c>
      <c r="D619" s="1">
        <v>1.2496397121203058</v>
      </c>
      <c r="E619" s="1">
        <v>0.798906263982743</v>
      </c>
      <c r="G619" s="1">
        <v>1.000163256862828</v>
      </c>
      <c r="H619" s="1">
        <v>6.1852234633897156</v>
      </c>
      <c r="I619" s="1">
        <v>0.12037032500113162</v>
      </c>
      <c r="K619" s="1">
        <v>0.99654322537946372</v>
      </c>
      <c r="L619" s="1">
        <v>8.3886272661370622</v>
      </c>
      <c r="M619" s="1">
        <v>8.6192598275018489E-2</v>
      </c>
      <c r="O619" s="1">
        <v>7.3729009551605929E-3</v>
      </c>
      <c r="P619" s="1">
        <v>0.68827947142574153</v>
      </c>
      <c r="R619" s="1">
        <v>0.28045468021128445</v>
      </c>
      <c r="S619" s="2">
        <f t="shared" si="120"/>
        <v>1.3515654882875372</v>
      </c>
      <c r="T619" s="4">
        <f t="shared" si="121"/>
        <v>1.8267292691299288</v>
      </c>
      <c r="U619" s="1">
        <f t="shared" si="113"/>
        <v>1.2211445963133611</v>
      </c>
      <c r="V619" s="6">
        <f>2*sigma/alpha*corel*(B619/12-1/alpha*(1-EXP(-alpha*Output!B619/12)))</f>
        <v>3.6201271979338374</v>
      </c>
      <c r="W619" s="5">
        <f t="shared" si="122"/>
        <v>-0.60558467281656769</v>
      </c>
      <c r="X619" s="1">
        <f t="shared" si="123"/>
        <v>135.83714795337801</v>
      </c>
      <c r="Y619" s="3">
        <f t="shared" si="124"/>
        <v>7.9290713254020123E-2</v>
      </c>
      <c r="Z619" s="1">
        <f t="shared" si="114"/>
        <v>0.18987855896303873</v>
      </c>
      <c r="AA619" s="8">
        <f t="shared" si="119"/>
        <v>50.583333333333677</v>
      </c>
      <c r="AB619" s="1">
        <v>50.67</v>
      </c>
      <c r="AC619" s="1">
        <v>7.5500357259999998E-3</v>
      </c>
      <c r="AD619" s="8">
        <f t="shared" si="115"/>
        <v>1.7713477083940685</v>
      </c>
      <c r="AE619" s="3">
        <f t="shared" si="116"/>
        <v>2.3461448033869455E-2</v>
      </c>
      <c r="AF619" s="11">
        <f t="shared" si="117"/>
        <v>50.583333333333677</v>
      </c>
      <c r="AG619" s="1">
        <f t="shared" si="118"/>
        <v>0.18987855896303873</v>
      </c>
    </row>
    <row r="620" spans="2:33" ht="15" x14ac:dyDescent="0.25">
      <c r="B620" s="1">
        <v>609</v>
      </c>
      <c r="C620" s="1">
        <v>1.0010631353338941</v>
      </c>
      <c r="D620" s="1">
        <v>1.2518789920474909</v>
      </c>
      <c r="E620" s="1">
        <v>0.79747458894559153</v>
      </c>
      <c r="G620" s="1">
        <v>1.0000263665466642</v>
      </c>
      <c r="H620" s="1">
        <v>6.2812977245488666</v>
      </c>
      <c r="I620" s="1">
        <v>0.11847178476627465</v>
      </c>
      <c r="K620" s="1">
        <v>0.99654135466731764</v>
      </c>
      <c r="L620" s="1">
        <v>8.1498134472047479</v>
      </c>
      <c r="M620" s="1">
        <v>8.8672750959926633E-2</v>
      </c>
      <c r="O620" s="1">
        <v>7.374052653534067E-3</v>
      </c>
      <c r="P620" s="1">
        <v>0.68781651346264683</v>
      </c>
      <c r="R620" s="1">
        <v>0.28067588414379735</v>
      </c>
      <c r="S620" s="2">
        <f t="shared" si="120"/>
        <v>1.3536357884196832</v>
      </c>
      <c r="T620" s="4">
        <f t="shared" si="121"/>
        <v>1.8323298476905774</v>
      </c>
      <c r="U620" s="1">
        <f t="shared" si="113"/>
        <v>1.2250727074051766</v>
      </c>
      <c r="V620" s="6">
        <f>2*sigma/alpha*corel*(B620/12-1/alpha*(1-EXP(-alpha*Output!B620/12)))</f>
        <v>3.6291735035890409</v>
      </c>
      <c r="W620" s="5">
        <f t="shared" si="122"/>
        <v>-0.60725714028540079</v>
      </c>
      <c r="X620" s="1">
        <f t="shared" si="123"/>
        <v>136.44409979708911</v>
      </c>
      <c r="Y620" s="3">
        <f t="shared" si="124"/>
        <v>7.9327639301912833E-2</v>
      </c>
      <c r="Z620" s="1">
        <f t="shared" si="114"/>
        <v>0.19001321435461005</v>
      </c>
      <c r="AA620" s="8">
        <f t="shared" si="119"/>
        <v>50.666666666667012</v>
      </c>
      <c r="AB620" s="1">
        <v>50.75</v>
      </c>
      <c r="AC620" s="1">
        <v>7.5498609890000002E-3</v>
      </c>
      <c r="AD620" s="8">
        <f t="shared" si="115"/>
        <v>1.758083354659332</v>
      </c>
      <c r="AE620" s="3">
        <f t="shared" si="116"/>
        <v>2.3286300995751113E-2</v>
      </c>
      <c r="AF620" s="11">
        <f t="shared" si="117"/>
        <v>50.666666666667012</v>
      </c>
      <c r="AG620" s="1">
        <f t="shared" si="118"/>
        <v>0.19001321435461005</v>
      </c>
    </row>
    <row r="621" spans="2:33" ht="15" x14ac:dyDescent="0.25">
      <c r="B621" s="1">
        <v>610</v>
      </c>
      <c r="C621" s="1">
        <v>1.0010656379852565</v>
      </c>
      <c r="D621" s="1">
        <v>1.2518173846491396</v>
      </c>
      <c r="E621" s="1">
        <v>0.79751118869299786</v>
      </c>
      <c r="G621" s="1">
        <v>1.0001093707302375</v>
      </c>
      <c r="H621" s="1">
        <v>6.2800044443066776</v>
      </c>
      <c r="I621" s="1">
        <v>0.1184387565351455</v>
      </c>
      <c r="K621" s="1">
        <v>0.99688126995559412</v>
      </c>
      <c r="L621" s="1">
        <v>8.4133312258014143</v>
      </c>
      <c r="M621" s="1">
        <v>8.5847922856447378E-2</v>
      </c>
      <c r="O621" s="1">
        <v>7.3752834137924472E-3</v>
      </c>
      <c r="P621" s="1">
        <v>0.68735097250717792</v>
      </c>
      <c r="R621" s="1">
        <v>0.28083124395527126</v>
      </c>
      <c r="S621" s="2">
        <f t="shared" si="120"/>
        <v>1.3554553779237419</v>
      </c>
      <c r="T621" s="4">
        <f t="shared" si="121"/>
        <v>1.837259281542394</v>
      </c>
      <c r="U621" s="1">
        <f t="shared" si="113"/>
        <v>1.2290047798358721</v>
      </c>
      <c r="V621" s="6">
        <f>2*sigma/alpha*corel*(B621/12-1/alpha*(1-EXP(-alpha*Output!B621/12)))</f>
        <v>3.6382243695096177</v>
      </c>
      <c r="W621" s="5">
        <f t="shared" si="122"/>
        <v>-0.60825450170652196</v>
      </c>
      <c r="X621" s="1">
        <f t="shared" si="123"/>
        <v>136.91509190988646</v>
      </c>
      <c r="Y621" s="3">
        <f t="shared" si="124"/>
        <v>7.9306700510143463E-2</v>
      </c>
      <c r="Z621" s="1">
        <f t="shared" si="114"/>
        <v>0.1901126127813168</v>
      </c>
      <c r="AA621" s="8">
        <f t="shared" si="119"/>
        <v>50.750000000000348</v>
      </c>
      <c r="AB621" s="1">
        <v>50.83</v>
      </c>
      <c r="AC621" s="1">
        <v>7.5496868260000001E-3</v>
      </c>
      <c r="AD621" s="8">
        <f t="shared" si="115"/>
        <v>1.7440341220755287</v>
      </c>
      <c r="AE621" s="3">
        <f t="shared" si="116"/>
        <v>2.3100747915388149E-2</v>
      </c>
      <c r="AF621" s="11">
        <f t="shared" si="117"/>
        <v>50.750000000000348</v>
      </c>
      <c r="AG621" s="1">
        <f t="shared" si="118"/>
        <v>0.1901126127813168</v>
      </c>
    </row>
    <row r="622" spans="2:33" ht="15" x14ac:dyDescent="0.25">
      <c r="B622" s="1">
        <v>611</v>
      </c>
      <c r="C622" s="1">
        <v>1.0010688339419802</v>
      </c>
      <c r="D622" s="1">
        <v>1.2495937656113127</v>
      </c>
      <c r="E622" s="1">
        <v>0.79892768174921569</v>
      </c>
      <c r="G622" s="1">
        <v>1.0002481596347652</v>
      </c>
      <c r="H622" s="1">
        <v>6.1767215028992437</v>
      </c>
      <c r="I622" s="1">
        <v>0.12036085054465631</v>
      </c>
      <c r="K622" s="1">
        <v>0.99686040013633803</v>
      </c>
      <c r="L622" s="1">
        <v>8.4990059627793908</v>
      </c>
      <c r="M622" s="1">
        <v>8.4936412456108348E-2</v>
      </c>
      <c r="O622" s="1">
        <v>7.3766182386488599E-3</v>
      </c>
      <c r="P622" s="1">
        <v>0.68688196621147823</v>
      </c>
      <c r="R622" s="1">
        <v>0.28096631821786544</v>
      </c>
      <c r="S622" s="2">
        <f t="shared" si="120"/>
        <v>1.3572060429933825</v>
      </c>
      <c r="T622" s="4">
        <f t="shared" si="121"/>
        <v>1.8420082431377554</v>
      </c>
      <c r="U622" s="1">
        <f t="shared" si="113"/>
        <v>1.2329408024094333</v>
      </c>
      <c r="V622" s="6">
        <f>2*sigma/alpha*corel*(B622/12-1/alpha*(1-EXP(-alpha*Output!B622/12)))</f>
        <v>3.6472797805199897</v>
      </c>
      <c r="W622" s="5">
        <f t="shared" si="122"/>
        <v>-0.60906744072832208</v>
      </c>
      <c r="X622" s="1">
        <f t="shared" si="123"/>
        <v>137.34938522572489</v>
      </c>
      <c r="Y622" s="3">
        <f t="shared" si="124"/>
        <v>7.9270071592374647E-2</v>
      </c>
      <c r="Z622" s="1">
        <f t="shared" si="114"/>
        <v>0.19020231677213564</v>
      </c>
      <c r="AA622" s="8">
        <f t="shared" si="119"/>
        <v>50.833333333333684</v>
      </c>
      <c r="AB622" s="1">
        <v>50.92</v>
      </c>
      <c r="AC622" s="1">
        <v>7.5495132330000003E-3</v>
      </c>
      <c r="AD622" s="8">
        <f t="shared" si="115"/>
        <v>1.7289499435114031</v>
      </c>
      <c r="AE622" s="3">
        <f t="shared" si="116"/>
        <v>2.29014757660655E-2</v>
      </c>
      <c r="AF622" s="11">
        <f t="shared" si="117"/>
        <v>50.833333333333684</v>
      </c>
      <c r="AG622" s="1">
        <f t="shared" si="118"/>
        <v>0.19020231677213564</v>
      </c>
    </row>
    <row r="623" spans="2:33" ht="15" x14ac:dyDescent="0.25">
      <c r="B623" s="1">
        <v>612</v>
      </c>
      <c r="C623" s="1">
        <v>1.0010727767520884</v>
      </c>
      <c r="D623" s="1">
        <v>1.2494753611887799</v>
      </c>
      <c r="E623" s="1">
        <v>0.79900072951388679</v>
      </c>
      <c r="G623" s="1">
        <v>1.0004433462756608</v>
      </c>
      <c r="H623" s="1">
        <v>6.1695222558154361</v>
      </c>
      <c r="I623" s="1">
        <v>0.12044290152090346</v>
      </c>
      <c r="K623" s="1">
        <v>0.99678656804235255</v>
      </c>
      <c r="L623" s="1">
        <v>8.4191775472533248</v>
      </c>
      <c r="M623" s="1">
        <v>8.5698113893125941E-2</v>
      </c>
      <c r="O623" s="1">
        <v>7.3780156688151213E-3</v>
      </c>
      <c r="P623" s="1">
        <v>0.68641093560517663</v>
      </c>
      <c r="R623" s="1">
        <v>0.28099723866955501</v>
      </c>
      <c r="S623" s="2">
        <f t="shared" si="120"/>
        <v>1.3585517472543283</v>
      </c>
      <c r="T623" s="4">
        <f t="shared" si="121"/>
        <v>1.8456628499677883</v>
      </c>
      <c r="U623" s="1">
        <f t="shared" si="113"/>
        <v>1.2368807639539052</v>
      </c>
      <c r="V623" s="6">
        <f>2*sigma/alpha*corel*(B623/12-1/alpha*(1-EXP(-alpha*Output!B623/12)))</f>
        <v>3.656339721495081</v>
      </c>
      <c r="W623" s="5">
        <f t="shared" si="122"/>
        <v>-0.60878208601388306</v>
      </c>
      <c r="X623" s="1">
        <f t="shared" si="123"/>
        <v>137.56036570581486</v>
      </c>
      <c r="Y623" s="3">
        <f t="shared" si="124"/>
        <v>7.9139935274101347E-2</v>
      </c>
      <c r="Z623" s="1">
        <f t="shared" si="114"/>
        <v>0.19023529548016901</v>
      </c>
      <c r="AA623" s="8">
        <f t="shared" si="119"/>
        <v>50.91666666666702</v>
      </c>
      <c r="AB623" s="1">
        <v>51</v>
      </c>
      <c r="AC623" s="1">
        <v>7.5493402099999999E-3</v>
      </c>
      <c r="AD623" s="8">
        <f t="shared" si="115"/>
        <v>1.7132454118487863</v>
      </c>
      <c r="AE623" s="3">
        <f t="shared" si="116"/>
        <v>2.2693975422903696E-2</v>
      </c>
      <c r="AF623" s="11">
        <f t="shared" si="117"/>
        <v>50.91666666666702</v>
      </c>
      <c r="AG623" s="1">
        <f t="shared" si="118"/>
        <v>0.19023529548016901</v>
      </c>
    </row>
    <row r="624" spans="2:33" ht="15" x14ac:dyDescent="0.25">
      <c r="B624" s="1">
        <v>613</v>
      </c>
      <c r="C624" s="1">
        <v>1.0010748651148678</v>
      </c>
      <c r="D624" s="1">
        <v>1.2451113834892409</v>
      </c>
      <c r="E624" s="1">
        <v>0.80179846305242397</v>
      </c>
      <c r="G624" s="1">
        <v>1.0004525611966795</v>
      </c>
      <c r="H624" s="1">
        <v>5.9747467108839434</v>
      </c>
      <c r="I624" s="1">
        <v>0.12430904200445098</v>
      </c>
      <c r="K624" s="1">
        <v>0.9970074894523121</v>
      </c>
      <c r="L624" s="1">
        <v>8.6362361649361343</v>
      </c>
      <c r="M624" s="1">
        <v>8.3500580049805803E-2</v>
      </c>
      <c r="O624" s="1">
        <v>7.3794639259113851E-3</v>
      </c>
      <c r="P624" s="1">
        <v>0.68593828727143435</v>
      </c>
      <c r="R624" s="1">
        <v>0.28120257753938593</v>
      </c>
      <c r="S624" s="2">
        <f t="shared" si="120"/>
        <v>1.3605944209961469</v>
      </c>
      <c r="T624" s="4">
        <f t="shared" si="121"/>
        <v>1.8512171784458402</v>
      </c>
      <c r="U624" s="1">
        <f t="shared" si="113"/>
        <v>1.2408246533213974</v>
      </c>
      <c r="V624" s="6">
        <f>2*sigma/alpha*corel*(B624/12-1/alpha*(1-EXP(-alpha*Output!B624/12)))</f>
        <v>3.6654041773601471</v>
      </c>
      <c r="W624" s="5">
        <f t="shared" si="122"/>
        <v>-0.61039252512444286</v>
      </c>
      <c r="X624" s="1">
        <f t="shared" si="123"/>
        <v>138.15872708383705</v>
      </c>
      <c r="Y624" s="3">
        <f t="shared" si="124"/>
        <v>7.9171515943734047E-2</v>
      </c>
      <c r="Z624" s="1">
        <f t="shared" si="114"/>
        <v>0.19036586283103143</v>
      </c>
      <c r="AA624" s="8">
        <f t="shared" si="119"/>
        <v>51.000000000000355</v>
      </c>
      <c r="AB624" s="1">
        <v>51.08</v>
      </c>
      <c r="AC624" s="1">
        <v>7.5491677509999999E-3</v>
      </c>
      <c r="AD624" s="8">
        <f t="shared" si="115"/>
        <v>1.6970382508861483</v>
      </c>
      <c r="AE624" s="3">
        <f t="shared" si="116"/>
        <v>2.2479805812519536E-2</v>
      </c>
      <c r="AF624" s="11">
        <f t="shared" si="117"/>
        <v>51.000000000000355</v>
      </c>
      <c r="AG624" s="1">
        <f t="shared" si="118"/>
        <v>0.19036586283103143</v>
      </c>
    </row>
    <row r="625" spans="2:33" ht="15" x14ac:dyDescent="0.25">
      <c r="B625" s="1">
        <v>614</v>
      </c>
      <c r="C625" s="1">
        <v>1.0010796676268208</v>
      </c>
      <c r="D625" s="1">
        <v>1.2493353206437154</v>
      </c>
      <c r="E625" s="1">
        <v>0.79908495459402573</v>
      </c>
      <c r="G625" s="1">
        <v>1.0007226086320542</v>
      </c>
      <c r="H625" s="1">
        <v>6.1612251680502288</v>
      </c>
      <c r="I625" s="1">
        <v>0.12048822596413188</v>
      </c>
      <c r="K625" s="1">
        <v>0.99690467816234118</v>
      </c>
      <c r="L625" s="1">
        <v>8.6672796763969284</v>
      </c>
      <c r="M625" s="1">
        <v>8.3156963848802584E-2</v>
      </c>
      <c r="O625" s="1">
        <v>7.3808215833447554E-3</v>
      </c>
      <c r="P625" s="1">
        <v>0.68546897654773986</v>
      </c>
      <c r="R625" s="1">
        <v>0.28135842410990236</v>
      </c>
      <c r="S625" s="2">
        <f t="shared" si="120"/>
        <v>1.362434832229092</v>
      </c>
      <c r="T625" s="4">
        <f t="shared" si="121"/>
        <v>1.8562286720711141</v>
      </c>
      <c r="U625" s="1">
        <f t="shared" si="113"/>
        <v>1.2447724593880944</v>
      </c>
      <c r="V625" s="6">
        <f>2*sigma/alpha*corel*(B625/12-1/alpha*(1-EXP(-alpha*Output!B625/12)))</f>
        <v>3.6744731330906086</v>
      </c>
      <c r="W625" s="5">
        <f t="shared" si="122"/>
        <v>-0.61145621268301964</v>
      </c>
      <c r="X625" s="1">
        <f t="shared" si="123"/>
        <v>138.64645766826271</v>
      </c>
      <c r="Y625" s="3">
        <f t="shared" si="124"/>
        <v>7.9156513766951486E-2</v>
      </c>
      <c r="Z625" s="1">
        <f t="shared" si="114"/>
        <v>0.19046806765486471</v>
      </c>
      <c r="AA625" s="8">
        <f t="shared" si="119"/>
        <v>51.083333333333691</v>
      </c>
      <c r="AB625" s="1">
        <v>51.17</v>
      </c>
      <c r="AC625" s="1">
        <v>7.5489958560000002E-3</v>
      </c>
      <c r="AD625" s="8">
        <f t="shared" si="115"/>
        <v>1.6817427265524483</v>
      </c>
      <c r="AE625" s="3">
        <f t="shared" si="116"/>
        <v>2.2277701016563498E-2</v>
      </c>
      <c r="AF625" s="11">
        <f t="shared" si="117"/>
        <v>51.083333333333691</v>
      </c>
      <c r="AG625" s="1">
        <f t="shared" si="118"/>
        <v>0.19046806765486471</v>
      </c>
    </row>
    <row r="626" spans="2:33" ht="15" x14ac:dyDescent="0.25">
      <c r="B626" s="1">
        <v>615</v>
      </c>
      <c r="C626" s="1">
        <v>1.0010859219334571</v>
      </c>
      <c r="D626" s="1">
        <v>1.2474543294197622</v>
      </c>
      <c r="E626" s="1">
        <v>0.80028718705491619</v>
      </c>
      <c r="G626" s="1">
        <v>1.0011171335241269</v>
      </c>
      <c r="H626" s="1">
        <v>6.0757483326534976</v>
      </c>
      <c r="I626" s="1">
        <v>0.12212410235146004</v>
      </c>
      <c r="K626" s="1">
        <v>0.99690778054559026</v>
      </c>
      <c r="L626" s="1">
        <v>8.7727250314796787</v>
      </c>
      <c r="M626" s="1">
        <v>8.2111030155128911E-2</v>
      </c>
      <c r="O626" s="1">
        <v>7.3821928239182315E-3</v>
      </c>
      <c r="P626" s="1">
        <v>0.68499935506876375</v>
      </c>
      <c r="R626" s="1">
        <v>0.28144145875403026</v>
      </c>
      <c r="S626" s="2">
        <f t="shared" si="120"/>
        <v>1.3639892668202671</v>
      </c>
      <c r="T626" s="4">
        <f t="shared" si="121"/>
        <v>1.8604667200008898</v>
      </c>
      <c r="U626" s="1">
        <f t="shared" si="113"/>
        <v>1.248724171054262</v>
      </c>
      <c r="V626" s="6">
        <f>2*sigma/alpha*corel*(B626/12-1/alpha*(1-EXP(-alpha*Output!B626/12)))</f>
        <v>3.683546573711888</v>
      </c>
      <c r="W626" s="5">
        <f t="shared" si="122"/>
        <v>-0.61174254894662772</v>
      </c>
      <c r="X626" s="1">
        <f t="shared" si="123"/>
        <v>138.97573789476328</v>
      </c>
      <c r="Y626" s="3">
        <f t="shared" si="124"/>
        <v>7.9075615233973912E-2</v>
      </c>
      <c r="Z626" s="1">
        <f t="shared" si="114"/>
        <v>0.19053028541036185</v>
      </c>
      <c r="AA626" s="8">
        <f t="shared" si="119"/>
        <v>51.166666666667027</v>
      </c>
      <c r="AB626" s="1">
        <v>51.25</v>
      </c>
      <c r="AC626" s="1">
        <v>7.5488245199999996E-3</v>
      </c>
      <c r="AD626" s="8">
        <f t="shared" si="115"/>
        <v>1.6663169608176815</v>
      </c>
      <c r="AE626" s="3">
        <f t="shared" si="116"/>
        <v>2.207386006129709E-2</v>
      </c>
      <c r="AF626" s="11">
        <f t="shared" si="117"/>
        <v>51.166666666667027</v>
      </c>
      <c r="AG626" s="1">
        <f t="shared" si="118"/>
        <v>0.19053028541036185</v>
      </c>
    </row>
    <row r="627" spans="2:33" ht="15" x14ac:dyDescent="0.25">
      <c r="B627" s="1">
        <v>616</v>
      </c>
      <c r="C627" s="1">
        <v>1.0010927258083921</v>
      </c>
      <c r="D627" s="1">
        <v>1.252748408550072</v>
      </c>
      <c r="E627" s="1">
        <v>0.79690252458270372</v>
      </c>
      <c r="G627" s="1">
        <v>1.0015805063791228</v>
      </c>
      <c r="H627" s="1">
        <v>6.309342551572068</v>
      </c>
      <c r="I627" s="1">
        <v>0.11754563923393017</v>
      </c>
      <c r="K627" s="1">
        <v>0.99654223215380744</v>
      </c>
      <c r="L627" s="1">
        <v>8.7960300482313656</v>
      </c>
      <c r="M627" s="1">
        <v>8.1851047348431114E-2</v>
      </c>
      <c r="O627" s="1">
        <v>7.3836241789289455E-3</v>
      </c>
      <c r="P627" s="1">
        <v>0.68452778651943269</v>
      </c>
      <c r="R627" s="1">
        <v>0.28164311671456488</v>
      </c>
      <c r="S627" s="2">
        <f t="shared" si="120"/>
        <v>1.3660222103448658</v>
      </c>
      <c r="T627" s="4">
        <f t="shared" si="121"/>
        <v>1.8660166791554729</v>
      </c>
      <c r="U627" s="1">
        <f t="shared" si="113"/>
        <v>1.2526797772442495</v>
      </c>
      <c r="V627" s="6">
        <f>2*sigma/alpha*corel*(B627/12-1/alpha*(1-EXP(-alpha*Output!B627/12)))</f>
        <v>3.6926244842992366</v>
      </c>
      <c r="W627" s="5">
        <f t="shared" si="122"/>
        <v>-0.61333690191122336</v>
      </c>
      <c r="X627" s="1">
        <f t="shared" si="123"/>
        <v>139.5739861078174</v>
      </c>
      <c r="Y627" s="3">
        <f t="shared" si="124"/>
        <v>7.9105704479583386E-2</v>
      </c>
      <c r="Z627" s="1">
        <f t="shared" si="114"/>
        <v>0.19065931466692745</v>
      </c>
      <c r="AA627" s="8">
        <f t="shared" si="119"/>
        <v>51.250000000000362</v>
      </c>
      <c r="AB627" s="1">
        <v>51.33</v>
      </c>
      <c r="AC627" s="1">
        <v>7.5486537420000003E-3</v>
      </c>
      <c r="AD627" s="8">
        <f t="shared" si="115"/>
        <v>1.6502956307105476</v>
      </c>
      <c r="AE627" s="3">
        <f t="shared" si="116"/>
        <v>2.1862118559345989E-2</v>
      </c>
      <c r="AF627" s="11">
        <f t="shared" si="117"/>
        <v>51.250000000000362</v>
      </c>
      <c r="AG627" s="1">
        <f t="shared" si="118"/>
        <v>0.19065931466692745</v>
      </c>
    </row>
    <row r="628" spans="2:33" ht="15" x14ac:dyDescent="0.25">
      <c r="B628" s="1">
        <v>617</v>
      </c>
      <c r="C628" s="1">
        <v>1.0010965242347416</v>
      </c>
      <c r="D628" s="1">
        <v>1.2494540216985743</v>
      </c>
      <c r="E628" s="1">
        <v>0.79900100342036406</v>
      </c>
      <c r="G628" s="1">
        <v>1.0017504923725158</v>
      </c>
      <c r="H628" s="1">
        <v>6.1585847247168415</v>
      </c>
      <c r="I628" s="1">
        <v>0.12036471030345813</v>
      </c>
      <c r="K628" s="1">
        <v>0.99638002112930868</v>
      </c>
      <c r="L628" s="1">
        <v>8.7781868509866392</v>
      </c>
      <c r="M628" s="1">
        <v>8.1973456249403734E-2</v>
      </c>
      <c r="O628" s="1">
        <v>7.3849547116218769E-3</v>
      </c>
      <c r="P628" s="1">
        <v>0.68405992554182571</v>
      </c>
      <c r="R628" s="1">
        <v>0.28194870304660913</v>
      </c>
      <c r="S628" s="2">
        <f t="shared" si="120"/>
        <v>1.3684618996774984</v>
      </c>
      <c r="T628" s="4">
        <f t="shared" si="121"/>
        <v>1.8726879708689477</v>
      </c>
      <c r="U628" s="1">
        <f t="shared" si="113"/>
        <v>1.2566392669064963</v>
      </c>
      <c r="V628" s="6">
        <f>2*sigma/alpha*corel*(B628/12-1/alpha*(1-EXP(-alpha*Output!B628/12)))</f>
        <v>3.7017068499775716</v>
      </c>
      <c r="W628" s="5">
        <f t="shared" si="122"/>
        <v>-0.61604870396245137</v>
      </c>
      <c r="X628" s="1">
        <f t="shared" si="123"/>
        <v>140.40331705144837</v>
      </c>
      <c r="Y628" s="3">
        <f t="shared" si="124"/>
        <v>7.922998750663493E-2</v>
      </c>
      <c r="Z628" s="1">
        <f t="shared" si="114"/>
        <v>0.19084498470082376</v>
      </c>
      <c r="AA628" s="8">
        <f t="shared" si="119"/>
        <v>51.333333333333698</v>
      </c>
      <c r="AB628" s="1">
        <v>51.42</v>
      </c>
      <c r="AC628" s="1">
        <v>7.5484835179999996E-3</v>
      </c>
      <c r="AD628" s="8">
        <f t="shared" si="115"/>
        <v>1.6352880637812273</v>
      </c>
      <c r="AE628" s="3">
        <f t="shared" si="116"/>
        <v>2.1663795911877452E-2</v>
      </c>
      <c r="AF628" s="11">
        <f t="shared" si="117"/>
        <v>51.333333333333698</v>
      </c>
      <c r="AG628" s="1">
        <f t="shared" si="118"/>
        <v>0.19084498470082376</v>
      </c>
    </row>
    <row r="629" spans="2:33" ht="15" x14ac:dyDescent="0.25">
      <c r="B629" s="1">
        <v>618</v>
      </c>
      <c r="C629" s="1">
        <v>1.0010962586077257</v>
      </c>
      <c r="D629" s="1">
        <v>1.2560992946209815</v>
      </c>
      <c r="E629" s="1">
        <v>0.79477129146858017</v>
      </c>
      <c r="G629" s="1">
        <v>1.001634472365567</v>
      </c>
      <c r="H629" s="1">
        <v>6.4541884039689359</v>
      </c>
      <c r="I629" s="1">
        <v>0.11479630793005922</v>
      </c>
      <c r="K629" s="1">
        <v>0.99655998784565858</v>
      </c>
      <c r="L629" s="1">
        <v>8.7336056447354533</v>
      </c>
      <c r="M629" s="1">
        <v>8.2348911021586729E-2</v>
      </c>
      <c r="O629" s="1">
        <v>7.3862421974650299E-3</v>
      </c>
      <c r="P629" s="1">
        <v>0.68359374821349572</v>
      </c>
      <c r="R629" s="1">
        <v>0.28202529682394473</v>
      </c>
      <c r="S629" s="2">
        <f t="shared" si="120"/>
        <v>1.3699884521275612</v>
      </c>
      <c r="T629" s="4">
        <f t="shared" si="121"/>
        <v>1.876868358962871</v>
      </c>
      <c r="U629" s="1">
        <f t="shared" si="113"/>
        <v>1.2606026290135417</v>
      </c>
      <c r="V629" s="6">
        <f>2*sigma/alpha*corel*(B629/12-1/alpha*(1-EXP(-alpha*Output!B629/12)))</f>
        <v>3.7107936559213148</v>
      </c>
      <c r="W629" s="5">
        <f t="shared" si="122"/>
        <v>-0.61626572994932927</v>
      </c>
      <c r="X629" s="1">
        <f t="shared" si="123"/>
        <v>140.72072992638772</v>
      </c>
      <c r="Y629" s="3">
        <f t="shared" si="124"/>
        <v>7.9143526321522301E-2</v>
      </c>
      <c r="Z629" s="1">
        <f t="shared" si="114"/>
        <v>0.19090323675910864</v>
      </c>
      <c r="AA629" s="8">
        <f t="shared" si="119"/>
        <v>51.416666666667034</v>
      </c>
      <c r="AB629" s="1">
        <v>51.5</v>
      </c>
      <c r="AC629" s="1">
        <v>7.5483138449999997E-3</v>
      </c>
      <c r="AD629" s="8">
        <f t="shared" si="115"/>
        <v>1.6207164753496983</v>
      </c>
      <c r="AE629" s="3">
        <f t="shared" si="116"/>
        <v>2.1471238592222292E-2</v>
      </c>
      <c r="AF629" s="11">
        <f t="shared" si="117"/>
        <v>51.416666666667034</v>
      </c>
      <c r="AG629" s="1">
        <f t="shared" si="118"/>
        <v>0.19090323675910864</v>
      </c>
    </row>
    <row r="630" spans="2:33" ht="15" x14ac:dyDescent="0.25">
      <c r="B630" s="1">
        <v>619</v>
      </c>
      <c r="C630" s="1">
        <v>1.0010929916861795</v>
      </c>
      <c r="D630" s="1">
        <v>1.2556165562391155</v>
      </c>
      <c r="E630" s="1">
        <v>0.79507417389078605</v>
      </c>
      <c r="G630" s="1">
        <v>1.0012815296837361</v>
      </c>
      <c r="H630" s="1">
        <v>6.4269883380642563</v>
      </c>
      <c r="I630" s="1">
        <v>0.1152262716955631</v>
      </c>
      <c r="K630" s="1">
        <v>0.99626649470068085</v>
      </c>
      <c r="L630" s="1">
        <v>8.1944690025220748</v>
      </c>
      <c r="M630" s="1">
        <v>8.7717645095794189E-2</v>
      </c>
      <c r="O630" s="1">
        <v>7.3874981365474688E-3</v>
      </c>
      <c r="P630" s="1">
        <v>0.68312885363815001</v>
      </c>
      <c r="R630" s="1">
        <v>0.2820145580835523</v>
      </c>
      <c r="S630" s="2">
        <f t="shared" si="120"/>
        <v>1.3711651941862713</v>
      </c>
      <c r="T630" s="4">
        <f t="shared" si="121"/>
        <v>1.880093989747875</v>
      </c>
      <c r="U630" s="1">
        <f t="shared" si="113"/>
        <v>1.2645698525620208</v>
      </c>
      <c r="V630" s="6">
        <f>2*sigma/alpha*corel*(B630/12-1/alpha*(1-EXP(-alpha*Output!B630/12)))</f>
        <v>3.7198848873542216</v>
      </c>
      <c r="W630" s="5">
        <f t="shared" si="122"/>
        <v>-0.61552413718585419</v>
      </c>
      <c r="X630" s="1">
        <f t="shared" si="123"/>
        <v>140.84069054784757</v>
      </c>
      <c r="Y630" s="3">
        <f t="shared" si="124"/>
        <v>7.8976547648619014E-2</v>
      </c>
      <c r="Z630" s="1">
        <f t="shared" si="114"/>
        <v>0.19091281399533222</v>
      </c>
      <c r="AA630" s="8">
        <f t="shared" si="119"/>
        <v>51.500000000000369</v>
      </c>
      <c r="AB630" s="1">
        <v>51.58</v>
      </c>
      <c r="AC630" s="1">
        <v>7.5481447220000003E-3</v>
      </c>
      <c r="AD630" s="8">
        <f t="shared" si="115"/>
        <v>1.6064658545253148</v>
      </c>
      <c r="AE630" s="3">
        <f t="shared" si="116"/>
        <v>2.1282923336685262E-2</v>
      </c>
      <c r="AF630" s="11">
        <f t="shared" si="117"/>
        <v>51.500000000000369</v>
      </c>
      <c r="AG630" s="1">
        <f t="shared" si="118"/>
        <v>0.19091281399533222</v>
      </c>
    </row>
    <row r="631" spans="2:33" ht="15" x14ac:dyDescent="0.25">
      <c r="B631" s="1">
        <v>620</v>
      </c>
      <c r="C631" s="1">
        <v>1.0010948719584229</v>
      </c>
      <c r="D631" s="1">
        <v>1.2577830631844555</v>
      </c>
      <c r="E631" s="1">
        <v>0.79370199555437526</v>
      </c>
      <c r="G631" s="1">
        <v>1.0013463662060329</v>
      </c>
      <c r="H631" s="1">
        <v>6.5248144046489855</v>
      </c>
      <c r="I631" s="1">
        <v>0.1134436833421742</v>
      </c>
      <c r="K631" s="1">
        <v>0.99647452254539925</v>
      </c>
      <c r="L631" s="1">
        <v>7.9305709306094974</v>
      </c>
      <c r="M631" s="1">
        <v>9.0594215235548489E-2</v>
      </c>
      <c r="O631" s="1">
        <v>7.3886881783697157E-3</v>
      </c>
      <c r="P631" s="1">
        <v>0.68266645659315339</v>
      </c>
      <c r="R631" s="1">
        <v>0.28219049006612218</v>
      </c>
      <c r="S631" s="2">
        <f t="shared" si="120"/>
        <v>1.3730815491654782</v>
      </c>
      <c r="T631" s="4">
        <f t="shared" si="121"/>
        <v>1.8853529406586695</v>
      </c>
      <c r="U631" s="1">
        <f t="shared" si="113"/>
        <v>1.268540926572673</v>
      </c>
      <c r="V631" s="6">
        <f>2*sigma/alpha*corel*(B631/12-1/alpha*(1-EXP(-alpha*Output!B631/12)))</f>
        <v>3.7289805295492191</v>
      </c>
      <c r="W631" s="5">
        <f t="shared" si="122"/>
        <v>-0.61681201408599651</v>
      </c>
      <c r="X631" s="1">
        <f t="shared" si="123"/>
        <v>141.37977870086311</v>
      </c>
      <c r="Y631" s="3">
        <f t="shared" si="124"/>
        <v>7.8980732631345391E-2</v>
      </c>
      <c r="Z631" s="1">
        <f t="shared" si="114"/>
        <v>0.19102539641959801</v>
      </c>
      <c r="AA631" s="8">
        <f t="shared" si="119"/>
        <v>51.583333333333705</v>
      </c>
      <c r="AB631" s="1">
        <v>51.67</v>
      </c>
      <c r="AC631" s="1">
        <v>7.5479761459999999E-3</v>
      </c>
      <c r="AD631" s="8">
        <f t="shared" si="115"/>
        <v>1.5928796763028421</v>
      </c>
      <c r="AE631" s="3">
        <f t="shared" si="116"/>
        <v>2.1103401037468543E-2</v>
      </c>
      <c r="AF631" s="11">
        <f t="shared" si="117"/>
        <v>51.583333333333705</v>
      </c>
      <c r="AG631" s="1">
        <f t="shared" si="118"/>
        <v>0.19102539641959801</v>
      </c>
    </row>
    <row r="632" spans="2:33" ht="15" x14ac:dyDescent="0.25">
      <c r="B632" s="1">
        <v>621</v>
      </c>
      <c r="C632" s="1">
        <v>1.001098244284331</v>
      </c>
      <c r="D632" s="1">
        <v>1.2640753045623265</v>
      </c>
      <c r="E632" s="1">
        <v>0.78974848251815599</v>
      </c>
      <c r="G632" s="1">
        <v>1.0015446022259704</v>
      </c>
      <c r="H632" s="1">
        <v>6.8240773934967791</v>
      </c>
      <c r="I632" s="1">
        <v>0.10841615391363237</v>
      </c>
      <c r="K632" s="1">
        <v>0.99621157417021444</v>
      </c>
      <c r="L632" s="1">
        <v>7.8953104611386307</v>
      </c>
      <c r="M632" s="1">
        <v>9.0951107722021335E-2</v>
      </c>
      <c r="O632" s="1">
        <v>7.3899341605039477E-3</v>
      </c>
      <c r="P632" s="1">
        <v>0.6822022623096009</v>
      </c>
      <c r="R632" s="1">
        <v>0.28238262709708944</v>
      </c>
      <c r="S632" s="2">
        <f t="shared" si="120"/>
        <v>1.375069928726812</v>
      </c>
      <c r="T632" s="4">
        <f t="shared" si="121"/>
        <v>1.8908173088887599</v>
      </c>
      <c r="U632" s="1">
        <f t="shared" si="113"/>
        <v>1.2725158400903465</v>
      </c>
      <c r="V632" s="6">
        <f>2*sigma/alpha*corel*(B632/12-1/alpha*(1-EXP(-alpha*Output!B632/12)))</f>
        <v>3.7380805678282463</v>
      </c>
      <c r="W632" s="5">
        <f t="shared" si="122"/>
        <v>-0.61830146879841341</v>
      </c>
      <c r="X632" s="1">
        <f t="shared" si="123"/>
        <v>141.96165037284672</v>
      </c>
      <c r="Y632" s="3">
        <f t="shared" si="124"/>
        <v>7.9001792238814705E-2</v>
      </c>
      <c r="Z632" s="1">
        <f t="shared" si="114"/>
        <v>0.19114793365064983</v>
      </c>
      <c r="AA632" s="8">
        <f t="shared" si="119"/>
        <v>51.666666666667041</v>
      </c>
      <c r="AB632" s="1">
        <v>51.75</v>
      </c>
      <c r="AC632" s="1">
        <v>7.5478081129999996E-3</v>
      </c>
      <c r="AD632" s="8">
        <f t="shared" si="115"/>
        <v>1.5787395249605187</v>
      </c>
      <c r="AE632" s="3">
        <f t="shared" si="116"/>
        <v>2.091652969080348E-2</v>
      </c>
      <c r="AF632" s="11">
        <f t="shared" si="117"/>
        <v>51.666666666667041</v>
      </c>
      <c r="AG632" s="1">
        <f t="shared" si="118"/>
        <v>0.19114793365064983</v>
      </c>
    </row>
    <row r="633" spans="2:33" ht="15" x14ac:dyDescent="0.25">
      <c r="B633" s="1">
        <v>622</v>
      </c>
      <c r="C633" s="1">
        <v>1.0011025062432293</v>
      </c>
      <c r="D633" s="1">
        <v>1.2639305542818811</v>
      </c>
      <c r="E633" s="1">
        <v>0.78983625386867495</v>
      </c>
      <c r="G633" s="1">
        <v>1.0017573843464325</v>
      </c>
      <c r="H633" s="1">
        <v>6.8169025859657202</v>
      </c>
      <c r="I633" s="1">
        <v>0.10847766000779406</v>
      </c>
      <c r="K633" s="1">
        <v>0.99639988945246705</v>
      </c>
      <c r="L633" s="1">
        <v>8.0558160876194602</v>
      </c>
      <c r="M633" s="1">
        <v>8.9085229255592119E-2</v>
      </c>
      <c r="O633" s="1">
        <v>7.3912042477018384E-3</v>
      </c>
      <c r="P633" s="1">
        <v>0.68173739029856106</v>
      </c>
      <c r="R633" s="1">
        <v>0.28265712109486524</v>
      </c>
      <c r="S633" s="2">
        <f t="shared" si="120"/>
        <v>1.3773922210945175</v>
      </c>
      <c r="T633" s="4">
        <f t="shared" si="121"/>
        <v>1.8972093307316882</v>
      </c>
      <c r="U633" s="1">
        <f t="shared" ref="U633:U696" si="125">sigma*sigma/alpha/alpha*(B633/12+2/alpha*EXP(-alpha*B633/12)-1/2/alpha*EXP(-2*alpha*B633/12)-3/2/alpha)</f>
        <v>1.2764945821839939</v>
      </c>
      <c r="V633" s="6">
        <f>2*sigma/alpha*corel*(B633/12-1/alpha*(1-EXP(-alpha*Output!B633/12)))</f>
        <v>3.7471849875620835</v>
      </c>
      <c r="W633" s="5">
        <f t="shared" si="122"/>
        <v>-0.62071474854769426</v>
      </c>
      <c r="X633" s="1">
        <f t="shared" si="123"/>
        <v>142.73625319656594</v>
      </c>
      <c r="Y633" s="3">
        <f t="shared" si="124"/>
        <v>7.9100091878940626E-2</v>
      </c>
      <c r="Z633" s="1">
        <f t="shared" si="114"/>
        <v>0.19131677729505672</v>
      </c>
      <c r="AA633" s="8">
        <f t="shared" si="119"/>
        <v>51.750000000000377</v>
      </c>
      <c r="AB633" s="1">
        <v>51.83</v>
      </c>
      <c r="AC633" s="1">
        <v>7.5476406219999997E-3</v>
      </c>
      <c r="AD633" s="8">
        <f t="shared" si="115"/>
        <v>1.5643637429816128</v>
      </c>
      <c r="AE633" s="3">
        <f t="shared" si="116"/>
        <v>2.0726526623721021E-2</v>
      </c>
      <c r="AF633" s="11">
        <f t="shared" si="117"/>
        <v>51.750000000000377</v>
      </c>
      <c r="AG633" s="1">
        <f t="shared" si="118"/>
        <v>0.19131677729505672</v>
      </c>
    </row>
    <row r="634" spans="2:33" ht="15" x14ac:dyDescent="0.25">
      <c r="B634" s="1">
        <v>623</v>
      </c>
      <c r="C634" s="1">
        <v>1.0010994836265377</v>
      </c>
      <c r="D634" s="1">
        <v>1.2644913887406495</v>
      </c>
      <c r="E634" s="1">
        <v>0.78948326468198204</v>
      </c>
      <c r="G634" s="1">
        <v>1.0014151660139279</v>
      </c>
      <c r="H634" s="1">
        <v>6.8441891026565207</v>
      </c>
      <c r="I634" s="1">
        <v>0.10799281209978015</v>
      </c>
      <c r="K634" s="1">
        <v>0.99644131930293522</v>
      </c>
      <c r="L634" s="1">
        <v>7.9554300398311462</v>
      </c>
      <c r="M634" s="1">
        <v>9.0165013707711378E-2</v>
      </c>
      <c r="O634" s="1">
        <v>7.392483744951708E-3</v>
      </c>
      <c r="P634" s="1">
        <v>0.68127235802400754</v>
      </c>
      <c r="R634" s="1">
        <v>0.28295560169412032</v>
      </c>
      <c r="S634" s="2">
        <f t="shared" si="120"/>
        <v>1.3798144417202753</v>
      </c>
      <c r="T634" s="4">
        <f t="shared" si="121"/>
        <v>1.9038878935798351</v>
      </c>
      <c r="U634" s="1">
        <f t="shared" si="125"/>
        <v>1.2804771419466801</v>
      </c>
      <c r="V634" s="6">
        <f>2*sigma/alpha*corel*(B634/12-1/alpha*(1-EXP(-alpha*Output!B634/12)))</f>
        <v>3.7562937741701954</v>
      </c>
      <c r="W634" s="5">
        <f t="shared" si="122"/>
        <v>-0.62341075163315507</v>
      </c>
      <c r="X634" s="1">
        <f t="shared" si="123"/>
        <v>143.57137567368829</v>
      </c>
      <c r="Y634" s="3">
        <f t="shared" si="124"/>
        <v>7.9221511100220715E-2</v>
      </c>
      <c r="Z634" s="1">
        <f t="shared" si="114"/>
        <v>0.19149934190532716</v>
      </c>
      <c r="AA634" s="8">
        <f t="shared" si="119"/>
        <v>51.833333333333712</v>
      </c>
      <c r="AB634" s="1">
        <v>51.92</v>
      </c>
      <c r="AC634" s="1">
        <v>7.5474736690000002E-3</v>
      </c>
      <c r="AD634" s="8">
        <f t="shared" si="115"/>
        <v>1.5498992404829222</v>
      </c>
      <c r="AE634" s="3">
        <f t="shared" si="116"/>
        <v>2.0535338160222766E-2</v>
      </c>
      <c r="AF634" s="11">
        <f t="shared" si="117"/>
        <v>51.833333333333712</v>
      </c>
      <c r="AG634" s="1">
        <f t="shared" si="118"/>
        <v>0.19149934190532716</v>
      </c>
    </row>
    <row r="635" spans="2:33" ht="15" x14ac:dyDescent="0.25">
      <c r="B635" s="1">
        <v>624</v>
      </c>
      <c r="C635" s="1">
        <v>1.0010966505315388</v>
      </c>
      <c r="D635" s="1">
        <v>1.2661798230907884</v>
      </c>
      <c r="E635" s="1">
        <v>0.78842782189876726</v>
      </c>
      <c r="G635" s="1">
        <v>1.0010164729186153</v>
      </c>
      <c r="H635" s="1">
        <v>6.9263568569522249</v>
      </c>
      <c r="I635" s="1">
        <v>0.10665996570567134</v>
      </c>
      <c r="K635" s="1">
        <v>0.99650104642052684</v>
      </c>
      <c r="L635" s="1">
        <v>7.8683828633947721</v>
      </c>
      <c r="M635" s="1">
        <v>9.1113154649003103E-2</v>
      </c>
      <c r="O635" s="1">
        <v>7.3937317222127624E-3</v>
      </c>
      <c r="P635" s="1">
        <v>0.68080861365040302</v>
      </c>
      <c r="R635" s="1">
        <v>0.28310621953820853</v>
      </c>
      <c r="S635" s="2">
        <f t="shared" si="120"/>
        <v>1.3816441206288321</v>
      </c>
      <c r="T635" s="4">
        <f t="shared" si="121"/>
        <v>1.9089404760682189</v>
      </c>
      <c r="U635" s="1">
        <f t="shared" si="125"/>
        <v>1.2844635084955831</v>
      </c>
      <c r="V635" s="6">
        <f>2*sigma/alpha*corel*(B635/12-1/alpha*(1-EXP(-alpha*Output!B635/12)))</f>
        <v>3.7654069131205703</v>
      </c>
      <c r="W635" s="5">
        <f t="shared" si="122"/>
        <v>-0.62447696757263582</v>
      </c>
      <c r="X635" s="1">
        <f t="shared" si="123"/>
        <v>144.06949847648443</v>
      </c>
      <c r="Y635" s="3">
        <f t="shared" si="124"/>
        <v>7.9206620263674143E-2</v>
      </c>
      <c r="Z635" s="1">
        <f t="shared" si="114"/>
        <v>0.19159956620656185</v>
      </c>
      <c r="AA635" s="8">
        <f t="shared" si="119"/>
        <v>51.916666666667048</v>
      </c>
      <c r="AB635" s="1">
        <v>52</v>
      </c>
      <c r="AC635" s="1">
        <v>7.5473072520000004E-3</v>
      </c>
      <c r="AD635" s="8">
        <f t="shared" si="115"/>
        <v>1.5357552978723792</v>
      </c>
      <c r="AE635" s="3">
        <f t="shared" si="116"/>
        <v>2.034838713456924E-2</v>
      </c>
      <c r="AF635" s="11">
        <f t="shared" si="117"/>
        <v>51.916666666667048</v>
      </c>
      <c r="AG635" s="1">
        <f t="shared" si="118"/>
        <v>0.19159956620656185</v>
      </c>
    </row>
    <row r="636" spans="2:33" ht="15" x14ac:dyDescent="0.25">
      <c r="B636" s="1">
        <v>625</v>
      </c>
      <c r="C636" s="1">
        <v>1.0010943459604227</v>
      </c>
      <c r="D636" s="1">
        <v>1.2674411356670123</v>
      </c>
      <c r="E636" s="1">
        <v>0.78764052736097734</v>
      </c>
      <c r="G636" s="1">
        <v>1.0006815980280148</v>
      </c>
      <c r="H636" s="1">
        <v>6.9843707568468281</v>
      </c>
      <c r="I636" s="1">
        <v>0.10572275406040872</v>
      </c>
      <c r="K636" s="1">
        <v>0.9966690715920643</v>
      </c>
      <c r="L636" s="1">
        <v>7.7541714546337559</v>
      </c>
      <c r="M636" s="1">
        <v>9.2405404592920459E-2</v>
      </c>
      <c r="O636" s="1">
        <v>7.3949190246469301E-3</v>
      </c>
      <c r="P636" s="1">
        <v>0.68034719343384409</v>
      </c>
      <c r="R636" s="1">
        <v>0.28325033318392129</v>
      </c>
      <c r="S636" s="2">
        <f t="shared" si="120"/>
        <v>1.3834439239748006</v>
      </c>
      <c r="T636" s="4">
        <f t="shared" si="121"/>
        <v>1.913917090782794</v>
      </c>
      <c r="U636" s="1">
        <f t="shared" si="125"/>
        <v>1.2884536709719918</v>
      </c>
      <c r="V636" s="6">
        <f>2*sigma/alpha*corel*(B636/12-1/alpha*(1-EXP(-alpha*Output!B636/12)))</f>
        <v>3.7745243899295513</v>
      </c>
      <c r="W636" s="5">
        <f t="shared" si="122"/>
        <v>-0.62546341981080222</v>
      </c>
      <c r="X636" s="1">
        <f t="shared" si="123"/>
        <v>144.55191349742353</v>
      </c>
      <c r="Y636" s="3">
        <f t="shared" si="124"/>
        <v>7.918512012636672E-2</v>
      </c>
      <c r="Z636" s="1">
        <f t="shared" si="114"/>
        <v>0.1916956132597448</v>
      </c>
      <c r="AA636" s="8">
        <f t="shared" si="119"/>
        <v>52.000000000000384</v>
      </c>
      <c r="AB636" s="1">
        <v>52.08</v>
      </c>
      <c r="AC636" s="1">
        <v>7.5471413679999997E-3</v>
      </c>
      <c r="AD636" s="8">
        <f t="shared" si="115"/>
        <v>1.5222234335306954</v>
      </c>
      <c r="AE636" s="3">
        <f t="shared" si="116"/>
        <v>2.0169536508020735E-2</v>
      </c>
      <c r="AF636" s="11">
        <f t="shared" si="117"/>
        <v>52.000000000000384</v>
      </c>
      <c r="AG636" s="1">
        <f t="shared" si="118"/>
        <v>0.1916956132597448</v>
      </c>
    </row>
    <row r="637" spans="2:33" ht="15" x14ac:dyDescent="0.25">
      <c r="B637" s="1">
        <v>626</v>
      </c>
      <c r="C637" s="1">
        <v>1.0010952791975014</v>
      </c>
      <c r="D637" s="1">
        <v>1.2702195808916914</v>
      </c>
      <c r="E637" s="1">
        <v>0.78591498591576092</v>
      </c>
      <c r="G637" s="1">
        <v>1.0007146514052156</v>
      </c>
      <c r="H637" s="1">
        <v>7.1224808675555238</v>
      </c>
      <c r="I637" s="1">
        <v>0.10362246287103642</v>
      </c>
      <c r="K637" s="1">
        <v>0.99690600883708214</v>
      </c>
      <c r="L637" s="1">
        <v>7.8867047826749141</v>
      </c>
      <c r="M637" s="1">
        <v>9.0801935435840531E-2</v>
      </c>
      <c r="O637" s="1">
        <v>7.3962636932025302E-3</v>
      </c>
      <c r="P637" s="1">
        <v>0.67988037006620972</v>
      </c>
      <c r="R637" s="1">
        <v>0.28333204866896283</v>
      </c>
      <c r="S637" s="2">
        <f t="shared" si="120"/>
        <v>1.3850097462187094</v>
      </c>
      <c r="T637" s="4">
        <f t="shared" si="121"/>
        <v>1.9182519971208138</v>
      </c>
      <c r="U637" s="1">
        <f t="shared" si="125"/>
        <v>1.2924476185413067</v>
      </c>
      <c r="V637" s="6">
        <f>2*sigma/alpha*corel*(B637/12-1/alpha*(1-EXP(-alpha*Output!B637/12)))</f>
        <v>3.783646190161682</v>
      </c>
      <c r="W637" s="5">
        <f t="shared" si="122"/>
        <v>-0.6258043785795071</v>
      </c>
      <c r="X637" s="1">
        <f t="shared" si="123"/>
        <v>144.90049215591549</v>
      </c>
      <c r="Y637" s="3">
        <f t="shared" si="124"/>
        <v>7.9110055985720087E-2</v>
      </c>
      <c r="Z637" s="1">
        <f t="shared" si="114"/>
        <v>0.19175923388111915</v>
      </c>
      <c r="AA637" s="8">
        <f t="shared" si="119"/>
        <v>52.083333333333719</v>
      </c>
      <c r="AB637" s="1">
        <v>52.17</v>
      </c>
      <c r="AC637" s="1">
        <v>7.5469760149999999E-3</v>
      </c>
      <c r="AD637" s="8">
        <f t="shared" si="115"/>
        <v>1.5071232179746965</v>
      </c>
      <c r="AE637" s="3">
        <f t="shared" si="116"/>
        <v>1.9969895425389086E-2</v>
      </c>
      <c r="AF637" s="11">
        <f t="shared" si="117"/>
        <v>52.083333333333719</v>
      </c>
      <c r="AG637" s="1">
        <f t="shared" si="118"/>
        <v>0.19175923388111915</v>
      </c>
    </row>
    <row r="638" spans="2:33" ht="15" x14ac:dyDescent="0.25">
      <c r="B638" s="1">
        <v>627</v>
      </c>
      <c r="C638" s="1">
        <v>1.0010985081277992</v>
      </c>
      <c r="D638" s="1">
        <v>1.2685272235710225</v>
      </c>
      <c r="E638" s="1">
        <v>0.78696080007441738</v>
      </c>
      <c r="G638" s="1">
        <v>1.000833565652268</v>
      </c>
      <c r="H638" s="1">
        <v>7.0338205488700272</v>
      </c>
      <c r="I638" s="1">
        <v>0.10487775058849479</v>
      </c>
      <c r="K638" s="1">
        <v>0.99677728533329046</v>
      </c>
      <c r="L638" s="1">
        <v>7.9793766955044356</v>
      </c>
      <c r="M638" s="1">
        <v>8.969960647253962E-2</v>
      </c>
      <c r="O638" s="1">
        <v>7.3976999903625756E-3</v>
      </c>
      <c r="P638" s="1">
        <v>0.67941046199755728</v>
      </c>
      <c r="R638" s="1">
        <v>0.28340894235279745</v>
      </c>
      <c r="S638" s="2">
        <f t="shared" si="120"/>
        <v>1.3865662579694884</v>
      </c>
      <c r="T638" s="4">
        <f t="shared" si="121"/>
        <v>1.9225659877395098</v>
      </c>
      <c r="U638" s="1">
        <f t="shared" si="125"/>
        <v>1.296445340393042</v>
      </c>
      <c r="V638" s="6">
        <f>2*sigma/alpha*corel*(B638/12-1/alpha*(1-EXP(-alpha*Output!B638/12)))</f>
        <v>3.7927722994295459</v>
      </c>
      <c r="W638" s="5">
        <f t="shared" si="122"/>
        <v>-0.62612064734646777</v>
      </c>
      <c r="X638" s="1">
        <f t="shared" si="123"/>
        <v>145.24433701073184</v>
      </c>
      <c r="Y638" s="3">
        <f t="shared" si="124"/>
        <v>7.9033144029582794E-2</v>
      </c>
      <c r="Z638" s="1">
        <f t="shared" si="114"/>
        <v>0.19182158714923081</v>
      </c>
      <c r="AA638" s="8">
        <f t="shared" si="119"/>
        <v>52.166666666667055</v>
      </c>
      <c r="AB638" s="1">
        <v>52.25</v>
      </c>
      <c r="AC638" s="1">
        <v>7.5468111910000002E-3</v>
      </c>
      <c r="AD638" s="8">
        <f t="shared" si="115"/>
        <v>1.491112006374246</v>
      </c>
      <c r="AE638" s="3">
        <f t="shared" si="116"/>
        <v>1.9758172937365672E-2</v>
      </c>
      <c r="AF638" s="11">
        <f t="shared" si="117"/>
        <v>52.166666666667055</v>
      </c>
      <c r="AG638" s="1">
        <f t="shared" si="118"/>
        <v>0.19182158714923081</v>
      </c>
    </row>
    <row r="639" spans="2:33" ht="15" x14ac:dyDescent="0.25">
      <c r="B639" s="1">
        <v>628</v>
      </c>
      <c r="C639" s="1">
        <v>1.0010988617993972</v>
      </c>
      <c r="D639" s="1">
        <v>1.2697243280731256</v>
      </c>
      <c r="E639" s="1">
        <v>0.7862161612389188</v>
      </c>
      <c r="G639" s="1">
        <v>1.0007260498619084</v>
      </c>
      <c r="H639" s="1">
        <v>7.0943553986525529</v>
      </c>
      <c r="I639" s="1">
        <v>0.10393244670082379</v>
      </c>
      <c r="K639" s="1">
        <v>0.99705537162711289</v>
      </c>
      <c r="L639" s="1">
        <v>7.678233851114336</v>
      </c>
      <c r="M639" s="1">
        <v>9.3171436658028198E-2</v>
      </c>
      <c r="O639" s="1">
        <v>7.3991180304351523E-3</v>
      </c>
      <c r="P639" s="1">
        <v>0.67894136488222356</v>
      </c>
      <c r="R639" s="1">
        <v>0.2835798177762956</v>
      </c>
      <c r="S639" s="2">
        <f t="shared" si="120"/>
        <v>1.3885007012849895</v>
      </c>
      <c r="T639" s="4">
        <f t="shared" si="121"/>
        <v>1.9279341974689075</v>
      </c>
      <c r="U639" s="1">
        <f t="shared" si="125"/>
        <v>1.3004468257408233</v>
      </c>
      <c r="V639" s="6">
        <f>2*sigma/alpha*corel*(B639/12-1/alpha*(1-EXP(-alpha*Output!B639/12)))</f>
        <v>3.801902703393603</v>
      </c>
      <c r="W639" s="5">
        <f t="shared" si="122"/>
        <v>-0.62748737172808422</v>
      </c>
      <c r="X639" s="1">
        <f t="shared" si="123"/>
        <v>145.80848731448387</v>
      </c>
      <c r="Y639" s="3">
        <f t="shared" si="124"/>
        <v>7.9043463232773239E-2</v>
      </c>
      <c r="Z639" s="1">
        <f t="shared" si="114"/>
        <v>0.19193620543817314</v>
      </c>
      <c r="AA639" s="8">
        <f t="shared" si="119"/>
        <v>52.250000000000391</v>
      </c>
      <c r="AB639" s="1">
        <v>52.33</v>
      </c>
      <c r="AC639" s="1">
        <v>7.5466468919999996E-3</v>
      </c>
      <c r="AD639" s="8">
        <f t="shared" si="115"/>
        <v>1.475288615648473</v>
      </c>
      <c r="AE639" s="3">
        <f t="shared" si="116"/>
        <v>1.9548928640246668E-2</v>
      </c>
      <c r="AF639" s="11">
        <f t="shared" si="117"/>
        <v>52.250000000000391</v>
      </c>
      <c r="AG639" s="1">
        <f t="shared" si="118"/>
        <v>0.19193620543817314</v>
      </c>
    </row>
    <row r="640" spans="2:33" ht="15" x14ac:dyDescent="0.25">
      <c r="B640" s="1">
        <v>629</v>
      </c>
      <c r="C640" s="1">
        <v>1.0010963364049059</v>
      </c>
      <c r="D640" s="1">
        <v>1.2714541682550293</v>
      </c>
      <c r="E640" s="1">
        <v>0.78514381066316719</v>
      </c>
      <c r="G640" s="1">
        <v>1.0004024334395707</v>
      </c>
      <c r="H640" s="1">
        <v>7.1754313974223303</v>
      </c>
      <c r="I640" s="1">
        <v>0.10270829461920998</v>
      </c>
      <c r="K640" s="1">
        <v>0.99707764117111874</v>
      </c>
      <c r="L640" s="1">
        <v>8.0451204966496235</v>
      </c>
      <c r="M640" s="1">
        <v>8.8877058883090346E-2</v>
      </c>
      <c r="O640" s="1">
        <v>7.400615787200816E-3</v>
      </c>
      <c r="P640" s="1">
        <v>0.67846959632370185</v>
      </c>
      <c r="R640" s="1">
        <v>0.28369311552456367</v>
      </c>
      <c r="S640" s="2">
        <f t="shared" si="120"/>
        <v>1.3902129209565681</v>
      </c>
      <c r="T640" s="4">
        <f t="shared" si="121"/>
        <v>1.9326919655945931</v>
      </c>
      <c r="U640" s="1">
        <f t="shared" si="125"/>
        <v>1.3044520638223847</v>
      </c>
      <c r="V640" s="6">
        <f>2*sigma/alpha*corel*(B640/12-1/alpha*(1-EXP(-alpha*Output!B640/12)))</f>
        <v>3.8110373877620298</v>
      </c>
      <c r="W640" s="5">
        <f t="shared" si="122"/>
        <v>-0.62823990177220845</v>
      </c>
      <c r="X640" s="1">
        <f t="shared" si="123"/>
        <v>146.24497204249306</v>
      </c>
      <c r="Y640" s="3">
        <f t="shared" si="124"/>
        <v>7.9002938179085297E-2</v>
      </c>
      <c r="Z640" s="1">
        <f t="shared" si="114"/>
        <v>0.19202006878395578</v>
      </c>
      <c r="AA640" s="8">
        <f t="shared" si="119"/>
        <v>52.333333333333727</v>
      </c>
      <c r="AB640" s="1">
        <v>52.42</v>
      </c>
      <c r="AC640" s="1">
        <v>7.5464831169999996E-3</v>
      </c>
      <c r="AD640" s="8">
        <f t="shared" si="115"/>
        <v>1.4586732979918366</v>
      </c>
      <c r="AE640" s="3">
        <f t="shared" si="116"/>
        <v>1.9329179902435299E-2</v>
      </c>
      <c r="AF640" s="11">
        <f t="shared" si="117"/>
        <v>52.333333333333727</v>
      </c>
      <c r="AG640" s="1">
        <f t="shared" si="118"/>
        <v>0.19202006878395578</v>
      </c>
    </row>
    <row r="641" spans="2:33" ht="15" x14ac:dyDescent="0.25">
      <c r="B641" s="1">
        <v>630</v>
      </c>
      <c r="C641" s="1">
        <v>1.0010983761120795</v>
      </c>
      <c r="D641" s="1">
        <v>1.2699956402969637</v>
      </c>
      <c r="E641" s="1">
        <v>0.78604281562004552</v>
      </c>
      <c r="G641" s="1">
        <v>1.0004048095945783</v>
      </c>
      <c r="H641" s="1">
        <v>7.1004272943627891</v>
      </c>
      <c r="I641" s="1">
        <v>0.10374292543251296</v>
      </c>
      <c r="K641" s="1">
        <v>0.99701911382541708</v>
      </c>
      <c r="L641" s="1">
        <v>8.08368360479332</v>
      </c>
      <c r="M641" s="1">
        <v>8.8403371215468415E-2</v>
      </c>
      <c r="O641" s="1">
        <v>7.4021101412112909E-3</v>
      </c>
      <c r="P641" s="1">
        <v>0.6779981074525262</v>
      </c>
      <c r="R641" s="1">
        <v>0.28381416863801145</v>
      </c>
      <c r="S641" s="2">
        <f t="shared" si="120"/>
        <v>1.391957846106249</v>
      </c>
      <c r="T641" s="4">
        <f t="shared" si="121"/>
        <v>1.9375466453367478</v>
      </c>
      <c r="U641" s="1">
        <f t="shared" si="125"/>
        <v>1.3084610438995701</v>
      </c>
      <c r="V641" s="6">
        <f>2*sigma/alpha*corel*(B641/12-1/alpha*(1-EXP(-alpha*Output!B641/12)))</f>
        <v>3.8201763382905685</v>
      </c>
      <c r="W641" s="5">
        <f t="shared" si="122"/>
        <v>-0.62908560143717773</v>
      </c>
      <c r="X641" s="1">
        <f t="shared" si="123"/>
        <v>146.70172355744245</v>
      </c>
      <c r="Y641" s="3">
        <f t="shared" si="124"/>
        <v>7.8970212908221926E-2</v>
      </c>
      <c r="Z641" s="1">
        <f t="shared" si="114"/>
        <v>0.19210843393085747</v>
      </c>
      <c r="AA641" s="8">
        <f t="shared" si="119"/>
        <v>52.416666666667062</v>
      </c>
      <c r="AB641" s="1">
        <v>52.5</v>
      </c>
      <c r="AC641" s="1">
        <v>7.5463198629999997E-3</v>
      </c>
      <c r="AD641" s="8">
        <f t="shared" si="115"/>
        <v>1.4420972178870883</v>
      </c>
      <c r="AE641" s="3">
        <f t="shared" si="116"/>
        <v>1.9109940263170744E-2</v>
      </c>
      <c r="AF641" s="11">
        <f t="shared" si="117"/>
        <v>52.416666666667062</v>
      </c>
      <c r="AG641" s="1">
        <f t="shared" si="118"/>
        <v>0.19210843393085747</v>
      </c>
    </row>
    <row r="642" spans="2:33" ht="15" x14ac:dyDescent="0.25">
      <c r="B642" s="1">
        <v>631</v>
      </c>
      <c r="C642" s="1">
        <v>1.0010937060495508</v>
      </c>
      <c r="D642" s="1">
        <v>1.2700060129747894</v>
      </c>
      <c r="E642" s="1">
        <v>0.78603369766483988</v>
      </c>
      <c r="G642" s="1">
        <v>0.99994152408019821</v>
      </c>
      <c r="H642" s="1">
        <v>7.0987981277912375</v>
      </c>
      <c r="I642" s="1">
        <v>0.10371643674093207</v>
      </c>
      <c r="K642" s="1">
        <v>0.99726392911719131</v>
      </c>
      <c r="L642" s="1">
        <v>8.0219580000209536</v>
      </c>
      <c r="M642" s="1">
        <v>8.9035718753218057E-2</v>
      </c>
      <c r="O642" s="1">
        <v>7.4036470580251265E-3</v>
      </c>
      <c r="P642" s="1">
        <v>0.67752526112197364</v>
      </c>
      <c r="R642" s="1">
        <v>0.28391045270319776</v>
      </c>
      <c r="S642" s="2">
        <f t="shared" si="120"/>
        <v>1.3936086600954953</v>
      </c>
      <c r="T642" s="4">
        <f t="shared" si="121"/>
        <v>1.9421450974931618</v>
      </c>
      <c r="U642" s="1">
        <f t="shared" si="125"/>
        <v>1.3124737552583281</v>
      </c>
      <c r="V642" s="6">
        <f>2*sigma/alpha*corel*(B642/12-1/alpha*(1-EXP(-alpha*Output!B642/12)))</f>
        <v>3.8293195407823579</v>
      </c>
      <c r="W642" s="5">
        <f t="shared" si="122"/>
        <v>-0.62967134223483368</v>
      </c>
      <c r="X642" s="1">
        <f t="shared" si="123"/>
        <v>147.10456046214429</v>
      </c>
      <c r="Y642" s="3">
        <f t="shared" si="124"/>
        <v>7.8916139586168874E-2</v>
      </c>
      <c r="Z642" s="1">
        <f t="shared" si="114"/>
        <v>0.1921838015585248</v>
      </c>
      <c r="AA642" s="8">
        <f t="shared" si="119"/>
        <v>52.500000000000398</v>
      </c>
      <c r="AB642" s="1">
        <v>52.58</v>
      </c>
      <c r="AC642" s="1">
        <v>7.5461571259999999E-3</v>
      </c>
      <c r="AD642" s="8">
        <f t="shared" si="115"/>
        <v>1.4251006797487333</v>
      </c>
      <c r="AE642" s="3">
        <f t="shared" si="116"/>
        <v>1.8885118027010102E-2</v>
      </c>
      <c r="AF642" s="11">
        <f t="shared" si="117"/>
        <v>52.500000000000398</v>
      </c>
      <c r="AG642" s="1">
        <f t="shared" si="118"/>
        <v>0.1921838015585248</v>
      </c>
    </row>
    <row r="643" spans="2:33" ht="15" x14ac:dyDescent="0.25">
      <c r="B643" s="1">
        <v>632</v>
      </c>
      <c r="C643" s="1">
        <v>1.0010969093603936</v>
      </c>
      <c r="D643" s="1">
        <v>1.2756349323896379</v>
      </c>
      <c r="E643" s="1">
        <v>0.78256252204290977</v>
      </c>
      <c r="G643" s="1">
        <v>1.0000951032279259</v>
      </c>
      <c r="H643" s="1">
        <v>7.3852267069341284</v>
      </c>
      <c r="I643" s="1">
        <v>9.9645575273180409E-2</v>
      </c>
      <c r="K643" s="1">
        <v>0.99717303313907923</v>
      </c>
      <c r="L643" s="1">
        <v>8.030939106849555</v>
      </c>
      <c r="M643" s="1">
        <v>8.8887476915738076E-2</v>
      </c>
      <c r="O643" s="1">
        <v>7.4051679563383287E-3</v>
      </c>
      <c r="P643" s="1">
        <v>0.67705314232237623</v>
      </c>
      <c r="R643" s="1">
        <v>0.28409013193690735</v>
      </c>
      <c r="S643" s="2">
        <f t="shared" si="120"/>
        <v>1.3955965601121891</v>
      </c>
      <c r="T643" s="4">
        <f t="shared" si="121"/>
        <v>1.9476897585969752</v>
      </c>
      <c r="U643" s="1">
        <f t="shared" si="125"/>
        <v>1.3164901872087085</v>
      </c>
      <c r="V643" s="6">
        <f>2*sigma/alpha*corel*(B643/12-1/alpha*(1-EXP(-alpha*Output!B643/12)))</f>
        <v>3.8384669810877834</v>
      </c>
      <c r="W643" s="5">
        <f t="shared" si="122"/>
        <v>-0.63119957138826677</v>
      </c>
      <c r="X643" s="1">
        <f t="shared" si="123"/>
        <v>147.70653847069605</v>
      </c>
      <c r="Y643" s="3">
        <f t="shared" si="124"/>
        <v>7.8939787026613667E-2</v>
      </c>
      <c r="Z643" s="1">
        <f t="shared" si="114"/>
        <v>0.19230561903543222</v>
      </c>
      <c r="AA643" s="8">
        <f t="shared" si="119"/>
        <v>52.583333333333734</v>
      </c>
      <c r="AB643" s="1">
        <v>52.67</v>
      </c>
      <c r="AC643" s="1">
        <v>7.5459949060000002E-3</v>
      </c>
      <c r="AD643" s="8">
        <f t="shared" si="115"/>
        <v>1.4082694966167149</v>
      </c>
      <c r="AE643" s="3">
        <f t="shared" si="116"/>
        <v>1.8662476110300131E-2</v>
      </c>
      <c r="AF643" s="11">
        <f t="shared" si="117"/>
        <v>52.583333333333734</v>
      </c>
      <c r="AG643" s="1">
        <f t="shared" si="118"/>
        <v>0.19230561903543222</v>
      </c>
    </row>
    <row r="644" spans="2:33" ht="15" x14ac:dyDescent="0.25">
      <c r="B644" s="1">
        <v>633</v>
      </c>
      <c r="C644" s="1">
        <v>1.0011058522047416</v>
      </c>
      <c r="D644" s="1">
        <v>1.2822429418959775</v>
      </c>
      <c r="E644" s="1">
        <v>0.77852692295273673</v>
      </c>
      <c r="G644" s="1">
        <v>1.000748863403097</v>
      </c>
      <c r="H644" s="1">
        <v>7.7421355633185236</v>
      </c>
      <c r="I644" s="1">
        <v>9.5005886180607221E-2</v>
      </c>
      <c r="K644" s="1">
        <v>0.99718964030778279</v>
      </c>
      <c r="L644" s="1">
        <v>7.9514334091830285</v>
      </c>
      <c r="M644" s="1">
        <v>8.9726863133014506E-2</v>
      </c>
      <c r="O644" s="1">
        <v>7.4067914968343708E-3</v>
      </c>
      <c r="P644" s="1">
        <v>0.67657751775223862</v>
      </c>
      <c r="R644" s="1">
        <v>0.28417910091716708</v>
      </c>
      <c r="S644" s="2">
        <f t="shared" si="120"/>
        <v>1.3972296883230431</v>
      </c>
      <c r="T644" s="4">
        <f t="shared" si="121"/>
        <v>1.9522508019313081</v>
      </c>
      <c r="U644" s="1">
        <f t="shared" si="125"/>
        <v>1.320510329084863</v>
      </c>
      <c r="V644" s="6">
        <f>2*sigma/alpha*corel*(B644/12-1/alpha*(1-EXP(-alpha*Output!B644/12)))</f>
        <v>3.8476186451043177</v>
      </c>
      <c r="W644" s="5">
        <f t="shared" si="122"/>
        <v>-0.63174047284644508</v>
      </c>
      <c r="X644" s="1">
        <f t="shared" si="123"/>
        <v>148.1014090087543</v>
      </c>
      <c r="Y644" s="3">
        <f t="shared" si="124"/>
        <v>7.8882214088794908E-2</v>
      </c>
      <c r="Z644" s="1">
        <f t="shared" si="114"/>
        <v>0.19237851718805568</v>
      </c>
      <c r="AA644" s="8">
        <f t="shared" si="119"/>
        <v>52.666666666667069</v>
      </c>
      <c r="AB644" s="1">
        <v>52.75</v>
      </c>
      <c r="AC644" s="1">
        <v>7.5458331989999997E-3</v>
      </c>
      <c r="AD644" s="8">
        <f t="shared" si="115"/>
        <v>1.3904170216562892</v>
      </c>
      <c r="AE644" s="3">
        <f t="shared" si="116"/>
        <v>1.8426288853569572E-2</v>
      </c>
      <c r="AF644" s="11">
        <f t="shared" si="117"/>
        <v>52.666666666667069</v>
      </c>
      <c r="AG644" s="1">
        <f t="shared" si="118"/>
        <v>0.19237851718805568</v>
      </c>
    </row>
    <row r="645" spans="2:33" ht="15" x14ac:dyDescent="0.25">
      <c r="B645" s="1">
        <v>634</v>
      </c>
      <c r="C645" s="1">
        <v>1.0011135041330734</v>
      </c>
      <c r="D645" s="1">
        <v>1.2840015718558437</v>
      </c>
      <c r="E645" s="1">
        <v>0.77745793384830175</v>
      </c>
      <c r="G645" s="1">
        <v>1.0012333188828562</v>
      </c>
      <c r="H645" s="1">
        <v>7.836027471287883</v>
      </c>
      <c r="I645" s="1">
        <v>9.3822017462453638E-2</v>
      </c>
      <c r="K645" s="1">
        <v>0.99728081325406659</v>
      </c>
      <c r="L645" s="1">
        <v>8.2594869554432613</v>
      </c>
      <c r="M645" s="1">
        <v>8.6333612262236556E-2</v>
      </c>
      <c r="O645" s="1">
        <v>7.4083239321738412E-3</v>
      </c>
      <c r="P645" s="1">
        <v>0.6761052987081787</v>
      </c>
      <c r="R645" s="1">
        <v>0.2842336863973276</v>
      </c>
      <c r="S645" s="2">
        <f t="shared" si="120"/>
        <v>1.3987165143600431</v>
      </c>
      <c r="T645" s="4">
        <f t="shared" si="121"/>
        <v>1.9564078875435085</v>
      </c>
      <c r="U645" s="1">
        <f t="shared" si="125"/>
        <v>1.3245341702450366</v>
      </c>
      <c r="V645" s="6">
        <f>2*sigma/alpha*corel*(B645/12-1/alpha*(1-EXP(-alpha*Output!B645/12)))</f>
        <v>3.856774518776362</v>
      </c>
      <c r="W645" s="5">
        <f t="shared" si="122"/>
        <v>-0.63187371729847186</v>
      </c>
      <c r="X645" s="1">
        <f t="shared" si="123"/>
        <v>148.41068861109301</v>
      </c>
      <c r="Y645" s="3">
        <f t="shared" si="124"/>
        <v>7.879133797817163E-2</v>
      </c>
      <c r="Z645" s="1">
        <f t="shared" si="114"/>
        <v>0.19243129238221562</v>
      </c>
      <c r="AA645" s="8">
        <f t="shared" si="119"/>
        <v>52.750000000000405</v>
      </c>
      <c r="AB645" s="1">
        <v>52.83</v>
      </c>
      <c r="AC645" s="1">
        <v>7.5456720030000002E-3</v>
      </c>
      <c r="AD645" s="8">
        <f t="shared" si="115"/>
        <v>1.3734807082615899</v>
      </c>
      <c r="AE645" s="3">
        <f t="shared" si="116"/>
        <v>1.8202231792152149E-2</v>
      </c>
      <c r="AF645" s="11">
        <f t="shared" si="117"/>
        <v>52.750000000000405</v>
      </c>
      <c r="AG645" s="1">
        <f t="shared" si="118"/>
        <v>0.19243129238221562</v>
      </c>
    </row>
    <row r="646" spans="2:33" ht="15" x14ac:dyDescent="0.25">
      <c r="B646" s="1">
        <v>635</v>
      </c>
      <c r="C646" s="1">
        <v>1.0011182651268724</v>
      </c>
      <c r="D646" s="1">
        <v>1.2833209768477973</v>
      </c>
      <c r="E646" s="1">
        <v>0.77786756330127882</v>
      </c>
      <c r="G646" s="1">
        <v>1.0015076650963906</v>
      </c>
      <c r="H646" s="1">
        <v>7.7936611298943674</v>
      </c>
      <c r="I646" s="1">
        <v>9.4286307783166462E-2</v>
      </c>
      <c r="K646" s="1">
        <v>0.99731033796589597</v>
      </c>
      <c r="L646" s="1">
        <v>8.5302294769186648</v>
      </c>
      <c r="M646" s="1">
        <v>8.3550514162248291E-2</v>
      </c>
      <c r="O646" s="1">
        <v>7.4098484880009922E-3</v>
      </c>
      <c r="P646" s="1">
        <v>0.67563351840032493</v>
      </c>
      <c r="R646" s="1">
        <v>0.28435929613478689</v>
      </c>
      <c r="S646" s="2">
        <f t="shared" si="120"/>
        <v>1.4004917380661632</v>
      </c>
      <c r="T646" s="4">
        <f t="shared" si="121"/>
        <v>1.9613771083915827</v>
      </c>
      <c r="U646" s="1">
        <f t="shared" si="125"/>
        <v>1.3285617000715648</v>
      </c>
      <c r="V646" s="6">
        <f>2*sigma/alpha*corel*(B646/12-1/alpha*(1-EXP(-alpha*Output!B646/12)))</f>
        <v>3.8659345880950915</v>
      </c>
      <c r="W646" s="5">
        <f t="shared" si="122"/>
        <v>-0.63281540832001792</v>
      </c>
      <c r="X646" s="1">
        <f t="shared" si="123"/>
        <v>148.89137833383376</v>
      </c>
      <c r="Y646" s="3">
        <f t="shared" si="124"/>
        <v>7.8766969130464021E-2</v>
      </c>
      <c r="Z646" s="1">
        <f t="shared" si="114"/>
        <v>0.19252374963710095</v>
      </c>
      <c r="AA646" s="8">
        <f t="shared" si="119"/>
        <v>52.833333333333741</v>
      </c>
      <c r="AB646" s="1">
        <v>52.92</v>
      </c>
      <c r="AC646" s="1">
        <v>7.5455113149999996E-3</v>
      </c>
      <c r="AD646" s="8">
        <f t="shared" si="115"/>
        <v>1.356628269990074</v>
      </c>
      <c r="AE646" s="3">
        <f t="shared" si="116"/>
        <v>1.797927553687691E-2</v>
      </c>
      <c r="AF646" s="11">
        <f t="shared" si="117"/>
        <v>52.833333333333741</v>
      </c>
      <c r="AG646" s="1">
        <f t="shared" si="118"/>
        <v>0.19252374963710095</v>
      </c>
    </row>
    <row r="647" spans="2:33" ht="15" x14ac:dyDescent="0.25">
      <c r="B647" s="1">
        <v>636</v>
      </c>
      <c r="C647" s="1">
        <v>1.0011174446348916</v>
      </c>
      <c r="D647" s="1">
        <v>1.2790310752596374</v>
      </c>
      <c r="E647" s="1">
        <v>0.78047384982950396</v>
      </c>
      <c r="G647" s="1">
        <v>1.0013257099556638</v>
      </c>
      <c r="H647" s="1">
        <v>7.5600449311299309</v>
      </c>
      <c r="I647" s="1">
        <v>9.7152772699877529E-2</v>
      </c>
      <c r="K647" s="1">
        <v>0.99733042438689445</v>
      </c>
      <c r="L647" s="1">
        <v>8.5070334994747174</v>
      </c>
      <c r="M647" s="1">
        <v>8.3734310441764478E-2</v>
      </c>
      <c r="O647" s="1">
        <v>7.4114311810837049E-3</v>
      </c>
      <c r="P647" s="1">
        <v>0.67515981538695768</v>
      </c>
      <c r="R647" s="1">
        <v>0.2843735482309413</v>
      </c>
      <c r="S647" s="2">
        <f t="shared" si="120"/>
        <v>1.4018227352340966</v>
      </c>
      <c r="T647" s="4">
        <f t="shared" si="121"/>
        <v>1.9651069810192041</v>
      </c>
      <c r="U647" s="1">
        <f t="shared" si="125"/>
        <v>1.3325929079708709</v>
      </c>
      <c r="V647" s="6">
        <f>2*sigma/alpha*corel*(B647/12-1/alpha*(1-EXP(-alpha*Output!B647/12)))</f>
        <v>3.8750988390983023</v>
      </c>
      <c r="W647" s="5">
        <f t="shared" si="122"/>
        <v>-0.63251407304833318</v>
      </c>
      <c r="X647" s="1">
        <f t="shared" si="123"/>
        <v>149.10937449902767</v>
      </c>
      <c r="Y647" s="3">
        <f t="shared" si="124"/>
        <v>7.8640906686882825E-2</v>
      </c>
      <c r="Z647" s="1">
        <f t="shared" si="114"/>
        <v>0.19255516146784929</v>
      </c>
      <c r="AA647" s="8">
        <f t="shared" si="119"/>
        <v>52.916666666667076</v>
      </c>
      <c r="AB647" s="1">
        <v>53</v>
      </c>
      <c r="AC647" s="1">
        <v>7.545351134E-3</v>
      </c>
      <c r="AD647" s="8">
        <f t="shared" si="115"/>
        <v>1.3391995291629506</v>
      </c>
      <c r="AE647" s="3">
        <f t="shared" si="116"/>
        <v>1.7748670742815435E-2</v>
      </c>
      <c r="AF647" s="11">
        <f t="shared" si="117"/>
        <v>52.916666666667076</v>
      </c>
      <c r="AG647" s="1">
        <f t="shared" si="118"/>
        <v>0.19255516146784929</v>
      </c>
    </row>
    <row r="648" spans="2:33" ht="15" x14ac:dyDescent="0.25">
      <c r="B648" s="1">
        <v>637</v>
      </c>
      <c r="C648" s="1">
        <v>1.0011216839528121</v>
      </c>
      <c r="D648" s="1">
        <v>1.2808418368444958</v>
      </c>
      <c r="E648" s="1">
        <v>0.77936777198361529</v>
      </c>
      <c r="G648" s="1">
        <v>1.0015430020075611</v>
      </c>
      <c r="H648" s="1">
        <v>7.6524527852606079</v>
      </c>
      <c r="I648" s="1">
        <v>9.5933070318229244E-2</v>
      </c>
      <c r="K648" s="1">
        <v>0.99728917550348406</v>
      </c>
      <c r="L648" s="1">
        <v>8.6100708649063495</v>
      </c>
      <c r="M648" s="1">
        <v>8.2686053120353098E-2</v>
      </c>
      <c r="O648" s="1">
        <v>7.4131498003972424E-3</v>
      </c>
      <c r="P648" s="1">
        <v>0.67468139840252361</v>
      </c>
      <c r="R648" s="1">
        <v>0.28444768719691876</v>
      </c>
      <c r="S648" s="2">
        <f t="shared" si="120"/>
        <v>1.4034110396335799</v>
      </c>
      <c r="T648" s="4">
        <f t="shared" si="121"/>
        <v>1.9695625461654056</v>
      </c>
      <c r="U648" s="1">
        <f t="shared" si="125"/>
        <v>1.3366277833734559</v>
      </c>
      <c r="V648" s="6">
        <f>2*sigma/alpha*corel*(B648/12-1/alpha*(1-EXP(-alpha*Output!B648/12)))</f>
        <v>3.8842672578702508</v>
      </c>
      <c r="W648" s="5">
        <f t="shared" si="122"/>
        <v>-0.63293476279194971</v>
      </c>
      <c r="X648" s="1">
        <f t="shared" si="123"/>
        <v>149.48068009672022</v>
      </c>
      <c r="Y648" s="3">
        <f t="shared" si="124"/>
        <v>7.8574209679535226E-2</v>
      </c>
      <c r="Z648" s="1">
        <f t="shared" si="114"/>
        <v>0.19262195897674553</v>
      </c>
      <c r="AA648" s="8">
        <f t="shared" si="119"/>
        <v>53.000000000000412</v>
      </c>
      <c r="AB648" s="1">
        <v>53.08</v>
      </c>
      <c r="AC648" s="1">
        <v>7.5451914559999996E-3</v>
      </c>
      <c r="AD648" s="8">
        <f t="shared" si="115"/>
        <v>1.3204165560275725</v>
      </c>
      <c r="AE648" s="3">
        <f t="shared" si="116"/>
        <v>1.7500106706736594E-2</v>
      </c>
      <c r="AF648" s="11">
        <f t="shared" si="117"/>
        <v>53.000000000000412</v>
      </c>
      <c r="AG648" s="1">
        <f t="shared" si="118"/>
        <v>0.19262195897674553</v>
      </c>
    </row>
    <row r="649" spans="2:33" ht="15" x14ac:dyDescent="0.25">
      <c r="B649" s="1">
        <v>638</v>
      </c>
      <c r="C649" s="1">
        <v>1.0011250867977186</v>
      </c>
      <c r="D649" s="1">
        <v>1.2798390031620563</v>
      </c>
      <c r="E649" s="1">
        <v>0.77997574860807228</v>
      </c>
      <c r="G649" s="1">
        <v>1.0017407360461599</v>
      </c>
      <c r="H649" s="1">
        <v>7.5903429042917478</v>
      </c>
      <c r="I649" s="1">
        <v>9.6671182575726128E-2</v>
      </c>
      <c r="K649" s="1">
        <v>0.99709138619967852</v>
      </c>
      <c r="L649" s="1">
        <v>8.253383660429872</v>
      </c>
      <c r="M649" s="1">
        <v>8.6216811086953837E-2</v>
      </c>
      <c r="O649" s="1">
        <v>7.4148603502697946E-3</v>
      </c>
      <c r="P649" s="1">
        <v>0.67420341655727123</v>
      </c>
      <c r="R649" s="1">
        <v>0.28459847211716566</v>
      </c>
      <c r="S649" s="2">
        <f t="shared" si="120"/>
        <v>1.4053116378011052</v>
      </c>
      <c r="T649" s="4">
        <f t="shared" si="121"/>
        <v>1.9749007993392249</v>
      </c>
      <c r="U649" s="1">
        <f t="shared" si="125"/>
        <v>1.3406663157338969</v>
      </c>
      <c r="V649" s="6">
        <f>2*sigma/alpha*corel*(B649/12-1/alpha*(1-EXP(-alpha*Output!B649/12)))</f>
        <v>3.893439830541503</v>
      </c>
      <c r="W649" s="5">
        <f t="shared" si="122"/>
        <v>-0.63423448360532797</v>
      </c>
      <c r="X649" s="1">
        <f t="shared" si="123"/>
        <v>150.03940722744679</v>
      </c>
      <c r="Y649" s="3">
        <f t="shared" si="124"/>
        <v>7.857947558979779E-2</v>
      </c>
      <c r="Z649" s="1">
        <f t="shared" si="114"/>
        <v>0.19273159984820371</v>
      </c>
      <c r="AA649" s="8">
        <f t="shared" si="119"/>
        <v>53.083333333333748</v>
      </c>
      <c r="AB649" s="1">
        <v>53.17</v>
      </c>
      <c r="AC649" s="1">
        <v>7.5450322799999999E-3</v>
      </c>
      <c r="AD649" s="8">
        <f t="shared" si="115"/>
        <v>1.3017192973020526</v>
      </c>
      <c r="AE649" s="3">
        <f t="shared" si="116"/>
        <v>1.7252667039643899E-2</v>
      </c>
      <c r="AF649" s="11">
        <f t="shared" si="117"/>
        <v>53.083333333333748</v>
      </c>
      <c r="AG649" s="1">
        <f t="shared" si="118"/>
        <v>0.19273159984820371</v>
      </c>
    </row>
    <row r="650" spans="2:33" ht="15" x14ac:dyDescent="0.25">
      <c r="B650" s="1">
        <v>639</v>
      </c>
      <c r="C650" s="1">
        <v>1.0011305455772364</v>
      </c>
      <c r="D650" s="1">
        <v>1.2765533141277228</v>
      </c>
      <c r="E650" s="1">
        <v>0.78198059148792087</v>
      </c>
      <c r="G650" s="1">
        <v>1.0020596206693408</v>
      </c>
      <c r="H650" s="1">
        <v>7.4097082454334542</v>
      </c>
      <c r="I650" s="1">
        <v>9.8979838803142914E-2</v>
      </c>
      <c r="K650" s="1">
        <v>0.9973434649664662</v>
      </c>
      <c r="L650" s="1">
        <v>8.2392897039906678</v>
      </c>
      <c r="M650" s="1">
        <v>8.6314972565699533E-2</v>
      </c>
      <c r="O650" s="1">
        <v>7.4165796029525052E-3</v>
      </c>
      <c r="P650" s="1">
        <v>0.67372526904643015</v>
      </c>
      <c r="R650" s="1">
        <v>0.2848807728996029</v>
      </c>
      <c r="S650" s="2">
        <f t="shared" si="120"/>
        <v>1.4077504187947978</v>
      </c>
      <c r="T650" s="4">
        <f t="shared" si="121"/>
        <v>1.9817612416169286</v>
      </c>
      <c r="U650" s="1">
        <f t="shared" si="125"/>
        <v>1.3447084945308392</v>
      </c>
      <c r="V650" s="6">
        <f>2*sigma/alpha*corel*(B650/12-1/alpha*(1-EXP(-alpha*Output!B650/12)))</f>
        <v>3.9026165432887798</v>
      </c>
      <c r="W650" s="5">
        <f t="shared" si="122"/>
        <v>-0.63705274708608939</v>
      </c>
      <c r="X650" s="1">
        <f t="shared" si="123"/>
        <v>150.92265101328829</v>
      </c>
      <c r="Y650" s="3">
        <f t="shared" si="124"/>
        <v>7.870837084857274E-2</v>
      </c>
      <c r="Z650" s="1">
        <f t="shared" si="114"/>
        <v>0.19291493864263498</v>
      </c>
      <c r="AA650" s="8">
        <f t="shared" si="119"/>
        <v>53.166666666667084</v>
      </c>
      <c r="AB650" s="1">
        <v>53.25</v>
      </c>
      <c r="AC650" s="1">
        <v>7.5448736019999999E-3</v>
      </c>
      <c r="AD650" s="8">
        <f t="shared" si="115"/>
        <v>1.2829399904749472</v>
      </c>
      <c r="AE650" s="3">
        <f t="shared" si="116"/>
        <v>1.7004128341326551E-2</v>
      </c>
      <c r="AF650" s="11">
        <f t="shared" si="117"/>
        <v>53.166666666667084</v>
      </c>
      <c r="AG650" s="1">
        <f t="shared" si="118"/>
        <v>0.19291493864263498</v>
      </c>
    </row>
    <row r="651" spans="2:33" ht="15" x14ac:dyDescent="0.25">
      <c r="B651" s="1">
        <v>640</v>
      </c>
      <c r="C651" s="1">
        <v>1.0011315475158098</v>
      </c>
      <c r="D651" s="1">
        <v>1.2777854844924963</v>
      </c>
      <c r="E651" s="1">
        <v>0.78122380696684846</v>
      </c>
      <c r="G651" s="1">
        <v>1.0020997484115286</v>
      </c>
      <c r="H651" s="1">
        <v>7.4706018279795776</v>
      </c>
      <c r="I651" s="1">
        <v>9.8125454430400619E-2</v>
      </c>
      <c r="K651" s="1">
        <v>0.9971364627397229</v>
      </c>
      <c r="L651" s="1">
        <v>8.4431986266132313</v>
      </c>
      <c r="M651" s="1">
        <v>8.4190232008126323E-2</v>
      </c>
      <c r="O651" s="1">
        <v>7.4182728893512481E-3</v>
      </c>
      <c r="P651" s="1">
        <v>0.67324820008538167</v>
      </c>
      <c r="R651" s="1">
        <v>0.28493403585988802</v>
      </c>
      <c r="S651" s="2">
        <f t="shared" si="120"/>
        <v>1.4092570725228548</v>
      </c>
      <c r="T651" s="4">
        <f t="shared" si="121"/>
        <v>1.9860054964556868</v>
      </c>
      <c r="U651" s="1">
        <f t="shared" si="125"/>
        <v>1.3487543092669894</v>
      </c>
      <c r="V651" s="6">
        <f>2*sigma/alpha*corel*(B651/12-1/alpha*(1-EXP(-alpha*Output!B651/12)))</f>
        <v>3.9117973823348038</v>
      </c>
      <c r="W651" s="5">
        <f t="shared" si="122"/>
        <v>-0.63725118718869744</v>
      </c>
      <c r="X651" s="1">
        <f t="shared" si="123"/>
        <v>151.2490786940302</v>
      </c>
      <c r="Y651" s="3">
        <f t="shared" si="124"/>
        <v>7.8623803476027015E-2</v>
      </c>
      <c r="Z651" s="1">
        <f t="shared" si="114"/>
        <v>0.19297047198611533</v>
      </c>
      <c r="AA651" s="8">
        <f t="shared" si="119"/>
        <v>53.250000000000419</v>
      </c>
      <c r="AB651" s="1">
        <v>53.33</v>
      </c>
      <c r="AC651" s="1">
        <v>7.5447154219999996E-3</v>
      </c>
      <c r="AD651" s="8">
        <f t="shared" si="115"/>
        <v>1.2644253264875154</v>
      </c>
      <c r="AE651" s="3">
        <f t="shared" si="116"/>
        <v>1.6759085741001132E-2</v>
      </c>
      <c r="AF651" s="11">
        <f t="shared" si="117"/>
        <v>53.250000000000419</v>
      </c>
      <c r="AG651" s="1">
        <f t="shared" si="118"/>
        <v>0.19297047198611533</v>
      </c>
    </row>
    <row r="652" spans="2:33" ht="15" x14ac:dyDescent="0.25">
      <c r="B652" s="1">
        <v>641</v>
      </c>
      <c r="C652" s="1">
        <v>1.0011344009622667</v>
      </c>
      <c r="D652" s="1">
        <v>1.2774815678586202</v>
      </c>
      <c r="E652" s="1">
        <v>0.78140693873223976</v>
      </c>
      <c r="G652" s="1">
        <v>1.0021869722666663</v>
      </c>
      <c r="H652" s="1">
        <v>7.4546080858195305</v>
      </c>
      <c r="I652" s="1">
        <v>9.8288311324032693E-2</v>
      </c>
      <c r="K652" s="1">
        <v>0.99713122535378862</v>
      </c>
      <c r="L652" s="1">
        <v>8.6101524210844325</v>
      </c>
      <c r="M652" s="1">
        <v>8.251406073067985E-2</v>
      </c>
      <c r="O652" s="1">
        <v>7.4199867930818189E-3</v>
      </c>
      <c r="P652" s="1">
        <v>0.6727705381452449</v>
      </c>
      <c r="R652" s="1">
        <v>0.28506513435812825</v>
      </c>
      <c r="S652" s="2">
        <f t="shared" si="120"/>
        <v>1.4110844943090648</v>
      </c>
      <c r="T652" s="4">
        <f t="shared" si="121"/>
        <v>1.9911594500794692</v>
      </c>
      <c r="U652" s="1">
        <f t="shared" si="125"/>
        <v>1.3528037494691065</v>
      </c>
      <c r="V652" s="6">
        <f>2*sigma/alpha*corel*(B652/12-1/alpha*(1-EXP(-alpha*Output!B652/12)))</f>
        <v>3.9209823339481416</v>
      </c>
      <c r="W652" s="5">
        <f t="shared" si="122"/>
        <v>-0.63835570061036262</v>
      </c>
      <c r="X652" s="1">
        <f t="shared" si="123"/>
        <v>151.76943716021424</v>
      </c>
      <c r="Y652" s="3">
        <f t="shared" si="124"/>
        <v>7.8613025574494372E-2</v>
      </c>
      <c r="Z652" s="1">
        <f t="shared" si="114"/>
        <v>0.19306992501507189</v>
      </c>
      <c r="AA652" s="8">
        <f t="shared" si="119"/>
        <v>53.333333333333755</v>
      </c>
      <c r="AB652" s="1">
        <v>53.42</v>
      </c>
      <c r="AC652" s="1">
        <v>7.5445577349999996E-3</v>
      </c>
      <c r="AD652" s="8">
        <f t="shared" si="115"/>
        <v>1.2457094191818068</v>
      </c>
      <c r="AE652" s="3">
        <f t="shared" si="116"/>
        <v>1.6511364389231582E-2</v>
      </c>
      <c r="AF652" s="11">
        <f t="shared" si="117"/>
        <v>53.333333333333755</v>
      </c>
      <c r="AG652" s="1">
        <f t="shared" si="118"/>
        <v>0.19306992501507189</v>
      </c>
    </row>
    <row r="653" spans="2:33" ht="15" x14ac:dyDescent="0.25">
      <c r="B653" s="1">
        <v>642</v>
      </c>
      <c r="C653" s="1">
        <v>1.001137536487376</v>
      </c>
      <c r="D653" s="1">
        <v>1.2820456933299378</v>
      </c>
      <c r="E653" s="1">
        <v>0.77862238545913776</v>
      </c>
      <c r="G653" s="1">
        <v>1.0023091178973547</v>
      </c>
      <c r="H653" s="1">
        <v>7.6967700131950814</v>
      </c>
      <c r="I653" s="1">
        <v>9.5149737972659354E-2</v>
      </c>
      <c r="K653" s="1">
        <v>0.997181322130273</v>
      </c>
      <c r="L653" s="1">
        <v>8.6001576758679565</v>
      </c>
      <c r="M653" s="1">
        <v>8.256112023232226E-2</v>
      </c>
      <c r="O653" s="1">
        <v>7.4215604762277463E-3</v>
      </c>
      <c r="P653" s="1">
        <v>0.67229806648745127</v>
      </c>
      <c r="R653" s="1">
        <v>0.28519753353033833</v>
      </c>
      <c r="S653" s="2">
        <f t="shared" si="120"/>
        <v>1.4129055932425107</v>
      </c>
      <c r="T653" s="4">
        <f t="shared" si="121"/>
        <v>1.9963022154159713</v>
      </c>
      <c r="U653" s="1">
        <f t="shared" si="125"/>
        <v>1.3568568046879981</v>
      </c>
      <c r="V653" s="6">
        <f>2*sigma/alpha*corel*(B653/12-1/alpha*(1-EXP(-alpha*Output!B653/12)))</f>
        <v>3.9301713844430601</v>
      </c>
      <c r="W653" s="5">
        <f t="shared" si="122"/>
        <v>-0.63944541072797323</v>
      </c>
      <c r="X653" s="1">
        <f t="shared" si="123"/>
        <v>152.28756500688135</v>
      </c>
      <c r="Y653" s="3">
        <f t="shared" si="124"/>
        <v>7.8601059923582295E-2</v>
      </c>
      <c r="Z653" s="1">
        <f t="shared" ref="Z653:Z716" si="126">S653/SQRT(B653/12)</f>
        <v>0.1931684759510027</v>
      </c>
      <c r="AA653" s="8">
        <f t="shared" si="119"/>
        <v>53.416666666667091</v>
      </c>
      <c r="AB653" s="1">
        <v>53.5</v>
      </c>
      <c r="AC653" s="1">
        <v>7.5444005409999997E-3</v>
      </c>
      <c r="AD653" s="8">
        <f t="shared" ref="AD653:AD716" si="127">(AC653-O653)*10000</f>
        <v>1.2284006477225347</v>
      </c>
      <c r="AE653" s="3">
        <f t="shared" ref="AE653:AE716" si="128">AD653/AC653/10000</f>
        <v>1.6282283013034617E-2</v>
      </c>
      <c r="AF653" s="11">
        <f t="shared" ref="AF653:AF716" si="129">AA653</f>
        <v>53.416666666667091</v>
      </c>
      <c r="AG653" s="1">
        <f t="shared" ref="AG653:AG716" si="130">Z653</f>
        <v>0.1931684759510027</v>
      </c>
    </row>
    <row r="654" spans="2:33" ht="15" x14ac:dyDescent="0.25">
      <c r="B654" s="1">
        <v>643</v>
      </c>
      <c r="C654" s="1">
        <v>1.0011429854495904</v>
      </c>
      <c r="D654" s="1">
        <v>1.281844628854184</v>
      </c>
      <c r="E654" s="1">
        <v>0.77874179408016009</v>
      </c>
      <c r="G654" s="1">
        <v>1.0026656264641582</v>
      </c>
      <c r="H654" s="1">
        <v>7.6856202656716475</v>
      </c>
      <c r="I654" s="1">
        <v>9.5241581491120525E-2</v>
      </c>
      <c r="K654" s="1">
        <v>0.99725822734156189</v>
      </c>
      <c r="L654" s="1">
        <v>8.7107104574140894</v>
      </c>
      <c r="M654" s="1">
        <v>8.147049955211097E-2</v>
      </c>
      <c r="O654" s="1">
        <v>7.4230732826985639E-3</v>
      </c>
      <c r="P654" s="1">
        <v>0.67182794191156536</v>
      </c>
      <c r="R654" s="1">
        <v>0.28549109598381972</v>
      </c>
      <c r="S654" s="2">
        <f t="shared" si="120"/>
        <v>1.4153812885687633</v>
      </c>
      <c r="T654" s="4">
        <f t="shared" si="121"/>
        <v>2.0033041920305728</v>
      </c>
      <c r="U654" s="1">
        <f t="shared" si="125"/>
        <v>1.3609134644985073</v>
      </c>
      <c r="V654" s="6">
        <f>2*sigma/alpha*corel*(B654/12-1/alpha*(1-EXP(-alpha*Output!B654/12)))</f>
        <v>3.9393645201793661</v>
      </c>
      <c r="W654" s="5">
        <f t="shared" si="122"/>
        <v>-0.6423907275320655</v>
      </c>
      <c r="X654" s="1">
        <f t="shared" si="123"/>
        <v>153.20433875722071</v>
      </c>
      <c r="Y654" s="3">
        <f t="shared" si="124"/>
        <v>7.8739124466628604E-2</v>
      </c>
      <c r="Z654" s="1">
        <f t="shared" si="126"/>
        <v>0.19335641553424934</v>
      </c>
      <c r="AA654" s="8">
        <f t="shared" ref="AA654:AA717" si="131">AA653+1/12</f>
        <v>53.500000000000426</v>
      </c>
      <c r="AB654" s="1">
        <v>53.58</v>
      </c>
      <c r="AC654" s="1">
        <v>7.5442438360000001E-3</v>
      </c>
      <c r="AD654" s="8">
        <f t="shared" si="127"/>
        <v>1.2117055330143622</v>
      </c>
      <c r="AE654" s="3">
        <f t="shared" si="128"/>
        <v>1.606132515537588E-2</v>
      </c>
      <c r="AF654" s="11">
        <f t="shared" si="129"/>
        <v>53.500000000000426</v>
      </c>
      <c r="AG654" s="1">
        <f t="shared" si="130"/>
        <v>0.19335641553424934</v>
      </c>
    </row>
    <row r="655" spans="2:33" ht="15" x14ac:dyDescent="0.25">
      <c r="B655" s="1">
        <v>644</v>
      </c>
      <c r="C655" s="1">
        <v>1.0011478738451867</v>
      </c>
      <c r="D655" s="1">
        <v>1.2828422103348536</v>
      </c>
      <c r="E655" s="1">
        <v>0.77813349358362283</v>
      </c>
      <c r="G655" s="1">
        <v>1.0029598424675519</v>
      </c>
      <c r="H655" s="1">
        <v>7.7329412668850539</v>
      </c>
      <c r="I655" s="1">
        <v>9.4612871257665196E-2</v>
      </c>
      <c r="K655" s="1">
        <v>0.9972115572863659</v>
      </c>
      <c r="L655" s="1">
        <v>8.7167273313384595</v>
      </c>
      <c r="M655" s="1">
        <v>8.1374418663122741E-2</v>
      </c>
      <c r="O655" s="1">
        <v>7.4246007707778408E-3</v>
      </c>
      <c r="P655" s="1">
        <v>0.67135744784045115</v>
      </c>
      <c r="R655" s="1">
        <v>0.28569594387445774</v>
      </c>
      <c r="S655" s="2">
        <f t="shared" si="120"/>
        <v>1.4174989285682245</v>
      </c>
      <c r="T655" s="4">
        <f t="shared" si="121"/>
        <v>2.0093032124920644</v>
      </c>
      <c r="U655" s="1">
        <f t="shared" si="125"/>
        <v>1.3649737184995088</v>
      </c>
      <c r="V655" s="6">
        <f>2*sigma/alpha*corel*(B655/12-1/alpha*(1-EXP(-alpha*Output!B655/12)))</f>
        <v>3.9485617275622582</v>
      </c>
      <c r="W655" s="5">
        <f t="shared" si="122"/>
        <v>-0.64432949399255568</v>
      </c>
      <c r="X655" s="1">
        <f t="shared" si="123"/>
        <v>153.90720442677139</v>
      </c>
      <c r="Y655" s="3">
        <f t="shared" si="124"/>
        <v>7.8795396100979714E-2</v>
      </c>
      <c r="Z655" s="1">
        <f t="shared" si="126"/>
        <v>0.19349530364044507</v>
      </c>
      <c r="AA655" s="8">
        <f t="shared" si="131"/>
        <v>53.583333333333762</v>
      </c>
      <c r="AB655" s="1">
        <v>53.67</v>
      </c>
      <c r="AC655" s="1">
        <v>7.5440876190000002E-3</v>
      </c>
      <c r="AD655" s="8">
        <f t="shared" si="127"/>
        <v>1.1948684822215943</v>
      </c>
      <c r="AE655" s="3">
        <f t="shared" si="128"/>
        <v>1.5838475672157942E-2</v>
      </c>
      <c r="AF655" s="11">
        <f t="shared" si="129"/>
        <v>53.583333333333762</v>
      </c>
      <c r="AG655" s="1">
        <f t="shared" si="130"/>
        <v>0.19349530364044507</v>
      </c>
    </row>
    <row r="656" spans="2:33" ht="15" x14ac:dyDescent="0.25">
      <c r="B656" s="1">
        <v>645</v>
      </c>
      <c r="C656" s="1">
        <v>1.0011474039050301</v>
      </c>
      <c r="D656" s="1">
        <v>1.2851055595747378</v>
      </c>
      <c r="E656" s="1">
        <v>0.77676030786941741</v>
      </c>
      <c r="G656" s="1">
        <v>1.0028336370494295</v>
      </c>
      <c r="H656" s="1">
        <v>7.8549814548719601</v>
      </c>
      <c r="I656" s="1">
        <v>9.3097749098232471E-2</v>
      </c>
      <c r="K656" s="1">
        <v>0.99693250332270988</v>
      </c>
      <c r="L656" s="1">
        <v>8.66159539298026</v>
      </c>
      <c r="M656" s="1">
        <v>8.1849323482544478E-2</v>
      </c>
      <c r="O656" s="1">
        <v>7.4260897982449193E-3</v>
      </c>
      <c r="P656" s="1">
        <v>0.67088849936816775</v>
      </c>
      <c r="R656" s="1">
        <v>0.28578953096094101</v>
      </c>
      <c r="S656" s="2">
        <f t="shared" si="120"/>
        <v>1.4191597537771223</v>
      </c>
      <c r="T656" s="4">
        <f t="shared" si="121"/>
        <v>2.0140144067407424</v>
      </c>
      <c r="U656" s="1">
        <f t="shared" si="125"/>
        <v>1.3690375563138959</v>
      </c>
      <c r="V656" s="6">
        <f>2*sigma/alpha*corel*(B656/12-1/alpha*(1-EXP(-alpha*Output!B656/12)))</f>
        <v>3.957762993042178</v>
      </c>
      <c r="W656" s="5">
        <f t="shared" si="122"/>
        <v>-0.64497685042684649</v>
      </c>
      <c r="X656" s="1">
        <f t="shared" si="123"/>
        <v>154.33391075086618</v>
      </c>
      <c r="Y656" s="3">
        <f t="shared" si="124"/>
        <v>7.8747507122512134E-2</v>
      </c>
      <c r="Z656" s="1">
        <f t="shared" si="126"/>
        <v>0.19357178377606168</v>
      </c>
      <c r="AA656" s="8">
        <f t="shared" si="131"/>
        <v>53.666666666667098</v>
      </c>
      <c r="AB656" s="1">
        <v>53.75</v>
      </c>
      <c r="AC656" s="1">
        <v>7.5439318869999997E-3</v>
      </c>
      <c r="AD656" s="8">
        <f t="shared" si="127"/>
        <v>1.1784208875508049</v>
      </c>
      <c r="AE656" s="3">
        <f t="shared" si="128"/>
        <v>1.5620778464099155E-2</v>
      </c>
      <c r="AF656" s="11">
        <f t="shared" si="129"/>
        <v>53.666666666667098</v>
      </c>
      <c r="AG656" s="1">
        <f t="shared" si="130"/>
        <v>0.19357178377606168</v>
      </c>
    </row>
    <row r="657" spans="2:33" ht="15" x14ac:dyDescent="0.25">
      <c r="B657" s="1">
        <v>646</v>
      </c>
      <c r="C657" s="1">
        <v>1.0011510294025088</v>
      </c>
      <c r="D657" s="1">
        <v>1.2890946100186256</v>
      </c>
      <c r="E657" s="1">
        <v>0.7743539349817149</v>
      </c>
      <c r="G657" s="1">
        <v>1.0030203525979122</v>
      </c>
      <c r="H657" s="1">
        <v>8.0695541842841418</v>
      </c>
      <c r="I657" s="1">
        <v>9.0578309594091772E-2</v>
      </c>
      <c r="K657" s="1">
        <v>0.99693655737666342</v>
      </c>
      <c r="L657" s="1">
        <v>8.5901172685626292</v>
      </c>
      <c r="M657" s="1">
        <v>8.2484955420433992E-2</v>
      </c>
      <c r="O657" s="1">
        <v>7.4275740661586126E-3</v>
      </c>
      <c r="P657" s="1">
        <v>0.67041988385789564</v>
      </c>
      <c r="R657" s="1">
        <v>0.28595931327564161</v>
      </c>
      <c r="S657" s="2">
        <f t="shared" si="120"/>
        <v>1.4211341317532467</v>
      </c>
      <c r="T657" s="4">
        <f t="shared" si="121"/>
        <v>2.0196222204340541</v>
      </c>
      <c r="U657" s="1">
        <f t="shared" si="125"/>
        <v>1.3731049675885738</v>
      </c>
      <c r="V657" s="6">
        <f>2*sigma/alpha*corel*(B657/12-1/alpha*(1-EXP(-alpha*Output!B657/12)))</f>
        <v>3.9669683031146543</v>
      </c>
      <c r="W657" s="5">
        <f t="shared" si="122"/>
        <v>-0.64651725284548034</v>
      </c>
      <c r="X657" s="1">
        <f t="shared" si="123"/>
        <v>154.95355263064314</v>
      </c>
      <c r="Y657" s="3">
        <f t="shared" si="124"/>
        <v>7.877150882848083E-2</v>
      </c>
      <c r="Z657" s="1">
        <f t="shared" si="126"/>
        <v>0.19369099678912569</v>
      </c>
      <c r="AA657" s="8">
        <f t="shared" si="131"/>
        <v>53.750000000000433</v>
      </c>
      <c r="AB657" s="1">
        <v>53.83</v>
      </c>
      <c r="AC657" s="1">
        <v>7.5437766380000004E-3</v>
      </c>
      <c r="AD657" s="8">
        <f t="shared" si="127"/>
        <v>1.1620257184138776</v>
      </c>
      <c r="AE657" s="3">
        <f t="shared" si="128"/>
        <v>1.5403766232425897E-2</v>
      </c>
      <c r="AF657" s="11">
        <f t="shared" si="129"/>
        <v>53.750000000000433</v>
      </c>
      <c r="AG657" s="1">
        <f t="shared" si="130"/>
        <v>0.19369099678912569</v>
      </c>
    </row>
    <row r="658" spans="2:33" ht="15" x14ac:dyDescent="0.25">
      <c r="B658" s="1">
        <v>647</v>
      </c>
      <c r="C658" s="1">
        <v>1.0011467997273276</v>
      </c>
      <c r="D658" s="1">
        <v>1.2933104096175918</v>
      </c>
      <c r="E658" s="1">
        <v>0.7718270614108832</v>
      </c>
      <c r="G658" s="1">
        <v>1.0026313286286455</v>
      </c>
      <c r="H658" s="1">
        <v>8.301754423372385</v>
      </c>
      <c r="I658" s="1">
        <v>8.8002149118785469E-2</v>
      </c>
      <c r="K658" s="1">
        <v>0.9965646031938058</v>
      </c>
      <c r="L658" s="1">
        <v>8.6593685645248275</v>
      </c>
      <c r="M658" s="1">
        <v>8.1779861438316531E-2</v>
      </c>
      <c r="O658" s="1">
        <v>7.4290452903277224E-3</v>
      </c>
      <c r="P658" s="1">
        <v>0.6699519011046382</v>
      </c>
      <c r="R658" s="1">
        <v>0.28619786512486528</v>
      </c>
      <c r="S658" s="2">
        <f t="shared" si="120"/>
        <v>1.4233917791579012</v>
      </c>
      <c r="T658" s="4">
        <f t="shared" si="121"/>
        <v>2.0260441569742951</v>
      </c>
      <c r="U658" s="1">
        <f t="shared" si="125"/>
        <v>1.3771759419944467</v>
      </c>
      <c r="V658" s="6">
        <f>2*sigma/alpha*corel*(B658/12-1/alpha*(1-EXP(-alpha*Output!B658/12)))</f>
        <v>3.9761776443201557</v>
      </c>
      <c r="W658" s="5">
        <f t="shared" si="122"/>
        <v>-0.64886821497984837</v>
      </c>
      <c r="X658" s="1">
        <f t="shared" si="123"/>
        <v>155.74923368984534</v>
      </c>
      <c r="Y658" s="3">
        <f t="shared" si="124"/>
        <v>7.8860361314584626E-2</v>
      </c>
      <c r="Z658" s="1">
        <f t="shared" si="126"/>
        <v>0.19384871921369676</v>
      </c>
      <c r="AA658" s="8">
        <f t="shared" si="131"/>
        <v>53.833333333333769</v>
      </c>
      <c r="AB658" s="1">
        <v>53.92</v>
      </c>
      <c r="AC658" s="1">
        <v>7.5436218700000003E-3</v>
      </c>
      <c r="AD658" s="8">
        <f t="shared" si="127"/>
        <v>1.1457657967227797</v>
      </c>
      <c r="AE658" s="3">
        <f t="shared" si="128"/>
        <v>1.5188536971601675E-2</v>
      </c>
      <c r="AF658" s="11">
        <f t="shared" si="129"/>
        <v>53.833333333333769</v>
      </c>
      <c r="AG658" s="1">
        <f t="shared" si="130"/>
        <v>0.19384871921369676</v>
      </c>
    </row>
    <row r="659" spans="2:33" ht="15" x14ac:dyDescent="0.25">
      <c r="B659" s="1">
        <v>648</v>
      </c>
      <c r="C659" s="1">
        <v>1.0011529533960957</v>
      </c>
      <c r="D659" s="1">
        <v>1.2951363324249525</v>
      </c>
      <c r="E659" s="1">
        <v>0.77073620119448683</v>
      </c>
      <c r="G659" s="1">
        <v>1.0030545726482401</v>
      </c>
      <c r="H659" s="1">
        <v>8.4017883573940644</v>
      </c>
      <c r="I659" s="1">
        <v>8.6912216979240745E-2</v>
      </c>
      <c r="K659" s="1">
        <v>0.99680539034315629</v>
      </c>
      <c r="L659" s="1">
        <v>8.7539819082121948</v>
      </c>
      <c r="M659" s="1">
        <v>8.0853427166964101E-2</v>
      </c>
      <c r="O659" s="1">
        <v>7.4304462451853437E-3</v>
      </c>
      <c r="P659" s="1">
        <v>0.66948662125467517</v>
      </c>
      <c r="R659" s="1">
        <v>0.28630464176768305</v>
      </c>
      <c r="S659" s="2">
        <f t="shared" si="120"/>
        <v>1.4251039668463046</v>
      </c>
      <c r="T659" s="4">
        <f t="shared" si="121"/>
        <v>2.0309213163210731</v>
      </c>
      <c r="U659" s="1">
        <f t="shared" si="125"/>
        <v>1.3812504692264111</v>
      </c>
      <c r="V659" s="6">
        <f>2*sigma/alpha*corel*(B659/12-1/alpha*(1-EXP(-alpha*Output!B659/12)))</f>
        <v>3.985391003243945</v>
      </c>
      <c r="W659" s="5">
        <f t="shared" si="122"/>
        <v>-0.64967084709466194</v>
      </c>
      <c r="X659" s="1">
        <f t="shared" si="123"/>
        <v>156.21224442118475</v>
      </c>
      <c r="Y659" s="3">
        <f t="shared" si="124"/>
        <v>7.8824987799643156E-2</v>
      </c>
      <c r="Z659" s="1">
        <f t="shared" si="126"/>
        <v>0.19393208606609119</v>
      </c>
      <c r="AA659" s="8">
        <f t="shared" si="131"/>
        <v>53.916666666667105</v>
      </c>
      <c r="AB659" s="1">
        <v>54</v>
      </c>
      <c r="AC659" s="1">
        <v>7.5434675800000002E-3</v>
      </c>
      <c r="AD659" s="8">
        <f t="shared" si="127"/>
        <v>1.130213348146565</v>
      </c>
      <c r="AE659" s="3">
        <f t="shared" si="128"/>
        <v>1.4982676549748823E-2</v>
      </c>
      <c r="AF659" s="11">
        <f t="shared" si="129"/>
        <v>53.916666666667105</v>
      </c>
      <c r="AG659" s="1">
        <f t="shared" si="130"/>
        <v>0.19393208606609119</v>
      </c>
    </row>
    <row r="660" spans="2:33" ht="15" x14ac:dyDescent="0.25">
      <c r="B660" s="1">
        <v>649</v>
      </c>
      <c r="C660" s="1">
        <v>1.0011555030455745</v>
      </c>
      <c r="D660" s="1">
        <v>1.2875839331232328</v>
      </c>
      <c r="E660" s="1">
        <v>0.77525426462580571</v>
      </c>
      <c r="G660" s="1">
        <v>1.0031361109107735</v>
      </c>
      <c r="H660" s="1">
        <v>7.9694480129604033</v>
      </c>
      <c r="I660" s="1">
        <v>9.1582759769419056E-2</v>
      </c>
      <c r="K660" s="1">
        <v>0.99673330952355443</v>
      </c>
      <c r="L660" s="1">
        <v>8.8370750844525752</v>
      </c>
      <c r="M660" s="1">
        <v>8.0047804680009077E-2</v>
      </c>
      <c r="O660" s="1">
        <v>7.4318269694777835E-3</v>
      </c>
      <c r="P660" s="1">
        <v>0.66902224033003421</v>
      </c>
      <c r="R660" s="1">
        <v>0.2863888345062347</v>
      </c>
      <c r="S660" s="2">
        <f t="shared" si="120"/>
        <v>1.426723015613766</v>
      </c>
      <c r="T660" s="4">
        <f t="shared" si="121"/>
        <v>2.0355385632820386</v>
      </c>
      <c r="U660" s="1">
        <f t="shared" si="125"/>
        <v>1.3853285390033414</v>
      </c>
      <c r="V660" s="6">
        <f>2*sigma/alpha*corel*(B660/12-1/alpha*(1-EXP(-alpha*Output!B660/12)))</f>
        <v>3.9946083665159229</v>
      </c>
      <c r="W660" s="5">
        <f t="shared" si="122"/>
        <v>-0.65021002427869723</v>
      </c>
      <c r="X660" s="1">
        <f t="shared" si="123"/>
        <v>156.61899792079717</v>
      </c>
      <c r="Y660" s="3">
        <f t="shared" si="124"/>
        <v>7.8768654974280594E-2</v>
      </c>
      <c r="Z660" s="1">
        <f t="shared" si="126"/>
        <v>0.19400277490503667</v>
      </c>
      <c r="AA660" s="8">
        <f t="shared" si="131"/>
        <v>54.000000000000441</v>
      </c>
      <c r="AB660" s="1">
        <v>54.08</v>
      </c>
      <c r="AC660" s="1">
        <v>7.5433137659999998E-3</v>
      </c>
      <c r="AD660" s="8">
        <f t="shared" si="127"/>
        <v>1.1148679652221629</v>
      </c>
      <c r="AE660" s="3">
        <f t="shared" si="128"/>
        <v>1.4779551796548759E-2</v>
      </c>
      <c r="AF660" s="11">
        <f t="shared" si="129"/>
        <v>54.000000000000441</v>
      </c>
      <c r="AG660" s="1">
        <f t="shared" si="130"/>
        <v>0.19400277490503667</v>
      </c>
    </row>
    <row r="661" spans="2:33" ht="15" x14ac:dyDescent="0.25">
      <c r="B661" s="1">
        <v>650</v>
      </c>
      <c r="C661" s="1">
        <v>1.0011543799517293</v>
      </c>
      <c r="D661" s="1">
        <v>1.2881109565377857</v>
      </c>
      <c r="E661" s="1">
        <v>0.77493433610365015</v>
      </c>
      <c r="G661" s="1">
        <v>1.0029298747267628</v>
      </c>
      <c r="H661" s="1">
        <v>7.993940624762776</v>
      </c>
      <c r="I661" s="1">
        <v>9.1257895946440917E-2</v>
      </c>
      <c r="K661" s="1">
        <v>0.99675384627881414</v>
      </c>
      <c r="L661" s="1">
        <v>8.7652783645250771</v>
      </c>
      <c r="M661" s="1">
        <v>8.0664164992263046E-2</v>
      </c>
      <c r="O661" s="1">
        <v>7.4331324978560327E-3</v>
      </c>
      <c r="P661" s="1">
        <v>0.66856075078556043</v>
      </c>
      <c r="R661" s="1">
        <v>0.28642615544260985</v>
      </c>
      <c r="S661" s="2">
        <f t="shared" si="120"/>
        <v>1.4281432022599134</v>
      </c>
      <c r="T661" s="4">
        <f t="shared" si="121"/>
        <v>2.0395930061612</v>
      </c>
      <c r="U661" s="1">
        <f t="shared" si="125"/>
        <v>1.3894101410680806</v>
      </c>
      <c r="V661" s="6">
        <f>2*sigma/alpha*corel*(B661/12-1/alpha*(1-EXP(-alpha*Output!B661/12)))</f>
        <v>4.0038297208104821</v>
      </c>
      <c r="W661" s="5">
        <f t="shared" si="122"/>
        <v>-0.6501828650931194</v>
      </c>
      <c r="X661" s="1">
        <f t="shared" si="123"/>
        <v>156.90360653675455</v>
      </c>
      <c r="Y661" s="3">
        <f t="shared" si="124"/>
        <v>7.8667266985836204E-2</v>
      </c>
      <c r="Z661" s="1">
        <f t="shared" si="126"/>
        <v>0.19404644992663445</v>
      </c>
      <c r="AA661" s="8">
        <f t="shared" si="131"/>
        <v>54.083333333333776</v>
      </c>
      <c r="AB661" s="1">
        <v>54.17</v>
      </c>
      <c r="AC661" s="1">
        <v>7.5431604269999997E-3</v>
      </c>
      <c r="AD661" s="8">
        <f t="shared" si="127"/>
        <v>1.1002792914396702</v>
      </c>
      <c r="AE661" s="3">
        <f t="shared" si="128"/>
        <v>1.4586449566965708E-2</v>
      </c>
      <c r="AF661" s="11">
        <f t="shared" si="129"/>
        <v>54.083333333333776</v>
      </c>
      <c r="AG661" s="1">
        <f t="shared" si="130"/>
        <v>0.19404644992663445</v>
      </c>
    </row>
    <row r="662" spans="2:33" ht="15" x14ac:dyDescent="0.25">
      <c r="B662" s="1">
        <v>651</v>
      </c>
      <c r="C662" s="1">
        <v>1.0011553767097974</v>
      </c>
      <c r="D662" s="1">
        <v>1.2885139241894523</v>
      </c>
      <c r="E662" s="1">
        <v>0.77468924328341982</v>
      </c>
      <c r="G662" s="1">
        <v>1.0029120569039123</v>
      </c>
      <c r="H662" s="1">
        <v>8.0146500040137294</v>
      </c>
      <c r="I662" s="1">
        <v>9.0977962614799859E-2</v>
      </c>
      <c r="K662" s="1">
        <v>0.99667145688395897</v>
      </c>
      <c r="L662" s="1">
        <v>8.9256750157749867</v>
      </c>
      <c r="M662" s="1">
        <v>7.9170347331245949E-2</v>
      </c>
      <c r="O662" s="1">
        <v>7.4344114951766446E-3</v>
      </c>
      <c r="P662" s="1">
        <v>0.66810039580752578</v>
      </c>
      <c r="R662" s="1">
        <v>0.28656104257948345</v>
      </c>
      <c r="S662" s="2">
        <f t="shared" si="120"/>
        <v>1.4299639082831825</v>
      </c>
      <c r="T662" s="4">
        <f t="shared" si="121"/>
        <v>2.0447967789925139</v>
      </c>
      <c r="U662" s="1">
        <f t="shared" si="125"/>
        <v>1.3934952651874286</v>
      </c>
      <c r="V662" s="6">
        <f>2*sigma/alpha*corel*(B662/12-1/alpha*(1-EXP(-alpha*Output!B662/12)))</f>
        <v>4.0130550528463642</v>
      </c>
      <c r="W662" s="5">
        <f t="shared" si="122"/>
        <v>-0.65130151380508527</v>
      </c>
      <c r="X662" s="1">
        <f t="shared" si="123"/>
        <v>157.43703935287925</v>
      </c>
      <c r="Y662" s="3">
        <f t="shared" si="124"/>
        <v>7.8657480941997732E-2</v>
      </c>
      <c r="Z662" s="1">
        <f t="shared" si="126"/>
        <v>0.19414455059364308</v>
      </c>
      <c r="AA662" s="8">
        <f t="shared" si="131"/>
        <v>54.166666666667112</v>
      </c>
      <c r="AB662" s="1">
        <v>54.25</v>
      </c>
      <c r="AC662" s="1">
        <v>7.5430075589999999E-3</v>
      </c>
      <c r="AD662" s="8">
        <f t="shared" si="127"/>
        <v>1.0859606382335532</v>
      </c>
      <c r="AE662" s="3">
        <f t="shared" si="128"/>
        <v>1.4396918334488883E-2</v>
      </c>
      <c r="AF662" s="11">
        <f t="shared" si="129"/>
        <v>54.166666666667112</v>
      </c>
      <c r="AG662" s="1">
        <f t="shared" si="130"/>
        <v>0.19414455059364308</v>
      </c>
    </row>
    <row r="663" spans="2:33" ht="15" x14ac:dyDescent="0.25">
      <c r="B663" s="1">
        <v>652</v>
      </c>
      <c r="C663" s="1">
        <v>1.0011562574027257</v>
      </c>
      <c r="D663" s="1">
        <v>1.2903304207895803</v>
      </c>
      <c r="E663" s="1">
        <v>0.77359591303377195</v>
      </c>
      <c r="G663" s="1">
        <v>1.0028578440480511</v>
      </c>
      <c r="H663" s="1">
        <v>8.1129430688263788</v>
      </c>
      <c r="I663" s="1">
        <v>8.9832138270711764E-2</v>
      </c>
      <c r="K663" s="1">
        <v>0.9967616129360467</v>
      </c>
      <c r="L663" s="1">
        <v>9.0817423304125029</v>
      </c>
      <c r="M663" s="1">
        <v>7.7772356522870387E-2</v>
      </c>
      <c r="O663" s="1">
        <v>7.4356494477327631E-3</v>
      </c>
      <c r="P663" s="1">
        <v>0.6676417044059374</v>
      </c>
      <c r="R663" s="1">
        <v>0.28669504441771682</v>
      </c>
      <c r="S663" s="2">
        <f t="shared" ref="S663:S726" si="132">optim_vol_implied(P663,R663)</f>
        <v>1.4317788012548276</v>
      </c>
      <c r="T663" s="4">
        <f t="shared" ref="T663:T726" si="133">S663*S663</f>
        <v>2.0499905357227113</v>
      </c>
      <c r="U663" s="1">
        <f t="shared" si="125"/>
        <v>1.397583901152128</v>
      </c>
      <c r="V663" s="6">
        <f>2*sigma/alpha*corel*(B663/12-1/alpha*(1-EXP(-alpha*Output!B663/12)))</f>
        <v>4.0222843493865046</v>
      </c>
      <c r="W663" s="5">
        <f t="shared" ref="W663:W726" si="134">U663-T663</f>
        <v>-0.65240663457058323</v>
      </c>
      <c r="X663" s="1">
        <f t="shared" ref="X663:X726" si="135">V663*V663-4*W663*B663/12</f>
        <v>157.96847996732637</v>
      </c>
      <c r="Y663" s="3">
        <f t="shared" ref="Y663:Y726" si="136">(-V663+SQRT(X663))/2/B663*12</f>
        <v>7.8646627716008374E-2</v>
      </c>
      <c r="Z663" s="1">
        <f t="shared" si="126"/>
        <v>0.19424182649609917</v>
      </c>
      <c r="AA663" s="8">
        <f t="shared" si="131"/>
        <v>54.250000000000448</v>
      </c>
      <c r="AB663" s="1">
        <v>54.33</v>
      </c>
      <c r="AC663" s="1">
        <v>7.542855161E-3</v>
      </c>
      <c r="AD663" s="8">
        <f t="shared" si="127"/>
        <v>1.0720571326723691</v>
      </c>
      <c r="AE663" s="3">
        <f t="shared" si="128"/>
        <v>1.421288238723439E-2</v>
      </c>
      <c r="AF663" s="11">
        <f t="shared" si="129"/>
        <v>54.250000000000448</v>
      </c>
      <c r="AG663" s="1">
        <f t="shared" si="130"/>
        <v>0.19424182649609917</v>
      </c>
    </row>
    <row r="664" spans="2:33" ht="15" x14ac:dyDescent="0.25">
      <c r="B664" s="1">
        <v>653</v>
      </c>
      <c r="C664" s="1">
        <v>1.0011562224304422</v>
      </c>
      <c r="D664" s="1">
        <v>1.2890369905573382</v>
      </c>
      <c r="E664" s="1">
        <v>0.77436939732559007</v>
      </c>
      <c r="G664" s="1">
        <v>1.0027601103126498</v>
      </c>
      <c r="H664" s="1">
        <v>8.0312761261662722</v>
      </c>
      <c r="I664" s="1">
        <v>9.0701611425980364E-2</v>
      </c>
      <c r="K664" s="1">
        <v>0.99673624869024513</v>
      </c>
      <c r="L664" s="1">
        <v>8.9314367648140607</v>
      </c>
      <c r="M664" s="1">
        <v>7.9034358273261718E-2</v>
      </c>
      <c r="O664" s="1">
        <v>7.4367862420152194E-3</v>
      </c>
      <c r="P664" s="1">
        <v>0.66718686291770402</v>
      </c>
      <c r="R664" s="1">
        <v>0.28680567952769676</v>
      </c>
      <c r="S664" s="2">
        <f t="shared" si="132"/>
        <v>1.4334890036469254</v>
      </c>
      <c r="T664" s="4">
        <f t="shared" si="133"/>
        <v>2.0548907235766549</v>
      </c>
      <c r="U664" s="1">
        <f t="shared" si="125"/>
        <v>1.4016760387768556</v>
      </c>
      <c r="V664" s="6">
        <f>2*sigma/alpha*corel*(B664/12-1/alpha*(1-EXP(-alpha*Output!B664/12)))</f>
        <v>4.0315175972378867</v>
      </c>
      <c r="W664" s="5">
        <f t="shared" si="134"/>
        <v>-0.65321468479979927</v>
      </c>
      <c r="X664" s="1">
        <f t="shared" si="135"/>
        <v>158.43619719492838</v>
      </c>
      <c r="Y664" s="3">
        <f t="shared" si="136"/>
        <v>7.8612188606060812E-2</v>
      </c>
      <c r="Z664" s="1">
        <f t="shared" si="126"/>
        <v>0.19432487552540215</v>
      </c>
      <c r="AA664" s="8">
        <f t="shared" si="131"/>
        <v>54.333333333333783</v>
      </c>
      <c r="AB664" s="1">
        <v>54.42</v>
      </c>
      <c r="AC664" s="1">
        <v>7.5427032300000004E-3</v>
      </c>
      <c r="AD664" s="8">
        <f t="shared" si="127"/>
        <v>1.0591698798478095</v>
      </c>
      <c r="AE664" s="3">
        <f t="shared" si="128"/>
        <v>1.4042311457185748E-2</v>
      </c>
      <c r="AF664" s="11">
        <f t="shared" si="129"/>
        <v>54.333333333333783</v>
      </c>
      <c r="AG664" s="1">
        <f t="shared" si="130"/>
        <v>0.19432487552540215</v>
      </c>
    </row>
    <row r="665" spans="2:33" ht="15" x14ac:dyDescent="0.25">
      <c r="B665" s="1">
        <v>654</v>
      </c>
      <c r="C665" s="1">
        <v>1.0011557139923848</v>
      </c>
      <c r="D665" s="1">
        <v>1.2876434308402638</v>
      </c>
      <c r="E665" s="1">
        <v>0.77520470846347833</v>
      </c>
      <c r="G665" s="1">
        <v>1.002632771606301</v>
      </c>
      <c r="H665" s="1">
        <v>7.9501807824391504</v>
      </c>
      <c r="I665" s="1">
        <v>9.1582385068059782E-2</v>
      </c>
      <c r="K665" s="1">
        <v>0.99667779984238014</v>
      </c>
      <c r="L665" s="1">
        <v>8.9775121622487077</v>
      </c>
      <c r="M665" s="1">
        <v>7.8585678839238407E-2</v>
      </c>
      <c r="O665" s="1">
        <v>7.4378794540311492E-3</v>
      </c>
      <c r="P665" s="1">
        <v>0.666733788621102</v>
      </c>
      <c r="R665" s="1">
        <v>0.28702850439951849</v>
      </c>
      <c r="S665" s="2">
        <f t="shared" si="132"/>
        <v>1.435660216509058</v>
      </c>
      <c r="T665" s="4">
        <f t="shared" si="133"/>
        <v>2.0611202572668352</v>
      </c>
      <c r="U665" s="1">
        <f t="shared" si="125"/>
        <v>1.4057716679002059</v>
      </c>
      <c r="V665" s="6">
        <f>2*sigma/alpha*corel*(B665/12-1/alpha*(1-EXP(-alpha*Output!B665/12)))</f>
        <v>4.0407547832514057</v>
      </c>
      <c r="W665" s="5">
        <f t="shared" si="134"/>
        <v>-0.65534858936662932</v>
      </c>
      <c r="X665" s="1">
        <f t="shared" si="135"/>
        <v>159.19369170029429</v>
      </c>
      <c r="Y665" s="3">
        <f t="shared" si="136"/>
        <v>7.8682967592299355E-2</v>
      </c>
      <c r="Z665" s="1">
        <f t="shared" si="126"/>
        <v>0.19447035845295979</v>
      </c>
      <c r="AA665" s="8">
        <f t="shared" si="131"/>
        <v>54.416666666667119</v>
      </c>
      <c r="AB665" s="1">
        <v>54.5</v>
      </c>
      <c r="AC665" s="1">
        <v>7.5425517649999997E-3</v>
      </c>
      <c r="AD665" s="8">
        <f t="shared" si="127"/>
        <v>1.0467231096885059</v>
      </c>
      <c r="AE665" s="3">
        <f t="shared" si="128"/>
        <v>1.387757276715894E-2</v>
      </c>
      <c r="AF665" s="11">
        <f t="shared" si="129"/>
        <v>54.416666666667119</v>
      </c>
      <c r="AG665" s="1">
        <f t="shared" si="130"/>
        <v>0.19447035845295979</v>
      </c>
    </row>
    <row r="666" spans="2:33" ht="15" x14ac:dyDescent="0.25">
      <c r="B666" s="1">
        <v>655</v>
      </c>
      <c r="C666" s="1">
        <v>1.0011524509460017</v>
      </c>
      <c r="D666" s="1">
        <v>1.2858820656768701</v>
      </c>
      <c r="E666" s="1">
        <v>0.77626379923196154</v>
      </c>
      <c r="G666" s="1">
        <v>1.0021958110054989</v>
      </c>
      <c r="H666" s="1">
        <v>7.8385198934595319</v>
      </c>
      <c r="I666" s="1">
        <v>9.2841955697964718E-2</v>
      </c>
      <c r="K666" s="1">
        <v>0.99668449451507524</v>
      </c>
      <c r="L666" s="1">
        <v>9.0176546820385699</v>
      </c>
      <c r="M666" s="1">
        <v>7.8197728228747446E-2</v>
      </c>
      <c r="O666" s="1">
        <v>7.4388231710184154E-3</v>
      </c>
      <c r="P666" s="1">
        <v>0.66628633743351795</v>
      </c>
      <c r="R666" s="1">
        <v>0.2872566721812449</v>
      </c>
      <c r="S666" s="2">
        <f t="shared" si="132"/>
        <v>1.4378411452522906</v>
      </c>
      <c r="T666" s="4">
        <f t="shared" si="133"/>
        <v>2.0673871589804187</v>
      </c>
      <c r="U666" s="1">
        <f t="shared" si="125"/>
        <v>1.4098707783846791</v>
      </c>
      <c r="V666" s="6">
        <f>2*sigma/alpha*corel*(B666/12-1/alpha*(1-EXP(-alpha*Output!B666/12)))</f>
        <v>4.0499958943217056</v>
      </c>
      <c r="W666" s="5">
        <f t="shared" si="134"/>
        <v>-0.65751638059573958</v>
      </c>
      <c r="X666" s="1">
        <f t="shared" si="135"/>
        <v>159.96020984075912</v>
      </c>
      <c r="Y666" s="3">
        <f t="shared" si="136"/>
        <v>7.8756108131970815E-2</v>
      </c>
      <c r="Z666" s="1">
        <f t="shared" si="126"/>
        <v>0.19461704776054581</v>
      </c>
      <c r="AA666" s="8">
        <f t="shared" si="131"/>
        <v>54.500000000000455</v>
      </c>
      <c r="AB666" s="1">
        <v>54.58</v>
      </c>
      <c r="AC666" s="1">
        <v>7.5424007630000003E-3</v>
      </c>
      <c r="AD666" s="8">
        <f t="shared" si="127"/>
        <v>1.0357759198158494</v>
      </c>
      <c r="AE666" s="3">
        <f t="shared" si="128"/>
        <v>1.3732708621066007E-2</v>
      </c>
      <c r="AF666" s="11">
        <f t="shared" si="129"/>
        <v>54.500000000000455</v>
      </c>
      <c r="AG666" s="1">
        <f t="shared" si="130"/>
        <v>0.19461704776054581</v>
      </c>
    </row>
    <row r="667" spans="2:33" ht="15" x14ac:dyDescent="0.25">
      <c r="B667" s="1">
        <v>656</v>
      </c>
      <c r="C667" s="1">
        <v>1.0011513020373299</v>
      </c>
      <c r="D667" s="1">
        <v>1.2820502248095924</v>
      </c>
      <c r="E667" s="1">
        <v>0.77858115160432984</v>
      </c>
      <c r="G667" s="1">
        <v>1.0020398682050704</v>
      </c>
      <c r="H667" s="1">
        <v>7.6339677290652004</v>
      </c>
      <c r="I667" s="1">
        <v>9.5283437102606311E-2</v>
      </c>
      <c r="K667" s="1">
        <v>0.99676348198021747</v>
      </c>
      <c r="L667" s="1">
        <v>8.6913591675954116</v>
      </c>
      <c r="M667" s="1">
        <v>8.1088416699158686E-2</v>
      </c>
      <c r="O667" s="1">
        <v>7.4397294705960057E-3</v>
      </c>
      <c r="P667" s="1">
        <v>0.66584044377255291</v>
      </c>
      <c r="R667" s="1">
        <v>0.28737320657046</v>
      </c>
      <c r="S667" s="2">
        <f t="shared" si="132"/>
        <v>1.4395584852897485</v>
      </c>
      <c r="T667" s="4">
        <f t="shared" si="133"/>
        <v>2.072328632569715</v>
      </c>
      <c r="U667" s="1">
        <f t="shared" si="125"/>
        <v>1.4139733601166657</v>
      </c>
      <c r="V667" s="6">
        <f>2*sigma/alpha*corel*(B667/12-1/alpha*(1-EXP(-alpha*Output!B667/12)))</f>
        <v>4.0592409173870454</v>
      </c>
      <c r="W667" s="5">
        <f t="shared" si="134"/>
        <v>-0.65835527245304926</v>
      </c>
      <c r="X667" s="1">
        <f t="shared" si="135"/>
        <v>160.43778973512266</v>
      </c>
      <c r="Y667" s="3">
        <f t="shared" si="136"/>
        <v>7.8724052384098603E-2</v>
      </c>
      <c r="Z667" s="1">
        <f t="shared" si="126"/>
        <v>0.19470092602704148</v>
      </c>
      <c r="AA667" s="8">
        <f t="shared" si="131"/>
        <v>54.58333333333379</v>
      </c>
      <c r="AB667" s="1">
        <v>54.67</v>
      </c>
      <c r="AC667" s="1">
        <v>7.5422502220000003E-3</v>
      </c>
      <c r="AD667" s="8">
        <f t="shared" si="127"/>
        <v>1.0252075140399461</v>
      </c>
      <c r="AE667" s="3">
        <f t="shared" si="128"/>
        <v>1.359286000681225E-2</v>
      </c>
      <c r="AF667" s="11">
        <f t="shared" si="129"/>
        <v>54.58333333333379</v>
      </c>
      <c r="AG667" s="1">
        <f t="shared" si="130"/>
        <v>0.19470092602704148</v>
      </c>
    </row>
    <row r="668" spans="2:33" ht="15" x14ac:dyDescent="0.25">
      <c r="B668" s="1">
        <v>657</v>
      </c>
      <c r="C668" s="1">
        <v>1.0011541014755423</v>
      </c>
      <c r="D668" s="1">
        <v>1.2846657063069156</v>
      </c>
      <c r="E668" s="1">
        <v>0.77699324637026768</v>
      </c>
      <c r="G668" s="1">
        <v>1.0021784119011006</v>
      </c>
      <c r="H668" s="1">
        <v>7.77410876560673</v>
      </c>
      <c r="I668" s="1">
        <v>9.3520433096674502E-2</v>
      </c>
      <c r="K668" s="1">
        <v>0.99659418429097557</v>
      </c>
      <c r="L668" s="1">
        <v>8.593691966873239</v>
      </c>
      <c r="M668" s="1">
        <v>8.1964519895757593E-2</v>
      </c>
      <c r="O668" s="1">
        <v>7.4407203634356857E-3</v>
      </c>
      <c r="P668" s="1">
        <v>0.66539166624965984</v>
      </c>
      <c r="R668" s="1">
        <v>0.28752682354471765</v>
      </c>
      <c r="S668" s="2">
        <f t="shared" si="132"/>
        <v>1.4414397807705754</v>
      </c>
      <c r="T668" s="4">
        <f t="shared" si="133"/>
        <v>2.0777486415879247</v>
      </c>
      <c r="U668" s="1">
        <f t="shared" si="125"/>
        <v>1.4180794030064385</v>
      </c>
      <c r="V668" s="6">
        <f>2*sigma/alpha*corel*(B668/12-1/alpha*(1-EXP(-alpha*Output!B668/12)))</f>
        <v>4.0684898394291533</v>
      </c>
      <c r="W668" s="5">
        <f t="shared" si="134"/>
        <v>-0.65966923858148618</v>
      </c>
      <c r="X668" s="1">
        <f t="shared" si="135"/>
        <v>161.02017282288375</v>
      </c>
      <c r="Y668" s="3">
        <f t="shared" si="136"/>
        <v>7.8729521431082417E-2</v>
      </c>
      <c r="Z668" s="1">
        <f t="shared" si="126"/>
        <v>0.19480694771572768</v>
      </c>
      <c r="AA668" s="8">
        <f t="shared" si="131"/>
        <v>54.666666666667126</v>
      </c>
      <c r="AB668" s="1">
        <v>54.75</v>
      </c>
      <c r="AC668" s="1">
        <v>7.5421001399999998E-3</v>
      </c>
      <c r="AD668" s="8">
        <f t="shared" si="127"/>
        <v>1.0137977656431412</v>
      </c>
      <c r="AE668" s="3">
        <f t="shared" si="128"/>
        <v>1.3441849707966637E-2</v>
      </c>
      <c r="AF668" s="11">
        <f t="shared" si="129"/>
        <v>54.666666666667126</v>
      </c>
      <c r="AG668" s="1">
        <f t="shared" si="130"/>
        <v>0.19480694771572768</v>
      </c>
    </row>
    <row r="669" spans="2:33" ht="15" x14ac:dyDescent="0.25">
      <c r="B669" s="1">
        <v>658</v>
      </c>
      <c r="C669" s="1">
        <v>1.0011590989232604</v>
      </c>
      <c r="D669" s="1">
        <v>1.2813167979394233</v>
      </c>
      <c r="E669" s="1">
        <v>0.7790212467698574</v>
      </c>
      <c r="G669" s="1">
        <v>1.0024402960107899</v>
      </c>
      <c r="H669" s="1">
        <v>7.582951558436446</v>
      </c>
      <c r="I669" s="1">
        <v>9.5831486639579355E-2</v>
      </c>
      <c r="K669" s="1">
        <v>0.9963810343315167</v>
      </c>
      <c r="L669" s="1">
        <v>8.6127198338944009</v>
      </c>
      <c r="M669" s="1">
        <v>8.1741320808412038E-2</v>
      </c>
      <c r="O669" s="1">
        <v>7.4416585757994032E-3</v>
      </c>
      <c r="P669" s="1">
        <v>0.66494500217698083</v>
      </c>
      <c r="R669" s="1">
        <v>0.28747461684357517</v>
      </c>
      <c r="S669" s="2">
        <f t="shared" si="132"/>
        <v>1.4424634934491445</v>
      </c>
      <c r="T669" s="4">
        <f t="shared" si="133"/>
        <v>2.08070092993351</v>
      </c>
      <c r="U669" s="1">
        <f t="shared" si="125"/>
        <v>1.422188896988128</v>
      </c>
      <c r="V669" s="6">
        <f>2*sigma/alpha*corel*(B669/12-1/alpha*(1-EXP(-alpha*Output!B669/12)))</f>
        <v>4.077742647473074</v>
      </c>
      <c r="W669" s="5">
        <f t="shared" si="134"/>
        <v>-0.65851203294538196</v>
      </c>
      <c r="X669" s="1">
        <f t="shared" si="135"/>
        <v>161.06162432504118</v>
      </c>
      <c r="Y669" s="3">
        <f t="shared" si="136"/>
        <v>7.8540392090383951E-2</v>
      </c>
      <c r="Z669" s="1">
        <f t="shared" si="126"/>
        <v>0.19479710884869078</v>
      </c>
      <c r="AA669" s="8">
        <f t="shared" si="131"/>
        <v>54.750000000000462</v>
      </c>
      <c r="AB669" s="1">
        <v>54.83</v>
      </c>
      <c r="AC669" s="1">
        <v>7.5419505140000001E-3</v>
      </c>
      <c r="AD669" s="8">
        <f t="shared" si="127"/>
        <v>1.0029193820059683</v>
      </c>
      <c r="AE669" s="3">
        <f t="shared" si="128"/>
        <v>1.3297878050834004E-2</v>
      </c>
      <c r="AF669" s="11">
        <f t="shared" si="129"/>
        <v>54.750000000000462</v>
      </c>
      <c r="AG669" s="1">
        <f t="shared" si="130"/>
        <v>0.19479710884869078</v>
      </c>
    </row>
    <row r="670" spans="2:33" ht="15" x14ac:dyDescent="0.25">
      <c r="B670" s="1">
        <v>659</v>
      </c>
      <c r="C670" s="1">
        <v>1.0011662797331604</v>
      </c>
      <c r="D670" s="1">
        <v>1.2818817735411987</v>
      </c>
      <c r="E670" s="1">
        <v>0.77867511431698755</v>
      </c>
      <c r="G670" s="1">
        <v>1.0029549287456754</v>
      </c>
      <c r="H670" s="1">
        <v>7.607376316942303</v>
      </c>
      <c r="I670" s="1">
        <v>9.5477489339192576E-2</v>
      </c>
      <c r="K670" s="1">
        <v>0.99642306592053931</v>
      </c>
      <c r="L670" s="1">
        <v>8.5287294646330345</v>
      </c>
      <c r="M670" s="1">
        <v>8.2502430197029616E-2</v>
      </c>
      <c r="O670" s="1">
        <v>7.4424964134847844E-3</v>
      </c>
      <c r="P670" s="1">
        <v>0.6645021969214554</v>
      </c>
      <c r="R670" s="1">
        <v>0.28759889458521037</v>
      </c>
      <c r="S670" s="2">
        <f t="shared" si="132"/>
        <v>1.4442104673920453</v>
      </c>
      <c r="T670" s="4">
        <f t="shared" si="133"/>
        <v>2.0857438741247498</v>
      </c>
      <c r="U670" s="1">
        <f t="shared" si="125"/>
        <v>1.4263018320197176</v>
      </c>
      <c r="V670" s="6">
        <f>2*sigma/alpha*corel*(B670/12-1/alpha*(1-EXP(-alpha*Output!B670/12)))</f>
        <v>4.0869993285870336</v>
      </c>
      <c r="W670" s="5">
        <f t="shared" si="134"/>
        <v>-0.65944204210503221</v>
      </c>
      <c r="X670" s="1">
        <f t="shared" si="135"/>
        <v>161.56099876094294</v>
      </c>
      <c r="Y670" s="3">
        <f t="shared" si="136"/>
        <v>7.851592202847045E-2</v>
      </c>
      <c r="Z670" s="1">
        <f t="shared" si="126"/>
        <v>0.19488499581178625</v>
      </c>
      <c r="AA670" s="8">
        <f t="shared" si="131"/>
        <v>54.833333333333798</v>
      </c>
      <c r="AB670" s="1">
        <v>54.92</v>
      </c>
      <c r="AC670" s="1">
        <v>7.5418013440000002E-3</v>
      </c>
      <c r="AD670" s="8">
        <f t="shared" si="127"/>
        <v>0.99304930515215806</v>
      </c>
      <c r="AE670" s="3">
        <f t="shared" si="128"/>
        <v>1.3167269460660009E-2</v>
      </c>
      <c r="AF670" s="11">
        <f t="shared" si="129"/>
        <v>54.833333333333798</v>
      </c>
      <c r="AG670" s="1">
        <f t="shared" si="130"/>
        <v>0.19488499581178625</v>
      </c>
    </row>
    <row r="671" spans="2:33" ht="15" x14ac:dyDescent="0.25">
      <c r="B671" s="1">
        <v>660</v>
      </c>
      <c r="C671" s="1">
        <v>1.0011717503998434</v>
      </c>
      <c r="D671" s="1">
        <v>1.2826551820102439</v>
      </c>
      <c r="E671" s="1">
        <v>0.77820280340027204</v>
      </c>
      <c r="G671" s="1">
        <v>1.0032726663897182</v>
      </c>
      <c r="H671" s="1">
        <v>7.6533154213433781</v>
      </c>
      <c r="I671" s="1">
        <v>9.4858370386963653E-2</v>
      </c>
      <c r="K671" s="1">
        <v>0.99653711263020794</v>
      </c>
      <c r="L671" s="1">
        <v>8.421138074778872</v>
      </c>
      <c r="M671" s="1">
        <v>8.3510192007154913E-2</v>
      </c>
      <c r="O671" s="1">
        <v>7.4434002417474009E-3</v>
      </c>
      <c r="P671" s="1">
        <v>0.66405718362535504</v>
      </c>
      <c r="R671" s="1">
        <v>0.28766193945266755</v>
      </c>
      <c r="S671" s="2">
        <f t="shared" si="132"/>
        <v>1.4457112366622364</v>
      </c>
      <c r="T671" s="4">
        <f t="shared" si="133"/>
        <v>2.0900809798114532</v>
      </c>
      <c r="U671" s="1">
        <f t="shared" si="125"/>
        <v>1.4304181980830211</v>
      </c>
      <c r="V671" s="6">
        <f>2*sigma/alpha*corel*(B671/12-1/alpha*(1-EXP(-alpha*Output!B671/12)))</f>
        <v>4.0962598698822941</v>
      </c>
      <c r="W671" s="5">
        <f t="shared" si="134"/>
        <v>-0.65966278172843218</v>
      </c>
      <c r="X671" s="1">
        <f t="shared" si="135"/>
        <v>161.90515690186317</v>
      </c>
      <c r="Y671" s="3">
        <f t="shared" si="136"/>
        <v>7.8435780520272863E-2</v>
      </c>
      <c r="Z671" s="1">
        <f t="shared" si="126"/>
        <v>0.19493966338384869</v>
      </c>
      <c r="AA671" s="8">
        <f t="shared" si="131"/>
        <v>54.916666666667133</v>
      </c>
      <c r="AB671" s="1">
        <v>55</v>
      </c>
      <c r="AC671" s="1">
        <v>7.5416526269999999E-3</v>
      </c>
      <c r="AD671" s="8">
        <f t="shared" si="127"/>
        <v>0.98252385252598984</v>
      </c>
      <c r="AE671" s="3">
        <f t="shared" si="128"/>
        <v>1.3027964839012066E-2</v>
      </c>
      <c r="AF671" s="11">
        <f t="shared" si="129"/>
        <v>54.916666666667133</v>
      </c>
      <c r="AG671" s="1">
        <f t="shared" si="130"/>
        <v>0.19493966338384869</v>
      </c>
    </row>
    <row r="672" spans="2:33" ht="15" x14ac:dyDescent="0.25">
      <c r="B672" s="1">
        <v>661</v>
      </c>
      <c r="C672" s="1">
        <v>1.0011726682145821</v>
      </c>
      <c r="D672" s="1">
        <v>1.2844282796640478</v>
      </c>
      <c r="E672" s="1">
        <v>0.77712573842719235</v>
      </c>
      <c r="G672" s="1">
        <v>1.0032404095259368</v>
      </c>
      <c r="H672" s="1">
        <v>7.7493616241686336</v>
      </c>
      <c r="I672" s="1">
        <v>9.36372658026636E-2</v>
      </c>
      <c r="K672" s="1">
        <v>0.99651112243998585</v>
      </c>
      <c r="L672" s="1">
        <v>8.8311464643601809</v>
      </c>
      <c r="M672" s="1">
        <v>7.959412431155885E-2</v>
      </c>
      <c r="O672" s="1">
        <v>7.444216360098406E-3</v>
      </c>
      <c r="P672" s="1">
        <v>0.66361557454103404</v>
      </c>
      <c r="R672" s="1">
        <v>0.28771021226536236</v>
      </c>
      <c r="S672" s="2">
        <f t="shared" si="132"/>
        <v>1.4471428168717313</v>
      </c>
      <c r="T672" s="4">
        <f t="shared" si="133"/>
        <v>2.094222332423449</v>
      </c>
      <c r="U672" s="1">
        <f t="shared" si="125"/>
        <v>1.4345379851836713</v>
      </c>
      <c r="V672" s="6">
        <f>2*sigma/alpha*corel*(B672/12-1/alpha*(1-EXP(-alpha*Output!B672/12)))</f>
        <v>4.1055242585130038</v>
      </c>
      <c r="W672" s="5">
        <f t="shared" si="134"/>
        <v>-0.65968434723977776</v>
      </c>
      <c r="X672" s="1">
        <f t="shared" si="135"/>
        <v>162.20578061240309</v>
      </c>
      <c r="Y672" s="3">
        <f t="shared" si="136"/>
        <v>7.8340203297435379E-2</v>
      </c>
      <c r="Z672" s="1">
        <f t="shared" si="126"/>
        <v>0.19498503759300564</v>
      </c>
      <c r="AA672" s="8">
        <f t="shared" si="131"/>
        <v>55.000000000000469</v>
      </c>
      <c r="AB672" s="1">
        <v>55.08</v>
      </c>
      <c r="AC672" s="1">
        <v>7.5415043600000004E-3</v>
      </c>
      <c r="AD672" s="8">
        <f t="shared" si="127"/>
        <v>0.97287999901594402</v>
      </c>
      <c r="AE672" s="3">
        <f t="shared" si="128"/>
        <v>1.2900343917800825E-2</v>
      </c>
      <c r="AF672" s="11">
        <f t="shared" si="129"/>
        <v>55.000000000000469</v>
      </c>
      <c r="AG672" s="1">
        <f t="shared" si="130"/>
        <v>0.19498503759300564</v>
      </c>
    </row>
    <row r="673" spans="2:33" ht="15" x14ac:dyDescent="0.25">
      <c r="B673" s="1">
        <v>662</v>
      </c>
      <c r="C673" s="1">
        <v>1.0011736855798852</v>
      </c>
      <c r="D673" s="1">
        <v>1.2841487634451905</v>
      </c>
      <c r="E673" s="1">
        <v>0.77729209829455592</v>
      </c>
      <c r="G673" s="1">
        <v>1.003223630546463</v>
      </c>
      <c r="H673" s="1">
        <v>7.7341627649287199</v>
      </c>
      <c r="I673" s="1">
        <v>9.3775787866421628E-2</v>
      </c>
      <c r="K673" s="1">
        <v>0.9963999346739747</v>
      </c>
      <c r="L673" s="1">
        <v>8.8026996351000637</v>
      </c>
      <c r="M673" s="1">
        <v>7.9808212384262028E-2</v>
      </c>
      <c r="O673" s="1">
        <v>7.444967296036371E-3</v>
      </c>
      <c r="P673" s="1">
        <v>0.6631765536392622</v>
      </c>
      <c r="R673" s="1">
        <v>0.28783625731153989</v>
      </c>
      <c r="S673" s="2">
        <f t="shared" si="132"/>
        <v>1.4488927791236865</v>
      </c>
      <c r="T673" s="4">
        <f t="shared" si="133"/>
        <v>2.0992902853967599</v>
      </c>
      <c r="U673" s="1">
        <f t="shared" si="125"/>
        <v>1.438661183351102</v>
      </c>
      <c r="V673" s="6">
        <f>2*sigma/alpha*corel*(B673/12-1/alpha*(1-EXP(-alpha*Output!B673/12)))</f>
        <v>4.1147924816760604</v>
      </c>
      <c r="W673" s="5">
        <f t="shared" si="134"/>
        <v>-0.66062910204565783</v>
      </c>
      <c r="X673" s="1">
        <f t="shared" si="135"/>
        <v>162.7103390186663</v>
      </c>
      <c r="Y673" s="3">
        <f t="shared" si="136"/>
        <v>7.8317255069819389E-2</v>
      </c>
      <c r="Z673" s="1">
        <f t="shared" si="126"/>
        <v>0.19507332041957534</v>
      </c>
      <c r="AA673" s="8">
        <f t="shared" si="131"/>
        <v>55.083333333333805</v>
      </c>
      <c r="AB673" s="1">
        <v>55.17</v>
      </c>
      <c r="AC673" s="1">
        <v>7.5413565409999999E-3</v>
      </c>
      <c r="AD673" s="8">
        <f t="shared" si="127"/>
        <v>0.96389244963628917</v>
      </c>
      <c r="AE673" s="3">
        <f t="shared" si="128"/>
        <v>1.2781419952708865E-2</v>
      </c>
      <c r="AF673" s="11">
        <f t="shared" si="129"/>
        <v>55.083333333333805</v>
      </c>
      <c r="AG673" s="1">
        <f t="shared" si="130"/>
        <v>0.19507332041957534</v>
      </c>
    </row>
    <row r="674" spans="2:33" ht="15" x14ac:dyDescent="0.25">
      <c r="B674" s="1">
        <v>663</v>
      </c>
      <c r="C674" s="1">
        <v>1.0011822068780749</v>
      </c>
      <c r="D674" s="1">
        <v>1.2919508118816758</v>
      </c>
      <c r="E674" s="1">
        <v>0.77259527536447092</v>
      </c>
      <c r="G674" s="1">
        <v>1.0038607729004447</v>
      </c>
      <c r="H674" s="1">
        <v>8.1692858280971006</v>
      </c>
      <c r="I674" s="1">
        <v>8.8737933997850085E-2</v>
      </c>
      <c r="K674" s="1">
        <v>0.99618952594460342</v>
      </c>
      <c r="L674" s="1">
        <v>9.10425372427102</v>
      </c>
      <c r="M674" s="1">
        <v>7.7123714520561742E-2</v>
      </c>
      <c r="O674" s="1">
        <v>7.4457826975766524E-3</v>
      </c>
      <c r="P674" s="1">
        <v>0.66273537974508512</v>
      </c>
      <c r="R674" s="1">
        <v>0.28797009277279811</v>
      </c>
      <c r="S674" s="2">
        <f t="shared" si="132"/>
        <v>1.4506834985575796</v>
      </c>
      <c r="T674" s="4">
        <f t="shared" si="133"/>
        <v>2.1044826129872591</v>
      </c>
      <c r="U674" s="1">
        <f t="shared" si="125"/>
        <v>1.4427877826385327</v>
      </c>
      <c r="V674" s="6">
        <f>2*sigma/alpha*corel*(B674/12-1/alpha*(1-EXP(-alpha*Output!B674/12)))</f>
        <v>4.1240645266109732</v>
      </c>
      <c r="W674" s="5">
        <f t="shared" si="134"/>
        <v>-0.66169483034872645</v>
      </c>
      <c r="X674" s="1">
        <f t="shared" si="135"/>
        <v>163.24246572671956</v>
      </c>
      <c r="Y674" s="3">
        <f t="shared" si="136"/>
        <v>7.8303827785254049E-2</v>
      </c>
      <c r="Z674" s="1">
        <f t="shared" si="126"/>
        <v>0.19516706443581452</v>
      </c>
      <c r="AA674" s="8">
        <f t="shared" si="131"/>
        <v>55.16666666666714</v>
      </c>
      <c r="AB674" s="1">
        <v>55.25</v>
      </c>
      <c r="AC674" s="1">
        <v>7.5412091700000003E-3</v>
      </c>
      <c r="AD674" s="8">
        <f t="shared" si="127"/>
        <v>0.95426472423347852</v>
      </c>
      <c r="AE674" s="3">
        <f t="shared" si="128"/>
        <v>1.265400153638065E-2</v>
      </c>
      <c r="AF674" s="11">
        <f t="shared" si="129"/>
        <v>55.16666666666714</v>
      </c>
      <c r="AG674" s="1">
        <f t="shared" si="130"/>
        <v>0.19516706443581452</v>
      </c>
    </row>
    <row r="675" spans="2:33" ht="15" x14ac:dyDescent="0.25">
      <c r="B675" s="1">
        <v>664</v>
      </c>
      <c r="C675" s="1">
        <v>1.0011848654591247</v>
      </c>
      <c r="D675" s="1">
        <v>1.2951016433588611</v>
      </c>
      <c r="E675" s="1">
        <v>0.77071286229993841</v>
      </c>
      <c r="G675" s="1">
        <v>1.0039381156972154</v>
      </c>
      <c r="H675" s="1">
        <v>8.3515330843320452</v>
      </c>
      <c r="I675" s="1">
        <v>8.6759406493526578E-2</v>
      </c>
      <c r="K675" s="1">
        <v>0.99621661493110647</v>
      </c>
      <c r="L675" s="1">
        <v>9.3643967066554819</v>
      </c>
      <c r="M675" s="1">
        <v>7.4940302871124576E-2</v>
      </c>
      <c r="O675" s="1">
        <v>7.4466006224694859E-3</v>
      </c>
      <c r="P675" s="1">
        <v>0.66229431685980211</v>
      </c>
      <c r="R675" s="1">
        <v>0.28808299675770577</v>
      </c>
      <c r="S675" s="2">
        <f t="shared" si="132"/>
        <v>1.4523888774154055</v>
      </c>
      <c r="T675" s="4">
        <f t="shared" si="133"/>
        <v>2.1094334512399815</v>
      </c>
      <c r="U675" s="1">
        <f t="shared" si="125"/>
        <v>1.4469177731229506</v>
      </c>
      <c r="V675" s="6">
        <f>2*sigma/alpha*corel*(B675/12-1/alpha*(1-EXP(-alpha*Output!B675/12)))</f>
        <v>4.1333403805997078</v>
      </c>
      <c r="W675" s="5">
        <f t="shared" si="134"/>
        <v>-0.66251567811703094</v>
      </c>
      <c r="X675" s="1">
        <f t="shared" si="135"/>
        <v>163.72130612513232</v>
      </c>
      <c r="Y675" s="3">
        <f t="shared" si="136"/>
        <v>7.827128584233134E-2</v>
      </c>
      <c r="Z675" s="1">
        <f t="shared" si="126"/>
        <v>0.19524930547243835</v>
      </c>
      <c r="AA675" s="8">
        <f t="shared" si="131"/>
        <v>55.250000000000476</v>
      </c>
      <c r="AB675" s="1">
        <v>55.33</v>
      </c>
      <c r="AC675" s="1">
        <v>7.5410622429999997E-3</v>
      </c>
      <c r="AD675" s="8">
        <f t="shared" si="127"/>
        <v>0.94461620530513801</v>
      </c>
      <c r="AE675" s="3">
        <f t="shared" si="128"/>
        <v>1.2526301665020457E-2</v>
      </c>
      <c r="AF675" s="11">
        <f t="shared" si="129"/>
        <v>55.250000000000476</v>
      </c>
      <c r="AG675" s="1">
        <f t="shared" si="130"/>
        <v>0.19524930547243835</v>
      </c>
    </row>
    <row r="676" spans="2:33" ht="15" x14ac:dyDescent="0.25">
      <c r="B676" s="1">
        <v>665</v>
      </c>
      <c r="C676" s="1">
        <v>1.0011857781733566</v>
      </c>
      <c r="D676" s="1">
        <v>1.2983819141421218</v>
      </c>
      <c r="E676" s="1">
        <v>0.76876293486696545</v>
      </c>
      <c r="G676" s="1">
        <v>1.0039061291116917</v>
      </c>
      <c r="H676" s="1">
        <v>8.5368925250864027</v>
      </c>
      <c r="I676" s="1">
        <v>8.483446710788127E-2</v>
      </c>
      <c r="K676" s="1">
        <v>0.99605726220497826</v>
      </c>
      <c r="L676" s="1">
        <v>9.1391293428593432</v>
      </c>
      <c r="M676" s="1">
        <v>7.6748231313638282E-2</v>
      </c>
      <c r="O676" s="1">
        <v>7.4474117084481423E-3</v>
      </c>
      <c r="P676" s="1">
        <v>0.66185370812154742</v>
      </c>
      <c r="R676" s="1">
        <v>0.28804252307221478</v>
      </c>
      <c r="S676" s="2">
        <f t="shared" si="132"/>
        <v>1.4534543803197872</v>
      </c>
      <c r="T676" s="4">
        <f t="shared" si="133"/>
        <v>2.1125296356707768</v>
      </c>
      <c r="U676" s="1">
        <f t="shared" si="125"/>
        <v>1.4510511449050942</v>
      </c>
      <c r="V676" s="6">
        <f>2*sigma/alpha*corel*(B676/12-1/alpha*(1-EXP(-alpha*Output!B676/12)))</f>
        <v>4.1426200309665564</v>
      </c>
      <c r="W676" s="5">
        <f t="shared" si="134"/>
        <v>-0.66147849076568255</v>
      </c>
      <c r="X676" s="1">
        <f t="shared" si="135"/>
        <v>163.78903284069165</v>
      </c>
      <c r="Y676" s="3">
        <f t="shared" si="136"/>
        <v>7.809373452195599E-2</v>
      </c>
      <c r="Z676" s="1">
        <f t="shared" si="126"/>
        <v>0.19524557749383528</v>
      </c>
      <c r="AA676" s="8">
        <f t="shared" si="131"/>
        <v>55.333333333333812</v>
      </c>
      <c r="AB676" s="1">
        <v>55.42</v>
      </c>
      <c r="AC676" s="1">
        <v>7.540915758E-3</v>
      </c>
      <c r="AD676" s="8">
        <f t="shared" si="127"/>
        <v>0.93504049551857737</v>
      </c>
      <c r="AE676" s="3">
        <f t="shared" si="128"/>
        <v>1.2399561611951604E-2</v>
      </c>
      <c r="AF676" s="11">
        <f t="shared" si="129"/>
        <v>55.333333333333812</v>
      </c>
      <c r="AG676" s="1">
        <f t="shared" si="130"/>
        <v>0.19524557749383528</v>
      </c>
    </row>
    <row r="677" spans="2:33" ht="15" x14ac:dyDescent="0.25">
      <c r="B677" s="1">
        <v>666</v>
      </c>
      <c r="C677" s="1">
        <v>1.0011887353648139</v>
      </c>
      <c r="D677" s="1">
        <v>1.2975231708870871</v>
      </c>
      <c r="E677" s="1">
        <v>0.76926894609620133</v>
      </c>
      <c r="G677" s="1">
        <v>1.0040317075986709</v>
      </c>
      <c r="H677" s="1">
        <v>8.4845730388608747</v>
      </c>
      <c r="I677" s="1">
        <v>8.5316204639975857E-2</v>
      </c>
      <c r="K677" s="1">
        <v>0.99601066654900705</v>
      </c>
      <c r="L677" s="1">
        <v>9.0442562162967146</v>
      </c>
      <c r="M677" s="1">
        <v>7.7508592657725001E-2</v>
      </c>
      <c r="O677" s="1">
        <v>7.4482447149069328E-3</v>
      </c>
      <c r="P677" s="1">
        <v>0.66141249843324201</v>
      </c>
      <c r="R677" s="1">
        <v>0.28820788883657655</v>
      </c>
      <c r="S677" s="2">
        <f t="shared" si="132"/>
        <v>1.4553832579880035</v>
      </c>
      <c r="T677" s="4">
        <f t="shared" si="133"/>
        <v>2.1181404276317757</v>
      </c>
      <c r="U677" s="1">
        <f t="shared" si="125"/>
        <v>1.455187888109438</v>
      </c>
      <c r="V677" s="6">
        <f>2*sigma/alpha*corel*(B677/12-1/alpha*(1-EXP(-alpha*Output!B677/12)))</f>
        <v>4.1519034650779938</v>
      </c>
      <c r="W677" s="5">
        <f t="shared" si="134"/>
        <v>-0.66295253952233768</v>
      </c>
      <c r="X677" s="1">
        <f t="shared" si="135"/>
        <v>164.41376615728561</v>
      </c>
      <c r="Y677" s="3">
        <f t="shared" si="136"/>
        <v>7.8112519706506928E-2</v>
      </c>
      <c r="Z677" s="1">
        <f t="shared" si="126"/>
        <v>0.19535785725115262</v>
      </c>
      <c r="AA677" s="8">
        <f t="shared" si="131"/>
        <v>55.416666666667147</v>
      </c>
      <c r="AB677" s="1">
        <v>55.5</v>
      </c>
      <c r="AC677" s="1">
        <v>7.5407697139999999E-3</v>
      </c>
      <c r="AD677" s="8">
        <f t="shared" si="127"/>
        <v>0.9252499909306704</v>
      </c>
      <c r="AE677" s="3">
        <f t="shared" si="128"/>
        <v>1.2269967470467571E-2</v>
      </c>
      <c r="AF677" s="11">
        <f t="shared" si="129"/>
        <v>55.416666666667147</v>
      </c>
      <c r="AG677" s="1">
        <f t="shared" si="130"/>
        <v>0.19535785725115262</v>
      </c>
    </row>
    <row r="678" spans="2:33" ht="15" x14ac:dyDescent="0.25">
      <c r="B678" s="1">
        <v>667</v>
      </c>
      <c r="C678" s="1">
        <v>1.0011881361517123</v>
      </c>
      <c r="D678" s="1">
        <v>1.2961377736017505</v>
      </c>
      <c r="E678" s="1">
        <v>0.77008840330152717</v>
      </c>
      <c r="G678" s="1">
        <v>1.0038087398190809</v>
      </c>
      <c r="H678" s="1">
        <v>8.4020499659071142</v>
      </c>
      <c r="I678" s="1">
        <v>8.6112387005751551E-2</v>
      </c>
      <c r="K678" s="1">
        <v>0.99618875345511859</v>
      </c>
      <c r="L678" s="1">
        <v>9.2034399992923781</v>
      </c>
      <c r="M678" s="1">
        <v>7.6131808874468507E-2</v>
      </c>
      <c r="O678" s="1">
        <v>7.449109988587518E-3</v>
      </c>
      <c r="P678" s="1">
        <v>0.66097030563736825</v>
      </c>
      <c r="R678" s="1">
        <v>0.28825995127767329</v>
      </c>
      <c r="S678" s="2">
        <f t="shared" si="132"/>
        <v>1.4568432575451198</v>
      </c>
      <c r="T678" s="4">
        <f t="shared" si="133"/>
        <v>2.1223922770546761</v>
      </c>
      <c r="U678" s="1">
        <f t="shared" si="125"/>
        <v>1.4593279928841696</v>
      </c>
      <c r="V678" s="6">
        <f>2*sigma/alpha*corel*(B678/12-1/alpha*(1-EXP(-alpha*Output!B678/12)))</f>
        <v>4.1611906703425348</v>
      </c>
      <c r="W678" s="5">
        <f t="shared" si="134"/>
        <v>-0.66306428417050656</v>
      </c>
      <c r="X678" s="1">
        <f t="shared" si="135"/>
        <v>164.73680030885504</v>
      </c>
      <c r="Y678" s="3">
        <f t="shared" si="136"/>
        <v>7.8025122507230843E-2</v>
      </c>
      <c r="Z678" s="1">
        <f t="shared" si="126"/>
        <v>0.19540718769401225</v>
      </c>
      <c r="AA678" s="8">
        <f t="shared" si="131"/>
        <v>55.500000000000483</v>
      </c>
      <c r="AB678" s="1">
        <v>55.58</v>
      </c>
      <c r="AC678" s="1">
        <v>7.5406241090000001E-3</v>
      </c>
      <c r="AD678" s="8">
        <f t="shared" si="127"/>
        <v>0.9151412041248207</v>
      </c>
      <c r="AE678" s="3">
        <f t="shared" si="128"/>
        <v>1.213614670213527E-2</v>
      </c>
      <c r="AF678" s="11">
        <f t="shared" si="129"/>
        <v>55.500000000000483</v>
      </c>
      <c r="AG678" s="1">
        <f t="shared" si="130"/>
        <v>0.19540718769401225</v>
      </c>
    </row>
    <row r="679" spans="2:33" ht="15" x14ac:dyDescent="0.25">
      <c r="B679" s="1">
        <v>668</v>
      </c>
      <c r="C679" s="1">
        <v>1.0011835987552051</v>
      </c>
      <c r="D679" s="1">
        <v>1.2968041496562666</v>
      </c>
      <c r="E679" s="1">
        <v>0.76968989484514949</v>
      </c>
      <c r="G679" s="1">
        <v>1.0032863417638149</v>
      </c>
      <c r="H679" s="1">
        <v>8.4422073844316774</v>
      </c>
      <c r="I679" s="1">
        <v>8.566121641298198E-2</v>
      </c>
      <c r="K679" s="1">
        <v>0.99617348724058596</v>
      </c>
      <c r="L679" s="1">
        <v>9.2623982247576535</v>
      </c>
      <c r="M679" s="1">
        <v>7.5606060904413019E-2</v>
      </c>
      <c r="O679" s="1">
        <v>7.4499770587033269E-3</v>
      </c>
      <c r="P679" s="1">
        <v>0.6605282471629853</v>
      </c>
      <c r="R679" s="1">
        <v>0.28826282707972811</v>
      </c>
      <c r="S679" s="2">
        <f t="shared" si="132"/>
        <v>1.4580985322082294</v>
      </c>
      <c r="T679" s="4">
        <f t="shared" si="133"/>
        <v>2.126051329627793</v>
      </c>
      <c r="U679" s="1">
        <f t="shared" si="125"/>
        <v>1.4634714494011756</v>
      </c>
      <c r="V679" s="6">
        <f>2*sigma/alpha*corel*(B679/12-1/alpha*(1-EXP(-alpha*Output!B679/12)))</f>
        <v>4.1704816342105966</v>
      </c>
      <c r="W679" s="5">
        <f t="shared" si="134"/>
        <v>-0.6625798802266174</v>
      </c>
      <c r="X679" s="1">
        <f t="shared" si="135"/>
        <v>164.92737039174801</v>
      </c>
      <c r="Y679" s="3">
        <f t="shared" si="136"/>
        <v>7.7891528709079602E-2</v>
      </c>
      <c r="Z679" s="1">
        <f t="shared" si="126"/>
        <v>0.19542911465692386</v>
      </c>
      <c r="AA679" s="8">
        <f t="shared" si="131"/>
        <v>55.583333333333819</v>
      </c>
      <c r="AB679" s="1">
        <v>55.67</v>
      </c>
      <c r="AC679" s="1">
        <v>7.5404789400000003E-3</v>
      </c>
      <c r="AD679" s="8">
        <f t="shared" si="127"/>
        <v>0.90501881296673437</v>
      </c>
      <c r="AE679" s="3">
        <f t="shared" si="128"/>
        <v>1.2002139654099138E-2</v>
      </c>
      <c r="AF679" s="11">
        <f t="shared" si="129"/>
        <v>55.583333333333819</v>
      </c>
      <c r="AG679" s="1">
        <f t="shared" si="130"/>
        <v>0.19542911465692386</v>
      </c>
    </row>
    <row r="680" spans="2:33" ht="15" x14ac:dyDescent="0.25">
      <c r="B680" s="1">
        <v>669</v>
      </c>
      <c r="C680" s="1">
        <v>1.0011892327356231</v>
      </c>
      <c r="D680" s="1">
        <v>1.2994992559080136</v>
      </c>
      <c r="E680" s="1">
        <v>0.76809080198246926</v>
      </c>
      <c r="G680" s="1">
        <v>1.0036469876901277</v>
      </c>
      <c r="H680" s="1">
        <v>8.5913151131203094</v>
      </c>
      <c r="I680" s="1">
        <v>8.4133696254636195E-2</v>
      </c>
      <c r="K680" s="1">
        <v>0.99597857141612545</v>
      </c>
      <c r="L680" s="1">
        <v>9.5851853070912849</v>
      </c>
      <c r="M680" s="1">
        <v>7.30195171428209E-2</v>
      </c>
      <c r="O680" s="1">
        <v>7.4508504674548164E-3</v>
      </c>
      <c r="P680" s="1">
        <v>0.66008615568754536</v>
      </c>
      <c r="R680" s="1">
        <v>0.28851969824411688</v>
      </c>
      <c r="S680" s="2">
        <f t="shared" si="132"/>
        <v>1.4604203601392627</v>
      </c>
      <c r="T680" s="4">
        <f t="shared" si="133"/>
        <v>2.1328276283092937</v>
      </c>
      <c r="U680" s="1">
        <f t="shared" si="125"/>
        <v>1.4676182478560245</v>
      </c>
      <c r="V680" s="6">
        <f>2*sigma/alpha*corel*(B680/12-1/alpha*(1-EXP(-alpha*Output!B680/12)))</f>
        <v>4.1797763441743587</v>
      </c>
      <c r="W680" s="5">
        <f t="shared" si="134"/>
        <v>-0.66520938045326927</v>
      </c>
      <c r="X680" s="1">
        <f t="shared" si="135"/>
        <v>165.81222212839862</v>
      </c>
      <c r="Y680" s="3">
        <f t="shared" si="136"/>
        <v>7.8000297093204565E-2</v>
      </c>
      <c r="Z680" s="1">
        <f t="shared" si="126"/>
        <v>0.19559396160722106</v>
      </c>
      <c r="AA680" s="8">
        <f t="shared" si="131"/>
        <v>55.666666666667155</v>
      </c>
      <c r="AB680" s="1">
        <v>55.75</v>
      </c>
      <c r="AC680" s="1">
        <v>7.5403342060000001E-3</v>
      </c>
      <c r="AD680" s="8">
        <f t="shared" si="127"/>
        <v>0.89483738545183789</v>
      </c>
      <c r="AE680" s="3">
        <f t="shared" si="128"/>
        <v>1.1867343820646534E-2</v>
      </c>
      <c r="AF680" s="11">
        <f t="shared" si="129"/>
        <v>55.666666666667155</v>
      </c>
      <c r="AG680" s="1">
        <f t="shared" si="130"/>
        <v>0.19559396160722106</v>
      </c>
    </row>
    <row r="681" spans="2:33" ht="15" x14ac:dyDescent="0.25">
      <c r="B681" s="1">
        <v>670</v>
      </c>
      <c r="C681" s="1">
        <v>1.0011898726588824</v>
      </c>
      <c r="D681" s="1">
        <v>1.3016093203241663</v>
      </c>
      <c r="E681" s="1">
        <v>0.76684284689086324</v>
      </c>
      <c r="G681" s="1">
        <v>1.0036071778354061</v>
      </c>
      <c r="H681" s="1">
        <v>8.7194831998805338</v>
      </c>
      <c r="I681" s="1">
        <v>8.2856814889040481E-2</v>
      </c>
      <c r="K681" s="1">
        <v>0.99633954725987151</v>
      </c>
      <c r="L681" s="1">
        <v>9.5401998902179734</v>
      </c>
      <c r="M681" s="1">
        <v>7.3327611115685185E-2</v>
      </c>
      <c r="O681" s="1">
        <v>7.4518072567081508E-3</v>
      </c>
      <c r="P681" s="1">
        <v>0.65964119317244252</v>
      </c>
      <c r="R681" s="1">
        <v>0.28870021161632631</v>
      </c>
      <c r="S681" s="2">
        <f t="shared" si="132"/>
        <v>1.4624332037396621</v>
      </c>
      <c r="T681" s="4">
        <f t="shared" si="133"/>
        <v>2.138710875400252</v>
      </c>
      <c r="U681" s="1">
        <f t="shared" si="125"/>
        <v>1.4717683784679423</v>
      </c>
      <c r="V681" s="6">
        <f>2*sigma/alpha*corel*(B681/12-1/alpha*(1-EXP(-alpha*Output!B681/12)))</f>
        <v>4.1890747877676251</v>
      </c>
      <c r="W681" s="5">
        <f t="shared" si="134"/>
        <v>-0.66694249693230967</v>
      </c>
      <c r="X681" s="1">
        <f t="shared" si="135"/>
        <v>166.49883855905955</v>
      </c>
      <c r="Y681" s="3">
        <f t="shared" si="136"/>
        <v>7.8039117383243664E-2</v>
      </c>
      <c r="Z681" s="1">
        <f t="shared" si="126"/>
        <v>0.19571732015882951</v>
      </c>
      <c r="AA681" s="8">
        <f t="shared" si="131"/>
        <v>55.75000000000049</v>
      </c>
      <c r="AB681" s="1">
        <v>55.83</v>
      </c>
      <c r="AC681" s="1">
        <v>7.5401899050000004E-3</v>
      </c>
      <c r="AD681" s="8">
        <f t="shared" si="127"/>
        <v>0.88382648291849586</v>
      </c>
      <c r="AE681" s="3">
        <f t="shared" si="128"/>
        <v>1.1721541420759426E-2</v>
      </c>
      <c r="AF681" s="11">
        <f t="shared" si="129"/>
        <v>55.75000000000049</v>
      </c>
      <c r="AG681" s="1">
        <f t="shared" si="130"/>
        <v>0.19571732015882951</v>
      </c>
    </row>
    <row r="682" spans="2:33" ht="15" x14ac:dyDescent="0.25">
      <c r="B682" s="1">
        <v>671</v>
      </c>
      <c r="C682" s="1">
        <v>1.0011901399999543</v>
      </c>
      <c r="D682" s="1">
        <v>1.3014196053470954</v>
      </c>
      <c r="E682" s="1">
        <v>0.76695184136079686</v>
      </c>
      <c r="G682" s="1">
        <v>1.0034991265039437</v>
      </c>
      <c r="H682" s="1">
        <v>8.7030128615695546</v>
      </c>
      <c r="I682" s="1">
        <v>8.2973367137138779E-2</v>
      </c>
      <c r="K682" s="1">
        <v>0.99635120061451232</v>
      </c>
      <c r="L682" s="1">
        <v>9.7076143240424706</v>
      </c>
      <c r="M682" s="1">
        <v>7.2021497042724689E-2</v>
      </c>
      <c r="O682" s="1">
        <v>7.4528273669497644E-3</v>
      </c>
      <c r="P682" s="1">
        <v>0.65919409147510832</v>
      </c>
      <c r="R682" s="1">
        <v>0.28873072526644195</v>
      </c>
      <c r="S682" s="2">
        <f t="shared" si="132"/>
        <v>1.463824496883855</v>
      </c>
      <c r="T682" s="4">
        <f t="shared" si="133"/>
        <v>2.1427821576772712</v>
      </c>
      <c r="U682" s="1">
        <f t="shared" si="125"/>
        <v>1.4759218314797971</v>
      </c>
      <c r="V682" s="6">
        <f>2*sigma/alpha*corel*(B682/12-1/alpha*(1-EXP(-alpha*Output!B682/12)))</f>
        <v>4.198376952565682</v>
      </c>
      <c r="W682" s="5">
        <f t="shared" si="134"/>
        <v>-0.66686032619747415</v>
      </c>
      <c r="X682" s="1">
        <f t="shared" si="135"/>
        <v>166.78079532866974</v>
      </c>
      <c r="Y682" s="3">
        <f t="shared" si="136"/>
        <v>7.7937290274987497E-2</v>
      </c>
      <c r="Z682" s="1">
        <f t="shared" si="126"/>
        <v>0.19575748360578971</v>
      </c>
      <c r="AA682" s="8">
        <f t="shared" si="131"/>
        <v>55.833333333333826</v>
      </c>
      <c r="AB682" s="1">
        <v>55.92</v>
      </c>
      <c r="AC682" s="1">
        <v>7.5400460339999998E-3</v>
      </c>
      <c r="AD682" s="8">
        <f t="shared" si="127"/>
        <v>0.87218667050235377</v>
      </c>
      <c r="AE682" s="3">
        <f t="shared" si="128"/>
        <v>1.1567391851050253E-2</v>
      </c>
      <c r="AF682" s="11">
        <f t="shared" si="129"/>
        <v>55.833333333333826</v>
      </c>
      <c r="AG682" s="1">
        <f t="shared" si="130"/>
        <v>0.19575748360578971</v>
      </c>
    </row>
    <row r="683" spans="2:33" ht="15" x14ac:dyDescent="0.25">
      <c r="B683" s="1">
        <v>672</v>
      </c>
      <c r="C683" s="1">
        <v>1.0011961643896439</v>
      </c>
      <c r="D683" s="1">
        <v>1.2971588033823689</v>
      </c>
      <c r="E683" s="1">
        <v>0.76946825713781752</v>
      </c>
      <c r="G683" s="1">
        <v>1.0038615170617042</v>
      </c>
      <c r="H683" s="1">
        <v>8.4440489176048565</v>
      </c>
      <c r="I683" s="1">
        <v>8.5476544610556593E-2</v>
      </c>
      <c r="K683" s="1">
        <v>0.99608601954067943</v>
      </c>
      <c r="L683" s="1">
        <v>9.8916782647047565</v>
      </c>
      <c r="M683" s="1">
        <v>7.0643894584772188E-2</v>
      </c>
      <c r="O683" s="1">
        <v>7.4539533102241408E-3</v>
      </c>
      <c r="P683" s="1">
        <v>0.65874327666976618</v>
      </c>
      <c r="R683" s="1">
        <v>0.28877011133648012</v>
      </c>
      <c r="S683" s="2">
        <f t="shared" si="132"/>
        <v>1.465265218158059</v>
      </c>
      <c r="T683" s="4">
        <f t="shared" si="133"/>
        <v>2.147002159543784</v>
      </c>
      <c r="U683" s="1">
        <f t="shared" si="125"/>
        <v>1.4800785971580814</v>
      </c>
      <c r="V683" s="6">
        <f>2*sigma/alpha*corel*(B683/12-1/alpha*(1-EXP(-alpha*Output!B683/12)))</f>
        <v>4.2076828261851649</v>
      </c>
      <c r="W683" s="5">
        <f t="shared" si="134"/>
        <v>-0.66692356238570261</v>
      </c>
      <c r="X683" s="1">
        <f t="shared" si="135"/>
        <v>167.09547274017098</v>
      </c>
      <c r="Y683" s="3">
        <f t="shared" si="136"/>
        <v>7.7846951612099258E-2</v>
      </c>
      <c r="Z683" s="1">
        <f t="shared" si="126"/>
        <v>0.19580430096800114</v>
      </c>
      <c r="AA683" s="8">
        <f t="shared" si="131"/>
        <v>55.916666666667162</v>
      </c>
      <c r="AB683" s="1">
        <v>56</v>
      </c>
      <c r="AC683" s="1">
        <v>7.539902593E-3</v>
      </c>
      <c r="AD683" s="8">
        <f t="shared" si="127"/>
        <v>0.85949282775859248</v>
      </c>
      <c r="AE683" s="3">
        <f t="shared" si="128"/>
        <v>1.139925638504323E-2</v>
      </c>
      <c r="AF683" s="11">
        <f t="shared" si="129"/>
        <v>55.916666666667162</v>
      </c>
      <c r="AG683" s="1">
        <f t="shared" si="130"/>
        <v>0.19580430096800114</v>
      </c>
    </row>
    <row r="684" spans="2:33" ht="15" x14ac:dyDescent="0.25">
      <c r="B684" s="1">
        <v>673</v>
      </c>
      <c r="C684" s="1">
        <v>1.0011988218556416</v>
      </c>
      <c r="D684" s="1">
        <v>1.2958650876291746</v>
      </c>
      <c r="E684" s="1">
        <v>0.77023363709909853</v>
      </c>
      <c r="G684" s="1">
        <v>1.0039655548008708</v>
      </c>
      <c r="H684" s="1">
        <v>8.3704929616873489</v>
      </c>
      <c r="I684" s="1">
        <v>8.618585984651482E-2</v>
      </c>
      <c r="K684" s="1">
        <v>0.99611916616460483</v>
      </c>
      <c r="L684" s="1">
        <v>10.226243813521547</v>
      </c>
      <c r="M684" s="1">
        <v>6.8298779461026998E-2</v>
      </c>
      <c r="O684" s="1">
        <v>7.455199894560509E-3</v>
      </c>
      <c r="P684" s="1">
        <v>0.65828819267583105</v>
      </c>
      <c r="R684" s="1">
        <v>0.28878583163905563</v>
      </c>
      <c r="S684" s="2">
        <f t="shared" si="132"/>
        <v>1.4666200950209178</v>
      </c>
      <c r="T684" s="4">
        <f t="shared" si="133"/>
        <v>2.150974503119166</v>
      </c>
      <c r="U684" s="1">
        <f t="shared" si="125"/>
        <v>1.4842386657928865</v>
      </c>
      <c r="V684" s="6">
        <f>2*sigma/alpha*corel*(B684/12-1/alpha*(1-EXP(-alpha*Output!B684/12)))</f>
        <v>4.2169923962839171</v>
      </c>
      <c r="W684" s="5">
        <f t="shared" si="134"/>
        <v>-0.6667358373262795</v>
      </c>
      <c r="X684" s="1">
        <f t="shared" si="135"/>
        <v>167.35409771051175</v>
      </c>
      <c r="Y684" s="3">
        <f t="shared" si="136"/>
        <v>7.7737433438794148E-2</v>
      </c>
      <c r="Z684" s="1">
        <f t="shared" si="126"/>
        <v>0.19583969411518509</v>
      </c>
      <c r="AA684" s="8">
        <f t="shared" si="131"/>
        <v>56.000000000000497</v>
      </c>
      <c r="AB684" s="1">
        <v>56.08</v>
      </c>
      <c r="AC684" s="1">
        <v>7.5397595780000003E-3</v>
      </c>
      <c r="AD684" s="8">
        <f t="shared" si="127"/>
        <v>0.84559683439491307</v>
      </c>
      <c r="AE684" s="3">
        <f t="shared" si="128"/>
        <v>1.1215169736476086E-2</v>
      </c>
      <c r="AF684" s="11">
        <f t="shared" si="129"/>
        <v>56.000000000000497</v>
      </c>
      <c r="AG684" s="1">
        <f t="shared" si="130"/>
        <v>0.19583969411518509</v>
      </c>
    </row>
    <row r="685" spans="2:33" ht="15" x14ac:dyDescent="0.25">
      <c r="B685" s="1">
        <v>674</v>
      </c>
      <c r="C685" s="1">
        <v>1.001195840937025</v>
      </c>
      <c r="D685" s="1">
        <v>1.2943560514157932</v>
      </c>
      <c r="E685" s="1">
        <v>0.77112880103665593</v>
      </c>
      <c r="G685" s="1">
        <v>1.0036705717269891</v>
      </c>
      <c r="H685" s="1">
        <v>8.2806761825176185</v>
      </c>
      <c r="I685" s="1">
        <v>8.707843329791691E-2</v>
      </c>
      <c r="K685" s="1">
        <v>0.99607580357101744</v>
      </c>
      <c r="L685" s="1">
        <v>10.110409552535899</v>
      </c>
      <c r="M685" s="1">
        <v>6.9044128384547598E-2</v>
      </c>
      <c r="O685" s="1">
        <v>7.4564502585683767E-3</v>
      </c>
      <c r="P685" s="1">
        <v>0.65783314674403592</v>
      </c>
      <c r="R685" s="1">
        <v>0.28900759125886955</v>
      </c>
      <c r="S685" s="2">
        <f t="shared" si="132"/>
        <v>1.4688447728092038</v>
      </c>
      <c r="T685" s="4">
        <f t="shared" si="133"/>
        <v>2.1575049666089217</v>
      </c>
      <c r="U685" s="1">
        <f t="shared" si="125"/>
        <v>1.4884020276978887</v>
      </c>
      <c r="V685" s="6">
        <f>2*sigma/alpha*corel*(B685/12-1/alpha*(1-EXP(-alpha*Output!B685/12)))</f>
        <v>4.2263056505608532</v>
      </c>
      <c r="W685" s="5">
        <f t="shared" si="134"/>
        <v>-0.66910293891103301</v>
      </c>
      <c r="X685" s="1">
        <f t="shared" si="135"/>
        <v>168.18678639397467</v>
      </c>
      <c r="Y685" s="3">
        <f t="shared" si="136"/>
        <v>7.7825334001349278E-2</v>
      </c>
      <c r="Z685" s="1">
        <f t="shared" si="126"/>
        <v>0.19599120218592331</v>
      </c>
      <c r="AA685" s="8">
        <f t="shared" si="131"/>
        <v>56.083333333333833</v>
      </c>
      <c r="AB685" s="1">
        <v>56.17</v>
      </c>
      <c r="AC685" s="1">
        <v>7.5396169880000002E-3</v>
      </c>
      <c r="AD685" s="8">
        <f t="shared" si="127"/>
        <v>0.83166729431623576</v>
      </c>
      <c r="AE685" s="3">
        <f t="shared" si="128"/>
        <v>1.1030630543168326E-2</v>
      </c>
      <c r="AF685" s="11">
        <f t="shared" si="129"/>
        <v>56.083333333333833</v>
      </c>
      <c r="AG685" s="1">
        <f t="shared" si="130"/>
        <v>0.19599120218592331</v>
      </c>
    </row>
    <row r="686" spans="2:33" ht="15" x14ac:dyDescent="0.25">
      <c r="B686" s="1">
        <v>675</v>
      </c>
      <c r="C686" s="1">
        <v>1.0011987356388952</v>
      </c>
      <c r="D686" s="1">
        <v>1.2909797249314332</v>
      </c>
      <c r="E686" s="1">
        <v>0.77314272015540486</v>
      </c>
      <c r="G686" s="1">
        <v>1.0037572440215436</v>
      </c>
      <c r="H686" s="1">
        <v>8.0873277164406208</v>
      </c>
      <c r="I686" s="1">
        <v>8.911703299905846E-2</v>
      </c>
      <c r="K686" s="1">
        <v>0.99598205615482704</v>
      </c>
      <c r="L686" s="1">
        <v>9.5733342974030791</v>
      </c>
      <c r="M686" s="1">
        <v>7.2877898964920015E-2</v>
      </c>
      <c r="O686" s="1">
        <v>7.4576821762611378E-3</v>
      </c>
      <c r="P686" s="1">
        <v>0.6573789604714434</v>
      </c>
      <c r="R686" s="1">
        <v>0.28909357087266924</v>
      </c>
      <c r="S686" s="2">
        <f t="shared" si="132"/>
        <v>1.4704974152158312</v>
      </c>
      <c r="T686" s="4">
        <f t="shared" si="133"/>
        <v>2.1623626481564409</v>
      </c>
      <c r="U686" s="1">
        <f t="shared" si="125"/>
        <v>1.4925686732103243</v>
      </c>
      <c r="V686" s="6">
        <f>2*sigma/alpha*corel*(B686/12-1/alpha*(1-EXP(-alpha*Output!B686/12)))</f>
        <v>4.2356225767558264</v>
      </c>
      <c r="W686" s="5">
        <f t="shared" si="134"/>
        <v>-0.66979397494611659</v>
      </c>
      <c r="X686" s="1">
        <f t="shared" si="135"/>
        <v>168.64414297559992</v>
      </c>
      <c r="Y686" s="3">
        <f t="shared" si="136"/>
        <v>7.7783852462814496E-2</v>
      </c>
      <c r="Z686" s="1">
        <f t="shared" si="126"/>
        <v>0.1960663220287775</v>
      </c>
      <c r="AA686" s="8">
        <f t="shared" si="131"/>
        <v>56.166666666667169</v>
      </c>
      <c r="AB686" s="1">
        <v>56.25</v>
      </c>
      <c r="AC686" s="1">
        <v>7.5394748209999998E-3</v>
      </c>
      <c r="AD686" s="8">
        <f t="shared" si="127"/>
        <v>0.8179264473886193</v>
      </c>
      <c r="AE686" s="3">
        <f t="shared" si="128"/>
        <v>1.0848586497171079E-2</v>
      </c>
      <c r="AF686" s="11">
        <f t="shared" si="129"/>
        <v>56.166666666667169</v>
      </c>
      <c r="AG686" s="1">
        <f t="shared" si="130"/>
        <v>0.1960663220287775</v>
      </c>
    </row>
    <row r="687" spans="2:33" ht="15" x14ac:dyDescent="0.25">
      <c r="B687" s="1">
        <v>676</v>
      </c>
      <c r="C687" s="1">
        <v>1.001200574968854</v>
      </c>
      <c r="D687" s="1">
        <v>1.284863350294573</v>
      </c>
      <c r="E687" s="1">
        <v>0.77682028740431641</v>
      </c>
      <c r="G687" s="1">
        <v>1.003831464125903</v>
      </c>
      <c r="H687" s="1">
        <v>7.7471784863018414</v>
      </c>
      <c r="I687" s="1">
        <v>9.2984711887860977E-2</v>
      </c>
      <c r="K687" s="1">
        <v>0.99590791575416293</v>
      </c>
      <c r="L687" s="1">
        <v>9.516311581215108</v>
      </c>
      <c r="M687" s="1">
        <v>7.3275298422586274E-2</v>
      </c>
      <c r="O687" s="1">
        <v>7.4588680343855521E-3</v>
      </c>
      <c r="P687" s="1">
        <v>0.65692665742024525</v>
      </c>
      <c r="R687" s="1">
        <v>0.28912428507712662</v>
      </c>
      <c r="S687" s="2">
        <f t="shared" si="132"/>
        <v>1.4719134079742193</v>
      </c>
      <c r="T687" s="4">
        <f t="shared" si="133"/>
        <v>2.1665290805742807</v>
      </c>
      <c r="U687" s="1">
        <f t="shared" si="125"/>
        <v>1.4967385926909706</v>
      </c>
      <c r="V687" s="6">
        <f>2*sigma/alpha*corel*(B687/12-1/alpha*(1-EXP(-alpha*Output!B687/12)))</f>
        <v>4.2449431626494842</v>
      </c>
      <c r="W687" s="5">
        <f t="shared" si="134"/>
        <v>-0.66979048788331008</v>
      </c>
      <c r="X687" s="1">
        <f t="shared" si="135"/>
        <v>168.94566572383047</v>
      </c>
      <c r="Y687" s="3">
        <f t="shared" si="136"/>
        <v>7.7689055232269641E-2</v>
      </c>
      <c r="Z687" s="1">
        <f t="shared" si="126"/>
        <v>0.19610990822716962</v>
      </c>
      <c r="AA687" s="8">
        <f t="shared" si="131"/>
        <v>56.250000000000504</v>
      </c>
      <c r="AB687" s="1">
        <v>56.33</v>
      </c>
      <c r="AC687" s="1">
        <v>7.5393330760000002E-3</v>
      </c>
      <c r="AD687" s="8">
        <f t="shared" si="127"/>
        <v>0.80465041614448052</v>
      </c>
      <c r="AE687" s="3">
        <f t="shared" si="128"/>
        <v>1.0672700198190322E-2</v>
      </c>
      <c r="AF687" s="11">
        <f t="shared" si="129"/>
        <v>56.250000000000504</v>
      </c>
      <c r="AG687" s="1">
        <f t="shared" si="130"/>
        <v>0.19610990822716962</v>
      </c>
    </row>
    <row r="688" spans="2:33" ht="15" x14ac:dyDescent="0.25">
      <c r="B688" s="1">
        <v>677</v>
      </c>
      <c r="C688" s="1">
        <v>1.0011981636518008</v>
      </c>
      <c r="D688" s="1">
        <v>1.2887938416326827</v>
      </c>
      <c r="E688" s="1">
        <v>0.77444834120426687</v>
      </c>
      <c r="G688" s="1">
        <v>1.0035424437878129</v>
      </c>
      <c r="H688" s="1">
        <v>7.9540533717690893</v>
      </c>
      <c r="I688" s="1">
        <v>9.05223790400944E-2</v>
      </c>
      <c r="K688" s="1">
        <v>0.99613440610543813</v>
      </c>
      <c r="L688" s="1">
        <v>9.5012775303693076</v>
      </c>
      <c r="M688" s="1">
        <v>7.3349987775042161E-2</v>
      </c>
      <c r="O688" s="1">
        <v>7.4599633789987603E-3</v>
      </c>
      <c r="P688" s="1">
        <v>0.65647788810050656</v>
      </c>
      <c r="R688" s="1">
        <v>0.28913461736445251</v>
      </c>
      <c r="S688" s="2">
        <f t="shared" si="132"/>
        <v>1.4732348378685811</v>
      </c>
      <c r="T688" s="4">
        <f t="shared" si="133"/>
        <v>2.1704208875096644</v>
      </c>
      <c r="U688" s="1">
        <f t="shared" si="125"/>
        <v>1.5009117765241249</v>
      </c>
      <c r="V688" s="6">
        <f>2*sigma/alpha*corel*(B688/12-1/alpha*(1-EXP(-alpha*Output!B688/12)))</f>
        <v>4.2542673960631419</v>
      </c>
      <c r="W688" s="5">
        <f t="shared" si="134"/>
        <v>-0.66950911098553956</v>
      </c>
      <c r="X688" s="1">
        <f t="shared" si="135"/>
        <v>169.18468045627597</v>
      </c>
      <c r="Y688" s="3">
        <f t="shared" si="136"/>
        <v>7.7573120463208273E-2</v>
      </c>
      <c r="Z688" s="1">
        <f t="shared" si="126"/>
        <v>0.19614094745993629</v>
      </c>
      <c r="AA688" s="8">
        <f t="shared" si="131"/>
        <v>56.33333333333384</v>
      </c>
      <c r="AB688" s="1">
        <v>56.42</v>
      </c>
      <c r="AC688" s="1">
        <v>7.5391917500000002E-3</v>
      </c>
      <c r="AD688" s="8">
        <f t="shared" si="127"/>
        <v>0.79228371001239906</v>
      </c>
      <c r="AE688" s="3">
        <f t="shared" si="128"/>
        <v>1.0508868009788968E-2</v>
      </c>
      <c r="AF688" s="11">
        <f t="shared" si="129"/>
        <v>56.33333333333384</v>
      </c>
      <c r="AG688" s="1">
        <f t="shared" si="130"/>
        <v>0.19614094745993629</v>
      </c>
    </row>
    <row r="689" spans="2:33" ht="15" x14ac:dyDescent="0.25">
      <c r="B689" s="1">
        <v>678</v>
      </c>
      <c r="C689" s="1">
        <v>1.0012045215825265</v>
      </c>
      <c r="D689" s="1">
        <v>1.2875282579475866</v>
      </c>
      <c r="E689" s="1">
        <v>0.77520673998475931</v>
      </c>
      <c r="G689" s="1">
        <v>1.0039533784117078</v>
      </c>
      <c r="H689" s="1">
        <v>7.8789128627940492</v>
      </c>
      <c r="I689" s="1">
        <v>9.1341367474870525E-2</v>
      </c>
      <c r="K689" s="1">
        <v>0.99648318708502281</v>
      </c>
      <c r="L689" s="1">
        <v>9.4595962278413559</v>
      </c>
      <c r="M689" s="1">
        <v>7.3635359887572333E-2</v>
      </c>
      <c r="O689" s="1">
        <v>7.4610636162857139E-3</v>
      </c>
      <c r="P689" s="1">
        <v>0.65602912423743676</v>
      </c>
      <c r="R689" s="1">
        <v>0.28932992532982177</v>
      </c>
      <c r="S689" s="2">
        <f t="shared" si="132"/>
        <v>1.4753404089508984</v>
      </c>
      <c r="T689" s="4">
        <f t="shared" si="133"/>
        <v>2.1766293222834041</v>
      </c>
      <c r="U689" s="1">
        <f t="shared" si="125"/>
        <v>1.5050882151175822</v>
      </c>
      <c r="V689" s="6">
        <f>2*sigma/alpha*corel*(B689/12-1/alpha*(1-EXP(-alpha*Output!B689/12)))</f>
        <v>4.2635952648586404</v>
      </c>
      <c r="W689" s="5">
        <f t="shared" si="134"/>
        <v>-0.67154110716582194</v>
      </c>
      <c r="X689" s="1">
        <f t="shared" si="135"/>
        <v>169.94653480200077</v>
      </c>
      <c r="Y689" s="3">
        <f t="shared" si="136"/>
        <v>7.7635036173157201E-2</v>
      </c>
      <c r="Z689" s="1">
        <f t="shared" si="126"/>
        <v>0.19627636837830748</v>
      </c>
      <c r="AA689" s="8">
        <f t="shared" si="131"/>
        <v>56.416666666667176</v>
      </c>
      <c r="AB689" s="1">
        <v>56.5</v>
      </c>
      <c r="AC689" s="1">
        <v>7.5390508420000004E-3</v>
      </c>
      <c r="AD689" s="8">
        <f t="shared" si="127"/>
        <v>0.77987225714286523</v>
      </c>
      <c r="AE689" s="3">
        <f t="shared" si="128"/>
        <v>1.0344435572687775E-2</v>
      </c>
      <c r="AF689" s="11">
        <f t="shared" si="129"/>
        <v>56.416666666667176</v>
      </c>
      <c r="AG689" s="1">
        <f t="shared" si="130"/>
        <v>0.19627636837830748</v>
      </c>
    </row>
    <row r="690" spans="2:33" ht="15" x14ac:dyDescent="0.25">
      <c r="B690" s="1">
        <v>679</v>
      </c>
      <c r="C690" s="1">
        <v>1.0012115244516948</v>
      </c>
      <c r="D690" s="1">
        <v>1.2916800820113656</v>
      </c>
      <c r="E690" s="1">
        <v>0.77271216241422291</v>
      </c>
      <c r="G690" s="1">
        <v>1.0044545040506927</v>
      </c>
      <c r="H690" s="1">
        <v>8.1083118797169718</v>
      </c>
      <c r="I690" s="1">
        <v>8.8714111260665154E-2</v>
      </c>
      <c r="K690" s="1">
        <v>0.99648181629094146</v>
      </c>
      <c r="L690" s="1">
        <v>9.6995631821786894</v>
      </c>
      <c r="M690" s="1">
        <v>7.1774097101839407E-2</v>
      </c>
      <c r="O690" s="1">
        <v>7.4621701258724311E-3</v>
      </c>
      <c r="P690" s="1">
        <v>0.65558031426012087</v>
      </c>
      <c r="R690" s="1">
        <v>0.28946301546063896</v>
      </c>
      <c r="S690" s="2">
        <f t="shared" si="132"/>
        <v>1.4771856082534491</v>
      </c>
      <c r="T690" s="4">
        <f t="shared" si="133"/>
        <v>2.1820773212311124</v>
      </c>
      <c r="U690" s="1">
        <f t="shared" si="125"/>
        <v>1.5092678989026163</v>
      </c>
      <c r="V690" s="6">
        <f>2*sigma/alpha*corel*(B690/12-1/alpha*(1-EXP(-alpha*Output!B690/12)))</f>
        <v>4.2729267569382152</v>
      </c>
      <c r="W690" s="5">
        <f t="shared" si="134"/>
        <v>-0.67280942232849617</v>
      </c>
      <c r="X690" s="1">
        <f t="shared" si="135"/>
        <v>170.53710232384148</v>
      </c>
      <c r="Y690" s="3">
        <f t="shared" si="136"/>
        <v>7.7638221599891657E-2</v>
      </c>
      <c r="Z690" s="1">
        <f t="shared" si="126"/>
        <v>0.1963770825452997</v>
      </c>
      <c r="AA690" s="8">
        <f t="shared" si="131"/>
        <v>56.500000000000512</v>
      </c>
      <c r="AB690" s="1">
        <v>56.58</v>
      </c>
      <c r="AC690" s="1">
        <v>7.5389103490000001E-3</v>
      </c>
      <c r="AD690" s="8">
        <f t="shared" si="127"/>
        <v>0.76740223127568996</v>
      </c>
      <c r="AE690" s="3">
        <f t="shared" si="128"/>
        <v>1.0179219485976275E-2</v>
      </c>
      <c r="AF690" s="11">
        <f t="shared" si="129"/>
        <v>56.500000000000512</v>
      </c>
      <c r="AG690" s="1">
        <f t="shared" si="130"/>
        <v>0.1963770825452997</v>
      </c>
    </row>
    <row r="691" spans="2:33" ht="15" x14ac:dyDescent="0.25">
      <c r="B691" s="1">
        <v>680</v>
      </c>
      <c r="C691" s="1">
        <v>1.0012131114878067</v>
      </c>
      <c r="D691" s="1">
        <v>1.2928254047971361</v>
      </c>
      <c r="E691" s="1">
        <v>0.77202476561287381</v>
      </c>
      <c r="G691" s="1">
        <v>1.0044756489612521</v>
      </c>
      <c r="H691" s="1">
        <v>8.1705540928260856</v>
      </c>
      <c r="I691" s="1">
        <v>8.7995605586956543E-2</v>
      </c>
      <c r="K691" s="1">
        <v>0.99649382692185873</v>
      </c>
      <c r="L691" s="1">
        <v>9.8720851873091569</v>
      </c>
      <c r="M691" s="1">
        <v>7.0482999557079345E-2</v>
      </c>
      <c r="O691" s="1">
        <v>7.4632216577706807E-3</v>
      </c>
      <c r="P691" s="1">
        <v>0.65513373151142784</v>
      </c>
      <c r="R691" s="1">
        <v>0.28961072291646678</v>
      </c>
      <c r="S691" s="2">
        <f t="shared" si="132"/>
        <v>1.4790889269898304</v>
      </c>
      <c r="T691" s="4">
        <f t="shared" si="133"/>
        <v>2.1877040539439281</v>
      </c>
      <c r="U691" s="1">
        <f t="shared" si="125"/>
        <v>1.5134508183339515</v>
      </c>
      <c r="V691" s="6">
        <f>2*sigma/alpha*corel*(B691/12-1/alpha*(1-EXP(-alpha*Output!B691/12)))</f>
        <v>4.2822618602443576</v>
      </c>
      <c r="W691" s="5">
        <f t="shared" si="134"/>
        <v>-0.67425323560997663</v>
      </c>
      <c r="X691" s="1">
        <f t="shared" si="135"/>
        <v>171.16850004463151</v>
      </c>
      <c r="Y691" s="3">
        <f t="shared" si="136"/>
        <v>7.7654789508083827E-2</v>
      </c>
      <c r="Z691" s="1">
        <f t="shared" si="126"/>
        <v>0.19648547561695817</v>
      </c>
      <c r="AA691" s="8">
        <f t="shared" si="131"/>
        <v>56.583333333333847</v>
      </c>
      <c r="AB691" s="1">
        <v>56.67</v>
      </c>
      <c r="AC691" s="1">
        <v>7.53877027E-3</v>
      </c>
      <c r="AD691" s="8">
        <f t="shared" si="127"/>
        <v>0.75548612229319256</v>
      </c>
      <c r="AE691" s="3">
        <f t="shared" si="128"/>
        <v>1.0021344267507339E-2</v>
      </c>
      <c r="AF691" s="11">
        <f t="shared" si="129"/>
        <v>56.583333333333847</v>
      </c>
      <c r="AG691" s="1">
        <f t="shared" si="130"/>
        <v>0.19648547561695817</v>
      </c>
    </row>
    <row r="692" spans="2:33" ht="15" x14ac:dyDescent="0.25">
      <c r="B692" s="1">
        <v>681</v>
      </c>
      <c r="C692" s="1">
        <v>1.0012120484453952</v>
      </c>
      <c r="D692" s="1">
        <v>1.2924564309763156</v>
      </c>
      <c r="E692" s="1">
        <v>0.77224231461840387</v>
      </c>
      <c r="G692" s="1">
        <v>1.0042820659707132</v>
      </c>
      <c r="H692" s="1">
        <v>8.1481768764046212</v>
      </c>
      <c r="I692" s="1">
        <v>8.8194476545478878E-2</v>
      </c>
      <c r="K692" s="1">
        <v>0.99647901661527249</v>
      </c>
      <c r="L692" s="1">
        <v>9.7375528754018266</v>
      </c>
      <c r="M692" s="1">
        <v>7.1421055855564491E-2</v>
      </c>
      <c r="O692" s="1">
        <v>7.4641712359380576E-3</v>
      </c>
      <c r="P692" s="1">
        <v>0.65469112618799208</v>
      </c>
      <c r="R692" s="1">
        <v>0.28973156344254197</v>
      </c>
      <c r="S692" s="2">
        <f t="shared" si="132"/>
        <v>1.4808694159602933</v>
      </c>
      <c r="T692" s="4">
        <f t="shared" si="133"/>
        <v>2.1929742271265802</v>
      </c>
      <c r="U692" s="1">
        <f t="shared" si="125"/>
        <v>1.5176369638897484</v>
      </c>
      <c r="V692" s="6">
        <f>2*sigma/alpha*corel*(B692/12-1/alpha*(1-EXP(-alpha*Output!B692/12)))</f>
        <v>4.2916005627596885</v>
      </c>
      <c r="W692" s="5">
        <f t="shared" si="134"/>
        <v>-0.67533726323683174</v>
      </c>
      <c r="X692" s="1">
        <f t="shared" si="135"/>
        <v>171.71939414504007</v>
      </c>
      <c r="Y692" s="3">
        <f t="shared" si="136"/>
        <v>7.7643824855483379E-2</v>
      </c>
      <c r="Z692" s="1">
        <f t="shared" si="126"/>
        <v>0.19657751056165645</v>
      </c>
      <c r="AA692" s="8">
        <f t="shared" si="131"/>
        <v>56.666666666667183</v>
      </c>
      <c r="AB692" s="1">
        <v>56.75</v>
      </c>
      <c r="AC692" s="1">
        <v>7.5386306029999999E-3</v>
      </c>
      <c r="AD692" s="8">
        <f t="shared" si="127"/>
        <v>0.74459367061942283</v>
      </c>
      <c r="AE692" s="3">
        <f t="shared" si="128"/>
        <v>9.8770414659011367E-3</v>
      </c>
      <c r="AF692" s="11">
        <f t="shared" si="129"/>
        <v>56.666666666667183</v>
      </c>
      <c r="AG692" s="1">
        <f t="shared" si="130"/>
        <v>0.19657751056165645</v>
      </c>
    </row>
    <row r="693" spans="2:33" ht="15" x14ac:dyDescent="0.25">
      <c r="B693" s="1">
        <v>682</v>
      </c>
      <c r="C693" s="1">
        <v>1.0012050012489773</v>
      </c>
      <c r="D693" s="1">
        <v>1.2959069247839721</v>
      </c>
      <c r="E693" s="1">
        <v>0.77018328817129611</v>
      </c>
      <c r="G693" s="1">
        <v>1.0035800552696312</v>
      </c>
      <c r="H693" s="1">
        <v>8.3380483513725316</v>
      </c>
      <c r="I693" s="1">
        <v>8.6144343266106815E-2</v>
      </c>
      <c r="K693" s="1">
        <v>0.99630216906888591</v>
      </c>
      <c r="L693" s="1">
        <v>9.6150612196128797</v>
      </c>
      <c r="M693" s="1">
        <v>7.2289018957104309E-2</v>
      </c>
      <c r="O693" s="1">
        <v>7.465013318608887E-3</v>
      </c>
      <c r="P693" s="1">
        <v>0.65425271337508795</v>
      </c>
      <c r="R693" s="1">
        <v>0.28977627285067981</v>
      </c>
      <c r="S693" s="2">
        <f t="shared" si="132"/>
        <v>1.4823167326989843</v>
      </c>
      <c r="T693" s="4">
        <f t="shared" si="133"/>
        <v>2.1972628960393923</v>
      </c>
      <c r="U693" s="1">
        <f t="shared" si="125"/>
        <v>1.5218263260715754</v>
      </c>
      <c r="V693" s="6">
        <f>2*sigma/alpha*corel*(B693/12-1/alpha*(1-EXP(-alpha*Output!B693/12)))</f>
        <v>4.3009428525068145</v>
      </c>
      <c r="W693" s="5">
        <f t="shared" si="134"/>
        <v>-0.67543656996781687</v>
      </c>
      <c r="X693" s="1">
        <f t="shared" si="135"/>
        <v>172.04735632654649</v>
      </c>
      <c r="Y693" s="3">
        <f t="shared" si="136"/>
        <v>7.7557825643981601E-2</v>
      </c>
      <c r="Z693" s="1">
        <f t="shared" si="126"/>
        <v>0.19662532195107696</v>
      </c>
      <c r="AA693" s="8">
        <f t="shared" si="131"/>
        <v>56.750000000000519</v>
      </c>
      <c r="AB693" s="1">
        <v>56.83</v>
      </c>
      <c r="AC693" s="1">
        <v>7.5384913459999999E-3</v>
      </c>
      <c r="AD693" s="8">
        <f t="shared" si="127"/>
        <v>0.73478027391112899</v>
      </c>
      <c r="AE693" s="3">
        <f t="shared" si="128"/>
        <v>9.747046725748526E-3</v>
      </c>
      <c r="AF693" s="11">
        <f t="shared" si="129"/>
        <v>56.750000000000519</v>
      </c>
      <c r="AG693" s="1">
        <f t="shared" si="130"/>
        <v>0.19662532195107696</v>
      </c>
    </row>
    <row r="694" spans="2:33" ht="15" x14ac:dyDescent="0.25">
      <c r="B694" s="1">
        <v>683</v>
      </c>
      <c r="C694" s="1">
        <v>1.001204650307447</v>
      </c>
      <c r="D694" s="1">
        <v>1.2956294970057551</v>
      </c>
      <c r="E694" s="1">
        <v>0.77034535321853415</v>
      </c>
      <c r="G694" s="1">
        <v>1.0034507646177702</v>
      </c>
      <c r="H694" s="1">
        <v>8.3174627216282637</v>
      </c>
      <c r="I694" s="1">
        <v>8.6315670337736933E-2</v>
      </c>
      <c r="K694" s="1">
        <v>0.99619933782770309</v>
      </c>
      <c r="L694" s="1">
        <v>9.8034025324884464</v>
      </c>
      <c r="M694" s="1">
        <v>7.0861698196054299E-2</v>
      </c>
      <c r="O694" s="1">
        <v>7.4656935091701676E-3</v>
      </c>
      <c r="P694" s="1">
        <v>0.65382052689305814</v>
      </c>
      <c r="R694" s="1">
        <v>0.28995526890604806</v>
      </c>
      <c r="S694" s="2">
        <f t="shared" si="132"/>
        <v>1.4843190185437651</v>
      </c>
      <c r="T694" s="4">
        <f t="shared" si="133"/>
        <v>2.2032029488107261</v>
      </c>
      <c r="U694" s="1">
        <f t="shared" si="125"/>
        <v>1.5260188954043863</v>
      </c>
      <c r="V694" s="6">
        <f>2*sigma/alpha*corel*(B694/12-1/alpha*(1-EXP(-alpha*Output!B694/12)))</f>
        <v>4.3102887175482056</v>
      </c>
      <c r="W694" s="5">
        <f t="shared" si="134"/>
        <v>-0.6771840534063398</v>
      </c>
      <c r="X694" s="1">
        <f t="shared" si="135"/>
        <v>172.75082498746673</v>
      </c>
      <c r="Y694" s="3">
        <f t="shared" si="136"/>
        <v>7.7597500098198088E-2</v>
      </c>
      <c r="Z694" s="1">
        <f t="shared" si="126"/>
        <v>0.1967467301405009</v>
      </c>
      <c r="AA694" s="8">
        <f t="shared" si="131"/>
        <v>56.833333333333854</v>
      </c>
      <c r="AB694" s="1">
        <v>56.92</v>
      </c>
      <c r="AC694" s="1">
        <v>7.5383524979999996E-3</v>
      </c>
      <c r="AD694" s="8">
        <f t="shared" si="127"/>
        <v>0.72658988829832005</v>
      </c>
      <c r="AE694" s="3">
        <f t="shared" si="128"/>
        <v>9.6385767114378317E-3</v>
      </c>
      <c r="AF694" s="11">
        <f t="shared" si="129"/>
        <v>56.833333333333854</v>
      </c>
      <c r="AG694" s="1">
        <f t="shared" si="130"/>
        <v>0.1967467301405009</v>
      </c>
    </row>
    <row r="695" spans="2:33" ht="15" x14ac:dyDescent="0.25">
      <c r="B695" s="1">
        <v>684</v>
      </c>
      <c r="C695" s="1">
        <v>1.0012066472664407</v>
      </c>
      <c r="D695" s="1">
        <v>1.2929381310062285</v>
      </c>
      <c r="E695" s="1">
        <v>0.77194603464364298</v>
      </c>
      <c r="G695" s="1">
        <v>1.0035100859656214</v>
      </c>
      <c r="H695" s="1">
        <v>8.1590822112945638</v>
      </c>
      <c r="I695" s="1">
        <v>8.7948520220929735E-2</v>
      </c>
      <c r="K695" s="1">
        <v>0.99655891192603852</v>
      </c>
      <c r="L695" s="1">
        <v>9.7213832896064734</v>
      </c>
      <c r="M695" s="1">
        <v>7.142507848087816E-2</v>
      </c>
      <c r="O695" s="1">
        <v>7.4663772224331116E-3</v>
      </c>
      <c r="P695" s="1">
        <v>0.65338842063698022</v>
      </c>
      <c r="R695" s="1">
        <v>0.29021482619935363</v>
      </c>
      <c r="S695" s="2">
        <f t="shared" si="132"/>
        <v>1.4866669543366291</v>
      </c>
      <c r="T695" s="4">
        <f t="shared" si="133"/>
        <v>2.2101786331165489</v>
      </c>
      <c r="U695" s="1">
        <f t="shared" si="125"/>
        <v>1.5302146624365025</v>
      </c>
      <c r="V695" s="6">
        <f>2*sigma/alpha*corel*(B695/12-1/alpha*(1-EXP(-alpha*Output!B695/12)))</f>
        <v>4.3196381459860547</v>
      </c>
      <c r="W695" s="5">
        <f t="shared" si="134"/>
        <v>-0.67996397068004644</v>
      </c>
      <c r="X695" s="1">
        <f t="shared" si="135"/>
        <v>173.69105902730843</v>
      </c>
      <c r="Y695" s="3">
        <f t="shared" si="136"/>
        <v>7.7715370458838723E-2</v>
      </c>
      <c r="Z695" s="1">
        <f t="shared" si="126"/>
        <v>0.19691384851982052</v>
      </c>
      <c r="AA695" s="8">
        <f t="shared" si="131"/>
        <v>56.91666666666719</v>
      </c>
      <c r="AB695" s="1">
        <v>57</v>
      </c>
      <c r="AC695" s="1">
        <v>7.5382140560000003E-3</v>
      </c>
      <c r="AD695" s="8">
        <f t="shared" si="127"/>
        <v>0.71836833566888725</v>
      </c>
      <c r="AE695" s="3">
        <f t="shared" si="128"/>
        <v>9.5296887343906869E-3</v>
      </c>
      <c r="AF695" s="11">
        <f t="shared" si="129"/>
        <v>56.91666666666719</v>
      </c>
      <c r="AG695" s="1">
        <f t="shared" si="130"/>
        <v>0.19691384851982052</v>
      </c>
    </row>
    <row r="696" spans="2:33" ht="15" x14ac:dyDescent="0.25">
      <c r="B696" s="1">
        <v>685</v>
      </c>
      <c r="C696" s="1">
        <v>1.0012082807775982</v>
      </c>
      <c r="D696" s="1">
        <v>1.2957809293821689</v>
      </c>
      <c r="E696" s="1">
        <v>0.77024961280455384</v>
      </c>
      <c r="G696" s="1">
        <v>1.0035175561077598</v>
      </c>
      <c r="H696" s="1">
        <v>8.314574787859101</v>
      </c>
      <c r="I696" s="1">
        <v>8.6261922875345232E-2</v>
      </c>
      <c r="K696" s="1">
        <v>0.9965528743930725</v>
      </c>
      <c r="L696" s="1">
        <v>9.5703138560053187</v>
      </c>
      <c r="M696" s="1">
        <v>7.2511217259123184E-2</v>
      </c>
      <c r="O696" s="1">
        <v>7.4669972425467166E-3</v>
      </c>
      <c r="P696" s="1">
        <v>0.65295889958654907</v>
      </c>
      <c r="R696" s="1">
        <v>0.2903258751009149</v>
      </c>
      <c r="S696" s="2">
        <f t="shared" si="132"/>
        <v>1.4883778825418388</v>
      </c>
      <c r="T696" s="4">
        <f t="shared" si="133"/>
        <v>2.2152687212397275</v>
      </c>
      <c r="U696" s="1">
        <f t="shared" si="125"/>
        <v>1.5344136177395811</v>
      </c>
      <c r="V696" s="6">
        <f>2*sigma/alpha*corel*(B696/12-1/alpha*(1-EXP(-alpha*Output!B696/12)))</f>
        <v>4.3289911259621476</v>
      </c>
      <c r="W696" s="5">
        <f t="shared" si="134"/>
        <v>-0.68085510350014644</v>
      </c>
      <c r="X696" s="1">
        <f t="shared" si="135"/>
        <v>174.20207946785914</v>
      </c>
      <c r="Y696" s="3">
        <f t="shared" si="136"/>
        <v>7.7689685361325644E-2</v>
      </c>
      <c r="Z696" s="1">
        <f t="shared" si="126"/>
        <v>0.1969965157899923</v>
      </c>
      <c r="AA696" s="8">
        <f t="shared" si="131"/>
        <v>57.000000000000526</v>
      </c>
      <c r="AB696" s="1">
        <v>57.08</v>
      </c>
      <c r="AC696" s="1">
        <v>7.5380760189999998E-3</v>
      </c>
      <c r="AD696" s="8">
        <f t="shared" si="127"/>
        <v>0.7107877645328321</v>
      </c>
      <c r="AE696" s="3">
        <f t="shared" si="128"/>
        <v>9.4292995021709146E-3</v>
      </c>
      <c r="AF696" s="11">
        <f t="shared" si="129"/>
        <v>57.000000000000526</v>
      </c>
      <c r="AG696" s="1">
        <f t="shared" si="130"/>
        <v>0.1969965157899923</v>
      </c>
    </row>
    <row r="697" spans="2:33" ht="15" x14ac:dyDescent="0.25">
      <c r="B697" s="1">
        <v>686</v>
      </c>
      <c r="C697" s="1">
        <v>1.0012096280121929</v>
      </c>
      <c r="D697" s="1">
        <v>1.2938122334133204</v>
      </c>
      <c r="E697" s="1">
        <v>0.77141877658420421</v>
      </c>
      <c r="G697" s="1">
        <v>1.0035273589827869</v>
      </c>
      <c r="H697" s="1">
        <v>8.1956224219109579</v>
      </c>
      <c r="I697" s="1">
        <v>8.747149882842907E-2</v>
      </c>
      <c r="K697" s="1">
        <v>0.99680014015010754</v>
      </c>
      <c r="L697" s="1">
        <v>9.4864898220860621</v>
      </c>
      <c r="M697" s="1">
        <v>7.3113507997220301E-2</v>
      </c>
      <c r="O697" s="1">
        <v>7.4676994217230015E-3</v>
      </c>
      <c r="P697" s="1">
        <v>0.65252652869462968</v>
      </c>
      <c r="R697" s="1">
        <v>0.29057617648127215</v>
      </c>
      <c r="S697" s="2">
        <f t="shared" si="132"/>
        <v>1.4906935248181605</v>
      </c>
      <c r="T697" s="4">
        <f t="shared" si="133"/>
        <v>2.2221671849347917</v>
      </c>
      <c r="U697" s="1">
        <f t="shared" ref="U697:U731" si="137">sigma*sigma/alpha/alpha*(B697/12+2/alpha*EXP(-alpha*B697/12)-1/2/alpha*EXP(-2*alpha*B697/12)-3/2/alpha)</f>
        <v>1.5386157519085977</v>
      </c>
      <c r="V697" s="6">
        <f>2*sigma/alpha*corel*(B697/12-1/alpha*(1-EXP(-alpha*Output!B697/12)))</f>
        <v>4.3383476456577306</v>
      </c>
      <c r="W697" s="5">
        <f t="shared" si="134"/>
        <v>-0.68355143302619403</v>
      </c>
      <c r="X697" s="1">
        <f t="shared" si="135"/>
        <v>175.12668797990702</v>
      </c>
      <c r="Y697" s="3">
        <f t="shared" si="136"/>
        <v>7.780055159409488E-2</v>
      </c>
      <c r="Z697" s="1">
        <f t="shared" si="126"/>
        <v>0.19715914683963512</v>
      </c>
      <c r="AA697" s="8">
        <f t="shared" si="131"/>
        <v>57.083333333333862</v>
      </c>
      <c r="AB697" s="1">
        <v>57.17</v>
      </c>
      <c r="AC697" s="1">
        <v>7.5379383849999999E-3</v>
      </c>
      <c r="AD697" s="8">
        <f t="shared" si="127"/>
        <v>0.70238963276998345</v>
      </c>
      <c r="AE697" s="3">
        <f t="shared" si="128"/>
        <v>9.3180601498108889E-3</v>
      </c>
      <c r="AF697" s="11">
        <f t="shared" si="129"/>
        <v>57.083333333333862</v>
      </c>
      <c r="AG697" s="1">
        <f t="shared" si="130"/>
        <v>0.19715914683963512</v>
      </c>
    </row>
    <row r="698" spans="2:33" ht="15" x14ac:dyDescent="0.25">
      <c r="B698" s="1">
        <v>687</v>
      </c>
      <c r="C698" s="1">
        <v>1.0012121807220109</v>
      </c>
      <c r="D698" s="1">
        <v>1.291965966090997</v>
      </c>
      <c r="E698" s="1">
        <v>0.77251828826275692</v>
      </c>
      <c r="G698" s="1">
        <v>1.0035557493790186</v>
      </c>
      <c r="H698" s="1">
        <v>8.096582887445976</v>
      </c>
      <c r="I698" s="1">
        <v>8.84985333603132E-2</v>
      </c>
      <c r="K698" s="1">
        <v>0.99664820993174441</v>
      </c>
      <c r="L698" s="1">
        <v>9.3073149819799941</v>
      </c>
      <c r="M698" s="1">
        <v>7.4483736634895784E-2</v>
      </c>
      <c r="O698" s="1">
        <v>7.4683282511941295E-3</v>
      </c>
      <c r="P698" s="1">
        <v>0.65209710611842142</v>
      </c>
      <c r="R698" s="1">
        <v>0.29069664083882574</v>
      </c>
      <c r="S698" s="2">
        <f t="shared" si="132"/>
        <v>1.4924494035683928</v>
      </c>
      <c r="T698" s="4">
        <f t="shared" si="133"/>
        <v>2.2274052222116514</v>
      </c>
      <c r="U698" s="1">
        <f t="shared" si="137"/>
        <v>1.54282105556182</v>
      </c>
      <c r="V698" s="6">
        <f>2*sigma/alpha*corel*(B698/12-1/alpha*(1-EXP(-alpha*Output!B698/12)))</f>
        <v>4.3477076932933851</v>
      </c>
      <c r="W698" s="5">
        <f t="shared" si="134"/>
        <v>-0.68458416664983135</v>
      </c>
      <c r="X698" s="1">
        <f t="shared" si="135"/>
        <v>175.67233634913387</v>
      </c>
      <c r="Y698" s="3">
        <f t="shared" si="136"/>
        <v>7.7785470974089166E-2</v>
      </c>
      <c r="Z698" s="1">
        <f t="shared" si="126"/>
        <v>0.19724766522321976</v>
      </c>
      <c r="AA698" s="8">
        <f t="shared" si="131"/>
        <v>57.166666666667197</v>
      </c>
      <c r="AB698" s="1">
        <v>57.25</v>
      </c>
      <c r="AC698" s="1">
        <v>7.537801153E-3</v>
      </c>
      <c r="AD698" s="8">
        <f t="shared" si="127"/>
        <v>0.69472901805870535</v>
      </c>
      <c r="AE698" s="3">
        <f t="shared" si="128"/>
        <v>9.2166004907440063E-3</v>
      </c>
      <c r="AF698" s="11">
        <f t="shared" si="129"/>
        <v>57.166666666667197</v>
      </c>
      <c r="AG698" s="1">
        <f t="shared" si="130"/>
        <v>0.19724766522321976</v>
      </c>
    </row>
    <row r="699" spans="2:33" ht="15" x14ac:dyDescent="0.25">
      <c r="B699" s="1">
        <v>688</v>
      </c>
      <c r="C699" s="1">
        <v>1.0012114292887766</v>
      </c>
      <c r="D699" s="1">
        <v>1.2899803137013268</v>
      </c>
      <c r="E699" s="1">
        <v>0.77370453418536256</v>
      </c>
      <c r="G699" s="1">
        <v>1.0033682750118964</v>
      </c>
      <c r="H699" s="1">
        <v>7.988661008140137</v>
      </c>
      <c r="I699" s="1">
        <v>8.9650594628804481E-2</v>
      </c>
      <c r="K699" s="1">
        <v>0.99637158683670823</v>
      </c>
      <c r="L699" s="1">
        <v>9.193482814647945</v>
      </c>
      <c r="M699" s="1">
        <v>7.5363242232288893E-2</v>
      </c>
      <c r="O699" s="1">
        <v>7.4688829525654168E-3</v>
      </c>
      <c r="P699" s="1">
        <v>0.65167066744548996</v>
      </c>
      <c r="R699" s="1">
        <v>0.29092544891498251</v>
      </c>
      <c r="S699" s="2">
        <f t="shared" si="132"/>
        <v>1.4946623219906832</v>
      </c>
      <c r="T699" s="4">
        <f t="shared" si="133"/>
        <v>2.2340154567785806</v>
      </c>
      <c r="U699" s="1">
        <f t="shared" si="137"/>
        <v>1.5470295193407835</v>
      </c>
      <c r="V699" s="6">
        <f>2*sigma/alpha*corel*(B699/12-1/alpha*(1-EXP(-alpha*Output!B699/12)))</f>
        <v>4.3570712571288883</v>
      </c>
      <c r="W699" s="5">
        <f t="shared" si="134"/>
        <v>-0.68698593743779712</v>
      </c>
      <c r="X699" s="1">
        <f t="shared" si="135"/>
        <v>176.53284492543352</v>
      </c>
      <c r="Y699" s="3">
        <f t="shared" si="136"/>
        <v>7.7873503570029826E-2</v>
      </c>
      <c r="Z699" s="1">
        <f t="shared" si="126"/>
        <v>0.19739651940711875</v>
      </c>
      <c r="AA699" s="8">
        <f t="shared" si="131"/>
        <v>57.250000000000533</v>
      </c>
      <c r="AB699" s="1">
        <v>57.33</v>
      </c>
      <c r="AC699" s="1">
        <v>7.5376643199999999E-3</v>
      </c>
      <c r="AD699" s="8">
        <f t="shared" si="127"/>
        <v>0.68781367434583163</v>
      </c>
      <c r="AE699" s="3">
        <f t="shared" si="128"/>
        <v>9.1250239483446731E-3</v>
      </c>
      <c r="AF699" s="11">
        <f t="shared" si="129"/>
        <v>57.250000000000533</v>
      </c>
      <c r="AG699" s="1">
        <f t="shared" si="130"/>
        <v>0.19739651940711875</v>
      </c>
    </row>
    <row r="700" spans="2:33" ht="15" x14ac:dyDescent="0.25">
      <c r="B700" s="1">
        <v>689</v>
      </c>
      <c r="C700" s="1">
        <v>1.0012150569706721</v>
      </c>
      <c r="D700" s="1">
        <v>1.2857381213732673</v>
      </c>
      <c r="E700" s="1">
        <v>0.7762544156222686</v>
      </c>
      <c r="G700" s="1">
        <v>1.0034914538819062</v>
      </c>
      <c r="H700" s="1">
        <v>7.7514792489791287</v>
      </c>
      <c r="I700" s="1">
        <v>9.2348937675637455E-2</v>
      </c>
      <c r="K700" s="1">
        <v>0.99614108617690467</v>
      </c>
      <c r="L700" s="1">
        <v>9.4046943221766686</v>
      </c>
      <c r="M700" s="1">
        <v>7.3629790928807684E-2</v>
      </c>
      <c r="O700" s="1">
        <v>7.4694100359800611E-3</v>
      </c>
      <c r="P700" s="1">
        <v>0.65124548013361228</v>
      </c>
      <c r="R700" s="1">
        <v>0.29101616919797307</v>
      </c>
      <c r="S700" s="2">
        <f t="shared" si="132"/>
        <v>1.4962836084038049</v>
      </c>
      <c r="T700" s="4">
        <f t="shared" si="133"/>
        <v>2.2388646367779113</v>
      </c>
      <c r="U700" s="1">
        <f t="shared" si="137"/>
        <v>1.5512411339102665</v>
      </c>
      <c r="V700" s="6">
        <f>2*sigma/alpha*corel*(B700/12-1/alpha*(1-EXP(-alpha*Output!B700/12)))</f>
        <v>4.3664383254630845</v>
      </c>
      <c r="W700" s="5">
        <f t="shared" si="134"/>
        <v>-0.68762350286764473</v>
      </c>
      <c r="X700" s="1">
        <f t="shared" si="135"/>
        <v>176.98998147534195</v>
      </c>
      <c r="Y700" s="3">
        <f t="shared" si="136"/>
        <v>7.782861984597067E-2</v>
      </c>
      <c r="Z700" s="1">
        <f t="shared" si="126"/>
        <v>0.19746718285280793</v>
      </c>
      <c r="AA700" s="8">
        <f t="shared" si="131"/>
        <v>57.333333333333869</v>
      </c>
      <c r="AB700" s="1">
        <v>57.42</v>
      </c>
      <c r="AC700" s="1">
        <v>7.5375278840000004E-3</v>
      </c>
      <c r="AD700" s="8">
        <f t="shared" si="127"/>
        <v>0.68117848019939342</v>
      </c>
      <c r="AE700" s="3">
        <f t="shared" si="128"/>
        <v>9.0371603353579504E-3</v>
      </c>
      <c r="AF700" s="11">
        <f t="shared" si="129"/>
        <v>57.333333333333869</v>
      </c>
      <c r="AG700" s="1">
        <f t="shared" si="130"/>
        <v>0.19746718285280793</v>
      </c>
    </row>
    <row r="701" spans="2:33" ht="15" x14ac:dyDescent="0.25">
      <c r="B701" s="1">
        <v>690</v>
      </c>
      <c r="C701" s="1">
        <v>1.0012156647709447</v>
      </c>
      <c r="D701" s="1">
        <v>1.2873124693003339</v>
      </c>
      <c r="E701" s="1">
        <v>0.7753021808142917</v>
      </c>
      <c r="G701" s="1">
        <v>1.0034116938851585</v>
      </c>
      <c r="H701" s="1">
        <v>7.8284140556037949</v>
      </c>
      <c r="I701" s="1">
        <v>9.1397018378582578E-2</v>
      </c>
      <c r="K701" s="1">
        <v>0.99631809066448973</v>
      </c>
      <c r="L701" s="1">
        <v>9.3805793246037545</v>
      </c>
      <c r="M701" s="1">
        <v>7.3779863348410579E-2</v>
      </c>
      <c r="O701" s="1">
        <v>7.4698217439165722E-3</v>
      </c>
      <c r="P701" s="1">
        <v>0.65082483068170704</v>
      </c>
      <c r="R701" s="1">
        <v>0.29115444931420603</v>
      </c>
      <c r="S701" s="2">
        <f t="shared" si="132"/>
        <v>1.4980975592203729</v>
      </c>
      <c r="T701" s="4">
        <f t="shared" si="133"/>
        <v>2.2442962969420388</v>
      </c>
      <c r="U701" s="1">
        <f t="shared" si="137"/>
        <v>1.5554558899582669</v>
      </c>
      <c r="V701" s="6">
        <f>2*sigma/alpha*corel*(B701/12-1/alpha*(1-EXP(-alpha*Output!B701/12)))</f>
        <v>4.3758088866337612</v>
      </c>
      <c r="W701" s="5">
        <f t="shared" si="134"/>
        <v>-0.68884040698377191</v>
      </c>
      <c r="X701" s="1">
        <f t="shared" si="135"/>
        <v>177.58099701861053</v>
      </c>
      <c r="Y701" s="3">
        <f t="shared" si="136"/>
        <v>7.7827331522471482E-2</v>
      </c>
      <c r="Z701" s="1">
        <f t="shared" si="126"/>
        <v>0.19756325555836052</v>
      </c>
      <c r="AA701" s="8">
        <f t="shared" si="131"/>
        <v>57.416666666667204</v>
      </c>
      <c r="AB701" s="1">
        <v>57.5</v>
      </c>
      <c r="AC701" s="1">
        <v>7.5373918449999997E-3</v>
      </c>
      <c r="AD701" s="8">
        <f t="shared" si="127"/>
        <v>0.67570101083427525</v>
      </c>
      <c r="AE701" s="3">
        <f t="shared" si="128"/>
        <v>8.9646528232774306E-3</v>
      </c>
      <c r="AF701" s="11">
        <f t="shared" si="129"/>
        <v>57.416666666667204</v>
      </c>
      <c r="AG701" s="1">
        <f t="shared" si="130"/>
        <v>0.19756325555836052</v>
      </c>
    </row>
    <row r="702" spans="2:33" ht="15" x14ac:dyDescent="0.25">
      <c r="B702" s="1">
        <v>691</v>
      </c>
      <c r="C702" s="1">
        <v>1.0012184191474993</v>
      </c>
      <c r="D702" s="1">
        <v>1.2882168950496169</v>
      </c>
      <c r="E702" s="1">
        <v>0.77475496176898684</v>
      </c>
      <c r="G702" s="1">
        <v>1.0035519443208021</v>
      </c>
      <c r="H702" s="1">
        <v>7.8775590138060698</v>
      </c>
      <c r="I702" s="1">
        <v>9.0782778898706062E-2</v>
      </c>
      <c r="K702" s="1">
        <v>0.9965291321444103</v>
      </c>
      <c r="L702" s="1">
        <v>9.0217308981192144</v>
      </c>
      <c r="M702" s="1">
        <v>7.6673650587330597E-2</v>
      </c>
      <c r="O702" s="1">
        <v>7.4702279282359476E-3</v>
      </c>
      <c r="P702" s="1">
        <v>0.65040461517734394</v>
      </c>
      <c r="R702" s="1">
        <v>0.29124352927142211</v>
      </c>
      <c r="S702" s="2">
        <f t="shared" si="132"/>
        <v>1.4997015666267888</v>
      </c>
      <c r="T702" s="4">
        <f t="shared" si="133"/>
        <v>2.2491047889428444</v>
      </c>
      <c r="U702" s="1">
        <f t="shared" si="137"/>
        <v>1.5596737781959744</v>
      </c>
      <c r="V702" s="6">
        <f>2*sigma/alpha*corel*(B702/12-1/alpha*(1-EXP(-alpha*Output!B702/12)))</f>
        <v>4.3851829290175139</v>
      </c>
      <c r="W702" s="5">
        <f t="shared" si="134"/>
        <v>-0.68943101074686997</v>
      </c>
      <c r="X702" s="1">
        <f t="shared" si="135"/>
        <v>178.02877212964236</v>
      </c>
      <c r="Y702" s="3">
        <f t="shared" si="136"/>
        <v>7.7779097302619601E-2</v>
      </c>
      <c r="Z702" s="1">
        <f t="shared" si="126"/>
        <v>0.19763162631813072</v>
      </c>
      <c r="AA702" s="8">
        <f t="shared" si="131"/>
        <v>57.50000000000054</v>
      </c>
      <c r="AB702" s="1">
        <v>57.58</v>
      </c>
      <c r="AC702" s="1">
        <v>7.5372562000000001E-3</v>
      </c>
      <c r="AD702" s="8">
        <f t="shared" si="127"/>
        <v>0.67028271764052461</v>
      </c>
      <c r="AE702" s="3">
        <f t="shared" si="128"/>
        <v>8.8929273445756633E-3</v>
      </c>
      <c r="AF702" s="11">
        <f t="shared" si="129"/>
        <v>57.50000000000054</v>
      </c>
      <c r="AG702" s="1">
        <f t="shared" si="130"/>
        <v>0.19763162631813072</v>
      </c>
    </row>
    <row r="703" spans="2:33" ht="15" x14ac:dyDescent="0.25">
      <c r="B703" s="1">
        <v>692</v>
      </c>
      <c r="C703" s="1">
        <v>1.0012224347341496</v>
      </c>
      <c r="D703" s="1">
        <v>1.2827900857733567</v>
      </c>
      <c r="E703" s="1">
        <v>0.77802962769478889</v>
      </c>
      <c r="G703" s="1">
        <v>1.0037122026029059</v>
      </c>
      <c r="H703" s="1">
        <v>7.5756517766475939</v>
      </c>
      <c r="I703" s="1">
        <v>9.4354899007320372E-2</v>
      </c>
      <c r="K703" s="1">
        <v>0.99658006019943179</v>
      </c>
      <c r="L703" s="1">
        <v>9.1814747599803432</v>
      </c>
      <c r="M703" s="1">
        <v>7.5302480454813844E-2</v>
      </c>
      <c r="O703" s="1">
        <v>7.47068076384955E-3</v>
      </c>
      <c r="P703" s="1">
        <v>0.64998287838730495</v>
      </c>
      <c r="R703" s="1">
        <v>0.291322579159281</v>
      </c>
      <c r="S703" s="2" t="e">
        <f t="shared" si="132"/>
        <v>#VALUE!</v>
      </c>
      <c r="T703" s="4" t="e">
        <f t="shared" si="133"/>
        <v>#VALUE!</v>
      </c>
      <c r="U703" s="1">
        <f t="shared" si="137"/>
        <v>1.5638947893577484</v>
      </c>
      <c r="V703" s="6">
        <f>2*sigma/alpha*corel*(B703/12-1/alpha*(1-EXP(-alpha*Output!B703/12)))</f>
        <v>4.3945604410296149</v>
      </c>
      <c r="W703" s="5" t="e">
        <f t="shared" si="134"/>
        <v>#VALUE!</v>
      </c>
      <c r="X703" s="1" t="e">
        <f t="shared" si="135"/>
        <v>#VALUE!</v>
      </c>
      <c r="Y703" s="3" t="e">
        <f t="shared" si="136"/>
        <v>#VALUE!</v>
      </c>
      <c r="Z703" s="1" t="e">
        <f t="shared" si="126"/>
        <v>#VALUE!</v>
      </c>
      <c r="AA703" s="8">
        <f t="shared" si="131"/>
        <v>57.583333333333876</v>
      </c>
      <c r="AB703" s="1">
        <v>57.67</v>
      </c>
      <c r="AC703" s="1">
        <v>7.5371209480000001E-3</v>
      </c>
      <c r="AD703" s="8">
        <f t="shared" si="127"/>
        <v>0.66440184150450177</v>
      </c>
      <c r="AE703" s="3">
        <f t="shared" si="128"/>
        <v>8.8150614284729367E-3</v>
      </c>
      <c r="AF703" s="11">
        <f t="shared" si="129"/>
        <v>57.583333333333876</v>
      </c>
      <c r="AG703" s="1" t="e">
        <f t="shared" si="130"/>
        <v>#VALUE!</v>
      </c>
    </row>
    <row r="704" spans="2:33" ht="15" x14ac:dyDescent="0.25">
      <c r="B704" s="1">
        <v>693</v>
      </c>
      <c r="C704" s="1">
        <v>1.001222351097576</v>
      </c>
      <c r="D704" s="1">
        <v>1.2861818377820033</v>
      </c>
      <c r="E704" s="1">
        <v>0.77597499865837394</v>
      </c>
      <c r="G704" s="1">
        <v>1.0035814399495617</v>
      </c>
      <c r="H704" s="1">
        <v>7.760591860579054</v>
      </c>
      <c r="I704" s="1">
        <v>9.2061687633110678E-2</v>
      </c>
      <c r="K704" s="1">
        <v>0.99681137535533415</v>
      </c>
      <c r="L704" s="1">
        <v>9.0110196573569521</v>
      </c>
      <c r="M704" s="1">
        <v>7.6687041142130777E-2</v>
      </c>
      <c r="O704" s="1">
        <v>7.4710843794012945E-3</v>
      </c>
      <c r="P704" s="1">
        <v>0.64956321239057102</v>
      </c>
      <c r="R704" s="1">
        <v>0.29147895103025301</v>
      </c>
      <c r="S704" s="2" t="e">
        <f t="shared" si="132"/>
        <v>#VALUE!</v>
      </c>
      <c r="T704" s="4" t="e">
        <f t="shared" si="133"/>
        <v>#VALUE!</v>
      </c>
      <c r="U704" s="1">
        <f t="shared" si="137"/>
        <v>1.5681189142010901</v>
      </c>
      <c r="V704" s="6">
        <f>2*sigma/alpha*corel*(B704/12-1/alpha*(1-EXP(-alpha*Output!B704/12)))</f>
        <v>4.4039414111238919</v>
      </c>
      <c r="W704" s="5" t="e">
        <f t="shared" si="134"/>
        <v>#VALUE!</v>
      </c>
      <c r="X704" s="1" t="e">
        <f t="shared" si="135"/>
        <v>#VALUE!</v>
      </c>
      <c r="Y704" s="3" t="e">
        <f t="shared" si="136"/>
        <v>#VALUE!</v>
      </c>
      <c r="Z704" s="1" t="e">
        <f t="shared" si="126"/>
        <v>#VALUE!</v>
      </c>
      <c r="AA704" s="8">
        <f t="shared" si="131"/>
        <v>57.666666666667211</v>
      </c>
      <c r="AB704" s="1">
        <v>57.75</v>
      </c>
      <c r="AC704" s="1">
        <v>7.5369860869999999E-3</v>
      </c>
      <c r="AD704" s="8">
        <f t="shared" si="127"/>
        <v>0.65901707598705483</v>
      </c>
      <c r="AE704" s="3">
        <f t="shared" si="128"/>
        <v>8.7437746120262259E-3</v>
      </c>
      <c r="AF704" s="11">
        <f t="shared" si="129"/>
        <v>57.666666666667211</v>
      </c>
      <c r="AG704" s="1" t="e">
        <f t="shared" si="130"/>
        <v>#VALUE!</v>
      </c>
    </row>
    <row r="705" spans="2:33" ht="15" x14ac:dyDescent="0.25">
      <c r="B705" s="1">
        <v>694</v>
      </c>
      <c r="C705" s="1">
        <v>1.0012255021171443</v>
      </c>
      <c r="D705" s="1">
        <v>1.2878423589177859</v>
      </c>
      <c r="E705" s="1">
        <v>0.77497155958681629</v>
      </c>
      <c r="G705" s="1">
        <v>1.0037794008094305</v>
      </c>
      <c r="H705" s="1">
        <v>7.8516296109518962</v>
      </c>
      <c r="I705" s="1">
        <v>9.0950122347243284E-2</v>
      </c>
      <c r="K705" s="1">
        <v>0.99700195499576361</v>
      </c>
      <c r="L705" s="1">
        <v>9.0763501581311612</v>
      </c>
      <c r="M705" s="1">
        <v>7.6090595012268669E-2</v>
      </c>
      <c r="O705" s="1">
        <v>7.4714803837055699E-3</v>
      </c>
      <c r="P705" s="1">
        <v>0.64914405942934827</v>
      </c>
      <c r="R705" s="1">
        <v>0.29154212682117853</v>
      </c>
      <c r="S705" s="2" t="e">
        <f t="shared" si="132"/>
        <v>#VALUE!</v>
      </c>
      <c r="T705" s="4" t="e">
        <f t="shared" si="133"/>
        <v>#VALUE!</v>
      </c>
      <c r="U705" s="1">
        <f t="shared" si="137"/>
        <v>1.5723461435066159</v>
      </c>
      <c r="V705" s="6">
        <f>2*sigma/alpha*corel*(B705/12-1/alpha*(1-EXP(-alpha*Output!B705/12)))</f>
        <v>4.4133258277925966</v>
      </c>
      <c r="W705" s="5" t="e">
        <f t="shared" si="134"/>
        <v>#VALUE!</v>
      </c>
      <c r="X705" s="1" t="e">
        <f t="shared" si="135"/>
        <v>#VALUE!</v>
      </c>
      <c r="Y705" s="3" t="e">
        <f t="shared" si="136"/>
        <v>#VALUE!</v>
      </c>
      <c r="Z705" s="1" t="e">
        <f t="shared" si="126"/>
        <v>#VALUE!</v>
      </c>
      <c r="AA705" s="8">
        <f t="shared" si="131"/>
        <v>57.750000000000547</v>
      </c>
      <c r="AB705" s="1">
        <v>57.83</v>
      </c>
      <c r="AC705" s="1">
        <v>7.5368516150000004E-3</v>
      </c>
      <c r="AD705" s="8">
        <f t="shared" si="127"/>
        <v>0.65371231294430487</v>
      </c>
      <c r="AE705" s="3">
        <f t="shared" si="128"/>
        <v>8.6735462808273014E-3</v>
      </c>
      <c r="AF705" s="11">
        <f t="shared" si="129"/>
        <v>57.750000000000547</v>
      </c>
      <c r="AG705" s="1" t="e">
        <f t="shared" si="130"/>
        <v>#VALUE!</v>
      </c>
    </row>
    <row r="706" spans="2:33" ht="15" x14ac:dyDescent="0.25">
      <c r="B706" s="1">
        <v>695</v>
      </c>
      <c r="C706" s="1">
        <v>1.0012358561171086</v>
      </c>
      <c r="D706" s="1">
        <v>1.2877376287006312</v>
      </c>
      <c r="E706" s="1">
        <v>0.77503167255891381</v>
      </c>
      <c r="G706" s="1">
        <v>1.004564759269494</v>
      </c>
      <c r="H706" s="1">
        <v>7.8424930692962551</v>
      </c>
      <c r="I706" s="1">
        <v>9.1011917064995174E-2</v>
      </c>
      <c r="K706" s="1">
        <v>0.9971854816591581</v>
      </c>
      <c r="L706" s="1">
        <v>9.405147566915069</v>
      </c>
      <c r="M706" s="1">
        <v>7.3394319796099977E-2</v>
      </c>
      <c r="O706" s="1">
        <v>7.4718791795604783E-3</v>
      </c>
      <c r="P706" s="1">
        <v>0.64872502924051245</v>
      </c>
      <c r="R706" s="1">
        <v>0.29150030504290819</v>
      </c>
      <c r="S706" s="2" t="e">
        <f t="shared" si="132"/>
        <v>#VALUE!</v>
      </c>
      <c r="T706" s="4" t="e">
        <f t="shared" si="133"/>
        <v>#VALUE!</v>
      </c>
      <c r="U706" s="1">
        <f t="shared" si="137"/>
        <v>1.5765764680780339</v>
      </c>
      <c r="V706" s="6">
        <f>2*sigma/alpha*corel*(B706/12-1/alpha*(1-EXP(-alpha*Output!B706/12)))</f>
        <v>4.4227136795662707</v>
      </c>
      <c r="W706" s="5" t="e">
        <f t="shared" si="134"/>
        <v>#VALUE!</v>
      </c>
      <c r="X706" s="1" t="e">
        <f t="shared" si="135"/>
        <v>#VALUE!</v>
      </c>
      <c r="Y706" s="3" t="e">
        <f t="shared" si="136"/>
        <v>#VALUE!</v>
      </c>
      <c r="Z706" s="1" t="e">
        <f t="shared" si="126"/>
        <v>#VALUE!</v>
      </c>
      <c r="AA706" s="8">
        <f t="shared" si="131"/>
        <v>57.833333333333883</v>
      </c>
      <c r="AB706" s="1">
        <v>57.92</v>
      </c>
      <c r="AC706" s="1">
        <v>7.5367175299999997E-3</v>
      </c>
      <c r="AD706" s="8">
        <f t="shared" si="127"/>
        <v>0.64838350439521375</v>
      </c>
      <c r="AE706" s="3">
        <f t="shared" si="128"/>
        <v>8.6029959569841243E-3</v>
      </c>
      <c r="AF706" s="11">
        <f t="shared" si="129"/>
        <v>57.833333333333883</v>
      </c>
      <c r="AG706" s="1" t="e">
        <f t="shared" si="130"/>
        <v>#VALUE!</v>
      </c>
    </row>
    <row r="707" spans="2:33" ht="15" x14ac:dyDescent="0.25">
      <c r="B707" s="1">
        <v>696</v>
      </c>
      <c r="C707" s="1">
        <v>1.0012416820287604</v>
      </c>
      <c r="D707" s="1">
        <v>1.2901098403986986</v>
      </c>
      <c r="E707" s="1">
        <v>0.77360365665928066</v>
      </c>
      <c r="G707" s="1">
        <v>1.0049455235991431</v>
      </c>
      <c r="H707" s="1">
        <v>7.9778422268582139</v>
      </c>
      <c r="I707" s="1">
        <v>8.9424449418168572E-2</v>
      </c>
      <c r="K707" s="1">
        <v>0.99719694291396455</v>
      </c>
      <c r="L707" s="1">
        <v>9.2900712384756492</v>
      </c>
      <c r="M707" s="1">
        <v>7.4262322021560231E-2</v>
      </c>
      <c r="O707" s="1">
        <v>7.4722235241280596E-3</v>
      </c>
      <c r="P707" s="1">
        <v>0.64830827391785817</v>
      </c>
      <c r="R707" s="1">
        <v>0.29174311443745826</v>
      </c>
      <c r="S707" s="2" t="e">
        <f t="shared" si="132"/>
        <v>#VALUE!</v>
      </c>
      <c r="T707" s="4" t="e">
        <f t="shared" si="133"/>
        <v>#VALUE!</v>
      </c>
      <c r="U707" s="1">
        <f t="shared" si="137"/>
        <v>1.5808098787421159</v>
      </c>
      <c r="V707" s="6">
        <f>2*sigma/alpha*corel*(B707/12-1/alpha*(1-EXP(-alpha*Output!B707/12)))</f>
        <v>4.4321049550136298</v>
      </c>
      <c r="W707" s="5" t="e">
        <f t="shared" si="134"/>
        <v>#VALUE!</v>
      </c>
      <c r="X707" s="1" t="e">
        <f t="shared" si="135"/>
        <v>#VALUE!</v>
      </c>
      <c r="Y707" s="3" t="e">
        <f t="shared" si="136"/>
        <v>#VALUE!</v>
      </c>
      <c r="Z707" s="1" t="e">
        <f t="shared" si="126"/>
        <v>#VALUE!</v>
      </c>
      <c r="AA707" s="8">
        <f t="shared" si="131"/>
        <v>57.916666666667219</v>
      </c>
      <c r="AB707" s="1">
        <v>58</v>
      </c>
      <c r="AC707" s="1">
        <v>7.5365838310000001E-3</v>
      </c>
      <c r="AD707" s="8">
        <f t="shared" si="127"/>
        <v>0.64360306871940476</v>
      </c>
      <c r="AE707" s="3">
        <f t="shared" si="128"/>
        <v>8.5397188321861672E-3</v>
      </c>
      <c r="AF707" s="11">
        <f t="shared" si="129"/>
        <v>57.916666666667219</v>
      </c>
      <c r="AG707" s="1" t="e">
        <f t="shared" si="130"/>
        <v>#VALUE!</v>
      </c>
    </row>
    <row r="708" spans="2:33" ht="15" x14ac:dyDescent="0.25">
      <c r="B708" s="1">
        <v>697</v>
      </c>
      <c r="C708" s="1">
        <v>1.0012391977948707</v>
      </c>
      <c r="D708" s="1">
        <v>1.2895307944208771</v>
      </c>
      <c r="E708" s="1">
        <v>0.77394811459052981</v>
      </c>
      <c r="G708" s="1">
        <v>1.004603390160332</v>
      </c>
      <c r="H708" s="1">
        <v>7.9349181579766297</v>
      </c>
      <c r="I708" s="1">
        <v>8.9864585770592836E-2</v>
      </c>
      <c r="K708" s="1">
        <v>0.9969020126009368</v>
      </c>
      <c r="L708" s="1">
        <v>9.4310080331928514</v>
      </c>
      <c r="M708" s="1">
        <v>7.3114256547219009E-2</v>
      </c>
      <c r="O708" s="1">
        <v>7.4727138716382136E-3</v>
      </c>
      <c r="P708" s="1">
        <v>0.64788625482759721</v>
      </c>
      <c r="R708" s="1">
        <v>0.29172009331900789</v>
      </c>
      <c r="S708" s="2" t="e">
        <f t="shared" si="132"/>
        <v>#VALUE!</v>
      </c>
      <c r="T708" s="4" t="e">
        <f t="shared" si="133"/>
        <v>#VALUE!</v>
      </c>
      <c r="U708" s="1">
        <f t="shared" si="137"/>
        <v>1.5850463663486702</v>
      </c>
      <c r="V708" s="6">
        <f>2*sigma/alpha*corel*(B708/12-1/alpha*(1-EXP(-alpha*Output!B708/12)))</f>
        <v>4.4414996427414266</v>
      </c>
      <c r="W708" s="5" t="e">
        <f t="shared" si="134"/>
        <v>#VALUE!</v>
      </c>
      <c r="X708" s="1" t="e">
        <f t="shared" si="135"/>
        <v>#VALUE!</v>
      </c>
      <c r="Y708" s="3" t="e">
        <f t="shared" si="136"/>
        <v>#VALUE!</v>
      </c>
      <c r="Z708" s="1" t="e">
        <f t="shared" si="126"/>
        <v>#VALUE!</v>
      </c>
      <c r="AA708" s="8">
        <f t="shared" si="131"/>
        <v>58.000000000000554</v>
      </c>
      <c r="AB708" s="1">
        <v>58.08</v>
      </c>
      <c r="AC708" s="1">
        <v>7.5364505170000002E-3</v>
      </c>
      <c r="AD708" s="8">
        <f t="shared" si="127"/>
        <v>0.63736645361786581</v>
      </c>
      <c r="AE708" s="3">
        <f t="shared" si="128"/>
        <v>8.4571172089587254E-3</v>
      </c>
      <c r="AF708" s="11">
        <f t="shared" si="129"/>
        <v>58.000000000000554</v>
      </c>
      <c r="AG708" s="1" t="e">
        <f t="shared" si="130"/>
        <v>#VALUE!</v>
      </c>
    </row>
    <row r="709" spans="2:33" ht="15" x14ac:dyDescent="0.25">
      <c r="B709" s="1">
        <v>698</v>
      </c>
      <c r="C709" s="1">
        <v>1.0012411537584893</v>
      </c>
      <c r="D709" s="1">
        <v>1.2869859681856175</v>
      </c>
      <c r="E709" s="1">
        <v>0.77547555595812734</v>
      </c>
      <c r="G709" s="1">
        <v>1.0046682831163354</v>
      </c>
      <c r="H709" s="1">
        <v>7.7990716686228252</v>
      </c>
      <c r="I709" s="1">
        <v>9.1385528058819498E-2</v>
      </c>
      <c r="K709" s="1">
        <v>0.99734906014140112</v>
      </c>
      <c r="L709" s="1">
        <v>9.0206507529690789</v>
      </c>
      <c r="M709" s="1">
        <v>7.6397072195659207E-2</v>
      </c>
      <c r="O709" s="1">
        <v>7.4732356313667939E-3</v>
      </c>
      <c r="P709" s="1">
        <v>0.64746327452898911</v>
      </c>
      <c r="R709" s="1">
        <v>0.29182347601337255</v>
      </c>
      <c r="S709" s="2" t="e">
        <f t="shared" si="132"/>
        <v>#VALUE!</v>
      </c>
      <c r="T709" s="4" t="e">
        <f t="shared" si="133"/>
        <v>#VALUE!</v>
      </c>
      <c r="U709" s="1">
        <f t="shared" si="137"/>
        <v>1.5892859217705149</v>
      </c>
      <c r="V709" s="6">
        <f>2*sigma/alpha*corel*(B709/12-1/alpha*(1-EXP(-alpha*Output!B709/12)))</f>
        <v>4.4508977313943268</v>
      </c>
      <c r="W709" s="5" t="e">
        <f t="shared" si="134"/>
        <v>#VALUE!</v>
      </c>
      <c r="X709" s="1" t="e">
        <f t="shared" si="135"/>
        <v>#VALUE!</v>
      </c>
      <c r="Y709" s="3" t="e">
        <f t="shared" si="136"/>
        <v>#VALUE!</v>
      </c>
      <c r="Z709" s="1" t="e">
        <f t="shared" si="126"/>
        <v>#VALUE!</v>
      </c>
      <c r="AA709" s="8">
        <f t="shared" si="131"/>
        <v>58.08333333333389</v>
      </c>
      <c r="AB709" s="1">
        <v>58.17</v>
      </c>
      <c r="AC709" s="1">
        <v>7.5363175849999997E-3</v>
      </c>
      <c r="AD709" s="8">
        <f t="shared" si="127"/>
        <v>0.63081953633205812</v>
      </c>
      <c r="AE709" s="3">
        <f t="shared" si="128"/>
        <v>8.3703948144066721E-3</v>
      </c>
      <c r="AF709" s="11">
        <f t="shared" si="129"/>
        <v>58.08333333333389</v>
      </c>
      <c r="AG709" s="1" t="e">
        <f t="shared" si="130"/>
        <v>#VALUE!</v>
      </c>
    </row>
    <row r="710" spans="2:33" ht="15" x14ac:dyDescent="0.25">
      <c r="B710" s="1">
        <v>699</v>
      </c>
      <c r="C710" s="1">
        <v>1.0012349356887256</v>
      </c>
      <c r="D710" s="1">
        <v>1.2900274689769702</v>
      </c>
      <c r="E710" s="1">
        <v>0.77364429075658336</v>
      </c>
      <c r="G710" s="1">
        <v>1.0040459919295945</v>
      </c>
      <c r="H710" s="1">
        <v>7.9712275300584636</v>
      </c>
      <c r="I710" s="1">
        <v>8.9368493628658299E-2</v>
      </c>
      <c r="K710" s="1">
        <v>0.9975052337359599</v>
      </c>
      <c r="L710" s="1">
        <v>9.1202579766851617</v>
      </c>
      <c r="M710" s="1">
        <v>7.5525600329680989E-2</v>
      </c>
      <c r="O710" s="1">
        <v>7.4736538754109003E-3</v>
      </c>
      <c r="P710" s="1">
        <v>0.64704441564080872</v>
      </c>
      <c r="R710" s="1">
        <v>0.29197723080609966</v>
      </c>
      <c r="S710" s="2" t="e">
        <f t="shared" si="132"/>
        <v>#VALUE!</v>
      </c>
      <c r="T710" s="4" t="e">
        <f t="shared" si="133"/>
        <v>#VALUE!</v>
      </c>
      <c r="U710" s="1">
        <f t="shared" si="137"/>
        <v>1.5935285359034537</v>
      </c>
      <c r="V710" s="6">
        <f>2*sigma/alpha*corel*(B710/12-1/alpha*(1-EXP(-alpha*Output!B710/12)))</f>
        <v>4.4602992096547904</v>
      </c>
      <c r="W710" s="5" t="e">
        <f t="shared" si="134"/>
        <v>#VALUE!</v>
      </c>
      <c r="X710" s="1" t="e">
        <f t="shared" si="135"/>
        <v>#VALUE!</v>
      </c>
      <c r="Y710" s="3" t="e">
        <f t="shared" si="136"/>
        <v>#VALUE!</v>
      </c>
      <c r="Z710" s="1" t="e">
        <f t="shared" si="126"/>
        <v>#VALUE!</v>
      </c>
      <c r="AA710" s="8">
        <f t="shared" si="131"/>
        <v>58.166666666667226</v>
      </c>
      <c r="AB710" s="1">
        <v>58.25</v>
      </c>
      <c r="AC710" s="1">
        <v>7.5361850339999998E-3</v>
      </c>
      <c r="AD710" s="8">
        <f t="shared" si="127"/>
        <v>0.62531158589099534</v>
      </c>
      <c r="AE710" s="3">
        <f t="shared" si="128"/>
        <v>8.2974553181730613E-3</v>
      </c>
      <c r="AF710" s="11">
        <f t="shared" si="129"/>
        <v>58.166666666667226</v>
      </c>
      <c r="AG710" s="1" t="e">
        <f t="shared" si="130"/>
        <v>#VALUE!</v>
      </c>
    </row>
    <row r="711" spans="2:33" ht="15" x14ac:dyDescent="0.25">
      <c r="B711" s="1">
        <v>700</v>
      </c>
      <c r="C711" s="1">
        <v>1.0012359492895488</v>
      </c>
      <c r="D711" s="1">
        <v>1.2908548177070904</v>
      </c>
      <c r="E711" s="1">
        <v>0.77314551217689076</v>
      </c>
      <c r="G711" s="1">
        <v>1.0040241167342627</v>
      </c>
      <c r="H711" s="1">
        <v>8.0188364312843952</v>
      </c>
      <c r="I711" s="1">
        <v>8.8794812287522021E-2</v>
      </c>
      <c r="K711" s="1">
        <v>0.99741053477186536</v>
      </c>
      <c r="L711" s="1">
        <v>9.0270564395409085</v>
      </c>
      <c r="M711" s="1">
        <v>7.6262535468344259E-2</v>
      </c>
      <c r="O711" s="1">
        <v>7.4740935865825493E-3</v>
      </c>
      <c r="P711" s="1">
        <v>0.6466249729114627</v>
      </c>
      <c r="R711" s="1">
        <v>0.29216683747029504</v>
      </c>
      <c r="S711" s="2" t="e">
        <f t="shared" si="132"/>
        <v>#VALUE!</v>
      </c>
      <c r="T711" s="4" t="e">
        <f t="shared" si="133"/>
        <v>#VALUE!</v>
      </c>
      <c r="U711" s="1">
        <f t="shared" si="137"/>
        <v>1.5977741996662433</v>
      </c>
      <c r="V711" s="6">
        <f>2*sigma/alpha*corel*(B711/12-1/alpha*(1-EXP(-alpha*Output!B711/12)))</f>
        <v>4.469704066242933</v>
      </c>
      <c r="W711" s="5" t="e">
        <f t="shared" si="134"/>
        <v>#VALUE!</v>
      </c>
      <c r="X711" s="1" t="e">
        <f t="shared" si="135"/>
        <v>#VALUE!</v>
      </c>
      <c r="Y711" s="3" t="e">
        <f t="shared" si="136"/>
        <v>#VALUE!</v>
      </c>
      <c r="Z711" s="1" t="e">
        <f t="shared" si="126"/>
        <v>#VALUE!</v>
      </c>
      <c r="AA711" s="8">
        <f t="shared" si="131"/>
        <v>58.250000000000561</v>
      </c>
      <c r="AB711" s="1">
        <v>58.33</v>
      </c>
      <c r="AC711" s="1">
        <v>7.5360528619999997E-3</v>
      </c>
      <c r="AD711" s="8">
        <f t="shared" si="127"/>
        <v>0.61959275417450455</v>
      </c>
      <c r="AE711" s="3">
        <f t="shared" si="128"/>
        <v>8.2217145436804997E-3</v>
      </c>
      <c r="AF711" s="11">
        <f t="shared" si="129"/>
        <v>58.250000000000561</v>
      </c>
      <c r="AG711" s="1" t="e">
        <f t="shared" si="130"/>
        <v>#VALUE!</v>
      </c>
    </row>
    <row r="712" spans="2:33" ht="15" x14ac:dyDescent="0.25">
      <c r="B712" s="1">
        <v>701</v>
      </c>
      <c r="C712" s="1">
        <v>1.0012380142487243</v>
      </c>
      <c r="D712" s="1">
        <v>1.2842742108091763</v>
      </c>
      <c r="E712" s="1">
        <v>0.77710415591861981</v>
      </c>
      <c r="G712" s="1">
        <v>1.0040367514138333</v>
      </c>
      <c r="H712" s="1">
        <v>7.6581807218200826</v>
      </c>
      <c r="I712" s="1">
        <v>9.2931434306824406E-2</v>
      </c>
      <c r="K712" s="1">
        <v>0.99713517493680026</v>
      </c>
      <c r="L712" s="1">
        <v>8.8625021188335165</v>
      </c>
      <c r="M712" s="1">
        <v>7.7638613441199683E-2</v>
      </c>
      <c r="O712" s="1">
        <v>7.4746729689892715E-3</v>
      </c>
      <c r="P712" s="1">
        <v>0.64620048227213112</v>
      </c>
      <c r="R712" s="1">
        <v>0.29225690514444846</v>
      </c>
      <c r="S712" s="2" t="e">
        <f t="shared" si="132"/>
        <v>#VALUE!</v>
      </c>
      <c r="T712" s="4" t="e">
        <f t="shared" si="133"/>
        <v>#VALUE!</v>
      </c>
      <c r="U712" s="1">
        <f t="shared" si="137"/>
        <v>1.6020229040005707</v>
      </c>
      <c r="V712" s="6">
        <f>2*sigma/alpha*corel*(B712/12-1/alpha*(1-EXP(-alpha*Output!B712/12)))</f>
        <v>4.4791122899164098</v>
      </c>
      <c r="W712" s="5" t="e">
        <f t="shared" si="134"/>
        <v>#VALUE!</v>
      </c>
      <c r="X712" s="1" t="e">
        <f t="shared" si="135"/>
        <v>#VALUE!</v>
      </c>
      <c r="Y712" s="3" t="e">
        <f t="shared" si="136"/>
        <v>#VALUE!</v>
      </c>
      <c r="Z712" s="1" t="e">
        <f t="shared" si="126"/>
        <v>#VALUE!</v>
      </c>
      <c r="AA712" s="8">
        <f t="shared" si="131"/>
        <v>58.333333333333897</v>
      </c>
      <c r="AB712" s="1">
        <v>58.42</v>
      </c>
      <c r="AC712" s="1">
        <v>7.5359210679999998E-3</v>
      </c>
      <c r="AD712" s="8">
        <f t="shared" si="127"/>
        <v>0.61248099010728296</v>
      </c>
      <c r="AE712" s="3">
        <f t="shared" si="128"/>
        <v>8.1274868006258553E-3</v>
      </c>
      <c r="AF712" s="11">
        <f t="shared" si="129"/>
        <v>58.333333333333897</v>
      </c>
      <c r="AG712" s="1" t="e">
        <f t="shared" si="130"/>
        <v>#VALUE!</v>
      </c>
    </row>
    <row r="713" spans="2:33" ht="15" x14ac:dyDescent="0.25">
      <c r="B713" s="1">
        <v>702</v>
      </c>
      <c r="C713" s="1">
        <v>1.0012396179527054</v>
      </c>
      <c r="D713" s="1">
        <v>1.2884303435649023</v>
      </c>
      <c r="E713" s="1">
        <v>0.77459448582018076</v>
      </c>
      <c r="G713" s="1">
        <v>1.0040905154918911</v>
      </c>
      <c r="H713" s="1">
        <v>7.8752864497590256</v>
      </c>
      <c r="I713" s="1">
        <v>9.0325670167144601E-2</v>
      </c>
      <c r="K713" s="1">
        <v>0.99717640820346776</v>
      </c>
      <c r="L713" s="1">
        <v>8.8446586024714957</v>
      </c>
      <c r="M713" s="1">
        <v>7.7755729151580744E-2</v>
      </c>
      <c r="O713" s="1">
        <v>7.4751163676585602E-3</v>
      </c>
      <c r="P713" s="1">
        <v>0.64578134514167029</v>
      </c>
      <c r="R713" s="1">
        <v>0.29254075539628172</v>
      </c>
      <c r="S713" s="2" t="e">
        <f t="shared" si="132"/>
        <v>#VALUE!</v>
      </c>
      <c r="T713" s="4" t="e">
        <f t="shared" si="133"/>
        <v>#VALUE!</v>
      </c>
      <c r="U713" s="1">
        <f t="shared" si="137"/>
        <v>1.6062746398710215</v>
      </c>
      <c r="V713" s="6">
        <f>2*sigma/alpha*corel*(B713/12-1/alpha*(1-EXP(-alpha*Output!B713/12)))</f>
        <v>4.4885238694702903</v>
      </c>
      <c r="W713" s="5" t="e">
        <f t="shared" si="134"/>
        <v>#VALUE!</v>
      </c>
      <c r="X713" s="1" t="e">
        <f t="shared" si="135"/>
        <v>#VALUE!</v>
      </c>
      <c r="Y713" s="3" t="e">
        <f t="shared" si="136"/>
        <v>#VALUE!</v>
      </c>
      <c r="Z713" s="1" t="e">
        <f t="shared" si="126"/>
        <v>#VALUE!</v>
      </c>
      <c r="AA713" s="8">
        <f t="shared" si="131"/>
        <v>58.416666666667233</v>
      </c>
      <c r="AB713" s="1">
        <v>58.5</v>
      </c>
      <c r="AC713" s="1">
        <v>7.5357896500000002E-3</v>
      </c>
      <c r="AD713" s="8">
        <f t="shared" si="127"/>
        <v>0.6067328234143996</v>
      </c>
      <c r="AE713" s="3">
        <f t="shared" si="128"/>
        <v>8.0513503109047053E-3</v>
      </c>
      <c r="AF713" s="11">
        <f t="shared" si="129"/>
        <v>58.416666666667233</v>
      </c>
      <c r="AG713" s="1" t="e">
        <f t="shared" si="130"/>
        <v>#VALUE!</v>
      </c>
    </row>
    <row r="714" spans="2:33" ht="15" x14ac:dyDescent="0.25">
      <c r="B714" s="1">
        <v>703</v>
      </c>
      <c r="C714" s="1">
        <v>1.0012394892006626</v>
      </c>
      <c r="D714" s="1">
        <v>1.2834343748300034</v>
      </c>
      <c r="E714" s="1">
        <v>0.77760676127296346</v>
      </c>
      <c r="G714" s="1">
        <v>1.0039387006288141</v>
      </c>
      <c r="H714" s="1">
        <v>7.6043128195963821</v>
      </c>
      <c r="I714" s="1">
        <v>9.3498980798620165E-2</v>
      </c>
      <c r="K714" s="1">
        <v>0.99758495107245837</v>
      </c>
      <c r="L714" s="1">
        <v>8.9515976462605398</v>
      </c>
      <c r="M714" s="1">
        <v>7.6784615787357458E-2</v>
      </c>
      <c r="O714" s="1">
        <v>7.4754506168958901E-3</v>
      </c>
      <c r="P714" s="1">
        <v>0.64536655885729821</v>
      </c>
      <c r="R714" s="1">
        <v>0.29275090908284185</v>
      </c>
      <c r="S714" s="2" t="e">
        <f t="shared" si="132"/>
        <v>#VALUE!</v>
      </c>
      <c r="T714" s="4" t="e">
        <f t="shared" si="133"/>
        <v>#VALUE!</v>
      </c>
      <c r="U714" s="1">
        <f t="shared" si="137"/>
        <v>1.6105293982650544</v>
      </c>
      <c r="V714" s="6">
        <f>2*sigma/alpha*corel*(B714/12-1/alpha*(1-EXP(-alpha*Output!B714/12)))</f>
        <v>4.4979387937369291</v>
      </c>
      <c r="W714" s="5" t="e">
        <f t="shared" si="134"/>
        <v>#VALUE!</v>
      </c>
      <c r="X714" s="1" t="e">
        <f t="shared" si="135"/>
        <v>#VALUE!</v>
      </c>
      <c r="Y714" s="3" t="e">
        <f t="shared" si="136"/>
        <v>#VALUE!</v>
      </c>
      <c r="Z714" s="1" t="e">
        <f t="shared" si="126"/>
        <v>#VALUE!</v>
      </c>
      <c r="AA714" s="8">
        <f t="shared" si="131"/>
        <v>58.500000000000568</v>
      </c>
      <c r="AB714" s="1">
        <v>58.58</v>
      </c>
      <c r="AC714" s="1">
        <v>7.5356586070000004E-3</v>
      </c>
      <c r="AD714" s="8">
        <f t="shared" si="127"/>
        <v>0.60207990104110298</v>
      </c>
      <c r="AE714" s="3">
        <f t="shared" si="128"/>
        <v>7.9897449239781232E-3</v>
      </c>
      <c r="AF714" s="11">
        <f t="shared" si="129"/>
        <v>58.500000000000568</v>
      </c>
      <c r="AG714" s="1" t="e">
        <f t="shared" si="130"/>
        <v>#VALUE!</v>
      </c>
    </row>
    <row r="715" spans="2:33" ht="15" x14ac:dyDescent="0.25">
      <c r="B715" s="1">
        <v>704</v>
      </c>
      <c r="C715" s="1">
        <v>1.0012376288277851</v>
      </c>
      <c r="D715" s="1">
        <v>1.2801129805809619</v>
      </c>
      <c r="E715" s="1">
        <v>0.77962138160323213</v>
      </c>
      <c r="G715" s="1">
        <v>1.0036602578370393</v>
      </c>
      <c r="H715" s="1">
        <v>7.4243071851280948</v>
      </c>
      <c r="I715" s="1">
        <v>9.5719454582088942E-2</v>
      </c>
      <c r="K715" s="1">
        <v>0.99748451345058387</v>
      </c>
      <c r="L715" s="1">
        <v>9.1745055834065603</v>
      </c>
      <c r="M715" s="1">
        <v>7.4878348397524677E-2</v>
      </c>
      <c r="O715" s="1">
        <v>7.4757376853750775E-3</v>
      </c>
      <c r="P715" s="1">
        <v>0.64495378825113758</v>
      </c>
      <c r="R715" s="1">
        <v>0.29290053583667064</v>
      </c>
      <c r="S715" s="2" t="e">
        <f t="shared" si="132"/>
        <v>#VALUE!</v>
      </c>
      <c r="T715" s="4" t="e">
        <f t="shared" si="133"/>
        <v>#VALUE!</v>
      </c>
      <c r="U715" s="1">
        <f t="shared" si="137"/>
        <v>1.6147871701929719</v>
      </c>
      <c r="V715" s="6">
        <f>2*sigma/alpha*corel*(B715/12-1/alpha*(1-EXP(-alpha*Output!B715/12)))</f>
        <v>4.507357051585843</v>
      </c>
      <c r="W715" s="5" t="e">
        <f t="shared" si="134"/>
        <v>#VALUE!</v>
      </c>
      <c r="X715" s="1" t="e">
        <f t="shared" si="135"/>
        <v>#VALUE!</v>
      </c>
      <c r="Y715" s="3" t="e">
        <f t="shared" si="136"/>
        <v>#VALUE!</v>
      </c>
      <c r="Z715" s="1" t="e">
        <f t="shared" si="126"/>
        <v>#VALUE!</v>
      </c>
      <c r="AA715" s="8">
        <f t="shared" si="131"/>
        <v>58.583333333333904</v>
      </c>
      <c r="AB715" s="1">
        <v>58.67</v>
      </c>
      <c r="AC715" s="1">
        <v>7.5355279359999999E-3</v>
      </c>
      <c r="AD715" s="8">
        <f t="shared" si="127"/>
        <v>0.59790250624922392</v>
      </c>
      <c r="AE715" s="3">
        <f t="shared" si="128"/>
        <v>7.9344474776985811E-3</v>
      </c>
      <c r="AF715" s="11">
        <f t="shared" si="129"/>
        <v>58.583333333333904</v>
      </c>
      <c r="AG715" s="1" t="e">
        <f t="shared" si="130"/>
        <v>#VALUE!</v>
      </c>
    </row>
    <row r="716" spans="2:33" ht="15" x14ac:dyDescent="0.25">
      <c r="B716" s="1">
        <v>705</v>
      </c>
      <c r="C716" s="1">
        <v>1.0012410050777172</v>
      </c>
      <c r="D716" s="1">
        <v>1.2798146418770051</v>
      </c>
      <c r="E716" s="1">
        <v>0.77980014942958775</v>
      </c>
      <c r="G716" s="1">
        <v>1.0038320755434822</v>
      </c>
      <c r="H716" s="1">
        <v>7.4059554561114895</v>
      </c>
      <c r="I716" s="1">
        <v>9.5910100878413798E-2</v>
      </c>
      <c r="K716" s="1">
        <v>0.99765377426390656</v>
      </c>
      <c r="L716" s="1">
        <v>9.3214145738247112</v>
      </c>
      <c r="M716" s="1">
        <v>7.3656516144496129E-2</v>
      </c>
      <c r="O716" s="1">
        <v>7.4759582240245918E-3</v>
      </c>
      <c r="P716" s="1">
        <v>0.6445437700879818</v>
      </c>
      <c r="R716" s="1">
        <v>0.29312467157485717</v>
      </c>
      <c r="S716" s="2" t="e">
        <f t="shared" si="132"/>
        <v>#VALUE!</v>
      </c>
      <c r="T716" s="4" t="e">
        <f t="shared" si="133"/>
        <v>#VALUE!</v>
      </c>
      <c r="U716" s="1">
        <f t="shared" si="137"/>
        <v>1.6190479466878926</v>
      </c>
      <c r="V716" s="6">
        <f>2*sigma/alpha*corel*(B716/12-1/alpha*(1-EXP(-alpha*Output!B716/12)))</f>
        <v>4.516778631923593</v>
      </c>
      <c r="W716" s="5" t="e">
        <f t="shared" si="134"/>
        <v>#VALUE!</v>
      </c>
      <c r="X716" s="1" t="e">
        <f t="shared" si="135"/>
        <v>#VALUE!</v>
      </c>
      <c r="Y716" s="3" t="e">
        <f t="shared" si="136"/>
        <v>#VALUE!</v>
      </c>
      <c r="Z716" s="1" t="e">
        <f t="shared" si="126"/>
        <v>#VALUE!</v>
      </c>
      <c r="AA716" s="8">
        <f t="shared" si="131"/>
        <v>58.66666666666724</v>
      </c>
      <c r="AB716" s="1">
        <v>58.75</v>
      </c>
      <c r="AC716" s="1">
        <v>7.5353976360000002E-3</v>
      </c>
      <c r="AD716" s="8">
        <f t="shared" si="127"/>
        <v>0.59439411975408318</v>
      </c>
      <c r="AE716" s="3">
        <f t="shared" si="128"/>
        <v>7.8880259339519643E-3</v>
      </c>
      <c r="AF716" s="11">
        <f t="shared" si="129"/>
        <v>58.66666666666724</v>
      </c>
      <c r="AG716" s="1" t="e">
        <f t="shared" si="130"/>
        <v>#VALUE!</v>
      </c>
    </row>
    <row r="717" spans="2:33" ht="15" x14ac:dyDescent="0.25">
      <c r="B717" s="1">
        <v>706</v>
      </c>
      <c r="C717" s="1">
        <v>1.0012468939463532</v>
      </c>
      <c r="D717" s="1">
        <v>1.2787589640073886</v>
      </c>
      <c r="E717" s="1">
        <v>0.78044093593198183</v>
      </c>
      <c r="G717" s="1">
        <v>1.0042134152349227</v>
      </c>
      <c r="H717" s="1">
        <v>7.3424810069212176</v>
      </c>
      <c r="I717" s="1">
        <v>9.6692303174249788E-2</v>
      </c>
      <c r="K717" s="1">
        <v>0.99767797161565086</v>
      </c>
      <c r="L717" s="1">
        <v>9.466438080638417</v>
      </c>
      <c r="M717" s="1">
        <v>7.2492871927393857E-2</v>
      </c>
      <c r="O717" s="1">
        <v>7.4762076659264818E-3</v>
      </c>
      <c r="P717" s="1">
        <v>0.64413289357806602</v>
      </c>
      <c r="R717" s="1">
        <v>0.29325514649351397</v>
      </c>
      <c r="S717" s="2" t="e">
        <f t="shared" si="132"/>
        <v>#VALUE!</v>
      </c>
      <c r="T717" s="4" t="e">
        <f t="shared" si="133"/>
        <v>#VALUE!</v>
      </c>
      <c r="U717" s="1">
        <f t="shared" si="137"/>
        <v>1.6233117188057209</v>
      </c>
      <c r="V717" s="6">
        <f>2*sigma/alpha*corel*(B717/12-1/alpha*(1-EXP(-alpha*Output!B717/12)))</f>
        <v>4.5262035236936518</v>
      </c>
      <c r="W717" s="5" t="e">
        <f t="shared" si="134"/>
        <v>#VALUE!</v>
      </c>
      <c r="X717" s="1" t="e">
        <f t="shared" si="135"/>
        <v>#VALUE!</v>
      </c>
      <c r="Y717" s="3" t="e">
        <f t="shared" si="136"/>
        <v>#VALUE!</v>
      </c>
      <c r="Z717" s="1" t="e">
        <f t="shared" ref="Z717:Z731" si="138">S717/SQRT(B717/12)</f>
        <v>#VALUE!</v>
      </c>
      <c r="AA717" s="8">
        <f t="shared" si="131"/>
        <v>58.750000000000576</v>
      </c>
      <c r="AB717" s="1">
        <v>58.83</v>
      </c>
      <c r="AC717" s="1">
        <v>7.5352677059999998E-3</v>
      </c>
      <c r="AD717" s="8">
        <f t="shared" ref="AD717:AD731" si="139">(AC717-O717)*10000</f>
        <v>0.59060040073517961</v>
      </c>
      <c r="AE717" s="3">
        <f t="shared" ref="AE717:AE731" si="140">AD717/AC717/10000</f>
        <v>7.8378157721577784E-3</v>
      </c>
      <c r="AF717" s="11">
        <f t="shared" ref="AF717:AF731" si="141">AA717</f>
        <v>58.750000000000576</v>
      </c>
      <c r="AG717" s="1" t="e">
        <f t="shared" ref="AG717:AG731" si="142">Z717</f>
        <v>#VALUE!</v>
      </c>
    </row>
    <row r="718" spans="2:33" ht="15" x14ac:dyDescent="0.25">
      <c r="B718" s="1">
        <v>707</v>
      </c>
      <c r="C718" s="1">
        <v>1.0012473439032541</v>
      </c>
      <c r="D718" s="1">
        <v>1.2804221476530604</v>
      </c>
      <c r="E718" s="1">
        <v>0.77942421806500928</v>
      </c>
      <c r="G718" s="1">
        <v>1.0041534724678345</v>
      </c>
      <c r="H718" s="1">
        <v>7.4282914652431478</v>
      </c>
      <c r="I718" s="1">
        <v>9.5528969391878285E-2</v>
      </c>
      <c r="K718" s="1">
        <v>0.99782935554283492</v>
      </c>
      <c r="L718" s="1">
        <v>9.4194233760818893</v>
      </c>
      <c r="M718" s="1">
        <v>7.2815436545307088E-2</v>
      </c>
      <c r="O718" s="1">
        <v>7.4764825479590666E-3</v>
      </c>
      <c r="P718" s="1">
        <v>0.64372128738630585</v>
      </c>
      <c r="R718" s="1">
        <v>0.29332838945408274</v>
      </c>
      <c r="S718" s="2" t="e">
        <f t="shared" si="132"/>
        <v>#VALUE!</v>
      </c>
      <c r="T718" s="4" t="e">
        <f t="shared" si="133"/>
        <v>#VALUE!</v>
      </c>
      <c r="U718" s="1">
        <f t="shared" si="137"/>
        <v>1.6275784776251179</v>
      </c>
      <c r="V718" s="6">
        <f>2*sigma/alpha*corel*(B718/12-1/alpha*(1-EXP(-alpha*Output!B718/12)))</f>
        <v>4.5356317158762884</v>
      </c>
      <c r="W718" s="5" t="e">
        <f t="shared" si="134"/>
        <v>#VALUE!</v>
      </c>
      <c r="X718" s="1" t="e">
        <f t="shared" si="135"/>
        <v>#VALUE!</v>
      </c>
      <c r="Y718" s="3" t="e">
        <f t="shared" si="136"/>
        <v>#VALUE!</v>
      </c>
      <c r="Z718" s="1" t="e">
        <f t="shared" si="138"/>
        <v>#VALUE!</v>
      </c>
      <c r="AA718" s="8">
        <f t="shared" ref="AA718:AA731" si="143">AA717+1/12</f>
        <v>58.833333333333911</v>
      </c>
      <c r="AB718" s="1">
        <v>58.92</v>
      </c>
      <c r="AC718" s="1">
        <v>7.5351381439999997E-3</v>
      </c>
      <c r="AD718" s="8">
        <f t="shared" si="139"/>
        <v>0.58655596040933089</v>
      </c>
      <c r="AE718" s="3">
        <f t="shared" si="140"/>
        <v>7.7842761366808842E-3</v>
      </c>
      <c r="AF718" s="11">
        <f t="shared" si="141"/>
        <v>58.833333333333911</v>
      </c>
      <c r="AG718" s="1" t="e">
        <f t="shared" si="142"/>
        <v>#VALUE!</v>
      </c>
    </row>
    <row r="719" spans="2:33" ht="15" x14ac:dyDescent="0.25">
      <c r="B719" s="1">
        <v>708</v>
      </c>
      <c r="C719" s="1">
        <v>1.0012411959921117</v>
      </c>
      <c r="D719" s="1">
        <v>1.2773359806781668</v>
      </c>
      <c r="E719" s="1">
        <v>0.78130439499004689</v>
      </c>
      <c r="G719" s="1">
        <v>1.0035387075611109</v>
      </c>
      <c r="H719" s="1">
        <v>7.2682554493418134</v>
      </c>
      <c r="I719" s="1">
        <v>9.7585015527416052E-2</v>
      </c>
      <c r="K719" s="1">
        <v>0.99763025542057604</v>
      </c>
      <c r="L719" s="1">
        <v>9.4515519749967574</v>
      </c>
      <c r="M719" s="1">
        <v>7.2527861761559717E-2</v>
      </c>
      <c r="O719" s="1">
        <v>7.4767771657388484E-3</v>
      </c>
      <c r="P719" s="1">
        <v>0.64330916566640861</v>
      </c>
      <c r="R719" s="1">
        <v>0.29332233107335054</v>
      </c>
      <c r="S719" s="2" t="e">
        <f t="shared" si="132"/>
        <v>#VALUE!</v>
      </c>
      <c r="T719" s="4" t="e">
        <f t="shared" si="133"/>
        <v>#VALUE!</v>
      </c>
      <c r="U719" s="1">
        <f t="shared" si="137"/>
        <v>1.6318482142474764</v>
      </c>
      <c r="V719" s="6">
        <f>2*sigma/alpha*corel*(B719/12-1/alpha*(1-EXP(-alpha*Output!B719/12)))</f>
        <v>4.545063197488445</v>
      </c>
      <c r="W719" s="5" t="e">
        <f t="shared" si="134"/>
        <v>#VALUE!</v>
      </c>
      <c r="X719" s="1" t="e">
        <f t="shared" si="135"/>
        <v>#VALUE!</v>
      </c>
      <c r="Y719" s="3" t="e">
        <f t="shared" si="136"/>
        <v>#VALUE!</v>
      </c>
      <c r="Z719" s="1" t="e">
        <f t="shared" si="138"/>
        <v>#VALUE!</v>
      </c>
      <c r="AA719" s="8">
        <f t="shared" si="143"/>
        <v>58.916666666667247</v>
      </c>
      <c r="AB719" s="1">
        <v>59</v>
      </c>
      <c r="AC719" s="1">
        <v>7.5350089490000003E-3</v>
      </c>
      <c r="AD719" s="8">
        <f t="shared" si="139"/>
        <v>0.58231783261151848</v>
      </c>
      <c r="AE719" s="3">
        <f t="shared" si="140"/>
        <v>7.7281637825898017E-3</v>
      </c>
      <c r="AF719" s="11">
        <f t="shared" si="141"/>
        <v>58.916666666667247</v>
      </c>
      <c r="AG719" s="1" t="e">
        <f t="shared" si="142"/>
        <v>#VALUE!</v>
      </c>
    </row>
    <row r="720" spans="2:33" ht="15" x14ac:dyDescent="0.25">
      <c r="B720" s="1">
        <v>709</v>
      </c>
      <c r="C720" s="1">
        <v>1.0012451792575188</v>
      </c>
      <c r="D720" s="1">
        <v>1.2787502221355358</v>
      </c>
      <c r="E720" s="1">
        <v>0.780437318441906</v>
      </c>
      <c r="G720" s="1">
        <v>1.0037544908417881</v>
      </c>
      <c r="H720" s="1">
        <v>7.3416468355471372</v>
      </c>
      <c r="I720" s="1">
        <v>9.6562636823680117E-2</v>
      </c>
      <c r="K720" s="1">
        <v>0.9976063305383247</v>
      </c>
      <c r="L720" s="1">
        <v>9.4768621723795832</v>
      </c>
      <c r="M720" s="1">
        <v>7.2294196459043988E-2</v>
      </c>
      <c r="O720" s="1">
        <v>7.4771043129713182E-3</v>
      </c>
      <c r="P720" s="1">
        <v>0.64289604061167593</v>
      </c>
      <c r="R720" s="1">
        <v>0.2935300240770799</v>
      </c>
      <c r="S720" s="2" t="e">
        <f t="shared" si="132"/>
        <v>#VALUE!</v>
      </c>
      <c r="T720" s="4" t="e">
        <f t="shared" si="133"/>
        <v>#VALUE!</v>
      </c>
      <c r="U720" s="1">
        <f t="shared" si="137"/>
        <v>1.6361209197968853</v>
      </c>
      <c r="V720" s="6">
        <f>2*sigma/alpha*corel*(B720/12-1/alpha*(1-EXP(-alpha*Output!B720/12)))</f>
        <v>4.5544979575836084</v>
      </c>
      <c r="W720" s="5" t="e">
        <f t="shared" si="134"/>
        <v>#VALUE!</v>
      </c>
      <c r="X720" s="1" t="e">
        <f t="shared" si="135"/>
        <v>#VALUE!</v>
      </c>
      <c r="Y720" s="3" t="e">
        <f t="shared" si="136"/>
        <v>#VALUE!</v>
      </c>
      <c r="Z720" s="1" t="e">
        <f t="shared" si="138"/>
        <v>#VALUE!</v>
      </c>
      <c r="AA720" s="8">
        <f t="shared" si="143"/>
        <v>59.000000000000583</v>
      </c>
      <c r="AB720" s="1">
        <v>59.08</v>
      </c>
      <c r="AC720" s="1">
        <v>7.5348801189999998E-3</v>
      </c>
      <c r="AD720" s="8">
        <f t="shared" si="139"/>
        <v>0.57775806028681664</v>
      </c>
      <c r="AE720" s="3">
        <f t="shared" si="140"/>
        <v>7.6677803914880927E-3</v>
      </c>
      <c r="AF720" s="11">
        <f t="shared" si="141"/>
        <v>59.000000000000583</v>
      </c>
      <c r="AG720" s="1" t="e">
        <f t="shared" si="142"/>
        <v>#VALUE!</v>
      </c>
    </row>
    <row r="721" spans="2:33" ht="15" x14ac:dyDescent="0.25">
      <c r="B721" s="1">
        <v>710</v>
      </c>
      <c r="C721" s="1">
        <v>1.0012493932276589</v>
      </c>
      <c r="D721" s="1">
        <v>1.2767910052359233</v>
      </c>
      <c r="E721" s="1">
        <v>0.78163189200982031</v>
      </c>
      <c r="G721" s="1">
        <v>1.003999760184018</v>
      </c>
      <c r="H721" s="1">
        <v>7.2325441094051843</v>
      </c>
      <c r="I721" s="1">
        <v>9.7971735390918649E-2</v>
      </c>
      <c r="K721" s="1">
        <v>0.99752692848810032</v>
      </c>
      <c r="L721" s="1">
        <v>9.1487197876069715</v>
      </c>
      <c r="M721" s="1">
        <v>7.4847868922147565E-2</v>
      </c>
      <c r="O721" s="1">
        <v>7.4774311215616016E-3</v>
      </c>
      <c r="P721" s="1">
        <v>0.64248315870256312</v>
      </c>
      <c r="R721" s="1">
        <v>0.29371540781922206</v>
      </c>
      <c r="S721" s="2" t="e">
        <f t="shared" si="132"/>
        <v>#VALUE!</v>
      </c>
      <c r="T721" s="4" t="e">
        <f t="shared" si="133"/>
        <v>#VALUE!</v>
      </c>
      <c r="U721" s="1">
        <f t="shared" si="137"/>
        <v>1.6403965854201039</v>
      </c>
      <c r="V721" s="6">
        <f>2*sigma/alpha*corel*(B721/12-1/alpha*(1-EXP(-alpha*Output!B721/12)))</f>
        <v>4.5639359852516961</v>
      </c>
      <c r="W721" s="5" t="e">
        <f t="shared" si="134"/>
        <v>#VALUE!</v>
      </c>
      <c r="X721" s="1" t="e">
        <f t="shared" si="135"/>
        <v>#VALUE!</v>
      </c>
      <c r="Y721" s="3" t="e">
        <f t="shared" si="136"/>
        <v>#VALUE!</v>
      </c>
      <c r="Z721" s="1" t="e">
        <f t="shared" si="138"/>
        <v>#VALUE!</v>
      </c>
      <c r="AA721" s="8">
        <f t="shared" si="143"/>
        <v>59.083333333333918</v>
      </c>
      <c r="AB721" s="1">
        <v>59.17</v>
      </c>
      <c r="AC721" s="1">
        <v>7.5347516520000001E-3</v>
      </c>
      <c r="AD721" s="8">
        <f t="shared" si="139"/>
        <v>0.57320530438398531</v>
      </c>
      <c r="AE721" s="3">
        <f t="shared" si="140"/>
        <v>7.6074876898143753E-3</v>
      </c>
      <c r="AF721" s="11">
        <f t="shared" si="141"/>
        <v>59.083333333333918</v>
      </c>
      <c r="AG721" s="1" t="e">
        <f t="shared" si="142"/>
        <v>#VALUE!</v>
      </c>
    </row>
    <row r="722" spans="2:33" ht="15" x14ac:dyDescent="0.25">
      <c r="B722" s="1">
        <v>711</v>
      </c>
      <c r="C722" s="1">
        <v>1.0012490410564043</v>
      </c>
      <c r="D722" s="1">
        <v>1.2750734605593419</v>
      </c>
      <c r="E722" s="1">
        <v>0.78268175894475078</v>
      </c>
      <c r="G722" s="1">
        <v>1.0038053297296163</v>
      </c>
      <c r="H722" s="1">
        <v>7.1423447202045365</v>
      </c>
      <c r="I722" s="1">
        <v>9.9160879184328296E-2</v>
      </c>
      <c r="K722" s="1">
        <v>0.99729316108337418</v>
      </c>
      <c r="L722" s="1">
        <v>9.5294671331884953</v>
      </c>
      <c r="M722" s="1">
        <v>7.1821785109721314E-2</v>
      </c>
      <c r="O722" s="1">
        <v>7.4778181999544686E-3</v>
      </c>
      <c r="P722" s="1">
        <v>0.64206821416231785</v>
      </c>
      <c r="R722" s="1">
        <v>0.29397452434332727</v>
      </c>
      <c r="S722" s="2" t="e">
        <f t="shared" si="132"/>
        <v>#VALUE!</v>
      </c>
      <c r="T722" s="4" t="e">
        <f t="shared" si="133"/>
        <v>#VALUE!</v>
      </c>
      <c r="U722" s="1">
        <f t="shared" si="137"/>
        <v>1.6446752022865319</v>
      </c>
      <c r="V722" s="6">
        <f>2*sigma/alpha*corel*(B722/12-1/alpha*(1-EXP(-alpha*Output!B722/12)))</f>
        <v>4.5733772696189323</v>
      </c>
      <c r="W722" s="5" t="e">
        <f t="shared" si="134"/>
        <v>#VALUE!</v>
      </c>
      <c r="X722" s="1" t="e">
        <f t="shared" si="135"/>
        <v>#VALUE!</v>
      </c>
      <c r="Y722" s="3" t="e">
        <f t="shared" si="136"/>
        <v>#VALUE!</v>
      </c>
      <c r="Z722" s="1" t="e">
        <f t="shared" si="138"/>
        <v>#VALUE!</v>
      </c>
      <c r="AA722" s="8">
        <f t="shared" si="143"/>
        <v>59.166666666667254</v>
      </c>
      <c r="AB722" s="1">
        <v>59.25</v>
      </c>
      <c r="AC722" s="1">
        <v>7.5346235469999998E-3</v>
      </c>
      <c r="AD722" s="8">
        <f t="shared" si="139"/>
        <v>0.56805347045531251</v>
      </c>
      <c r="AE722" s="3">
        <f t="shared" si="140"/>
        <v>7.5392415681005036E-3</v>
      </c>
      <c r="AF722" s="11">
        <f t="shared" si="141"/>
        <v>59.166666666667254</v>
      </c>
      <c r="AG722" s="1" t="e">
        <f t="shared" si="142"/>
        <v>#VALUE!</v>
      </c>
    </row>
    <row r="723" spans="2:33" ht="15" x14ac:dyDescent="0.25">
      <c r="B723" s="1">
        <v>712</v>
      </c>
      <c r="C723" s="1">
        <v>1.0012518936658161</v>
      </c>
      <c r="D723" s="1">
        <v>1.2753988129117633</v>
      </c>
      <c r="E723" s="1">
        <v>0.78247909097446045</v>
      </c>
      <c r="G723" s="1">
        <v>1.0039676459521052</v>
      </c>
      <c r="H723" s="1">
        <v>7.1628874261655211</v>
      </c>
      <c r="I723" s="1">
        <v>9.882852927269789E-2</v>
      </c>
      <c r="K723" s="1">
        <v>0.99749622911707514</v>
      </c>
      <c r="L723" s="1">
        <v>9.7322479144719498</v>
      </c>
      <c r="M723" s="1">
        <v>7.0284747737635794E-2</v>
      </c>
      <c r="O723" s="1">
        <v>7.4782345703405789E-3</v>
      </c>
      <c r="P723" s="1">
        <v>0.64165238102947997</v>
      </c>
      <c r="R723" s="1">
        <v>0.2940639426762866</v>
      </c>
      <c r="S723" s="2" t="e">
        <f t="shared" si="132"/>
        <v>#VALUE!</v>
      </c>
      <c r="T723" s="4" t="e">
        <f t="shared" si="133"/>
        <v>#VALUE!</v>
      </c>
      <c r="U723" s="1">
        <f t="shared" si="137"/>
        <v>1.6489567615881779</v>
      </c>
      <c r="V723" s="6">
        <f>2*sigma/alpha*corel*(B723/12-1/alpha*(1-EXP(-alpha*Output!B723/12)))</f>
        <v>4.5828217998477259</v>
      </c>
      <c r="W723" s="5" t="e">
        <f t="shared" si="134"/>
        <v>#VALUE!</v>
      </c>
      <c r="X723" s="1" t="e">
        <f t="shared" si="135"/>
        <v>#VALUE!</v>
      </c>
      <c r="Y723" s="3" t="e">
        <f t="shared" si="136"/>
        <v>#VALUE!</v>
      </c>
      <c r="Z723" s="1" t="e">
        <f t="shared" si="138"/>
        <v>#VALUE!</v>
      </c>
      <c r="AA723" s="8">
        <f t="shared" si="143"/>
        <v>59.25000000000059</v>
      </c>
      <c r="AB723" s="1">
        <v>59.33</v>
      </c>
      <c r="AC723" s="1">
        <v>7.5344958019999998E-3</v>
      </c>
      <c r="AD723" s="8">
        <f t="shared" si="139"/>
        <v>0.56261231659420974</v>
      </c>
      <c r="AE723" s="3">
        <f t="shared" si="140"/>
        <v>7.4671528311803783E-3</v>
      </c>
      <c r="AF723" s="11">
        <f t="shared" si="141"/>
        <v>59.25000000000059</v>
      </c>
      <c r="AG723" s="1" t="e">
        <f t="shared" si="142"/>
        <v>#VALUE!</v>
      </c>
    </row>
    <row r="724" spans="2:33" ht="15" x14ac:dyDescent="0.25">
      <c r="B724" s="1">
        <v>713</v>
      </c>
      <c r="C724" s="1">
        <v>1.0012548400152508</v>
      </c>
      <c r="D724" s="1">
        <v>1.2733437005768344</v>
      </c>
      <c r="E724" s="1">
        <v>0.78373895698804041</v>
      </c>
      <c r="G724" s="1">
        <v>1.0040927590755213</v>
      </c>
      <c r="H724" s="1">
        <v>7.0598688802026421</v>
      </c>
      <c r="I724" s="1">
        <v>0.10022200879608253</v>
      </c>
      <c r="K724" s="1">
        <v>0.99780820022414796</v>
      </c>
      <c r="L724" s="1">
        <v>9.6247744174464849</v>
      </c>
      <c r="M724" s="1">
        <v>7.1031685403282738E-2</v>
      </c>
      <c r="O724" s="1">
        <v>7.4786121749710784E-3</v>
      </c>
      <c r="P724" s="1">
        <v>0.64123824969364829</v>
      </c>
      <c r="R724" s="1">
        <v>0.29413020618651597</v>
      </c>
      <c r="S724" s="2" t="e">
        <f t="shared" si="132"/>
        <v>#VALUE!</v>
      </c>
      <c r="T724" s="4" t="e">
        <f t="shared" si="133"/>
        <v>#VALUE!</v>
      </c>
      <c r="U724" s="1">
        <f t="shared" si="137"/>
        <v>1.6532412545396302</v>
      </c>
      <c r="V724" s="6">
        <f>2*sigma/alpha*corel*(B724/12-1/alpha*(1-EXP(-alpha*Output!B724/12)))</f>
        <v>4.592269565136549</v>
      </c>
      <c r="W724" s="5" t="e">
        <f t="shared" si="134"/>
        <v>#VALUE!</v>
      </c>
      <c r="X724" s="1" t="e">
        <f t="shared" si="135"/>
        <v>#VALUE!</v>
      </c>
      <c r="Y724" s="3" t="e">
        <f t="shared" si="136"/>
        <v>#VALUE!</v>
      </c>
      <c r="Z724" s="1" t="e">
        <f t="shared" si="138"/>
        <v>#VALUE!</v>
      </c>
      <c r="AA724" s="8">
        <f t="shared" si="143"/>
        <v>59.333333333333925</v>
      </c>
      <c r="AB724" s="1">
        <v>59.42</v>
      </c>
      <c r="AC724" s="1">
        <v>7.5343684170000001E-3</v>
      </c>
      <c r="AD724" s="8">
        <f t="shared" si="139"/>
        <v>0.55756242028921765</v>
      </c>
      <c r="AE724" s="3">
        <f t="shared" si="140"/>
        <v>7.4002542672478612E-3</v>
      </c>
      <c r="AF724" s="11">
        <f t="shared" si="141"/>
        <v>59.333333333333925</v>
      </c>
      <c r="AG724" s="1" t="e">
        <f t="shared" si="142"/>
        <v>#VALUE!</v>
      </c>
    </row>
    <row r="725" spans="2:33" ht="15" x14ac:dyDescent="0.25">
      <c r="B725" s="1">
        <v>714</v>
      </c>
      <c r="C725" s="1">
        <v>1.0012569482981433</v>
      </c>
      <c r="D725" s="1">
        <v>1.2742328840803576</v>
      </c>
      <c r="E725" s="1">
        <v>0.78318903177344723</v>
      </c>
      <c r="G725" s="1">
        <v>1.0041556285084552</v>
      </c>
      <c r="H725" s="1">
        <v>7.1061672552408144</v>
      </c>
      <c r="I725" s="1">
        <v>9.9520738855129395E-2</v>
      </c>
      <c r="K725" s="1">
        <v>0.99764034781307576</v>
      </c>
      <c r="L725" s="1">
        <v>9.3801095878996374</v>
      </c>
      <c r="M725" s="1">
        <v>7.2845562296429314E-2</v>
      </c>
      <c r="O725" s="1">
        <v>7.4790135801927268E-3</v>
      </c>
      <c r="P725" s="1">
        <v>0.64082343782095719</v>
      </c>
      <c r="R725" s="1">
        <v>0.29413973678331284</v>
      </c>
      <c r="S725" s="2" t="e">
        <f t="shared" si="132"/>
        <v>#VALUE!</v>
      </c>
      <c r="T725" s="4" t="e">
        <f t="shared" si="133"/>
        <v>#VALUE!</v>
      </c>
      <c r="U725" s="1">
        <f t="shared" si="137"/>
        <v>1.6575286723780271</v>
      </c>
      <c r="V725" s="6">
        <f>2*sigma/alpha*corel*(B725/12-1/alpha*(1-EXP(-alpha*Output!B725/12)))</f>
        <v>4.6017205547198223</v>
      </c>
      <c r="W725" s="5" t="e">
        <f t="shared" si="134"/>
        <v>#VALUE!</v>
      </c>
      <c r="X725" s="1" t="e">
        <f t="shared" si="135"/>
        <v>#VALUE!</v>
      </c>
      <c r="Y725" s="3" t="e">
        <f t="shared" si="136"/>
        <v>#VALUE!</v>
      </c>
      <c r="Z725" s="1" t="e">
        <f t="shared" si="138"/>
        <v>#VALUE!</v>
      </c>
      <c r="AA725" s="8">
        <f t="shared" si="143"/>
        <v>59.416666666667261</v>
      </c>
      <c r="AB725" s="1">
        <v>59.5</v>
      </c>
      <c r="AC725" s="1">
        <v>7.5342413879999999E-3</v>
      </c>
      <c r="AD725" s="8">
        <f t="shared" si="139"/>
        <v>0.55227807807273033</v>
      </c>
      <c r="AE725" s="3">
        <f t="shared" si="140"/>
        <v>7.3302413558498317E-3</v>
      </c>
      <c r="AF725" s="11">
        <f t="shared" si="141"/>
        <v>59.416666666667261</v>
      </c>
      <c r="AG725" s="1" t="e">
        <f t="shared" si="142"/>
        <v>#VALUE!</v>
      </c>
    </row>
    <row r="726" spans="2:33" ht="15" x14ac:dyDescent="0.25">
      <c r="B726" s="1">
        <v>715</v>
      </c>
      <c r="C726" s="1">
        <v>1.0012573634795616</v>
      </c>
      <c r="D726" s="1">
        <v>1.2772742428742874</v>
      </c>
      <c r="E726" s="1">
        <v>0.78132114178336931</v>
      </c>
      <c r="G726" s="1">
        <v>1.0041147159115107</v>
      </c>
      <c r="H726" s="1">
        <v>7.2553878373131395</v>
      </c>
      <c r="I726" s="1">
        <v>9.7426625598870359E-2</v>
      </c>
      <c r="K726" s="1">
        <v>0.99763237728860166</v>
      </c>
      <c r="L726" s="1">
        <v>9.3797565805681753</v>
      </c>
      <c r="M726" s="1">
        <v>7.280962474430179E-2</v>
      </c>
      <c r="O726" s="1">
        <v>7.4793828692743354E-3</v>
      </c>
      <c r="P726" s="1">
        <v>0.64041007692184215</v>
      </c>
      <c r="R726" s="1">
        <v>0.29424430261553264</v>
      </c>
      <c r="S726" s="2" t="e">
        <f t="shared" si="132"/>
        <v>#VALUE!</v>
      </c>
      <c r="T726" s="4" t="e">
        <f t="shared" si="133"/>
        <v>#VALUE!</v>
      </c>
      <c r="U726" s="1">
        <f t="shared" si="137"/>
        <v>1.6618190063630243</v>
      </c>
      <c r="V726" s="6">
        <f>2*sigma/alpha*corel*(B726/12-1/alpha*(1-EXP(-alpha*Output!B726/12)))</f>
        <v>4.6111747578677917</v>
      </c>
      <c r="W726" s="5" t="e">
        <f t="shared" si="134"/>
        <v>#VALUE!</v>
      </c>
      <c r="X726" s="1" t="e">
        <f t="shared" si="135"/>
        <v>#VALUE!</v>
      </c>
      <c r="Y726" s="3" t="e">
        <f t="shared" si="136"/>
        <v>#VALUE!</v>
      </c>
      <c r="Z726" s="1" t="e">
        <f t="shared" si="138"/>
        <v>#VALUE!</v>
      </c>
      <c r="AA726" s="8">
        <f t="shared" si="143"/>
        <v>59.500000000000597</v>
      </c>
      <c r="AB726" s="1">
        <v>59.58</v>
      </c>
      <c r="AC726" s="1">
        <v>7.5341147160000004E-3</v>
      </c>
      <c r="AD726" s="8">
        <f t="shared" si="139"/>
        <v>0.54731846725664979</v>
      </c>
      <c r="AE726" s="3">
        <f t="shared" si="140"/>
        <v>7.2645358862710712E-3</v>
      </c>
      <c r="AF726" s="11">
        <f t="shared" si="141"/>
        <v>59.500000000000597</v>
      </c>
      <c r="AG726" s="1" t="e">
        <f t="shared" si="142"/>
        <v>#VALUE!</v>
      </c>
    </row>
    <row r="727" spans="2:33" ht="15" x14ac:dyDescent="0.25">
      <c r="B727" s="1">
        <v>716</v>
      </c>
      <c r="C727" s="1">
        <v>1.0012588971542833</v>
      </c>
      <c r="D727" s="1">
        <v>1.2754672485552714</v>
      </c>
      <c r="E727" s="1">
        <v>0.78242504189229256</v>
      </c>
      <c r="G727" s="1">
        <v>1.004141134189835</v>
      </c>
      <c r="H727" s="1">
        <v>7.1589855949361727</v>
      </c>
      <c r="I727" s="1">
        <v>9.8690665962475416E-2</v>
      </c>
      <c r="K727" s="1">
        <v>0.99738450802455947</v>
      </c>
      <c r="L727" s="1">
        <v>9.5121945676815152</v>
      </c>
      <c r="M727" s="1">
        <v>7.1757968753186255E-2</v>
      </c>
      <c r="O727" s="1">
        <v>7.4798320428459235E-3</v>
      </c>
      <c r="P727" s="1">
        <v>0.63999389276851826</v>
      </c>
      <c r="R727" s="1">
        <v>0.29441889058634568</v>
      </c>
      <c r="S727" s="2" t="e">
        <f t="shared" ref="S727:S730" si="144">optim_vol_implied(P727,R727)</f>
        <v>#VALUE!</v>
      </c>
      <c r="T727" s="4" t="e">
        <f t="shared" ref="T727:T730" si="145">S727*S727</f>
        <v>#VALUE!</v>
      </c>
      <c r="U727" s="1">
        <f t="shared" si="137"/>
        <v>1.6661122477767645</v>
      </c>
      <c r="V727" s="6">
        <f>2*sigma/alpha*corel*(B727/12-1/alpha*(1-EXP(-alpha*Output!B727/12)))</f>
        <v>4.6206321638864045</v>
      </c>
      <c r="W727" s="5" t="e">
        <f t="shared" ref="W727:W730" si="146">U727-T727</f>
        <v>#VALUE!</v>
      </c>
      <c r="X727" s="1" t="e">
        <f t="shared" ref="X727:X730" si="147">V727*V727-4*W727*B727/12</f>
        <v>#VALUE!</v>
      </c>
      <c r="Y727" s="3" t="e">
        <f t="shared" ref="Y727:Y730" si="148">(-V727+SQRT(X727))/2/B727*12</f>
        <v>#VALUE!</v>
      </c>
      <c r="Z727" s="1" t="e">
        <f t="shared" si="138"/>
        <v>#VALUE!</v>
      </c>
      <c r="AA727" s="8">
        <f t="shared" si="143"/>
        <v>59.583333333333933</v>
      </c>
      <c r="AB727" s="1">
        <v>59.67</v>
      </c>
      <c r="AC727" s="1">
        <v>7.5339883980000003E-3</v>
      </c>
      <c r="AD727" s="8">
        <f t="shared" si="139"/>
        <v>0.54156355154076807</v>
      </c>
      <c r="AE727" s="3">
        <f t="shared" si="140"/>
        <v>7.1882716422092376E-3</v>
      </c>
      <c r="AF727" s="11">
        <f t="shared" si="141"/>
        <v>59.583333333333933</v>
      </c>
      <c r="AG727" s="1" t="e">
        <f t="shared" si="142"/>
        <v>#VALUE!</v>
      </c>
    </row>
    <row r="728" spans="2:33" ht="15" x14ac:dyDescent="0.25">
      <c r="B728" s="1">
        <v>717</v>
      </c>
      <c r="C728" s="1">
        <v>1.0012603017858994</v>
      </c>
      <c r="D728" s="1">
        <v>1.2754171744292613</v>
      </c>
      <c r="E728" s="1">
        <v>0.7824527354351497</v>
      </c>
      <c r="G728" s="1">
        <v>1.00419605031954</v>
      </c>
      <c r="H728" s="1">
        <v>7.1605811465693332</v>
      </c>
      <c r="I728" s="1">
        <v>9.8620811208761733E-2</v>
      </c>
      <c r="K728" s="1">
        <v>0.99731605284634772</v>
      </c>
      <c r="L728" s="1">
        <v>9.940621928787607</v>
      </c>
      <c r="M728" s="1">
        <v>6.8628061941141336E-2</v>
      </c>
      <c r="O728" s="1">
        <v>7.4802960851583708E-3</v>
      </c>
      <c r="P728" s="1">
        <v>0.63957736299566537</v>
      </c>
      <c r="R728" s="1">
        <v>0.29459731588864158</v>
      </c>
      <c r="S728" s="2" t="e">
        <f t="shared" si="144"/>
        <v>#VALUE!</v>
      </c>
      <c r="T728" s="4" t="e">
        <f t="shared" si="145"/>
        <v>#VALUE!</v>
      </c>
      <c r="U728" s="1">
        <f t="shared" si="137"/>
        <v>1.6704083879238496</v>
      </c>
      <c r="V728" s="6">
        <f>2*sigma/alpha*corel*(B728/12-1/alpha*(1-EXP(-alpha*Output!B728/12)))</f>
        <v>4.6300927621172026</v>
      </c>
      <c r="W728" s="5" t="e">
        <f t="shared" si="146"/>
        <v>#VALUE!</v>
      </c>
      <c r="X728" s="1" t="e">
        <f t="shared" si="147"/>
        <v>#VALUE!</v>
      </c>
      <c r="Y728" s="3" t="e">
        <f t="shared" si="148"/>
        <v>#VALUE!</v>
      </c>
      <c r="Z728" s="1" t="e">
        <f t="shared" si="138"/>
        <v>#VALUE!</v>
      </c>
      <c r="AA728" s="8">
        <f t="shared" si="143"/>
        <v>59.666666666667268</v>
      </c>
      <c r="AB728" s="1">
        <v>59.75</v>
      </c>
      <c r="AC728" s="1">
        <v>7.5338624319999997E-3</v>
      </c>
      <c r="AD728" s="8">
        <f t="shared" si="139"/>
        <v>0.53566346841628887</v>
      </c>
      <c r="AE728" s="3">
        <f t="shared" si="140"/>
        <v>7.1100776427913534E-3</v>
      </c>
      <c r="AF728" s="11">
        <f t="shared" si="141"/>
        <v>59.666666666667268</v>
      </c>
      <c r="AG728" s="1" t="e">
        <f t="shared" si="142"/>
        <v>#VALUE!</v>
      </c>
    </row>
    <row r="729" spans="2:33" ht="15" x14ac:dyDescent="0.25">
      <c r="B729" s="1">
        <v>718</v>
      </c>
      <c r="C729" s="1">
        <v>1.0012614291941619</v>
      </c>
      <c r="D729" s="1">
        <v>1.2730124535448297</v>
      </c>
      <c r="E729" s="1">
        <v>0.78392775392632419</v>
      </c>
      <c r="G729" s="1">
        <v>1.0041930012536326</v>
      </c>
      <c r="H729" s="1">
        <v>7.03952701335069</v>
      </c>
      <c r="I729" s="1">
        <v>0.10026806466725617</v>
      </c>
      <c r="K729" s="1">
        <v>0.99757473018298881</v>
      </c>
      <c r="L729" s="1">
        <v>10.388192909868099</v>
      </c>
      <c r="M729" s="1">
        <v>6.563933667222796E-2</v>
      </c>
      <c r="O729" s="1">
        <v>7.4807512122446896E-3</v>
      </c>
      <c r="P729" s="1">
        <v>0.63916139582787856</v>
      </c>
      <c r="R729" s="1">
        <v>0.2946834739065009</v>
      </c>
      <c r="S729" s="2" t="e">
        <f t="shared" si="144"/>
        <v>#VALUE!</v>
      </c>
      <c r="T729" s="4" t="e">
        <f t="shared" si="145"/>
        <v>#VALUE!</v>
      </c>
      <c r="U729" s="1">
        <f t="shared" si="137"/>
        <v>1.6747074181313044</v>
      </c>
      <c r="V729" s="6">
        <f>2*sigma/alpha*corel*(B729/12-1/alpha*(1-EXP(-alpha*Output!B729/12)))</f>
        <v>4.6395565419371927</v>
      </c>
      <c r="W729" s="5" t="e">
        <f t="shared" si="146"/>
        <v>#VALUE!</v>
      </c>
      <c r="X729" s="1" t="e">
        <f t="shared" si="147"/>
        <v>#VALUE!</v>
      </c>
      <c r="Y729" s="3" t="e">
        <f t="shared" si="148"/>
        <v>#VALUE!</v>
      </c>
      <c r="Z729" s="1" t="e">
        <f t="shared" si="138"/>
        <v>#VALUE!</v>
      </c>
      <c r="AA729" s="8">
        <f t="shared" si="143"/>
        <v>59.750000000000604</v>
      </c>
      <c r="AB729" s="1">
        <v>59.83</v>
      </c>
      <c r="AC729" s="1">
        <v>7.5337368180000003E-3</v>
      </c>
      <c r="AD729" s="8">
        <f t="shared" si="139"/>
        <v>0.52985605755310683</v>
      </c>
      <c r="AE729" s="3">
        <f t="shared" si="140"/>
        <v>7.0331107968511306E-3</v>
      </c>
      <c r="AF729" s="11">
        <f t="shared" si="141"/>
        <v>59.750000000000604</v>
      </c>
      <c r="AG729" s="1" t="e">
        <f t="shared" si="142"/>
        <v>#VALUE!</v>
      </c>
    </row>
    <row r="730" spans="2:33" ht="15" x14ac:dyDescent="0.25">
      <c r="B730" s="1">
        <v>719</v>
      </c>
      <c r="C730" s="1">
        <v>1.001263182721768</v>
      </c>
      <c r="D730" s="1">
        <v>1.2773727958522798</v>
      </c>
      <c r="E730" s="1">
        <v>0.78124876943887112</v>
      </c>
      <c r="G730" s="1">
        <v>1.0043083811292415</v>
      </c>
      <c r="H730" s="1">
        <v>7.2525981984653098</v>
      </c>
      <c r="I730" s="1">
        <v>9.7275117392925131E-2</v>
      </c>
      <c r="K730" s="1">
        <v>0.99783859109880757</v>
      </c>
      <c r="L730" s="1">
        <v>10.480961826563485</v>
      </c>
      <c r="M730" s="1">
        <v>6.5022366672291845E-2</v>
      </c>
      <c r="O730" s="1">
        <v>7.4811991336786263E-3</v>
      </c>
      <c r="P730" s="1">
        <v>0.63874592651558104</v>
      </c>
      <c r="R730" s="1">
        <v>0.29471752944115787</v>
      </c>
      <c r="S730" s="2" t="e">
        <f t="shared" si="144"/>
        <v>#VALUE!</v>
      </c>
      <c r="T730" s="4" t="e">
        <f t="shared" si="145"/>
        <v>#VALUE!</v>
      </c>
      <c r="U730" s="1">
        <f t="shared" si="137"/>
        <v>1.6790093297485491</v>
      </c>
      <c r="V730" s="6">
        <f>2*sigma/alpha*corel*(B730/12-1/alpha*(1-EXP(-alpha*Output!B730/12)))</f>
        <v>4.6490234927587313</v>
      </c>
      <c r="W730" s="5" t="e">
        <f t="shared" si="146"/>
        <v>#VALUE!</v>
      </c>
      <c r="X730" s="1" t="e">
        <f t="shared" si="147"/>
        <v>#VALUE!</v>
      </c>
      <c r="Y730" s="3" t="e">
        <f t="shared" si="148"/>
        <v>#VALUE!</v>
      </c>
      <c r="Z730" s="1" t="e">
        <f t="shared" si="138"/>
        <v>#VALUE!</v>
      </c>
      <c r="AA730" s="8">
        <f t="shared" si="143"/>
        <v>59.83333333333394</v>
      </c>
      <c r="AB730" s="1">
        <v>59.92</v>
      </c>
      <c r="AC730" s="1">
        <v>7.5336115540000003E-3</v>
      </c>
      <c r="AD730" s="8">
        <f t="shared" si="139"/>
        <v>0.52412420321374009</v>
      </c>
      <c r="AE730" s="3">
        <f t="shared" si="140"/>
        <v>6.9571439867437065E-3</v>
      </c>
      <c r="AF730" s="11">
        <f t="shared" si="141"/>
        <v>59.83333333333394</v>
      </c>
      <c r="AG730" s="1" t="e">
        <f t="shared" si="142"/>
        <v>#VALUE!</v>
      </c>
    </row>
    <row r="731" spans="2:33" ht="15" x14ac:dyDescent="0.25">
      <c r="B731" s="1">
        <v>720</v>
      </c>
      <c r="C731" s="1">
        <v>1.0012674449192069</v>
      </c>
      <c r="D731" s="1">
        <v>1.2806080420196031</v>
      </c>
      <c r="E731" s="1">
        <v>0.77927204853747489</v>
      </c>
      <c r="G731" s="1">
        <v>1.0046239102045373</v>
      </c>
      <c r="H731" s="1">
        <v>7.4199438760221241</v>
      </c>
      <c r="I731" s="1">
        <v>9.503509836142135E-2</v>
      </c>
      <c r="K731" s="1">
        <v>0.99797875100575906</v>
      </c>
      <c r="L731" s="1">
        <v>10.671790250087954</v>
      </c>
      <c r="M731" s="1">
        <v>6.3823179167736527E-2</v>
      </c>
      <c r="O731" s="1">
        <v>7.4815666635325313E-3</v>
      </c>
      <c r="P731" s="1">
        <v>0.63833375860617347</v>
      </c>
      <c r="R731" s="1">
        <v>0.29487490093762669</v>
      </c>
      <c r="S731" s="2" t="e">
        <f>optim_vol_implied(P731,R731)</f>
        <v>#VALUE!</v>
      </c>
      <c r="T731" s="4" t="e">
        <f>S731*S731</f>
        <v>#VALUE!</v>
      </c>
      <c r="U731" s="1">
        <f t="shared" si="137"/>
        <v>1.6833141141473673</v>
      </c>
      <c r="V731" s="6">
        <f>2*sigma/alpha*corel*(B731/12-1/alpha*(1-EXP(-alpha*Output!B731/12)))</f>
        <v>4.658493604029414</v>
      </c>
      <c r="W731" s="5" t="e">
        <f>U731-T731</f>
        <v>#VALUE!</v>
      </c>
      <c r="X731" s="1" t="e">
        <f>V731*V731-4*W731*B731/12</f>
        <v>#VALUE!</v>
      </c>
      <c r="Y731" s="3" t="e">
        <f>(-V731+SQRT(X731))/2/B731*12</f>
        <v>#VALUE!</v>
      </c>
      <c r="Z731" s="1" t="e">
        <f t="shared" si="138"/>
        <v>#VALUE!</v>
      </c>
      <c r="AA731" s="8">
        <f t="shared" si="143"/>
        <v>59.916666666667275</v>
      </c>
      <c r="AB731" s="1">
        <v>60</v>
      </c>
      <c r="AC731" s="1">
        <v>7.5334866390000003E-3</v>
      </c>
      <c r="AD731" s="8">
        <f t="shared" si="139"/>
        <v>0.51919975467469048</v>
      </c>
      <c r="AE731" s="3">
        <f t="shared" si="140"/>
        <v>6.8918918895648218E-3</v>
      </c>
      <c r="AF731" s="11">
        <f t="shared" si="141"/>
        <v>59.916666666667275</v>
      </c>
      <c r="AG731" s="1" t="e">
        <f t="shared" si="142"/>
        <v>#VALUE!</v>
      </c>
    </row>
    <row r="732" spans="2:33" x14ac:dyDescent="0.2">
      <c r="AC732" s="1">
        <v>7.5333620699999998E-3</v>
      </c>
    </row>
    <row r="733" spans="2:33" x14ac:dyDescent="0.2">
      <c r="AC733" s="1">
        <v>7.5332378469999996E-3</v>
      </c>
    </row>
    <row r="734" spans="2:33" x14ac:dyDescent="0.2">
      <c r="AC734" s="1">
        <v>7.5331139679999997E-3</v>
      </c>
    </row>
    <row r="735" spans="2:33" x14ac:dyDescent="0.2">
      <c r="AC735" s="1">
        <v>7.5329904319999998E-3</v>
      </c>
    </row>
    <row r="736" spans="2:33" x14ac:dyDescent="0.2">
      <c r="AC736" s="1">
        <v>7.5328672369999999E-3</v>
      </c>
    </row>
    <row r="737" spans="29:29" x14ac:dyDescent="0.2">
      <c r="AC737" s="1">
        <v>7.5327443820000003E-3</v>
      </c>
    </row>
    <row r="738" spans="29:29" x14ac:dyDescent="0.2">
      <c r="AC738" s="1">
        <v>7.5326218650000002E-3</v>
      </c>
    </row>
    <row r="739" spans="29:29" x14ac:dyDescent="0.2">
      <c r="AC739" s="1">
        <v>7.5324996850000001E-3</v>
      </c>
    </row>
    <row r="740" spans="29:29" x14ac:dyDescent="0.2">
      <c r="AC740" s="1">
        <v>7.5323778419999999E-3</v>
      </c>
    </row>
    <row r="741" spans="29:29" x14ac:dyDescent="0.2">
      <c r="AC741" s="1">
        <v>7.5322563319999997E-3</v>
      </c>
    </row>
    <row r="742" spans="29:29" x14ac:dyDescent="0.2">
      <c r="AC742" s="1">
        <v>7.5321351550000004E-3</v>
      </c>
    </row>
    <row r="743" spans="29:29" x14ac:dyDescent="0.2">
      <c r="AC743" s="1">
        <v>7.5320143099999997E-3</v>
      </c>
    </row>
    <row r="744" spans="29:29" x14ac:dyDescent="0.2">
      <c r="AC744" s="1">
        <v>7.5318937950000003E-3</v>
      </c>
    </row>
    <row r="745" spans="29:29" x14ac:dyDescent="0.2">
      <c r="AC745" s="1">
        <v>7.531773609E-3</v>
      </c>
    </row>
    <row r="746" spans="29:29" x14ac:dyDescent="0.2">
      <c r="AC746" s="1">
        <v>7.5316537499999997E-3</v>
      </c>
    </row>
    <row r="747" spans="29:29" x14ac:dyDescent="0.2">
      <c r="AC747" s="1">
        <v>7.5315342180000003E-3</v>
      </c>
    </row>
    <row r="748" spans="29:29" x14ac:dyDescent="0.2">
      <c r="AC748" s="1">
        <v>7.5314150099999996E-3</v>
      </c>
    </row>
    <row r="749" spans="29:29" x14ac:dyDescent="0.2">
      <c r="AC749" s="1">
        <v>7.5312961260000002E-3</v>
      </c>
    </row>
    <row r="750" spans="29:29" x14ac:dyDescent="0.2">
      <c r="AC750" s="1">
        <v>7.5311775640000004E-3</v>
      </c>
    </row>
    <row r="751" spans="29:29" x14ac:dyDescent="0.2">
      <c r="AC751" s="1">
        <v>7.5310593229999997E-3</v>
      </c>
    </row>
    <row r="752" spans="29:29" x14ac:dyDescent="0.2">
      <c r="AC752" s="1">
        <v>7.5309414020000003E-3</v>
      </c>
    </row>
    <row r="753" spans="29:29" x14ac:dyDescent="0.2">
      <c r="AC753" s="1">
        <v>7.5308237989999997E-3</v>
      </c>
    </row>
    <row r="754" spans="29:29" x14ac:dyDescent="0.2">
      <c r="AC754" s="1">
        <v>7.530706513E-3</v>
      </c>
    </row>
    <row r="755" spans="29:29" x14ac:dyDescent="0.2">
      <c r="AC755" s="1">
        <v>7.5305895420000003E-3</v>
      </c>
    </row>
    <row r="756" spans="29:29" x14ac:dyDescent="0.2">
      <c r="AC756" s="1">
        <v>7.5304728859999998E-3</v>
      </c>
    </row>
    <row r="757" spans="29:29" x14ac:dyDescent="0.2">
      <c r="AC757" s="1">
        <v>7.5303565430000002E-3</v>
      </c>
    </row>
    <row r="758" spans="29:29" x14ac:dyDescent="0.2">
      <c r="AC758" s="1">
        <v>7.5302405120000002E-3</v>
      </c>
    </row>
    <row r="759" spans="29:29" x14ac:dyDescent="0.2">
      <c r="AC759" s="1">
        <v>7.5301247920000003E-3</v>
      </c>
    </row>
    <row r="760" spans="29:29" x14ac:dyDescent="0.2">
      <c r="AC760" s="1">
        <v>7.5300093809999996E-3</v>
      </c>
    </row>
    <row r="761" spans="29:29" x14ac:dyDescent="0.2">
      <c r="AC761" s="1">
        <v>7.5298942789999998E-3</v>
      </c>
    </row>
    <row r="762" spans="29:29" x14ac:dyDescent="0.2">
      <c r="AC762" s="1">
        <v>7.5297794829999997E-3</v>
      </c>
    </row>
    <row r="763" spans="29:29" x14ac:dyDescent="0.2">
      <c r="AC763" s="1">
        <v>7.5296649930000001E-3</v>
      </c>
    </row>
    <row r="764" spans="29:29" x14ac:dyDescent="0.2">
      <c r="AC764" s="1">
        <v>7.5295508079999997E-3</v>
      </c>
    </row>
    <row r="765" spans="29:29" x14ac:dyDescent="0.2">
      <c r="AC765" s="1">
        <v>7.5294369260000002E-3</v>
      </c>
    </row>
    <row r="766" spans="29:29" x14ac:dyDescent="0.2">
      <c r="AC766" s="1">
        <v>7.5293233459999996E-3</v>
      </c>
    </row>
    <row r="767" spans="29:29" x14ac:dyDescent="0.2">
      <c r="AC767" s="1">
        <v>7.5292100669999999E-3</v>
      </c>
    </row>
    <row r="768" spans="29:29" x14ac:dyDescent="0.2">
      <c r="AC768" s="1">
        <v>7.5290970870000003E-3</v>
      </c>
    </row>
    <row r="769" spans="29:29" x14ac:dyDescent="0.2">
      <c r="AC769" s="1">
        <v>7.528984406E-3</v>
      </c>
    </row>
    <row r="770" spans="29:29" x14ac:dyDescent="0.2">
      <c r="AC770" s="1">
        <v>7.5288720230000002E-3</v>
      </c>
    </row>
    <row r="771" spans="29:29" x14ac:dyDescent="0.2">
      <c r="AC771" s="1">
        <v>7.5287599349999996E-3</v>
      </c>
    </row>
    <row r="772" spans="29:29" x14ac:dyDescent="0.2">
      <c r="AC772" s="1">
        <v>7.5286481429999996E-3</v>
      </c>
    </row>
    <row r="773" spans="29:29" x14ac:dyDescent="0.2">
      <c r="AC773" s="1">
        <v>7.5285366439999998E-3</v>
      </c>
    </row>
    <row r="774" spans="29:29" x14ac:dyDescent="0.2">
      <c r="AC774" s="1">
        <v>7.528425438E-3</v>
      </c>
    </row>
    <row r="775" spans="29:29" x14ac:dyDescent="0.2">
      <c r="AC775" s="1">
        <v>7.528314524E-3</v>
      </c>
    </row>
    <row r="776" spans="29:29" x14ac:dyDescent="0.2">
      <c r="AC776" s="1">
        <v>7.5282038990000001E-3</v>
      </c>
    </row>
    <row r="777" spans="29:29" x14ac:dyDescent="0.2">
      <c r="AC777" s="1">
        <v>7.5280935650000004E-3</v>
      </c>
    </row>
    <row r="778" spans="29:29" x14ac:dyDescent="0.2">
      <c r="AC778" s="1">
        <v>7.5279835179999999E-3</v>
      </c>
    </row>
    <row r="779" spans="29:29" x14ac:dyDescent="0.2">
      <c r="AC779" s="1">
        <v>7.5278737579999996E-3</v>
      </c>
    </row>
    <row r="780" spans="29:29" x14ac:dyDescent="0.2">
      <c r="AC780" s="1">
        <v>7.5277642839999999E-3</v>
      </c>
    </row>
    <row r="781" spans="29:29" x14ac:dyDescent="0.2">
      <c r="AC781" s="1">
        <v>7.5276550950000003E-3</v>
      </c>
    </row>
    <row r="782" spans="29:29" x14ac:dyDescent="0.2">
      <c r="AC782" s="1">
        <v>7.5275461890000001E-3</v>
      </c>
    </row>
    <row r="783" spans="29:29" x14ac:dyDescent="0.2">
      <c r="AC783" s="1">
        <v>7.527437566E-3</v>
      </c>
    </row>
    <row r="784" spans="29:29" x14ac:dyDescent="0.2">
      <c r="AC784" s="1">
        <v>7.5273292240000001E-3</v>
      </c>
    </row>
    <row r="785" spans="29:29" x14ac:dyDescent="0.2">
      <c r="AC785" s="1">
        <v>7.5272211630000004E-3</v>
      </c>
    </row>
    <row r="786" spans="29:29" x14ac:dyDescent="0.2">
      <c r="AC786" s="1">
        <v>7.527113381E-3</v>
      </c>
    </row>
    <row r="787" spans="29:29" x14ac:dyDescent="0.2">
      <c r="AC787" s="1">
        <v>7.5270058770000002E-3</v>
      </c>
    </row>
    <row r="788" spans="29:29" x14ac:dyDescent="0.2">
      <c r="AC788" s="1">
        <v>7.5268986499999998E-3</v>
      </c>
    </row>
    <row r="789" spans="29:29" x14ac:dyDescent="0.2">
      <c r="AC789" s="1">
        <v>7.5267916989999999E-3</v>
      </c>
    </row>
    <row r="790" spans="29:29" x14ac:dyDescent="0.2">
      <c r="AC790" s="1">
        <v>7.5266850230000003E-3</v>
      </c>
    </row>
    <row r="791" spans="29:29" x14ac:dyDescent="0.2">
      <c r="AC791" s="1">
        <v>7.5265786209999996E-3</v>
      </c>
    </row>
    <row r="792" spans="29:29" x14ac:dyDescent="0.2">
      <c r="AC792" s="1">
        <v>7.5264724910000004E-3</v>
      </c>
    </row>
    <row r="793" spans="29:29" x14ac:dyDescent="0.2">
      <c r="AC793" s="1">
        <v>7.5263666339999997E-3</v>
      </c>
    </row>
    <row r="794" spans="29:29" x14ac:dyDescent="0.2">
      <c r="AC794" s="1">
        <v>7.5262610469999996E-3</v>
      </c>
    </row>
    <row r="795" spans="29:29" x14ac:dyDescent="0.2">
      <c r="AC795" s="1">
        <v>7.5261557300000002E-3</v>
      </c>
    </row>
    <row r="796" spans="29:29" x14ac:dyDescent="0.2">
      <c r="AC796" s="1">
        <v>7.5260506820000002E-3</v>
      </c>
    </row>
    <row r="797" spans="29:29" x14ac:dyDescent="0.2">
      <c r="AC797" s="1">
        <v>7.5259459010000003E-3</v>
      </c>
    </row>
    <row r="798" spans="29:29" x14ac:dyDescent="0.2">
      <c r="AC798" s="1">
        <v>7.5258413869999999E-3</v>
      </c>
    </row>
    <row r="799" spans="29:29" x14ac:dyDescent="0.2">
      <c r="AC799" s="1">
        <v>7.5257371390000001E-3</v>
      </c>
    </row>
    <row r="800" spans="29:29" x14ac:dyDescent="0.2">
      <c r="AC800" s="1">
        <v>7.5256331550000001E-3</v>
      </c>
    </row>
    <row r="801" spans="29:29" x14ac:dyDescent="0.2">
      <c r="AC801" s="1">
        <v>7.525529435E-3</v>
      </c>
    </row>
    <row r="802" spans="29:29" x14ac:dyDescent="0.2">
      <c r="AC802" s="1">
        <v>7.5254259769999996E-3</v>
      </c>
    </row>
    <row r="803" spans="29:29" x14ac:dyDescent="0.2">
      <c r="AC803" s="1">
        <v>7.525322781E-3</v>
      </c>
    </row>
    <row r="804" spans="29:29" x14ac:dyDescent="0.2">
      <c r="AC804" s="1">
        <v>7.5252198459999997E-3</v>
      </c>
    </row>
    <row r="805" spans="29:29" x14ac:dyDescent="0.2">
      <c r="AC805" s="1">
        <v>7.5251171699999998E-3</v>
      </c>
    </row>
    <row r="806" spans="29:29" x14ac:dyDescent="0.2">
      <c r="AC806" s="1">
        <v>7.525014753E-3</v>
      </c>
    </row>
    <row r="807" spans="29:29" x14ac:dyDescent="0.2">
      <c r="AC807" s="1">
        <v>7.5249125929999997E-3</v>
      </c>
    </row>
    <row r="808" spans="29:29" x14ac:dyDescent="0.2">
      <c r="AC808" s="1">
        <v>7.5248106910000001E-3</v>
      </c>
    </row>
    <row r="809" spans="29:29" x14ac:dyDescent="0.2">
      <c r="AC809" s="1">
        <v>7.5247090439999999E-3</v>
      </c>
    </row>
    <row r="810" spans="29:29" x14ac:dyDescent="0.2">
      <c r="AC810" s="1">
        <v>7.5246076510000004E-3</v>
      </c>
    </row>
    <row r="811" spans="29:29" x14ac:dyDescent="0.2">
      <c r="AC811" s="1">
        <v>7.5245065130000004E-3</v>
      </c>
    </row>
    <row r="812" spans="29:29" x14ac:dyDescent="0.2">
      <c r="AC812" s="1">
        <v>7.5244056270000002E-3</v>
      </c>
    </row>
    <row r="813" spans="29:29" x14ac:dyDescent="0.2">
      <c r="AC813" s="1">
        <v>7.5243049929999998E-3</v>
      </c>
    </row>
    <row r="814" spans="29:29" x14ac:dyDescent="0.2">
      <c r="AC814" s="1">
        <v>7.5242046110000002E-3</v>
      </c>
    </row>
    <row r="815" spans="29:29" x14ac:dyDescent="0.2">
      <c r="AC815" s="1">
        <v>7.524104478E-3</v>
      </c>
    </row>
    <row r="816" spans="29:29" x14ac:dyDescent="0.2">
      <c r="AC816" s="1">
        <v>7.5240045940000002E-3</v>
      </c>
    </row>
    <row r="817" spans="29:29" x14ac:dyDescent="0.2">
      <c r="AC817" s="1">
        <v>7.5239049589999997E-3</v>
      </c>
    </row>
    <row r="818" spans="29:29" x14ac:dyDescent="0.2">
      <c r="AC818" s="1">
        <v>7.5238055709999996E-3</v>
      </c>
    </row>
    <row r="819" spans="29:29" x14ac:dyDescent="0.2">
      <c r="AC819" s="1">
        <v>7.5237064290000003E-3</v>
      </c>
    </row>
    <row r="820" spans="29:29" x14ac:dyDescent="0.2">
      <c r="AC820" s="1">
        <v>7.5236075320000003E-3</v>
      </c>
    </row>
    <row r="821" spans="29:29" x14ac:dyDescent="0.2">
      <c r="AC821" s="1">
        <v>7.5235088799999999E-3</v>
      </c>
    </row>
    <row r="822" spans="29:29" x14ac:dyDescent="0.2">
      <c r="AC822" s="1">
        <v>7.5234104720000002E-3</v>
      </c>
    </row>
    <row r="823" spans="29:29" x14ac:dyDescent="0.2">
      <c r="AC823" s="1">
        <v>7.5233123060000004E-3</v>
      </c>
    </row>
    <row r="824" spans="29:29" x14ac:dyDescent="0.2">
      <c r="AC824" s="1">
        <v>7.5232143819999996E-3</v>
      </c>
    </row>
    <row r="825" spans="29:29" x14ac:dyDescent="0.2">
      <c r="AC825" s="1">
        <v>7.5231166990000001E-3</v>
      </c>
    </row>
    <row r="826" spans="29:29" x14ac:dyDescent="0.2">
      <c r="AC826" s="1">
        <v>7.5230192560000004E-3</v>
      </c>
    </row>
    <row r="827" spans="29:29" x14ac:dyDescent="0.2">
      <c r="AC827" s="1">
        <v>7.5229220520000003E-3</v>
      </c>
    </row>
    <row r="828" spans="29:29" x14ac:dyDescent="0.2">
      <c r="AC828" s="1">
        <v>7.5228250870000004E-3</v>
      </c>
    </row>
    <row r="829" spans="29:29" x14ac:dyDescent="0.2">
      <c r="AC829" s="1">
        <v>7.5227283579999997E-3</v>
      </c>
    </row>
    <row r="830" spans="29:29" x14ac:dyDescent="0.2">
      <c r="AC830" s="1">
        <v>7.5226318669999997E-3</v>
      </c>
    </row>
    <row r="831" spans="29:29" x14ac:dyDescent="0.2">
      <c r="AC831" s="1">
        <v>7.5225356110000001E-3</v>
      </c>
    </row>
    <row r="832" spans="29:29" x14ac:dyDescent="0.2">
      <c r="AC832" s="1">
        <v>7.5224395890000004E-3</v>
      </c>
    </row>
    <row r="833" spans="29:29" x14ac:dyDescent="0.2">
      <c r="AC833" s="1">
        <v>7.5223438020000002E-3</v>
      </c>
    </row>
    <row r="834" spans="29:29" x14ac:dyDescent="0.2">
      <c r="AC834" s="1">
        <v>7.5222482480000004E-3</v>
      </c>
    </row>
    <row r="835" spans="29:29" x14ac:dyDescent="0.2">
      <c r="AC835" s="1">
        <v>7.5221529259999996E-3</v>
      </c>
    </row>
    <row r="836" spans="29:29" x14ac:dyDescent="0.2">
      <c r="AC836" s="1">
        <v>7.5220578350000001E-3</v>
      </c>
    </row>
    <row r="837" spans="29:29" x14ac:dyDescent="0.2">
      <c r="AC837" s="1">
        <v>7.5219629750000001E-3</v>
      </c>
    </row>
    <row r="838" spans="29:29" x14ac:dyDescent="0.2">
      <c r="AC838" s="1">
        <v>7.5218683439999996E-3</v>
      </c>
    </row>
    <row r="839" spans="29:29" x14ac:dyDescent="0.2">
      <c r="AC839" s="1">
        <v>7.521773943E-3</v>
      </c>
    </row>
    <row r="840" spans="29:29" x14ac:dyDescent="0.2">
      <c r="AC840" s="1">
        <v>7.5216797689999998E-3</v>
      </c>
    </row>
    <row r="841" spans="29:29" x14ac:dyDescent="0.2">
      <c r="AC841" s="1">
        <v>7.5215858229999997E-3</v>
      </c>
    </row>
    <row r="842" spans="29:29" x14ac:dyDescent="0.2">
      <c r="AC842" s="1">
        <v>7.5214921030000003E-3</v>
      </c>
    </row>
    <row r="843" spans="29:29" x14ac:dyDescent="0.2">
      <c r="AC843" s="1">
        <v>7.5213986079999996E-3</v>
      </c>
    </row>
    <row r="844" spans="29:29" x14ac:dyDescent="0.2">
      <c r="AC844" s="1">
        <v>7.5213053389999998E-3</v>
      </c>
    </row>
    <row r="845" spans="29:29" x14ac:dyDescent="0.2">
      <c r="AC845" s="1">
        <v>7.5212122930000003E-3</v>
      </c>
    </row>
    <row r="846" spans="29:29" x14ac:dyDescent="0.2">
      <c r="AC846" s="1">
        <v>7.5211194699999996E-3</v>
      </c>
    </row>
    <row r="847" spans="29:29" x14ac:dyDescent="0.2">
      <c r="AC847" s="1">
        <v>7.5210268700000001E-3</v>
      </c>
    </row>
    <row r="848" spans="29:29" x14ac:dyDescent="0.2">
      <c r="AC848" s="1">
        <v>7.5209344910000002E-3</v>
      </c>
    </row>
    <row r="849" spans="29:29" x14ac:dyDescent="0.2">
      <c r="AC849" s="1">
        <v>7.5208423329999998E-3</v>
      </c>
    </row>
    <row r="850" spans="29:29" x14ac:dyDescent="0.2">
      <c r="AC850" s="1">
        <v>7.5207503950000002E-3</v>
      </c>
    </row>
    <row r="851" spans="29:29" x14ac:dyDescent="0.2">
      <c r="AC851" s="1">
        <v>7.5206586760000003E-3</v>
      </c>
    </row>
    <row r="852" spans="29:29" x14ac:dyDescent="0.2">
      <c r="AC852" s="1">
        <v>7.5205671759999999E-3</v>
      </c>
    </row>
    <row r="853" spans="29:29" x14ac:dyDescent="0.2">
      <c r="AC853" s="1">
        <v>7.5204758929999999E-3</v>
      </c>
    </row>
    <row r="854" spans="29:29" x14ac:dyDescent="0.2">
      <c r="AC854" s="1">
        <v>7.5203848270000003E-3</v>
      </c>
    </row>
    <row r="855" spans="29:29" x14ac:dyDescent="0.2">
      <c r="AC855" s="1">
        <v>7.5202939769999999E-3</v>
      </c>
    </row>
    <row r="856" spans="29:29" x14ac:dyDescent="0.2">
      <c r="AC856" s="1">
        <v>7.5202033430000004E-3</v>
      </c>
    </row>
    <row r="857" spans="29:29" x14ac:dyDescent="0.2">
      <c r="AC857" s="1">
        <v>7.5201129219999996E-3</v>
      </c>
    </row>
    <row r="858" spans="29:29" x14ac:dyDescent="0.2">
      <c r="AC858" s="1">
        <v>7.5200227160000001E-3</v>
      </c>
    </row>
    <row r="859" spans="29:29" x14ac:dyDescent="0.2">
      <c r="AC859" s="1">
        <v>7.5199327230000002E-3</v>
      </c>
    </row>
    <row r="860" spans="29:29" x14ac:dyDescent="0.2">
      <c r="AC860" s="1">
        <v>7.5198429420000002E-3</v>
      </c>
    </row>
    <row r="861" spans="29:29" x14ac:dyDescent="0.2">
      <c r="AC861" s="1">
        <v>7.5197533719999999E-3</v>
      </c>
    </row>
    <row r="862" spans="29:29" x14ac:dyDescent="0.2">
      <c r="AC862" s="1">
        <v>7.5196640130000001E-3</v>
      </c>
    </row>
    <row r="863" spans="29:29" x14ac:dyDescent="0.2">
      <c r="AC863" s="1">
        <v>7.5195748640000002E-3</v>
      </c>
    </row>
    <row r="864" spans="29:29" x14ac:dyDescent="0.2">
      <c r="AC864" s="1">
        <v>7.5194859249999996E-3</v>
      </c>
    </row>
    <row r="865" spans="29:29" x14ac:dyDescent="0.2">
      <c r="AC865" s="1">
        <v>7.5193971939999998E-3</v>
      </c>
    </row>
    <row r="866" spans="29:29" x14ac:dyDescent="0.2">
      <c r="AC866" s="1">
        <v>7.5193086710000001E-3</v>
      </c>
    </row>
    <row r="867" spans="29:29" x14ac:dyDescent="0.2">
      <c r="AC867" s="1">
        <v>7.519220355E-3</v>
      </c>
    </row>
    <row r="868" spans="29:29" x14ac:dyDescent="0.2">
      <c r="AC868" s="1">
        <v>7.5191322449999999E-3</v>
      </c>
    </row>
    <row r="869" spans="29:29" x14ac:dyDescent="0.2">
      <c r="AC869" s="1">
        <v>7.5190443409999998E-3</v>
      </c>
    </row>
    <row r="870" spans="29:29" x14ac:dyDescent="0.2">
      <c r="AC870" s="1">
        <v>7.5189566409999999E-3</v>
      </c>
    </row>
    <row r="871" spans="29:29" x14ac:dyDescent="0.2">
      <c r="AC871" s="1">
        <v>7.5188691460000004E-3</v>
      </c>
    </row>
    <row r="872" spans="29:29" x14ac:dyDescent="0.2">
      <c r="AC872" s="1">
        <v>7.518781855E-3</v>
      </c>
    </row>
    <row r="873" spans="29:29" x14ac:dyDescent="0.2">
      <c r="AC873" s="1">
        <v>7.5186947659999998E-3</v>
      </c>
    </row>
    <row r="874" spans="29:29" x14ac:dyDescent="0.2">
      <c r="AC874" s="1">
        <v>7.5186078789999996E-3</v>
      </c>
    </row>
    <row r="875" spans="29:29" x14ac:dyDescent="0.2">
      <c r="AC875" s="1">
        <v>7.5185211940000003E-3</v>
      </c>
    </row>
    <row r="876" spans="29:29" x14ac:dyDescent="0.2">
      <c r="AC876" s="1">
        <v>7.5184347099999998E-3</v>
      </c>
    </row>
    <row r="877" spans="29:29" x14ac:dyDescent="0.2">
      <c r="AC877" s="1">
        <v>7.5183484249999998E-3</v>
      </c>
    </row>
    <row r="878" spans="29:29" x14ac:dyDescent="0.2">
      <c r="AC878" s="1">
        <v>7.5182623390000003E-3</v>
      </c>
    </row>
    <row r="879" spans="29:29" x14ac:dyDescent="0.2">
      <c r="AC879" s="1">
        <v>7.518176453E-3</v>
      </c>
    </row>
    <row r="880" spans="29:29" x14ac:dyDescent="0.2">
      <c r="AC880" s="1">
        <v>7.5180907640000003E-3</v>
      </c>
    </row>
    <row r="881" spans="29:29" x14ac:dyDescent="0.2">
      <c r="AC881" s="1">
        <v>7.5180052720000001E-3</v>
      </c>
    </row>
    <row r="882" spans="29:29" x14ac:dyDescent="0.2">
      <c r="AC882" s="1">
        <v>7.5179199769999996E-3</v>
      </c>
    </row>
    <row r="883" spans="29:29" x14ac:dyDescent="0.2">
      <c r="AC883" s="1">
        <v>7.5178348780000001E-3</v>
      </c>
    </row>
    <row r="884" spans="29:29" x14ac:dyDescent="0.2">
      <c r="AC884" s="1">
        <v>7.5177499740000002E-3</v>
      </c>
    </row>
    <row r="885" spans="29:29" x14ac:dyDescent="0.2">
      <c r="AC885" s="1">
        <v>7.5176652639999996E-3</v>
      </c>
    </row>
    <row r="886" spans="29:29" x14ac:dyDescent="0.2">
      <c r="AC886" s="1">
        <v>7.5175807479999999E-3</v>
      </c>
    </row>
    <row r="887" spans="29:29" x14ac:dyDescent="0.2">
      <c r="AC887" s="1">
        <v>7.5174964260000003E-3</v>
      </c>
    </row>
    <row r="888" spans="29:29" x14ac:dyDescent="0.2">
      <c r="AC888" s="1">
        <v>7.5174122959999999E-3</v>
      </c>
    </row>
    <row r="889" spans="29:29" x14ac:dyDescent="0.2">
      <c r="AC889" s="1">
        <v>7.5173283579999996E-3</v>
      </c>
    </row>
    <row r="890" spans="29:29" x14ac:dyDescent="0.2">
      <c r="AC890" s="1">
        <v>7.5172446109999999E-3</v>
      </c>
    </row>
    <row r="891" spans="29:29" x14ac:dyDescent="0.2">
      <c r="AC891" s="1">
        <v>7.5171610540000003E-3</v>
      </c>
    </row>
    <row r="892" spans="29:29" x14ac:dyDescent="0.2">
      <c r="AC892" s="1">
        <v>7.5170776880000003E-3</v>
      </c>
    </row>
    <row r="893" spans="29:29" x14ac:dyDescent="0.2">
      <c r="AC893" s="1">
        <v>7.5169945110000001E-3</v>
      </c>
    </row>
    <row r="894" spans="29:29" x14ac:dyDescent="0.2">
      <c r="AC894" s="1">
        <v>7.5169115219999999E-3</v>
      </c>
    </row>
    <row r="895" spans="29:29" x14ac:dyDescent="0.2">
      <c r="AC895" s="1">
        <v>7.5168287209999999E-3</v>
      </c>
    </row>
    <row r="896" spans="29:29" x14ac:dyDescent="0.2">
      <c r="AC896" s="1">
        <v>7.5167461079999999E-3</v>
      </c>
    </row>
    <row r="897" spans="29:29" x14ac:dyDescent="0.2">
      <c r="AC897" s="1">
        <v>7.5166636810000001E-3</v>
      </c>
    </row>
    <row r="898" spans="29:29" x14ac:dyDescent="0.2">
      <c r="AC898" s="1">
        <v>7.516581441E-3</v>
      </c>
    </row>
    <row r="899" spans="29:29" x14ac:dyDescent="0.2">
      <c r="AC899" s="1">
        <v>7.5164993859999996E-3</v>
      </c>
    </row>
    <row r="900" spans="29:29" x14ac:dyDescent="0.2">
      <c r="AC900" s="1">
        <v>7.5164175159999997E-3</v>
      </c>
    </row>
    <row r="901" spans="29:29" x14ac:dyDescent="0.2">
      <c r="AC901" s="1">
        <v>7.51633583E-3</v>
      </c>
    </row>
    <row r="902" spans="29:29" x14ac:dyDescent="0.2">
      <c r="AC902" s="1">
        <v>7.516254327E-3</v>
      </c>
    </row>
    <row r="903" spans="29:29" x14ac:dyDescent="0.2">
      <c r="AC903" s="1">
        <v>7.5161730080000001E-3</v>
      </c>
    </row>
    <row r="904" spans="29:29" x14ac:dyDescent="0.2">
      <c r="AC904" s="1">
        <v>7.5160918699999999E-3</v>
      </c>
    </row>
    <row r="905" spans="29:29" x14ac:dyDescent="0.2">
      <c r="AC905" s="1">
        <v>7.5160109150000003E-3</v>
      </c>
    </row>
    <row r="906" spans="29:29" x14ac:dyDescent="0.2">
      <c r="AC906" s="1">
        <v>7.5159301410000004E-3</v>
      </c>
    </row>
    <row r="907" spans="29:29" x14ac:dyDescent="0.2">
      <c r="AC907" s="1">
        <v>7.5158495469999998E-3</v>
      </c>
    </row>
    <row r="908" spans="29:29" x14ac:dyDescent="0.2">
      <c r="AC908" s="1">
        <v>7.5157691330000002E-3</v>
      </c>
    </row>
    <row r="909" spans="29:29" x14ac:dyDescent="0.2">
      <c r="AC909" s="1">
        <v>7.5156888980000003E-3</v>
      </c>
    </row>
    <row r="910" spans="29:29" x14ac:dyDescent="0.2">
      <c r="AC910" s="1">
        <v>7.5156088420000001E-3</v>
      </c>
    </row>
    <row r="911" spans="29:29" x14ac:dyDescent="0.2">
      <c r="AC911" s="1">
        <v>7.5155289640000001E-3</v>
      </c>
    </row>
    <row r="912" spans="29:29" x14ac:dyDescent="0.2">
      <c r="AC912" s="1">
        <v>7.5154492640000002E-3</v>
      </c>
    </row>
    <row r="913" spans="29:29" x14ac:dyDescent="0.2">
      <c r="AC913" s="1">
        <v>7.5153697410000001E-3</v>
      </c>
    </row>
    <row r="914" spans="29:29" x14ac:dyDescent="0.2">
      <c r="AC914" s="1">
        <v>7.5152903940000002E-3</v>
      </c>
    </row>
    <row r="915" spans="29:29" x14ac:dyDescent="0.2">
      <c r="AC915" s="1">
        <v>7.5152112219999999E-3</v>
      </c>
    </row>
    <row r="916" spans="29:29" x14ac:dyDescent="0.2">
      <c r="AC916" s="1">
        <v>7.5151322259999999E-3</v>
      </c>
    </row>
    <row r="917" spans="29:29" x14ac:dyDescent="0.2">
      <c r="AC917" s="1">
        <v>7.515053404E-3</v>
      </c>
    </row>
    <row r="918" spans="29:29" x14ac:dyDescent="0.2">
      <c r="AC918" s="1">
        <v>7.5149747569999998E-3</v>
      </c>
    </row>
    <row r="919" spans="29:29" x14ac:dyDescent="0.2">
      <c r="AC919" s="1">
        <v>7.5148962830000002E-3</v>
      </c>
    </row>
    <row r="920" spans="29:29" x14ac:dyDescent="0.2">
      <c r="AC920" s="1">
        <v>7.514817981E-3</v>
      </c>
    </row>
    <row r="921" spans="29:29" x14ac:dyDescent="0.2">
      <c r="AC921" s="1">
        <v>7.5147398520000004E-3</v>
      </c>
    </row>
    <row r="922" spans="29:29" x14ac:dyDescent="0.2">
      <c r="AC922" s="1">
        <v>7.5146618950000001E-3</v>
      </c>
    </row>
    <row r="923" spans="29:29" x14ac:dyDescent="0.2">
      <c r="AC923" s="1">
        <v>7.5145841090000004E-3</v>
      </c>
    </row>
    <row r="924" spans="29:29" x14ac:dyDescent="0.2">
      <c r="AC924" s="1">
        <v>7.5145064940000004E-3</v>
      </c>
    </row>
    <row r="925" spans="29:29" x14ac:dyDescent="0.2">
      <c r="AC925" s="1">
        <v>7.5144290480000002E-3</v>
      </c>
    </row>
    <row r="926" spans="29:29" x14ac:dyDescent="0.2">
      <c r="AC926" s="1">
        <v>7.5143517720000002E-3</v>
      </c>
    </row>
    <row r="927" spans="29:29" x14ac:dyDescent="0.2">
      <c r="AC927" s="1">
        <v>7.514274665E-3</v>
      </c>
    </row>
    <row r="928" spans="29:29" x14ac:dyDescent="0.2">
      <c r="AC928" s="1">
        <v>7.5141977259999999E-3</v>
      </c>
    </row>
    <row r="929" spans="29:29" x14ac:dyDescent="0.2">
      <c r="AC929" s="1">
        <v>7.5141209550000001E-3</v>
      </c>
    </row>
    <row r="930" spans="29:29" x14ac:dyDescent="0.2">
      <c r="AC930" s="1">
        <v>7.5140443520000004E-3</v>
      </c>
    </row>
    <row r="931" spans="29:29" x14ac:dyDescent="0.2">
      <c r="AC931" s="1">
        <v>7.5139679150000001E-3</v>
      </c>
    </row>
    <row r="932" spans="29:29" x14ac:dyDescent="0.2">
      <c r="AC932" s="1">
        <v>7.513891644E-3</v>
      </c>
    </row>
    <row r="933" spans="29:29" x14ac:dyDescent="0.2">
      <c r="AC933" s="1">
        <v>7.5138155390000001E-3</v>
      </c>
    </row>
    <row r="934" spans="29:29" x14ac:dyDescent="0.2">
      <c r="AC934" s="1">
        <v>7.513739599E-3</v>
      </c>
    </row>
    <row r="935" spans="29:29" x14ac:dyDescent="0.2">
      <c r="AC935" s="1">
        <v>7.513663823E-3</v>
      </c>
    </row>
    <row r="936" spans="29:29" x14ac:dyDescent="0.2">
      <c r="AC936" s="1">
        <v>7.5135882119999999E-3</v>
      </c>
    </row>
    <row r="937" spans="29:29" x14ac:dyDescent="0.2">
      <c r="AC937" s="1">
        <v>7.5135127640000004E-3</v>
      </c>
    </row>
    <row r="938" spans="29:29" x14ac:dyDescent="0.2">
      <c r="AC938" s="1">
        <v>7.5134374780000002E-3</v>
      </c>
    </row>
    <row r="939" spans="29:29" x14ac:dyDescent="0.2">
      <c r="AC939" s="1">
        <v>7.5133623560000003E-3</v>
      </c>
    </row>
    <row r="940" spans="29:29" x14ac:dyDescent="0.2">
      <c r="AC940" s="1">
        <v>7.5132873950000002E-3</v>
      </c>
    </row>
    <row r="941" spans="29:29" x14ac:dyDescent="0.2">
      <c r="AC941" s="1">
        <v>7.5132125960000002E-3</v>
      </c>
    </row>
    <row r="942" spans="29:29" x14ac:dyDescent="0.2">
      <c r="AC942" s="1">
        <v>7.5131379569999997E-3</v>
      </c>
    </row>
    <row r="943" spans="29:29" x14ac:dyDescent="0.2">
      <c r="AC943" s="1">
        <v>7.5130634789999998E-3</v>
      </c>
    </row>
    <row r="944" spans="29:29" x14ac:dyDescent="0.2">
      <c r="AC944" s="1">
        <v>7.5129891610000001E-3</v>
      </c>
    </row>
    <row r="945" spans="29:29" x14ac:dyDescent="0.2">
      <c r="AC945" s="1">
        <v>7.5129150020000002E-3</v>
      </c>
    </row>
    <row r="946" spans="29:29" x14ac:dyDescent="0.2">
      <c r="AC946" s="1">
        <v>7.5128410020000001E-3</v>
      </c>
    </row>
    <row r="947" spans="29:29" x14ac:dyDescent="0.2">
      <c r="AC947" s="1">
        <v>7.5127671600000003E-3</v>
      </c>
    </row>
    <row r="948" spans="29:29" x14ac:dyDescent="0.2">
      <c r="AC948" s="1">
        <v>7.5126934759999998E-3</v>
      </c>
    </row>
    <row r="949" spans="29:29" x14ac:dyDescent="0.2">
      <c r="AC949" s="1">
        <v>7.512619949E-3</v>
      </c>
    </row>
    <row r="950" spans="29:29" x14ac:dyDescent="0.2">
      <c r="AC950" s="1">
        <v>7.512546579E-3</v>
      </c>
    </row>
    <row r="951" spans="29:29" x14ac:dyDescent="0.2">
      <c r="AC951" s="1">
        <v>7.5124733650000003E-3</v>
      </c>
    </row>
    <row r="952" spans="29:29" x14ac:dyDescent="0.2">
      <c r="AC952" s="1">
        <v>7.5124003069999999E-3</v>
      </c>
    </row>
    <row r="953" spans="29:29" x14ac:dyDescent="0.2">
      <c r="AC953" s="1">
        <v>7.5123274049999997E-3</v>
      </c>
    </row>
    <row r="954" spans="29:29" x14ac:dyDescent="0.2">
      <c r="AC954" s="1">
        <v>7.5122546569999999E-3</v>
      </c>
    </row>
    <row r="955" spans="29:29" x14ac:dyDescent="0.2">
      <c r="AC955" s="1">
        <v>7.5121820630000002E-3</v>
      </c>
    </row>
    <row r="956" spans="29:29" x14ac:dyDescent="0.2">
      <c r="AC956" s="1">
        <v>7.5121096240000004E-3</v>
      </c>
    </row>
    <row r="957" spans="29:29" x14ac:dyDescent="0.2">
      <c r="AC957" s="1">
        <v>7.512037337E-3</v>
      </c>
    </row>
    <row r="958" spans="29:29" x14ac:dyDescent="0.2">
      <c r="AC958" s="1">
        <v>7.5119652030000003E-3</v>
      </c>
    </row>
    <row r="959" spans="29:29" x14ac:dyDescent="0.2">
      <c r="AC959" s="1">
        <v>7.5118932220000004E-3</v>
      </c>
    </row>
    <row r="960" spans="29:29" x14ac:dyDescent="0.2">
      <c r="AC960" s="1">
        <v>7.5118213929999999E-3</v>
      </c>
    </row>
    <row r="961" spans="29:29" x14ac:dyDescent="0.2">
      <c r="AC961" s="1">
        <v>7.511749715E-3</v>
      </c>
    </row>
    <row r="962" spans="29:29" x14ac:dyDescent="0.2">
      <c r="AC962" s="1">
        <v>7.511678188E-3</v>
      </c>
    </row>
    <row r="963" spans="29:29" x14ac:dyDescent="0.2">
      <c r="AC963" s="1">
        <v>7.5116068110000003E-3</v>
      </c>
    </row>
    <row r="964" spans="29:29" x14ac:dyDescent="0.2">
      <c r="AC964" s="1">
        <v>7.511535584E-3</v>
      </c>
    </row>
    <row r="965" spans="29:29" x14ac:dyDescent="0.2">
      <c r="AC965" s="1">
        <v>7.511464507E-3</v>
      </c>
    </row>
    <row r="966" spans="29:29" x14ac:dyDescent="0.2">
      <c r="AC966" s="1">
        <v>7.5113935789999997E-3</v>
      </c>
    </row>
    <row r="967" spans="29:29" x14ac:dyDescent="0.2">
      <c r="AC967" s="1">
        <v>7.5113227989999998E-3</v>
      </c>
    </row>
    <row r="968" spans="29:29" x14ac:dyDescent="0.2">
      <c r="AC968" s="1">
        <v>7.5112521670000001E-3</v>
      </c>
    </row>
    <row r="969" spans="29:29" x14ac:dyDescent="0.2">
      <c r="AC969" s="1">
        <v>7.5111816829999999E-3</v>
      </c>
    </row>
    <row r="970" spans="29:29" x14ac:dyDescent="0.2">
      <c r="AC970" s="1">
        <v>7.5111113460000004E-3</v>
      </c>
    </row>
    <row r="971" spans="29:29" x14ac:dyDescent="0.2">
      <c r="AC971" s="1">
        <v>7.5110411559999998E-3</v>
      </c>
    </row>
    <row r="972" spans="29:29" x14ac:dyDescent="0.2">
      <c r="AC972" s="1">
        <v>7.5109711120000004E-3</v>
      </c>
    </row>
    <row r="973" spans="29:29" x14ac:dyDescent="0.2">
      <c r="AC973" s="1">
        <v>7.5109012140000004E-3</v>
      </c>
    </row>
    <row r="974" spans="29:29" x14ac:dyDescent="0.2">
      <c r="AC974" s="1">
        <v>7.5108314610000003E-3</v>
      </c>
    </row>
    <row r="975" spans="29:29" x14ac:dyDescent="0.2">
      <c r="AC975" s="1">
        <v>7.510761853E-3</v>
      </c>
    </row>
    <row r="976" spans="29:29" x14ac:dyDescent="0.2">
      <c r="AC976" s="1">
        <v>7.5106923900000004E-3</v>
      </c>
    </row>
    <row r="977" spans="29:29" x14ac:dyDescent="0.2">
      <c r="AC977" s="1">
        <v>7.5106230699999998E-3</v>
      </c>
    </row>
    <row r="978" spans="29:29" x14ac:dyDescent="0.2">
      <c r="AC978" s="1">
        <v>7.5105538939999996E-3</v>
      </c>
    </row>
    <row r="979" spans="29:29" x14ac:dyDescent="0.2">
      <c r="AC979" s="1">
        <v>7.510484861E-3</v>
      </c>
    </row>
    <row r="980" spans="29:29" x14ac:dyDescent="0.2">
      <c r="AC980" s="1">
        <v>7.5104159710000003E-3</v>
      </c>
    </row>
    <row r="981" spans="29:29" x14ac:dyDescent="0.2">
      <c r="AC981" s="1">
        <v>7.5103472230000001E-3</v>
      </c>
    </row>
    <row r="982" spans="29:29" x14ac:dyDescent="0.2">
      <c r="AC982" s="1">
        <v>7.5102786159999997E-3</v>
      </c>
    </row>
    <row r="983" spans="29:29" x14ac:dyDescent="0.2">
      <c r="AC983" s="1">
        <v>7.5102101509999996E-3</v>
      </c>
    </row>
    <row r="984" spans="29:29" x14ac:dyDescent="0.2">
      <c r="AC984" s="1">
        <v>7.5101418270000003E-3</v>
      </c>
    </row>
    <row r="985" spans="29:29" x14ac:dyDescent="0.2">
      <c r="AC985" s="1">
        <v>7.5100736430000004E-3</v>
      </c>
    </row>
    <row r="986" spans="29:29" x14ac:dyDescent="0.2">
      <c r="AC986" s="1">
        <v>7.5100056000000004E-3</v>
      </c>
    </row>
    <row r="987" spans="29:29" x14ac:dyDescent="0.2">
      <c r="AC987" s="1">
        <v>7.5099376949999998E-3</v>
      </c>
    </row>
    <row r="988" spans="29:29" x14ac:dyDescent="0.2">
      <c r="AC988" s="1">
        <v>7.5098699300000004E-3</v>
      </c>
    </row>
    <row r="989" spans="29:29" x14ac:dyDescent="0.2">
      <c r="AC989" s="1">
        <v>7.509802304E-3</v>
      </c>
    </row>
    <row r="990" spans="29:29" x14ac:dyDescent="0.2">
      <c r="AC990" s="1">
        <v>7.5097348159999999E-3</v>
      </c>
    </row>
    <row r="991" spans="29:29" x14ac:dyDescent="0.2">
      <c r="AC991" s="1">
        <v>7.5096674660000001E-3</v>
      </c>
    </row>
    <row r="992" spans="29:29" x14ac:dyDescent="0.2">
      <c r="AC992" s="1">
        <v>7.5096002530000002E-3</v>
      </c>
    </row>
    <row r="993" spans="29:29" x14ac:dyDescent="0.2">
      <c r="AC993" s="1">
        <v>7.5095331779999998E-3</v>
      </c>
    </row>
    <row r="994" spans="29:29" x14ac:dyDescent="0.2">
      <c r="AC994" s="1">
        <v>7.5094662389999997E-3</v>
      </c>
    </row>
    <row r="995" spans="29:29" x14ac:dyDescent="0.2">
      <c r="AC995" s="1">
        <v>7.5093994359999999E-3</v>
      </c>
    </row>
    <row r="996" spans="29:29" x14ac:dyDescent="0.2">
      <c r="AC996" s="1">
        <v>7.5093327689999996E-3</v>
      </c>
    </row>
    <row r="997" spans="29:29" x14ac:dyDescent="0.2">
      <c r="AC997" s="1">
        <v>7.509266237E-3</v>
      </c>
    </row>
    <row r="998" spans="29:29" x14ac:dyDescent="0.2">
      <c r="AC998" s="1">
        <v>7.5091998409999999E-3</v>
      </c>
    </row>
    <row r="999" spans="29:29" x14ac:dyDescent="0.2">
      <c r="AC999" s="1">
        <v>7.5091335790000002E-3</v>
      </c>
    </row>
    <row r="1000" spans="29:29" x14ac:dyDescent="0.2">
      <c r="AC1000" s="1">
        <v>7.5090674509999998E-3</v>
      </c>
    </row>
    <row r="1001" spans="29:29" x14ac:dyDescent="0.2">
      <c r="AC1001" s="1">
        <v>7.5090014560000003E-3</v>
      </c>
    </row>
    <row r="1002" spans="29:29" x14ac:dyDescent="0.2">
      <c r="AC1002" s="1">
        <v>7.5089355950000002E-3</v>
      </c>
    </row>
    <row r="1003" spans="29:29" x14ac:dyDescent="0.2">
      <c r="AC1003" s="1">
        <v>7.5088698670000001E-3</v>
      </c>
    </row>
    <row r="1004" spans="29:29" x14ac:dyDescent="0.2">
      <c r="AC1004" s="1">
        <v>7.5088042719999998E-3</v>
      </c>
    </row>
    <row r="1005" spans="29:29" x14ac:dyDescent="0.2">
      <c r="AC1005" s="1">
        <v>7.5087388080000003E-3</v>
      </c>
    </row>
    <row r="1006" spans="29:29" x14ac:dyDescent="0.2">
      <c r="AC1006" s="1">
        <v>7.5086734769999998E-3</v>
      </c>
    </row>
    <row r="1007" spans="29:29" x14ac:dyDescent="0.2">
      <c r="AC1007" s="1">
        <v>7.5086082759999997E-3</v>
      </c>
    </row>
    <row r="1008" spans="29:29" x14ac:dyDescent="0.2">
      <c r="AC1008" s="1">
        <v>7.5085432069999999E-3</v>
      </c>
    </row>
    <row r="1009" spans="29:29" x14ac:dyDescent="0.2">
      <c r="AC1009" s="1">
        <v>7.5084782679999997E-3</v>
      </c>
    </row>
    <row r="1010" spans="29:29" x14ac:dyDescent="0.2">
      <c r="AC1010" s="1">
        <v>7.5084134589999997E-3</v>
      </c>
    </row>
    <row r="1011" spans="29:29" x14ac:dyDescent="0.2">
      <c r="AC1011" s="1">
        <v>7.5083487800000001E-3</v>
      </c>
    </row>
    <row r="1012" spans="29:29" x14ac:dyDescent="0.2">
      <c r="AC1012" s="1">
        <v>7.508284231E-3</v>
      </c>
    </row>
    <row r="1013" spans="29:29" x14ac:dyDescent="0.2">
      <c r="AC1013" s="1">
        <v>7.5082198100000002E-3</v>
      </c>
    </row>
    <row r="1014" spans="29:29" x14ac:dyDescent="0.2">
      <c r="AC1014" s="1">
        <v>7.5081555180000004E-3</v>
      </c>
    </row>
    <row r="1015" spans="29:29" x14ac:dyDescent="0.2">
      <c r="AC1015" s="1">
        <v>7.508091354E-3</v>
      </c>
    </row>
    <row r="1016" spans="29:29" x14ac:dyDescent="0.2">
      <c r="AC1016" s="1">
        <v>7.508027318E-3</v>
      </c>
    </row>
    <row r="1017" spans="29:29" x14ac:dyDescent="0.2">
      <c r="AC1017" s="1">
        <v>7.5079634100000004E-3</v>
      </c>
    </row>
    <row r="1018" spans="29:29" x14ac:dyDescent="0.2">
      <c r="AC1018" s="1">
        <v>7.5078996280000003E-3</v>
      </c>
    </row>
    <row r="1019" spans="29:29" x14ac:dyDescent="0.2">
      <c r="AC1019" s="1">
        <v>7.507835973E-3</v>
      </c>
    </row>
    <row r="1020" spans="29:29" x14ac:dyDescent="0.2">
      <c r="AC1020" s="1">
        <v>7.5077724449999998E-3</v>
      </c>
    </row>
    <row r="1021" spans="29:29" x14ac:dyDescent="0.2">
      <c r="AC1021" s="1">
        <v>7.5077090420000003E-3</v>
      </c>
    </row>
    <row r="1022" spans="29:29" x14ac:dyDescent="0.2">
      <c r="AC1022" s="1">
        <v>7.5076457650000003E-3</v>
      </c>
    </row>
    <row r="1023" spans="29:29" x14ac:dyDescent="0.2">
      <c r="AC1023" s="1">
        <v>7.5075826130000002E-3</v>
      </c>
    </row>
    <row r="1024" spans="29:29" x14ac:dyDescent="0.2">
      <c r="AC1024" s="1">
        <v>7.5075195860000001E-3</v>
      </c>
    </row>
    <row r="1025" spans="29:29" x14ac:dyDescent="0.2">
      <c r="AC1025" s="1">
        <v>7.5074566830000003E-3</v>
      </c>
    </row>
    <row r="1026" spans="29:29" x14ac:dyDescent="0.2">
      <c r="AC1026" s="1">
        <v>7.5073939049999996E-3</v>
      </c>
    </row>
    <row r="1027" spans="29:29" x14ac:dyDescent="0.2">
      <c r="AC1027" s="1">
        <v>7.5073312499999998E-3</v>
      </c>
    </row>
    <row r="1028" spans="29:29" x14ac:dyDescent="0.2">
      <c r="AC1028" s="1">
        <v>7.5072687179999998E-3</v>
      </c>
    </row>
    <row r="1029" spans="29:29" x14ac:dyDescent="0.2">
      <c r="AC1029" s="1">
        <v>7.5072063100000003E-3</v>
      </c>
    </row>
    <row r="1030" spans="29:29" x14ac:dyDescent="0.2">
      <c r="AC1030" s="1">
        <v>7.5071440240000002E-3</v>
      </c>
    </row>
    <row r="1031" spans="29:29" x14ac:dyDescent="0.2">
      <c r="AC1031" s="1">
        <v>7.5070818599999997E-3</v>
      </c>
    </row>
    <row r="1032" spans="29:29" x14ac:dyDescent="0.2">
      <c r="AC1032" s="1">
        <v>7.5070198180000004E-3</v>
      </c>
    </row>
    <row r="1033" spans="29:29" x14ac:dyDescent="0.2">
      <c r="AC1033" s="1">
        <v>7.5069578979999997E-3</v>
      </c>
    </row>
    <row r="1034" spans="29:29" x14ac:dyDescent="0.2">
      <c r="AC1034" s="1">
        <v>7.5068960989999999E-3</v>
      </c>
    </row>
    <row r="1035" spans="29:29" x14ac:dyDescent="0.2">
      <c r="AC1035" s="1">
        <v>7.506834421E-3</v>
      </c>
    </row>
    <row r="1036" spans="29:29" x14ac:dyDescent="0.2">
      <c r="AC1036" s="1">
        <v>7.5067728629999997E-3</v>
      </c>
    </row>
    <row r="1037" spans="29:29" x14ac:dyDescent="0.2">
      <c r="AC1037" s="1">
        <v>7.5067114249999997E-3</v>
      </c>
    </row>
    <row r="1038" spans="29:29" x14ac:dyDescent="0.2">
      <c r="AC1038" s="1">
        <v>7.5066501079999997E-3</v>
      </c>
    </row>
    <row r="1039" spans="29:29" x14ac:dyDescent="0.2">
      <c r="AC1039" s="1">
        <v>7.5065889090000001E-3</v>
      </c>
    </row>
    <row r="1040" spans="29:29" x14ac:dyDescent="0.2">
      <c r="AC1040" s="1">
        <v>7.50652783E-3</v>
      </c>
    </row>
    <row r="1041" spans="29:29" x14ac:dyDescent="0.2">
      <c r="AC1041" s="1">
        <v>7.5064668690000003E-3</v>
      </c>
    </row>
    <row r="1042" spans="29:29" x14ac:dyDescent="0.2">
      <c r="AC1042" s="1">
        <v>7.5064060269999996E-3</v>
      </c>
    </row>
    <row r="1043" spans="29:29" x14ac:dyDescent="0.2">
      <c r="AC1043" s="1">
        <v>7.5063453019999999E-3</v>
      </c>
    </row>
    <row r="1044" spans="29:29" x14ac:dyDescent="0.2">
      <c r="AC1044" s="1">
        <v>7.506284696E-3</v>
      </c>
    </row>
    <row r="1045" spans="29:29" x14ac:dyDescent="0.2">
      <c r="AC1045" s="1">
        <v>7.5062242059999998E-3</v>
      </c>
    </row>
    <row r="1046" spans="29:29" x14ac:dyDescent="0.2">
      <c r="AC1046" s="1">
        <v>7.5061638339999999E-3</v>
      </c>
    </row>
    <row r="1047" spans="29:29" x14ac:dyDescent="0.2">
      <c r="AC1047" s="1">
        <v>7.5061035789999999E-3</v>
      </c>
    </row>
    <row r="1048" spans="29:29" x14ac:dyDescent="0.2">
      <c r="AC1048" s="1">
        <v>7.506043439E-3</v>
      </c>
    </row>
    <row r="1049" spans="29:29" x14ac:dyDescent="0.2">
      <c r="AC1049" s="1">
        <v>7.505983416E-3</v>
      </c>
    </row>
    <row r="1050" spans="29:29" x14ac:dyDescent="0.2">
      <c r="AC1050" s="1">
        <v>7.505923508E-3</v>
      </c>
    </row>
    <row r="1051" spans="29:29" x14ac:dyDescent="0.2">
      <c r="AC1051" s="1">
        <v>7.5058637160000004E-3</v>
      </c>
    </row>
    <row r="1052" spans="29:29" x14ac:dyDescent="0.2">
      <c r="AC1052" s="1">
        <v>7.5058040389999999E-3</v>
      </c>
    </row>
    <row r="1053" spans="29:29" x14ac:dyDescent="0.2">
      <c r="AC1053" s="1">
        <v>7.5057444759999998E-3</v>
      </c>
    </row>
    <row r="1054" spans="29:29" x14ac:dyDescent="0.2">
      <c r="AC1054" s="1">
        <v>7.5056850279999997E-3</v>
      </c>
    </row>
    <row r="1055" spans="29:29" x14ac:dyDescent="0.2">
      <c r="AC1055" s="1">
        <v>7.505625694E-3</v>
      </c>
    </row>
    <row r="1056" spans="29:29" x14ac:dyDescent="0.2">
      <c r="AC1056" s="1">
        <v>7.5055664730000003E-3</v>
      </c>
    </row>
    <row r="1057" spans="29:29" x14ac:dyDescent="0.2">
      <c r="AC1057" s="1">
        <v>7.5055073660000001E-3</v>
      </c>
    </row>
    <row r="1058" spans="29:29" x14ac:dyDescent="0.2">
      <c r="AC1058" s="1">
        <v>7.5054483710000003E-3</v>
      </c>
    </row>
    <row r="1059" spans="29:29" x14ac:dyDescent="0.2">
      <c r="AC1059" s="1">
        <v>7.5053894900000001E-3</v>
      </c>
    </row>
    <row r="1060" spans="29:29" x14ac:dyDescent="0.2">
      <c r="AC1060" s="1">
        <v>7.5053307210000003E-3</v>
      </c>
    </row>
    <row r="1061" spans="29:29" x14ac:dyDescent="0.2">
      <c r="AC1061" s="1">
        <v>7.5052720629999996E-3</v>
      </c>
    </row>
    <row r="1062" spans="29:29" x14ac:dyDescent="0.2">
      <c r="AC1062" s="1">
        <v>7.5052135179999998E-3</v>
      </c>
    </row>
    <row r="1063" spans="29:29" x14ac:dyDescent="0.2">
      <c r="AC1063" s="1">
        <v>7.505155084E-3</v>
      </c>
    </row>
    <row r="1064" spans="29:29" x14ac:dyDescent="0.2">
      <c r="AC1064" s="1">
        <v>7.5050967610000002E-3</v>
      </c>
    </row>
    <row r="1065" spans="29:29" x14ac:dyDescent="0.2">
      <c r="AC1065" s="1">
        <v>7.5050385490000003E-3</v>
      </c>
    </row>
    <row r="1066" spans="29:29" x14ac:dyDescent="0.2">
      <c r="AC1066" s="1">
        <v>7.504980447E-3</v>
      </c>
    </row>
    <row r="1067" spans="29:29" x14ac:dyDescent="0.2">
      <c r="AC1067" s="1">
        <v>7.5049224559999997E-3</v>
      </c>
    </row>
    <row r="1068" spans="29:29" x14ac:dyDescent="0.2">
      <c r="AC1068" s="1">
        <v>7.5048645740000003E-3</v>
      </c>
    </row>
    <row r="1069" spans="29:29" x14ac:dyDescent="0.2">
      <c r="AC1069" s="1">
        <v>7.5048068020000004E-3</v>
      </c>
    </row>
    <row r="1070" spans="29:29" x14ac:dyDescent="0.2">
      <c r="AC1070" s="1">
        <v>7.5047491389999997E-3</v>
      </c>
    </row>
    <row r="1071" spans="29:29" x14ac:dyDescent="0.2">
      <c r="AC1071" s="1">
        <v>7.5046915849999998E-3</v>
      </c>
    </row>
    <row r="1072" spans="29:29" x14ac:dyDescent="0.2">
      <c r="AC1072" s="1">
        <v>7.5046341390000004E-3</v>
      </c>
    </row>
    <row r="1073" spans="29:29" x14ac:dyDescent="0.2">
      <c r="AC1073" s="1">
        <v>7.504576802E-3</v>
      </c>
    </row>
    <row r="1074" spans="29:29" x14ac:dyDescent="0.2">
      <c r="AC1074" s="1">
        <v>7.5045195730000002E-3</v>
      </c>
    </row>
    <row r="1075" spans="29:29" x14ac:dyDescent="0.2">
      <c r="AC1075" s="1">
        <v>7.5044624510000003E-3</v>
      </c>
    </row>
    <row r="1076" spans="29:29" x14ac:dyDescent="0.2">
      <c r="AC1076" s="1">
        <v>7.504405437E-3</v>
      </c>
    </row>
    <row r="1077" spans="29:29" x14ac:dyDescent="0.2">
      <c r="AC1077" s="1">
        <v>7.5043485299999997E-3</v>
      </c>
    </row>
    <row r="1078" spans="29:29" x14ac:dyDescent="0.2">
      <c r="AC1078" s="1">
        <v>7.5042917300000003E-3</v>
      </c>
    </row>
    <row r="1079" spans="29:29" x14ac:dyDescent="0.2">
      <c r="AC1079" s="1">
        <v>7.5042350359999996E-3</v>
      </c>
    </row>
    <row r="1080" spans="29:29" x14ac:dyDescent="0.2">
      <c r="AC1080" s="1">
        <v>7.5041784480000002E-3</v>
      </c>
    </row>
    <row r="1081" spans="29:29" x14ac:dyDescent="0.2">
      <c r="AC1081" s="1">
        <v>7.5041219660000004E-3</v>
      </c>
    </row>
    <row r="1082" spans="29:29" x14ac:dyDescent="0.2">
      <c r="AC1082" s="1">
        <v>7.5040655900000001E-3</v>
      </c>
    </row>
    <row r="1083" spans="29:29" x14ac:dyDescent="0.2">
      <c r="AC1083" s="1">
        <v>7.5040093189999999E-3</v>
      </c>
    </row>
    <row r="1084" spans="29:29" x14ac:dyDescent="0.2">
      <c r="AC1084" s="1">
        <v>7.5039531529999997E-3</v>
      </c>
    </row>
    <row r="1085" spans="29:29" x14ac:dyDescent="0.2">
      <c r="AC1085" s="1">
        <v>7.5038970920000003E-3</v>
      </c>
    </row>
    <row r="1086" spans="29:29" x14ac:dyDescent="0.2">
      <c r="AC1086" s="1">
        <v>7.5038411349999997E-3</v>
      </c>
    </row>
    <row r="1087" spans="29:29" x14ac:dyDescent="0.2">
      <c r="AC1087" s="1">
        <v>7.503785283E-3</v>
      </c>
    </row>
    <row r="1088" spans="29:29" x14ac:dyDescent="0.2">
      <c r="AC1088" s="1">
        <v>7.5037295340000002E-3</v>
      </c>
    </row>
    <row r="1089" spans="29:29" x14ac:dyDescent="0.2">
      <c r="AC1089" s="1">
        <v>7.5036738879999997E-3</v>
      </c>
    </row>
    <row r="1090" spans="29:29" x14ac:dyDescent="0.2">
      <c r="AC1090" s="1">
        <v>7.5036183459999996E-3</v>
      </c>
    </row>
    <row r="1091" spans="29:29" x14ac:dyDescent="0.2">
      <c r="AC1091" s="1">
        <v>7.5035629070000004E-3</v>
      </c>
    </row>
    <row r="1092" spans="29:29" x14ac:dyDescent="0.2">
      <c r="AC1092" s="1">
        <v>7.5035075699999999E-3</v>
      </c>
    </row>
    <row r="1093" spans="29:29" x14ac:dyDescent="0.2">
      <c r="AC1093" s="1">
        <v>7.5034523360000003E-3</v>
      </c>
    </row>
    <row r="1094" spans="29:29" x14ac:dyDescent="0.2">
      <c r="AC1094" s="1">
        <v>7.5033972040000002E-3</v>
      </c>
    </row>
    <row r="1095" spans="29:29" x14ac:dyDescent="0.2">
      <c r="AC1095" s="1">
        <v>7.5033421739999998E-3</v>
      </c>
    </row>
    <row r="1096" spans="29:29" x14ac:dyDescent="0.2">
      <c r="AC1096" s="1">
        <v>7.5032872450000003E-3</v>
      </c>
    </row>
    <row r="1097" spans="29:29" x14ac:dyDescent="0.2">
      <c r="AC1097" s="1">
        <v>7.5032324180000004E-3</v>
      </c>
    </row>
    <row r="1098" spans="29:29" x14ac:dyDescent="0.2">
      <c r="AC1098" s="1">
        <v>7.503177691E-3</v>
      </c>
    </row>
    <row r="1099" spans="29:29" x14ac:dyDescent="0.2">
      <c r="AC1099" s="1">
        <v>7.5031230660000002E-3</v>
      </c>
    </row>
    <row r="1100" spans="29:29" x14ac:dyDescent="0.2">
      <c r="AC1100" s="1">
        <v>7.5030685400000003E-3</v>
      </c>
    </row>
    <row r="1101" spans="29:29" x14ac:dyDescent="0.2">
      <c r="AC1101" s="1">
        <v>7.5030141149999997E-3</v>
      </c>
    </row>
    <row r="1102" spans="29:29" x14ac:dyDescent="0.2">
      <c r="AC1102" s="1">
        <v>7.5029597900000003E-3</v>
      </c>
    </row>
    <row r="1103" spans="29:29" x14ac:dyDescent="0.2">
      <c r="AC1103" s="1">
        <v>7.5029055640000002E-3</v>
      </c>
    </row>
    <row r="1104" spans="29:29" x14ac:dyDescent="0.2">
      <c r="AC1104" s="1">
        <v>7.502851437E-3</v>
      </c>
    </row>
    <row r="1105" spans="29:29" x14ac:dyDescent="0.2">
      <c r="AC1105" s="1">
        <v>7.5027974100000004E-3</v>
      </c>
    </row>
    <row r="1106" spans="29:29" x14ac:dyDescent="0.2">
      <c r="AC1106" s="1">
        <v>7.5027434810000003E-3</v>
      </c>
    </row>
    <row r="1107" spans="29:29" x14ac:dyDescent="0.2">
      <c r="AC1107" s="1">
        <v>7.5026896510000003E-3</v>
      </c>
    </row>
    <row r="1108" spans="29:29" x14ac:dyDescent="0.2">
      <c r="AC1108" s="1">
        <v>7.5026359189999999E-3</v>
      </c>
    </row>
    <row r="1109" spans="29:29" x14ac:dyDescent="0.2">
      <c r="AC1109" s="1">
        <v>7.502582285E-3</v>
      </c>
    </row>
    <row r="1110" spans="29:29" x14ac:dyDescent="0.2">
      <c r="AC1110" s="1">
        <v>7.5025287489999997E-3</v>
      </c>
    </row>
    <row r="1111" spans="29:29" x14ac:dyDescent="0.2">
      <c r="AC1111" s="1">
        <v>7.5024753100000003E-3</v>
      </c>
    </row>
    <row r="1112" spans="29:29" x14ac:dyDescent="0.2">
      <c r="AC1112" s="1">
        <v>7.5024219689999996E-3</v>
      </c>
    </row>
    <row r="1113" spans="29:29" x14ac:dyDescent="0.2">
      <c r="AC1113" s="1">
        <v>7.5023687240000003E-3</v>
      </c>
    </row>
    <row r="1114" spans="29:29" x14ac:dyDescent="0.2">
      <c r="AC1114" s="1">
        <v>7.5023155760000002E-3</v>
      </c>
    </row>
    <row r="1115" spans="29:29" x14ac:dyDescent="0.2">
      <c r="AC1115" s="1">
        <v>7.5022625239999996E-3</v>
      </c>
    </row>
    <row r="1116" spans="29:29" x14ac:dyDescent="0.2">
      <c r="AC1116" s="1">
        <v>7.502209569E-3</v>
      </c>
    </row>
    <row r="1117" spans="29:29" x14ac:dyDescent="0.2">
      <c r="AC1117" s="1">
        <v>7.5021567089999996E-3</v>
      </c>
    </row>
    <row r="1118" spans="29:29" x14ac:dyDescent="0.2">
      <c r="AC1118" s="1">
        <v>7.5021039449999997E-3</v>
      </c>
    </row>
    <row r="1119" spans="29:29" x14ac:dyDescent="0.2">
      <c r="AC1119" s="1">
        <v>7.5020512759999998E-3</v>
      </c>
    </row>
    <row r="1120" spans="29:29" x14ac:dyDescent="0.2">
      <c r="AC1120" s="1">
        <v>7.501998702E-3</v>
      </c>
    </row>
    <row r="1121" spans="29:29" x14ac:dyDescent="0.2">
      <c r="AC1121" s="1">
        <v>7.5019462230000002E-3</v>
      </c>
    </row>
    <row r="1122" spans="29:29" x14ac:dyDescent="0.2">
      <c r="AC1122" s="1">
        <v>7.5018938389999996E-3</v>
      </c>
    </row>
    <row r="1123" spans="29:29" x14ac:dyDescent="0.2">
      <c r="AC1123" s="1">
        <v>7.5018415490000004E-3</v>
      </c>
    </row>
    <row r="1124" spans="29:29" x14ac:dyDescent="0.2">
      <c r="AC1124" s="1">
        <v>7.5017893529999999E-3</v>
      </c>
    </row>
    <row r="1125" spans="29:29" x14ac:dyDescent="0.2">
      <c r="AC1125" s="1">
        <v>7.5017372500000004E-3</v>
      </c>
    </row>
    <row r="1126" spans="29:29" x14ac:dyDescent="0.2">
      <c r="AC1126" s="1">
        <v>7.501685242E-3</v>
      </c>
    </row>
    <row r="1127" spans="29:29" x14ac:dyDescent="0.2">
      <c r="AC1127" s="1">
        <v>7.5016333260000002E-3</v>
      </c>
    </row>
    <row r="1128" spans="29:29" x14ac:dyDescent="0.2">
      <c r="AC1128" s="1">
        <v>7.5015815039999999E-3</v>
      </c>
    </row>
    <row r="1129" spans="29:29" x14ac:dyDescent="0.2">
      <c r="AC1129" s="1">
        <v>7.5015297740000002E-3</v>
      </c>
    </row>
    <row r="1130" spans="29:29" x14ac:dyDescent="0.2">
      <c r="AC1130" s="1">
        <v>7.5014781369999997E-3</v>
      </c>
    </row>
    <row r="1131" spans="29:29" x14ac:dyDescent="0.2">
      <c r="AC1131" s="1">
        <v>7.5014265930000001E-3</v>
      </c>
    </row>
    <row r="1132" spans="29:29" x14ac:dyDescent="0.2">
      <c r="AC1132" s="1">
        <v>7.5013751399999997E-3</v>
      </c>
    </row>
    <row r="1133" spans="29:29" x14ac:dyDescent="0.2">
      <c r="AC1133" s="1">
        <v>7.5013237789999998E-3</v>
      </c>
    </row>
    <row r="1134" spans="29:29" x14ac:dyDescent="0.2">
      <c r="AC1134" s="1">
        <v>7.5012725100000004E-3</v>
      </c>
    </row>
    <row r="1135" spans="29:29" x14ac:dyDescent="0.2">
      <c r="AC1135" s="1">
        <v>7.5012213320000002E-3</v>
      </c>
    </row>
    <row r="1136" spans="29:29" x14ac:dyDescent="0.2">
      <c r="AC1136" s="1">
        <v>7.501170245E-3</v>
      </c>
    </row>
    <row r="1137" spans="29:29" x14ac:dyDescent="0.2">
      <c r="AC1137" s="1">
        <v>7.501119249E-3</v>
      </c>
    </row>
    <row r="1138" spans="29:29" x14ac:dyDescent="0.2">
      <c r="AC1138" s="1">
        <v>7.5010683430000004E-3</v>
      </c>
    </row>
    <row r="1139" spans="29:29" x14ac:dyDescent="0.2">
      <c r="AC1139" s="1">
        <v>7.5010175280000001E-3</v>
      </c>
    </row>
    <row r="1140" spans="29:29" x14ac:dyDescent="0.2">
      <c r="AC1140" s="1">
        <v>7.5009668030000002E-3</v>
      </c>
    </row>
    <row r="1141" spans="29:29" x14ac:dyDescent="0.2">
      <c r="AC1141" s="1">
        <v>7.5009161669999996E-3</v>
      </c>
    </row>
    <row r="1142" spans="29:29" x14ac:dyDescent="0.2">
      <c r="AC1142" s="1">
        <v>7.5008656219999999E-3</v>
      </c>
    </row>
    <row r="1143" spans="29:29" x14ac:dyDescent="0.2">
      <c r="AC1143" s="1">
        <v>7.5008151660000003E-3</v>
      </c>
    </row>
    <row r="1144" spans="29:29" x14ac:dyDescent="0.2">
      <c r="AC1144" s="1">
        <v>7.5007647980000003E-3</v>
      </c>
    </row>
    <row r="1145" spans="29:29" x14ac:dyDescent="0.2">
      <c r="AC1145" s="1">
        <v>7.50071452E-3</v>
      </c>
    </row>
    <row r="1146" spans="29:29" x14ac:dyDescent="0.2">
      <c r="AC1146" s="1">
        <v>7.5006643309999997E-3</v>
      </c>
    </row>
    <row r="1147" spans="29:29" x14ac:dyDescent="0.2">
      <c r="AC1147" s="1">
        <v>7.50061423E-3</v>
      </c>
    </row>
    <row r="1148" spans="29:29" x14ac:dyDescent="0.2">
      <c r="AC1148" s="1">
        <v>7.5005642169999999E-3</v>
      </c>
    </row>
    <row r="1149" spans="29:29" x14ac:dyDescent="0.2">
      <c r="AC1149" s="1">
        <v>7.5005142920000004E-3</v>
      </c>
    </row>
    <row r="1150" spans="29:29" x14ac:dyDescent="0.2">
      <c r="AC1150" s="1">
        <v>7.5004644549999996E-3</v>
      </c>
    </row>
    <row r="1151" spans="29:29" x14ac:dyDescent="0.2">
      <c r="AC1151" s="1">
        <v>7.5004147049999997E-3</v>
      </c>
    </row>
    <row r="1152" spans="29:29" x14ac:dyDescent="0.2">
      <c r="AC1152" s="1">
        <v>7.5003650430000004E-3</v>
      </c>
    </row>
    <row r="1153" spans="29:29" x14ac:dyDescent="0.2">
      <c r="AC1153" s="1">
        <v>7.5003154680000003E-3</v>
      </c>
    </row>
    <row r="1154" spans="29:29" x14ac:dyDescent="0.2">
      <c r="AC1154" s="1">
        <v>7.5002659789999999E-3</v>
      </c>
    </row>
    <row r="1155" spans="29:29" x14ac:dyDescent="0.2">
      <c r="AC1155" s="1">
        <v>7.5002165770000004E-3</v>
      </c>
    </row>
    <row r="1156" spans="29:29" x14ac:dyDescent="0.2">
      <c r="AC1156" s="1">
        <v>7.5001672620000001E-3</v>
      </c>
    </row>
    <row r="1157" spans="29:29" x14ac:dyDescent="0.2">
      <c r="AC1157" s="1">
        <v>7.5001180319999999E-3</v>
      </c>
    </row>
    <row r="1158" spans="29:29" x14ac:dyDescent="0.2">
      <c r="AC1158" s="1">
        <v>7.5000688889999998E-3</v>
      </c>
    </row>
    <row r="1159" spans="29:29" x14ac:dyDescent="0.2">
      <c r="AC1159" s="1">
        <v>7.5000198309999998E-3</v>
      </c>
    </row>
    <row r="1160" spans="29:29" x14ac:dyDescent="0.2">
      <c r="AC1160" s="1">
        <v>7.4999708590000004E-3</v>
      </c>
    </row>
    <row r="1161" spans="29:29" x14ac:dyDescent="0.2">
      <c r="AC1161" s="1">
        <v>7.4999219720000001E-3</v>
      </c>
    </row>
    <row r="1162" spans="29:29" x14ac:dyDescent="0.2">
      <c r="AC1162" s="1">
        <v>7.49987317E-3</v>
      </c>
    </row>
    <row r="1163" spans="29:29" x14ac:dyDescent="0.2">
      <c r="AC1163" s="1">
        <v>7.4998244529999999E-3</v>
      </c>
    </row>
    <row r="1164" spans="29:29" x14ac:dyDescent="0.2">
      <c r="AC1164" s="1">
        <v>7.4997758200000004E-3</v>
      </c>
    </row>
    <row r="1165" spans="29:29" x14ac:dyDescent="0.2">
      <c r="AC1165" s="1">
        <v>7.4997272720000001E-3</v>
      </c>
    </row>
    <row r="1166" spans="29:29" x14ac:dyDescent="0.2">
      <c r="AC1166" s="1">
        <v>7.4996788080000003E-3</v>
      </c>
    </row>
    <row r="1167" spans="29:29" x14ac:dyDescent="0.2">
      <c r="AC1167" s="1">
        <v>7.4996304269999998E-3</v>
      </c>
    </row>
    <row r="1168" spans="29:29" x14ac:dyDescent="0.2">
      <c r="AC1168" s="1">
        <v>7.4995821310000002E-3</v>
      </c>
    </row>
    <row r="1169" spans="29:29" x14ac:dyDescent="0.2">
      <c r="AC1169" s="1">
        <v>7.4995339179999999E-3</v>
      </c>
    </row>
    <row r="1170" spans="29:29" x14ac:dyDescent="0.2">
      <c r="AC1170" s="1">
        <v>7.4994857879999996E-3</v>
      </c>
    </row>
    <row r="1171" spans="29:29" x14ac:dyDescent="0.2">
      <c r="AC1171" s="1">
        <v>7.4994377419999999E-3</v>
      </c>
    </row>
    <row r="1172" spans="29:29" x14ac:dyDescent="0.2">
      <c r="AC1172" s="1">
        <v>7.4993897779999999E-3</v>
      </c>
    </row>
    <row r="1173" spans="29:29" x14ac:dyDescent="0.2">
      <c r="AC1173" s="1">
        <v>7.499341897E-3</v>
      </c>
    </row>
    <row r="1174" spans="29:29" x14ac:dyDescent="0.2">
      <c r="AC1174" s="1">
        <v>7.4992940979999997E-3</v>
      </c>
    </row>
    <row r="1175" spans="29:29" x14ac:dyDescent="0.2">
      <c r="AC1175" s="1">
        <v>7.499246381E-3</v>
      </c>
    </row>
    <row r="1176" spans="29:29" x14ac:dyDescent="0.2">
      <c r="AC1176" s="1">
        <v>7.4991987470000004E-3</v>
      </c>
    </row>
    <row r="1177" spans="29:29" x14ac:dyDescent="0.2">
      <c r="AC1177" s="1">
        <v>7.499151194E-3</v>
      </c>
    </row>
    <row r="1178" spans="29:29" x14ac:dyDescent="0.2">
      <c r="AC1178" s="1">
        <v>7.4991037219999997E-3</v>
      </c>
    </row>
    <row r="1179" spans="29:29" x14ac:dyDescent="0.2">
      <c r="AC1179" s="1">
        <v>7.499056332E-3</v>
      </c>
    </row>
    <row r="1180" spans="29:29" x14ac:dyDescent="0.2">
      <c r="AC1180" s="1">
        <v>7.499009024E-3</v>
      </c>
    </row>
    <row r="1181" spans="29:29" x14ac:dyDescent="0.2">
      <c r="AC1181" s="1">
        <v>7.4989617959999996E-3</v>
      </c>
    </row>
    <row r="1182" spans="29:29" x14ac:dyDescent="0.2">
      <c r="AC1182" s="1">
        <v>7.4989146490000002E-3</v>
      </c>
    </row>
    <row r="1183" spans="29:29" x14ac:dyDescent="0.2">
      <c r="AC1183" s="1">
        <v>7.498867583E-3</v>
      </c>
    </row>
    <row r="1184" spans="29:29" x14ac:dyDescent="0.2">
      <c r="AC1184" s="1">
        <v>7.4988205969999996E-3</v>
      </c>
    </row>
    <row r="1185" spans="29:29" x14ac:dyDescent="0.2">
      <c r="AC1185" s="1">
        <v>7.4987736909999997E-3</v>
      </c>
    </row>
    <row r="1186" spans="29:29" x14ac:dyDescent="0.2">
      <c r="AC1186" s="1">
        <v>7.4987268639999998E-3</v>
      </c>
    </row>
    <row r="1187" spans="29:29" x14ac:dyDescent="0.2">
      <c r="AC1187" s="1">
        <v>7.4986801180000002E-3</v>
      </c>
    </row>
    <row r="1188" spans="29:29" x14ac:dyDescent="0.2">
      <c r="AC1188" s="1">
        <v>7.4986334500000001E-3</v>
      </c>
    </row>
    <row r="1189" spans="29:29" x14ac:dyDescent="0.2">
      <c r="AC1189" s="1">
        <v>7.4985868619999998E-3</v>
      </c>
    </row>
    <row r="1190" spans="29:29" x14ac:dyDescent="0.2">
      <c r="AC1190" s="1">
        <v>7.498540352E-3</v>
      </c>
    </row>
    <row r="1191" spans="29:29" x14ac:dyDescent="0.2">
      <c r="AC1191" s="1">
        <v>7.498493922E-3</v>
      </c>
    </row>
    <row r="1192" spans="29:29" x14ac:dyDescent="0.2">
      <c r="AC1192" s="1">
        <v>7.498447571E-3</v>
      </c>
    </row>
    <row r="1193" spans="29:29" x14ac:dyDescent="0.2">
      <c r="AC1193" s="1">
        <v>7.4984012990000001E-3</v>
      </c>
    </row>
    <row r="1194" spans="29:29" x14ac:dyDescent="0.2">
      <c r="AC1194" s="1">
        <v>7.498355107E-3</v>
      </c>
    </row>
    <row r="1195" spans="29:29" x14ac:dyDescent="0.2">
      <c r="AC1195" s="1">
        <v>7.4983089939999999E-3</v>
      </c>
    </row>
    <row r="1196" spans="29:29" x14ac:dyDescent="0.2">
      <c r="AC1196" s="1">
        <v>7.4982629590000004E-3</v>
      </c>
    </row>
    <row r="1197" spans="29:29" x14ac:dyDescent="0.2">
      <c r="AC1197" s="1">
        <v>7.4982170010000002E-3</v>
      </c>
    </row>
    <row r="1198" spans="29:29" x14ac:dyDescent="0.2">
      <c r="AC1198" s="1">
        <v>7.4981711180000001E-3</v>
      </c>
    </row>
    <row r="1199" spans="29:29" x14ac:dyDescent="0.2">
      <c r="AC1199" s="1">
        <v>7.4981253100000001E-3</v>
      </c>
    </row>
    <row r="1200" spans="29:29" x14ac:dyDescent="0.2">
      <c r="AC1200" s="1">
        <v>7.4980795750000002E-3</v>
      </c>
    </row>
    <row r="1201" spans="29:29" x14ac:dyDescent="0.2">
      <c r="AC1201" s="1">
        <v>7.4980339120000001E-3</v>
      </c>
    </row>
    <row r="1202" spans="29:29" x14ac:dyDescent="0.2">
      <c r="AC1202" s="1">
        <v>7.4979883240000001E-3</v>
      </c>
    </row>
    <row r="1203" spans="29:29" x14ac:dyDescent="0.2">
      <c r="AC1203" s="1">
        <v>7.4979428170000003E-3</v>
      </c>
    </row>
    <row r="1204" spans="29:29" x14ac:dyDescent="0.2">
      <c r="AC1204" s="1">
        <v>7.4978973929999996E-3</v>
      </c>
    </row>
    <row r="1205" spans="29:29" x14ac:dyDescent="0.2">
      <c r="AC1205" s="1">
        <v>7.4978520559999999E-3</v>
      </c>
    </row>
    <row r="1206" spans="29:29" x14ac:dyDescent="0.2">
      <c r="AC1206" s="1">
        <v>7.4978068120000003E-3</v>
      </c>
    </row>
    <row r="1207" spans="29:29" x14ac:dyDescent="0.2">
      <c r="AC1207" s="1">
        <v>7.4977616600000003E-3</v>
      </c>
    </row>
    <row r="1208" spans="29:29" x14ac:dyDescent="0.2">
      <c r="AC1208" s="1">
        <v>7.4977165869999996E-3</v>
      </c>
    </row>
    <row r="1209" spans="29:29" x14ac:dyDescent="0.2">
      <c r="AC1209" s="1">
        <v>7.4976715789999999E-3</v>
      </c>
    </row>
    <row r="1210" spans="29:29" x14ac:dyDescent="0.2">
      <c r="AC1210" s="1">
        <v>7.4976266180000004E-3</v>
      </c>
    </row>
    <row r="1211" spans="29:29" x14ac:dyDescent="0.2">
      <c r="AC1211" s="1">
        <v>7.497581689E-3</v>
      </c>
    </row>
    <row r="1212" spans="29:29" x14ac:dyDescent="0.2">
      <c r="AC1212" s="1">
        <v>7.4975367769999999E-3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7:Y731"/>
  <sheetViews>
    <sheetView topLeftCell="E1" workbookViewId="0">
      <selection activeCell="S12" sqref="S12"/>
    </sheetView>
  </sheetViews>
  <sheetFormatPr defaultColWidth="11" defaultRowHeight="14.25" x14ac:dyDescent="0.2"/>
  <cols>
    <col min="11" max="12" width="11" style="1"/>
    <col min="13" max="13" width="11" style="13"/>
    <col min="15" max="16" width="11" style="1"/>
    <col min="18" max="20" width="11" style="1"/>
    <col min="23" max="24" width="11" style="1"/>
  </cols>
  <sheetData>
    <row r="7" spans="3:25" x14ac:dyDescent="0.2">
      <c r="D7">
        <v>0.25</v>
      </c>
      <c r="E7">
        <v>3.2600000000000003E-3</v>
      </c>
    </row>
    <row r="8" spans="3:25" x14ac:dyDescent="0.2">
      <c r="D8">
        <v>0.5</v>
      </c>
      <c r="E8">
        <v>3.2600000000000003E-3</v>
      </c>
    </row>
    <row r="9" spans="3:25" x14ac:dyDescent="0.2">
      <c r="D9">
        <v>0.75</v>
      </c>
      <c r="E9">
        <v>3.2600000000000003E-3</v>
      </c>
    </row>
    <row r="10" spans="3:25" x14ac:dyDescent="0.2">
      <c r="C10">
        <f>D10*12</f>
        <v>12</v>
      </c>
      <c r="D10">
        <v>1</v>
      </c>
      <c r="E10">
        <v>3.2600000000000003E-3</v>
      </c>
      <c r="F10" s="9">
        <f>E10</f>
        <v>3.2600000000000003E-3</v>
      </c>
      <c r="G10">
        <f>EXP(-E10*D10)</f>
        <v>0.99674530803037364</v>
      </c>
      <c r="H10">
        <f>VLOOKUP(C10,Output!B12:O731,14,FALSE)</f>
        <v>5.0006257313671171E-4</v>
      </c>
      <c r="I10" s="10">
        <f>(H10-F10)*10000</f>
        <v>-27.599374268632886</v>
      </c>
    </row>
    <row r="11" spans="3:25" x14ac:dyDescent="0.2">
      <c r="C11">
        <f t="shared" ref="C11:C60" si="0">D11*12</f>
        <v>24</v>
      </c>
      <c r="D11">
        <v>2</v>
      </c>
      <c r="E11">
        <v>3.7499999999999999E-3</v>
      </c>
      <c r="F11" s="9">
        <f>-LN(G11)/D11</f>
        <v>3.7438920976589152E-3</v>
      </c>
      <c r="G11">
        <f>(1-E11*SUM($G$10:G10))/(1+E11)</f>
        <v>0.99254017942205341</v>
      </c>
      <c r="H11">
        <f>VLOOKUP(C11,Output!B13:O732,14,FALSE)</f>
        <v>4.9982472052870902E-4</v>
      </c>
      <c r="I11" s="10">
        <f t="shared" ref="I11:I60" si="1">(H11-F11)*10000</f>
        <v>-32.440673771302059</v>
      </c>
      <c r="K11" s="1">
        <v>0</v>
      </c>
      <c r="L11" s="1">
        <v>0</v>
      </c>
      <c r="M11" s="13">
        <f>K11-L11</f>
        <v>0</v>
      </c>
      <c r="O11" s="1">
        <v>0</v>
      </c>
      <c r="P11" s="1">
        <v>0</v>
      </c>
      <c r="Q11">
        <f>O11-P11</f>
        <v>0</v>
      </c>
      <c r="W11" s="1">
        <v>0</v>
      </c>
      <c r="X11" s="1">
        <v>0</v>
      </c>
    </row>
    <row r="12" spans="3:25" x14ac:dyDescent="0.2">
      <c r="C12">
        <f t="shared" si="0"/>
        <v>36</v>
      </c>
      <c r="D12">
        <v>3</v>
      </c>
      <c r="E12">
        <v>4.6899999999999997E-3</v>
      </c>
      <c r="F12" s="9">
        <f t="shared" ref="F12:F60" si="2">-LN(G12)/D12</f>
        <v>4.6841932897120813E-3</v>
      </c>
      <c r="G12">
        <f>(1-E12*SUM($G$10:G11))/(1+E12)</f>
        <v>0.98604569674610876</v>
      </c>
      <c r="H12">
        <f>VLOOKUP(C12,Output!B14:O733,14,FALSE)</f>
        <v>4.9816206211473406E-4</v>
      </c>
      <c r="I12" s="10">
        <f t="shared" si="1"/>
        <v>-41.86031227597347</v>
      </c>
      <c r="K12" s="1">
        <v>4.8933990920420356E-4</v>
      </c>
      <c r="L12" s="1">
        <v>4.8638167980199538E-4</v>
      </c>
      <c r="M12" s="13">
        <f t="shared" ref="M12:M75" si="3">K12-L12</f>
        <v>2.9582294022081749E-6</v>
      </c>
      <c r="O12" s="1">
        <v>0.99995922250565761</v>
      </c>
      <c r="P12" s="1">
        <v>0.99995946901475241</v>
      </c>
      <c r="Q12">
        <f t="shared" ref="Q12:Q75" si="4">O12-P12</f>
        <v>-2.4650909480339322E-7</v>
      </c>
      <c r="R12" s="11">
        <v>0</v>
      </c>
      <c r="S12" s="1">
        <v>4.97126692658834E-2</v>
      </c>
      <c r="T12" s="1">
        <v>5.045675591732407E-2</v>
      </c>
      <c r="U12">
        <f>S12-T12</f>
        <v>-7.4408665144067021E-4</v>
      </c>
      <c r="W12" s="1">
        <v>5.7046484007929879E-3</v>
      </c>
      <c r="X12" s="1">
        <v>5.790460779191809E-3</v>
      </c>
      <c r="Y12" s="12">
        <f>W12/X12-1</f>
        <v>-1.4819611369649599E-2</v>
      </c>
    </row>
    <row r="13" spans="3:25" x14ac:dyDescent="0.2">
      <c r="C13">
        <f t="shared" si="0"/>
        <v>48</v>
      </c>
      <c r="D13">
        <v>4</v>
      </c>
      <c r="E13">
        <v>6.0400000000000002E-3</v>
      </c>
      <c r="F13" s="9">
        <f t="shared" si="2"/>
        <v>6.0390680432491134E-3</v>
      </c>
      <c r="G13">
        <f>(1-E13*SUM($G$10:G12))/(1+E13)</f>
        <v>0.97613315538889189</v>
      </c>
      <c r="H13">
        <f>VLOOKUP(C13,Output!B15:O734,14,FALSE)</f>
        <v>4.9654265845616187E-4</v>
      </c>
      <c r="I13" s="10">
        <f t="shared" si="1"/>
        <v>-55.425253847929511</v>
      </c>
      <c r="K13" s="1">
        <v>4.9668726520387795E-4</v>
      </c>
      <c r="L13" s="1">
        <v>4.9674232150340083E-4</v>
      </c>
      <c r="M13" s="13">
        <f t="shared" si="3"/>
        <v>-5.5056299522876495E-8</v>
      </c>
      <c r="O13" s="1">
        <v>0.99991722221540258</v>
      </c>
      <c r="P13" s="1">
        <v>0.99991721304011227</v>
      </c>
      <c r="Q13">
        <f t="shared" si="4"/>
        <v>9.1752903053077262E-9</v>
      </c>
      <c r="R13" s="11">
        <v>8.3333333333333329E-2</v>
      </c>
      <c r="S13" s="1">
        <v>4.9626704241842443E-2</v>
      </c>
      <c r="T13" s="1">
        <v>5.0133557371698674E-2</v>
      </c>
      <c r="U13">
        <f t="shared" ref="U13:U76" si="5">S13-T13</f>
        <v>-5.0685312985623149E-4</v>
      </c>
      <c r="W13" s="1">
        <v>8.040829532146165E-3</v>
      </c>
      <c r="X13" s="1">
        <v>8.123366880112861E-3</v>
      </c>
      <c r="Y13" s="12">
        <f t="shared" ref="Y13:Y76" si="6">W13/X13-1</f>
        <v>-1.0160485077777115E-2</v>
      </c>
    </row>
    <row r="14" spans="3:25" x14ac:dyDescent="0.2">
      <c r="C14">
        <f t="shared" si="0"/>
        <v>60</v>
      </c>
      <c r="D14">
        <v>5</v>
      </c>
      <c r="E14">
        <v>7.6600000000000001E-3</v>
      </c>
      <c r="F14" s="9">
        <f t="shared" si="2"/>
        <v>7.6733138183242263E-3</v>
      </c>
      <c r="G14">
        <f>(1-E14*SUM($G$10:G13))/(1+E14)</f>
        <v>0.96236010475632683</v>
      </c>
      <c r="H14">
        <f>VLOOKUP(C14,Output!B16:O735,14,FALSE)</f>
        <v>4.9699350127480925E-4</v>
      </c>
      <c r="I14" s="10">
        <f t="shared" si="1"/>
        <v>-71.763203170494165</v>
      </c>
      <c r="K14" s="1">
        <v>4.9827273012816476E-4</v>
      </c>
      <c r="L14" s="1">
        <v>4.9936292227947213E-4</v>
      </c>
      <c r="M14" s="13">
        <f t="shared" si="3"/>
        <v>-1.0901921513073757E-6</v>
      </c>
      <c r="O14" s="1">
        <v>0.99987543957576186</v>
      </c>
      <c r="P14" s="1">
        <v>0.99987516706170987</v>
      </c>
      <c r="Q14">
        <f t="shared" si="4"/>
        <v>2.7251405199102408E-7</v>
      </c>
      <c r="R14" s="11">
        <v>0.16666666666666666</v>
      </c>
      <c r="S14" s="1">
        <v>5.008385821700187E-2</v>
      </c>
      <c r="T14" s="1">
        <v>5.0283621567953879E-2</v>
      </c>
      <c r="U14">
        <f t="shared" si="5"/>
        <v>-1.9976335095200914E-4</v>
      </c>
      <c r="W14" s="1">
        <v>9.9272996140752773E-3</v>
      </c>
      <c r="X14" s="1">
        <v>9.9670036371580107E-3</v>
      </c>
      <c r="Y14" s="12">
        <f t="shared" si="6"/>
        <v>-3.9835465630525535E-3</v>
      </c>
    </row>
    <row r="15" spans="3:25" x14ac:dyDescent="0.2">
      <c r="C15">
        <f t="shared" si="0"/>
        <v>72</v>
      </c>
      <c r="D15">
        <v>6</v>
      </c>
      <c r="E15">
        <v>9.4799999999999988E-3</v>
      </c>
      <c r="F15" s="9">
        <f t="shared" si="2"/>
        <v>9.5230517818933134E-3</v>
      </c>
      <c r="G15">
        <f>(1-E15*SUM($G$10:G14))/(1+E15)</f>
        <v>0.94446343094228846</v>
      </c>
      <c r="H15">
        <f>VLOOKUP(C15,Output!B17:O736,14,FALSE)</f>
        <v>4.9678681854044824E-4</v>
      </c>
      <c r="I15" s="10">
        <f t="shared" si="1"/>
        <v>-90.262649633528653</v>
      </c>
      <c r="K15" s="1">
        <v>4.9831345649678407E-4</v>
      </c>
      <c r="L15" s="1">
        <v>4.9923602589336711E-4</v>
      </c>
      <c r="M15" s="13">
        <f t="shared" si="3"/>
        <v>-9.2256939658304053E-7</v>
      </c>
      <c r="O15" s="1">
        <v>0.99983390930908733</v>
      </c>
      <c r="P15" s="1">
        <v>0.99983360183707914</v>
      </c>
      <c r="Q15">
        <f t="shared" si="4"/>
        <v>3.0747200818748155E-7</v>
      </c>
      <c r="R15" s="11">
        <v>0.25</v>
      </c>
      <c r="S15" s="1">
        <v>5.0936834648007606E-2</v>
      </c>
      <c r="T15" s="1">
        <v>5.0729638680610506E-2</v>
      </c>
      <c r="U15">
        <f t="shared" si="5"/>
        <v>2.0719596739710022E-4</v>
      </c>
      <c r="W15" s="1">
        <v>1.1648059746603816E-2</v>
      </c>
      <c r="X15" s="1">
        <v>1.1600191214508525E-2</v>
      </c>
      <c r="Y15" s="12">
        <f t="shared" si="6"/>
        <v>4.1265295726695683E-3</v>
      </c>
    </row>
    <row r="16" spans="3:25" x14ac:dyDescent="0.2">
      <c r="C16">
        <f t="shared" si="0"/>
        <v>84</v>
      </c>
      <c r="D16">
        <v>7</v>
      </c>
      <c r="E16">
        <v>1.1240000000000002E-2</v>
      </c>
      <c r="F16" s="9">
        <f t="shared" si="2"/>
        <v>1.1327501412923532E-2</v>
      </c>
      <c r="G16">
        <f>(1-E16*SUM($G$10:G15))/(1+E16)</f>
        <v>0.92376967315551684</v>
      </c>
      <c r="H16">
        <f>VLOOKUP(C16,Output!B18:O737,14,FALSE)</f>
        <v>4.9567760672632806E-4</v>
      </c>
      <c r="I16" s="10">
        <f t="shared" si="1"/>
        <v>-108.31823806197204</v>
      </c>
      <c r="K16" s="1">
        <v>4.9987386287388591E-4</v>
      </c>
      <c r="L16" s="1">
        <v>4.9912321869980476E-4</v>
      </c>
      <c r="M16" s="13">
        <f t="shared" si="3"/>
        <v>7.5064417408114703E-7</v>
      </c>
      <c r="O16" s="1">
        <v>0.99979174091273759</v>
      </c>
      <c r="P16" s="1">
        <v>0.9997920536160555</v>
      </c>
      <c r="Q16">
        <f t="shared" si="4"/>
        <v>-3.1270331790622663E-7</v>
      </c>
      <c r="R16" s="11">
        <v>0.33333333333333331</v>
      </c>
      <c r="S16" s="1">
        <v>5.0759111431317609E-2</v>
      </c>
      <c r="T16" s="1">
        <v>5.0660242289735063E-2</v>
      </c>
      <c r="U16">
        <f t="shared" si="5"/>
        <v>9.8869141582545728E-5</v>
      </c>
      <c r="W16" s="1">
        <v>1.2965547156526855E-2</v>
      </c>
      <c r="X16" s="1">
        <v>1.2940250820580295E-2</v>
      </c>
      <c r="Y16" s="12">
        <f t="shared" si="6"/>
        <v>1.9548566946112622E-3</v>
      </c>
    </row>
    <row r="17" spans="3:25" x14ac:dyDescent="0.2">
      <c r="C17">
        <f t="shared" si="0"/>
        <v>96</v>
      </c>
      <c r="D17">
        <v>8</v>
      </c>
      <c r="E17">
        <v>1.2880000000000001E-2</v>
      </c>
      <c r="F17" s="9">
        <f t="shared" si="2"/>
        <v>1.3025470076147527E-2</v>
      </c>
      <c r="G17">
        <f>(1-E17*SUM($G$10:G16))/(1+E17)</f>
        <v>0.9010416819130328</v>
      </c>
      <c r="H17">
        <f>VLOOKUP(C17,Output!B19:O738,14,FALSE)</f>
        <v>6.5341595390368452E-4</v>
      </c>
      <c r="I17" s="10">
        <f t="shared" si="1"/>
        <v>-123.72054122243843</v>
      </c>
      <c r="K17" s="1">
        <v>5.0067926264950606E-4</v>
      </c>
      <c r="L17" s="1">
        <v>4.9988761221832364E-4</v>
      </c>
      <c r="M17" s="13">
        <f t="shared" si="3"/>
        <v>7.9165043118242448E-7</v>
      </c>
      <c r="O17" s="1">
        <v>0.99974969170102612</v>
      </c>
      <c r="P17" s="1">
        <v>0.9997500874272417</v>
      </c>
      <c r="Q17">
        <f t="shared" si="4"/>
        <v>-3.9572621557404375E-7</v>
      </c>
      <c r="R17" s="11">
        <v>0.41666666666666663</v>
      </c>
      <c r="S17" s="1">
        <v>5.1433046278426438E-2</v>
      </c>
      <c r="T17" s="1">
        <v>5.0486126219359141E-2</v>
      </c>
      <c r="U17">
        <f t="shared" si="5"/>
        <v>9.4692005906729659E-4</v>
      </c>
      <c r="W17" s="1">
        <v>1.4381642451383354E-2</v>
      </c>
      <c r="X17" s="1">
        <v>1.4114802871774046E-2</v>
      </c>
      <c r="Y17" s="12">
        <f t="shared" si="6"/>
        <v>1.8904945540749951E-2</v>
      </c>
    </row>
    <row r="18" spans="3:25" x14ac:dyDescent="0.2">
      <c r="C18">
        <f t="shared" si="0"/>
        <v>108</v>
      </c>
      <c r="D18">
        <v>9</v>
      </c>
      <c r="E18">
        <v>1.4339999999999999E-2</v>
      </c>
      <c r="F18" s="9">
        <f t="shared" si="2"/>
        <v>1.4552149118111408E-2</v>
      </c>
      <c r="G18">
        <f>(1-E18*SUM($G$10:G17))/(1+E18)</f>
        <v>0.87724466849056049</v>
      </c>
      <c r="H18">
        <f>VLOOKUP(C18,Output!B20:O739,14,FALSE)</f>
        <v>1.6772278685073488E-3</v>
      </c>
      <c r="I18" s="10">
        <f t="shared" si="1"/>
        <v>-128.7492124960406</v>
      </c>
      <c r="K18" s="1">
        <v>4.9986059396894974E-4</v>
      </c>
      <c r="L18" s="1">
        <v>4.9926819651916095E-4</v>
      </c>
      <c r="M18" s="13">
        <f t="shared" si="3"/>
        <v>5.9239744978878926E-7</v>
      </c>
      <c r="O18" s="1">
        <v>0.99970845716039369</v>
      </c>
      <c r="P18" s="1">
        <v>0.99970880262488537</v>
      </c>
      <c r="Q18">
        <f t="shared" si="4"/>
        <v>-3.4546449168004756E-7</v>
      </c>
      <c r="R18" s="11">
        <v>0.49999999999999994</v>
      </c>
      <c r="S18" s="1">
        <v>5.1576185127121914E-2</v>
      </c>
      <c r="T18" s="1">
        <v>5.0808054495000469E-2</v>
      </c>
      <c r="U18">
        <f t="shared" si="5"/>
        <v>7.6813063212144428E-4</v>
      </c>
      <c r="W18" s="1">
        <v>1.5566549726047757E-2</v>
      </c>
      <c r="X18" s="1">
        <v>1.5332761203115277E-2</v>
      </c>
      <c r="Y18" s="12">
        <f t="shared" si="6"/>
        <v>1.524764651555266E-2</v>
      </c>
    </row>
    <row r="19" spans="3:25" x14ac:dyDescent="0.2">
      <c r="C19">
        <f t="shared" si="0"/>
        <v>120</v>
      </c>
      <c r="D19">
        <v>10</v>
      </c>
      <c r="E19">
        <v>1.5650000000000001E-2</v>
      </c>
      <c r="F19" s="9">
        <f t="shared" si="2"/>
        <v>1.5936381702367195E-2</v>
      </c>
      <c r="G19">
        <f>(1-E19*SUM($G$10:G18))/(1+E19)</f>
        <v>0.85268608081826747</v>
      </c>
      <c r="H19">
        <f>VLOOKUP(C19,Output!B21:O740,14,FALSE)</f>
        <v>2.580593048383129E-3</v>
      </c>
      <c r="I19" s="10">
        <f t="shared" si="1"/>
        <v>-133.55788653984064</v>
      </c>
      <c r="K19" s="1">
        <v>4.9973299136965945E-4</v>
      </c>
      <c r="L19" s="1">
        <v>5.0006570766965297E-4</v>
      </c>
      <c r="M19" s="13">
        <f t="shared" si="3"/>
        <v>-3.3271629999351814E-7</v>
      </c>
      <c r="O19" s="1">
        <v>0.99966690016249393</v>
      </c>
      <c r="P19" s="1">
        <v>0.99966667842553703</v>
      </c>
      <c r="Q19">
        <f t="shared" si="4"/>
        <v>2.2173695690685946E-7</v>
      </c>
      <c r="R19" s="11">
        <v>0.58333333333333326</v>
      </c>
      <c r="S19" s="1">
        <v>5.1774596649838106E-2</v>
      </c>
      <c r="T19" s="1">
        <v>5.0644658257664357E-2</v>
      </c>
      <c r="U19">
        <f t="shared" si="5"/>
        <v>1.1299383921737488E-3</v>
      </c>
      <c r="W19" s="1">
        <v>1.6694790221889518E-2</v>
      </c>
      <c r="X19" s="1">
        <v>1.6326769639161444E-2</v>
      </c>
      <c r="Y19" s="12">
        <f t="shared" si="6"/>
        <v>2.2540930683883742E-2</v>
      </c>
    </row>
    <row r="20" spans="3:25" x14ac:dyDescent="0.2">
      <c r="C20">
        <f t="shared" si="0"/>
        <v>132</v>
      </c>
      <c r="D20">
        <v>11</v>
      </c>
      <c r="E20">
        <v>1.6754999999999999E-2</v>
      </c>
      <c r="F20" s="9">
        <f t="shared" si="2"/>
        <v>1.7113945668038248E-2</v>
      </c>
      <c r="G20">
        <f>(1-E20*SUM($G$10:G19))/(1+E20)</f>
        <v>0.82840476092149951</v>
      </c>
      <c r="H20">
        <f>VLOOKUP(C20,Output!B22:O741,14,FALSE)</f>
        <v>3.2892526938439791E-3</v>
      </c>
      <c r="I20" s="10">
        <f t="shared" si="1"/>
        <v>-138.24692974194269</v>
      </c>
      <c r="K20" s="1">
        <v>4.9940724212240361E-4</v>
      </c>
      <c r="L20" s="1">
        <v>4.989295412283363E-4</v>
      </c>
      <c r="M20" s="13">
        <f t="shared" si="3"/>
        <v>4.7770089406731515E-7</v>
      </c>
      <c r="O20" s="1">
        <v>0.99962551470553684</v>
      </c>
      <c r="P20" s="1">
        <v>0.99962587284710258</v>
      </c>
      <c r="Q20">
        <f t="shared" si="4"/>
        <v>-3.5814156573721334E-7</v>
      </c>
      <c r="R20" s="11">
        <v>0.66666666666666663</v>
      </c>
      <c r="S20" s="1">
        <v>5.1917263101087859E-2</v>
      </c>
      <c r="T20" s="1">
        <v>5.0550291068891112E-2</v>
      </c>
      <c r="U20">
        <f t="shared" si="5"/>
        <v>1.3669720321967463E-3</v>
      </c>
      <c r="W20" s="1">
        <v>1.7745706934122193E-2</v>
      </c>
      <c r="X20" s="1">
        <v>1.7273826660433388E-2</v>
      </c>
      <c r="Y20" s="12">
        <f t="shared" si="6"/>
        <v>2.7317645531876877E-2</v>
      </c>
    </row>
    <row r="21" spans="3:25" x14ac:dyDescent="0.2">
      <c r="C21">
        <f t="shared" si="0"/>
        <v>144</v>
      </c>
      <c r="D21">
        <v>12</v>
      </c>
      <c r="E21">
        <v>1.7860000000000001E-2</v>
      </c>
      <c r="F21" s="9">
        <f t="shared" si="2"/>
        <v>1.8309241070101043E-2</v>
      </c>
      <c r="G21">
        <f>(1-E21*SUM($G$10:G20))/(1+E21)</f>
        <v>0.80275084543370723</v>
      </c>
      <c r="H21">
        <f>VLOOKUP(C21,Output!B23:O742,14,FALSE)</f>
        <v>4.0038730635943076E-3</v>
      </c>
      <c r="I21" s="10">
        <f t="shared" si="1"/>
        <v>-143.05368006506734</v>
      </c>
      <c r="K21" s="1">
        <v>4.9998790901048789E-4</v>
      </c>
      <c r="L21" s="1">
        <v>4.9963566217853489E-4</v>
      </c>
      <c r="M21" s="13">
        <f t="shared" si="3"/>
        <v>3.5224683195300178E-7</v>
      </c>
      <c r="O21" s="1">
        <v>0.99958343019846108</v>
      </c>
      <c r="P21" s="1">
        <v>0.99958372361525127</v>
      </c>
      <c r="Q21">
        <f t="shared" si="4"/>
        <v>-2.9341679019800893E-7</v>
      </c>
      <c r="R21" s="11">
        <v>0.75</v>
      </c>
      <c r="S21" s="1">
        <v>5.206317741679943E-2</v>
      </c>
      <c r="T21" s="1">
        <v>5.0937415226952769E-2</v>
      </c>
      <c r="U21">
        <f t="shared" si="5"/>
        <v>1.1257621898466616E-3</v>
      </c>
      <c r="W21" s="1">
        <v>1.8747313545035921E-2</v>
      </c>
      <c r="X21" s="1">
        <v>1.8337691856312163E-2</v>
      </c>
      <c r="Y21" s="12">
        <f t="shared" si="6"/>
        <v>2.2337690693758683E-2</v>
      </c>
    </row>
    <row r="22" spans="3:25" x14ac:dyDescent="0.2">
      <c r="C22">
        <f t="shared" si="0"/>
        <v>156</v>
      </c>
      <c r="D22">
        <v>13</v>
      </c>
      <c r="E22">
        <v>1.8579999999999999E-2</v>
      </c>
      <c r="F22" s="9">
        <f t="shared" si="2"/>
        <v>1.9082729764711179E-2</v>
      </c>
      <c r="G22">
        <f>(1-E22*SUM($G$10:G21))/(1+E22)</f>
        <v>0.78030103851614396</v>
      </c>
      <c r="H22">
        <f>VLOOKUP(C22,Output!B24:O743,14,FALSE)</f>
        <v>4.494642908277985E-3</v>
      </c>
      <c r="I22" s="10">
        <f t="shared" si="1"/>
        <v>-145.88086856433196</v>
      </c>
      <c r="K22" s="1">
        <v>5.0000737211976286E-4</v>
      </c>
      <c r="L22" s="1">
        <v>4.9947341646792271E-4</v>
      </c>
      <c r="M22" s="13">
        <f t="shared" si="3"/>
        <v>5.3395565184014959E-7</v>
      </c>
      <c r="O22" s="1">
        <v>0.99954176493066393</v>
      </c>
      <c r="P22" s="1">
        <v>0.99954225416584375</v>
      </c>
      <c r="Q22">
        <f t="shared" si="4"/>
        <v>-4.89235179812475E-7</v>
      </c>
      <c r="R22" s="11">
        <v>0.83333333333333337</v>
      </c>
      <c r="S22" s="1">
        <v>5.2422797279514564E-2</v>
      </c>
      <c r="T22" s="1">
        <v>5.0922559409290413E-2</v>
      </c>
      <c r="U22">
        <f t="shared" si="5"/>
        <v>1.5002378702241512E-3</v>
      </c>
      <c r="W22" s="1">
        <v>1.9788435414312962E-2</v>
      </c>
      <c r="X22" s="1">
        <v>1.9215983902564293E-2</v>
      </c>
      <c r="Y22" s="12">
        <f t="shared" si="6"/>
        <v>2.9790382561273754E-2</v>
      </c>
    </row>
    <row r="23" spans="3:25" x14ac:dyDescent="0.2">
      <c r="C23">
        <f t="shared" si="0"/>
        <v>168</v>
      </c>
      <c r="D23">
        <v>14</v>
      </c>
      <c r="E23">
        <v>1.9299999999999998E-2</v>
      </c>
      <c r="F23" s="9">
        <f t="shared" si="2"/>
        <v>1.9868733008692182E-2</v>
      </c>
      <c r="G23">
        <f>(1-E23*SUM($G$10:G22))/(1+E23)</f>
        <v>0.75717395089422046</v>
      </c>
      <c r="H23">
        <f>VLOOKUP(C23,Output!B25:O744,14,FALSE)</f>
        <v>4.9872326204614906E-3</v>
      </c>
      <c r="I23" s="10">
        <f t="shared" si="1"/>
        <v>-148.81500388230691</v>
      </c>
      <c r="K23" s="1">
        <v>5.0009815016041213E-4</v>
      </c>
      <c r="L23" s="1">
        <v>4.9965572665334383E-4</v>
      </c>
      <c r="M23" s="13">
        <f t="shared" si="3"/>
        <v>4.4242350706830223E-7</v>
      </c>
      <c r="O23" s="1">
        <v>0.99950002687807649</v>
      </c>
      <c r="P23" s="1">
        <v>0.99950046908048151</v>
      </c>
      <c r="Q23">
        <f t="shared" si="4"/>
        <v>-4.4220240502657049E-7</v>
      </c>
      <c r="R23" s="11">
        <v>0.91666666666666674</v>
      </c>
      <c r="S23" s="1">
        <v>5.2509404029358067E-2</v>
      </c>
      <c r="T23" s="1">
        <v>5.1010916696485401E-2</v>
      </c>
      <c r="U23">
        <f t="shared" si="5"/>
        <v>1.4984873328726667E-3</v>
      </c>
      <c r="W23" s="1">
        <v>2.0691636833809968E-2</v>
      </c>
      <c r="X23" s="1">
        <v>2.0094426094324842E-2</v>
      </c>
      <c r="Y23" s="12">
        <f t="shared" si="6"/>
        <v>2.9720218765232342E-2</v>
      </c>
    </row>
    <row r="24" spans="3:25" x14ac:dyDescent="0.2">
      <c r="C24">
        <f t="shared" si="0"/>
        <v>180</v>
      </c>
      <c r="D24">
        <v>15</v>
      </c>
      <c r="E24">
        <v>2.0019999999999996E-2</v>
      </c>
      <c r="F24" s="9">
        <f t="shared" si="2"/>
        <v>2.0668039792999846E-2</v>
      </c>
      <c r="G24">
        <f>(1-E24*SUM($G$10:G23))/(1+E24)</f>
        <v>0.73343184964992036</v>
      </c>
      <c r="H24">
        <f>VLOOKUP(C24,Output!B26:O745,14,FALSE)</f>
        <v>5.4793905935426653E-3</v>
      </c>
      <c r="I24" s="10">
        <f t="shared" si="1"/>
        <v>-151.8864919945718</v>
      </c>
      <c r="K24" s="1">
        <v>4.9982062611195535E-4</v>
      </c>
      <c r="L24" s="1">
        <v>4.9934416244113192E-4</v>
      </c>
      <c r="M24" s="13">
        <f t="shared" si="3"/>
        <v>4.7646367082342968E-7</v>
      </c>
      <c r="O24" s="1">
        <v>0.99945867422473988</v>
      </c>
      <c r="P24" s="1">
        <v>0.99945919011443418</v>
      </c>
      <c r="Q24">
        <f t="shared" si="4"/>
        <v>-5.1588969429694487E-7</v>
      </c>
      <c r="R24" s="11">
        <v>1</v>
      </c>
      <c r="S24" s="1">
        <v>5.2617570533851243E-2</v>
      </c>
      <c r="T24" s="1">
        <v>5.13062388057084E-2</v>
      </c>
      <c r="U24">
        <f t="shared" si="5"/>
        <v>1.3113317281428435E-3</v>
      </c>
      <c r="W24" s="1">
        <v>2.1570373212392357E-2</v>
      </c>
      <c r="X24" s="1">
        <v>2.1026499083315279E-2</v>
      </c>
      <c r="Y24" s="12">
        <f t="shared" si="6"/>
        <v>2.586612858954962E-2</v>
      </c>
    </row>
    <row r="25" spans="3:25" x14ac:dyDescent="0.2">
      <c r="C25">
        <f t="shared" si="0"/>
        <v>192</v>
      </c>
      <c r="D25">
        <v>16</v>
      </c>
      <c r="E25">
        <v>2.0341999999999996E-2</v>
      </c>
      <c r="F25" s="9">
        <f t="shared" si="2"/>
        <v>2.1001335381862166E-2</v>
      </c>
      <c r="G25">
        <f>(1-E25*SUM($G$10:G24))/(1+E25)</f>
        <v>0.71460783726343202</v>
      </c>
      <c r="H25">
        <f>VLOOKUP(C25,Output!B27:O746,14,FALSE)</f>
        <v>5.7660535727847304E-3</v>
      </c>
      <c r="I25" s="10">
        <f t="shared" si="1"/>
        <v>-152.35281809077438</v>
      </c>
      <c r="K25" s="1">
        <v>5.0035166766035258E-4</v>
      </c>
      <c r="L25" s="1">
        <v>4.9922239393562675E-4</v>
      </c>
      <c r="M25" s="13">
        <f t="shared" si="3"/>
        <v>1.1292737247258237E-6</v>
      </c>
      <c r="O25" s="1">
        <v>0.99941642673288444</v>
      </c>
      <c r="P25" s="1">
        <v>0.99941774345091439</v>
      </c>
      <c r="Q25">
        <f t="shared" si="4"/>
        <v>-1.3167180299422654E-6</v>
      </c>
      <c r="R25" s="11">
        <v>1.0833333333333333</v>
      </c>
      <c r="S25" s="1">
        <v>5.2748493102458403E-2</v>
      </c>
      <c r="T25" s="1">
        <v>5.1648779317479368E-2</v>
      </c>
      <c r="U25">
        <f t="shared" si="5"/>
        <v>1.0997137849790353E-3</v>
      </c>
      <c r="W25" s="1">
        <v>2.2429490463442187E-2</v>
      </c>
      <c r="X25" s="1">
        <v>2.1956634018362387E-2</v>
      </c>
      <c r="Y25" s="12">
        <f t="shared" si="6"/>
        <v>2.1535925984117021E-2</v>
      </c>
    </row>
    <row r="26" spans="3:25" x14ac:dyDescent="0.2">
      <c r="C26">
        <f t="shared" si="0"/>
        <v>204</v>
      </c>
      <c r="D26">
        <v>17</v>
      </c>
      <c r="E26">
        <v>2.0663999999999995E-2</v>
      </c>
      <c r="F26" s="9">
        <f t="shared" si="2"/>
        <v>2.1342150985537139E-2</v>
      </c>
      <c r="G26">
        <f>(1-E26*SUM($G$10:G25))/(1+E26)</f>
        <v>0.69571403887955074</v>
      </c>
      <c r="H26">
        <f>VLOOKUP(C26,Output!B28:O747,14,FALSE)</f>
        <v>6.0526648592494842E-3</v>
      </c>
      <c r="I26" s="10">
        <f t="shared" si="1"/>
        <v>-152.89486126287656</v>
      </c>
      <c r="K26" s="1">
        <v>5.0000530867916207E-4</v>
      </c>
      <c r="L26" s="1">
        <v>4.9867039025899233E-4</v>
      </c>
      <c r="M26" s="13">
        <f t="shared" si="3"/>
        <v>1.3349184201697471E-6</v>
      </c>
      <c r="O26" s="1">
        <v>0.99937518864011343</v>
      </c>
      <c r="P26" s="1">
        <v>0.99937685624693973</v>
      </c>
      <c r="Q26">
        <f t="shared" si="4"/>
        <v>-1.6676068262944099E-6</v>
      </c>
      <c r="R26" s="11">
        <v>1.1666666666666665</v>
      </c>
      <c r="S26" s="1">
        <v>5.2593758939083718E-2</v>
      </c>
      <c r="T26" s="1">
        <v>5.1962802784276924E-2</v>
      </c>
      <c r="U26">
        <f t="shared" si="5"/>
        <v>6.3095615480679434E-4</v>
      </c>
      <c r="W26" s="1">
        <v>2.3136761920397715E-2</v>
      </c>
      <c r="X26" s="1">
        <v>2.2856405108523044E-2</v>
      </c>
      <c r="Y26" s="12">
        <f t="shared" si="6"/>
        <v>1.2266006423299114E-2</v>
      </c>
    </row>
    <row r="27" spans="3:25" x14ac:dyDescent="0.2">
      <c r="C27">
        <f t="shared" si="0"/>
        <v>216</v>
      </c>
      <c r="D27">
        <v>18</v>
      </c>
      <c r="E27">
        <v>2.0985999999999998E-2</v>
      </c>
      <c r="F27" s="9">
        <f t="shared" si="2"/>
        <v>2.1690230271210923E-2</v>
      </c>
      <c r="G27">
        <f>(1-E27*SUM($G$10:G26))/(1+E27)</f>
        <v>0.6767697651824387</v>
      </c>
      <c r="H27">
        <f>VLOOKUP(C27,Output!B29:O748,14,FALSE)</f>
        <v>6.3419114028819322E-3</v>
      </c>
      <c r="I27" s="10">
        <f t="shared" si="1"/>
        <v>-153.48318868328991</v>
      </c>
      <c r="K27" s="1">
        <v>5.0000759241911248E-4</v>
      </c>
      <c r="L27" s="1">
        <v>4.9880523051211044E-4</v>
      </c>
      <c r="M27" s="13">
        <f t="shared" si="3"/>
        <v>1.2023619070020402E-6</v>
      </c>
      <c r="O27" s="1">
        <v>0.9993335453897022</v>
      </c>
      <c r="P27" s="1">
        <v>0.99933514747176955</v>
      </c>
      <c r="Q27">
        <f t="shared" si="4"/>
        <v>-1.6020820673423586E-6</v>
      </c>
      <c r="R27" s="11">
        <v>1.2499999999999998</v>
      </c>
      <c r="S27" s="1">
        <v>5.2420872165921534E-2</v>
      </c>
      <c r="T27" s="1">
        <v>5.1819461291888559E-2</v>
      </c>
      <c r="U27">
        <f t="shared" si="5"/>
        <v>6.0141087403297461E-4</v>
      </c>
      <c r="W27" s="1">
        <v>2.380474739428004E-2</v>
      </c>
      <c r="X27" s="1">
        <v>2.3528749011829119E-2</v>
      </c>
      <c r="Y27" s="12">
        <f t="shared" si="6"/>
        <v>1.1730261660412244E-2</v>
      </c>
    </row>
    <row r="28" spans="3:25" x14ac:dyDescent="0.2">
      <c r="C28">
        <f t="shared" si="0"/>
        <v>228</v>
      </c>
      <c r="D28">
        <v>19</v>
      </c>
      <c r="E28">
        <v>2.1307999999999997E-2</v>
      </c>
      <c r="F28" s="9">
        <f t="shared" si="2"/>
        <v>2.2045446599763815E-2</v>
      </c>
      <c r="G28">
        <f>(1-E28*SUM($G$10:G27))/(1+E28)</f>
        <v>0.65779398762474828</v>
      </c>
      <c r="H28">
        <f>VLOOKUP(C28,Output!B30:O749,14,FALSE)</f>
        <v>6.6345187436228983E-3</v>
      </c>
      <c r="I28" s="10">
        <f t="shared" si="1"/>
        <v>-154.10927856140916</v>
      </c>
      <c r="K28" s="1">
        <v>5.0005617395472836E-4</v>
      </c>
      <c r="L28" s="1">
        <v>4.9853347169420226E-4</v>
      </c>
      <c r="M28" s="13">
        <f t="shared" si="3"/>
        <v>1.5227022605261015E-6</v>
      </c>
      <c r="O28" s="1">
        <v>0.99929183795208298</v>
      </c>
      <c r="P28" s="1">
        <v>0.99929399358832383</v>
      </c>
      <c r="Q28">
        <f t="shared" si="4"/>
        <v>-2.1556362408414742E-6</v>
      </c>
      <c r="R28" s="11">
        <v>1.333333333333333</v>
      </c>
      <c r="S28" s="1">
        <v>5.2787218254310195E-2</v>
      </c>
      <c r="T28" s="1">
        <v>5.2028631288092111E-2</v>
      </c>
      <c r="U28">
        <f t="shared" si="5"/>
        <v>7.585869662180833E-4</v>
      </c>
      <c r="W28" s="1">
        <v>2.4699907541940222E-2</v>
      </c>
      <c r="X28" s="1">
        <v>2.4341122325439214E-2</v>
      </c>
      <c r="Y28" s="12">
        <f t="shared" si="6"/>
        <v>1.4739879768240538E-2</v>
      </c>
    </row>
    <row r="29" spans="3:25" x14ac:dyDescent="0.2">
      <c r="C29">
        <f t="shared" si="0"/>
        <v>240</v>
      </c>
      <c r="D29">
        <v>20</v>
      </c>
      <c r="E29">
        <v>2.1629999999999996E-2</v>
      </c>
      <c r="F29" s="9">
        <f t="shared" si="2"/>
        <v>2.2407777063625286E-2</v>
      </c>
      <c r="G29">
        <f>(1-E29*SUM($G$10:G28))/(1+E29)</f>
        <v>0.63880531571248977</v>
      </c>
      <c r="H29">
        <f>VLOOKUP(C29,Output!B31:O750,14,FALSE)</f>
        <v>6.9312789547669052E-3</v>
      </c>
      <c r="I29" s="10">
        <f t="shared" si="1"/>
        <v>-154.7649810885838</v>
      </c>
      <c r="K29" s="1">
        <v>5.0024468845577465E-4</v>
      </c>
      <c r="L29" s="1">
        <v>4.9846990473870754E-4</v>
      </c>
      <c r="M29" s="13">
        <f t="shared" si="3"/>
        <v>1.7747837170671143E-6</v>
      </c>
      <c r="O29" s="1">
        <v>0.99924991442225564</v>
      </c>
      <c r="P29" s="1">
        <v>0.99925257460451267</v>
      </c>
      <c r="Q29">
        <f t="shared" si="4"/>
        <v>-2.6601822570304634E-6</v>
      </c>
      <c r="R29" s="11">
        <v>1.4166666666666663</v>
      </c>
      <c r="S29" s="1">
        <v>5.2708663910627243E-2</v>
      </c>
      <c r="T29" s="1">
        <v>5.2049876328964968E-2</v>
      </c>
      <c r="U29">
        <f t="shared" si="5"/>
        <v>6.5878758166227486E-4</v>
      </c>
      <c r="W29" s="1">
        <v>2.5366259980036429E-2</v>
      </c>
      <c r="X29" s="1">
        <v>2.5046033450401406E-2</v>
      </c>
      <c r="Y29" s="12">
        <f t="shared" si="6"/>
        <v>1.2785518723720024E-2</v>
      </c>
    </row>
    <row r="30" spans="3:25" x14ac:dyDescent="0.2">
      <c r="C30">
        <f t="shared" si="0"/>
        <v>252</v>
      </c>
      <c r="D30">
        <v>21</v>
      </c>
      <c r="E30">
        <v>2.1727999999999997E-2</v>
      </c>
      <c r="F30" s="9">
        <f t="shared" si="2"/>
        <v>2.2486472527058207E-2</v>
      </c>
      <c r="G30">
        <f>(1-E30*SUM($G$10:G29))/(1+E30)</f>
        <v>0.62361884468494067</v>
      </c>
      <c r="H30">
        <f>VLOOKUP(C30,Output!B32:O751,14,FALSE)</f>
        <v>7.0564564778722904E-3</v>
      </c>
      <c r="I30" s="10">
        <f t="shared" si="1"/>
        <v>-154.30016049185917</v>
      </c>
      <c r="K30" s="1">
        <v>5.0008511867250861E-4</v>
      </c>
      <c r="L30" s="1">
        <v>4.9846734945122062E-4</v>
      </c>
      <c r="M30" s="13">
        <f t="shared" si="3"/>
        <v>1.6177692212879929E-6</v>
      </c>
      <c r="O30" s="1">
        <v>0.99920851195414018</v>
      </c>
      <c r="P30" s="1">
        <v>0.9992110713979806</v>
      </c>
      <c r="Q30">
        <f t="shared" si="4"/>
        <v>-2.5594438404219488E-6</v>
      </c>
      <c r="R30" s="11">
        <v>1.4999999999999996</v>
      </c>
      <c r="S30" s="1">
        <v>5.2896950494031626E-2</v>
      </c>
      <c r="T30" s="1">
        <v>5.2249786614660988E-2</v>
      </c>
      <c r="U30">
        <f t="shared" si="5"/>
        <v>6.4716387937063802E-4</v>
      </c>
      <c r="W30" s="1">
        <v>2.6144646579195518E-2</v>
      </c>
      <c r="X30" s="1">
        <v>2.5821405433945687E-2</v>
      </c>
      <c r="Y30" s="12">
        <f t="shared" si="6"/>
        <v>1.2518340493770541E-2</v>
      </c>
    </row>
    <row r="31" spans="3:25" x14ac:dyDescent="0.2">
      <c r="C31">
        <f t="shared" si="0"/>
        <v>264</v>
      </c>
      <c r="D31">
        <v>22</v>
      </c>
      <c r="E31">
        <v>2.1825999999999998E-2</v>
      </c>
      <c r="F31" s="9">
        <f t="shared" si="2"/>
        <v>2.2569683001636535E-2</v>
      </c>
      <c r="G31">
        <f>(1-E31*SUM($G$10:G30))/(1+E31)</f>
        <v>0.60863713515601181</v>
      </c>
      <c r="H31">
        <f>VLOOKUP(C31,Output!B33:O752,14,FALSE)</f>
        <v>7.1829173285343374E-3</v>
      </c>
      <c r="I31" s="10">
        <f t="shared" si="1"/>
        <v>-153.86765673102198</v>
      </c>
      <c r="K31" s="1">
        <v>5.0014168113141663E-4</v>
      </c>
      <c r="L31" s="1">
        <v>4.9786745510704757E-4</v>
      </c>
      <c r="M31" s="13">
        <f t="shared" si="3"/>
        <v>2.2742260243690604E-6</v>
      </c>
      <c r="O31" s="1">
        <v>0.99916677785396457</v>
      </c>
      <c r="P31" s="1">
        <v>0.99917056507962354</v>
      </c>
      <c r="Q31">
        <f t="shared" si="4"/>
        <v>-3.7872256589688291E-6</v>
      </c>
      <c r="R31" s="11">
        <v>1.5833333333333328</v>
      </c>
      <c r="S31" s="1">
        <v>5.3060990995120773E-2</v>
      </c>
      <c r="T31" s="1">
        <v>5.2373375547976282E-2</v>
      </c>
      <c r="U31">
        <f t="shared" si="5"/>
        <v>6.8761544714449063E-4</v>
      </c>
      <c r="W31" s="1">
        <v>2.689691810476396E-2</v>
      </c>
      <c r="X31" s="1">
        <v>2.6545078118063663E-2</v>
      </c>
      <c r="Y31" s="12">
        <f t="shared" si="6"/>
        <v>1.3254434028614703E-2</v>
      </c>
    </row>
    <row r="32" spans="3:25" x14ac:dyDescent="0.2">
      <c r="C32">
        <f t="shared" si="0"/>
        <v>276</v>
      </c>
      <c r="D32">
        <v>23</v>
      </c>
      <c r="E32">
        <v>2.1923999999999999E-2</v>
      </c>
      <c r="F32" s="9">
        <f t="shared" si="2"/>
        <v>2.2657021821020341E-2</v>
      </c>
      <c r="G32">
        <f>(1-E32*SUM($G$10:G31))/(1+E32)</f>
        <v>0.59386010437151171</v>
      </c>
      <c r="H32">
        <f>VLOOKUP(C32,Output!B34:O753,14,FALSE)</f>
        <v>7.3104788793665644E-3</v>
      </c>
      <c r="I32" s="10">
        <f t="shared" si="1"/>
        <v>-153.46542941653777</v>
      </c>
      <c r="K32" s="1">
        <v>5.002140673743443E-4</v>
      </c>
      <c r="L32" s="1">
        <v>4.9813002665032003E-4</v>
      </c>
      <c r="M32" s="13">
        <f t="shared" si="3"/>
        <v>2.0840407240242664E-6</v>
      </c>
      <c r="O32" s="1">
        <v>0.99912500841068308</v>
      </c>
      <c r="P32" s="1">
        <v>0.99912865229743819</v>
      </c>
      <c r="Q32">
        <f t="shared" si="4"/>
        <v>-3.6438867551114029E-6</v>
      </c>
      <c r="R32" s="11">
        <v>1.6666666666666661</v>
      </c>
      <c r="S32" s="1">
        <v>5.3100038307220168E-2</v>
      </c>
      <c r="T32" s="1">
        <v>5.2600855740738438E-2</v>
      </c>
      <c r="U32">
        <f t="shared" si="5"/>
        <v>4.9918256648173037E-4</v>
      </c>
      <c r="W32" s="1">
        <v>2.7570371491162808E-2</v>
      </c>
      <c r="X32" s="1">
        <v>2.7309077723501059E-2</v>
      </c>
      <c r="Y32" s="12">
        <f t="shared" si="6"/>
        <v>9.5680187484650236E-3</v>
      </c>
    </row>
    <row r="33" spans="3:25" x14ac:dyDescent="0.2">
      <c r="C33">
        <f t="shared" si="0"/>
        <v>288</v>
      </c>
      <c r="D33">
        <v>24</v>
      </c>
      <c r="E33">
        <v>2.2022E-2</v>
      </c>
      <c r="F33" s="9">
        <f t="shared" si="2"/>
        <v>2.2748175774442391E-2</v>
      </c>
      <c r="G33">
        <f>(1-E33*SUM($G$10:G32))/(1+E33)</f>
        <v>0.57928759285516762</v>
      </c>
      <c r="H33">
        <f>VLOOKUP(C33,Output!B35:O754,14,FALSE)</f>
        <v>7.4371801741930418E-3</v>
      </c>
      <c r="I33" s="10">
        <f t="shared" si="1"/>
        <v>-153.1099560024935</v>
      </c>
      <c r="K33" s="1">
        <v>4.9995003292173596E-4</v>
      </c>
      <c r="L33" s="1">
        <v>4.9769005159019475E-4</v>
      </c>
      <c r="M33" s="13">
        <f t="shared" si="3"/>
        <v>2.259981331541208E-6</v>
      </c>
      <c r="O33" s="1">
        <v>0.99908384486625623</v>
      </c>
      <c r="P33" s="1">
        <v>0.99908798437803492</v>
      </c>
      <c r="Q33">
        <f t="shared" si="4"/>
        <v>-4.1395117786890978E-6</v>
      </c>
      <c r="R33" s="11">
        <v>1.7499999999999993</v>
      </c>
      <c r="S33" s="1">
        <v>5.3508256924681759E-2</v>
      </c>
      <c r="T33" s="1">
        <v>5.2920301219245673E-2</v>
      </c>
      <c r="U33">
        <f t="shared" si="5"/>
        <v>5.8795570543608566E-4</v>
      </c>
      <c r="W33" s="1">
        <v>2.8428365636144468E-2</v>
      </c>
      <c r="X33" s="1">
        <v>2.8113253547392997E-2</v>
      </c>
      <c r="Y33" s="12">
        <f t="shared" si="6"/>
        <v>1.1208666695950331E-2</v>
      </c>
    </row>
    <row r="34" spans="3:25" x14ac:dyDescent="0.2">
      <c r="C34">
        <f t="shared" si="0"/>
        <v>300</v>
      </c>
      <c r="D34">
        <v>25</v>
      </c>
      <c r="E34">
        <v>2.2120000000000001E-2</v>
      </c>
      <c r="F34" s="9">
        <f t="shared" si="2"/>
        <v>2.2842890912289859E-2</v>
      </c>
      <c r="G34">
        <f>(1-E34*SUM($G$10:G33))/(1+E34)</f>
        <v>0.56491936614544325</v>
      </c>
      <c r="H34">
        <f>VLOOKUP(C34,Output!B36:O755,14,FALSE)</f>
        <v>7.563304377451425E-3</v>
      </c>
      <c r="I34" s="10">
        <f t="shared" si="1"/>
        <v>-152.79586534838435</v>
      </c>
      <c r="K34" s="1">
        <v>4.9990205251034003E-4</v>
      </c>
      <c r="L34" s="1">
        <v>4.977649261715233E-4</v>
      </c>
      <c r="M34" s="13">
        <f t="shared" si="3"/>
        <v>2.1371263388167243E-6</v>
      </c>
      <c r="O34" s="1">
        <v>0.99904231327428317</v>
      </c>
      <c r="P34" s="1">
        <v>0.99904640551864354</v>
      </c>
      <c r="Q34">
        <f t="shared" si="4"/>
        <v>-4.0922443603763625E-6</v>
      </c>
      <c r="R34" s="11">
        <v>1.8333333333333326</v>
      </c>
      <c r="S34" s="1">
        <v>5.3964507515891873E-2</v>
      </c>
      <c r="T34" s="1">
        <v>5.2980995506940257E-2</v>
      </c>
      <c r="U34">
        <f t="shared" si="5"/>
        <v>9.8351200895161611E-4</v>
      </c>
      <c r="W34" s="1">
        <v>2.9307689640196741E-2</v>
      </c>
      <c r="X34" s="1">
        <v>2.8767246368034495E-2</v>
      </c>
      <c r="Y34" s="12">
        <f t="shared" si="6"/>
        <v>1.8786757176827873E-2</v>
      </c>
    </row>
    <row r="35" spans="3:25" x14ac:dyDescent="0.2">
      <c r="C35">
        <f t="shared" si="0"/>
        <v>312</v>
      </c>
      <c r="D35">
        <v>26</v>
      </c>
      <c r="E35">
        <v>2.2162000000000001E-2</v>
      </c>
      <c r="F35" s="9">
        <f t="shared" si="2"/>
        <v>2.2863679691028559E-2</v>
      </c>
      <c r="G35">
        <f>(1-E35*SUM($G$10:G34))/(1+E35)</f>
        <v>0.55186287856142091</v>
      </c>
      <c r="H35">
        <f>VLOOKUP(C35,Output!B37:O756,14,FALSE)</f>
        <v>7.5488559291554298E-3</v>
      </c>
      <c r="I35" s="10">
        <f t="shared" si="1"/>
        <v>-153.14823761873129</v>
      </c>
      <c r="K35" s="1">
        <v>4.9964260162470525E-4</v>
      </c>
      <c r="L35" s="1">
        <v>4.975154512908489E-4</v>
      </c>
      <c r="M35" s="13">
        <f t="shared" si="3"/>
        <v>2.1271503338563544E-6</v>
      </c>
      <c r="O35" s="1">
        <v>0.99900121391594132</v>
      </c>
      <c r="P35" s="1">
        <v>0.99900546397651324</v>
      </c>
      <c r="Q35">
        <f t="shared" si="4"/>
        <v>-4.2500605719197893E-6</v>
      </c>
      <c r="R35" s="11">
        <v>1.9166666666666659</v>
      </c>
      <c r="S35" s="1">
        <v>5.4220772201419666E-2</v>
      </c>
      <c r="T35" s="1">
        <v>5.324525232679804E-2</v>
      </c>
      <c r="U35">
        <f t="shared" si="5"/>
        <v>9.755198746216262E-4</v>
      </c>
      <c r="W35" s="1">
        <v>3.0071347263151246E-2</v>
      </c>
      <c r="X35" s="1">
        <v>2.9523853603108507E-2</v>
      </c>
      <c r="Y35" s="12">
        <f t="shared" si="6"/>
        <v>1.8544112411704061E-2</v>
      </c>
    </row>
    <row r="36" spans="3:25" x14ac:dyDescent="0.2">
      <c r="C36">
        <f t="shared" si="0"/>
        <v>324</v>
      </c>
      <c r="D36">
        <v>27</v>
      </c>
      <c r="E36">
        <v>2.2204000000000002E-2</v>
      </c>
      <c r="F36" s="9">
        <f t="shared" si="2"/>
        <v>2.2887291559662189E-2</v>
      </c>
      <c r="G36">
        <f>(1-E36*SUM($G$10:G35))/(1+E36)</f>
        <v>0.53904465043296379</v>
      </c>
      <c r="H36">
        <f>VLOOKUP(C36,Output!B38:O757,14,FALSE)</f>
        <v>7.5354701746990303E-3</v>
      </c>
      <c r="I36" s="10">
        <f t="shared" si="1"/>
        <v>-153.51821384963159</v>
      </c>
      <c r="K36" s="1">
        <v>4.9976588276313017E-4</v>
      </c>
      <c r="L36" s="1">
        <v>4.9765393048433848E-4</v>
      </c>
      <c r="M36" s="13">
        <f t="shared" si="3"/>
        <v>2.1119522787916905E-6</v>
      </c>
      <c r="O36" s="1">
        <v>0.9989593629162844</v>
      </c>
      <c r="P36" s="1">
        <v>0.99896375824783501</v>
      </c>
      <c r="Q36">
        <f t="shared" si="4"/>
        <v>-4.3953315506106705E-6</v>
      </c>
      <c r="R36" s="11">
        <v>1.9999999999999991</v>
      </c>
      <c r="S36" s="1">
        <v>5.4530524993870122E-2</v>
      </c>
      <c r="T36" s="1">
        <v>5.3488931695530553E-2</v>
      </c>
      <c r="U36">
        <f t="shared" si="5"/>
        <v>1.0415932983395687E-3</v>
      </c>
      <c r="W36" s="1">
        <v>3.0858068871064563E-2</v>
      </c>
      <c r="X36" s="1">
        <v>3.0261356063591229E-2</v>
      </c>
      <c r="Y36" s="12">
        <f t="shared" si="6"/>
        <v>1.97186407053076E-2</v>
      </c>
    </row>
    <row r="37" spans="3:25" x14ac:dyDescent="0.2">
      <c r="C37">
        <f t="shared" si="0"/>
        <v>336</v>
      </c>
      <c r="D37">
        <v>28</v>
      </c>
      <c r="E37">
        <v>2.2245999999999998E-2</v>
      </c>
      <c r="F37" s="9">
        <f t="shared" si="2"/>
        <v>2.2913495659668711E-2</v>
      </c>
      <c r="G37">
        <f>(1-E37*SUM($G$10:G36))/(1+E37)</f>
        <v>0.52646107673436904</v>
      </c>
      <c r="H37">
        <f>VLOOKUP(C37,Output!B39:O758,14,FALSE)</f>
        <v>7.5251200582861569E-3</v>
      </c>
      <c r="I37" s="10">
        <f t="shared" si="1"/>
        <v>-153.88375601382555</v>
      </c>
      <c r="K37" s="1">
        <v>4.9962201135340283E-4</v>
      </c>
      <c r="L37" s="1">
        <v>4.9738067665814852E-4</v>
      </c>
      <c r="M37" s="13">
        <f t="shared" si="3"/>
        <v>2.2413346952543075E-6</v>
      </c>
      <c r="O37" s="1">
        <v>0.99891807134937061</v>
      </c>
      <c r="P37" s="1">
        <v>0.99892292233223323</v>
      </c>
      <c r="Q37">
        <f t="shared" si="4"/>
        <v>-4.8509828626253082E-6</v>
      </c>
      <c r="R37" s="11">
        <v>2.0833333333333326</v>
      </c>
      <c r="S37" s="1">
        <v>5.4785435895183122E-2</v>
      </c>
      <c r="T37" s="1">
        <v>5.3427278755744358E-2</v>
      </c>
      <c r="U37">
        <f t="shared" si="5"/>
        <v>1.3581571394387648E-3</v>
      </c>
      <c r="W37" s="1">
        <v>3.1607430494293078E-2</v>
      </c>
      <c r="X37" s="1">
        <v>3.0813493908970008E-2</v>
      </c>
      <c r="Y37" s="12">
        <f t="shared" si="6"/>
        <v>2.5765873473113432E-2</v>
      </c>
    </row>
    <row r="38" spans="3:25" x14ac:dyDescent="0.2">
      <c r="C38">
        <f t="shared" si="0"/>
        <v>348</v>
      </c>
      <c r="D38">
        <v>29</v>
      </c>
      <c r="E38">
        <v>2.2287999999999999E-2</v>
      </c>
      <c r="F38" s="9">
        <f t="shared" si="2"/>
        <v>2.2942095394329093E-2</v>
      </c>
      <c r="G38">
        <f>(1-E38*SUM($G$10:G37))/(1+E38)</f>
        <v>0.51410859247451246</v>
      </c>
      <c r="H38">
        <f>VLOOKUP(C38,Output!B40:O759,14,FALSE)</f>
        <v>7.5126188293587193E-3</v>
      </c>
      <c r="I38" s="10">
        <f t="shared" si="1"/>
        <v>-154.29476564970375</v>
      </c>
      <c r="K38" s="1">
        <v>4.9961330278127248E-4</v>
      </c>
      <c r="L38" s="1">
        <v>4.9717862880883012E-4</v>
      </c>
      <c r="M38" s="13">
        <f t="shared" si="3"/>
        <v>2.4346739724423602E-6</v>
      </c>
      <c r="O38" s="1">
        <v>0.99887650166610531</v>
      </c>
      <c r="P38" s="1">
        <v>0.99888197354298847</v>
      </c>
      <c r="Q38">
        <f t="shared" si="4"/>
        <v>-5.4718768831563125E-6</v>
      </c>
      <c r="R38" s="11">
        <v>2.1666666666666661</v>
      </c>
      <c r="S38" s="1">
        <v>5.4906426926626416E-2</v>
      </c>
      <c r="T38" s="1">
        <v>5.3470497932224526E-2</v>
      </c>
      <c r="U38">
        <f t="shared" si="5"/>
        <v>1.4359289944018902E-3</v>
      </c>
      <c r="W38" s="1">
        <v>3.2270434497302949E-2</v>
      </c>
      <c r="X38" s="1">
        <v>3.1415220300313372E-2</v>
      </c>
      <c r="Y38" s="12">
        <f t="shared" si="6"/>
        <v>2.7222925346827687E-2</v>
      </c>
    </row>
    <row r="39" spans="3:25" x14ac:dyDescent="0.2">
      <c r="C39">
        <f t="shared" si="0"/>
        <v>360</v>
      </c>
      <c r="D39">
        <v>30</v>
      </c>
      <c r="E39">
        <v>2.2329999999999999E-2</v>
      </c>
      <c r="F39" s="9">
        <f t="shared" si="2"/>
        <v>2.2972922820359665E-2</v>
      </c>
      <c r="G39">
        <f>(1-E39*SUM($G$10:G38))/(1+E39)</f>
        <v>0.50198367255469734</v>
      </c>
      <c r="H39">
        <f>VLOOKUP(C39,Output!B41:O760,14,FALSE)</f>
        <v>7.5015883853212905E-3</v>
      </c>
      <c r="I39" s="10">
        <f t="shared" si="1"/>
        <v>-154.71334435038375</v>
      </c>
      <c r="K39" s="1">
        <v>4.9961898070475087E-4</v>
      </c>
      <c r="L39" s="1">
        <v>4.9717198040388809E-4</v>
      </c>
      <c r="M39" s="13">
        <f t="shared" si="3"/>
        <v>2.4470003008627813E-6</v>
      </c>
      <c r="O39" s="1">
        <v>0.99883490163310817</v>
      </c>
      <c r="P39" s="1">
        <v>0.99884060466443392</v>
      </c>
      <c r="Q39">
        <f t="shared" si="4"/>
        <v>-5.7030313257433463E-6</v>
      </c>
      <c r="R39" s="11">
        <v>2.2499999999999996</v>
      </c>
      <c r="S39" s="1">
        <v>5.5125725583965758E-2</v>
      </c>
      <c r="T39" s="1">
        <v>5.3645649822969786E-2</v>
      </c>
      <c r="U39">
        <f t="shared" si="5"/>
        <v>1.4800757609959719E-3</v>
      </c>
      <c r="W39" s="1">
        <v>3.2984609364892503E-2</v>
      </c>
      <c r="X39" s="1">
        <v>3.2086961666516096E-2</v>
      </c>
      <c r="Y39" s="12">
        <f t="shared" si="6"/>
        <v>2.7975465789056964E-2</v>
      </c>
    </row>
    <row r="40" spans="3:25" x14ac:dyDescent="0.2">
      <c r="C40">
        <f t="shared" si="0"/>
        <v>372</v>
      </c>
      <c r="D40">
        <v>31</v>
      </c>
      <c r="E40">
        <v>2.24263E-2</v>
      </c>
      <c r="F40" s="9">
        <f t="shared" si="2"/>
        <v>2.308560941461477E-2</v>
      </c>
      <c r="G40">
        <f>(1-E40*SUM($G$10:G39))/(1+E40)</f>
        <v>0.48887233762010601</v>
      </c>
      <c r="H40">
        <f>VLOOKUP(C40,Output!B42:O761,14,FALSE)</f>
        <v>7.488108903706242E-3</v>
      </c>
      <c r="I40" s="10">
        <f t="shared" si="1"/>
        <v>-155.97500510908529</v>
      </c>
      <c r="K40" s="1">
        <v>4.9934540866341571E-4</v>
      </c>
      <c r="L40" s="1">
        <v>4.9684640890630791E-4</v>
      </c>
      <c r="M40" s="13">
        <f t="shared" si="3"/>
        <v>2.4989997571078044E-6</v>
      </c>
      <c r="O40" s="1">
        <v>0.99879397642740586</v>
      </c>
      <c r="P40" s="1">
        <v>0.99880000841155603</v>
      </c>
      <c r="Q40">
        <f t="shared" si="4"/>
        <v>-6.0319841501677018E-6</v>
      </c>
      <c r="R40" s="11">
        <v>2.333333333333333</v>
      </c>
      <c r="S40" s="1">
        <v>5.5221996233436127E-2</v>
      </c>
      <c r="T40" s="1">
        <v>5.378238923672532E-2</v>
      </c>
      <c r="U40">
        <f t="shared" si="5"/>
        <v>1.4396069967108072E-3</v>
      </c>
      <c r="W40" s="1">
        <v>3.3616962361903556E-2</v>
      </c>
      <c r="X40" s="1">
        <v>3.2728654943791811E-2</v>
      </c>
      <c r="Y40" s="12">
        <f t="shared" si="6"/>
        <v>2.7141580356336847E-2</v>
      </c>
    </row>
    <row r="41" spans="3:25" x14ac:dyDescent="0.2">
      <c r="C41">
        <f t="shared" si="0"/>
        <v>384</v>
      </c>
      <c r="D41">
        <v>32</v>
      </c>
      <c r="E41">
        <v>2.25226E-2</v>
      </c>
      <c r="F41" s="9">
        <f t="shared" si="2"/>
        <v>2.3200820597778841E-2</v>
      </c>
      <c r="G41">
        <f>(1-E41*SUM($G$10:G40))/(1+E41)</f>
        <v>0.47595771671410653</v>
      </c>
      <c r="H41">
        <f>VLOOKUP(C41,Output!B43:O762,14,FALSE)</f>
        <v>7.4712288582013658E-3</v>
      </c>
      <c r="I41" s="10">
        <f t="shared" si="1"/>
        <v>-157.29591739577478</v>
      </c>
      <c r="K41" s="1">
        <v>4.9925846496475391E-4</v>
      </c>
      <c r="L41" s="1">
        <v>4.9674881588592261E-4</v>
      </c>
      <c r="M41" s="13">
        <f t="shared" si="3"/>
        <v>2.5096490788313044E-6</v>
      </c>
      <c r="O41" s="1">
        <v>0.99875263244803592</v>
      </c>
      <c r="P41" s="1">
        <v>0.99875889876425372</v>
      </c>
      <c r="Q41">
        <f t="shared" si="4"/>
        <v>-6.2663162178067111E-6</v>
      </c>
      <c r="R41" s="11">
        <v>2.4166666666666665</v>
      </c>
      <c r="S41" s="1">
        <v>5.5434527257497312E-2</v>
      </c>
      <c r="T41" s="1">
        <v>5.4170543545329373E-2</v>
      </c>
      <c r="U41">
        <f t="shared" si="5"/>
        <v>1.263983712167939E-3</v>
      </c>
      <c r="W41" s="1">
        <v>3.4314152908941818E-2</v>
      </c>
      <c r="X41" s="1">
        <v>3.35213831534103E-2</v>
      </c>
      <c r="Y41" s="12">
        <f t="shared" si="6"/>
        <v>2.3649673162453144E-2</v>
      </c>
    </row>
    <row r="42" spans="3:25" x14ac:dyDescent="0.2">
      <c r="C42">
        <f t="shared" si="0"/>
        <v>396</v>
      </c>
      <c r="D42">
        <v>33</v>
      </c>
      <c r="E42">
        <v>2.2618900000000001E-2</v>
      </c>
      <c r="F42" s="9">
        <f t="shared" si="2"/>
        <v>2.3318543264644227E-2</v>
      </c>
      <c r="G42">
        <f>(1-E42*SUM($G$10:G41))/(1+E42)</f>
        <v>0.46323910730620438</v>
      </c>
      <c r="H42">
        <f>VLOOKUP(C42,Output!B44:O763,14,FALSE)</f>
        <v>7.4506825010292009E-3</v>
      </c>
      <c r="I42" s="10">
        <f t="shared" si="1"/>
        <v>-158.67860763615028</v>
      </c>
      <c r="K42" s="1">
        <v>4.9931405155855316E-4</v>
      </c>
      <c r="L42" s="1">
        <v>4.9679243105319099E-4</v>
      </c>
      <c r="M42" s="13">
        <f t="shared" si="3"/>
        <v>2.5216205053621649E-6</v>
      </c>
      <c r="O42" s="1">
        <v>0.99871093692331092</v>
      </c>
      <c r="P42" s="1">
        <v>0.99871744273360941</v>
      </c>
      <c r="Q42">
        <f t="shared" si="4"/>
        <v>-6.5058102984849597E-6</v>
      </c>
      <c r="R42" s="11">
        <v>2.5</v>
      </c>
      <c r="S42" s="1">
        <v>5.5820744042797757E-2</v>
      </c>
      <c r="T42" s="1">
        <v>5.4354046739873055E-2</v>
      </c>
      <c r="U42">
        <f t="shared" si="5"/>
        <v>1.4666973029247021E-3</v>
      </c>
      <c r="W42" s="1">
        <v>3.511704273105902E-2</v>
      </c>
      <c r="X42" s="1">
        <v>3.4181534630830492E-2</v>
      </c>
      <c r="Y42" s="12">
        <f t="shared" si="6"/>
        <v>2.7368815073175012E-2</v>
      </c>
    </row>
    <row r="43" spans="3:25" x14ac:dyDescent="0.2">
      <c r="C43">
        <f t="shared" si="0"/>
        <v>408</v>
      </c>
      <c r="D43">
        <v>34</v>
      </c>
      <c r="E43">
        <v>2.2715200000000001E-2</v>
      </c>
      <c r="F43" s="9">
        <f t="shared" si="2"/>
        <v>2.3438776684320515E-2</v>
      </c>
      <c r="G43">
        <f>(1-E43*SUM($G$10:G42))/(1+E43)</f>
        <v>0.45071574864294273</v>
      </c>
      <c r="H43">
        <f>VLOOKUP(C43,Output!B45:O764,14,FALSE)</f>
        <v>7.431715472549812E-3</v>
      </c>
      <c r="I43" s="10">
        <f t="shared" si="1"/>
        <v>-160.07061211770701</v>
      </c>
      <c r="K43" s="1">
        <v>4.9919051546292999E-4</v>
      </c>
      <c r="L43" s="1">
        <v>4.9657197566544537E-4</v>
      </c>
      <c r="M43" s="13">
        <f t="shared" si="3"/>
        <v>2.6185397974846187E-6</v>
      </c>
      <c r="O43" s="1">
        <v>0.99866971091213508</v>
      </c>
      <c r="P43" s="1">
        <v>0.9986766844201691</v>
      </c>
      <c r="Q43">
        <f t="shared" si="4"/>
        <v>-6.9735080340249667E-6</v>
      </c>
      <c r="R43" s="11">
        <v>2.5833333333333335</v>
      </c>
      <c r="S43" s="1">
        <v>5.6139144536490236E-2</v>
      </c>
      <c r="T43" s="1">
        <v>5.4518536968188369E-2</v>
      </c>
      <c r="U43">
        <f t="shared" si="5"/>
        <v>1.620607568301867E-3</v>
      </c>
      <c r="W43" s="1">
        <v>3.5874678850775645E-2</v>
      </c>
      <c r="X43" s="1">
        <v>3.4824361856155568E-2</v>
      </c>
      <c r="Y43" s="12">
        <f t="shared" si="6"/>
        <v>3.0160408938963101E-2</v>
      </c>
    </row>
    <row r="44" spans="3:25" x14ac:dyDescent="0.2">
      <c r="C44">
        <f t="shared" si="0"/>
        <v>420</v>
      </c>
      <c r="D44">
        <v>35</v>
      </c>
      <c r="E44">
        <v>2.2811499999999998E-2</v>
      </c>
      <c r="F44" s="9">
        <f t="shared" si="2"/>
        <v>2.3561531425792703E-2</v>
      </c>
      <c r="G44">
        <f>(1-E44*SUM($G$10:G43))/(1+E44)</f>
        <v>0.43838682340456769</v>
      </c>
      <c r="H44">
        <f>VLOOKUP(C44,Output!B46:O765,14,FALSE)</f>
        <v>7.4121926446207255E-3</v>
      </c>
      <c r="I44" s="10">
        <f t="shared" si="1"/>
        <v>-161.49338781171977</v>
      </c>
      <c r="K44" s="1">
        <v>4.9913716233793636E-4</v>
      </c>
      <c r="L44" s="1">
        <v>4.9649782186590361E-4</v>
      </c>
      <c r="M44" s="13">
        <f t="shared" si="3"/>
        <v>2.6393404720327553E-6</v>
      </c>
      <c r="O44" s="1">
        <v>0.99862831442539968</v>
      </c>
      <c r="P44" s="1">
        <v>0.99863556268205289</v>
      </c>
      <c r="Q44">
        <f t="shared" si="4"/>
        <v>-7.2482566532139359E-6</v>
      </c>
      <c r="R44" s="11">
        <v>2.666666666666667</v>
      </c>
      <c r="S44" s="1">
        <v>5.6461729280573969E-2</v>
      </c>
      <c r="T44" s="1">
        <v>5.4934971431493902E-2</v>
      </c>
      <c r="U44">
        <f t="shared" si="5"/>
        <v>1.5267578490800668E-3</v>
      </c>
      <c r="W44" s="1">
        <v>3.6632479994371588E-2</v>
      </c>
      <c r="X44" s="1">
        <v>3.5628012269231776E-2</v>
      </c>
      <c r="Y44" s="12">
        <f t="shared" si="6"/>
        <v>2.8193201393030387E-2</v>
      </c>
    </row>
    <row r="45" spans="3:25" x14ac:dyDescent="0.2">
      <c r="C45">
        <f t="shared" si="0"/>
        <v>432</v>
      </c>
      <c r="D45">
        <v>36</v>
      </c>
      <c r="E45">
        <v>2.2907799999999999E-2</v>
      </c>
      <c r="F45" s="9">
        <f t="shared" si="2"/>
        <v>2.3686828518886219E-2</v>
      </c>
      <c r="G45">
        <f>(1-E45*SUM($G$10:G44))/(1+E45)</f>
        <v>0.42625145935654413</v>
      </c>
      <c r="H45">
        <f>VLOOKUP(C45,Output!B47:O766,14,FALSE)</f>
        <v>7.3923389083364079E-3</v>
      </c>
      <c r="I45" s="10">
        <f t="shared" si="1"/>
        <v>-162.94489610549812</v>
      </c>
      <c r="K45" s="1">
        <v>4.989758740601072E-4</v>
      </c>
      <c r="L45" s="1">
        <v>4.9643226908654687E-4</v>
      </c>
      <c r="M45" s="13">
        <f t="shared" si="3"/>
        <v>2.5436049735603214E-6</v>
      </c>
      <c r="O45" s="1">
        <v>0.99858723391841109</v>
      </c>
      <c r="P45" s="1">
        <v>0.99859443064346576</v>
      </c>
      <c r="Q45">
        <f t="shared" si="4"/>
        <v>-7.1967250546700612E-6</v>
      </c>
      <c r="R45" s="11">
        <v>2.7500000000000004</v>
      </c>
      <c r="S45" s="1">
        <v>5.6589362354828102E-2</v>
      </c>
      <c r="T45" s="1">
        <v>5.4972188251841726E-2</v>
      </c>
      <c r="U45">
        <f t="shared" si="5"/>
        <v>1.6171741029863754E-3</v>
      </c>
      <c r="W45" s="1">
        <v>3.7257611759582136E-2</v>
      </c>
      <c r="X45" s="1">
        <v>3.6177418342342164E-2</v>
      </c>
      <c r="Y45" s="12">
        <f t="shared" si="6"/>
        <v>2.985822280125805E-2</v>
      </c>
    </row>
    <row r="46" spans="3:25" x14ac:dyDescent="0.2">
      <c r="C46">
        <f t="shared" si="0"/>
        <v>444</v>
      </c>
      <c r="D46">
        <v>37</v>
      </c>
      <c r="E46">
        <v>2.30041E-2</v>
      </c>
      <c r="F46" s="9">
        <f t="shared" si="2"/>
        <v>2.3814698811679167E-2</v>
      </c>
      <c r="G46">
        <f>(1-E46*SUM($G$10:G45))/(1+E46)</f>
        <v>0.41430873099495141</v>
      </c>
      <c r="H46">
        <f>VLOOKUP(C46,Output!B48:O767,14,FALSE)</f>
        <v>7.3788601741285971E-3</v>
      </c>
      <c r="I46" s="10">
        <f t="shared" si="1"/>
        <v>-164.35838637550569</v>
      </c>
      <c r="K46" s="1">
        <v>4.9883429809724749E-4</v>
      </c>
      <c r="L46" s="1">
        <v>4.9626388725716557E-4</v>
      </c>
      <c r="M46" s="13">
        <f t="shared" si="3"/>
        <v>2.5704108400819228E-6</v>
      </c>
      <c r="O46" s="1">
        <v>0.99854612453298308</v>
      </c>
      <c r="P46" s="1">
        <v>0.9985536106929116</v>
      </c>
      <c r="Q46">
        <f t="shared" si="4"/>
        <v>-7.4861599285158675E-6</v>
      </c>
      <c r="R46" s="11">
        <v>2.8333333333333339</v>
      </c>
      <c r="S46" s="1">
        <v>5.6932006050905752E-2</v>
      </c>
      <c r="T46" s="1">
        <v>5.5215078646761701E-2</v>
      </c>
      <c r="U46">
        <f t="shared" si="5"/>
        <v>1.7169274041440516E-3</v>
      </c>
      <c r="W46" s="1">
        <v>3.8023187334797891E-2</v>
      </c>
      <c r="X46" s="1">
        <v>3.6859564931887835E-2</v>
      </c>
      <c r="Y46" s="12">
        <f t="shared" si="6"/>
        <v>3.1569075898217891E-2</v>
      </c>
    </row>
    <row r="47" spans="3:25" x14ac:dyDescent="0.2">
      <c r="C47">
        <f t="shared" si="0"/>
        <v>456</v>
      </c>
      <c r="D47">
        <v>38</v>
      </c>
      <c r="E47">
        <v>2.31004E-2</v>
      </c>
      <c r="F47" s="9">
        <f t="shared" si="2"/>
        <v>2.3945182494260354E-2</v>
      </c>
      <c r="G47">
        <f>(1-E47*SUM($G$10:G46))/(1+E47)</f>
        <v>0.4025576611848114</v>
      </c>
      <c r="H47">
        <f>VLOOKUP(C47,Output!B49:O768,14,FALSE)</f>
        <v>7.3670301676948555E-3</v>
      </c>
      <c r="I47" s="10">
        <f t="shared" si="1"/>
        <v>-165.78152326565498</v>
      </c>
      <c r="K47" s="1">
        <v>4.9855552037935302E-4</v>
      </c>
      <c r="L47" s="1">
        <v>4.9639736506399811E-4</v>
      </c>
      <c r="M47" s="13">
        <f t="shared" si="3"/>
        <v>2.1581553153549125E-6</v>
      </c>
      <c r="O47" s="1">
        <v>0.99850545139066249</v>
      </c>
      <c r="P47" s="1">
        <v>0.99851191620113255</v>
      </c>
      <c r="Q47">
        <f t="shared" si="4"/>
        <v>-6.4648104700637532E-6</v>
      </c>
      <c r="R47" s="11">
        <v>2.9166666666666674</v>
      </c>
      <c r="S47" s="1">
        <v>5.6992546438102289E-2</v>
      </c>
      <c r="T47" s="1">
        <v>5.5596337007072893E-2</v>
      </c>
      <c r="U47">
        <f t="shared" si="5"/>
        <v>1.3962094310293952E-3</v>
      </c>
      <c r="W47" s="1">
        <v>3.8593148380575037E-2</v>
      </c>
      <c r="X47" s="1">
        <v>3.763367869591789E-2</v>
      </c>
      <c r="Y47" s="12">
        <f t="shared" si="6"/>
        <v>2.549497465846251E-2</v>
      </c>
    </row>
    <row r="48" spans="3:25" x14ac:dyDescent="0.2">
      <c r="C48">
        <f t="shared" si="0"/>
        <v>468</v>
      </c>
      <c r="D48">
        <v>39</v>
      </c>
      <c r="E48">
        <v>2.3196700000000001E-2</v>
      </c>
      <c r="F48" s="9">
        <f t="shared" si="2"/>
        <v>2.4078328765635173E-2</v>
      </c>
      <c r="G48">
        <f>(1-E48*SUM($G$10:G47))/(1+E48)</f>
        <v>0.39099722279042992</v>
      </c>
      <c r="H48">
        <f>VLOOKUP(C48,Output!B50:O769,14,FALSE)</f>
        <v>7.35985265613505E-3</v>
      </c>
      <c r="I48" s="10">
        <f t="shared" si="1"/>
        <v>-167.18476109500125</v>
      </c>
      <c r="K48" s="1">
        <v>4.9857064776559349E-4</v>
      </c>
      <c r="L48" s="1">
        <v>4.9611908700021383E-4</v>
      </c>
      <c r="M48" s="13">
        <f t="shared" si="3"/>
        <v>2.4515607653796548E-6</v>
      </c>
      <c r="O48" s="1">
        <v>0.9984639214808696</v>
      </c>
      <c r="P48" s="1">
        <v>0.99847146887723615</v>
      </c>
      <c r="Q48">
        <f t="shared" si="4"/>
        <v>-7.547396366547332E-6</v>
      </c>
      <c r="R48" s="11">
        <v>3.0000000000000009</v>
      </c>
      <c r="S48" s="1">
        <v>5.7357216188784255E-2</v>
      </c>
      <c r="T48" s="1">
        <v>5.5919328593409763E-2</v>
      </c>
      <c r="U48">
        <f t="shared" si="5"/>
        <v>1.4378875953744916E-3</v>
      </c>
      <c r="W48" s="1">
        <v>3.9368794115139674E-2</v>
      </c>
      <c r="X48" s="1">
        <v>3.8367536411476007E-2</v>
      </c>
      <c r="Y48" s="12">
        <f t="shared" si="6"/>
        <v>2.6096481486994394E-2</v>
      </c>
    </row>
    <row r="49" spans="3:25" x14ac:dyDescent="0.2">
      <c r="C49">
        <f t="shared" si="0"/>
        <v>480</v>
      </c>
      <c r="D49">
        <v>40</v>
      </c>
      <c r="E49">
        <v>2.3293000000000001E-2</v>
      </c>
      <c r="F49" s="9">
        <f t="shared" si="2"/>
        <v>2.4214195626033143E-2</v>
      </c>
      <c r="G49">
        <f>(1-E49*SUM($G$10:G48))/(1+E49)</f>
        <v>0.37962634029686187</v>
      </c>
      <c r="H49">
        <f>VLOOKUP(C49,Output!B51:O770,14,FALSE)</f>
        <v>7.3546961924448777E-3</v>
      </c>
      <c r="I49" s="10">
        <f t="shared" si="1"/>
        <v>-168.59499433588266</v>
      </c>
      <c r="K49" s="1">
        <v>4.9832612457864764E-4</v>
      </c>
      <c r="L49" s="1">
        <v>4.9600479113478765E-4</v>
      </c>
      <c r="M49" s="13">
        <f t="shared" si="3"/>
        <v>2.321333443859987E-6</v>
      </c>
      <c r="O49" s="1">
        <v>0.99842321171113813</v>
      </c>
      <c r="P49" s="1">
        <v>0.9984305510365562</v>
      </c>
      <c r="Q49">
        <f t="shared" si="4"/>
        <v>-7.33932541807647E-6</v>
      </c>
      <c r="R49" s="11">
        <v>3.0833333333333344</v>
      </c>
      <c r="S49" s="1">
        <v>5.7519187816117409E-2</v>
      </c>
      <c r="T49" s="1">
        <v>5.6108172913614224E-2</v>
      </c>
      <c r="U49">
        <f t="shared" si="5"/>
        <v>1.4110149025031854E-3</v>
      </c>
      <c r="W49" s="1">
        <v>4.0000774648851226E-2</v>
      </c>
      <c r="X49" s="1">
        <v>3.9005020943853476E-2</v>
      </c>
      <c r="Y49" s="12">
        <f t="shared" si="6"/>
        <v>2.552885964171403E-2</v>
      </c>
    </row>
    <row r="50" spans="3:25" x14ac:dyDescent="0.2">
      <c r="C50">
        <f t="shared" si="0"/>
        <v>492</v>
      </c>
      <c r="D50">
        <v>41</v>
      </c>
      <c r="E50">
        <v>2.3350700000000002E-2</v>
      </c>
      <c r="F50" s="9">
        <f t="shared" si="2"/>
        <v>2.4285520691831944E-2</v>
      </c>
      <c r="G50">
        <f>(1-E50*SUM($G$10:G49))/(1+E50)</f>
        <v>0.36946238320444202</v>
      </c>
      <c r="H50">
        <f>VLOOKUP(C50,Output!B52:O771,14,FALSE)</f>
        <v>7.3487416143301395E-3</v>
      </c>
      <c r="I50" s="10">
        <f t="shared" si="1"/>
        <v>-169.36779077501802</v>
      </c>
      <c r="K50" s="1">
        <v>4.9823761371051156E-4</v>
      </c>
      <c r="L50" s="1">
        <v>4.9597009600857152E-4</v>
      </c>
      <c r="M50" s="13">
        <f t="shared" si="3"/>
        <v>2.2675177019400436E-6</v>
      </c>
      <c r="O50" s="1">
        <v>0.99838203806939474</v>
      </c>
      <c r="P50" s="1">
        <v>0.99838939560557516</v>
      </c>
      <c r="Q50">
        <f t="shared" si="4"/>
        <v>-7.3575361804190109E-6</v>
      </c>
      <c r="R50" s="11">
        <v>3.1666666666666679</v>
      </c>
      <c r="S50" s="1">
        <v>5.7699641267230962E-2</v>
      </c>
      <c r="T50" s="1">
        <v>5.6358956050196092E-2</v>
      </c>
      <c r="U50">
        <f t="shared" si="5"/>
        <v>1.3406852170348704E-3</v>
      </c>
      <c r="W50" s="1">
        <v>4.0641689577166608E-2</v>
      </c>
      <c r="X50" s="1">
        <v>3.9683416005071262E-2</v>
      </c>
      <c r="Y50" s="12">
        <f t="shared" si="6"/>
        <v>2.4147960749469899E-2</v>
      </c>
    </row>
    <row r="51" spans="3:25" x14ac:dyDescent="0.2">
      <c r="C51">
        <f t="shared" si="0"/>
        <v>504</v>
      </c>
      <c r="D51">
        <v>42</v>
      </c>
      <c r="E51">
        <v>2.3408399999999999E-2</v>
      </c>
      <c r="F51" s="9">
        <f t="shared" si="2"/>
        <v>2.4358833758027082E-2</v>
      </c>
      <c r="G51">
        <f>(1-E51*SUM($G$10:G50))/(1+E51)</f>
        <v>0.35948924535308036</v>
      </c>
      <c r="H51">
        <f>VLOOKUP(C51,Output!B53:O772,14,FALSE)</f>
        <v>7.3434585827056066E-3</v>
      </c>
      <c r="I51" s="10">
        <f t="shared" si="1"/>
        <v>-170.15375175321475</v>
      </c>
      <c r="K51" s="1">
        <v>4.980993643783516E-4</v>
      </c>
      <c r="L51" s="1">
        <v>4.959720374926944E-4</v>
      </c>
      <c r="M51" s="13">
        <f t="shared" si="3"/>
        <v>2.1273268856572027E-6</v>
      </c>
      <c r="O51" s="1">
        <v>0.998341046372754</v>
      </c>
      <c r="P51" s="1">
        <v>0.99834812572368414</v>
      </c>
      <c r="Q51">
        <f t="shared" si="4"/>
        <v>-7.0793509301392277E-6</v>
      </c>
      <c r="R51" s="11">
        <v>3.2500000000000013</v>
      </c>
      <c r="S51" s="1">
        <v>5.778808466682106E-2</v>
      </c>
      <c r="T51" s="1">
        <v>5.6719289358906869E-2</v>
      </c>
      <c r="U51">
        <f t="shared" si="5"/>
        <v>1.0687953079141915E-3</v>
      </c>
      <c r="W51" s="1">
        <v>4.1212297216602925E-2</v>
      </c>
      <c r="X51" s="1">
        <v>4.0439268878607729E-2</v>
      </c>
      <c r="Y51" s="12">
        <f t="shared" si="6"/>
        <v>1.9115784222402787E-2</v>
      </c>
    </row>
    <row r="52" spans="3:25" x14ac:dyDescent="0.2">
      <c r="C52">
        <f t="shared" si="0"/>
        <v>516</v>
      </c>
      <c r="D52">
        <v>43</v>
      </c>
      <c r="E52">
        <v>2.34661E-2</v>
      </c>
      <c r="F52" s="9">
        <f t="shared" si="2"/>
        <v>2.4434128253459763E-2</v>
      </c>
      <c r="G52">
        <f>(1-E52*SUM($G$10:G51))/(1+E52)</f>
        <v>0.34970423839459341</v>
      </c>
      <c r="H52">
        <f>VLOOKUP(C52,Output!B54:O773,14,FALSE)</f>
        <v>7.3387948973498464E-3</v>
      </c>
      <c r="I52" s="10">
        <f t="shared" si="1"/>
        <v>-170.95333356109916</v>
      </c>
      <c r="K52" s="1">
        <v>4.980989877932273E-4</v>
      </c>
      <c r="L52" s="1">
        <v>4.9567088739332194E-4</v>
      </c>
      <c r="M52" s="13">
        <f t="shared" si="3"/>
        <v>2.4281003999053604E-6</v>
      </c>
      <c r="O52" s="1">
        <v>0.99829960909720705</v>
      </c>
      <c r="P52" s="1">
        <v>0.99830789103480078</v>
      </c>
      <c r="Q52">
        <f t="shared" si="4"/>
        <v>-8.2819375937237538E-6</v>
      </c>
      <c r="R52" s="11">
        <v>3.3333333333333348</v>
      </c>
      <c r="S52" s="1">
        <v>5.7901574020499287E-2</v>
      </c>
      <c r="T52" s="1">
        <v>5.7003300956048969E-2</v>
      </c>
      <c r="U52">
        <f t="shared" si="5"/>
        <v>8.9827306445031813E-4</v>
      </c>
      <c r="W52" s="1">
        <v>4.1796098430426448E-2</v>
      </c>
      <c r="X52" s="1">
        <v>4.1139540964394726E-2</v>
      </c>
      <c r="Y52" s="12">
        <f t="shared" si="6"/>
        <v>1.5959280308935897E-2</v>
      </c>
    </row>
    <row r="53" spans="3:25" x14ac:dyDescent="0.2">
      <c r="C53">
        <f t="shared" si="0"/>
        <v>528</v>
      </c>
      <c r="D53">
        <v>44</v>
      </c>
      <c r="E53">
        <v>2.3523800000000001E-2</v>
      </c>
      <c r="F53" s="9">
        <f t="shared" si="2"/>
        <v>2.4511404253808967E-2</v>
      </c>
      <c r="G53">
        <f>(1-E53*SUM($G$10:G52))/(1+E53)</f>
        <v>0.34010469334483717</v>
      </c>
      <c r="H53">
        <f>VLOOKUP(C53,Output!B55:O774,14,FALSE)</f>
        <v>7.335994571565755E-3</v>
      </c>
      <c r="I53" s="10">
        <f t="shared" si="1"/>
        <v>-171.75409682243213</v>
      </c>
      <c r="K53" s="1">
        <v>4.980948806048561E-4</v>
      </c>
      <c r="L53" s="1">
        <v>4.9545893763366434E-4</v>
      </c>
      <c r="M53" s="13">
        <f t="shared" si="3"/>
        <v>2.6359429711917629E-6</v>
      </c>
      <c r="O53" s="1">
        <v>0.99825818663858423</v>
      </c>
      <c r="P53" s="1">
        <v>0.9982673964118447</v>
      </c>
      <c r="Q53">
        <f t="shared" si="4"/>
        <v>-9.2097732604656812E-6</v>
      </c>
      <c r="R53" s="11">
        <v>3.4166666666666683</v>
      </c>
      <c r="S53" s="1">
        <v>5.8241466758082651E-2</v>
      </c>
      <c r="T53" s="1">
        <v>5.7469101226106066E-2</v>
      </c>
      <c r="U53">
        <f t="shared" si="5"/>
        <v>7.7236553197658486E-4</v>
      </c>
      <c r="W53" s="1">
        <v>4.2544118109572961E-2</v>
      </c>
      <c r="X53" s="1">
        <v>4.197382308616586E-2</v>
      </c>
      <c r="Y53" s="12">
        <f t="shared" si="6"/>
        <v>1.3586921120727347E-2</v>
      </c>
    </row>
    <row r="54" spans="3:25" x14ac:dyDescent="0.2">
      <c r="C54">
        <f t="shared" si="0"/>
        <v>540</v>
      </c>
      <c r="D54">
        <v>45</v>
      </c>
      <c r="E54">
        <v>2.3581499999999998E-2</v>
      </c>
      <c r="F54" s="9">
        <f t="shared" si="2"/>
        <v>2.4590668101920871E-2</v>
      </c>
      <c r="G54">
        <f>(1-E54*SUM($G$10:G53))/(1+E54)</f>
        <v>0.33068796088985614</v>
      </c>
      <c r="H54">
        <f>VLOOKUP(C54,Output!B56:O775,14,FALSE)</f>
        <v>7.3332885619909957E-3</v>
      </c>
      <c r="I54" s="10">
        <f t="shared" si="1"/>
        <v>-172.57379539929875</v>
      </c>
      <c r="K54" s="1">
        <v>4.9786340173330426E-4</v>
      </c>
      <c r="L54" s="1">
        <v>4.9519038348935546E-4</v>
      </c>
      <c r="M54" s="13">
        <f t="shared" si="3"/>
        <v>2.6730182439487979E-6</v>
      </c>
      <c r="O54" s="1">
        <v>0.99821757987799065</v>
      </c>
      <c r="P54" s="1">
        <v>0.99822714116657318</v>
      </c>
      <c r="Q54">
        <f t="shared" si="4"/>
        <v>-9.5612885825380189E-6</v>
      </c>
      <c r="R54" s="11">
        <v>3.5000000000000018</v>
      </c>
      <c r="S54" s="1">
        <v>5.8298442846799692E-2</v>
      </c>
      <c r="T54" s="1">
        <v>5.7929786556782492E-2</v>
      </c>
      <c r="U54">
        <f t="shared" si="5"/>
        <v>3.6865629001719968E-4</v>
      </c>
      <c r="W54" s="1">
        <v>4.3079255200129347E-2</v>
      </c>
      <c r="X54" s="1">
        <v>4.2806484137995461E-2</v>
      </c>
      <c r="Y54" s="12">
        <f t="shared" si="6"/>
        <v>6.3721902797377883E-3</v>
      </c>
    </row>
    <row r="55" spans="3:25" x14ac:dyDescent="0.2">
      <c r="C55">
        <f t="shared" si="0"/>
        <v>552</v>
      </c>
      <c r="D55">
        <v>46</v>
      </c>
      <c r="E55">
        <v>2.3639199999999999E-2</v>
      </c>
      <c r="F55" s="9">
        <f t="shared" si="2"/>
        <v>2.4671932104538746E-2</v>
      </c>
      <c r="G55">
        <f>(1-E55*SUM($G$10:G54))/(1+E55)</f>
        <v>0.32145141167830987</v>
      </c>
      <c r="H55">
        <f>VLOOKUP(C55,Output!B57:O776,14,FALSE)</f>
        <v>7.3322347687007055E-3</v>
      </c>
      <c r="I55" s="10">
        <f t="shared" si="1"/>
        <v>-173.39697335838039</v>
      </c>
      <c r="K55" s="1">
        <v>4.977931537030613E-4</v>
      </c>
      <c r="L55" s="1">
        <v>4.9505725422986809E-4</v>
      </c>
      <c r="M55" s="13">
        <f t="shared" si="3"/>
        <v>2.7358994731932137E-6</v>
      </c>
      <c r="O55" s="1">
        <v>0.99817642317679967</v>
      </c>
      <c r="P55" s="1">
        <v>0.99818643656497608</v>
      </c>
      <c r="Q55">
        <f t="shared" si="4"/>
        <v>-1.0013388176410842E-5</v>
      </c>
      <c r="R55" s="11">
        <v>3.5833333333333353</v>
      </c>
      <c r="S55" s="1">
        <v>5.8686771737906762E-2</v>
      </c>
      <c r="T55" s="1">
        <v>5.8004861131393096E-2</v>
      </c>
      <c r="U55">
        <f t="shared" si="5"/>
        <v>6.8191060651366653E-4</v>
      </c>
      <c r="W55" s="1">
        <v>4.3861590659510022E-2</v>
      </c>
      <c r="X55" s="1">
        <v>4.3347186560894702E-2</v>
      </c>
      <c r="Y55" s="12">
        <f t="shared" si="6"/>
        <v>1.1867070032161697E-2</v>
      </c>
    </row>
    <row r="56" spans="3:25" x14ac:dyDescent="0.2">
      <c r="C56">
        <f t="shared" si="0"/>
        <v>564</v>
      </c>
      <c r="D56">
        <v>47</v>
      </c>
      <c r="E56">
        <v>2.36969E-2</v>
      </c>
      <c r="F56" s="9">
        <f t="shared" si="2"/>
        <v>2.4755214296507906E-2</v>
      </c>
      <c r="G56">
        <f>(1-E56*SUM($G$10:G55))/(1+E56)</f>
        <v>0.31239243660038024</v>
      </c>
      <c r="H56">
        <f>VLOOKUP(C56,Output!B58:O777,14,FALSE)</f>
        <v>7.3377570058367082E-3</v>
      </c>
      <c r="I56" s="10">
        <f t="shared" si="1"/>
        <v>-174.174572906712</v>
      </c>
      <c r="K56" s="1">
        <v>4.9773252308224275E-4</v>
      </c>
      <c r="L56" s="1">
        <v>4.9481973667638804E-4</v>
      </c>
      <c r="M56" s="13">
        <f t="shared" si="3"/>
        <v>2.9127864058547037E-6</v>
      </c>
      <c r="O56" s="1">
        <v>0.99813524386064711</v>
      </c>
      <c r="P56" s="1">
        <v>0.9981461465005772</v>
      </c>
      <c r="Q56">
        <f t="shared" si="4"/>
        <v>-1.090263993008822E-5</v>
      </c>
      <c r="R56" s="11">
        <v>3.6666666666666687</v>
      </c>
      <c r="S56" s="1">
        <v>5.8749362120300054E-2</v>
      </c>
      <c r="T56" s="1">
        <v>5.8196434032864772E-2</v>
      </c>
      <c r="U56">
        <f t="shared" si="5"/>
        <v>5.5292808743528238E-4</v>
      </c>
      <c r="W56" s="1">
        <v>4.4393813709140403E-2</v>
      </c>
      <c r="X56" s="1">
        <v>4.3973413984255208E-2</v>
      </c>
      <c r="Y56" s="12">
        <f t="shared" si="6"/>
        <v>9.5603158089048179E-3</v>
      </c>
    </row>
    <row r="57" spans="3:25" x14ac:dyDescent="0.2">
      <c r="C57">
        <f t="shared" si="0"/>
        <v>576</v>
      </c>
      <c r="D57">
        <v>48</v>
      </c>
      <c r="E57">
        <v>2.3754600000000001E-2</v>
      </c>
      <c r="F57" s="9">
        <f t="shared" si="2"/>
        <v>2.4840538265283593E-2</v>
      </c>
      <c r="G57">
        <f>(1-E57*SUM($G$10:G56))/(1+E57)</f>
        <v>0.3035084470533605</v>
      </c>
      <c r="H57">
        <f>VLOOKUP(C57,Output!B59:O778,14,FALSE)</f>
        <v>7.3453783440854091E-3</v>
      </c>
      <c r="I57" s="10">
        <f t="shared" si="1"/>
        <v>-174.95159921198183</v>
      </c>
      <c r="K57" s="1">
        <v>4.976855863719525E-4</v>
      </c>
      <c r="L57" s="1">
        <v>4.9466912101794804E-4</v>
      </c>
      <c r="M57" s="13">
        <f t="shared" si="3"/>
        <v>3.0164653540044623E-6</v>
      </c>
      <c r="O57" s="1">
        <v>0.99809402393589841</v>
      </c>
      <c r="P57" s="1">
        <v>0.99810556508078985</v>
      </c>
      <c r="Q57">
        <f t="shared" si="4"/>
        <v>-1.1541144891435984E-5</v>
      </c>
      <c r="R57" s="11">
        <v>3.7500000000000022</v>
      </c>
      <c r="S57" s="1">
        <v>5.8944877758623407E-2</v>
      </c>
      <c r="T57" s="1">
        <v>5.8379491082153345E-2</v>
      </c>
      <c r="U57">
        <f t="shared" si="5"/>
        <v>5.6538667647006158E-4</v>
      </c>
      <c r="W57" s="1">
        <v>4.5024995793577403E-2</v>
      </c>
      <c r="X57" s="1">
        <v>4.4590546126392974E-2</v>
      </c>
      <c r="Y57" s="12">
        <f t="shared" si="6"/>
        <v>9.7430891730496683E-3</v>
      </c>
    </row>
    <row r="58" spans="3:25" x14ac:dyDescent="0.2">
      <c r="C58">
        <f t="shared" si="0"/>
        <v>588</v>
      </c>
      <c r="D58">
        <v>49</v>
      </c>
      <c r="E58">
        <v>2.3812299999999998E-2</v>
      </c>
      <c r="F58" s="9">
        <f t="shared" si="2"/>
        <v>2.4927933030033878E-2</v>
      </c>
      <c r="G58">
        <f>(1-E58*SUM($G$10:G57))/(1+E58)</f>
        <v>0.29479687519413433</v>
      </c>
      <c r="H58">
        <f>VLOOKUP(C58,Output!B60:O779,14,FALSE)</f>
        <v>7.3531339714792308E-3</v>
      </c>
      <c r="I58" s="10">
        <f t="shared" si="1"/>
        <v>-175.74799058554646</v>
      </c>
      <c r="K58" s="1">
        <v>4.9773916527976825E-4</v>
      </c>
      <c r="L58" s="1">
        <v>4.9461079714680552E-4</v>
      </c>
      <c r="M58" s="13">
        <f t="shared" si="3"/>
        <v>3.1283681329627271E-6</v>
      </c>
      <c r="O58" s="1">
        <v>0.99805242060144561</v>
      </c>
      <c r="P58" s="1">
        <v>0.99806464958829988</v>
      </c>
      <c r="Q58">
        <f t="shared" si="4"/>
        <v>-1.2228986854267987E-5</v>
      </c>
      <c r="R58" s="11">
        <v>3.8333333333333357</v>
      </c>
      <c r="S58" s="1">
        <v>5.9200260556003574E-2</v>
      </c>
      <c r="T58" s="1">
        <v>5.8617322719387514E-2</v>
      </c>
      <c r="U58">
        <f t="shared" si="5"/>
        <v>5.829378366160598E-4</v>
      </c>
      <c r="W58" s="1">
        <v>4.5700941719021497E-2</v>
      </c>
      <c r="X58" s="1">
        <v>4.5248303579390414E-2</v>
      </c>
      <c r="Y58" s="12">
        <f t="shared" si="6"/>
        <v>1.0003427837618428E-2</v>
      </c>
    </row>
    <row r="59" spans="3:25" x14ac:dyDescent="0.2">
      <c r="C59">
        <f t="shared" si="0"/>
        <v>600</v>
      </c>
      <c r="D59">
        <v>50</v>
      </c>
      <c r="E59">
        <v>2.3869999999999999E-2</v>
      </c>
      <c r="F59" s="9">
        <f t="shared" si="2"/>
        <v>2.5017432970868683E-2</v>
      </c>
      <c r="G59">
        <f>(1-E59*SUM($G$10:G58))/(1+E59)</f>
        <v>0.28625517417874802</v>
      </c>
      <c r="H59">
        <f>VLOOKUP(C59,Output!B61:O780,14,FALSE)</f>
        <v>7.3643843838958507E-3</v>
      </c>
      <c r="I59" s="10">
        <f t="shared" si="1"/>
        <v>-176.53048586972832</v>
      </c>
      <c r="K59" s="1">
        <v>4.9799038983497162E-4</v>
      </c>
      <c r="L59" s="1">
        <v>4.9453582739878929E-4</v>
      </c>
      <c r="M59" s="13">
        <f t="shared" si="3"/>
        <v>3.4545624361823285E-6</v>
      </c>
      <c r="O59" s="1">
        <v>0.99801002107942183</v>
      </c>
      <c r="P59" s="1">
        <v>0.99802381192642331</v>
      </c>
      <c r="Q59">
        <f t="shared" si="4"/>
        <v>-1.3790847001482476E-5</v>
      </c>
      <c r="R59" s="11">
        <v>3.9166666666666692</v>
      </c>
      <c r="S59" s="1">
        <v>5.9462612018783653E-2</v>
      </c>
      <c r="T59" s="1">
        <v>5.9112371151228166E-2</v>
      </c>
      <c r="U59">
        <f t="shared" si="5"/>
        <v>3.5024086755548745E-4</v>
      </c>
      <c r="W59" s="1">
        <v>4.6380958346239572E-2</v>
      </c>
      <c r="X59" s="1">
        <v>4.6109442377913236E-2</v>
      </c>
      <c r="Y59" s="12">
        <f t="shared" si="6"/>
        <v>5.8885112099380521E-3</v>
      </c>
    </row>
    <row r="60" spans="3:25" x14ac:dyDescent="0.2">
      <c r="C60">
        <f t="shared" si="0"/>
        <v>612</v>
      </c>
      <c r="D60">
        <v>51</v>
      </c>
      <c r="E60">
        <v>2.3869999999999999E-2</v>
      </c>
      <c r="F60" s="9">
        <f t="shared" si="2"/>
        <v>2.4989435568167066E-2</v>
      </c>
      <c r="G60">
        <f>(1-E60*SUM($G$10:G59))/(1+E60)</f>
        <v>0.2795815622869583</v>
      </c>
      <c r="H60">
        <f>VLOOKUP(C60,Output!B62:O781,14,FALSE)</f>
        <v>7.3780156688151213E-3</v>
      </c>
      <c r="I60" s="10">
        <f t="shared" si="1"/>
        <v>-176.11419899351944</v>
      </c>
      <c r="K60" s="1">
        <v>4.9793928218157713E-4</v>
      </c>
      <c r="L60" s="1">
        <v>4.9446684916170172E-4</v>
      </c>
      <c r="M60" s="13">
        <f t="shared" si="3"/>
        <v>3.4724330198754056E-6</v>
      </c>
      <c r="O60" s="1">
        <v>0.99796881358784228</v>
      </c>
      <c r="P60" s="1">
        <v>0.99798296398926156</v>
      </c>
      <c r="Q60">
        <f t="shared" si="4"/>
        <v>-1.4150401419277259E-5</v>
      </c>
      <c r="R60" s="11">
        <v>4.0000000000000027</v>
      </c>
      <c r="S60" s="1">
        <v>5.974681421901986E-2</v>
      </c>
      <c r="T60" s="1">
        <v>5.9299921914424306E-2</v>
      </c>
      <c r="U60">
        <f t="shared" si="5"/>
        <v>4.4689230459555446E-4</v>
      </c>
      <c r="W60" s="1">
        <v>4.7078302999022444E-2</v>
      </c>
      <c r="X60" s="1">
        <v>4.6726424817076645E-2</v>
      </c>
      <c r="Y60" s="12">
        <f t="shared" si="6"/>
        <v>7.5306035786670833E-3</v>
      </c>
    </row>
    <row r="61" spans="3:25" x14ac:dyDescent="0.2">
      <c r="K61" s="1">
        <v>4.979940306594256E-4</v>
      </c>
      <c r="L61" s="1">
        <v>4.9439331082250346E-4</v>
      </c>
      <c r="M61" s="13">
        <f t="shared" si="3"/>
        <v>3.6007198369221449E-6</v>
      </c>
      <c r="O61" s="1">
        <v>0.99792717614493975</v>
      </c>
      <c r="P61" s="1">
        <v>0.99794214815799764</v>
      </c>
      <c r="Q61">
        <f t="shared" si="4"/>
        <v>-1.4972013057890088E-5</v>
      </c>
      <c r="R61" s="11">
        <v>4.0833333333333357</v>
      </c>
      <c r="S61" s="1">
        <v>5.9975445735714152E-2</v>
      </c>
      <c r="T61" s="1">
        <v>5.937535554361488E-2</v>
      </c>
      <c r="U61">
        <f t="shared" si="5"/>
        <v>6.0009019209927156E-4</v>
      </c>
      <c r="W61" s="1">
        <v>4.7729902575694413E-2</v>
      </c>
      <c r="X61" s="1">
        <v>4.7250454421218863E-2</v>
      </c>
      <c r="Y61" s="12">
        <f t="shared" si="6"/>
        <v>1.0146953301262807E-2</v>
      </c>
    </row>
    <row r="62" spans="3:25" x14ac:dyDescent="0.2">
      <c r="K62" s="1">
        <v>4.9823895717718628E-4</v>
      </c>
      <c r="L62" s="1">
        <v>4.9428518595260533E-4</v>
      </c>
      <c r="M62" s="13">
        <f t="shared" si="3"/>
        <v>3.9537712245809502E-6</v>
      </c>
      <c r="O62" s="1">
        <v>0.99788472478647983</v>
      </c>
      <c r="P62" s="1">
        <v>0.99790149291098007</v>
      </c>
      <c r="Q62">
        <f t="shared" si="4"/>
        <v>-1.6768124500243786E-5</v>
      </c>
      <c r="R62" s="11">
        <v>4.1666666666666687</v>
      </c>
      <c r="S62" s="1">
        <v>6.0180870078238809E-2</v>
      </c>
      <c r="T62" s="1">
        <v>5.9752452900258102E-2</v>
      </c>
      <c r="U62">
        <f t="shared" si="5"/>
        <v>4.2841717798070694E-4</v>
      </c>
      <c r="W62" s="1">
        <v>4.8360834089410575E-2</v>
      </c>
      <c r="X62" s="1">
        <v>4.8018263911793681E-2</v>
      </c>
      <c r="Y62" s="12">
        <f t="shared" si="6"/>
        <v>7.1341641639974807E-3</v>
      </c>
    </row>
    <row r="63" spans="3:25" x14ac:dyDescent="0.2">
      <c r="K63" s="1">
        <v>4.9841690194863308E-4</v>
      </c>
      <c r="L63" s="1">
        <v>4.9418474765348269E-4</v>
      </c>
      <c r="M63" s="13">
        <f t="shared" si="3"/>
        <v>4.2321542951503964E-6</v>
      </c>
      <c r="O63" s="1">
        <v>0.99784252412885166</v>
      </c>
      <c r="P63" s="1">
        <v>0.99786082406526111</v>
      </c>
      <c r="Q63">
        <f t="shared" si="4"/>
        <v>-1.829993640944938E-5</v>
      </c>
      <c r="R63" s="11">
        <v>4.2500000000000018</v>
      </c>
      <c r="S63" s="1">
        <v>6.0653956823354213E-2</v>
      </c>
      <c r="T63" s="1">
        <v>6.0159890883823577E-2</v>
      </c>
      <c r="U63">
        <f t="shared" si="5"/>
        <v>4.9406593953063571E-4</v>
      </c>
      <c r="W63" s="1">
        <v>4.9211966459258787E-2</v>
      </c>
      <c r="X63" s="1">
        <v>4.881245621175799E-2</v>
      </c>
      <c r="Y63" s="12">
        <f t="shared" si="6"/>
        <v>8.1845962794342419E-3</v>
      </c>
    </row>
    <row r="64" spans="3:25" x14ac:dyDescent="0.2">
      <c r="K64" s="1">
        <v>4.9865208178918419E-4</v>
      </c>
      <c r="L64" s="1">
        <v>4.9422791640093872E-4</v>
      </c>
      <c r="M64" s="13">
        <f t="shared" si="3"/>
        <v>4.4241653882454678E-6</v>
      </c>
      <c r="O64" s="1">
        <v>0.99780004343153872</v>
      </c>
      <c r="P64" s="1">
        <v>0.9978195406985334</v>
      </c>
      <c r="Q64">
        <f t="shared" si="4"/>
        <v>-1.9497266994683571E-5</v>
      </c>
      <c r="R64" s="11">
        <v>4.3333333333333348</v>
      </c>
      <c r="S64" s="1">
        <v>6.0819452265086622E-2</v>
      </c>
      <c r="T64" s="1">
        <v>6.0237602781356731E-2</v>
      </c>
      <c r="U64">
        <f t="shared" si="5"/>
        <v>5.8184948372989181E-4</v>
      </c>
      <c r="W64" s="1">
        <v>4.9808706420199224E-2</v>
      </c>
      <c r="X64" s="1">
        <v>4.9332577397328561E-2</v>
      </c>
      <c r="Y64" s="12">
        <f t="shared" si="6"/>
        <v>9.6514118659538628E-3</v>
      </c>
    </row>
    <row r="65" spans="11:25" x14ac:dyDescent="0.2">
      <c r="K65" s="1">
        <v>4.9896138641080767E-4</v>
      </c>
      <c r="L65" s="1">
        <v>4.9408954295329394E-4</v>
      </c>
      <c r="M65" s="13">
        <f t="shared" si="3"/>
        <v>4.8718434575137273E-6</v>
      </c>
      <c r="O65" s="1">
        <v>0.99775719262053775</v>
      </c>
      <c r="P65" s="1">
        <v>0.99777906698614571</v>
      </c>
      <c r="Q65">
        <f t="shared" si="4"/>
        <v>-2.1874365607965629E-5</v>
      </c>
      <c r="R65" s="11">
        <v>4.4166666666666679</v>
      </c>
      <c r="S65" s="1">
        <v>6.1232480121153954E-2</v>
      </c>
      <c r="T65" s="1">
        <v>6.0444706267634943E-2</v>
      </c>
      <c r="U65">
        <f t="shared" si="5"/>
        <v>7.8777385351901097E-4</v>
      </c>
      <c r="W65" s="1">
        <v>5.0612061241996735E-2</v>
      </c>
      <c r="X65" s="1">
        <v>4.995895849172563E-2</v>
      </c>
      <c r="Y65" s="12">
        <f t="shared" si="6"/>
        <v>1.3072785542141974E-2</v>
      </c>
    </row>
    <row r="66" spans="11:25" x14ac:dyDescent="0.2">
      <c r="K66" s="1">
        <v>4.9913164292765555E-4</v>
      </c>
      <c r="L66" s="1">
        <v>4.9397977386899739E-4</v>
      </c>
      <c r="M66" s="13">
        <f t="shared" si="3"/>
        <v>5.151869058658159E-6</v>
      </c>
      <c r="O66" s="1">
        <v>0.99771492806416151</v>
      </c>
      <c r="P66" s="1">
        <v>0.99773848711869884</v>
      </c>
      <c r="Q66">
        <f t="shared" si="4"/>
        <v>-2.355905453732543E-5</v>
      </c>
      <c r="R66" s="11">
        <v>4.5000000000000009</v>
      </c>
      <c r="S66" s="1">
        <v>6.1386304207613838E-2</v>
      </c>
      <c r="T66" s="1">
        <v>6.0767889999455156E-2</v>
      </c>
      <c r="U66">
        <f t="shared" si="5"/>
        <v>6.1841420815868242E-4</v>
      </c>
      <c r="W66" s="1">
        <v>5.1197035822308695E-2</v>
      </c>
      <c r="X66" s="1">
        <v>5.0682894873666541E-2</v>
      </c>
      <c r="Y66" s="12">
        <f t="shared" si="6"/>
        <v>1.0144269578991283E-2</v>
      </c>
    </row>
    <row r="67" spans="11:25" x14ac:dyDescent="0.2">
      <c r="K67" s="1">
        <v>4.9926303365037221E-4</v>
      </c>
      <c r="L67" s="1">
        <v>4.9387604927488189E-4</v>
      </c>
      <c r="M67" s="13">
        <f t="shared" si="3"/>
        <v>5.3869843754903194E-6</v>
      </c>
      <c r="O67" s="1">
        <v>0.99767281793964813</v>
      </c>
      <c r="P67" s="1">
        <v>0.9976978990116897</v>
      </c>
      <c r="Q67">
        <f t="shared" si="4"/>
        <v>-2.5081072041577279E-5</v>
      </c>
      <c r="R67" s="11">
        <v>4.5833333333333339</v>
      </c>
      <c r="S67" s="1">
        <v>6.1621798259371523E-2</v>
      </c>
      <c r="T67" s="1">
        <v>6.1123462587571883E-2</v>
      </c>
      <c r="U67">
        <f t="shared" si="5"/>
        <v>4.9833567179963928E-4</v>
      </c>
      <c r="W67" s="1">
        <v>5.1850233715689704E-2</v>
      </c>
      <c r="X67" s="1">
        <v>5.1435294116826381E-2</v>
      </c>
      <c r="Y67" s="12">
        <f t="shared" si="6"/>
        <v>8.0672154400607266E-3</v>
      </c>
    </row>
    <row r="68" spans="11:25" x14ac:dyDescent="0.2">
      <c r="K68" s="1">
        <v>4.9947426085371338E-4</v>
      </c>
      <c r="L68" s="1">
        <v>4.9370618390134674E-4</v>
      </c>
      <c r="M68" s="13">
        <f t="shared" si="3"/>
        <v>5.7680769523666417E-6</v>
      </c>
      <c r="O68" s="1">
        <v>0.99763030942117603</v>
      </c>
      <c r="P68" s="1">
        <v>0.99765764323550032</v>
      </c>
      <c r="Q68">
        <f t="shared" si="4"/>
        <v>-2.7333814324292938E-5</v>
      </c>
      <c r="R68" s="11">
        <v>4.666666666666667</v>
      </c>
      <c r="S68" s="1">
        <v>6.1944527076795763E-2</v>
      </c>
      <c r="T68" s="1">
        <v>6.1428477112404109E-2</v>
      </c>
      <c r="U68">
        <f t="shared" si="5"/>
        <v>5.160499643916544E-4</v>
      </c>
      <c r="W68" s="1">
        <v>5.2578125394299069E-2</v>
      </c>
      <c r="X68" s="1">
        <v>5.214525063622532E-2</v>
      </c>
      <c r="Y68" s="12">
        <f t="shared" si="6"/>
        <v>8.3013266365055127E-3</v>
      </c>
    </row>
    <row r="69" spans="11:25" x14ac:dyDescent="0.2">
      <c r="K69" s="1">
        <v>4.996714513751247E-4</v>
      </c>
      <c r="L69" s="1">
        <v>4.9349717729041777E-4</v>
      </c>
      <c r="M69" s="13">
        <f t="shared" si="3"/>
        <v>6.1742740847069285E-6</v>
      </c>
      <c r="O69" s="1">
        <v>0.99758783527458961</v>
      </c>
      <c r="P69" s="1">
        <v>0.99761760605894179</v>
      </c>
      <c r="Q69">
        <f t="shared" si="4"/>
        <v>-2.9770784352178836E-5</v>
      </c>
      <c r="R69" s="11">
        <v>4.75</v>
      </c>
      <c r="S69" s="1">
        <v>6.2116913311928798E-2</v>
      </c>
      <c r="T69" s="1">
        <v>6.1636894237905505E-2</v>
      </c>
      <c r="U69">
        <f t="shared" si="5"/>
        <v>4.8001907402329264E-4</v>
      </c>
      <c r="W69" s="1">
        <v>5.3175357264430297E-2</v>
      </c>
      <c r="X69" s="1">
        <v>5.277137306597076E-2</v>
      </c>
      <c r="Y69" s="12">
        <f t="shared" si="6"/>
        <v>7.6553664418492762E-3</v>
      </c>
    </row>
    <row r="70" spans="11:25" x14ac:dyDescent="0.2">
      <c r="K70" s="1">
        <v>4.9972874934673837E-4</v>
      </c>
      <c r="L70" s="1">
        <v>4.9322680595533137E-4</v>
      </c>
      <c r="M70" s="13">
        <f t="shared" si="3"/>
        <v>6.5019433914069967E-6</v>
      </c>
      <c r="O70" s="1">
        <v>0.99754601626886519</v>
      </c>
      <c r="P70" s="1">
        <v>0.99757790621825282</v>
      </c>
      <c r="Q70">
        <f t="shared" si="4"/>
        <v>-3.1889949387631233E-5</v>
      </c>
      <c r="R70" s="11">
        <v>4.833333333333333</v>
      </c>
      <c r="S70" s="1">
        <v>6.2116069632156989E-2</v>
      </c>
      <c r="T70" s="1">
        <v>6.1902083110870809E-2</v>
      </c>
      <c r="U70">
        <f t="shared" si="5"/>
        <v>2.1398652128618023E-4</v>
      </c>
      <c r="W70" s="1">
        <v>5.3618771758978209E-2</v>
      </c>
      <c r="X70" s="1">
        <v>5.3446780409426867E-2</v>
      </c>
      <c r="Y70" s="12">
        <f t="shared" si="6"/>
        <v>3.2179927066477987E-3</v>
      </c>
    </row>
    <row r="71" spans="11:25" x14ac:dyDescent="0.2">
      <c r="K71" s="1">
        <v>4.9985310072594459E-4</v>
      </c>
      <c r="L71" s="1">
        <v>4.9279170907827702E-4</v>
      </c>
      <c r="M71" s="13">
        <f t="shared" si="3"/>
        <v>7.0613916476675769E-6</v>
      </c>
      <c r="O71" s="1">
        <v>0.99750385506015193</v>
      </c>
      <c r="P71" s="1">
        <v>0.99753907450884727</v>
      </c>
      <c r="Q71">
        <f t="shared" si="4"/>
        <v>-3.5219448695333888E-5</v>
      </c>
      <c r="R71" s="11">
        <v>4.9166666666666661</v>
      </c>
      <c r="S71" s="1">
        <v>6.243874949189096E-2</v>
      </c>
      <c r="T71" s="1">
        <v>6.214296026614613E-2</v>
      </c>
      <c r="U71">
        <f t="shared" si="5"/>
        <v>2.9578922574483024E-4</v>
      </c>
      <c r="W71" s="1">
        <v>5.4345525514567429E-2</v>
      </c>
      <c r="X71" s="1">
        <v>5.4101008174635833E-2</v>
      </c>
      <c r="Y71" s="12">
        <f t="shared" si="6"/>
        <v>4.5196447937219109E-3</v>
      </c>
    </row>
    <row r="72" spans="11:25" x14ac:dyDescent="0.2">
      <c r="K72" s="1">
        <v>4.9983434809043278E-4</v>
      </c>
      <c r="L72" s="1">
        <v>4.923886910023909E-4</v>
      </c>
      <c r="M72" s="13">
        <f t="shared" si="3"/>
        <v>7.4456570880418764E-6</v>
      </c>
      <c r="O72" s="1">
        <v>0.99746240055993551</v>
      </c>
      <c r="P72" s="1">
        <v>0.99750015398627112</v>
      </c>
      <c r="Q72">
        <f t="shared" si="4"/>
        <v>-3.7753426335607188E-5</v>
      </c>
      <c r="R72" s="11">
        <v>4.9999999999999991</v>
      </c>
      <c r="S72" s="1">
        <v>6.2576267200555383E-2</v>
      </c>
      <c r="T72" s="1">
        <v>6.2291555879128713E-2</v>
      </c>
      <c r="U72">
        <f t="shared" si="5"/>
        <v>2.8471132142666999E-4</v>
      </c>
      <c r="W72" s="1">
        <v>5.4907598422537618E-2</v>
      </c>
      <c r="X72" s="1">
        <v>5.4672173629555322E-2</v>
      </c>
      <c r="Y72" s="12">
        <f t="shared" si="6"/>
        <v>4.3061173052578727E-3</v>
      </c>
    </row>
    <row r="73" spans="11:25" x14ac:dyDescent="0.2">
      <c r="K73" s="1">
        <v>4.9973895787020764E-4</v>
      </c>
      <c r="L73" s="1">
        <v>4.9187045921686315E-4</v>
      </c>
      <c r="M73" s="13">
        <f t="shared" si="3"/>
        <v>7.8684986533444868E-6</v>
      </c>
      <c r="O73" s="1">
        <v>0.99742134583960362</v>
      </c>
      <c r="P73" s="1">
        <v>0.9974618957411896</v>
      </c>
      <c r="Q73">
        <f t="shared" si="4"/>
        <v>-4.054990158597338E-5</v>
      </c>
      <c r="R73" s="11">
        <v>5.0833333333333321</v>
      </c>
      <c r="S73" s="1">
        <v>6.2700533214389634E-2</v>
      </c>
      <c r="T73" s="1">
        <v>6.2679699720233878E-2</v>
      </c>
      <c r="U73">
        <f t="shared" si="5"/>
        <v>2.0833494155755861E-5</v>
      </c>
      <c r="W73" s="1">
        <v>5.5456109893572719E-2</v>
      </c>
      <c r="X73" s="1">
        <v>5.5458429503468167E-2</v>
      </c>
      <c r="Y73" s="12">
        <f t="shared" si="6"/>
        <v>-4.1826101391917447E-5</v>
      </c>
    </row>
    <row r="74" spans="11:25" x14ac:dyDescent="0.2">
      <c r="K74" s="1">
        <v>4.9963410922742896E-4</v>
      </c>
      <c r="L74" s="1">
        <v>4.9132190815795126E-4</v>
      </c>
      <c r="M74" s="13">
        <f t="shared" si="3"/>
        <v>8.3122010694777022E-6</v>
      </c>
      <c r="O74" s="1">
        <v>0.99738035819240523</v>
      </c>
      <c r="P74" s="1">
        <v>0.99742388387902847</v>
      </c>
      <c r="Q74">
        <f t="shared" si="4"/>
        <v>-4.3525686623246962E-5</v>
      </c>
      <c r="R74" s="11">
        <v>5.1666666666666652</v>
      </c>
      <c r="S74" s="1">
        <v>6.300472667718747E-2</v>
      </c>
      <c r="T74" s="1">
        <v>6.302177474776699E-2</v>
      </c>
      <c r="U74">
        <f t="shared" si="5"/>
        <v>-1.7048070579520069E-5</v>
      </c>
      <c r="W74" s="1">
        <v>5.6166532848458406E-2</v>
      </c>
      <c r="X74" s="1">
        <v>5.6204756375453295E-2</v>
      </c>
      <c r="Y74" s="12">
        <f t="shared" si="6"/>
        <v>-6.8007637537914611E-4</v>
      </c>
    </row>
    <row r="75" spans="11:25" x14ac:dyDescent="0.2">
      <c r="K75" s="1">
        <v>4.9939974477543423E-4</v>
      </c>
      <c r="L75" s="1">
        <v>4.9078335180211181E-4</v>
      </c>
      <c r="M75" s="13">
        <f t="shared" si="3"/>
        <v>8.6163929733224214E-6</v>
      </c>
      <c r="O75" s="1">
        <v>0.99734007857121865</v>
      </c>
      <c r="P75" s="1">
        <v>0.99738591148588907</v>
      </c>
      <c r="Q75">
        <f t="shared" si="4"/>
        <v>-4.583291467041839E-5</v>
      </c>
      <c r="R75" s="11">
        <v>5.2499999999999982</v>
      </c>
      <c r="S75" s="1">
        <v>6.3342733367384996E-2</v>
      </c>
      <c r="T75" s="1">
        <v>6.3247854326009864E-2</v>
      </c>
      <c r="U75">
        <f t="shared" si="5"/>
        <v>9.487904137513159E-5</v>
      </c>
      <c r="W75" s="1">
        <v>5.6909052409723632E-2</v>
      </c>
      <c r="X75" s="1">
        <v>5.684592332621944E-2</v>
      </c>
      <c r="Y75" s="12">
        <f t="shared" si="6"/>
        <v>1.1105296529694275E-3</v>
      </c>
    </row>
    <row r="76" spans="11:25" x14ac:dyDescent="0.2">
      <c r="K76" s="1">
        <v>4.9923978323168118E-4</v>
      </c>
      <c r="L76" s="1">
        <v>4.9025624441403849E-4</v>
      </c>
      <c r="M76" s="13">
        <f t="shared" ref="M76:M139" si="7">K76-L76</f>
        <v>8.9835388176426898E-6</v>
      </c>
      <c r="O76" s="1">
        <v>0.99729943760454753</v>
      </c>
      <c r="P76" s="1">
        <v>0.99734796820894822</v>
      </c>
      <c r="Q76">
        <f t="shared" ref="Q76:Q139" si="8">O76-P76</f>
        <v>-4.8530604400687238E-5</v>
      </c>
      <c r="R76" s="11">
        <v>5.3333333333333313</v>
      </c>
      <c r="S76" s="1">
        <v>6.3635199041664398E-2</v>
      </c>
      <c r="T76" s="1">
        <v>6.355932459145229E-2</v>
      </c>
      <c r="U76">
        <f t="shared" si="5"/>
        <v>7.5874450212107258E-5</v>
      </c>
      <c r="W76" s="1">
        <v>5.7610492578766173E-2</v>
      </c>
      <c r="X76" s="1">
        <v>5.7565689626673987E-2</v>
      </c>
      <c r="Y76" s="12">
        <f t="shared" si="6"/>
        <v>7.7829263199569176E-4</v>
      </c>
    </row>
    <row r="77" spans="11:25" x14ac:dyDescent="0.2">
      <c r="K77" s="1">
        <v>4.9898819131556941E-4</v>
      </c>
      <c r="L77" s="1">
        <v>4.8982795860259181E-4</v>
      </c>
      <c r="M77" s="13">
        <f t="shared" si="7"/>
        <v>9.1602327129776048E-6</v>
      </c>
      <c r="O77" s="1">
        <v>0.99725932746685886</v>
      </c>
      <c r="P77" s="1">
        <v>0.99730957193386982</v>
      </c>
      <c r="Q77">
        <f t="shared" si="8"/>
        <v>-5.0244467010962524E-5</v>
      </c>
      <c r="R77" s="11">
        <v>5.4166666666666643</v>
      </c>
      <c r="S77" s="1">
        <v>6.4077538820631275E-2</v>
      </c>
      <c r="T77" s="1">
        <v>6.3753911294906915E-2</v>
      </c>
      <c r="U77">
        <f t="shared" ref="U77:U140" si="9">S77-T77</f>
        <v>3.2362752572435982E-4</v>
      </c>
      <c r="W77" s="1">
        <v>5.8452423791847299E-2</v>
      </c>
      <c r="X77" s="1">
        <v>5.8177206708181904E-2</v>
      </c>
      <c r="Y77" s="12">
        <f t="shared" ref="Y77:Y140" si="10">W77/X77-1</f>
        <v>4.7306685768859769E-3</v>
      </c>
    </row>
    <row r="78" spans="11:25" x14ac:dyDescent="0.2">
      <c r="K78" s="1">
        <v>4.989466229888993E-4</v>
      </c>
      <c r="L78" s="1">
        <v>4.8954858576260142E-4</v>
      </c>
      <c r="M78" s="13">
        <f t="shared" si="7"/>
        <v>9.3980372262978708E-6</v>
      </c>
      <c r="O78" s="1">
        <v>0.99721809138749395</v>
      </c>
      <c r="P78" s="1">
        <v>0.99727041916152614</v>
      </c>
      <c r="Q78">
        <f t="shared" si="8"/>
        <v>-5.2327774032190355E-5</v>
      </c>
      <c r="R78" s="11">
        <v>5.4999999999999973</v>
      </c>
      <c r="S78" s="1">
        <v>6.4436730968081266E-2</v>
      </c>
      <c r="T78" s="1">
        <v>6.3989901278491329E-2</v>
      </c>
      <c r="U78">
        <f t="shared" si="9"/>
        <v>4.4682968958993652E-4</v>
      </c>
      <c r="W78" s="1">
        <v>5.9218446647271682E-2</v>
      </c>
      <c r="X78" s="1">
        <v>5.882646296821481E-2</v>
      </c>
      <c r="Y78" s="12">
        <f t="shared" si="10"/>
        <v>6.6633902376327381E-3</v>
      </c>
    </row>
    <row r="79" spans="11:25" x14ac:dyDescent="0.2">
      <c r="K79" s="1">
        <v>4.9890443982077593E-4</v>
      </c>
      <c r="L79" s="1">
        <v>4.8930921023347576E-4</v>
      </c>
      <c r="M79" s="13">
        <f t="shared" si="7"/>
        <v>9.5952295873001723E-6</v>
      </c>
      <c r="O79" s="1">
        <v>0.99717686739597744</v>
      </c>
      <c r="P79" s="1">
        <v>0.99723108833560437</v>
      </c>
      <c r="Q79">
        <f t="shared" si="8"/>
        <v>-5.4220939626925535E-5</v>
      </c>
      <c r="R79" s="11">
        <v>5.5833333333333304</v>
      </c>
      <c r="S79" s="1">
        <v>6.4667694439621323E-2</v>
      </c>
      <c r="T79" s="1">
        <v>6.4328147803114299E-2</v>
      </c>
      <c r="U79">
        <f t="shared" si="9"/>
        <v>3.3954663650702377E-4</v>
      </c>
      <c r="W79" s="1">
        <v>5.9864824610619385E-2</v>
      </c>
      <c r="X79" s="1">
        <v>5.9572194615156823E-2</v>
      </c>
      <c r="Y79" s="12">
        <f t="shared" si="10"/>
        <v>4.9121909533966779E-3</v>
      </c>
    </row>
    <row r="80" spans="11:25" x14ac:dyDescent="0.2">
      <c r="K80" s="1">
        <v>4.9907536589537528E-4</v>
      </c>
      <c r="L80" s="1">
        <v>4.8925377439317614E-4</v>
      </c>
      <c r="M80" s="13">
        <f t="shared" si="7"/>
        <v>9.8215915021991358E-6</v>
      </c>
      <c r="O80" s="1">
        <v>0.9971344302515216</v>
      </c>
      <c r="P80" s="1">
        <v>0.99719074416216535</v>
      </c>
      <c r="Q80">
        <f t="shared" si="8"/>
        <v>-5.6313910643757126E-5</v>
      </c>
      <c r="R80" s="11">
        <v>5.6666666666666634</v>
      </c>
      <c r="S80" s="1">
        <v>6.4709897582323123E-2</v>
      </c>
      <c r="T80" s="1">
        <v>6.4679134472215502E-2</v>
      </c>
      <c r="U80">
        <f t="shared" si="9"/>
        <v>3.0763110107620562E-5</v>
      </c>
      <c r="W80" s="1">
        <v>6.0330661506647641E-2</v>
      </c>
      <c r="X80" s="1">
        <v>6.0330855103073171E-2</v>
      </c>
      <c r="Y80" s="12">
        <f t="shared" si="10"/>
        <v>-3.2089123417344823E-6</v>
      </c>
    </row>
    <row r="81" spans="11:25" x14ac:dyDescent="0.2">
      <c r="K81" s="1">
        <v>4.9939831084958258E-4</v>
      </c>
      <c r="L81" s="1">
        <v>4.8936729765999907E-4</v>
      </c>
      <c r="M81" s="13">
        <f t="shared" si="7"/>
        <v>1.0031013189583512E-5</v>
      </c>
      <c r="O81" s="1">
        <v>0.99709108231061017</v>
      </c>
      <c r="P81" s="1">
        <v>0.99714942804810947</v>
      </c>
      <c r="Q81">
        <f t="shared" si="8"/>
        <v>-5.8345737499299055E-5</v>
      </c>
      <c r="R81" s="11">
        <v>5.7499999999999964</v>
      </c>
      <c r="S81" s="1">
        <v>6.4837163586543609E-2</v>
      </c>
      <c r="T81" s="1">
        <v>6.4963943352815134E-2</v>
      </c>
      <c r="U81">
        <f t="shared" si="9"/>
        <v>-1.2677976627152587E-4</v>
      </c>
      <c r="W81" s="1">
        <v>6.0874902765151458E-2</v>
      </c>
      <c r="X81" s="1">
        <v>6.1027057411211755E-2</v>
      </c>
      <c r="Y81" s="12">
        <f t="shared" si="10"/>
        <v>-2.4932325515066855E-3</v>
      </c>
    </row>
    <row r="82" spans="11:25" x14ac:dyDescent="0.2">
      <c r="K82" s="1">
        <v>4.9980744779506156E-4</v>
      </c>
      <c r="L82" s="1">
        <v>4.8967696871238839E-4</v>
      </c>
      <c r="M82" s="13">
        <f t="shared" si="7"/>
        <v>1.0130479082673177E-5</v>
      </c>
      <c r="O82" s="1">
        <v>0.9970471741253274</v>
      </c>
      <c r="P82" s="1">
        <v>0.99710693759583724</v>
      </c>
      <c r="Q82">
        <f t="shared" si="8"/>
        <v>-5.9763470509843764E-5</v>
      </c>
      <c r="R82" s="11">
        <v>5.8333333333333295</v>
      </c>
      <c r="S82" s="1">
        <v>6.5176373133522383E-2</v>
      </c>
      <c r="T82" s="1">
        <v>6.5246971279173394E-2</v>
      </c>
      <c r="U82">
        <f t="shared" si="9"/>
        <v>-7.0598145651010191E-5</v>
      </c>
      <c r="W82" s="1">
        <v>6.1622053080745913E-2</v>
      </c>
      <c r="X82" s="1">
        <v>6.1721566589359872E-2</v>
      </c>
      <c r="Y82" s="12">
        <f t="shared" si="10"/>
        <v>-1.6122971938808961E-3</v>
      </c>
    </row>
    <row r="83" spans="11:25" x14ac:dyDescent="0.2">
      <c r="K83" s="1">
        <v>5.0061343741587079E-4</v>
      </c>
      <c r="L83" s="1">
        <v>4.9027704918342449E-4</v>
      </c>
      <c r="M83" s="13">
        <f t="shared" si="7"/>
        <v>1.0336388232446304E-5</v>
      </c>
      <c r="O83" s="1">
        <v>0.99700082591095818</v>
      </c>
      <c r="P83" s="1">
        <v>0.9970626601539947</v>
      </c>
      <c r="Q83">
        <f t="shared" si="8"/>
        <v>-6.1834243036518188E-5</v>
      </c>
      <c r="R83" s="11">
        <v>5.9166666666666625</v>
      </c>
      <c r="S83" s="1">
        <v>6.5323208965637022E-2</v>
      </c>
      <c r="T83" s="1">
        <v>6.5701297095334066E-2</v>
      </c>
      <c r="U83">
        <f t="shared" si="9"/>
        <v>-3.7808812969704342E-4</v>
      </c>
      <c r="W83" s="1">
        <v>6.2182250689170417E-2</v>
      </c>
      <c r="X83" s="1">
        <v>6.2582361402529249E-2</v>
      </c>
      <c r="Y83" s="12">
        <f t="shared" si="10"/>
        <v>-6.3933463741536745E-3</v>
      </c>
    </row>
    <row r="84" spans="11:25" x14ac:dyDescent="0.2">
      <c r="K84" s="1">
        <v>5.0158130395866094E-4</v>
      </c>
      <c r="L84" s="1">
        <v>4.9117247931845223E-4</v>
      </c>
      <c r="M84" s="13">
        <f t="shared" si="7"/>
        <v>1.0408824640208711E-5</v>
      </c>
      <c r="O84" s="1">
        <v>0.99695336417704272</v>
      </c>
      <c r="P84" s="1">
        <v>0.99701649361155886</v>
      </c>
      <c r="Q84">
        <f t="shared" si="8"/>
        <v>-6.3129434516140392E-5</v>
      </c>
      <c r="R84" s="11">
        <v>5.9999999999999956</v>
      </c>
      <c r="S84" s="1">
        <v>6.5330161944380488E-2</v>
      </c>
      <c r="T84" s="1">
        <v>6.5973226903279461E-2</v>
      </c>
      <c r="U84">
        <f t="shared" si="9"/>
        <v>-6.4306495889897286E-4</v>
      </c>
      <c r="W84" s="1">
        <v>6.2603763502672161E-2</v>
      </c>
      <c r="X84" s="1">
        <v>6.3266520252987776E-2</v>
      </c>
      <c r="Y84" s="12">
        <f t="shared" si="10"/>
        <v>-1.047563146614372E-2</v>
      </c>
    </row>
    <row r="85" spans="11:25" x14ac:dyDescent="0.2">
      <c r="K85" s="1">
        <v>5.0274371338517141E-4</v>
      </c>
      <c r="L85" s="1">
        <v>4.9215789463306014E-4</v>
      </c>
      <c r="M85" s="13">
        <f t="shared" si="7"/>
        <v>1.0585818752111269E-5</v>
      </c>
      <c r="O85" s="1">
        <v>0.9969045479222759</v>
      </c>
      <c r="P85" s="1">
        <v>0.99696962719336901</v>
      </c>
      <c r="Q85">
        <f t="shared" si="8"/>
        <v>-6.5079271093115842E-5</v>
      </c>
      <c r="R85" s="11">
        <v>6.0833333333333286</v>
      </c>
      <c r="S85" s="1">
        <v>6.5399471398020825E-2</v>
      </c>
      <c r="T85" s="1">
        <v>6.6261340778637753E-2</v>
      </c>
      <c r="U85">
        <f t="shared" si="9"/>
        <v>-8.6186938061692808E-4</v>
      </c>
      <c r="W85" s="1">
        <v>6.3083084093808889E-2</v>
      </c>
      <c r="X85" s="1">
        <v>6.3966796478755028E-2</v>
      </c>
      <c r="Y85" s="12">
        <f t="shared" si="10"/>
        <v>-1.3815173396085956E-2</v>
      </c>
    </row>
    <row r="86" spans="11:25" x14ac:dyDescent="0.2">
      <c r="K86" s="1">
        <v>5.0384419197335283E-4</v>
      </c>
      <c r="L86" s="1">
        <v>4.9327208163586907E-4</v>
      </c>
      <c r="M86" s="13">
        <f t="shared" si="7"/>
        <v>1.0572110337483758E-5</v>
      </c>
      <c r="O86" s="1">
        <v>0.99685592678278212</v>
      </c>
      <c r="P86" s="1">
        <v>0.99692179690176819</v>
      </c>
      <c r="Q86">
        <f t="shared" si="8"/>
        <v>-6.587011898606665E-5</v>
      </c>
      <c r="R86" s="11">
        <v>6.1666666666666616</v>
      </c>
      <c r="S86" s="1">
        <v>6.5729055517716684E-2</v>
      </c>
      <c r="T86" s="1">
        <v>6.6429155077346924E-2</v>
      </c>
      <c r="U86">
        <f t="shared" si="9"/>
        <v>-7.0009955963024062E-4</v>
      </c>
      <c r="W86" s="1">
        <v>6.3818698362129583E-2</v>
      </c>
      <c r="X86" s="1">
        <v>6.4547970511282055E-2</v>
      </c>
      <c r="Y86" s="12">
        <f t="shared" si="10"/>
        <v>-1.1298142193719385E-2</v>
      </c>
    </row>
    <row r="87" spans="11:25" x14ac:dyDescent="0.2">
      <c r="K87" s="1">
        <v>5.0490811605844257E-4</v>
      </c>
      <c r="L87" s="1">
        <v>4.9424253804868784E-4</v>
      </c>
      <c r="M87" s="13">
        <f t="shared" si="7"/>
        <v>1.0665578009754731E-5</v>
      </c>
      <c r="O87" s="1">
        <v>0.99680735595983549</v>
      </c>
      <c r="P87" s="1">
        <v>0.9968746912359131</v>
      </c>
      <c r="Q87">
        <f t="shared" si="8"/>
        <v>-6.733527607760692E-5</v>
      </c>
      <c r="R87" s="11">
        <v>6.2499999999999947</v>
      </c>
      <c r="S87" s="1">
        <v>6.6140792904847256E-2</v>
      </c>
      <c r="T87" s="1">
        <v>6.669671276469992E-2</v>
      </c>
      <c r="U87">
        <f t="shared" si="9"/>
        <v>-5.5591985985266323E-4</v>
      </c>
      <c r="W87" s="1">
        <v>6.4637752972424231E-2</v>
      </c>
      <c r="X87" s="1">
        <v>6.5228365310882122E-2</v>
      </c>
      <c r="Y87" s="12">
        <f t="shared" si="10"/>
        <v>-9.0545322674115969E-3</v>
      </c>
    </row>
    <row r="88" spans="11:25" x14ac:dyDescent="0.2">
      <c r="K88" s="1">
        <v>5.0585070069419545E-4</v>
      </c>
      <c r="L88" s="1">
        <v>4.9509727905259733E-4</v>
      </c>
      <c r="M88" s="13">
        <f t="shared" si="7"/>
        <v>1.0753421641598111E-5</v>
      </c>
      <c r="O88" s="1">
        <v>0.99675938682889642</v>
      </c>
      <c r="P88" s="1">
        <v>0.99682816671806873</v>
      </c>
      <c r="Q88">
        <f t="shared" si="8"/>
        <v>-6.8779889172310149E-5</v>
      </c>
      <c r="R88" s="11">
        <v>6.3333333333333277</v>
      </c>
      <c r="S88" s="1">
        <v>6.6429195662221746E-2</v>
      </c>
      <c r="T88" s="1">
        <v>6.6969807349006372E-2</v>
      </c>
      <c r="U88">
        <f t="shared" si="9"/>
        <v>-5.4061168678462557E-4</v>
      </c>
      <c r="W88" s="1">
        <v>6.5335587353387833E-2</v>
      </c>
      <c r="X88" s="1">
        <v>6.5915178765777571E-2</v>
      </c>
      <c r="Y88" s="12">
        <f t="shared" si="10"/>
        <v>-8.7929885535052987E-3</v>
      </c>
    </row>
    <row r="89" spans="11:25" x14ac:dyDescent="0.2">
      <c r="K89" s="1">
        <v>5.0639852253568651E-4</v>
      </c>
      <c r="L89" s="1">
        <v>4.956778344351459E-4</v>
      </c>
      <c r="M89" s="13">
        <f t="shared" si="7"/>
        <v>1.072068810054061E-5</v>
      </c>
      <c r="O89" s="1">
        <v>0.99671382094824879</v>
      </c>
      <c r="P89" s="1">
        <v>0.99678327884528839</v>
      </c>
      <c r="Q89">
        <f t="shared" si="8"/>
        <v>-6.9457897039604255E-5</v>
      </c>
      <c r="R89" s="11">
        <v>6.4166666666666607</v>
      </c>
      <c r="S89" s="1">
        <v>6.6814542195007487E-2</v>
      </c>
      <c r="T89" s="1">
        <v>6.7205791311239896E-2</v>
      </c>
      <c r="U89">
        <f t="shared" si="9"/>
        <v>-3.9124911623240888E-4</v>
      </c>
      <c r="W89" s="1">
        <v>6.6133611417690003E-2</v>
      </c>
      <c r="X89" s="1">
        <v>6.656595381766453E-2</v>
      </c>
      <c r="Y89" s="12">
        <f t="shared" si="10"/>
        <v>-6.4949478701797903E-3</v>
      </c>
    </row>
    <row r="90" spans="11:25" x14ac:dyDescent="0.2">
      <c r="K90" s="1">
        <v>5.0675083801997051E-4</v>
      </c>
      <c r="L90" s="1">
        <v>4.9600559868074223E-4</v>
      </c>
      <c r="M90" s="13">
        <f t="shared" si="7"/>
        <v>1.0745239339228279E-5</v>
      </c>
      <c r="O90" s="1">
        <v>0.99666944894716036</v>
      </c>
      <c r="P90" s="1">
        <v>0.99673995533174986</v>
      </c>
      <c r="Q90">
        <f t="shared" si="8"/>
        <v>-7.0506384589497095E-5</v>
      </c>
      <c r="R90" s="11">
        <v>6.4999999999999938</v>
      </c>
      <c r="S90" s="1">
        <v>6.7024044402594476E-2</v>
      </c>
      <c r="T90" s="1">
        <v>6.7490907375320819E-2</v>
      </c>
      <c r="U90">
        <f t="shared" si="9"/>
        <v>-4.6686297272634236E-4</v>
      </c>
      <c r="W90" s="1">
        <v>6.6755377276414563E-2</v>
      </c>
      <c r="X90" s="1">
        <v>6.726775418369163E-2</v>
      </c>
      <c r="Y90" s="12">
        <f t="shared" si="10"/>
        <v>-7.6169765661849853E-3</v>
      </c>
    </row>
    <row r="91" spans="11:25" x14ac:dyDescent="0.2">
      <c r="K91" s="1">
        <v>5.0651159202517375E-4</v>
      </c>
      <c r="L91" s="1">
        <v>4.9580905909292201E-4</v>
      </c>
      <c r="M91" s="13">
        <f t="shared" si="7"/>
        <v>1.0702532932251735E-5</v>
      </c>
      <c r="O91" s="1">
        <v>0.99662895084125636</v>
      </c>
      <c r="P91" s="1">
        <v>0.99670006307261361</v>
      </c>
      <c r="Q91">
        <f t="shared" si="8"/>
        <v>-7.1112231357250977E-5</v>
      </c>
      <c r="R91" s="11">
        <v>6.5833333333333268</v>
      </c>
      <c r="S91" s="1">
        <v>6.7288941255676665E-2</v>
      </c>
      <c r="T91" s="1">
        <v>6.7642957598873135E-2</v>
      </c>
      <c r="U91">
        <f t="shared" si="9"/>
        <v>-3.5401634319646991E-4</v>
      </c>
      <c r="W91" s="1">
        <v>6.7435815744968819E-2</v>
      </c>
      <c r="X91" s="1">
        <v>6.7835903216338631E-2</v>
      </c>
      <c r="Y91" s="12">
        <f t="shared" si="10"/>
        <v>-5.8978719586569861E-3</v>
      </c>
    </row>
    <row r="92" spans="11:25" x14ac:dyDescent="0.2">
      <c r="K92" s="1">
        <v>5.0582964809846634E-4</v>
      </c>
      <c r="L92" s="1">
        <v>4.9521558515990211E-4</v>
      </c>
      <c r="M92" s="13">
        <f t="shared" si="7"/>
        <v>1.0614062938564236E-5</v>
      </c>
      <c r="O92" s="1">
        <v>0.9965914721404201</v>
      </c>
      <c r="P92" s="1">
        <v>0.99666287541934384</v>
      </c>
      <c r="Q92">
        <f t="shared" si="8"/>
        <v>-7.1403278923742874E-5</v>
      </c>
      <c r="R92" s="11">
        <v>6.6666666666666599</v>
      </c>
      <c r="S92" s="1">
        <v>6.771493288073907E-2</v>
      </c>
      <c r="T92" s="1">
        <v>6.785199851723521E-2</v>
      </c>
      <c r="U92">
        <f t="shared" si="9"/>
        <v>-1.3706563649613923E-4</v>
      </c>
      <c r="W92" s="1">
        <v>6.8284476429695234E-2</v>
      </c>
      <c r="X92" s="1">
        <v>6.846339001559773E-2</v>
      </c>
      <c r="Y92" s="12">
        <f t="shared" si="10"/>
        <v>-2.6132738367430353E-3</v>
      </c>
    </row>
    <row r="93" spans="11:25" x14ac:dyDescent="0.2">
      <c r="K93" s="1">
        <v>5.0450747468908086E-4</v>
      </c>
      <c r="L93" s="1">
        <v>4.939001034972787E-4</v>
      </c>
      <c r="M93" s="13">
        <f t="shared" si="7"/>
        <v>1.0607371191802164E-5</v>
      </c>
      <c r="O93" s="1">
        <v>0.9965584679502163</v>
      </c>
      <c r="P93" s="1">
        <v>0.99663070481633897</v>
      </c>
      <c r="Q93">
        <f t="shared" si="8"/>
        <v>-7.2236866122676879E-5</v>
      </c>
      <c r="R93" s="11">
        <v>6.7499999999999929</v>
      </c>
      <c r="S93" s="1">
        <v>6.7982647693329332E-2</v>
      </c>
      <c r="T93" s="1">
        <v>6.8185303583453857E-2</v>
      </c>
      <c r="U93">
        <f t="shared" si="9"/>
        <v>-2.0265589012452567E-4</v>
      </c>
      <c r="W93" s="1">
        <v>6.8974048058888154E-2</v>
      </c>
      <c r="X93" s="1">
        <v>6.9222286462307325E-2</v>
      </c>
      <c r="Y93" s="12">
        <f t="shared" si="10"/>
        <v>-3.5861052286150219E-3</v>
      </c>
    </row>
    <row r="94" spans="11:25" x14ac:dyDescent="0.2">
      <c r="K94" s="1">
        <v>5.0243019007020578E-4</v>
      </c>
      <c r="L94" s="1">
        <v>4.9181438362618521E-4</v>
      </c>
      <c r="M94" s="13">
        <f t="shared" si="7"/>
        <v>1.0615806444020564E-5</v>
      </c>
      <c r="O94" s="1">
        <v>0.99653088916990362</v>
      </c>
      <c r="P94" s="1">
        <v>0.99660406312796423</v>
      </c>
      <c r="Q94">
        <f t="shared" si="8"/>
        <v>-7.3173958060612776E-5</v>
      </c>
      <c r="R94" s="11">
        <v>6.8333333333333259</v>
      </c>
      <c r="S94" s="1">
        <v>6.8098828220263766E-2</v>
      </c>
      <c r="T94" s="1">
        <v>6.8268609526874427E-2</v>
      </c>
      <c r="U94">
        <f t="shared" si="9"/>
        <v>-1.6978130661066126E-4</v>
      </c>
      <c r="W94" s="1">
        <v>6.9509121849929661E-2</v>
      </c>
      <c r="X94" s="1">
        <v>6.9724847563069278E-2</v>
      </c>
      <c r="Y94" s="12">
        <f t="shared" si="10"/>
        <v>-3.0939574725420416E-3</v>
      </c>
    </row>
    <row r="95" spans="11:25" x14ac:dyDescent="0.2">
      <c r="K95" s="1">
        <v>4.9949605115074162E-4</v>
      </c>
      <c r="L95" s="1">
        <v>4.8903983315721437E-4</v>
      </c>
      <c r="M95" s="13">
        <f t="shared" si="7"/>
        <v>1.0456217993527251E-5</v>
      </c>
      <c r="O95" s="1">
        <v>0.99650963318339492</v>
      </c>
      <c r="P95" s="1">
        <v>0.99658257390645721</v>
      </c>
      <c r="Q95">
        <f t="shared" si="8"/>
        <v>-7.2940723062298041E-5</v>
      </c>
      <c r="R95" s="11">
        <v>6.916666666666659</v>
      </c>
      <c r="S95" s="1">
        <v>6.8463855487145647E-2</v>
      </c>
      <c r="T95" s="1">
        <v>6.8727901135723898E-2</v>
      </c>
      <c r="U95">
        <f t="shared" si="9"/>
        <v>-2.6404564857825108E-4</v>
      </c>
      <c r="W95" s="1">
        <v>7.030744980760617E-2</v>
      </c>
      <c r="X95" s="1">
        <v>7.062302969122411E-2</v>
      </c>
      <c r="Y95" s="12">
        <f t="shared" si="10"/>
        <v>-4.4685123959947726E-3</v>
      </c>
    </row>
    <row r="96" spans="11:25" x14ac:dyDescent="0.2">
      <c r="K96" s="1">
        <v>4.9580551255577147E-4</v>
      </c>
      <c r="L96" s="1">
        <v>4.8548969647932791E-4</v>
      </c>
      <c r="M96" s="13">
        <f t="shared" si="7"/>
        <v>1.0315816076443562E-5</v>
      </c>
      <c r="O96" s="1">
        <v>0.99649420398955313</v>
      </c>
      <c r="P96" s="1">
        <v>0.99656702084398241</v>
      </c>
      <c r="Q96">
        <f t="shared" si="8"/>
        <v>-7.2816854429280653E-5</v>
      </c>
      <c r="R96" s="11">
        <v>6.999999999999992</v>
      </c>
      <c r="S96" s="1">
        <v>6.8659938165262599E-2</v>
      </c>
      <c r="T96" s="1">
        <v>6.8951080697417136E-2</v>
      </c>
      <c r="U96">
        <f t="shared" si="9"/>
        <v>-2.9114253215453689E-4</v>
      </c>
      <c r="W96" s="1">
        <v>7.0932497638753061E-2</v>
      </c>
      <c r="X96" s="1">
        <v>7.1278255080448508E-2</v>
      </c>
      <c r="Y96" s="12">
        <f t="shared" si="10"/>
        <v>-4.8508123733557174E-3</v>
      </c>
    </row>
    <row r="97" spans="11:25" x14ac:dyDescent="0.2">
      <c r="K97" s="1">
        <v>4.9214884786619303E-4</v>
      </c>
      <c r="L97" s="1">
        <v>4.8191399218767451E-4</v>
      </c>
      <c r="M97" s="13">
        <f t="shared" si="7"/>
        <v>1.0234855678518517E-5</v>
      </c>
      <c r="O97" s="1">
        <v>0.99647914605040511</v>
      </c>
      <c r="P97" s="1">
        <v>0.99655224027619549</v>
      </c>
      <c r="Q97">
        <f t="shared" si="8"/>
        <v>-7.3094225790382161E-5</v>
      </c>
      <c r="R97" s="11">
        <v>7.083333333333325</v>
      </c>
      <c r="S97" s="1">
        <v>6.9003914161084742E-2</v>
      </c>
      <c r="T97" s="1">
        <v>6.9254839005733246E-2</v>
      </c>
      <c r="U97">
        <f t="shared" si="9"/>
        <v>-2.5092484464850351E-4</v>
      </c>
      <c r="W97" s="1">
        <v>7.1714585899429154E-2</v>
      </c>
      <c r="X97" s="1">
        <v>7.2019607952940948E-2</v>
      </c>
      <c r="Y97" s="12">
        <f t="shared" si="10"/>
        <v>-4.2352640090890237E-3</v>
      </c>
    </row>
    <row r="98" spans="11:25" x14ac:dyDescent="0.2">
      <c r="K98" s="1">
        <v>4.892904486674918E-4</v>
      </c>
      <c r="L98" s="1">
        <v>4.7930185787461988E-4</v>
      </c>
      <c r="M98" s="13">
        <f t="shared" si="7"/>
        <v>9.9885907928719264E-6</v>
      </c>
      <c r="O98" s="1">
        <v>0.99645892868034303</v>
      </c>
      <c r="P98" s="1">
        <v>0.99653109214173596</v>
      </c>
      <c r="Q98">
        <f t="shared" si="8"/>
        <v>-7.2163461392937833E-5</v>
      </c>
      <c r="R98" s="11">
        <v>7.1666666666666581</v>
      </c>
      <c r="S98" s="1">
        <v>6.9222399667825119E-2</v>
      </c>
      <c r="T98" s="1">
        <v>6.9576747347061985E-2</v>
      </c>
      <c r="U98">
        <f t="shared" si="9"/>
        <v>-3.5434767923686605E-4</v>
      </c>
      <c r="W98" s="1">
        <v>7.2361674674551624E-2</v>
      </c>
      <c r="X98" s="1">
        <v>7.2778148745901633E-2</v>
      </c>
      <c r="Y98" s="12">
        <f t="shared" si="10"/>
        <v>-5.7225153226154735E-3</v>
      </c>
    </row>
    <row r="99" spans="11:25" x14ac:dyDescent="0.2">
      <c r="K99" s="1">
        <v>4.8837872466077912E-4</v>
      </c>
      <c r="L99" s="1">
        <v>4.7865362688198778E-4</v>
      </c>
      <c r="M99" s="13">
        <f t="shared" si="7"/>
        <v>9.7250977787913359E-6</v>
      </c>
      <c r="O99" s="1">
        <v>0.99642496174012285</v>
      </c>
      <c r="P99" s="1">
        <v>0.99649602669551185</v>
      </c>
      <c r="Q99">
        <f t="shared" si="8"/>
        <v>-7.1064955388999707E-5</v>
      </c>
      <c r="R99" s="11">
        <v>7.2499999999999911</v>
      </c>
      <c r="S99" s="1">
        <v>6.9455055283258252E-2</v>
      </c>
      <c r="T99" s="1">
        <v>6.9679874369406022E-2</v>
      </c>
      <c r="U99">
        <f t="shared" si="9"/>
        <v>-2.2481908614777057E-4</v>
      </c>
      <c r="W99" s="1">
        <v>7.3016864601896228E-2</v>
      </c>
      <c r="X99" s="1">
        <v>7.3295866926390993E-2</v>
      </c>
      <c r="Y99" s="12">
        <f t="shared" si="10"/>
        <v>-3.8065219253762272E-3</v>
      </c>
    </row>
    <row r="100" spans="11:25" x14ac:dyDescent="0.2">
      <c r="K100" s="1">
        <v>4.9014581153622937E-4</v>
      </c>
      <c r="L100" s="1">
        <v>4.8071335697904508E-4</v>
      </c>
      <c r="M100" s="13">
        <f t="shared" si="7"/>
        <v>9.4324545571842925E-6</v>
      </c>
      <c r="O100" s="1">
        <v>0.99637135141277522</v>
      </c>
      <c r="P100" s="1">
        <v>0.9964410573715522</v>
      </c>
      <c r="Q100">
        <f t="shared" si="8"/>
        <v>-6.9705958776977717E-5</v>
      </c>
      <c r="R100" s="11">
        <v>7.3333333333333242</v>
      </c>
      <c r="S100" s="1">
        <v>6.964386519899371E-2</v>
      </c>
      <c r="T100" s="1">
        <v>6.9988665638172479E-2</v>
      </c>
      <c r="U100">
        <f t="shared" si="9"/>
        <v>-3.4480043917876901E-4</v>
      </c>
      <c r="W100" s="1">
        <v>7.3614665746376234E-2</v>
      </c>
      <c r="X100" s="1">
        <v>7.4023819605794752E-2</v>
      </c>
      <c r="Y100" s="12">
        <f t="shared" si="10"/>
        <v>-5.5273270360461924E-3</v>
      </c>
    </row>
    <row r="101" spans="11:25" x14ac:dyDescent="0.2">
      <c r="K101" s="1">
        <v>4.9555725318230703E-4</v>
      </c>
      <c r="L101" s="1">
        <v>4.8640150440203589E-4</v>
      </c>
      <c r="M101" s="13">
        <f t="shared" si="7"/>
        <v>9.1557487802711342E-6</v>
      </c>
      <c r="O101" s="1">
        <v>0.99629021890510194</v>
      </c>
      <c r="P101" s="1">
        <v>0.99635863462623842</v>
      </c>
      <c r="Q101">
        <f t="shared" si="8"/>
        <v>-6.8415721136472207E-5</v>
      </c>
      <c r="R101" s="11">
        <v>7.4166666666666572</v>
      </c>
      <c r="S101" s="1">
        <v>7.0028979677530953E-2</v>
      </c>
      <c r="T101" s="1">
        <v>7.0017384676907962E-2</v>
      </c>
      <c r="U101">
        <f t="shared" si="9"/>
        <v>1.1595000622990903E-5</v>
      </c>
      <c r="W101" s="1">
        <v>7.4410761479485263E-2</v>
      </c>
      <c r="X101" s="1">
        <v>7.4434475924499616E-2</v>
      </c>
      <c r="Y101" s="12">
        <f t="shared" si="10"/>
        <v>-3.185949080692918E-4</v>
      </c>
    </row>
    <row r="102" spans="11:25" x14ac:dyDescent="0.2">
      <c r="K102" s="1">
        <v>5.0547358602078321E-4</v>
      </c>
      <c r="L102" s="1">
        <v>4.9675293505568787E-4</v>
      </c>
      <c r="M102" s="13">
        <f t="shared" si="7"/>
        <v>8.720650965095343E-6</v>
      </c>
      <c r="O102" s="1">
        <v>0.99617416254216318</v>
      </c>
      <c r="P102" s="1">
        <v>0.99624004331492721</v>
      </c>
      <c r="Q102">
        <f t="shared" si="8"/>
        <v>-6.5880772764037587E-5</v>
      </c>
      <c r="R102" s="11">
        <v>7.4999999999999902</v>
      </c>
      <c r="S102" s="1">
        <v>7.034163923115086E-2</v>
      </c>
      <c r="T102" s="1">
        <v>7.0346818116957949E-2</v>
      </c>
      <c r="U102">
        <f t="shared" si="9"/>
        <v>-5.1788858070889177E-6</v>
      </c>
      <c r="W102" s="1">
        <v>7.5111408463851989E-2</v>
      </c>
      <c r="X102" s="1">
        <v>7.5152028117278308E-2</v>
      </c>
      <c r="Y102" s="12">
        <f t="shared" si="10"/>
        <v>-5.4049976353176543E-4</v>
      </c>
    </row>
    <row r="103" spans="11:25" x14ac:dyDescent="0.2">
      <c r="K103" s="1">
        <v>5.2091881957720546E-4</v>
      </c>
      <c r="L103" s="1">
        <v>5.1257962873005878E-4</v>
      </c>
      <c r="M103" s="13">
        <f t="shared" si="7"/>
        <v>8.3391908471466825E-6</v>
      </c>
      <c r="O103" s="1">
        <v>0.99601425330764248</v>
      </c>
      <c r="P103" s="1">
        <v>0.99607793431588199</v>
      </c>
      <c r="Q103">
        <f t="shared" si="8"/>
        <v>-6.368100823950229E-5</v>
      </c>
      <c r="R103" s="11">
        <v>7.5833333333333233</v>
      </c>
      <c r="S103" s="1">
        <v>7.0600574571497335E-2</v>
      </c>
      <c r="T103" s="1">
        <v>7.0618736286238382E-2</v>
      </c>
      <c r="U103">
        <f t="shared" si="9"/>
        <v>-1.8161714741046775E-5</v>
      </c>
      <c r="W103" s="1">
        <v>7.5731126816142913E-2</v>
      </c>
      <c r="X103" s="1">
        <v>7.5784856740754691E-2</v>
      </c>
      <c r="Y103" s="12">
        <f t="shared" si="10"/>
        <v>-7.0897969492211832E-4</v>
      </c>
    </row>
    <row r="104" spans="11:25" x14ac:dyDescent="0.2">
      <c r="K104" s="1">
        <v>5.4280821847210226E-4</v>
      </c>
      <c r="L104" s="1">
        <v>5.3481875179759526E-4</v>
      </c>
      <c r="M104" s="13">
        <f t="shared" si="7"/>
        <v>7.9894666745070021E-6</v>
      </c>
      <c r="O104" s="1">
        <v>0.9958020723425125</v>
      </c>
      <c r="P104" s="1">
        <v>0.99586373268935002</v>
      </c>
      <c r="Q104">
        <f t="shared" si="8"/>
        <v>-6.1660346837522084E-5</v>
      </c>
      <c r="R104" s="11">
        <v>7.6666666666666563</v>
      </c>
      <c r="S104" s="1">
        <v>7.0791205769587792E-2</v>
      </c>
      <c r="T104" s="1">
        <v>7.0761383944619019E-2</v>
      </c>
      <c r="U104">
        <f t="shared" si="9"/>
        <v>2.982182496877317E-5</v>
      </c>
      <c r="W104" s="1">
        <v>7.6248436954961502E-2</v>
      </c>
      <c r="X104" s="1">
        <v>7.6248283600271582E-2</v>
      </c>
      <c r="Y104" s="12">
        <f t="shared" si="10"/>
        <v>2.0112543217543077E-6</v>
      </c>
    </row>
    <row r="105" spans="11:25" x14ac:dyDescent="0.2">
      <c r="K105" s="1">
        <v>5.7201491432139434E-4</v>
      </c>
      <c r="L105" s="1">
        <v>5.6438770459261989E-4</v>
      </c>
      <c r="M105" s="13">
        <f t="shared" si="7"/>
        <v>7.6272097287744542E-6</v>
      </c>
      <c r="O105" s="1">
        <v>0.9955292402378676</v>
      </c>
      <c r="P105" s="1">
        <v>0.99558872137881116</v>
      </c>
      <c r="Q105">
        <f t="shared" si="8"/>
        <v>-5.9481140943562494E-5</v>
      </c>
      <c r="R105" s="11">
        <v>7.7499999999999893</v>
      </c>
      <c r="S105" s="1">
        <v>7.0982702906353723E-2</v>
      </c>
      <c r="T105" s="1">
        <v>7.1105132245984679E-2</v>
      </c>
      <c r="U105">
        <f t="shared" si="9"/>
        <v>-1.2242933963095559E-4</v>
      </c>
      <c r="W105" s="1">
        <v>7.6734406276193545E-2</v>
      </c>
      <c r="X105" s="1">
        <v>7.6901662851229249E-2</v>
      </c>
      <c r="Y105" s="12">
        <f t="shared" si="10"/>
        <v>-2.174940941904846E-3</v>
      </c>
    </row>
    <row r="106" spans="11:25" x14ac:dyDescent="0.2">
      <c r="K106" s="1">
        <v>6.0951240893981754E-4</v>
      </c>
      <c r="L106" s="1">
        <v>6.0223492462183298E-4</v>
      </c>
      <c r="M106" s="13">
        <f t="shared" si="7"/>
        <v>7.2774843179845665E-6</v>
      </c>
      <c r="O106" s="1">
        <v>0.99518631651847278</v>
      </c>
      <c r="P106" s="1">
        <v>0.99524365425492956</v>
      </c>
      <c r="Q106">
        <f t="shared" si="8"/>
        <v>-5.733773645677509E-5</v>
      </c>
      <c r="R106" s="11">
        <v>7.8333333333333224</v>
      </c>
      <c r="S106" s="1">
        <v>7.1077599041245471E-2</v>
      </c>
      <c r="T106" s="1">
        <v>7.1335899348598963E-2</v>
      </c>
      <c r="U106">
        <f t="shared" si="9"/>
        <v>-2.5830030735349285E-4</v>
      </c>
      <c r="W106" s="1">
        <v>7.7075522374119784E-2</v>
      </c>
      <c r="X106" s="1">
        <v>7.7393647258533968E-2</v>
      </c>
      <c r="Y106" s="12">
        <f t="shared" si="10"/>
        <v>-4.1104780002354513E-3</v>
      </c>
    </row>
    <row r="107" spans="11:25" x14ac:dyDescent="0.2">
      <c r="K107" s="1">
        <v>6.5611486613409127E-4</v>
      </c>
      <c r="L107" s="1">
        <v>6.4925749387978503E-4</v>
      </c>
      <c r="M107" s="13">
        <f t="shared" si="7"/>
        <v>6.8573722543062432E-6</v>
      </c>
      <c r="O107" s="1">
        <v>0.99476483257519177</v>
      </c>
      <c r="P107" s="1">
        <v>0.99481940585419493</v>
      </c>
      <c r="Q107">
        <f t="shared" si="8"/>
        <v>-5.4573279003156117E-5</v>
      </c>
      <c r="R107" s="11">
        <v>7.9166666666666554</v>
      </c>
      <c r="S107" s="1">
        <v>7.1442315312468321E-2</v>
      </c>
      <c r="T107" s="1">
        <v>7.1594341481016177E-2</v>
      </c>
      <c r="U107">
        <f t="shared" si="9"/>
        <v>-1.5202616854785578E-4</v>
      </c>
      <c r="W107" s="1">
        <v>7.767593405238378E-2</v>
      </c>
      <c r="X107" s="1">
        <v>7.7875025445750284E-2</v>
      </c>
      <c r="Y107" s="12">
        <f t="shared" si="10"/>
        <v>-2.5565499622879351E-3</v>
      </c>
    </row>
    <row r="108" spans="11:25" x14ac:dyDescent="0.2">
      <c r="K108" s="1">
        <v>7.1241539199910428E-4</v>
      </c>
      <c r="L108" s="1">
        <v>7.0597737346584418E-4</v>
      </c>
      <c r="M108" s="13">
        <f t="shared" si="7"/>
        <v>6.4380185332600995E-6</v>
      </c>
      <c r="O108" s="1">
        <v>0.99425785839316472</v>
      </c>
      <c r="P108" s="1">
        <v>0.99430960156455717</v>
      </c>
      <c r="Q108">
        <f t="shared" si="8"/>
        <v>-5.1743171392448772E-5</v>
      </c>
      <c r="R108" s="11">
        <v>7.9999999999999885</v>
      </c>
      <c r="S108" s="1">
        <v>7.1717185268176595E-2</v>
      </c>
      <c r="T108" s="1">
        <v>7.1866318326442025E-2</v>
      </c>
      <c r="U108">
        <f t="shared" si="9"/>
        <v>-1.4913305826542989E-4</v>
      </c>
      <c r="W108" s="1">
        <v>7.8131943821666383E-2</v>
      </c>
      <c r="X108" s="1">
        <v>7.8327067329954148E-2</v>
      </c>
      <c r="Y108" s="12">
        <f t="shared" si="10"/>
        <v>-2.4911376735937685E-3</v>
      </c>
    </row>
    <row r="109" spans="11:25" x14ac:dyDescent="0.2">
      <c r="K109" s="1">
        <v>7.7775112788483285E-4</v>
      </c>
      <c r="L109" s="1">
        <v>7.7168037452633015E-4</v>
      </c>
      <c r="M109" s="13">
        <f t="shared" si="7"/>
        <v>6.0707533585026979E-6</v>
      </c>
      <c r="O109" s="1">
        <v>0.99366849477764374</v>
      </c>
      <c r="P109" s="1">
        <v>0.99371775991573663</v>
      </c>
      <c r="Q109">
        <f t="shared" si="8"/>
        <v>-4.9265138092891014E-5</v>
      </c>
      <c r="R109" s="11">
        <v>8.0833333333333215</v>
      </c>
      <c r="S109" s="1">
        <v>7.1899988261658151E-2</v>
      </c>
      <c r="T109" s="1">
        <v>7.2013853046731191E-2</v>
      </c>
      <c r="U109">
        <f t="shared" si="9"/>
        <v>-1.1386478507303954E-4</v>
      </c>
      <c r="W109" s="1">
        <v>7.8441372345985652E-2</v>
      </c>
      <c r="X109" s="1">
        <v>7.8596080793219419E-2</v>
      </c>
      <c r="Y109" s="12">
        <f t="shared" si="10"/>
        <v>-1.9683990050444189E-3</v>
      </c>
    </row>
    <row r="110" spans="11:25" x14ac:dyDescent="0.2">
      <c r="K110" s="1">
        <v>8.5098495074779185E-4</v>
      </c>
      <c r="L110" s="1">
        <v>8.4517442464744977E-4</v>
      </c>
      <c r="M110" s="13">
        <f t="shared" si="7"/>
        <v>5.8105261003420835E-6</v>
      </c>
      <c r="O110" s="1">
        <v>0.99300396117754286</v>
      </c>
      <c r="P110" s="1">
        <v>0.99305156379082504</v>
      </c>
      <c r="Q110">
        <f t="shared" si="8"/>
        <v>-4.7602613282182737E-5</v>
      </c>
      <c r="R110" s="11">
        <v>8.1666666666666554</v>
      </c>
      <c r="S110" s="1">
        <v>7.2241451721848648E-2</v>
      </c>
      <c r="T110" s="1">
        <v>7.2339344925368795E-2</v>
      </c>
      <c r="U110">
        <f t="shared" si="9"/>
        <v>-9.7893203520146854E-5</v>
      </c>
      <c r="W110" s="1">
        <v>7.8891363377034479E-2</v>
      </c>
      <c r="X110" s="1">
        <v>7.9027613032941549E-2</v>
      </c>
      <c r="Y110" s="12">
        <f t="shared" si="10"/>
        <v>-1.7240765686580284E-3</v>
      </c>
    </row>
    <row r="111" spans="11:25" x14ac:dyDescent="0.2">
      <c r="K111" s="1">
        <v>9.3096989442986852E-4</v>
      </c>
      <c r="L111" s="1">
        <v>9.2547801433355949E-4</v>
      </c>
      <c r="M111" s="13">
        <f t="shared" si="7"/>
        <v>5.4918800963090278E-6</v>
      </c>
      <c r="O111" s="1">
        <v>0.99227193379509426</v>
      </c>
      <c r="P111" s="1">
        <v>0.9923173468216262</v>
      </c>
      <c r="Q111">
        <f t="shared" si="8"/>
        <v>-4.5413026531937462E-5</v>
      </c>
      <c r="R111" s="11">
        <v>8.2499999999999893</v>
      </c>
      <c r="S111" s="1">
        <v>7.2469858296596981E-2</v>
      </c>
      <c r="T111" s="1">
        <v>7.264326347000373E-2</v>
      </c>
      <c r="U111">
        <f t="shared" si="9"/>
        <v>-1.7340517340674877E-4</v>
      </c>
      <c r="W111" s="1">
        <v>7.9178769551753278E-2</v>
      </c>
      <c r="X111" s="1">
        <v>7.9400411323499745E-2</v>
      </c>
      <c r="Y111" s="12">
        <f t="shared" si="10"/>
        <v>-2.7914436216638361E-3</v>
      </c>
    </row>
    <row r="112" spans="11:25" x14ac:dyDescent="0.2">
      <c r="K112" s="1">
        <v>1.0166594981223635E-3</v>
      </c>
      <c r="L112" s="1">
        <v>1.0114013885194619E-3</v>
      </c>
      <c r="M112" s="13">
        <f t="shared" si="7"/>
        <v>5.2581096029015797E-6</v>
      </c>
      <c r="O112" s="1">
        <v>0.99147962182374649</v>
      </c>
      <c r="P112" s="1">
        <v>0.99152350147475121</v>
      </c>
      <c r="Q112">
        <f t="shared" si="8"/>
        <v>-4.3879651004719022E-5</v>
      </c>
      <c r="R112" s="11">
        <v>8.3333333333333233</v>
      </c>
      <c r="S112" s="1">
        <v>7.2705508336625424E-2</v>
      </c>
      <c r="T112" s="1">
        <v>7.2938062688649094E-2</v>
      </c>
      <c r="U112">
        <f t="shared" si="9"/>
        <v>-2.3255435202367003E-4</v>
      </c>
      <c r="W112" s="1">
        <v>7.9443605306181345E-2</v>
      </c>
      <c r="X112" s="1">
        <v>7.9732987961362758E-2</v>
      </c>
      <c r="Y112" s="12">
        <f t="shared" si="10"/>
        <v>-3.6293968479099714E-3</v>
      </c>
    </row>
    <row r="113" spans="11:25" x14ac:dyDescent="0.2">
      <c r="K113" s="1">
        <v>1.106740470892043E-3</v>
      </c>
      <c r="L113" s="1">
        <v>1.1018448063892811E-3</v>
      </c>
      <c r="M113" s="13">
        <f t="shared" si="7"/>
        <v>4.8956645027618297E-6</v>
      </c>
      <c r="O113" s="1">
        <v>0.99063681616018728</v>
      </c>
      <c r="P113" s="1">
        <v>0.99067804053463537</v>
      </c>
      <c r="Q113">
        <f t="shared" si="8"/>
        <v>-4.1224374448090018E-5</v>
      </c>
      <c r="R113" s="11">
        <v>8.4166666666666572</v>
      </c>
      <c r="S113" s="1">
        <v>7.3076540687698796E-2</v>
      </c>
      <c r="T113" s="1">
        <v>7.3168274777917694E-2</v>
      </c>
      <c r="U113">
        <f t="shared" si="9"/>
        <v>-9.173409021889789E-5</v>
      </c>
      <c r="W113" s="1">
        <v>7.9838648090257397E-2</v>
      </c>
      <c r="X113" s="1">
        <v>7.9965781706524255E-2</v>
      </c>
      <c r="Y113" s="12">
        <f t="shared" si="10"/>
        <v>-1.5898502278567372E-3</v>
      </c>
    </row>
    <row r="114" spans="11:25" x14ac:dyDescent="0.2">
      <c r="K114" s="1">
        <v>1.2002206782109985E-3</v>
      </c>
      <c r="L114" s="1">
        <v>1.1957870118616226E-3</v>
      </c>
      <c r="M114" s="13">
        <f t="shared" si="7"/>
        <v>4.4336663493759355E-6</v>
      </c>
      <c r="O114" s="1">
        <v>0.98975098860362354</v>
      </c>
      <c r="P114" s="1">
        <v>0.9897886549238436</v>
      </c>
      <c r="Q114">
        <f t="shared" si="8"/>
        <v>-3.7666320220064442E-5</v>
      </c>
      <c r="R114" s="11">
        <v>8.4999999999999911</v>
      </c>
      <c r="S114" s="1">
        <v>7.3359702868625407E-2</v>
      </c>
      <c r="T114" s="1">
        <v>7.3572571118667315E-2</v>
      </c>
      <c r="U114">
        <f t="shared" si="9"/>
        <v>-2.1286825004190879E-4</v>
      </c>
      <c r="W114" s="1">
        <v>8.0112100654100279E-2</v>
      </c>
      <c r="X114" s="1">
        <v>8.0377645967692077E-2</v>
      </c>
      <c r="Y114" s="12">
        <f t="shared" si="10"/>
        <v>-3.3037209586671556E-3</v>
      </c>
    </row>
    <row r="115" spans="11:25" x14ac:dyDescent="0.2">
      <c r="K115" s="1">
        <v>1.2960048590505821E-3</v>
      </c>
      <c r="L115" s="1">
        <v>1.2919837956701374E-3</v>
      </c>
      <c r="M115" s="13">
        <f t="shared" si="7"/>
        <v>4.0210633804446585E-6</v>
      </c>
      <c r="O115" s="1">
        <v>0.98883080176480687</v>
      </c>
      <c r="P115" s="1">
        <v>0.98886526234342786</v>
      </c>
      <c r="Q115">
        <f t="shared" si="8"/>
        <v>-3.4460578620998383E-5</v>
      </c>
      <c r="R115" s="11">
        <v>8.583333333333325</v>
      </c>
      <c r="S115" s="1">
        <v>7.3629149626151066E-2</v>
      </c>
      <c r="T115" s="1">
        <v>7.3726658548040003E-2</v>
      </c>
      <c r="U115">
        <f t="shared" si="9"/>
        <v>-9.750892188893634E-5</v>
      </c>
      <c r="W115" s="1">
        <v>8.0353326653595486E-2</v>
      </c>
      <c r="X115" s="1">
        <v>8.0484397282980166E-2</v>
      </c>
      <c r="Y115" s="12">
        <f t="shared" si="10"/>
        <v>-1.6285222205720817E-3</v>
      </c>
    </row>
    <row r="116" spans="11:25" x14ac:dyDescent="0.2">
      <c r="K116" s="1">
        <v>1.39288171938717E-3</v>
      </c>
      <c r="L116" s="1">
        <v>1.3894582079395671E-3</v>
      </c>
      <c r="M116" s="13">
        <f t="shared" si="7"/>
        <v>3.4235114476028131E-6</v>
      </c>
      <c r="O116" s="1">
        <v>0.987886254343467</v>
      </c>
      <c r="P116" s="1">
        <v>0.98791584763583995</v>
      </c>
      <c r="Q116">
        <f t="shared" si="8"/>
        <v>-2.9593292372953606E-5</v>
      </c>
      <c r="R116" s="11">
        <v>8.666666666666659</v>
      </c>
      <c r="S116" s="1">
        <v>7.3896099275808758E-2</v>
      </c>
      <c r="T116" s="1">
        <v>7.4031129065515178E-2</v>
      </c>
      <c r="U116">
        <f t="shared" si="9"/>
        <v>-1.350297897064201E-4</v>
      </c>
      <c r="W116" s="1">
        <v>8.058049906021901E-2</v>
      </c>
      <c r="X116" s="1">
        <v>8.0753121911311607E-2</v>
      </c>
      <c r="Y116" s="12">
        <f t="shared" si="10"/>
        <v>-2.1376616408983473E-3</v>
      </c>
    </row>
    <row r="117" spans="11:25" x14ac:dyDescent="0.2">
      <c r="K117" s="1">
        <v>1.4896774382478343E-3</v>
      </c>
      <c r="L117" s="1">
        <v>1.4868656238562466E-3</v>
      </c>
      <c r="M117" s="13">
        <f t="shared" si="7"/>
        <v>2.8118143915877199E-6</v>
      </c>
      <c r="O117" s="1">
        <v>0.98692738136075264</v>
      </c>
      <c r="P117" s="1">
        <v>0.98695189466527189</v>
      </c>
      <c r="Q117">
        <f t="shared" si="8"/>
        <v>-2.4513304519246937E-5</v>
      </c>
      <c r="R117" s="11">
        <v>8.7499999999999929</v>
      </c>
      <c r="S117" s="1">
        <v>7.4208294389928584E-2</v>
      </c>
      <c r="T117" s="1">
        <v>7.430961445433315E-2</v>
      </c>
      <c r="U117">
        <f t="shared" si="9"/>
        <v>-1.0132006440456698E-4</v>
      </c>
      <c r="W117" s="1">
        <v>8.0854659472402016E-2</v>
      </c>
      <c r="X117" s="1">
        <v>8.0985825450845386E-2</v>
      </c>
      <c r="Y117" s="12">
        <f t="shared" si="10"/>
        <v>-1.619616491073228E-3</v>
      </c>
    </row>
    <row r="118" spans="11:25" x14ac:dyDescent="0.2">
      <c r="K118" s="1">
        <v>1.5852130446083706E-3</v>
      </c>
      <c r="L118" s="1">
        <v>1.5830631378337674E-3</v>
      </c>
      <c r="M118" s="13">
        <f t="shared" si="7"/>
        <v>2.1499067746032219E-6</v>
      </c>
      <c r="O118" s="1">
        <v>0.9859646111872562</v>
      </c>
      <c r="P118" s="1">
        <v>0.98598351231206383</v>
      </c>
      <c r="Q118">
        <f t="shared" si="8"/>
        <v>-1.8901124807624292E-5</v>
      </c>
      <c r="R118" s="11">
        <v>8.8333333333333268</v>
      </c>
      <c r="S118" s="1">
        <v>7.4644988797882839E-2</v>
      </c>
      <c r="T118" s="1">
        <v>7.449634270866895E-2</v>
      </c>
      <c r="U118">
        <f t="shared" si="9"/>
        <v>1.4864608921388855E-4</v>
      </c>
      <c r="W118" s="1">
        <v>8.1274837744807399E-2</v>
      </c>
      <c r="X118" s="1">
        <v>8.1110255212564653E-2</v>
      </c>
      <c r="Y118" s="12">
        <f t="shared" si="10"/>
        <v>2.0291211242207119E-3</v>
      </c>
    </row>
    <row r="119" spans="11:25" x14ac:dyDescent="0.2">
      <c r="K119" s="1">
        <v>1.6784349680234851E-3</v>
      </c>
      <c r="L119" s="1">
        <v>1.6769623398249637E-3</v>
      </c>
      <c r="M119" s="13">
        <f t="shared" si="7"/>
        <v>1.4726281985213887E-6</v>
      </c>
      <c r="O119" s="1">
        <v>0.9850076072807451</v>
      </c>
      <c r="P119" s="1">
        <v>0.98502066231706253</v>
      </c>
      <c r="Q119">
        <f t="shared" si="8"/>
        <v>-1.30550363174331E-5</v>
      </c>
      <c r="R119" s="11">
        <v>8.9166666666666607</v>
      </c>
      <c r="S119" s="1">
        <v>7.4859175877759351E-2</v>
      </c>
      <c r="T119" s="1">
        <v>7.4809488814774713E-2</v>
      </c>
      <c r="U119">
        <f t="shared" si="9"/>
        <v>4.9687062984637986E-5</v>
      </c>
      <c r="W119" s="1">
        <v>8.1439025739128826E-2</v>
      </c>
      <c r="X119" s="1">
        <v>8.1387271179155091E-2</v>
      </c>
      <c r="Y119" s="12">
        <f t="shared" si="10"/>
        <v>6.3590484388909019E-4</v>
      </c>
    </row>
    <row r="120" spans="11:25" x14ac:dyDescent="0.2">
      <c r="K120" s="1">
        <v>1.7684295701020196E-3</v>
      </c>
      <c r="L120" s="1">
        <v>1.7676646854261925E-3</v>
      </c>
      <c r="M120" s="13">
        <f t="shared" si="7"/>
        <v>7.6488467582705617E-7</v>
      </c>
      <c r="O120" s="1">
        <v>0.9840650904741689</v>
      </c>
      <c r="P120" s="1">
        <v>0.98407192748938144</v>
      </c>
      <c r="Q120">
        <f t="shared" si="8"/>
        <v>-6.8370152125352135E-6</v>
      </c>
      <c r="R120" s="11">
        <v>8.9999999999999947</v>
      </c>
      <c r="S120" s="1">
        <v>7.5109443913174617E-2</v>
      </c>
      <c r="T120" s="1">
        <v>7.5118489347861583E-2</v>
      </c>
      <c r="U120">
        <f t="shared" si="9"/>
        <v>-9.0454346869661695E-6</v>
      </c>
      <c r="W120" s="1">
        <v>8.1654383528869376E-2</v>
      </c>
      <c r="X120" s="1">
        <v>8.1668610304682934E-2</v>
      </c>
      <c r="Y120" s="12">
        <f t="shared" si="10"/>
        <v>-1.7420127219602843E-4</v>
      </c>
    </row>
    <row r="121" spans="11:25" x14ac:dyDescent="0.2">
      <c r="K121" s="1">
        <v>1.8551469986305613E-3</v>
      </c>
      <c r="L121" s="1">
        <v>1.8550994529302218E-3</v>
      </c>
      <c r="M121" s="13">
        <f t="shared" si="7"/>
        <v>4.7545700339497732E-8</v>
      </c>
      <c r="O121" s="1">
        <v>0.98313826344406352</v>
      </c>
      <c r="P121" s="1">
        <v>0.9831386919307985</v>
      </c>
      <c r="Q121">
        <f t="shared" si="8"/>
        <v>-4.2848673498241396E-7</v>
      </c>
      <c r="R121" s="11">
        <v>9.0833333333333286</v>
      </c>
      <c r="S121" s="1">
        <v>7.5465348767204052E-2</v>
      </c>
      <c r="T121" s="1">
        <v>7.5323814693258079E-2</v>
      </c>
      <c r="U121">
        <f t="shared" si="9"/>
        <v>1.4153407394597306E-4</v>
      </c>
      <c r="W121" s="1">
        <v>8.2004474182773304E-2</v>
      </c>
      <c r="X121" s="1">
        <v>8.183675648995789E-2</v>
      </c>
      <c r="Y121" s="12">
        <f t="shared" si="10"/>
        <v>2.0494176456760105E-3</v>
      </c>
    </row>
    <row r="122" spans="11:25" x14ac:dyDescent="0.2">
      <c r="K122" s="1">
        <v>1.9387383629153026E-3</v>
      </c>
      <c r="L122" s="1">
        <v>1.9393423310447621E-3</v>
      </c>
      <c r="M122" s="13">
        <f t="shared" si="7"/>
        <v>-6.0396812945947426E-7</v>
      </c>
      <c r="O122" s="1">
        <v>0.98222651535766614</v>
      </c>
      <c r="P122" s="1">
        <v>0.98222102796301591</v>
      </c>
      <c r="Q122">
        <f t="shared" si="8"/>
        <v>5.4873946502276283E-6</v>
      </c>
      <c r="R122" s="11">
        <v>9.1666666666666625</v>
      </c>
      <c r="S122" s="1">
        <v>7.5682299588190019E-2</v>
      </c>
      <c r="T122" s="1">
        <v>7.5564624496524693E-2</v>
      </c>
      <c r="U122">
        <f t="shared" si="9"/>
        <v>1.1767509166532575E-4</v>
      </c>
      <c r="W122" s="1">
        <v>8.219900851776421E-2</v>
      </c>
      <c r="X122" s="1">
        <v>8.2056038321559416E-2</v>
      </c>
      <c r="Y122" s="12">
        <f t="shared" si="10"/>
        <v>1.7423482674672197E-3</v>
      </c>
    </row>
    <row r="123" spans="11:25" x14ac:dyDescent="0.2">
      <c r="K123" s="1">
        <v>2.0192733750099851E-3</v>
      </c>
      <c r="L123" s="1">
        <v>2.0207629989566715E-3</v>
      </c>
      <c r="M123" s="13">
        <f t="shared" si="7"/>
        <v>-1.4896239466863359E-6</v>
      </c>
      <c r="O123" s="1">
        <v>0.9813299342963141</v>
      </c>
      <c r="P123" s="1">
        <v>0.98131629080717397</v>
      </c>
      <c r="Q123">
        <f t="shared" si="8"/>
        <v>1.364348914012492E-5</v>
      </c>
      <c r="R123" s="11">
        <v>9.2499999999999964</v>
      </c>
      <c r="S123" s="1">
        <v>7.5993667647190288E-2</v>
      </c>
      <c r="T123" s="1">
        <v>7.5872972801802621E-2</v>
      </c>
      <c r="U123">
        <f t="shared" si="9"/>
        <v>1.2069484538766717E-4</v>
      </c>
      <c r="W123" s="1">
        <v>8.2515089357452456E-2</v>
      </c>
      <c r="X123" s="1">
        <v>8.2363811192621386E-2</v>
      </c>
      <c r="Y123" s="12">
        <f t="shared" si="10"/>
        <v>1.8367067118505442E-3</v>
      </c>
    </row>
    <row r="124" spans="11:25" x14ac:dyDescent="0.2">
      <c r="K124" s="1">
        <v>2.0970872289792311E-3</v>
      </c>
      <c r="L124" s="1">
        <v>2.0994111950076552E-3</v>
      </c>
      <c r="M124" s="13">
        <f t="shared" si="7"/>
        <v>-2.3239660284241764E-6</v>
      </c>
      <c r="O124" s="1">
        <v>0.98044613471133524</v>
      </c>
      <c r="P124" s="1">
        <v>0.98042467884972262</v>
      </c>
      <c r="Q124">
        <f t="shared" si="8"/>
        <v>2.1455861612618143E-5</v>
      </c>
      <c r="R124" s="11">
        <v>9.3333333333333304</v>
      </c>
      <c r="S124" s="1">
        <v>7.633924683524336E-2</v>
      </c>
      <c r="T124" s="1">
        <v>7.6095509766013425E-2</v>
      </c>
      <c r="U124">
        <f t="shared" si="9"/>
        <v>2.437370692299351E-4</v>
      </c>
      <c r="W124" s="1">
        <v>8.2880434950733994E-2</v>
      </c>
      <c r="X124" s="1">
        <v>8.2577033189273452E-2</v>
      </c>
      <c r="Y124" s="12">
        <f t="shared" si="10"/>
        <v>3.6741664085353509E-3</v>
      </c>
    </row>
    <row r="125" spans="11:25" x14ac:dyDescent="0.2">
      <c r="K125" s="1">
        <v>2.1723863420260035E-3</v>
      </c>
      <c r="L125" s="1">
        <v>2.1755437729205364E-3</v>
      </c>
      <c r="M125" s="13">
        <f t="shared" si="7"/>
        <v>-3.157430894532888E-6</v>
      </c>
      <c r="O125" s="1">
        <v>0.9795738290179159</v>
      </c>
      <c r="P125" s="1">
        <v>0.97954444656021367</v>
      </c>
      <c r="Q125">
        <f t="shared" si="8"/>
        <v>2.938245770223169E-5</v>
      </c>
      <c r="R125" s="11">
        <v>9.4166666666666643</v>
      </c>
      <c r="S125" s="1">
        <v>7.6628891641973632E-2</v>
      </c>
      <c r="T125" s="1">
        <v>7.6283545283293702E-2</v>
      </c>
      <c r="U125">
        <f t="shared" si="9"/>
        <v>3.4534635867992935E-4</v>
      </c>
      <c r="W125" s="1">
        <v>8.3186239934298925E-2</v>
      </c>
      <c r="X125" s="1">
        <v>8.2755417708476456E-2</v>
      </c>
      <c r="Y125" s="12">
        <f t="shared" si="10"/>
        <v>5.2059700470623582E-3</v>
      </c>
    </row>
    <row r="126" spans="11:25" x14ac:dyDescent="0.2">
      <c r="K126" s="1">
        <v>2.2453288743461714E-3</v>
      </c>
      <c r="L126" s="1">
        <v>2.2491420220021392E-3</v>
      </c>
      <c r="M126" s="13">
        <f t="shared" si="7"/>
        <v>-3.813147655967828E-6</v>
      </c>
      <c r="O126" s="1">
        <v>0.97871211981094164</v>
      </c>
      <c r="P126" s="1">
        <v>0.97867635571524203</v>
      </c>
      <c r="Q126">
        <f t="shared" si="8"/>
        <v>3.5764095699608589E-5</v>
      </c>
      <c r="R126" s="11">
        <v>9.4999999999999982</v>
      </c>
      <c r="S126" s="1">
        <v>7.6900396854421446E-2</v>
      </c>
      <c r="T126" s="1">
        <v>7.6645208617889135E-2</v>
      </c>
      <c r="U126">
        <f t="shared" si="9"/>
        <v>2.5518823653231104E-4</v>
      </c>
      <c r="W126" s="1">
        <v>8.3476937437641341E-2</v>
      </c>
      <c r="X126" s="1">
        <v>8.3150330814972293E-2</v>
      </c>
      <c r="Y126" s="12">
        <f t="shared" si="10"/>
        <v>3.9279052707057449E-3</v>
      </c>
    </row>
    <row r="127" spans="11:25" x14ac:dyDescent="0.2">
      <c r="K127" s="1">
        <v>2.3159449770102027E-3</v>
      </c>
      <c r="L127" s="1">
        <v>2.3205681625736783E-3</v>
      </c>
      <c r="M127" s="13">
        <f t="shared" si="7"/>
        <v>-4.62318556347565E-6</v>
      </c>
      <c r="O127" s="1">
        <v>0.97786127157800584</v>
      </c>
      <c r="P127" s="1">
        <v>0.97781757115808254</v>
      </c>
      <c r="Q127">
        <f t="shared" si="8"/>
        <v>4.3700419923298206E-5</v>
      </c>
      <c r="R127" s="11">
        <v>9.5833333333333321</v>
      </c>
      <c r="S127" s="1">
        <v>7.7227419245635406E-2</v>
      </c>
      <c r="T127" s="1">
        <v>7.695915496634903E-2</v>
      </c>
      <c r="U127">
        <f t="shared" si="9"/>
        <v>2.6826427928637597E-4</v>
      </c>
      <c r="W127" s="1">
        <v>8.3841692481022509E-2</v>
      </c>
      <c r="X127" s="1">
        <v>8.3494123691254599E-2</v>
      </c>
      <c r="Y127" s="12">
        <f t="shared" si="10"/>
        <v>4.1627934326631255E-3</v>
      </c>
    </row>
    <row r="128" spans="11:25" x14ac:dyDescent="0.2">
      <c r="K128" s="1">
        <v>2.3844286524490363E-3</v>
      </c>
      <c r="L128" s="1">
        <v>2.3898616438548718E-3</v>
      </c>
      <c r="M128" s="13">
        <f t="shared" si="7"/>
        <v>-5.4329914058355577E-6</v>
      </c>
      <c r="O128" s="1">
        <v>0.97701997748792768</v>
      </c>
      <c r="P128" s="1">
        <v>0.97696822448253628</v>
      </c>
      <c r="Q128">
        <f t="shared" si="8"/>
        <v>5.1753005391397267E-5</v>
      </c>
      <c r="R128" s="11">
        <v>9.6666666666666661</v>
      </c>
      <c r="S128" s="1">
        <v>7.7435386545239238E-2</v>
      </c>
      <c r="T128" s="1">
        <v>7.7202280813921303E-2</v>
      </c>
      <c r="U128">
        <f t="shared" si="9"/>
        <v>2.3310573131793411E-4</v>
      </c>
      <c r="W128" s="1">
        <v>8.4068098488350729E-2</v>
      </c>
      <c r="X128" s="1">
        <v>8.3758104075609241E-2</v>
      </c>
      <c r="Y128" s="12">
        <f t="shared" si="10"/>
        <v>3.7010676896609418E-3</v>
      </c>
    </row>
    <row r="129" spans="11:25" x14ac:dyDescent="0.2">
      <c r="K129" s="1">
        <v>2.4510563617911986E-3</v>
      </c>
      <c r="L129" s="1">
        <v>2.457117605713073E-3</v>
      </c>
      <c r="M129" s="13">
        <f t="shared" si="7"/>
        <v>-6.0612439218743659E-6</v>
      </c>
      <c r="O129" s="1">
        <v>0.97618608076099067</v>
      </c>
      <c r="P129" s="1">
        <v>0.97612789962570912</v>
      </c>
      <c r="Q129">
        <f t="shared" si="8"/>
        <v>5.8181135281554219E-5</v>
      </c>
      <c r="R129" s="11">
        <v>9.75</v>
      </c>
      <c r="S129" s="1">
        <v>7.7760486764698614E-2</v>
      </c>
      <c r="T129" s="1">
        <v>7.756548257098933E-2</v>
      </c>
      <c r="U129">
        <f t="shared" si="9"/>
        <v>1.9500419370928335E-4</v>
      </c>
      <c r="W129" s="1">
        <v>8.4441876801036028E-2</v>
      </c>
      <c r="X129" s="1">
        <v>8.4174184450791278E-2</v>
      </c>
      <c r="Y129" s="12">
        <f t="shared" si="10"/>
        <v>3.180219113393834E-3</v>
      </c>
    </row>
    <row r="130" spans="11:25" x14ac:dyDescent="0.2">
      <c r="K130" s="1">
        <v>2.5158241322605353E-3</v>
      </c>
      <c r="L130" s="1">
        <v>2.5225537231558003E-3</v>
      </c>
      <c r="M130" s="13">
        <f t="shared" si="7"/>
        <v>-6.7295908952650328E-6</v>
      </c>
      <c r="O130" s="1">
        <v>0.9753600546712522</v>
      </c>
      <c r="P130" s="1">
        <v>0.97529496608286681</v>
      </c>
      <c r="Q130">
        <f t="shared" si="8"/>
        <v>6.5088588385386892E-5</v>
      </c>
      <c r="R130" s="11">
        <v>9.8333333333333339</v>
      </c>
      <c r="S130" s="1">
        <v>7.7982721109209577E-2</v>
      </c>
      <c r="T130" s="1">
        <v>7.7857866885805538E-2</v>
      </c>
      <c r="U130">
        <f t="shared" si="9"/>
        <v>1.2485422340403896E-4</v>
      </c>
      <c r="W130" s="1">
        <v>8.4695194061792808E-2</v>
      </c>
      <c r="X130" s="1">
        <v>8.4509155749719414E-2</v>
      </c>
      <c r="Y130" s="12">
        <f t="shared" si="10"/>
        <v>2.2013983032129758E-3</v>
      </c>
    </row>
    <row r="131" spans="11:25" x14ac:dyDescent="0.2">
      <c r="K131" s="1">
        <v>2.5789427141633299E-3</v>
      </c>
      <c r="L131" s="1">
        <v>2.5863409545811922E-3</v>
      </c>
      <c r="M131" s="13">
        <f t="shared" si="7"/>
        <v>-7.3982404178623076E-6</v>
      </c>
      <c r="O131" s="1">
        <v>0.97454027973655288</v>
      </c>
      <c r="P131" s="1">
        <v>0.9744681835706458</v>
      </c>
      <c r="Q131">
        <f t="shared" si="8"/>
        <v>7.209616590708734E-5</v>
      </c>
      <c r="R131" s="11">
        <v>9.9166666666666679</v>
      </c>
      <c r="S131" s="1">
        <v>7.8226021734105422E-2</v>
      </c>
      <c r="T131" s="1">
        <v>7.8152293820232602E-2</v>
      </c>
      <c r="U131">
        <f t="shared" si="9"/>
        <v>7.3727913872820294E-5</v>
      </c>
      <c r="W131" s="1">
        <v>8.4978252653965761E-2</v>
      </c>
      <c r="X131" s="1">
        <v>8.4851027571008958E-2</v>
      </c>
      <c r="Y131" s="12">
        <f t="shared" si="10"/>
        <v>1.4993935441776074E-3</v>
      </c>
    </row>
    <row r="132" spans="11:25" x14ac:dyDescent="0.2">
      <c r="K132" s="1">
        <v>2.6405393668627979E-3</v>
      </c>
      <c r="L132" s="1">
        <v>2.6488129371503208E-3</v>
      </c>
      <c r="M132" s="13">
        <f t="shared" si="7"/>
        <v>-8.273570287522982E-6</v>
      </c>
      <c r="O132" s="1">
        <v>0.97372589334620629</v>
      </c>
      <c r="P132" s="1">
        <v>0.97364466348923184</v>
      </c>
      <c r="Q132">
        <f t="shared" si="8"/>
        <v>8.1229856974451842E-5</v>
      </c>
      <c r="R132" s="11">
        <v>10.000000000000002</v>
      </c>
      <c r="S132" s="1">
        <v>7.8495165787249827E-2</v>
      </c>
      <c r="T132" s="1">
        <v>7.8476996492855638E-2</v>
      </c>
      <c r="U132">
        <f t="shared" si="9"/>
        <v>1.8169294394188018E-5</v>
      </c>
      <c r="W132" s="1">
        <v>8.5296744842831562E-2</v>
      </c>
      <c r="X132" s="1">
        <v>8.5233150434146338E-2</v>
      </c>
      <c r="Y132" s="12">
        <f t="shared" si="10"/>
        <v>7.4612293880127467E-4</v>
      </c>
    </row>
    <row r="133" spans="11:25" x14ac:dyDescent="0.2">
      <c r="K133" s="1">
        <v>2.7009097295700307E-3</v>
      </c>
      <c r="L133" s="1">
        <v>2.7099761286470381E-3</v>
      </c>
      <c r="M133" s="13">
        <f t="shared" si="7"/>
        <v>-9.0663990770073997E-6</v>
      </c>
      <c r="O133" s="1">
        <v>0.97291432905791753</v>
      </c>
      <c r="P133" s="1">
        <v>0.97282465475683566</v>
      </c>
      <c r="Q133">
        <f t="shared" si="8"/>
        <v>8.9674301081865693E-5</v>
      </c>
      <c r="R133" s="11">
        <v>10.083333333333336</v>
      </c>
      <c r="S133" s="1">
        <v>7.8638246971625025E-2</v>
      </c>
      <c r="T133" s="1">
        <v>7.8843210879084316E-2</v>
      </c>
      <c r="U133">
        <f t="shared" si="9"/>
        <v>-2.0496390745929072E-4</v>
      </c>
      <c r="W133" s="1">
        <v>8.5461693290362142E-2</v>
      </c>
      <c r="X133" s="1">
        <v>8.5669900249616682E-2</v>
      </c>
      <c r="Y133" s="12">
        <f t="shared" si="10"/>
        <v>-2.4303396951308454E-3</v>
      </c>
    </row>
    <row r="134" spans="11:25" x14ac:dyDescent="0.2">
      <c r="K134" s="1">
        <v>2.7602383477349805E-3</v>
      </c>
      <c r="L134" s="1">
        <v>2.7700541472105229E-3</v>
      </c>
      <c r="M134" s="13">
        <f t="shared" si="7"/>
        <v>-9.8157994755424492E-6</v>
      </c>
      <c r="O134" s="1">
        <v>0.97210404014429164</v>
      </c>
      <c r="P134" s="1">
        <v>0.97200623978646017</v>
      </c>
      <c r="Q134">
        <f t="shared" si="8"/>
        <v>9.7800357831467899E-5</v>
      </c>
      <c r="R134" s="11">
        <v>10.16666666666667</v>
      </c>
      <c r="S134" s="1">
        <v>7.8922341389703235E-2</v>
      </c>
      <c r="T134" s="1">
        <v>7.9038837242753082E-2</v>
      </c>
      <c r="U134">
        <f t="shared" si="9"/>
        <v>-1.1649585304984722E-4</v>
      </c>
      <c r="W134" s="1">
        <v>8.5802334057212229E-2</v>
      </c>
      <c r="X134" s="1">
        <v>8.5897494116311562E-2</v>
      </c>
      <c r="Y134" s="12">
        <f t="shared" si="10"/>
        <v>-1.1078327729849846E-3</v>
      </c>
    </row>
    <row r="135" spans="11:25" x14ac:dyDescent="0.2">
      <c r="K135" s="1">
        <v>2.8188043137636425E-3</v>
      </c>
      <c r="L135" s="1">
        <v>2.8292796925482771E-3</v>
      </c>
      <c r="M135" s="13">
        <f t="shared" si="7"/>
        <v>-1.0475378784634542E-5</v>
      </c>
      <c r="O135" s="1">
        <v>0.97129247633768268</v>
      </c>
      <c r="P135" s="1">
        <v>0.97118734390964256</v>
      </c>
      <c r="Q135">
        <f t="shared" si="8"/>
        <v>1.0513242804011114E-4</v>
      </c>
      <c r="R135" s="11">
        <v>10.250000000000004</v>
      </c>
      <c r="S135" s="1">
        <v>7.9186544957114496E-2</v>
      </c>
      <c r="T135" s="1">
        <v>7.9337281676616717E-2</v>
      </c>
      <c r="U135">
        <f t="shared" si="9"/>
        <v>-1.5073671950222023E-4</v>
      </c>
      <c r="W135" s="1">
        <v>8.6118670846387912E-2</v>
      </c>
      <c r="X135" s="1">
        <v>8.6253297663841669E-2</v>
      </c>
      <c r="Y135" s="12">
        <f t="shared" si="10"/>
        <v>-1.5608309606717219E-3</v>
      </c>
    </row>
    <row r="136" spans="11:25" x14ac:dyDescent="0.2">
      <c r="K136" s="1">
        <v>2.8767385828153556E-3</v>
      </c>
      <c r="L136" s="1">
        <v>2.8878657649970387E-3</v>
      </c>
      <c r="M136" s="13">
        <f t="shared" si="7"/>
        <v>-1.1127182181683033E-5</v>
      </c>
      <c r="O136" s="1">
        <v>0.97047850314750173</v>
      </c>
      <c r="P136" s="1">
        <v>0.97036602330058541</v>
      </c>
      <c r="Q136">
        <f t="shared" si="8"/>
        <v>1.1247984691631352E-4</v>
      </c>
      <c r="R136" s="11">
        <v>10.333333333333337</v>
      </c>
      <c r="S136" s="1">
        <v>7.9532469313547807E-2</v>
      </c>
      <c r="T136" s="1">
        <v>7.9526799917292876E-2</v>
      </c>
      <c r="U136">
        <f t="shared" si="9"/>
        <v>5.669396254931458E-6</v>
      </c>
      <c r="W136" s="1">
        <v>8.653684462731441E-2</v>
      </c>
      <c r="X136" s="1">
        <v>8.6473009968762962E-2</v>
      </c>
      <c r="Y136" s="12">
        <f t="shared" si="10"/>
        <v>7.382032679850159E-4</v>
      </c>
    </row>
    <row r="137" spans="11:25" x14ac:dyDescent="0.2">
      <c r="K137" s="1">
        <v>2.9342892337654606E-3</v>
      </c>
      <c r="L137" s="1">
        <v>2.9460358560801899E-3</v>
      </c>
      <c r="M137" s="13">
        <f t="shared" si="7"/>
        <v>-1.1746622314729241E-5</v>
      </c>
      <c r="O137" s="1">
        <v>0.96965975510172453</v>
      </c>
      <c r="P137" s="1">
        <v>0.96954016509433583</v>
      </c>
      <c r="Q137">
        <f t="shared" si="8"/>
        <v>1.1959000738870351E-4</v>
      </c>
      <c r="R137" s="11">
        <v>10.416666666666671</v>
      </c>
      <c r="S137" s="1">
        <v>7.9683482051512114E-2</v>
      </c>
      <c r="T137" s="1">
        <v>7.9800329253407756E-2</v>
      </c>
      <c r="U137">
        <f t="shared" si="9"/>
        <v>-1.1684720189564235E-4</v>
      </c>
      <c r="W137" s="1">
        <v>8.6709881126992447E-2</v>
      </c>
      <c r="X137" s="1">
        <v>8.6796073834313966E-2</v>
      </c>
      <c r="Y137" s="12">
        <f t="shared" si="10"/>
        <v>-9.9304845845971101E-4</v>
      </c>
    </row>
    <row r="138" spans="11:25" x14ac:dyDescent="0.2">
      <c r="K138" s="1">
        <v>2.991814482587609E-3</v>
      </c>
      <c r="L138" s="1">
        <v>3.0040083808872981E-3</v>
      </c>
      <c r="M138" s="13">
        <f t="shared" si="7"/>
        <v>-1.2193898299689161E-5</v>
      </c>
      <c r="O138" s="1">
        <v>0.96883266538897972</v>
      </c>
      <c r="P138" s="1">
        <v>0.96870764357565986</v>
      </c>
      <c r="Q138">
        <f t="shared" si="8"/>
        <v>1.2502181331985884E-4</v>
      </c>
      <c r="R138" s="11">
        <v>10.500000000000005</v>
      </c>
      <c r="S138" s="1">
        <v>7.9803389928207236E-2</v>
      </c>
      <c r="T138" s="1">
        <v>8.0073130592525701E-2</v>
      </c>
      <c r="U138">
        <f t="shared" si="9"/>
        <v>-2.6974066431846577E-4</v>
      </c>
      <c r="W138" s="1">
        <v>8.6839647973073489E-2</v>
      </c>
      <c r="X138" s="1">
        <v>8.7115873866376384E-2</v>
      </c>
      <c r="Y138" s="12">
        <f t="shared" si="10"/>
        <v>-3.1707871486956751E-3</v>
      </c>
    </row>
    <row r="139" spans="11:25" x14ac:dyDescent="0.2">
      <c r="K139" s="1">
        <v>3.0493447951860731E-3</v>
      </c>
      <c r="L139" s="1">
        <v>3.0620301655679837E-3</v>
      </c>
      <c r="M139" s="13">
        <f t="shared" si="7"/>
        <v>-1.2685370381910598E-5</v>
      </c>
      <c r="O139" s="1">
        <v>0.9679969481172318</v>
      </c>
      <c r="P139" s="1">
        <v>0.96786597671364449</v>
      </c>
      <c r="Q139">
        <f t="shared" si="8"/>
        <v>1.3097140358730996E-4</v>
      </c>
      <c r="R139" s="11">
        <v>10.583333333333339</v>
      </c>
      <c r="S139" s="1">
        <v>8.0013378608003477E-2</v>
      </c>
      <c r="T139" s="1">
        <v>8.0311085738244026E-2</v>
      </c>
      <c r="U139">
        <f t="shared" si="9"/>
        <v>-2.9770713024054873E-4</v>
      </c>
      <c r="W139" s="1">
        <v>8.7078499955524163E-2</v>
      </c>
      <c r="X139" s="1">
        <v>8.7388127705666591E-2</v>
      </c>
      <c r="Y139" s="12">
        <f t="shared" si="10"/>
        <v>-3.543132897700807E-3</v>
      </c>
    </row>
    <row r="140" spans="11:25" x14ac:dyDescent="0.2">
      <c r="K140" s="1">
        <v>3.1070983349486712E-3</v>
      </c>
      <c r="L140" s="1">
        <v>3.1202248514676863E-3</v>
      </c>
      <c r="M140" s="13">
        <f t="shared" ref="M140:M203" si="11">K140-L140</f>
        <v>-1.3126516519015082E-5</v>
      </c>
      <c r="O140" s="1">
        <v>0.96715035739422817</v>
      </c>
      <c r="P140" s="1">
        <v>0.96701389238496283</v>
      </c>
      <c r="Q140">
        <f t="shared" ref="Q140:Q203" si="12">O140-P140</f>
        <v>1.3646500926534078E-4</v>
      </c>
      <c r="R140" s="11">
        <v>10.666666666666673</v>
      </c>
      <c r="S140" s="1">
        <v>8.0293726304124402E-2</v>
      </c>
      <c r="T140" s="1">
        <v>8.0515351599075066E-2</v>
      </c>
      <c r="U140">
        <f t="shared" si="9"/>
        <v>-2.2162529495066419E-4</v>
      </c>
      <c r="W140" s="1">
        <v>8.740141565130162E-2</v>
      </c>
      <c r="X140" s="1">
        <v>8.7613264033576499E-2</v>
      </c>
      <c r="Y140" s="12">
        <f t="shared" si="10"/>
        <v>-2.4179944054326663E-3</v>
      </c>
    </row>
    <row r="141" spans="11:25" x14ac:dyDescent="0.2">
      <c r="K141" s="1">
        <v>3.1653410397638575E-3</v>
      </c>
      <c r="L141" s="1">
        <v>3.1788956833903132E-3</v>
      </c>
      <c r="M141" s="13">
        <f t="shared" si="11"/>
        <v>-1.3554643626455774E-5</v>
      </c>
      <c r="O141" s="1">
        <v>0.96629008521321158</v>
      </c>
      <c r="P141" s="1">
        <v>0.96614820368831222</v>
      </c>
      <c r="Q141">
        <f t="shared" si="12"/>
        <v>1.4188152489935657E-4</v>
      </c>
      <c r="R141" s="11">
        <v>10.750000000000007</v>
      </c>
      <c r="S141" s="1">
        <v>8.0517035347866556E-2</v>
      </c>
      <c r="T141" s="1">
        <v>8.0802824872425752E-2</v>
      </c>
      <c r="U141">
        <f t="shared" ref="U141:U204" si="13">S141-T141</f>
        <v>-2.8578952455919626E-4</v>
      </c>
      <c r="W141" s="1">
        <v>8.7646153800910884E-2</v>
      </c>
      <c r="X141" s="1">
        <v>8.7937612578214835E-2</v>
      </c>
      <c r="Y141" s="12">
        <f t="shared" ref="Y141:Y204" si="14">W141/X141-1</f>
        <v>-3.314381284171386E-3</v>
      </c>
    </row>
    <row r="142" spans="11:25" x14ac:dyDescent="0.2">
      <c r="K142" s="1">
        <v>3.2242320072019097E-3</v>
      </c>
      <c r="L142" s="1">
        <v>3.238269609762554E-3</v>
      </c>
      <c r="M142" s="13">
        <f t="shared" si="11"/>
        <v>-1.403760256064434E-5</v>
      </c>
      <c r="O142" s="1">
        <v>0.96541437460131152</v>
      </c>
      <c r="P142" s="1">
        <v>0.96526644214214374</v>
      </c>
      <c r="Q142">
        <f t="shared" si="12"/>
        <v>1.4793245916777664E-4</v>
      </c>
      <c r="R142" s="11">
        <v>10.833333333333341</v>
      </c>
      <c r="S142" s="1">
        <v>8.0724552860620108E-2</v>
      </c>
      <c r="T142" s="1">
        <v>8.0998362083246997E-2</v>
      </c>
      <c r="U142">
        <f t="shared" si="13"/>
        <v>-2.73809222626889E-4</v>
      </c>
      <c r="W142" s="1">
        <v>8.7863695749402337E-2</v>
      </c>
      <c r="X142" s="1">
        <v>8.8138042375849712E-2</v>
      </c>
      <c r="Y142" s="12">
        <f t="shared" si="14"/>
        <v>-3.1126925338036404E-3</v>
      </c>
    </row>
    <row r="143" spans="11:25" x14ac:dyDescent="0.2">
      <c r="K143" s="1">
        <v>3.2840766622276429E-3</v>
      </c>
      <c r="L143" s="1">
        <v>3.2984887833809842E-3</v>
      </c>
      <c r="M143" s="13">
        <f t="shared" si="11"/>
        <v>-1.4412121153341371E-5</v>
      </c>
      <c r="O143" s="1">
        <v>0.96451987213757417</v>
      </c>
      <c r="P143" s="1">
        <v>0.96436697570771213</v>
      </c>
      <c r="Q143">
        <f t="shared" si="12"/>
        <v>1.5289642986204832E-4</v>
      </c>
      <c r="R143" s="11">
        <v>10.916666666666675</v>
      </c>
      <c r="S143" s="1">
        <v>8.098745135369842E-2</v>
      </c>
      <c r="T143" s="1">
        <v>8.1263579496240967E-2</v>
      </c>
      <c r="U143">
        <f t="shared" si="13"/>
        <v>-2.7612814254254769E-4</v>
      </c>
      <c r="W143" s="1">
        <v>8.8143042341050859E-2</v>
      </c>
      <c r="X143" s="1">
        <v>8.841896315094383E-2</v>
      </c>
      <c r="Y143" s="12">
        <f t="shared" si="14"/>
        <v>-3.1206067121816172E-3</v>
      </c>
    </row>
    <row r="144" spans="11:25" x14ac:dyDescent="0.2">
      <c r="K144" s="1">
        <v>3.34495113680179E-3</v>
      </c>
      <c r="L144" s="1">
        <v>3.3597348493746579E-3</v>
      </c>
      <c r="M144" s="13">
        <f t="shared" si="11"/>
        <v>-1.4783712572867883E-5</v>
      </c>
      <c r="O144" s="1">
        <v>0.96360558871171031</v>
      </c>
      <c r="P144" s="1">
        <v>0.96344771215868918</v>
      </c>
      <c r="Q144">
        <f t="shared" si="12"/>
        <v>1.5787655302113013E-4</v>
      </c>
      <c r="R144" s="11">
        <v>11.000000000000009</v>
      </c>
      <c r="S144" s="1">
        <v>8.1370629910626033E-2</v>
      </c>
      <c r="T144" s="1">
        <v>8.1547087419739608E-2</v>
      </c>
      <c r="U144">
        <f t="shared" si="13"/>
        <v>-1.7645750911357561E-4</v>
      </c>
      <c r="W144" s="1">
        <v>8.8567391272770662E-2</v>
      </c>
      <c r="X144" s="1">
        <v>8.8714354660865039E-2</v>
      </c>
      <c r="Y144" s="12">
        <f t="shared" si="14"/>
        <v>-1.6565908488674896E-3</v>
      </c>
    </row>
    <row r="145" spans="11:25" x14ac:dyDescent="0.2">
      <c r="K145" s="1">
        <v>3.4065369667573642E-3</v>
      </c>
      <c r="L145" s="1">
        <v>3.4217538312980942E-3</v>
      </c>
      <c r="M145" s="13">
        <f t="shared" si="11"/>
        <v>-1.5216864540729992E-5</v>
      </c>
      <c r="O145" s="1">
        <v>0.96267475776197076</v>
      </c>
      <c r="P145" s="1">
        <v>0.96251119237187543</v>
      </c>
      <c r="Q145">
        <f t="shared" si="12"/>
        <v>1.6356539009532156E-4</v>
      </c>
      <c r="R145" s="11">
        <v>11.083333333333343</v>
      </c>
      <c r="S145" s="1">
        <v>8.1539359438892747E-2</v>
      </c>
      <c r="T145" s="1">
        <v>8.1807297499409709E-2</v>
      </c>
      <c r="U145">
        <f t="shared" si="13"/>
        <v>-2.6793806051696178E-4</v>
      </c>
      <c r="W145" s="1">
        <v>8.8710079838772563E-2</v>
      </c>
      <c r="X145" s="1">
        <v>8.8972340533723632E-2</v>
      </c>
      <c r="Y145" s="12">
        <f t="shared" si="14"/>
        <v>-2.9476654584765782E-3</v>
      </c>
    </row>
    <row r="146" spans="11:25" x14ac:dyDescent="0.2">
      <c r="K146" s="1">
        <v>3.4686206266827239E-3</v>
      </c>
      <c r="L146" s="1">
        <v>3.4841885896361308E-3</v>
      </c>
      <c r="M146" s="13">
        <f t="shared" si="11"/>
        <v>-1.5567962953406869E-5</v>
      </c>
      <c r="O146" s="1">
        <v>0.96172956812637933</v>
      </c>
      <c r="P146" s="1">
        <v>0.96156114595976627</v>
      </c>
      <c r="Q146">
        <f t="shared" si="12"/>
        <v>1.6842216661305809E-4</v>
      </c>
      <c r="R146" s="11">
        <v>11.166666666666677</v>
      </c>
      <c r="S146" s="1">
        <v>8.1790444221238587E-2</v>
      </c>
      <c r="T146" s="1">
        <v>8.2158949248195751E-2</v>
      </c>
      <c r="U146">
        <f t="shared" si="13"/>
        <v>-3.6850502695716381E-4</v>
      </c>
      <c r="W146" s="1">
        <v>8.8951892351544409E-2</v>
      </c>
      <c r="X146" s="1">
        <v>8.9342178911487116E-2</v>
      </c>
      <c r="Y146" s="12">
        <f t="shared" si="14"/>
        <v>-4.3684468489331163E-3</v>
      </c>
    </row>
    <row r="147" spans="11:25" x14ac:dyDescent="0.2">
      <c r="K147" s="1">
        <v>3.5307721456025619E-3</v>
      </c>
      <c r="L147" s="1">
        <v>3.5467560590310599E-3</v>
      </c>
      <c r="M147" s="13">
        <f t="shared" si="11"/>
        <v>-1.5983913428498E-5</v>
      </c>
      <c r="O147" s="1">
        <v>0.96077462615106179</v>
      </c>
      <c r="P147" s="1">
        <v>0.96060059661193331</v>
      </c>
      <c r="Q147">
        <f t="shared" si="12"/>
        <v>1.7402953912848407E-4</v>
      </c>
      <c r="R147" s="11">
        <v>11.250000000000011</v>
      </c>
      <c r="S147" s="1">
        <v>8.2066369680249898E-2</v>
      </c>
      <c r="T147" s="1">
        <v>8.241943588324703E-2</v>
      </c>
      <c r="U147">
        <f t="shared" si="13"/>
        <v>-3.5306620299713209E-4</v>
      </c>
      <c r="W147" s="1">
        <v>8.9221788164756358E-2</v>
      </c>
      <c r="X147" s="1">
        <v>8.9590751477579958E-2</v>
      </c>
      <c r="Y147" s="12">
        <f t="shared" si="14"/>
        <v>-4.1183192097226096E-3</v>
      </c>
    </row>
    <row r="148" spans="11:25" x14ac:dyDescent="0.2">
      <c r="K148" s="1">
        <v>3.5928585223525275E-3</v>
      </c>
      <c r="L148" s="1">
        <v>3.6091261171151278E-3</v>
      </c>
      <c r="M148" s="13">
        <f t="shared" si="11"/>
        <v>-1.6267594762600212E-5</v>
      </c>
      <c r="O148" s="1">
        <v>0.95981140386214991</v>
      </c>
      <c r="P148" s="1">
        <v>0.9596331626020963</v>
      </c>
      <c r="Q148">
        <f t="shared" si="12"/>
        <v>1.7824126005361318E-4</v>
      </c>
      <c r="R148" s="11">
        <v>11.333333333333345</v>
      </c>
      <c r="S148" s="1">
        <v>8.2213776511830552E-2</v>
      </c>
      <c r="T148" s="1">
        <v>8.2686398957350499E-2</v>
      </c>
      <c r="U148">
        <f t="shared" si="13"/>
        <v>-4.7262244551994625E-4</v>
      </c>
      <c r="W148" s="1">
        <v>8.9322349382659927E-2</v>
      </c>
      <c r="X148" s="1">
        <v>8.9845218245138941E-2</v>
      </c>
      <c r="Y148" s="12">
        <f t="shared" si="14"/>
        <v>-5.8196626675488528E-3</v>
      </c>
    </row>
    <row r="149" spans="11:25" x14ac:dyDescent="0.2">
      <c r="K149" s="1">
        <v>3.6544927460241136E-3</v>
      </c>
      <c r="L149" s="1">
        <v>3.6709785438798657E-3</v>
      </c>
      <c r="M149" s="13">
        <f t="shared" si="11"/>
        <v>-1.6485797855752063E-5</v>
      </c>
      <c r="O149" s="1">
        <v>0.95884421113639051</v>
      </c>
      <c r="P149" s="1">
        <v>0.9586624442810624</v>
      </c>
      <c r="Q149">
        <f t="shared" si="12"/>
        <v>1.8176685532811376E-4</v>
      </c>
      <c r="R149" s="11">
        <v>11.416666666666679</v>
      </c>
      <c r="S149" s="1">
        <v>8.2468001507320948E-2</v>
      </c>
      <c r="T149" s="1">
        <v>8.2913357080301564E-2</v>
      </c>
      <c r="U149">
        <f t="shared" si="13"/>
        <v>-4.4535557298061579E-4</v>
      </c>
      <c r="W149" s="1">
        <v>8.9559673083853597E-2</v>
      </c>
      <c r="X149" s="1">
        <v>9.0047148183434511E-2</v>
      </c>
      <c r="Y149" s="12">
        <f t="shared" si="14"/>
        <v>-5.4135540038190433E-3</v>
      </c>
    </row>
    <row r="150" spans="11:25" x14ac:dyDescent="0.2">
      <c r="K150" s="1">
        <v>3.7153185273405519E-3</v>
      </c>
      <c r="L150" s="1">
        <v>3.731972998504183E-3</v>
      </c>
      <c r="M150" s="13">
        <f t="shared" si="11"/>
        <v>-1.6654471163631175E-5</v>
      </c>
      <c r="O150" s="1">
        <v>0.95787712337163899</v>
      </c>
      <c r="P150" s="1">
        <v>0.95769235300853384</v>
      </c>
      <c r="Q150">
        <f t="shared" si="12"/>
        <v>1.8477036310515782E-4</v>
      </c>
      <c r="R150" s="11">
        <v>11.500000000000012</v>
      </c>
      <c r="S150" s="1">
        <v>8.2776900688785252E-2</v>
      </c>
      <c r="T150" s="1">
        <v>8.3127170981267137E-2</v>
      </c>
      <c r="U150">
        <f t="shared" si="13"/>
        <v>-3.5027029248188568E-4</v>
      </c>
      <c r="W150" s="1">
        <v>8.9869042720359921E-2</v>
      </c>
      <c r="X150" s="1">
        <v>9.0232994154772234E-2</v>
      </c>
      <c r="Y150" s="12">
        <f t="shared" si="14"/>
        <v>-4.0334629014753265E-3</v>
      </c>
    </row>
    <row r="151" spans="11:25" x14ac:dyDescent="0.2">
      <c r="K151" s="1">
        <v>3.7750590442350972E-3</v>
      </c>
      <c r="L151" s="1">
        <v>3.7917158852954465E-3</v>
      </c>
      <c r="M151" s="13">
        <f t="shared" si="11"/>
        <v>-1.665684106034928E-5</v>
      </c>
      <c r="O151" s="1">
        <v>0.95691342605268748</v>
      </c>
      <c r="P151" s="1">
        <v>0.95672748731345292</v>
      </c>
      <c r="Q151">
        <f t="shared" si="12"/>
        <v>1.8593873923455906E-4</v>
      </c>
      <c r="R151" s="11">
        <v>11.583333333333346</v>
      </c>
      <c r="S151" s="1">
        <v>8.2976483260617781E-2</v>
      </c>
      <c r="T151" s="1">
        <v>8.3327433485295394E-2</v>
      </c>
      <c r="U151">
        <f t="shared" si="13"/>
        <v>-3.509502246776125E-4</v>
      </c>
      <c r="W151" s="1">
        <v>9.0038799916113119E-2</v>
      </c>
      <c r="X151" s="1">
        <v>9.0404356499600949E-2</v>
      </c>
      <c r="Y151" s="12">
        <f t="shared" si="14"/>
        <v>-4.0435726511636183E-3</v>
      </c>
    </row>
    <row r="152" spans="11:25" x14ac:dyDescent="0.2">
      <c r="K152" s="1">
        <v>3.8333028633901218E-3</v>
      </c>
      <c r="L152" s="1">
        <v>3.8499314423920362E-3</v>
      </c>
      <c r="M152" s="13">
        <f t="shared" si="11"/>
        <v>-1.6628579001914424E-5</v>
      </c>
      <c r="O152" s="1">
        <v>0.95595799168830853</v>
      </c>
      <c r="P152" s="1">
        <v>0.95577122931416014</v>
      </c>
      <c r="Q152">
        <f t="shared" si="12"/>
        <v>1.8676237414838592E-4</v>
      </c>
      <c r="R152" s="11">
        <v>11.66666666666668</v>
      </c>
      <c r="S152" s="1">
        <v>8.3189025140724321E-2</v>
      </c>
      <c r="T152" s="1">
        <v>8.3607737055839099E-2</v>
      </c>
      <c r="U152">
        <f t="shared" si="13"/>
        <v>-4.1871191511477779E-4</v>
      </c>
      <c r="W152" s="1">
        <v>9.0230072783269333E-2</v>
      </c>
      <c r="X152" s="1">
        <v>9.0685065491981159E-2</v>
      </c>
      <c r="Y152" s="12">
        <f t="shared" si="14"/>
        <v>-5.0172837858517561E-3</v>
      </c>
    </row>
    <row r="153" spans="11:25" x14ac:dyDescent="0.2">
      <c r="K153" s="1">
        <v>3.8898132773666433E-3</v>
      </c>
      <c r="L153" s="1">
        <v>3.9064409347743531E-3</v>
      </c>
      <c r="M153" s="13">
        <f t="shared" si="11"/>
        <v>-1.6627657407709828E-5</v>
      </c>
      <c r="O153" s="1">
        <v>0.95501382982367322</v>
      </c>
      <c r="P153" s="1">
        <v>0.95482593920276337</v>
      </c>
      <c r="Q153">
        <f t="shared" si="12"/>
        <v>1.8789062090984743E-4</v>
      </c>
      <c r="R153" s="11">
        <v>11.750000000000014</v>
      </c>
      <c r="S153" s="1">
        <v>8.3451185010788118E-2</v>
      </c>
      <c r="T153" s="1">
        <v>8.376923550984712E-2</v>
      </c>
      <c r="U153">
        <f t="shared" si="13"/>
        <v>-3.1805049905900273E-4</v>
      </c>
      <c r="W153" s="1">
        <v>9.0492486426303004E-2</v>
      </c>
      <c r="X153" s="1">
        <v>9.0816525717975133E-2</v>
      </c>
      <c r="Y153" s="12">
        <f t="shared" si="14"/>
        <v>-3.5680652734768614E-3</v>
      </c>
    </row>
    <row r="154" spans="11:25" x14ac:dyDescent="0.2">
      <c r="K154" s="1">
        <v>3.9441595738071303E-3</v>
      </c>
      <c r="L154" s="1">
        <v>3.9608331000153176E-3</v>
      </c>
      <c r="M154" s="13">
        <f t="shared" si="11"/>
        <v>-1.6673526208187302E-5</v>
      </c>
      <c r="O154" s="1">
        <v>0.95408621936834315</v>
      </c>
      <c r="P154" s="1">
        <v>0.95389666808633922</v>
      </c>
      <c r="Q154">
        <f t="shared" si="12"/>
        <v>1.8955128200393023E-4</v>
      </c>
      <c r="R154" s="11">
        <v>11.833333333333348</v>
      </c>
      <c r="S154" s="1">
        <v>8.3753266805844412E-2</v>
      </c>
      <c r="T154" s="1">
        <v>8.4090734712955625E-2</v>
      </c>
      <c r="U154">
        <f t="shared" si="13"/>
        <v>-3.3746790711121355E-4</v>
      </c>
      <c r="W154" s="1">
        <v>9.081636294971536E-2</v>
      </c>
      <c r="X154" s="1">
        <v>9.1166227247447426E-2</v>
      </c>
      <c r="Y154" s="12">
        <f t="shared" si="14"/>
        <v>-3.8376524760912467E-3</v>
      </c>
    </row>
    <row r="155" spans="11:25" x14ac:dyDescent="0.2">
      <c r="K155" s="1">
        <v>3.9959850371395099E-3</v>
      </c>
      <c r="L155" s="1">
        <v>4.0127595129304024E-3</v>
      </c>
      <c r="M155" s="13">
        <f t="shared" si="11"/>
        <v>-1.6774475790892578E-5</v>
      </c>
      <c r="O155" s="1">
        <v>0.95317970974483701</v>
      </c>
      <c r="P155" s="1">
        <v>0.95298785997497493</v>
      </c>
      <c r="Q155">
        <f t="shared" si="12"/>
        <v>1.9184976986208468E-4</v>
      </c>
      <c r="R155" s="11">
        <v>11.916666666666682</v>
      </c>
      <c r="S155" s="1">
        <v>8.3989976770194111E-2</v>
      </c>
      <c r="T155" s="1">
        <v>8.4449603947671703E-2</v>
      </c>
      <c r="U155">
        <f t="shared" si="13"/>
        <v>-4.596271774775923E-4</v>
      </c>
      <c r="W155" s="1">
        <v>9.1065622774213442E-2</v>
      </c>
      <c r="X155" s="1">
        <v>9.1576426498142141E-2</v>
      </c>
      <c r="Y155" s="12">
        <f t="shared" si="14"/>
        <v>-5.5778953543144105E-3</v>
      </c>
    </row>
    <row r="156" spans="11:25" x14ac:dyDescent="0.2">
      <c r="K156" s="1">
        <v>4.0452162032910766E-3</v>
      </c>
      <c r="L156" s="1">
        <v>4.0620571680713823E-3</v>
      </c>
      <c r="M156" s="13">
        <f t="shared" si="11"/>
        <v>-1.684096478030573E-5</v>
      </c>
      <c r="O156" s="1">
        <v>0.95229568798809594</v>
      </c>
      <c r="P156" s="1">
        <v>0.95210192030159413</v>
      </c>
      <c r="Q156">
        <f t="shared" si="12"/>
        <v>1.937676865018112E-4</v>
      </c>
      <c r="R156" s="11">
        <v>12.000000000000016</v>
      </c>
      <c r="S156" s="1">
        <v>8.4270493452426182E-2</v>
      </c>
      <c r="T156" s="1">
        <v>8.4748528515955754E-2</v>
      </c>
      <c r="U156">
        <f t="shared" si="13"/>
        <v>-4.7803506352957215E-4</v>
      </c>
      <c r="W156" s="1">
        <v>9.138440981271316E-2</v>
      </c>
      <c r="X156" s="1">
        <v>9.1920172497877053E-2</v>
      </c>
      <c r="Y156" s="12">
        <f t="shared" si="14"/>
        <v>-5.8285648362579323E-3</v>
      </c>
    </row>
    <row r="157" spans="11:25" x14ac:dyDescent="0.2">
      <c r="K157" s="1">
        <v>4.0919030491980753E-3</v>
      </c>
      <c r="L157" s="1">
        <v>4.1089064453488739E-3</v>
      </c>
      <c r="M157" s="13">
        <f t="shared" si="11"/>
        <v>-1.7003396150798607E-5</v>
      </c>
      <c r="O157" s="1">
        <v>0.95143413166104196</v>
      </c>
      <c r="P157" s="1">
        <v>0.95123732441295983</v>
      </c>
      <c r="Q157">
        <f t="shared" si="12"/>
        <v>1.9680724808213146E-4</v>
      </c>
      <c r="R157" s="11">
        <v>12.08333333333335</v>
      </c>
      <c r="S157" s="1">
        <v>8.4569880783650506E-2</v>
      </c>
      <c r="T157" s="1">
        <v>8.5063441043541604E-2</v>
      </c>
      <c r="U157">
        <f t="shared" si="13"/>
        <v>-4.9356025989109875E-4</v>
      </c>
      <c r="W157" s="1">
        <v>9.1740100459961976E-2</v>
      </c>
      <c r="X157" s="1">
        <v>9.2296570004948217E-2</v>
      </c>
      <c r="Y157" s="12">
        <f t="shared" si="14"/>
        <v>-6.0291465322753757E-3</v>
      </c>
    </row>
    <row r="158" spans="11:25" x14ac:dyDescent="0.2">
      <c r="K158" s="1">
        <v>4.13639385076161E-3</v>
      </c>
      <c r="L158" s="1">
        <v>4.1535018678264509E-3</v>
      </c>
      <c r="M158" s="13">
        <f t="shared" si="11"/>
        <v>-1.7108017064840914E-5</v>
      </c>
      <c r="O158" s="1">
        <v>0.95059153031568855</v>
      </c>
      <c r="P158" s="1">
        <v>0.95039233267216372</v>
      </c>
      <c r="Q158">
        <f t="shared" si="12"/>
        <v>1.9919764352482883E-4</v>
      </c>
      <c r="R158" s="11">
        <v>12.166666666666684</v>
      </c>
      <c r="S158" s="1">
        <v>8.4960438675786287E-2</v>
      </c>
      <c r="T158" s="1">
        <v>8.5336652174006725E-2</v>
      </c>
      <c r="U158">
        <f t="shared" si="13"/>
        <v>-3.7621349822043737E-4</v>
      </c>
      <c r="W158" s="1">
        <v>9.2227063698566078E-2</v>
      </c>
      <c r="X158" s="1">
        <v>9.2628349012350217E-2</v>
      </c>
      <c r="Y158" s="12">
        <f t="shared" si="14"/>
        <v>-4.3322084228299973E-3</v>
      </c>
    </row>
    <row r="159" spans="11:25" x14ac:dyDescent="0.2">
      <c r="K159" s="1">
        <v>4.1789118964470368E-3</v>
      </c>
      <c r="L159" s="1">
        <v>4.1962063301948108E-3</v>
      </c>
      <c r="M159" s="13">
        <f t="shared" si="11"/>
        <v>-1.7294433747773973E-5</v>
      </c>
      <c r="O159" s="1">
        <v>0.9497657408357032</v>
      </c>
      <c r="P159" s="1">
        <v>0.9495631792910626</v>
      </c>
      <c r="Q159">
        <f t="shared" si="12"/>
        <v>2.0256154464060039E-4</v>
      </c>
      <c r="R159" s="11">
        <v>12.250000000000018</v>
      </c>
      <c r="S159" s="1">
        <v>8.5176414088711419E-2</v>
      </c>
      <c r="T159" s="1">
        <v>8.5658128668894745E-2</v>
      </c>
      <c r="U159">
        <f t="shared" si="13"/>
        <v>-4.8171458018332614E-4</v>
      </c>
      <c r="W159" s="1">
        <v>9.249159016852973E-2</v>
      </c>
      <c r="X159" s="1">
        <v>9.3032875109576543E-2</v>
      </c>
      <c r="Y159" s="12">
        <f t="shared" si="14"/>
        <v>-5.8182114699698584E-3</v>
      </c>
    </row>
    <row r="160" spans="11:25" x14ac:dyDescent="0.2">
      <c r="K160" s="1">
        <v>4.2197546020994216E-3</v>
      </c>
      <c r="L160" s="1">
        <v>4.2372795835794678E-3</v>
      </c>
      <c r="M160" s="13">
        <f t="shared" si="11"/>
        <v>-1.7524981480046206E-5</v>
      </c>
      <c r="O160" s="1">
        <v>0.94895368429585469</v>
      </c>
      <c r="P160" s="1">
        <v>0.94874721268050055</v>
      </c>
      <c r="Q160">
        <f t="shared" si="12"/>
        <v>2.0647161535414238E-4</v>
      </c>
      <c r="R160" s="11">
        <v>12.333333333333352</v>
      </c>
      <c r="S160" s="1">
        <v>8.5624225241966834E-2</v>
      </c>
      <c r="T160" s="1">
        <v>8.5873581883635239E-2</v>
      </c>
      <c r="U160">
        <f t="shared" si="13"/>
        <v>-2.493566416684051E-4</v>
      </c>
      <c r="W160" s="1">
        <v>9.3072421711762582E-2</v>
      </c>
      <c r="X160" s="1">
        <v>9.3303576157677259E-2</v>
      </c>
      <c r="Y160" s="12">
        <f t="shared" si="14"/>
        <v>-2.4774446536115491E-3</v>
      </c>
    </row>
    <row r="161" spans="11:25" x14ac:dyDescent="0.2">
      <c r="K161" s="1">
        <v>4.2591502074333671E-3</v>
      </c>
      <c r="L161" s="1">
        <v>4.2769859679538972E-3</v>
      </c>
      <c r="M161" s="13">
        <f t="shared" si="11"/>
        <v>-1.7835760520530132E-5</v>
      </c>
      <c r="O161" s="1">
        <v>0.94815301872743274</v>
      </c>
      <c r="P161" s="1">
        <v>0.94794165441259337</v>
      </c>
      <c r="Q161">
        <f t="shared" si="12"/>
        <v>2.1136431483936846E-4</v>
      </c>
      <c r="R161" s="11">
        <v>12.416666666666686</v>
      </c>
      <c r="S161" s="1">
        <v>8.5791514192569474E-2</v>
      </c>
      <c r="T161" s="1">
        <v>8.6250624110924712E-2</v>
      </c>
      <c r="U161">
        <f t="shared" si="13"/>
        <v>-4.5910991835523829E-4</v>
      </c>
      <c r="W161" s="1">
        <v>9.3285689362902144E-2</v>
      </c>
      <c r="X161" s="1">
        <v>9.3795730350742915E-2</v>
      </c>
      <c r="Y161" s="12">
        <f t="shared" si="14"/>
        <v>-5.4377847044156935E-3</v>
      </c>
    </row>
    <row r="162" spans="11:25" x14ac:dyDescent="0.2">
      <c r="K162" s="1">
        <v>4.2974601423697995E-3</v>
      </c>
      <c r="L162" s="1">
        <v>4.3155714834338041E-3</v>
      </c>
      <c r="M162" s="13">
        <f t="shared" si="11"/>
        <v>-1.8111341064004638E-5</v>
      </c>
      <c r="O162" s="1">
        <v>0.94735975059852973</v>
      </c>
      <c r="P162" s="1">
        <v>0.94714387092501839</v>
      </c>
      <c r="Q162">
        <f t="shared" si="12"/>
        <v>2.1587967351133219E-4</v>
      </c>
      <c r="R162" s="11">
        <v>12.50000000000002</v>
      </c>
      <c r="S162" s="1">
        <v>8.606987748197574E-2</v>
      </c>
      <c r="T162" s="1">
        <v>8.6667439089844242E-2</v>
      </c>
      <c r="U162">
        <f t="shared" si="13"/>
        <v>-5.9756160786850199E-4</v>
      </c>
      <c r="W162" s="1">
        <v>9.3651478628082055E-2</v>
      </c>
      <c r="X162" s="1">
        <v>9.4346399347384133E-2</v>
      </c>
      <c r="Y162" s="12">
        <f t="shared" si="14"/>
        <v>-7.3656305286582402E-3</v>
      </c>
    </row>
    <row r="163" spans="11:25" x14ac:dyDescent="0.2">
      <c r="K163" s="1">
        <v>4.3350112507605015E-3</v>
      </c>
      <c r="L163" s="1">
        <v>4.3533779174402066E-3</v>
      </c>
      <c r="M163" s="13">
        <f t="shared" si="11"/>
        <v>-1.836666667970506E-5</v>
      </c>
      <c r="O163" s="1">
        <v>0.94657020055479801</v>
      </c>
      <c r="P163" s="1">
        <v>0.9463500118700362</v>
      </c>
      <c r="Q163">
        <f t="shared" si="12"/>
        <v>2.2018868476181286E-4</v>
      </c>
      <c r="R163" s="11">
        <v>12.583333333333353</v>
      </c>
      <c r="S163" s="1">
        <v>8.6392856372513732E-2</v>
      </c>
      <c r="T163" s="1">
        <v>8.6878552843223739E-2</v>
      </c>
      <c r="U163">
        <f t="shared" si="13"/>
        <v>-4.8569647071000643E-4</v>
      </c>
      <c r="W163" s="1">
        <v>9.4079781810727528E-2</v>
      </c>
      <c r="X163" s="1">
        <v>9.4624322320062043E-2</v>
      </c>
      <c r="Y163" s="12">
        <f t="shared" si="14"/>
        <v>-5.7547625809423186E-3</v>
      </c>
    </row>
    <row r="164" spans="11:25" x14ac:dyDescent="0.2">
      <c r="K164" s="1">
        <v>4.3721322576921609E-3</v>
      </c>
      <c r="L164" s="1">
        <v>4.3907068700054378E-3</v>
      </c>
      <c r="M164" s="13">
        <f t="shared" si="11"/>
        <v>-1.8574612313276839E-5</v>
      </c>
      <c r="O164" s="1">
        <v>0.94578057581946562</v>
      </c>
      <c r="P164" s="1">
        <v>0.9455566166192293</v>
      </c>
      <c r="Q164">
        <f t="shared" si="12"/>
        <v>2.2395920023632332E-4</v>
      </c>
      <c r="R164" s="11">
        <v>12.666666666666687</v>
      </c>
      <c r="S164" s="1">
        <v>8.6610803650548962E-2</v>
      </c>
      <c r="T164" s="1">
        <v>8.7114424346792951E-2</v>
      </c>
      <c r="U164">
        <f t="shared" si="13"/>
        <v>-5.0362069624398931E-4</v>
      </c>
      <c r="W164" s="1">
        <v>9.4367617049278416E-2</v>
      </c>
      <c r="X164" s="1">
        <v>9.4936096641353038E-2</v>
      </c>
      <c r="Y164" s="12">
        <f t="shared" si="14"/>
        <v>-5.9880236515538199E-3</v>
      </c>
    </row>
    <row r="165" spans="11:25" x14ac:dyDescent="0.2">
      <c r="K165" s="1">
        <v>4.4090213352634012E-3</v>
      </c>
      <c r="L165" s="1">
        <v>4.4278600506996533E-3</v>
      </c>
      <c r="M165" s="13">
        <f t="shared" si="11"/>
        <v>-1.8838715436252096E-5</v>
      </c>
      <c r="O165" s="1">
        <v>0.94498857598217822</v>
      </c>
      <c r="P165" s="1">
        <v>0.94476013983751106</v>
      </c>
      <c r="Q165">
        <f t="shared" si="12"/>
        <v>2.2843614466716566E-4</v>
      </c>
      <c r="R165" s="11">
        <v>12.750000000000021</v>
      </c>
      <c r="S165" s="1">
        <v>8.6841441764370045E-2</v>
      </c>
      <c r="T165" s="1">
        <v>8.7339135955229491E-2</v>
      </c>
      <c r="U165">
        <f t="shared" si="13"/>
        <v>-4.9769419085944622E-4</v>
      </c>
      <c r="W165" s="1">
        <v>9.4671759723925192E-2</v>
      </c>
      <c r="X165" s="1">
        <v>9.5231739954244707E-2</v>
      </c>
      <c r="Y165" s="12">
        <f t="shared" si="14"/>
        <v>-5.8801848059120143E-3</v>
      </c>
    </row>
    <row r="166" spans="11:25" x14ac:dyDescent="0.2">
      <c r="K166" s="1">
        <v>4.4458913784335696E-3</v>
      </c>
      <c r="L166" s="1">
        <v>4.4650555023516732E-3</v>
      </c>
      <c r="M166" s="13">
        <f t="shared" si="11"/>
        <v>-1.9164123918103543E-5</v>
      </c>
      <c r="O166" s="1">
        <v>0.94419166643175634</v>
      </c>
      <c r="P166" s="1">
        <v>0.94395797336131204</v>
      </c>
      <c r="Q166">
        <f t="shared" si="12"/>
        <v>2.3369307044429632E-4</v>
      </c>
      <c r="R166" s="11">
        <v>12.833333333333355</v>
      </c>
      <c r="S166" s="1">
        <v>8.7131721108499371E-2</v>
      </c>
      <c r="T166" s="1">
        <v>8.7532159353391578E-2</v>
      </c>
      <c r="U166">
        <f t="shared" si="13"/>
        <v>-4.004382448922067E-4</v>
      </c>
      <c r="W166" s="1">
        <v>9.5054627235671346E-2</v>
      </c>
      <c r="X166" s="1">
        <v>9.5482090468252415E-2</v>
      </c>
      <c r="Y166" s="12">
        <f t="shared" si="14"/>
        <v>-4.4768943629611702E-3</v>
      </c>
    </row>
    <row r="167" spans="11:25" x14ac:dyDescent="0.2">
      <c r="K167" s="1">
        <v>4.4831552569468821E-3</v>
      </c>
      <c r="L167" s="1">
        <v>4.5026411608158571E-3</v>
      </c>
      <c r="M167" s="13">
        <f t="shared" si="11"/>
        <v>-1.9485903868974967E-5</v>
      </c>
      <c r="O167" s="1">
        <v>0.94338480175188177</v>
      </c>
      <c r="P167" s="1">
        <v>0.94314585684527408</v>
      </c>
      <c r="Q167">
        <f t="shared" si="12"/>
        <v>2.3894490660769652E-4</v>
      </c>
      <c r="R167" s="11">
        <v>12.916666666666689</v>
      </c>
      <c r="S167" s="1">
        <v>8.7469667255845651E-2</v>
      </c>
      <c r="T167" s="1">
        <v>8.7769820342760721E-2</v>
      </c>
      <c r="U167">
        <f t="shared" si="13"/>
        <v>-3.0015308691506981E-4</v>
      </c>
      <c r="W167" s="1">
        <v>9.5498077570081719E-2</v>
      </c>
      <c r="X167" s="1">
        <v>9.5788271813299478E-2</v>
      </c>
      <c r="Y167" s="12">
        <f t="shared" si="14"/>
        <v>-3.0295383529141962E-3</v>
      </c>
    </row>
    <row r="168" spans="11:25" x14ac:dyDescent="0.2">
      <c r="K168" s="1">
        <v>4.5209796743446284E-3</v>
      </c>
      <c r="L168" s="1">
        <v>4.5407800668968105E-3</v>
      </c>
      <c r="M168" s="13">
        <f t="shared" si="11"/>
        <v>-1.9800392552182106E-5</v>
      </c>
      <c r="O168" s="1">
        <v>0.94256586004200393</v>
      </c>
      <c r="P168" s="1">
        <v>0.94232171513990526</v>
      </c>
      <c r="Q168">
        <f t="shared" si="12"/>
        <v>2.4414490209867523E-4</v>
      </c>
      <c r="R168" s="11">
        <v>13.000000000000023</v>
      </c>
      <c r="S168" s="1">
        <v>8.7635497569535398E-2</v>
      </c>
      <c r="T168" s="1">
        <v>8.7994339738607902E-2</v>
      </c>
      <c r="U168">
        <f t="shared" si="13"/>
        <v>-3.588421690725041E-4</v>
      </c>
      <c r="W168" s="1">
        <v>9.5702700139816479E-2</v>
      </c>
      <c r="X168" s="1">
        <v>9.6071157502627624E-2</v>
      </c>
      <c r="Y168" s="12">
        <f t="shared" si="14"/>
        <v>-3.8352547464733933E-3</v>
      </c>
    </row>
    <row r="169" spans="11:25" x14ac:dyDescent="0.2">
      <c r="K169" s="1">
        <v>4.5593793785048782E-3</v>
      </c>
      <c r="L169" s="1">
        <v>4.5795278834950201E-3</v>
      </c>
      <c r="M169" s="13">
        <f t="shared" si="11"/>
        <v>-2.0148504990141931E-5</v>
      </c>
      <c r="O169" s="1">
        <v>0.941734559124215</v>
      </c>
      <c r="P169" s="1">
        <v>0.94148476077107246</v>
      </c>
      <c r="Q169">
        <f t="shared" si="12"/>
        <v>2.4979835314253851E-4</v>
      </c>
      <c r="R169" s="11">
        <v>13.083333333333357</v>
      </c>
      <c r="S169" s="1">
        <v>8.7873153591939354E-2</v>
      </c>
      <c r="T169" s="1">
        <v>8.8191780156128913E-2</v>
      </c>
      <c r="U169">
        <f t="shared" si="13"/>
        <v>-3.1862656418955859E-4</v>
      </c>
      <c r="W169" s="1">
        <v>9.5999170634347666E-2</v>
      </c>
      <c r="X169" s="1">
        <v>9.6311257922214955E-2</v>
      </c>
      <c r="Y169" s="12">
        <f t="shared" si="14"/>
        <v>-3.2404029871496709E-3</v>
      </c>
    </row>
    <row r="170" spans="11:25" x14ac:dyDescent="0.2">
      <c r="K170" s="1">
        <v>4.5982854988415736E-3</v>
      </c>
      <c r="L170" s="1">
        <v>4.6188483400411238E-3</v>
      </c>
      <c r="M170" s="13">
        <f t="shared" si="11"/>
        <v>-2.0562841199550132E-5</v>
      </c>
      <c r="O170" s="1">
        <v>0.94089165623907489</v>
      </c>
      <c r="P170" s="1">
        <v>0.94063533803288779</v>
      </c>
      <c r="Q170">
        <f t="shared" si="12"/>
        <v>2.5631820618710055E-4</v>
      </c>
      <c r="R170" s="11">
        <v>13.166666666666691</v>
      </c>
      <c r="S170" s="1">
        <v>8.8287804221511945E-2</v>
      </c>
      <c r="T170" s="1">
        <v>8.8508718352557275E-2</v>
      </c>
      <c r="U170">
        <f t="shared" si="13"/>
        <v>-2.2091413104532998E-4</v>
      </c>
      <c r="W170" s="1">
        <v>9.6532165205076362E-2</v>
      </c>
      <c r="X170" s="1">
        <v>9.6708635471949814E-2</v>
      </c>
      <c r="Y170" s="12">
        <f t="shared" si="14"/>
        <v>-1.8247622460213497E-3</v>
      </c>
    </row>
    <row r="171" spans="11:25" x14ac:dyDescent="0.2">
      <c r="K171" s="1">
        <v>4.6377189925014568E-3</v>
      </c>
      <c r="L171" s="1">
        <v>4.658687572132481E-3</v>
      </c>
      <c r="M171" s="13">
        <f t="shared" si="11"/>
        <v>-2.0968579631024283E-5</v>
      </c>
      <c r="O171" s="1">
        <v>0.94003680217605745</v>
      </c>
      <c r="P171" s="1">
        <v>0.93977402242465646</v>
      </c>
      <c r="Q171">
        <f t="shared" si="12"/>
        <v>2.6277975140098775E-4</v>
      </c>
      <c r="R171" s="11">
        <v>13.250000000000025</v>
      </c>
      <c r="S171" s="1">
        <v>8.8559503375012741E-2</v>
      </c>
      <c r="T171" s="1">
        <v>8.8803939108350022E-2</v>
      </c>
      <c r="U171">
        <f t="shared" si="13"/>
        <v>-2.4443573333728097E-4</v>
      </c>
      <c r="W171" s="1">
        <v>9.6865185306552207E-2</v>
      </c>
      <c r="X171" s="1">
        <v>9.7071419299871384E-2</v>
      </c>
      <c r="Y171" s="12">
        <f t="shared" si="14"/>
        <v>-2.1245593688300479E-3</v>
      </c>
    </row>
    <row r="172" spans="11:25" x14ac:dyDescent="0.2">
      <c r="K172" s="1">
        <v>4.6777169590511303E-3</v>
      </c>
      <c r="L172" s="1">
        <v>4.6991143758850487E-3</v>
      </c>
      <c r="M172" s="13">
        <f t="shared" si="11"/>
        <v>-2.1397416833918333E-5</v>
      </c>
      <c r="O172" s="1">
        <v>0.93916943959388377</v>
      </c>
      <c r="P172" s="1">
        <v>0.93889985964182543</v>
      </c>
      <c r="Q172">
        <f t="shared" si="12"/>
        <v>2.6957995205834084E-4</v>
      </c>
      <c r="R172" s="11">
        <v>13.333333333333359</v>
      </c>
      <c r="S172" s="1">
        <v>8.8821702380503215E-2</v>
      </c>
      <c r="T172" s="1">
        <v>8.8976286548131292E-2</v>
      </c>
      <c r="U172">
        <f t="shared" si="13"/>
        <v>-1.5458416762807736E-4</v>
      </c>
      <c r="W172" s="1">
        <v>9.7179727389033646E-2</v>
      </c>
      <c r="X172" s="1">
        <v>9.7260223192251971E-2</v>
      </c>
      <c r="Y172" s="12">
        <f t="shared" si="14"/>
        <v>-8.2763333844315667E-4</v>
      </c>
    </row>
    <row r="173" spans="11:25" x14ac:dyDescent="0.2">
      <c r="K173" s="1">
        <v>4.7182305436024481E-3</v>
      </c>
      <c r="L173" s="1">
        <v>4.7400511132296959E-3</v>
      </c>
      <c r="M173" s="13">
        <f t="shared" si="11"/>
        <v>-2.18205696272478E-5</v>
      </c>
      <c r="O173" s="1">
        <v>0.93829009099208216</v>
      </c>
      <c r="P173" s="1">
        <v>0.93801373237109853</v>
      </c>
      <c r="Q173">
        <f t="shared" si="12"/>
        <v>2.7635862098362995E-4</v>
      </c>
      <c r="R173" s="11">
        <v>13.416666666666693</v>
      </c>
      <c r="S173" s="1">
        <v>8.9107948343225052E-2</v>
      </c>
      <c r="T173" s="1">
        <v>8.9231715580853813E-2</v>
      </c>
      <c r="U173">
        <f t="shared" si="13"/>
        <v>-1.2376723762876074E-4</v>
      </c>
      <c r="W173" s="1">
        <v>9.7522080517865248E-2</v>
      </c>
      <c r="X173" s="1">
        <v>9.7557440122647637E-2</v>
      </c>
      <c r="Y173" s="12">
        <f t="shared" si="14"/>
        <v>-3.6244908371863005E-4</v>
      </c>
    </row>
    <row r="174" spans="11:25" x14ac:dyDescent="0.2">
      <c r="K174" s="1">
        <v>4.7592787113818246E-3</v>
      </c>
      <c r="L174" s="1">
        <v>4.7814938830251169E-3</v>
      </c>
      <c r="M174" s="13">
        <f t="shared" si="11"/>
        <v>-2.221517164329237E-5</v>
      </c>
      <c r="O174" s="1">
        <v>0.93739842922881567</v>
      </c>
      <c r="P174" s="1">
        <v>0.93711560622594514</v>
      </c>
      <c r="Q174">
        <f t="shared" si="12"/>
        <v>2.8282300287052475E-4</v>
      </c>
      <c r="R174" s="11">
        <v>13.500000000000027</v>
      </c>
      <c r="S174" s="1">
        <v>8.9388124948345318E-2</v>
      </c>
      <c r="T174" s="1">
        <v>8.9469435515719772E-2</v>
      </c>
      <c r="U174">
        <f t="shared" si="13"/>
        <v>-8.1310567374454079E-5</v>
      </c>
      <c r="W174" s="1">
        <v>9.7850807547509619E-2</v>
      </c>
      <c r="X174" s="1">
        <v>9.7824978382556702E-2</v>
      </c>
      <c r="Y174" s="12">
        <f t="shared" si="14"/>
        <v>2.6403445602518616E-4</v>
      </c>
    </row>
    <row r="175" spans="11:25" x14ac:dyDescent="0.2">
      <c r="K175" s="1">
        <v>4.8009370628732942E-3</v>
      </c>
      <c r="L175" s="1">
        <v>4.8234687747448039E-3</v>
      </c>
      <c r="M175" s="13">
        <f t="shared" si="11"/>
        <v>-2.253171187150977E-5</v>
      </c>
      <c r="O175" s="1">
        <v>0.93649339823400246</v>
      </c>
      <c r="P175" s="1">
        <v>0.93620506503793699</v>
      </c>
      <c r="Q175">
        <f t="shared" si="12"/>
        <v>2.8833319606547114E-4</v>
      </c>
      <c r="R175" s="11">
        <v>13.583333333333361</v>
      </c>
      <c r="S175" s="1">
        <v>8.96495989315685E-2</v>
      </c>
      <c r="T175" s="1">
        <v>8.9681873254588082E-2</v>
      </c>
      <c r="U175">
        <f t="shared" si="13"/>
        <v>-3.2274323019582107E-5</v>
      </c>
      <c r="W175" s="1">
        <v>9.8147901274930338E-2</v>
      </c>
      <c r="X175" s="1">
        <v>9.8052036304443105E-2</v>
      </c>
      <c r="Y175" s="12">
        <f t="shared" si="14"/>
        <v>9.7769484551624153E-4</v>
      </c>
    </row>
    <row r="176" spans="11:25" x14ac:dyDescent="0.2">
      <c r="K176" s="1">
        <v>4.8431361804580995E-3</v>
      </c>
      <c r="L176" s="1">
        <v>4.8659474177761772E-3</v>
      </c>
      <c r="M176" s="13">
        <f t="shared" si="11"/>
        <v>-2.2811237318077701E-5</v>
      </c>
      <c r="O176" s="1">
        <v>0.93557578866076019</v>
      </c>
      <c r="P176" s="1">
        <v>0.93528238710804357</v>
      </c>
      <c r="Q176">
        <f t="shared" si="12"/>
        <v>2.9340155271662116E-4</v>
      </c>
      <c r="R176" s="11">
        <v>13.666666666666694</v>
      </c>
      <c r="S176" s="1">
        <v>8.9935912888288116E-2</v>
      </c>
      <c r="T176" s="1">
        <v>8.9963265936820275E-2</v>
      </c>
      <c r="U176">
        <f t="shared" si="13"/>
        <v>-2.7353048532158253E-5</v>
      </c>
      <c r="W176" s="1">
        <v>9.8473820407088311E-2</v>
      </c>
      <c r="X176" s="1">
        <v>9.8368852504322993E-2</v>
      </c>
      <c r="Y176" s="12">
        <f t="shared" si="14"/>
        <v>1.067084753893166E-3</v>
      </c>
    </row>
    <row r="177" spans="11:25" x14ac:dyDescent="0.2">
      <c r="K177" s="1">
        <v>4.8857156817404945E-3</v>
      </c>
      <c r="L177" s="1">
        <v>4.9090311667585058E-3</v>
      </c>
      <c r="M177" s="13">
        <f t="shared" si="11"/>
        <v>-2.3315485018011312E-5</v>
      </c>
      <c r="O177" s="1">
        <v>0.93464758648108304</v>
      </c>
      <c r="P177" s="1">
        <v>0.93434618238486333</v>
      </c>
      <c r="Q177">
        <f t="shared" si="12"/>
        <v>3.0140409621970399E-4</v>
      </c>
      <c r="R177" s="11">
        <v>13.750000000000028</v>
      </c>
      <c r="S177" s="1">
        <v>9.021624134128968E-2</v>
      </c>
      <c r="T177" s="1">
        <v>9.0278006017878623E-2</v>
      </c>
      <c r="U177">
        <f t="shared" si="13"/>
        <v>-6.1764676588943468E-5</v>
      </c>
      <c r="W177" s="1">
        <v>9.8787014901077039E-2</v>
      </c>
      <c r="X177" s="1">
        <v>9.872599398146735E-2</v>
      </c>
      <c r="Y177" s="12">
        <f t="shared" si="14"/>
        <v>6.1808361859738703E-4</v>
      </c>
    </row>
    <row r="178" spans="11:25" x14ac:dyDescent="0.2">
      <c r="K178" s="1">
        <v>4.9286814481251063E-3</v>
      </c>
      <c r="L178" s="1">
        <v>4.9526150215219557E-3</v>
      </c>
      <c r="M178" s="13">
        <f t="shared" si="11"/>
        <v>-2.3933573396849386E-5</v>
      </c>
      <c r="O178" s="1">
        <v>0.93370865980188633</v>
      </c>
      <c r="P178" s="1">
        <v>0.93339771605100286</v>
      </c>
      <c r="Q178">
        <f t="shared" si="12"/>
        <v>3.1094375088347448E-4</v>
      </c>
      <c r="R178" s="11">
        <v>13.833333333333362</v>
      </c>
      <c r="S178" s="1">
        <v>9.0396092316707116E-2</v>
      </c>
      <c r="T178" s="1">
        <v>9.0609832174017982E-2</v>
      </c>
      <c r="U178">
        <f t="shared" si="13"/>
        <v>-2.1373985731086564E-4</v>
      </c>
      <c r="W178" s="1">
        <v>9.8956141514204052E-2</v>
      </c>
      <c r="X178" s="1">
        <v>9.91017737190239E-2</v>
      </c>
      <c r="Y178" s="12">
        <f t="shared" si="14"/>
        <v>-1.4695216781159814E-3</v>
      </c>
    </row>
    <row r="179" spans="11:25" x14ac:dyDescent="0.2">
      <c r="K179" s="1">
        <v>4.9721537379579907E-3</v>
      </c>
      <c r="L179" s="1">
        <v>4.9966962678197665E-3</v>
      </c>
      <c r="M179" s="13">
        <f t="shared" si="11"/>
        <v>-2.4542529861775776E-5</v>
      </c>
      <c r="O179" s="1">
        <v>0.93275738232522076</v>
      </c>
      <c r="P179" s="1">
        <v>0.93243694621582962</v>
      </c>
      <c r="Q179">
        <f t="shared" si="12"/>
        <v>3.2043610939114231E-4</v>
      </c>
      <c r="R179" s="11">
        <v>13.916666666666696</v>
      </c>
      <c r="S179" s="1">
        <v>9.0695869533919796E-2</v>
      </c>
      <c r="T179" s="1">
        <v>9.0790224106815934E-2</v>
      </c>
      <c r="U179">
        <f t="shared" si="13"/>
        <v>-9.4354572896138134E-5</v>
      </c>
      <c r="W179" s="1">
        <v>9.9286279825111179E-2</v>
      </c>
      <c r="X179" s="1">
        <v>9.9261898479589494E-2</v>
      </c>
      <c r="Y179" s="12">
        <f t="shared" si="14"/>
        <v>2.4562642761360998E-4</v>
      </c>
    </row>
    <row r="180" spans="11:25" x14ac:dyDescent="0.2">
      <c r="K180" s="1">
        <v>5.0160686696727923E-3</v>
      </c>
      <c r="L180" s="1">
        <v>5.0412899894467407E-3</v>
      </c>
      <c r="M180" s="13">
        <f t="shared" si="11"/>
        <v>-2.522131977394839E-5</v>
      </c>
      <c r="O180" s="1">
        <v>0.9317945140450925</v>
      </c>
      <c r="P180" s="1">
        <v>0.93146359917151222</v>
      </c>
      <c r="Q180">
        <f t="shared" si="12"/>
        <v>3.3091487358027916E-4</v>
      </c>
      <c r="R180" s="11">
        <v>14.00000000000003</v>
      </c>
      <c r="S180" s="1">
        <v>9.0923931043428677E-2</v>
      </c>
      <c r="T180" s="1">
        <v>9.101306690707868E-2</v>
      </c>
      <c r="U180">
        <f t="shared" si="13"/>
        <v>-8.9135863650002811E-5</v>
      </c>
      <c r="W180" s="1">
        <v>9.9511595071886824E-2</v>
      </c>
      <c r="X180" s="1">
        <v>9.9475230108517235E-2</v>
      </c>
      <c r="Y180" s="12">
        <f t="shared" si="14"/>
        <v>3.6556802462195392E-4</v>
      </c>
    </row>
    <row r="181" spans="11:25" x14ac:dyDescent="0.2">
      <c r="K181" s="1">
        <v>5.0601835024447735E-3</v>
      </c>
      <c r="L181" s="1">
        <v>5.0861678510546564E-3</v>
      </c>
      <c r="M181" s="13">
        <f t="shared" si="11"/>
        <v>-2.5984348609882878E-5</v>
      </c>
      <c r="O181" s="1">
        <v>0.93082319080108622</v>
      </c>
      <c r="P181" s="1">
        <v>0.93048060704046132</v>
      </c>
      <c r="Q181">
        <f t="shared" si="12"/>
        <v>3.4258376062490381E-4</v>
      </c>
      <c r="R181" s="11">
        <v>14.083333333333364</v>
      </c>
      <c r="S181" s="1">
        <v>9.1241165924419804E-2</v>
      </c>
      <c r="T181" s="1">
        <v>9.1311829107173684E-2</v>
      </c>
      <c r="U181">
        <f t="shared" si="13"/>
        <v>-7.0663182753880061E-5</v>
      </c>
      <c r="W181" s="1">
        <v>9.985776117129333E-2</v>
      </c>
      <c r="X181" s="1">
        <v>9.9790260189688867E-2</v>
      </c>
      <c r="Y181" s="12">
        <f t="shared" si="14"/>
        <v>6.7642855601479646E-4</v>
      </c>
    </row>
    <row r="182" spans="11:25" x14ac:dyDescent="0.2">
      <c r="K182" s="1">
        <v>5.1043190259832992E-3</v>
      </c>
      <c r="L182" s="1">
        <v>5.1309993242956804E-3</v>
      </c>
      <c r="M182" s="13">
        <f t="shared" si="11"/>
        <v>-2.6680298312381154E-5</v>
      </c>
      <c r="O182" s="1">
        <v>0.92984576923474638</v>
      </c>
      <c r="P182" s="1">
        <v>0.92949231441401481</v>
      </c>
      <c r="Q182">
        <f t="shared" si="12"/>
        <v>3.5345482073156909E-4</v>
      </c>
      <c r="R182" s="11">
        <v>14.166666666666698</v>
      </c>
      <c r="S182" s="1">
        <v>9.1522242417644978E-2</v>
      </c>
      <c r="T182" s="1">
        <v>9.1601437049816312E-2</v>
      </c>
      <c r="U182">
        <f t="shared" si="13"/>
        <v>-7.9194632171333823E-5</v>
      </c>
      <c r="W182" s="1">
        <v>0.10015123567512937</v>
      </c>
      <c r="X182" s="1">
        <v>0.10009068564232994</v>
      </c>
      <c r="Y182" s="12">
        <f t="shared" si="14"/>
        <v>6.0495172363794758E-4</v>
      </c>
    </row>
    <row r="183" spans="11:25" x14ac:dyDescent="0.2">
      <c r="K183" s="1">
        <v>5.1481994863125276E-3</v>
      </c>
      <c r="L183" s="1">
        <v>5.1756237275428383E-3</v>
      </c>
      <c r="M183" s="13">
        <f t="shared" si="11"/>
        <v>-2.7424241230310752E-5</v>
      </c>
      <c r="O183" s="1">
        <v>0.92886593719725374</v>
      </c>
      <c r="P183" s="1">
        <v>0.92850088959125843</v>
      </c>
      <c r="Q183">
        <f t="shared" si="12"/>
        <v>3.6504760599531672E-4</v>
      </c>
      <c r="R183" s="11">
        <v>14.250000000000032</v>
      </c>
      <c r="S183" s="1">
        <v>9.1791940743010711E-2</v>
      </c>
      <c r="T183" s="1">
        <v>9.1873916466936628E-2</v>
      </c>
      <c r="U183">
        <f t="shared" si="13"/>
        <v>-8.1975723925917232E-5</v>
      </c>
      <c r="W183" s="1">
        <v>0.10042825775193447</v>
      </c>
      <c r="X183" s="1">
        <v>0.10036630420599932</v>
      </c>
      <c r="Y183" s="12">
        <f t="shared" si="14"/>
        <v>6.1727435741776304E-4</v>
      </c>
    </row>
    <row r="184" spans="11:25" x14ac:dyDescent="0.2">
      <c r="K184" s="1">
        <v>5.1916127651825796E-3</v>
      </c>
      <c r="L184" s="1">
        <v>5.2197386307749234E-3</v>
      </c>
      <c r="M184" s="13">
        <f t="shared" si="11"/>
        <v>-2.8125865592343834E-5</v>
      </c>
      <c r="O184" s="1">
        <v>0.92788660115110577</v>
      </c>
      <c r="P184" s="1">
        <v>0.92751043682068035</v>
      </c>
      <c r="Q184">
        <f t="shared" si="12"/>
        <v>3.7616433042542141E-4</v>
      </c>
      <c r="R184" s="11">
        <v>14.333333333333366</v>
      </c>
      <c r="S184" s="1">
        <v>9.2094504062874144E-2</v>
      </c>
      <c r="T184" s="1">
        <v>9.2154552468450696E-2</v>
      </c>
      <c r="U184">
        <f t="shared" si="13"/>
        <v>-6.0048405576551556E-5</v>
      </c>
      <c r="W184" s="1">
        <v>0.10075227590512852</v>
      </c>
      <c r="X184" s="1">
        <v>0.10065445923168731</v>
      </c>
      <c r="Y184" s="12">
        <f t="shared" si="14"/>
        <v>9.718066560375771E-4</v>
      </c>
    </row>
    <row r="185" spans="11:25" x14ac:dyDescent="0.2">
      <c r="K185" s="1">
        <v>5.2343150583583197E-3</v>
      </c>
      <c r="L185" s="1">
        <v>5.2631939460204679E-3</v>
      </c>
      <c r="M185" s="13">
        <f t="shared" si="11"/>
        <v>-2.8878887662148189E-5</v>
      </c>
      <c r="O185" s="1">
        <v>0.92691114673854957</v>
      </c>
      <c r="P185" s="1">
        <v>0.9265230896307356</v>
      </c>
      <c r="Q185">
        <f t="shared" si="12"/>
        <v>3.8805710781397718E-4</v>
      </c>
      <c r="R185" s="11">
        <v>14.4166666666667</v>
      </c>
      <c r="S185" s="1">
        <v>9.2437324653999342E-2</v>
      </c>
      <c r="T185" s="1">
        <v>9.2370544484092654E-2</v>
      </c>
      <c r="U185">
        <f t="shared" si="13"/>
        <v>6.6780169906688336E-5</v>
      </c>
      <c r="W185" s="1">
        <v>0.10113556913096375</v>
      </c>
      <c r="X185" s="1">
        <v>0.10085385078787086</v>
      </c>
      <c r="Y185" s="12">
        <f t="shared" si="14"/>
        <v>2.7933325390363528E-3</v>
      </c>
    </row>
    <row r="186" spans="11:25" x14ac:dyDescent="0.2">
      <c r="K186" s="1">
        <v>5.2759594505885918E-3</v>
      </c>
      <c r="L186" s="1">
        <v>5.3056656662333404E-3</v>
      </c>
      <c r="M186" s="13">
        <f t="shared" si="11"/>
        <v>-2.9706215644748589E-5</v>
      </c>
      <c r="O186" s="1">
        <v>0.92594441297626195</v>
      </c>
      <c r="P186" s="1">
        <v>0.92554336624645872</v>
      </c>
      <c r="Q186">
        <f t="shared" si="12"/>
        <v>4.0104672980323386E-4</v>
      </c>
      <c r="R186" s="11">
        <v>14.500000000000034</v>
      </c>
      <c r="S186" s="1">
        <v>9.2691533900853398E-2</v>
      </c>
      <c r="T186" s="1">
        <v>9.2726707933830282E-2</v>
      </c>
      <c r="U186">
        <f t="shared" si="13"/>
        <v>-3.517403297688404E-5</v>
      </c>
      <c r="W186" s="1">
        <v>0.101399126963063</v>
      </c>
      <c r="X186" s="1">
        <v>0.10125471443673312</v>
      </c>
      <c r="Y186" s="12">
        <f t="shared" si="14"/>
        <v>1.426230147734131E-3</v>
      </c>
    </row>
    <row r="187" spans="11:25" x14ac:dyDescent="0.2">
      <c r="K187" s="1">
        <v>5.3163068217679703E-3</v>
      </c>
      <c r="L187" s="1">
        <v>5.3469809738005475E-3</v>
      </c>
      <c r="M187" s="13">
        <f t="shared" si="11"/>
        <v>-3.0674152032577132E-5</v>
      </c>
      <c r="O187" s="1">
        <v>0.92498986336637301</v>
      </c>
      <c r="P187" s="1">
        <v>0.92457381552520179</v>
      </c>
      <c r="Q187">
        <f t="shared" si="12"/>
        <v>4.1604784117121874E-4</v>
      </c>
      <c r="R187" s="11">
        <v>14.583333333333368</v>
      </c>
      <c r="S187" s="1">
        <v>9.3086955893255802E-2</v>
      </c>
      <c r="T187" s="1">
        <v>9.3007686568967227E-2</v>
      </c>
      <c r="U187">
        <f t="shared" si="13"/>
        <v>7.9269324288575027E-5</v>
      </c>
      <c r="W187" s="1">
        <v>0.10186845874094773</v>
      </c>
      <c r="X187" s="1">
        <v>0.10155537746544735</v>
      </c>
      <c r="Y187" s="12">
        <f t="shared" si="14"/>
        <v>3.0828626047587626E-3</v>
      </c>
    </row>
    <row r="188" spans="11:25" x14ac:dyDescent="0.2">
      <c r="K188" s="1">
        <v>5.3550958095713612E-3</v>
      </c>
      <c r="L188" s="1">
        <v>5.3869466737688047E-3</v>
      </c>
      <c r="M188" s="13">
        <f t="shared" si="11"/>
        <v>-3.1850864197443575E-5</v>
      </c>
      <c r="O188" s="1">
        <v>0.92405132421929725</v>
      </c>
      <c r="P188" s="1">
        <v>0.92361730663778563</v>
      </c>
      <c r="Q188">
        <f t="shared" si="12"/>
        <v>4.3401758151162539E-4</v>
      </c>
      <c r="R188" s="11">
        <v>14.666666666666702</v>
      </c>
      <c r="S188" s="1">
        <v>9.3341898870012471E-2</v>
      </c>
      <c r="T188" s="1">
        <v>9.3290771604006728E-2</v>
      </c>
      <c r="U188">
        <f t="shared" si="13"/>
        <v>5.1127266005743244E-5</v>
      </c>
      <c r="W188" s="1">
        <v>0.10214798959731287</v>
      </c>
      <c r="X188" s="1">
        <v>0.10186592039493682</v>
      </c>
      <c r="Y188" s="12">
        <f t="shared" si="14"/>
        <v>2.7690242358040518E-3</v>
      </c>
    </row>
    <row r="189" spans="11:25" x14ac:dyDescent="0.2">
      <c r="K189" s="1">
        <v>5.3921929189674955E-3</v>
      </c>
      <c r="L189" s="1">
        <v>5.4251497366573443E-3</v>
      </c>
      <c r="M189" s="13">
        <f t="shared" si="11"/>
        <v>-3.2956817689848775E-5</v>
      </c>
      <c r="O189" s="1">
        <v>0.92313093638838817</v>
      </c>
      <c r="P189" s="1">
        <v>0.92267976538369367</v>
      </c>
      <c r="Q189">
        <f t="shared" si="12"/>
        <v>4.51171004694495E-4</v>
      </c>
      <c r="R189" s="11">
        <v>14.750000000000036</v>
      </c>
      <c r="S189" s="1">
        <v>9.3526713104574444E-2</v>
      </c>
      <c r="T189" s="1">
        <v>9.357338170146319E-2</v>
      </c>
      <c r="U189">
        <f t="shared" si="13"/>
        <v>-4.6668596888746472E-5</v>
      </c>
      <c r="W189" s="1">
        <v>0.10233736153796198</v>
      </c>
      <c r="X189" s="1">
        <v>0.10218554517211313</v>
      </c>
      <c r="Y189" s="12">
        <f t="shared" si="14"/>
        <v>1.4856931632858394E-3</v>
      </c>
    </row>
    <row r="190" spans="11:25" x14ac:dyDescent="0.2">
      <c r="K190" s="1">
        <v>5.4273822025839242E-3</v>
      </c>
      <c r="L190" s="1">
        <v>5.4614385967486408E-3</v>
      </c>
      <c r="M190" s="13">
        <f t="shared" si="11"/>
        <v>-3.4056394164716682E-5</v>
      </c>
      <c r="O190" s="1">
        <v>0.92223200829242447</v>
      </c>
      <c r="P190" s="1">
        <v>0.92176362614635421</v>
      </c>
      <c r="Q190">
        <f t="shared" si="12"/>
        <v>4.6838214607025641E-4</v>
      </c>
      <c r="R190" s="11">
        <v>14.833333333333369</v>
      </c>
      <c r="S190" s="1">
        <v>9.3727606721798806E-2</v>
      </c>
      <c r="T190" s="1">
        <v>9.3962400087628142E-2</v>
      </c>
      <c r="U190">
        <f t="shared" si="13"/>
        <v>-2.3479336582933608E-4</v>
      </c>
      <c r="W190" s="1">
        <v>0.10256000545705572</v>
      </c>
      <c r="X190" s="1">
        <v>0.10266706207907332</v>
      </c>
      <c r="Y190" s="12">
        <f t="shared" si="14"/>
        <v>-1.0427552892781078E-3</v>
      </c>
    </row>
    <row r="191" spans="11:25" x14ac:dyDescent="0.2">
      <c r="K191" s="1">
        <v>5.4603802088607654E-3</v>
      </c>
      <c r="L191" s="1">
        <v>5.4955521187856852E-3</v>
      </c>
      <c r="M191" s="13">
        <f t="shared" si="11"/>
        <v>-3.5171909924919774E-5</v>
      </c>
      <c r="O191" s="1">
        <v>0.92135883585184764</v>
      </c>
      <c r="P191" s="1">
        <v>0.92087287480470914</v>
      </c>
      <c r="Q191">
        <f t="shared" si="12"/>
        <v>4.8596104713849453E-4</v>
      </c>
      <c r="R191" s="11">
        <v>14.916666666666703</v>
      </c>
      <c r="S191" s="1">
        <v>9.4098613665549641E-2</v>
      </c>
      <c r="T191" s="1">
        <v>9.4258374140980136E-2</v>
      </c>
      <c r="U191">
        <f t="shared" si="13"/>
        <v>-1.5976047543049543E-4</v>
      </c>
      <c r="W191" s="1">
        <v>0.10303717602442193</v>
      </c>
      <c r="X191" s="1">
        <v>0.10302967410067315</v>
      </c>
      <c r="Y191" s="12">
        <f t="shared" si="14"/>
        <v>7.2813233801483079E-5</v>
      </c>
    </row>
    <row r="192" spans="11:25" x14ac:dyDescent="0.2">
      <c r="K192" s="1">
        <v>5.4909749445056178E-3</v>
      </c>
      <c r="L192" s="1">
        <v>5.5273920308662704E-3</v>
      </c>
      <c r="M192" s="13">
        <f t="shared" si="11"/>
        <v>-3.641708636065253E-5</v>
      </c>
      <c r="O192" s="1">
        <v>0.92051479521970991</v>
      </c>
      <c r="P192" s="1">
        <v>0.92000930352264676</v>
      </c>
      <c r="Q192">
        <f t="shared" si="12"/>
        <v>5.05491697063154E-4</v>
      </c>
      <c r="R192" s="11">
        <v>15.000000000000037</v>
      </c>
      <c r="S192" s="1">
        <v>9.4332051681420656E-2</v>
      </c>
      <c r="T192" s="1">
        <v>9.456953165874768E-2</v>
      </c>
      <c r="U192">
        <f t="shared" si="13"/>
        <v>-2.3747997732702364E-4</v>
      </c>
      <c r="W192" s="1">
        <v>0.10333339810298039</v>
      </c>
      <c r="X192" s="1">
        <v>0.10342763929148049</v>
      </c>
      <c r="Y192" s="12">
        <f t="shared" si="14"/>
        <v>-9.1117992391287483E-4</v>
      </c>
    </row>
    <row r="193" spans="11:25" x14ac:dyDescent="0.2">
      <c r="K193" s="1">
        <v>5.5194815531920995E-3</v>
      </c>
      <c r="L193" s="1">
        <v>5.5569603092080772E-3</v>
      </c>
      <c r="M193" s="13">
        <f t="shared" si="11"/>
        <v>-3.7478756015977763E-5</v>
      </c>
      <c r="O193" s="1">
        <v>0.91969596453393099</v>
      </c>
      <c r="P193" s="1">
        <v>0.91917333233394038</v>
      </c>
      <c r="Q193">
        <f t="shared" si="12"/>
        <v>5.2263219999060251E-4</v>
      </c>
      <c r="R193" s="11">
        <v>15.083333333333371</v>
      </c>
      <c r="S193" s="1">
        <v>9.4537859200438557E-2</v>
      </c>
      <c r="T193" s="1">
        <v>9.4804869507694248E-2</v>
      </c>
      <c r="U193">
        <f t="shared" si="13"/>
        <v>-2.6701030725569119E-4</v>
      </c>
      <c r="W193" s="1">
        <v>0.1036026232636839</v>
      </c>
      <c r="X193" s="1">
        <v>0.10373142977573238</v>
      </c>
      <c r="Y193" s="12">
        <f t="shared" si="14"/>
        <v>-1.2417308074029743E-3</v>
      </c>
    </row>
    <row r="194" spans="11:25" x14ac:dyDescent="0.2">
      <c r="K194" s="1">
        <v>5.5460582433547413E-3</v>
      </c>
      <c r="L194" s="1">
        <v>5.5846165020398582E-3</v>
      </c>
      <c r="M194" s="13">
        <f t="shared" si="11"/>
        <v>-3.8558258685116899E-5</v>
      </c>
      <c r="O194" s="1">
        <v>0.9189005405560754</v>
      </c>
      <c r="P194" s="1">
        <v>0.91836037351196464</v>
      </c>
      <c r="Q194">
        <f t="shared" si="12"/>
        <v>5.4016704411075089E-4</v>
      </c>
      <c r="R194" s="11">
        <v>15.166666666666705</v>
      </c>
      <c r="S194" s="1">
        <v>9.4738526938031489E-2</v>
      </c>
      <c r="T194" s="1">
        <v>9.5121220948651261E-2</v>
      </c>
      <c r="U194">
        <f t="shared" si="13"/>
        <v>-3.8269401061977182E-4</v>
      </c>
      <c r="W194" s="1">
        <v>0.10387591418179101</v>
      </c>
      <c r="X194" s="1">
        <v>0.10416239404176549</v>
      </c>
      <c r="Y194" s="12">
        <f t="shared" si="14"/>
        <v>-2.7503194661558927E-3</v>
      </c>
    </row>
    <row r="195" spans="11:25" x14ac:dyDescent="0.2">
      <c r="K195" s="1">
        <v>5.5710163719385865E-3</v>
      </c>
      <c r="L195" s="1">
        <v>5.6106518029909996E-3</v>
      </c>
      <c r="M195" s="13">
        <f t="shared" si="11"/>
        <v>-3.9635431052413052E-5</v>
      </c>
      <c r="O195" s="1">
        <v>0.91812452350941098</v>
      </c>
      <c r="P195" s="1">
        <v>0.91756670902476201</v>
      </c>
      <c r="Q195">
        <f t="shared" si="12"/>
        <v>5.5781448464897743E-4</v>
      </c>
      <c r="R195" s="11">
        <v>15.250000000000039</v>
      </c>
      <c r="S195" s="1">
        <v>9.5073734932833914E-2</v>
      </c>
      <c r="T195" s="1">
        <v>9.5360458611932639E-2</v>
      </c>
      <c r="U195">
        <f t="shared" si="13"/>
        <v>-2.8672367909872432E-4</v>
      </c>
      <c r="W195" s="1">
        <v>0.10435143629688248</v>
      </c>
      <c r="X195" s="1">
        <v>0.10449293072101033</v>
      </c>
      <c r="Y195" s="12">
        <f t="shared" si="14"/>
        <v>-1.3541052313446045E-3</v>
      </c>
    </row>
    <row r="196" spans="11:25" x14ac:dyDescent="0.2">
      <c r="K196" s="1">
        <v>5.5945884185058022E-3</v>
      </c>
      <c r="L196" s="1">
        <v>5.6353098321657354E-3</v>
      </c>
      <c r="M196" s="13">
        <f t="shared" si="11"/>
        <v>-4.0721413659933203E-5</v>
      </c>
      <c r="O196" s="1">
        <v>0.9173649486814025</v>
      </c>
      <c r="P196" s="1">
        <v>0.91678921828982696</v>
      </c>
      <c r="Q196">
        <f t="shared" si="12"/>
        <v>5.7573039157554629E-4</v>
      </c>
      <c r="R196" s="11">
        <v>15.333333333333373</v>
      </c>
      <c r="S196" s="1">
        <v>9.5340081794517778E-2</v>
      </c>
      <c r="T196" s="1">
        <v>9.5656613760693801E-2</v>
      </c>
      <c r="U196">
        <f t="shared" si="13"/>
        <v>-3.1653196617602297E-4</v>
      </c>
      <c r="W196" s="1">
        <v>0.10473683543919515</v>
      </c>
      <c r="X196" s="1">
        <v>0.10491320666894462</v>
      </c>
      <c r="Y196" s="12">
        <f t="shared" si="14"/>
        <v>-1.681115613080153E-3</v>
      </c>
    </row>
    <row r="197" spans="11:25" x14ac:dyDescent="0.2">
      <c r="K197" s="1">
        <v>5.6170873623382443E-3</v>
      </c>
      <c r="L197" s="1">
        <v>5.6587493924189847E-3</v>
      </c>
      <c r="M197" s="13">
        <f t="shared" si="11"/>
        <v>-4.1662030080740452E-5</v>
      </c>
      <c r="O197" s="1">
        <v>0.91661764727799111</v>
      </c>
      <c r="P197" s="1">
        <v>0.91602592199934751</v>
      </c>
      <c r="Q197">
        <f t="shared" si="12"/>
        <v>5.9172527864359559E-4</v>
      </c>
      <c r="R197" s="11">
        <v>15.416666666666707</v>
      </c>
      <c r="S197" s="1">
        <v>9.5624092217800091E-2</v>
      </c>
      <c r="T197" s="1">
        <v>9.5938379446628586E-2</v>
      </c>
      <c r="U197">
        <f t="shared" si="13"/>
        <v>-3.1428722882849425E-4</v>
      </c>
      <c r="W197" s="1">
        <v>0.10515398814157297</v>
      </c>
      <c r="X197" s="1">
        <v>0.10532022319039433</v>
      </c>
      <c r="Y197" s="12">
        <f t="shared" si="14"/>
        <v>-1.5783772934173657E-3</v>
      </c>
    </row>
    <row r="198" spans="11:25" x14ac:dyDescent="0.2">
      <c r="K198" s="1">
        <v>5.6387410679509115E-3</v>
      </c>
      <c r="L198" s="1">
        <v>5.6813042785930365E-3</v>
      </c>
      <c r="M198" s="13">
        <f t="shared" si="11"/>
        <v>-4.2563210642125072E-5</v>
      </c>
      <c r="O198" s="1">
        <v>0.9158795838374163</v>
      </c>
      <c r="P198" s="1">
        <v>0.91527230366986478</v>
      </c>
      <c r="Q198">
        <f t="shared" si="12"/>
        <v>6.0728016755151604E-4</v>
      </c>
      <c r="R198" s="11">
        <v>15.500000000000041</v>
      </c>
      <c r="S198" s="1">
        <v>9.5869547903048705E-2</v>
      </c>
      <c r="T198" s="1">
        <v>9.6215812477471657E-2</v>
      </c>
      <c r="U198">
        <f t="shared" si="13"/>
        <v>-3.4626457442295255E-4</v>
      </c>
      <c r="W198" s="1">
        <v>0.10552055557141796</v>
      </c>
      <c r="X198" s="1">
        <v>0.10572616329132832</v>
      </c>
      <c r="Y198" s="12">
        <f t="shared" si="14"/>
        <v>-1.9447193912051075E-3</v>
      </c>
    </row>
    <row r="199" spans="11:25" x14ac:dyDescent="0.2">
      <c r="K199" s="1">
        <v>5.6597475553743721E-3</v>
      </c>
      <c r="L199" s="1">
        <v>5.7032329794118467E-3</v>
      </c>
      <c r="M199" s="13">
        <f t="shared" si="11"/>
        <v>-4.3485424037474629E-5</v>
      </c>
      <c r="O199" s="1">
        <v>0.9151480913181429</v>
      </c>
      <c r="P199" s="1">
        <v>0.91452483920025318</v>
      </c>
      <c r="Q199">
        <f t="shared" si="12"/>
        <v>6.2325211788971657E-4</v>
      </c>
      <c r="R199" s="11">
        <v>15.583333333333375</v>
      </c>
      <c r="S199" s="1">
        <v>9.6018011487810556E-2</v>
      </c>
      <c r="T199" s="1">
        <v>9.6531380193337568E-2</v>
      </c>
      <c r="U199">
        <f t="shared" si="13"/>
        <v>-5.1336870552701197E-4</v>
      </c>
      <c r="W199" s="1">
        <v>0.10575056624220565</v>
      </c>
      <c r="X199" s="1">
        <v>0.10619055720229383</v>
      </c>
      <c r="Y199" s="12">
        <f t="shared" si="14"/>
        <v>-4.1434094676610078E-3</v>
      </c>
    </row>
    <row r="200" spans="11:25" x14ac:dyDescent="0.2">
      <c r="K200" s="1">
        <v>5.6803316453865431E-3</v>
      </c>
      <c r="L200" s="1">
        <v>5.7247561962286029E-3</v>
      </c>
      <c r="M200" s="13">
        <f t="shared" si="11"/>
        <v>-4.4424550842059839E-5</v>
      </c>
      <c r="O200" s="1">
        <v>0.91442006497861972</v>
      </c>
      <c r="P200" s="1">
        <v>0.91378048122331312</v>
      </c>
      <c r="Q200">
        <f t="shared" si="12"/>
        <v>6.3958375530659417E-4</v>
      </c>
      <c r="R200" s="11">
        <v>15.666666666666709</v>
      </c>
      <c r="S200" s="1">
        <v>9.6254418896281516E-2</v>
      </c>
      <c r="T200" s="1">
        <v>9.6784671554438373E-2</v>
      </c>
      <c r="U200">
        <f t="shared" si="13"/>
        <v>-5.3025265815685729E-4</v>
      </c>
      <c r="W200" s="1">
        <v>0.10610923100874814</v>
      </c>
      <c r="X200" s="1">
        <v>0.10656709718679827</v>
      </c>
      <c r="Y200" s="12">
        <f t="shared" si="14"/>
        <v>-4.2965060524032817E-3</v>
      </c>
    </row>
    <row r="201" spans="11:25" x14ac:dyDescent="0.2">
      <c r="K201" s="1">
        <v>5.7007777633259985E-3</v>
      </c>
      <c r="L201" s="1">
        <v>5.746115770724888E-3</v>
      </c>
      <c r="M201" s="13">
        <f t="shared" si="11"/>
        <v>-4.5338007398889463E-5</v>
      </c>
      <c r="O201" s="1">
        <v>0.91369147923130567</v>
      </c>
      <c r="P201" s="1">
        <v>0.91303581953447943</v>
      </c>
      <c r="Q201">
        <f t="shared" si="12"/>
        <v>6.5565969682623848E-4</v>
      </c>
      <c r="R201" s="11">
        <v>15.750000000000043</v>
      </c>
      <c r="S201" s="1">
        <v>9.6493855960180799E-2</v>
      </c>
      <c r="T201" s="1">
        <v>9.7122433701924846E-2</v>
      </c>
      <c r="U201">
        <f t="shared" si="13"/>
        <v>-6.2857774174404635E-4</v>
      </c>
      <c r="W201" s="1">
        <v>0.10647226322023441</v>
      </c>
      <c r="X201" s="1">
        <v>0.10706613667789756</v>
      </c>
      <c r="Y201" s="12">
        <f t="shared" si="14"/>
        <v>-5.5467907602736455E-3</v>
      </c>
    </row>
    <row r="202" spans="11:25" x14ac:dyDescent="0.2">
      <c r="K202" s="1">
        <v>5.7214243890862946E-3</v>
      </c>
      <c r="L202" s="1">
        <v>5.7676384358956532E-3</v>
      </c>
      <c r="M202" s="13">
        <f t="shared" si="11"/>
        <v>-4.6214046809358623E-5</v>
      </c>
      <c r="O202" s="1">
        <v>0.91295744928222577</v>
      </c>
      <c r="P202" s="1">
        <v>0.91228614883005266</v>
      </c>
      <c r="Q202">
        <f t="shared" si="12"/>
        <v>6.7130045217311807E-4</v>
      </c>
      <c r="R202" s="11">
        <v>15.833333333333377</v>
      </c>
      <c r="S202" s="1">
        <v>9.6741306717393061E-2</v>
      </c>
      <c r="T202" s="1">
        <v>9.7353649837038245E-2</v>
      </c>
      <c r="U202">
        <f t="shared" si="13"/>
        <v>-6.1234311964518395E-4</v>
      </c>
      <c r="W202" s="1">
        <v>0.10684456041431613</v>
      </c>
      <c r="X202" s="1">
        <v>0.10740895263881005</v>
      </c>
      <c r="Y202" s="12">
        <f t="shared" si="14"/>
        <v>-5.2546106318700492E-3</v>
      </c>
    </row>
    <row r="203" spans="11:25" x14ac:dyDescent="0.2">
      <c r="K203" s="1">
        <v>5.7425076997813717E-3</v>
      </c>
      <c r="L203" s="1">
        <v>5.7895458033200226E-3</v>
      </c>
      <c r="M203" s="13">
        <f t="shared" si="11"/>
        <v>-4.7038103538650858E-5</v>
      </c>
      <c r="O203" s="1">
        <v>0.91221449634881369</v>
      </c>
      <c r="P203" s="1">
        <v>0.91152821319401278</v>
      </c>
      <c r="Q203">
        <f t="shared" si="12"/>
        <v>6.8628315480090407E-4</v>
      </c>
      <c r="R203" s="11">
        <v>15.91666666666671</v>
      </c>
      <c r="S203" s="1">
        <v>9.7064431362009151E-2</v>
      </c>
      <c r="T203" s="1">
        <v>9.7579206891142606E-2</v>
      </c>
      <c r="U203">
        <f t="shared" si="13"/>
        <v>-5.1477552913345437E-4</v>
      </c>
      <c r="W203" s="1">
        <v>0.10732290387410169</v>
      </c>
      <c r="X203" s="1">
        <v>0.10773975041105803</v>
      </c>
      <c r="Y203" s="12">
        <f t="shared" si="14"/>
        <v>-3.869013389820819E-3</v>
      </c>
    </row>
    <row r="204" spans="11:25" x14ac:dyDescent="0.2">
      <c r="K204" s="1">
        <v>5.7641025941411557E-3</v>
      </c>
      <c r="L204" s="1">
        <v>5.812001448651653E-3</v>
      </c>
      <c r="M204" s="13">
        <f t="shared" ref="M204:M267" si="15">K204-L204</f>
        <v>-4.7898854510497295E-5</v>
      </c>
      <c r="O204" s="1">
        <v>0.91146144570923937</v>
      </c>
      <c r="P204" s="1">
        <v>0.91075955059441627</v>
      </c>
      <c r="Q204">
        <f t="shared" ref="Q204:Q267" si="16">O204-P204</f>
        <v>7.0189511482310341E-4</v>
      </c>
      <c r="R204" s="11">
        <v>16.000000000000043</v>
      </c>
      <c r="S204" s="1">
        <v>9.7359780469423757E-2</v>
      </c>
      <c r="T204" s="1">
        <v>9.7747795058069686E-2</v>
      </c>
      <c r="U204">
        <f t="shared" si="13"/>
        <v>-3.8801458864592964E-4</v>
      </c>
      <c r="W204" s="1">
        <v>0.10775658847112016</v>
      </c>
      <c r="X204" s="1">
        <v>0.10798259473576263</v>
      </c>
      <c r="Y204" s="12">
        <f t="shared" si="14"/>
        <v>-2.0929879041665655E-3</v>
      </c>
    </row>
    <row r="205" spans="11:25" x14ac:dyDescent="0.2">
      <c r="K205" s="1">
        <v>5.7863331906477904E-3</v>
      </c>
      <c r="L205" s="1">
        <v>5.8350243933906146E-3</v>
      </c>
      <c r="M205" s="13">
        <f t="shared" si="15"/>
        <v>-4.8691202742824277E-5</v>
      </c>
      <c r="O205" s="1">
        <v>0.91069637951287297</v>
      </c>
      <c r="P205" s="1">
        <v>0.90997978467593943</v>
      </c>
      <c r="Q205">
        <f t="shared" si="16"/>
        <v>7.1659483693353732E-4</v>
      </c>
      <c r="R205" s="11">
        <v>16.083333333333375</v>
      </c>
      <c r="S205" s="1">
        <v>9.767908082329467E-2</v>
      </c>
      <c r="T205" s="1">
        <v>9.8021544167105443E-2</v>
      </c>
      <c r="U205">
        <f t="shared" ref="U205:U268" si="17">S205-T205</f>
        <v>-3.424633438107727E-4</v>
      </c>
      <c r="W205" s="1">
        <v>0.10821995758814106</v>
      </c>
      <c r="X205" s="1">
        <v>0.10837331381710892</v>
      </c>
      <c r="Y205" s="12">
        <f t="shared" ref="Y205:Y268" si="18">W205/X205-1</f>
        <v>-1.4150737258682433E-3</v>
      </c>
    </row>
    <row r="206" spans="11:25" x14ac:dyDescent="0.2">
      <c r="K206" s="1">
        <v>5.8090996618909057E-3</v>
      </c>
      <c r="L206" s="1">
        <v>5.8585398230602461E-3</v>
      </c>
      <c r="M206" s="13">
        <f t="shared" si="15"/>
        <v>-4.9440161169340448E-5</v>
      </c>
      <c r="O206" s="1">
        <v>0.90992066052747378</v>
      </c>
      <c r="P206" s="1">
        <v>0.9091899214638659</v>
      </c>
      <c r="Q206">
        <f t="shared" si="16"/>
        <v>7.3073906360787699E-4</v>
      </c>
      <c r="R206" s="11">
        <v>16.166666666666707</v>
      </c>
      <c r="S206" s="1">
        <v>9.795923525810378E-2</v>
      </c>
      <c r="T206" s="1">
        <v>9.8349230527225773E-2</v>
      </c>
      <c r="U206">
        <f t="shared" si="17"/>
        <v>-3.8999526912199267E-4</v>
      </c>
      <c r="W206" s="1">
        <v>0.10862158900228376</v>
      </c>
      <c r="X206" s="1">
        <v>0.10883835204450816</v>
      </c>
      <c r="Y206" s="12">
        <f t="shared" si="18"/>
        <v>-1.9916053316918481E-3</v>
      </c>
    </row>
    <row r="207" spans="11:25" x14ac:dyDescent="0.2">
      <c r="K207" s="1">
        <v>5.832285012709138E-3</v>
      </c>
      <c r="L207" s="1">
        <v>5.8825318144531532E-3</v>
      </c>
      <c r="M207" s="13">
        <f t="shared" si="15"/>
        <v>-5.0246801744015246E-5</v>
      </c>
      <c r="O207" s="1">
        <v>0.90913593256645941</v>
      </c>
      <c r="P207" s="1">
        <v>0.90839011282956927</v>
      </c>
      <c r="Q207">
        <f t="shared" si="16"/>
        <v>7.4581973689014092E-4</v>
      </c>
      <c r="R207" s="11">
        <v>16.250000000000039</v>
      </c>
      <c r="S207" s="1">
        <v>9.8307676519546111E-2</v>
      </c>
      <c r="T207" s="1">
        <v>9.8518291679527623E-2</v>
      </c>
      <c r="U207">
        <f t="shared" si="17"/>
        <v>-2.1061515998151148E-4</v>
      </c>
      <c r="W207" s="1">
        <v>0.10911931374081027</v>
      </c>
      <c r="X207" s="1">
        <v>0.10906712712385565</v>
      </c>
      <c r="Y207" s="12">
        <f t="shared" si="18"/>
        <v>4.7848163173269675E-4</v>
      </c>
    </row>
    <row r="208" spans="11:25" x14ac:dyDescent="0.2">
      <c r="K208" s="1">
        <v>5.8558312413900578E-3</v>
      </c>
      <c r="L208" s="1">
        <v>5.9069053477831986E-3</v>
      </c>
      <c r="M208" s="13">
        <f t="shared" si="15"/>
        <v>-5.1074106393140736E-5</v>
      </c>
      <c r="O208" s="1">
        <v>0.90834298988245954</v>
      </c>
      <c r="P208" s="1">
        <v>0.90758169384754983</v>
      </c>
      <c r="Q208">
        <f t="shared" si="16"/>
        <v>7.6129603490970865E-4</v>
      </c>
      <c r="R208" s="11">
        <v>16.333333333333371</v>
      </c>
      <c r="S208" s="1">
        <v>9.867532783817598E-2</v>
      </c>
      <c r="T208" s="1">
        <v>9.8715735231497057E-2</v>
      </c>
      <c r="U208">
        <f t="shared" si="17"/>
        <v>-4.0407393321076346E-5</v>
      </c>
      <c r="W208" s="1">
        <v>0.1096420172299602</v>
      </c>
      <c r="X208" s="1">
        <v>0.10933322310843971</v>
      </c>
      <c r="Y208" s="12">
        <f t="shared" si="18"/>
        <v>2.8243393246920601E-3</v>
      </c>
    </row>
    <row r="209" spans="11:25" x14ac:dyDescent="0.2">
      <c r="K209" s="1">
        <v>5.879659126430202E-3</v>
      </c>
      <c r="L209" s="1">
        <v>5.9316778006207604E-3</v>
      </c>
      <c r="M209" s="13">
        <f t="shared" si="15"/>
        <v>-5.2018674190558445E-5</v>
      </c>
      <c r="O209" s="1">
        <v>0.90754295957754361</v>
      </c>
      <c r="P209" s="1">
        <v>0.90676434227690583</v>
      </c>
      <c r="Q209">
        <f t="shared" si="16"/>
        <v>7.786173006377739E-4</v>
      </c>
      <c r="R209" s="11">
        <v>16.416666666666703</v>
      </c>
      <c r="S209" s="1">
        <v>9.8954647140669094E-2</v>
      </c>
      <c r="T209" s="1">
        <v>9.902405461135258E-2</v>
      </c>
      <c r="U209">
        <f t="shared" si="17"/>
        <v>-6.9407470683485739E-5</v>
      </c>
      <c r="W209" s="1">
        <v>0.11003233928156138</v>
      </c>
      <c r="X209" s="1">
        <v>0.10975779834304965</v>
      </c>
      <c r="Y209" s="12">
        <f t="shared" si="18"/>
        <v>2.5013342346176248E-3</v>
      </c>
    </row>
    <row r="210" spans="11:25" x14ac:dyDescent="0.2">
      <c r="K210" s="1">
        <v>5.903721457054931E-3</v>
      </c>
      <c r="L210" s="1">
        <v>5.9567194469156964E-3</v>
      </c>
      <c r="M210" s="13">
        <f t="shared" si="15"/>
        <v>-5.2997989860765343E-5</v>
      </c>
      <c r="O210" s="1">
        <v>0.90673650765098135</v>
      </c>
      <c r="P210" s="1">
        <v>0.90593994214336837</v>
      </c>
      <c r="Q210">
        <f t="shared" si="16"/>
        <v>7.9656550761297851E-4</v>
      </c>
      <c r="R210" s="11">
        <v>16.500000000000036</v>
      </c>
      <c r="S210" s="1">
        <v>9.9274909692964375E-2</v>
      </c>
      <c r="T210" s="1">
        <v>9.9273821897640904E-2</v>
      </c>
      <c r="U210">
        <f t="shared" si="17"/>
        <v>1.0877953234705862E-6</v>
      </c>
      <c r="W210" s="1">
        <v>0.11048022848396591</v>
      </c>
      <c r="X210" s="1">
        <v>0.11009340993321307</v>
      </c>
      <c r="Y210" s="12">
        <f t="shared" si="18"/>
        <v>3.5135486400821314E-3</v>
      </c>
    </row>
    <row r="211" spans="11:25" x14ac:dyDescent="0.2">
      <c r="K211" s="1">
        <v>5.9279368117912861E-3</v>
      </c>
      <c r="L211" s="1">
        <v>5.9820860240124597E-3</v>
      </c>
      <c r="M211" s="13">
        <f t="shared" si="15"/>
        <v>-5.4149212221173658E-5</v>
      </c>
      <c r="O211" s="1">
        <v>0.90592482874349867</v>
      </c>
      <c r="P211" s="1">
        <v>0.90510761229905401</v>
      </c>
      <c r="Q211">
        <f t="shared" si="16"/>
        <v>8.1721644444465724E-4</v>
      </c>
      <c r="R211" s="11">
        <v>16.583333333333368</v>
      </c>
      <c r="S211" s="1">
        <v>9.9531018797019116E-2</v>
      </c>
      <c r="T211" s="1">
        <v>9.9426842962345621E-2</v>
      </c>
      <c r="U211">
        <f t="shared" si="17"/>
        <v>1.04175834673495E-4</v>
      </c>
      <c r="W211" s="1">
        <v>0.110831606059167</v>
      </c>
      <c r="X211" s="1">
        <v>0.11028296009712421</v>
      </c>
      <c r="Y211" s="12">
        <f t="shared" si="18"/>
        <v>4.9748933249489369E-3</v>
      </c>
    </row>
    <row r="212" spans="11:25" x14ac:dyDescent="0.2">
      <c r="K212" s="1">
        <v>5.9523250659240523E-3</v>
      </c>
      <c r="L212" s="1">
        <v>6.0075880402435892E-3</v>
      </c>
      <c r="M212" s="13">
        <f t="shared" si="15"/>
        <v>-5.5262974319536876E-5</v>
      </c>
      <c r="O212" s="1">
        <v>0.90510760223363573</v>
      </c>
      <c r="P212" s="1">
        <v>0.90427017266429688</v>
      </c>
      <c r="Q212">
        <f t="shared" si="16"/>
        <v>8.3742956933885448E-4</v>
      </c>
      <c r="R212" s="11">
        <v>16.6666666666667</v>
      </c>
      <c r="S212" s="1">
        <v>9.9834920136096947E-2</v>
      </c>
      <c r="T212" s="1">
        <v>9.9636045101607132E-2</v>
      </c>
      <c r="U212">
        <f t="shared" si="17"/>
        <v>1.9887503448981492E-4</v>
      </c>
      <c r="W212" s="1">
        <v>0.11125115642222172</v>
      </c>
      <c r="X212" s="1">
        <v>0.11055272146475435</v>
      </c>
      <c r="Y212" s="12">
        <f t="shared" si="18"/>
        <v>6.3176640811148932E-3</v>
      </c>
    </row>
    <row r="213" spans="11:25" x14ac:dyDescent="0.2">
      <c r="K213" s="1">
        <v>5.9768157824106492E-3</v>
      </c>
      <c r="L213" s="1">
        <v>6.0331824082941405E-3</v>
      </c>
      <c r="M213" s="13">
        <f t="shared" si="15"/>
        <v>-5.636662588349127E-5</v>
      </c>
      <c r="O213" s="1">
        <v>0.90428587756535039</v>
      </c>
      <c r="P213" s="1">
        <v>0.90342826351168137</v>
      </c>
      <c r="Q213">
        <f t="shared" si="16"/>
        <v>8.5761405366902022E-4</v>
      </c>
      <c r="R213" s="11">
        <v>16.750000000000032</v>
      </c>
      <c r="S213" s="1">
        <v>0.10010501533630045</v>
      </c>
      <c r="T213" s="1">
        <v>9.9807817093661197E-2</v>
      </c>
      <c r="U213">
        <f t="shared" si="17"/>
        <v>2.9719824263925443E-4</v>
      </c>
      <c r="W213" s="1">
        <v>0.11161903471955148</v>
      </c>
      <c r="X213" s="1">
        <v>0.11076509088432213</v>
      </c>
      <c r="Y213" s="12">
        <f t="shared" si="18"/>
        <v>7.7095033138299129E-3</v>
      </c>
    </row>
    <row r="214" spans="11:25" x14ac:dyDescent="0.2">
      <c r="K214" s="1">
        <v>6.001359059981469E-3</v>
      </c>
      <c r="L214" s="1">
        <v>6.0588116110966116E-3</v>
      </c>
      <c r="M214" s="13">
        <f t="shared" si="15"/>
        <v>-5.7452551115142608E-5</v>
      </c>
      <c r="O214" s="1">
        <v>0.90346040785780479</v>
      </c>
      <c r="P214" s="1">
        <v>0.90258275614352501</v>
      </c>
      <c r="Q214">
        <f t="shared" si="16"/>
        <v>8.7765171427978128E-4</v>
      </c>
      <c r="R214" s="11">
        <v>16.833333333333364</v>
      </c>
      <c r="S214" s="1">
        <v>0.10040226753293582</v>
      </c>
      <c r="T214" s="1">
        <v>0.1000810527081762</v>
      </c>
      <c r="U214">
        <f t="shared" si="17"/>
        <v>3.2121482475962193E-4</v>
      </c>
      <c r="W214" s="1">
        <v>0.11202566645844693</v>
      </c>
      <c r="X214" s="1">
        <v>0.11112574226470738</v>
      </c>
      <c r="Y214" s="12">
        <f t="shared" si="18"/>
        <v>8.0982513628200525E-3</v>
      </c>
    </row>
    <row r="215" spans="11:25" x14ac:dyDescent="0.2">
      <c r="K215" s="1">
        <v>6.0257676620533622E-3</v>
      </c>
      <c r="L215" s="1">
        <v>6.0844410281694827E-3</v>
      </c>
      <c r="M215" s="13">
        <f t="shared" si="15"/>
        <v>-5.8673366116120465E-5</v>
      </c>
      <c r="O215" s="1">
        <v>0.90263406597120899</v>
      </c>
      <c r="P215" s="1">
        <v>0.90173418499434044</v>
      </c>
      <c r="Q215">
        <f t="shared" si="16"/>
        <v>8.9988097686855006E-4</v>
      </c>
      <c r="R215" s="11">
        <v>16.916666666666696</v>
      </c>
      <c r="S215" s="1">
        <v>0.10067158168937079</v>
      </c>
      <c r="T215" s="1">
        <v>0.10031559810205191</v>
      </c>
      <c r="U215">
        <f t="shared" si="17"/>
        <v>3.5598358731887825E-4</v>
      </c>
      <c r="W215" s="1">
        <v>0.11239088538518534</v>
      </c>
      <c r="X215" s="1">
        <v>0.11142792733482162</v>
      </c>
      <c r="Y215" s="12">
        <f t="shared" si="18"/>
        <v>8.6419811747031616E-3</v>
      </c>
    </row>
    <row r="216" spans="11:25" x14ac:dyDescent="0.2">
      <c r="K216" s="1">
        <v>6.0500556183604934E-3</v>
      </c>
      <c r="L216" s="1">
        <v>6.1099092541190142E-3</v>
      </c>
      <c r="M216" s="13">
        <f t="shared" si="15"/>
        <v>-5.9853635758520818E-5</v>
      </c>
      <c r="O216" s="1">
        <v>0.90180666990113789</v>
      </c>
      <c r="P216" s="1">
        <v>0.90088504419334059</v>
      </c>
      <c r="Q216">
        <f t="shared" si="16"/>
        <v>9.2162570779730224E-4</v>
      </c>
      <c r="R216" s="11">
        <v>17.000000000000028</v>
      </c>
      <c r="S216" s="1">
        <v>0.10090351638461852</v>
      </c>
      <c r="T216" s="1">
        <v>0.1005375306184048</v>
      </c>
      <c r="U216">
        <f t="shared" si="17"/>
        <v>3.659857662137167E-4</v>
      </c>
      <c r="W216" s="1">
        <v>0.11270037668144775</v>
      </c>
      <c r="X216" s="1">
        <v>0.11171128648372865</v>
      </c>
      <c r="Y216" s="12">
        <f t="shared" si="18"/>
        <v>8.8539862788454826E-3</v>
      </c>
    </row>
    <row r="217" spans="11:25" x14ac:dyDescent="0.2">
      <c r="K217" s="1">
        <v>6.0743687043843964E-3</v>
      </c>
      <c r="L217" s="1">
        <v>6.1352071625404812E-3</v>
      </c>
      <c r="M217" s="13">
        <f t="shared" si="15"/>
        <v>-6.083845815608481E-5</v>
      </c>
      <c r="O217" s="1">
        <v>0.90097599643204107</v>
      </c>
      <c r="P217" s="1">
        <v>0.9000355141314712</v>
      </c>
      <c r="Q217">
        <f t="shared" si="16"/>
        <v>9.4048230056986704E-4</v>
      </c>
      <c r="R217" s="11">
        <v>17.083333333333361</v>
      </c>
      <c r="S217" s="1">
        <v>0.101233086880519</v>
      </c>
      <c r="T217" s="1">
        <v>0.10081722642129662</v>
      </c>
      <c r="U217">
        <f t="shared" si="17"/>
        <v>4.1586045922238635E-4</v>
      </c>
      <c r="W217" s="1">
        <v>0.11315372239153691</v>
      </c>
      <c r="X217" s="1">
        <v>0.11208041832383303</v>
      </c>
      <c r="Y217" s="12">
        <f t="shared" si="18"/>
        <v>9.5761961255604877E-3</v>
      </c>
    </row>
    <row r="218" spans="11:25" x14ac:dyDescent="0.2">
      <c r="K218" s="1">
        <v>6.0985984834572961E-3</v>
      </c>
      <c r="L218" s="1">
        <v>6.1604182694993577E-3</v>
      </c>
      <c r="M218" s="13">
        <f t="shared" si="15"/>
        <v>-6.1819786042061585E-5</v>
      </c>
      <c r="O218" s="1">
        <v>0.90014373411264459</v>
      </c>
      <c r="P218" s="1">
        <v>0.89918434029306649</v>
      </c>
      <c r="Q218">
        <f t="shared" si="16"/>
        <v>9.5939381957810266E-4</v>
      </c>
      <c r="R218" s="11">
        <v>17.166666666666693</v>
      </c>
      <c r="S218" s="1">
        <v>0.10148755434902268</v>
      </c>
      <c r="T218" s="1">
        <v>0.10108794345911101</v>
      </c>
      <c r="U218">
        <f t="shared" si="17"/>
        <v>3.9961088991166682E-4</v>
      </c>
      <c r="W218" s="1">
        <v>0.11349495004226123</v>
      </c>
      <c r="X218" s="1">
        <v>0.11243574909725253</v>
      </c>
      <c r="Y218" s="12">
        <f t="shared" si="18"/>
        <v>9.4204997388556144E-3</v>
      </c>
    </row>
    <row r="219" spans="11:25" x14ac:dyDescent="0.2">
      <c r="K219" s="1">
        <v>6.1227347450866689E-3</v>
      </c>
      <c r="L219" s="1">
        <v>6.1855350579257534E-3</v>
      </c>
      <c r="M219" s="13">
        <f t="shared" si="15"/>
        <v>-6.2800312839084507E-5</v>
      </c>
      <c r="O219" s="1">
        <v>0.89931006665282109</v>
      </c>
      <c r="P219" s="1">
        <v>0.89833166540216913</v>
      </c>
      <c r="Q219">
        <f t="shared" si="16"/>
        <v>9.7840125065196126E-4</v>
      </c>
      <c r="R219" s="11">
        <v>17.250000000000025</v>
      </c>
      <c r="S219" s="1">
        <v>0.10167064054421115</v>
      </c>
      <c r="T219" s="1">
        <v>0.10133430138930931</v>
      </c>
      <c r="U219">
        <f t="shared" si="17"/>
        <v>3.3633915490184629E-4</v>
      </c>
      <c r="W219" s="1">
        <v>0.1137291950231544</v>
      </c>
      <c r="X219" s="1">
        <v>0.11275435499310356</v>
      </c>
      <c r="Y219" s="12">
        <f t="shared" si="18"/>
        <v>8.6456973667266013E-3</v>
      </c>
    </row>
    <row r="220" spans="11:25" x14ac:dyDescent="0.2">
      <c r="K220" s="1">
        <v>6.1467643905837119E-3</v>
      </c>
      <c r="L220" s="1">
        <v>6.2105523505753511E-3</v>
      </c>
      <c r="M220" s="13">
        <f t="shared" si="15"/>
        <v>-6.3787959991639179E-5</v>
      </c>
      <c r="O220" s="1">
        <v>0.89847522536240343</v>
      </c>
      <c r="P220" s="1">
        <v>0.89747759734578247</v>
      </c>
      <c r="Q220">
        <f t="shared" si="16"/>
        <v>9.9762801662095502E-4</v>
      </c>
      <c r="R220" s="11">
        <v>17.333333333333357</v>
      </c>
      <c r="S220" s="1">
        <v>0.10199114282508248</v>
      </c>
      <c r="T220" s="1">
        <v>0.10163636666615081</v>
      </c>
      <c r="U220">
        <f t="shared" si="17"/>
        <v>3.5477615893167447E-4</v>
      </c>
      <c r="W220" s="1">
        <v>0.11416819547656341</v>
      </c>
      <c r="X220" s="1">
        <v>0.11315565047308467</v>
      </c>
      <c r="Y220" s="12">
        <f t="shared" si="18"/>
        <v>8.9482495946553442E-3</v>
      </c>
    </row>
    <row r="221" spans="11:25" x14ac:dyDescent="0.2">
      <c r="K221" s="1">
        <v>6.1706677937705054E-3</v>
      </c>
      <c r="L221" s="1">
        <v>6.235432329552904E-3</v>
      </c>
      <c r="M221" s="13">
        <f t="shared" si="15"/>
        <v>-6.4764535782398623E-5</v>
      </c>
      <c r="O221" s="1">
        <v>0.89763954717284944</v>
      </c>
      <c r="P221" s="1">
        <v>0.89662275733598795</v>
      </c>
      <c r="Q221">
        <f t="shared" si="16"/>
        <v>1.0167898368614869E-3</v>
      </c>
      <c r="R221" s="11">
        <v>17.416666666666689</v>
      </c>
      <c r="S221" s="1">
        <v>0.1022908627823392</v>
      </c>
      <c r="T221" s="1">
        <v>0.1018946633703957</v>
      </c>
      <c r="U221">
        <f t="shared" si="17"/>
        <v>3.9619941194350694E-4</v>
      </c>
      <c r="W221" s="1">
        <v>0.11457619930030975</v>
      </c>
      <c r="X221" s="1">
        <v>0.11349157352475928</v>
      </c>
      <c r="Y221" s="12">
        <f t="shared" si="18"/>
        <v>9.5568837567827636E-3</v>
      </c>
    </row>
    <row r="222" spans="11:25" x14ac:dyDescent="0.2">
      <c r="K222" s="1">
        <v>6.19443987833454E-3</v>
      </c>
      <c r="L222" s="1">
        <v>6.2601350224008069E-3</v>
      </c>
      <c r="M222" s="13">
        <f t="shared" si="15"/>
        <v>-6.5695144066266892E-5</v>
      </c>
      <c r="O222" s="1">
        <v>0.89680314421333951</v>
      </c>
      <c r="P222" s="1">
        <v>0.89576780946647416</v>
      </c>
      <c r="Q222">
        <f t="shared" si="16"/>
        <v>1.0353347468653462E-3</v>
      </c>
      <c r="R222" s="11">
        <v>17.500000000000021</v>
      </c>
      <c r="S222" s="1">
        <v>0.10260877860210388</v>
      </c>
      <c r="T222" s="1">
        <v>0.10209255877464629</v>
      </c>
      <c r="U222">
        <f t="shared" si="17"/>
        <v>5.1621982745758688E-4</v>
      </c>
      <c r="W222" s="1">
        <v>0.11501155050574793</v>
      </c>
      <c r="X222" s="1">
        <v>0.11373725638354965</v>
      </c>
      <c r="Y222" s="12">
        <f t="shared" si="18"/>
        <v>1.1203840876036875E-2</v>
      </c>
    </row>
    <row r="223" spans="11:25" x14ac:dyDescent="0.2">
      <c r="K223" s="1">
        <v>6.2181030444248666E-3</v>
      </c>
      <c r="L223" s="1">
        <v>6.2846939939703878E-3</v>
      </c>
      <c r="M223" s="13">
        <f t="shared" si="15"/>
        <v>-6.6590949545521257E-5</v>
      </c>
      <c r="O223" s="1">
        <v>0.89596569480798005</v>
      </c>
      <c r="P223" s="1">
        <v>0.89491226459891604</v>
      </c>
      <c r="Q223">
        <f t="shared" si="16"/>
        <v>1.0534302090640102E-3</v>
      </c>
      <c r="R223" s="11">
        <v>17.583333333333353</v>
      </c>
      <c r="S223" s="1">
        <v>0.10285059897762892</v>
      </c>
      <c r="T223" s="1">
        <v>0.10232302421743428</v>
      </c>
      <c r="U223">
        <f t="shared" si="17"/>
        <v>5.2757476019464622E-4</v>
      </c>
      <c r="W223" s="1">
        <v>0.11533264365680763</v>
      </c>
      <c r="X223" s="1">
        <v>0.11403146024346771</v>
      </c>
      <c r="Y223" s="12">
        <f t="shared" si="18"/>
        <v>1.1410740602302072E-2</v>
      </c>
    </row>
    <row r="224" spans="11:25" x14ac:dyDescent="0.2">
      <c r="K224" s="1">
        <v>6.2416998145964162E-3</v>
      </c>
      <c r="L224" s="1">
        <v>6.3092158309734159E-3</v>
      </c>
      <c r="M224" s="13">
        <f t="shared" si="15"/>
        <v>-6.7516016376999687E-5</v>
      </c>
      <c r="O224" s="1">
        <v>0.89512655209971126</v>
      </c>
      <c r="P224" s="1">
        <v>0.89405446665022104</v>
      </c>
      <c r="Q224">
        <f t="shared" si="16"/>
        <v>1.0720854494902232E-3</v>
      </c>
      <c r="R224" s="11">
        <v>17.666666666666686</v>
      </c>
      <c r="S224" s="1">
        <v>0.10320055053390165</v>
      </c>
      <c r="T224" s="1">
        <v>0.10249065789724039</v>
      </c>
      <c r="U224">
        <f t="shared" si="17"/>
        <v>7.0989263666125513E-4</v>
      </c>
      <c r="W224" s="1">
        <v>0.11581564239443647</v>
      </c>
      <c r="X224" s="1">
        <v>0.11423036022980342</v>
      </c>
      <c r="Y224" s="12">
        <f t="shared" si="18"/>
        <v>1.3877940693208357E-2</v>
      </c>
    </row>
    <row r="225" spans="11:25" x14ac:dyDescent="0.2">
      <c r="K225" s="1">
        <v>6.2652611556431011E-3</v>
      </c>
      <c r="L225" s="1">
        <v>6.3336594604679088E-3</v>
      </c>
      <c r="M225" s="13">
        <f t="shared" si="15"/>
        <v>-6.8398304824807653E-5</v>
      </c>
      <c r="O225" s="1">
        <v>0.89428524329626014</v>
      </c>
      <c r="P225" s="1">
        <v>0.89319508619679022</v>
      </c>
      <c r="Q225">
        <f t="shared" si="16"/>
        <v>1.0901570994699128E-3</v>
      </c>
      <c r="R225" s="11">
        <v>17.750000000000018</v>
      </c>
      <c r="S225" s="1">
        <v>0.10344983942026645</v>
      </c>
      <c r="T225" s="1">
        <v>0.1027190546311406</v>
      </c>
      <c r="U225">
        <f t="shared" si="17"/>
        <v>7.3078478912584621E-4</v>
      </c>
      <c r="W225" s="1">
        <v>0.11614664772409825</v>
      </c>
      <c r="X225" s="1">
        <v>0.11451969404827164</v>
      </c>
      <c r="Y225" s="12">
        <f t="shared" si="18"/>
        <v>1.4206758840455969E-2</v>
      </c>
    </row>
    <row r="226" spans="11:25" x14ac:dyDescent="0.2">
      <c r="K226" s="1">
        <v>6.2886981925050593E-3</v>
      </c>
      <c r="L226" s="1">
        <v>6.3580484751030956E-3</v>
      </c>
      <c r="M226" s="13">
        <f t="shared" si="15"/>
        <v>-6.9350282598036259E-5</v>
      </c>
      <c r="O226" s="1">
        <v>0.8934432065671466</v>
      </c>
      <c r="P226" s="1">
        <v>0.89233376964068334</v>
      </c>
      <c r="Q226">
        <f t="shared" si="16"/>
        <v>1.1094369264632586E-3</v>
      </c>
      <c r="R226" s="11">
        <v>17.83333333333335</v>
      </c>
      <c r="S226" s="1">
        <v>0.10357313759054725</v>
      </c>
      <c r="T226" s="1">
        <v>0.10295938844123959</v>
      </c>
      <c r="U226">
        <f t="shared" si="17"/>
        <v>6.1374914930766022E-4</v>
      </c>
      <c r="W226" s="1">
        <v>0.11628752808592419</v>
      </c>
      <c r="X226" s="1">
        <v>0.11482616065594409</v>
      </c>
      <c r="Y226" s="12">
        <f t="shared" si="18"/>
        <v>1.2726781263364018E-2</v>
      </c>
    </row>
    <row r="227" spans="11:25" x14ac:dyDescent="0.2">
      <c r="K227" s="1">
        <v>6.3120576760696831E-3</v>
      </c>
      <c r="L227" s="1">
        <v>6.3822709945599541E-3</v>
      </c>
      <c r="M227" s="13">
        <f t="shared" si="15"/>
        <v>-7.0213318490271008E-5</v>
      </c>
      <c r="O227" s="1">
        <v>0.8925997220602141</v>
      </c>
      <c r="P227" s="1">
        <v>0.89147233163643613</v>
      </c>
      <c r="Q227">
        <f t="shared" si="16"/>
        <v>1.1273904237779631E-3</v>
      </c>
      <c r="R227" s="11">
        <v>17.916666666666682</v>
      </c>
      <c r="S227" s="1">
        <v>0.10382236588473182</v>
      </c>
      <c r="T227" s="1">
        <v>0.10323733612501758</v>
      </c>
      <c r="U227">
        <f t="shared" si="17"/>
        <v>5.8502975971423676E-4</v>
      </c>
      <c r="W227" s="1">
        <v>0.11661747569733506</v>
      </c>
      <c r="X227" s="1">
        <v>0.11518941170069531</v>
      </c>
      <c r="Y227" s="12">
        <f t="shared" si="18"/>
        <v>1.2397528345316822E-2</v>
      </c>
    </row>
    <row r="228" spans="11:25" x14ac:dyDescent="0.2">
      <c r="K228" s="1">
        <v>6.3352735079106491E-3</v>
      </c>
      <c r="L228" s="1">
        <v>6.4065035197138753E-3</v>
      </c>
      <c r="M228" s="13">
        <f t="shared" si="15"/>
        <v>-7.1230011803226183E-5</v>
      </c>
      <c r="O228" s="1">
        <v>0.8917558785617834</v>
      </c>
      <c r="P228" s="1">
        <v>0.89060796863139169</v>
      </c>
      <c r="Q228">
        <f t="shared" si="16"/>
        <v>1.1479099303917106E-3</v>
      </c>
      <c r="R228" s="11">
        <v>18.000000000000014</v>
      </c>
      <c r="S228" s="1">
        <v>0.10400408776238801</v>
      </c>
      <c r="T228" s="1">
        <v>0.10347429331109038</v>
      </c>
      <c r="U228">
        <f t="shared" si="17"/>
        <v>5.2979445129762437E-4</v>
      </c>
      <c r="W228" s="1">
        <v>0.11684536465370372</v>
      </c>
      <c r="X228" s="1">
        <v>0.11548966540416906</v>
      </c>
      <c r="Y228" s="12">
        <f t="shared" si="18"/>
        <v>1.1738706184577063E-2</v>
      </c>
    </row>
    <row r="229" spans="11:25" x14ac:dyDescent="0.2">
      <c r="K229" s="1">
        <v>6.3585617576610125E-3</v>
      </c>
      <c r="L229" s="1">
        <v>6.4306788698395871E-3</v>
      </c>
      <c r="M229" s="13">
        <f t="shared" si="15"/>
        <v>-7.2117112178574604E-5</v>
      </c>
      <c r="O229" s="1">
        <v>0.89090821353423433</v>
      </c>
      <c r="P229" s="1">
        <v>0.88974177440878499</v>
      </c>
      <c r="Q229">
        <f t="shared" si="16"/>
        <v>1.1664391254493367E-3</v>
      </c>
      <c r="R229" s="11">
        <v>18.083333333333346</v>
      </c>
      <c r="S229" s="1">
        <v>0.1043084989747514</v>
      </c>
      <c r="T229" s="1">
        <v>0.10368751206838946</v>
      </c>
      <c r="U229">
        <f t="shared" si="17"/>
        <v>6.2098690636194775E-4</v>
      </c>
      <c r="W229" s="1">
        <v>0.11725701822719714</v>
      </c>
      <c r="X229" s="1">
        <v>0.11575327276766427</v>
      </c>
      <c r="Y229" s="12">
        <f t="shared" si="18"/>
        <v>1.2990954152554579E-2</v>
      </c>
    </row>
    <row r="230" spans="11:25" x14ac:dyDescent="0.2">
      <c r="K230" s="1">
        <v>6.3818554903835008E-3</v>
      </c>
      <c r="L230" s="1">
        <v>6.4548782404506419E-3</v>
      </c>
      <c r="M230" s="13">
        <f t="shared" si="15"/>
        <v>-7.3022750067141054E-5</v>
      </c>
      <c r="O230" s="1">
        <v>0.8900578105427227</v>
      </c>
      <c r="P230" s="1">
        <v>0.88887245150145733</v>
      </c>
      <c r="Q230">
        <f t="shared" si="16"/>
        <v>1.1853590412653769E-3</v>
      </c>
      <c r="R230" s="11">
        <v>18.166666666666679</v>
      </c>
      <c r="S230" s="1">
        <v>0.10448494037179663</v>
      </c>
      <c r="T230" s="1">
        <v>0.10386140156953086</v>
      </c>
      <c r="U230">
        <f t="shared" si="17"/>
        <v>6.2353880226577452E-4</v>
      </c>
      <c r="W230" s="1">
        <v>0.11747374621404155</v>
      </c>
      <c r="X230" s="1">
        <v>0.11595586613969631</v>
      </c>
      <c r="Y230" s="12">
        <f t="shared" si="18"/>
        <v>1.3090153390916681E-2</v>
      </c>
    </row>
    <row r="231" spans="11:25" x14ac:dyDescent="0.2">
      <c r="K231" s="1">
        <v>6.4052775027830878E-3</v>
      </c>
      <c r="L231" s="1">
        <v>6.479119499488456E-3</v>
      </c>
      <c r="M231" s="13">
        <f t="shared" si="15"/>
        <v>-7.384199670536825E-5</v>
      </c>
      <c r="O231" s="1">
        <v>0.88920267591010782</v>
      </c>
      <c r="P231" s="1">
        <v>0.88799971450746451</v>
      </c>
      <c r="Q231">
        <f t="shared" si="16"/>
        <v>1.20296140264331E-3</v>
      </c>
      <c r="R231" s="11">
        <v>18.250000000000011</v>
      </c>
      <c r="S231" s="1">
        <v>0.10475123467179449</v>
      </c>
      <c r="T231" s="1">
        <v>0.10409357512521163</v>
      </c>
      <c r="U231">
        <f t="shared" si="17"/>
        <v>6.5765954658286718E-4</v>
      </c>
      <c r="W231" s="1">
        <v>0.11782442463242281</v>
      </c>
      <c r="X231" s="1">
        <v>0.11624499801816833</v>
      </c>
      <c r="Y231" s="12">
        <f t="shared" si="18"/>
        <v>1.3587050119847843E-2</v>
      </c>
    </row>
    <row r="232" spans="11:25" x14ac:dyDescent="0.2">
      <c r="K232" s="1">
        <v>6.4286990980686048E-3</v>
      </c>
      <c r="L232" s="1">
        <v>6.5034057353296412E-3</v>
      </c>
      <c r="M232" s="13">
        <f t="shared" si="15"/>
        <v>-7.4706637261036379E-5</v>
      </c>
      <c r="O232" s="1">
        <v>0.88834490187240078</v>
      </c>
      <c r="P232" s="1">
        <v>0.88712351540761103</v>
      </c>
      <c r="Q232">
        <f t="shared" si="16"/>
        <v>1.2213864647897532E-3</v>
      </c>
      <c r="R232" s="11">
        <v>18.333333333333343</v>
      </c>
      <c r="S232" s="1">
        <v>0.10493718266001692</v>
      </c>
      <c r="T232" s="1">
        <v>0.10428733894338069</v>
      </c>
      <c r="U232">
        <f t="shared" si="17"/>
        <v>6.4984371663623364E-4</v>
      </c>
      <c r="W232" s="1">
        <v>0.11805192932913865</v>
      </c>
      <c r="X232" s="1">
        <v>0.11647426505134033</v>
      </c>
      <c r="Y232" s="12">
        <f t="shared" si="18"/>
        <v>1.3545174782626068E-2</v>
      </c>
    </row>
    <row r="233" spans="11:25" x14ac:dyDescent="0.2">
      <c r="K233" s="1">
        <v>6.4522938324359669E-3</v>
      </c>
      <c r="L233" s="1">
        <v>6.5278739846340288E-3</v>
      </c>
      <c r="M233" s="13">
        <f t="shared" si="15"/>
        <v>-7.5580152198061884E-5</v>
      </c>
      <c r="O233" s="1">
        <v>0.88748164822733655</v>
      </c>
      <c r="P233" s="1">
        <v>0.88624160939700669</v>
      </c>
      <c r="Q233">
        <f t="shared" si="16"/>
        <v>1.2400388303298593E-3</v>
      </c>
      <c r="R233" s="11">
        <v>18.416666666666675</v>
      </c>
      <c r="S233" s="1">
        <v>0.10522407849886341</v>
      </c>
      <c r="T233" s="1">
        <v>0.1044971739395063</v>
      </c>
      <c r="U233">
        <f t="shared" si="17"/>
        <v>7.2690455935710274E-4</v>
      </c>
      <c r="W233" s="1">
        <v>0.11843029279270068</v>
      </c>
      <c r="X233" s="1">
        <v>0.11672512971903905</v>
      </c>
      <c r="Y233" s="12">
        <f t="shared" si="18"/>
        <v>1.4608363064286145E-2</v>
      </c>
    </row>
    <row r="234" spans="11:25" x14ac:dyDescent="0.2">
      <c r="K234" s="1">
        <v>6.4762213967493338E-3</v>
      </c>
      <c r="L234" s="1">
        <v>6.5524897827643229E-3</v>
      </c>
      <c r="M234" s="13">
        <f t="shared" si="15"/>
        <v>-7.6268386014989066E-5</v>
      </c>
      <c r="O234" s="1">
        <v>0.88661026308825408</v>
      </c>
      <c r="P234" s="1">
        <v>0.88535454197538088</v>
      </c>
      <c r="Q234">
        <f t="shared" si="16"/>
        <v>1.2557211128731982E-3</v>
      </c>
      <c r="R234" s="11">
        <v>18.500000000000007</v>
      </c>
      <c r="S234" s="1">
        <v>0.10553271883282446</v>
      </c>
      <c r="T234" s="1">
        <v>0.1048169954635341</v>
      </c>
      <c r="U234">
        <f t="shared" si="17"/>
        <v>7.1572336929036362E-4</v>
      </c>
      <c r="W234" s="1">
        <v>0.11883813121429455</v>
      </c>
      <c r="X234" s="1">
        <v>0.1171408043170285</v>
      </c>
      <c r="Y234" s="12">
        <f t="shared" si="18"/>
        <v>1.4489629870326093E-2</v>
      </c>
    </row>
    <row r="235" spans="11:25" x14ac:dyDescent="0.2">
      <c r="K235" s="1">
        <v>6.5004668426757225E-3</v>
      </c>
      <c r="L235" s="1">
        <v>6.5773835333134186E-3</v>
      </c>
      <c r="M235" s="13">
        <f t="shared" si="15"/>
        <v>-7.6916690637696128E-5</v>
      </c>
      <c r="O235" s="1">
        <v>0.88573094551393428</v>
      </c>
      <c r="P235" s="1">
        <v>0.88446014482123703</v>
      </c>
      <c r="Q235">
        <f t="shared" si="16"/>
        <v>1.2708006926972493E-3</v>
      </c>
      <c r="R235" s="11">
        <v>18.583333333333339</v>
      </c>
      <c r="S235" s="1">
        <v>0.10582882082922519</v>
      </c>
      <c r="T235" s="1">
        <v>0.10511441986940673</v>
      </c>
      <c r="U235">
        <f t="shared" si="17"/>
        <v>7.1440095981846474E-4</v>
      </c>
      <c r="W235" s="1">
        <v>0.11922335358652901</v>
      </c>
      <c r="X235" s="1">
        <v>0.117519234223688</v>
      </c>
      <c r="Y235" s="12">
        <f t="shared" si="18"/>
        <v>1.4500769802476388E-2</v>
      </c>
    </row>
    <row r="236" spans="11:25" x14ac:dyDescent="0.2">
      <c r="K236" s="1">
        <v>6.5250988382277719E-3</v>
      </c>
      <c r="L236" s="1">
        <v>6.6026147531065751E-3</v>
      </c>
      <c r="M236" s="13">
        <f t="shared" si="15"/>
        <v>-7.7515914878803147E-5</v>
      </c>
      <c r="O236" s="1">
        <v>0.88484251123482538</v>
      </c>
      <c r="P236" s="1">
        <v>0.88355739455571913</v>
      </c>
      <c r="Q236">
        <f t="shared" si="16"/>
        <v>1.2851166791062463E-3</v>
      </c>
      <c r="R236" s="11">
        <v>18.666666666666671</v>
      </c>
      <c r="S236" s="1">
        <v>0.10613430870060667</v>
      </c>
      <c r="T236" s="1">
        <v>0.10540968809490285</v>
      </c>
      <c r="U236">
        <f t="shared" si="17"/>
        <v>7.246206057038157E-4</v>
      </c>
      <c r="W236" s="1">
        <v>0.11961879280045257</v>
      </c>
      <c r="X236" s="1">
        <v>0.1178906544175336</v>
      </c>
      <c r="Y236" s="12">
        <f t="shared" si="18"/>
        <v>1.4658824242322233E-2</v>
      </c>
    </row>
    <row r="237" spans="11:25" x14ac:dyDescent="0.2">
      <c r="K237" s="1">
        <v>6.5502518692146846E-3</v>
      </c>
      <c r="L237" s="1">
        <v>6.6281694107351401E-3</v>
      </c>
      <c r="M237" s="13">
        <f t="shared" si="15"/>
        <v>-7.7917541520455477E-5</v>
      </c>
      <c r="O237" s="1">
        <v>0.88394266515467101</v>
      </c>
      <c r="P237" s="1">
        <v>0.88264647739030422</v>
      </c>
      <c r="Q237">
        <f t="shared" si="16"/>
        <v>1.2961877643667963E-3</v>
      </c>
      <c r="R237" s="11">
        <v>18.750000000000004</v>
      </c>
      <c r="S237" s="1">
        <v>0.10639040656273424</v>
      </c>
      <c r="T237" s="1">
        <v>0.10559704430581446</v>
      </c>
      <c r="U237">
        <f t="shared" si="17"/>
        <v>7.933622569197829E-4</v>
      </c>
      <c r="W237" s="1">
        <v>0.11993348580979038</v>
      </c>
      <c r="X237" s="1">
        <v>0.11809367340969425</v>
      </c>
      <c r="Y237" s="12">
        <f t="shared" si="18"/>
        <v>1.5579263028878687E-2</v>
      </c>
    </row>
    <row r="238" spans="11:25" x14ac:dyDescent="0.2">
      <c r="K238" s="1">
        <v>6.5758473223696719E-3</v>
      </c>
      <c r="L238" s="1">
        <v>6.6541362209593634E-3</v>
      </c>
      <c r="M238" s="13">
        <f t="shared" si="15"/>
        <v>-7.8288898589691513E-5</v>
      </c>
      <c r="O238" s="1">
        <v>0.88303264204933329</v>
      </c>
      <c r="P238" s="1">
        <v>0.88172586949513021</v>
      </c>
      <c r="Q238">
        <f t="shared" si="16"/>
        <v>1.3067725542030839E-3</v>
      </c>
      <c r="R238" s="11">
        <v>18.833333333333336</v>
      </c>
      <c r="S238" s="1">
        <v>0.1066679551733208</v>
      </c>
      <c r="T238" s="1">
        <v>0.10583669692891683</v>
      </c>
      <c r="U238">
        <f t="shared" si="17"/>
        <v>8.3125824440397067E-4</v>
      </c>
      <c r="W238" s="1">
        <v>0.1202762220138912</v>
      </c>
      <c r="X238" s="1">
        <v>0.11837184678775212</v>
      </c>
      <c r="Y238" s="12">
        <f t="shared" si="18"/>
        <v>1.608807565158421E-2</v>
      </c>
    </row>
    <row r="239" spans="11:25" x14ac:dyDescent="0.2">
      <c r="K239" s="1">
        <v>6.6019515833545053E-3</v>
      </c>
      <c r="L239" s="1">
        <v>6.6805787838689337E-3</v>
      </c>
      <c r="M239" s="13">
        <f t="shared" si="15"/>
        <v>-7.8627200514428362E-5</v>
      </c>
      <c r="O239" s="1">
        <v>0.88211126504790005</v>
      </c>
      <c r="P239" s="1">
        <v>0.88079444805338025</v>
      </c>
      <c r="Q239">
        <f t="shared" si="16"/>
        <v>1.3168169945197983E-3</v>
      </c>
      <c r="R239" s="11">
        <v>18.916666666666668</v>
      </c>
      <c r="S239" s="1">
        <v>0.10685137364858205</v>
      </c>
      <c r="T239" s="1">
        <v>0.1061600561890506</v>
      </c>
      <c r="U239">
        <f t="shared" si="17"/>
        <v>6.9131745953145141E-4</v>
      </c>
      <c r="W239" s="1">
        <v>0.12046935837427593</v>
      </c>
      <c r="X239" s="1">
        <v>0.11877297160676645</v>
      </c>
      <c r="Y239" s="12">
        <f t="shared" si="18"/>
        <v>1.4282599353713898E-2</v>
      </c>
    </row>
    <row r="240" spans="11:25" x14ac:dyDescent="0.2">
      <c r="K240" s="1">
        <v>6.6286676075409676E-3</v>
      </c>
      <c r="L240" s="1">
        <v>6.7075446099620004E-3</v>
      </c>
      <c r="M240" s="13">
        <f t="shared" si="15"/>
        <v>-7.8877002421032759E-5</v>
      </c>
      <c r="O240" s="1">
        <v>0.88117672829412041</v>
      </c>
      <c r="P240" s="1">
        <v>0.8798513470023368</v>
      </c>
      <c r="Q240">
        <f t="shared" si="16"/>
        <v>1.3253812917836116E-3</v>
      </c>
      <c r="R240" s="11">
        <v>19</v>
      </c>
      <c r="S240" s="1">
        <v>0.10707239558416032</v>
      </c>
      <c r="T240" s="1">
        <v>0.10640022028186487</v>
      </c>
      <c r="U240">
        <f t="shared" si="17"/>
        <v>6.7217530229544964E-4</v>
      </c>
      <c r="W240" s="1">
        <v>0.1207136884660986</v>
      </c>
      <c r="X240" s="1">
        <v>0.11904136985964271</v>
      </c>
      <c r="Y240" s="12">
        <f t="shared" si="18"/>
        <v>1.404821372962739E-2</v>
      </c>
    </row>
    <row r="241" spans="11:25" x14ac:dyDescent="0.2">
      <c r="K241" s="1">
        <v>6.6557901827679318E-3</v>
      </c>
      <c r="L241" s="1">
        <v>6.7348496234283951E-3</v>
      </c>
      <c r="M241" s="13">
        <f t="shared" si="15"/>
        <v>-7.9059440660463227E-5</v>
      </c>
      <c r="O241" s="1">
        <v>0.88023240319548512</v>
      </c>
      <c r="P241" s="1">
        <v>0.87889959186456346</v>
      </c>
      <c r="Q241">
        <f t="shared" si="16"/>
        <v>1.3328113309216683E-3</v>
      </c>
      <c r="R241" s="11">
        <v>19.083333333333332</v>
      </c>
      <c r="S241" s="1">
        <v>0.1073725901344845</v>
      </c>
      <c r="T241" s="1">
        <v>0.10663427125994272</v>
      </c>
      <c r="U241">
        <f t="shared" si="17"/>
        <v>7.3831887454177403E-4</v>
      </c>
      <c r="W241" s="1">
        <v>0.12107490608396312</v>
      </c>
      <c r="X241" s="1">
        <v>0.11929628576543246</v>
      </c>
      <c r="Y241" s="12">
        <f t="shared" si="18"/>
        <v>1.490926818985705E-2</v>
      </c>
    </row>
    <row r="242" spans="11:25" x14ac:dyDescent="0.2">
      <c r="K242" s="1">
        <v>6.6829663773815308E-3</v>
      </c>
      <c r="L242" s="1">
        <v>6.762226986514892E-3</v>
      </c>
      <c r="M242" s="13">
        <f t="shared" si="15"/>
        <v>-7.9260609133361207E-5</v>
      </c>
      <c r="O242" s="1">
        <v>0.87928420776660898</v>
      </c>
      <c r="P242" s="1">
        <v>0.87794364813057002</v>
      </c>
      <c r="Q242">
        <f t="shared" si="16"/>
        <v>1.3405596360389627E-3</v>
      </c>
      <c r="R242" s="11">
        <v>19.166666666666664</v>
      </c>
      <c r="S242" s="1">
        <v>0.10763341261508108</v>
      </c>
      <c r="T242" s="1">
        <v>0.10685080688397933</v>
      </c>
      <c r="U242">
        <f t="shared" si="17"/>
        <v>7.8260573110175424E-4</v>
      </c>
      <c r="W242" s="1">
        <v>0.12137395281521829</v>
      </c>
      <c r="X242" s="1">
        <v>0.11952233466566786</v>
      </c>
      <c r="Y242" s="12">
        <f t="shared" si="18"/>
        <v>1.5491817112925688E-2</v>
      </c>
    </row>
    <row r="243" spans="11:25" x14ac:dyDescent="0.2">
      <c r="K243" s="1">
        <v>6.7101920783445707E-3</v>
      </c>
      <c r="L243" s="1">
        <v>6.7895211695911308E-3</v>
      </c>
      <c r="M243" s="13">
        <f t="shared" si="15"/>
        <v>-7.9329091246560166E-5</v>
      </c>
      <c r="O243" s="1">
        <v>0.87833221477079748</v>
      </c>
      <c r="P243" s="1">
        <v>0.87698615286210768</v>
      </c>
      <c r="Q243">
        <f t="shared" si="16"/>
        <v>1.3460619086897996E-3</v>
      </c>
      <c r="R243" s="11">
        <v>19.249999999999996</v>
      </c>
      <c r="S243" s="1">
        <v>0.10783522036574987</v>
      </c>
      <c r="T243" s="1">
        <v>0.10718220106982349</v>
      </c>
      <c r="U243">
        <f t="shared" si="17"/>
        <v>6.530192959263853E-4</v>
      </c>
      <c r="W243" s="1">
        <v>0.12158041546522837</v>
      </c>
      <c r="X243" s="1">
        <v>0.11992414745588731</v>
      </c>
      <c r="Y243" s="12">
        <f t="shared" si="18"/>
        <v>1.3810963383753094E-2</v>
      </c>
    </row>
    <row r="244" spans="11:25" x14ac:dyDescent="0.2">
      <c r="K244" s="1">
        <v>6.7370913349575068E-3</v>
      </c>
      <c r="L244" s="1">
        <v>6.8164675415215105E-3</v>
      </c>
      <c r="M244" s="13">
        <f t="shared" si="15"/>
        <v>-7.9376206564003675E-5</v>
      </c>
      <c r="O244" s="1">
        <v>0.87738283251757743</v>
      </c>
      <c r="P244" s="1">
        <v>0.87603163288546126</v>
      </c>
      <c r="Q244">
        <f t="shared" si="16"/>
        <v>1.3511996321161623E-3</v>
      </c>
      <c r="R244" s="11">
        <v>19.333333333333329</v>
      </c>
      <c r="S244" s="1">
        <v>0.10801402029515882</v>
      </c>
      <c r="T244" s="1">
        <v>0.10740940073108328</v>
      </c>
      <c r="U244">
        <f t="shared" si="17"/>
        <v>6.0461956407553696E-4</v>
      </c>
      <c r="W244" s="1">
        <v>0.12175260781211289</v>
      </c>
      <c r="X244" s="1">
        <v>0.12016744069870806</v>
      </c>
      <c r="Y244" s="12">
        <f t="shared" si="18"/>
        <v>1.3191319580311722E-2</v>
      </c>
    </row>
    <row r="245" spans="11:25" x14ac:dyDescent="0.2">
      <c r="K245" s="1">
        <v>6.7634332595732224E-3</v>
      </c>
      <c r="L245" s="1">
        <v>6.8428341003159967E-3</v>
      </c>
      <c r="M245" s="13">
        <f t="shared" si="15"/>
        <v>-7.9400840742774315E-5</v>
      </c>
      <c r="O245" s="1">
        <v>0.87644007228963272</v>
      </c>
      <c r="P245" s="1">
        <v>0.87508411575267642</v>
      </c>
      <c r="Q245">
        <f t="shared" si="16"/>
        <v>1.3559565369563042E-3</v>
      </c>
      <c r="R245" s="11">
        <v>19.416666666666661</v>
      </c>
      <c r="S245" s="1">
        <v>0.10820066379524285</v>
      </c>
      <c r="T245" s="1">
        <v>0.10768385948447526</v>
      </c>
      <c r="U245">
        <f t="shared" si="17"/>
        <v>5.1680431076758793E-4</v>
      </c>
      <c r="W245" s="1">
        <v>0.12193996164990201</v>
      </c>
      <c r="X245" s="1">
        <v>0.12048691121316717</v>
      </c>
      <c r="Y245" s="12">
        <f t="shared" si="18"/>
        <v>1.2059819793737381E-2</v>
      </c>
    </row>
    <row r="246" spans="11:25" x14ac:dyDescent="0.2">
      <c r="K246" s="1">
        <v>6.7890543645743907E-3</v>
      </c>
      <c r="L246" s="1">
        <v>6.8684300501423018E-3</v>
      </c>
      <c r="M246" s="13">
        <f t="shared" si="15"/>
        <v>-7.9375685567911053E-5</v>
      </c>
      <c r="O246" s="1">
        <v>0.87550683997259493</v>
      </c>
      <c r="P246" s="1">
        <v>0.87414697386390328</v>
      </c>
      <c r="Q246">
        <f t="shared" si="16"/>
        <v>1.3598661086916541E-3</v>
      </c>
      <c r="R246" s="11">
        <v>19.499999999999993</v>
      </c>
      <c r="S246" s="1">
        <v>0.10841647539326436</v>
      </c>
      <c r="T246" s="1">
        <v>0.10785123266890558</v>
      </c>
      <c r="U246">
        <f t="shared" si="17"/>
        <v>5.6524272435878875E-4</v>
      </c>
      <c r="W246" s="1">
        <v>0.12217685744999553</v>
      </c>
      <c r="X246" s="1">
        <v>0.12064643984435496</v>
      </c>
      <c r="Y246" s="12">
        <f t="shared" si="18"/>
        <v>1.2685145186339231E-2</v>
      </c>
    </row>
    <row r="247" spans="11:25" x14ac:dyDescent="0.2">
      <c r="K247" s="1">
        <v>6.8136642959201812E-3</v>
      </c>
      <c r="L247" s="1">
        <v>6.893043984683862E-3</v>
      </c>
      <c r="M247" s="13">
        <f t="shared" si="15"/>
        <v>-7.937968876368072E-5</v>
      </c>
      <c r="O247" s="1">
        <v>0.87458825902587745</v>
      </c>
      <c r="P247" s="1">
        <v>0.87322397485671754</v>
      </c>
      <c r="Q247">
        <f t="shared" si="16"/>
        <v>1.3642841691599017E-3</v>
      </c>
      <c r="R247" s="11">
        <v>19.583333333333325</v>
      </c>
      <c r="S247" s="1">
        <v>0.10877218871714182</v>
      </c>
      <c r="T247" s="1">
        <v>0.10805426735109944</v>
      </c>
      <c r="U247">
        <f t="shared" si="17"/>
        <v>7.1792136604238721E-4</v>
      </c>
      <c r="W247" s="1">
        <v>0.12263714333573703</v>
      </c>
      <c r="X247" s="1">
        <v>0.12086764070281299</v>
      </c>
      <c r="Y247" s="12">
        <f t="shared" si="18"/>
        <v>1.464000308630875E-2</v>
      </c>
    </row>
    <row r="248" spans="11:25" x14ac:dyDescent="0.2">
      <c r="K248" s="1">
        <v>6.8370366492713601E-3</v>
      </c>
      <c r="L248" s="1">
        <v>6.9163672567634817E-3</v>
      </c>
      <c r="M248" s="13">
        <f t="shared" si="15"/>
        <v>-7.9330607492121563E-5</v>
      </c>
      <c r="O248" s="1">
        <v>0.87368841294072974</v>
      </c>
      <c r="P248" s="1">
        <v>0.87232060765216957</v>
      </c>
      <c r="Q248">
        <f t="shared" si="16"/>
        <v>1.3678052885601755E-3</v>
      </c>
      <c r="R248" s="11">
        <v>19.666666666666657</v>
      </c>
      <c r="S248" s="1">
        <v>0.10900207576641874</v>
      </c>
      <c r="T248" s="1">
        <v>0.10830489114505459</v>
      </c>
      <c r="U248">
        <f t="shared" si="17"/>
        <v>6.9718462136414416E-4</v>
      </c>
      <c r="W248" s="1">
        <v>0.1229121685753603</v>
      </c>
      <c r="X248" s="1">
        <v>0.12117176311374203</v>
      </c>
      <c r="Y248" s="12">
        <f t="shared" si="18"/>
        <v>1.4363127323521629E-2</v>
      </c>
    </row>
    <row r="249" spans="11:25" x14ac:dyDescent="0.2">
      <c r="K249" s="1">
        <v>6.8590409233878508E-3</v>
      </c>
      <c r="L249" s="1">
        <v>6.9382409151726452E-3</v>
      </c>
      <c r="M249" s="13">
        <f t="shared" si="15"/>
        <v>-7.9199991784794331E-5</v>
      </c>
      <c r="O249" s="1">
        <v>0.8728097749632816</v>
      </c>
      <c r="P249" s="1">
        <v>0.8714398417381064</v>
      </c>
      <c r="Q249">
        <f t="shared" si="16"/>
        <v>1.3699332251752017E-3</v>
      </c>
      <c r="R249" s="11">
        <v>19.749999999999989</v>
      </c>
      <c r="S249" s="1">
        <v>0.10921731774158941</v>
      </c>
      <c r="T249" s="1">
        <v>0.10865787149431598</v>
      </c>
      <c r="U249">
        <f t="shared" si="17"/>
        <v>5.5944624727342906E-4</v>
      </c>
      <c r="W249" s="1">
        <v>0.12317478807528608</v>
      </c>
      <c r="X249" s="1">
        <v>0.1216451974238541</v>
      </c>
      <c r="Y249" s="12">
        <f t="shared" si="18"/>
        <v>1.2574196793831094E-2</v>
      </c>
    </row>
    <row r="250" spans="11:25" x14ac:dyDescent="0.2">
      <c r="K250" s="1">
        <v>6.8794748856679383E-3</v>
      </c>
      <c r="L250" s="1">
        <v>6.9584987938123592E-3</v>
      </c>
      <c r="M250" s="13">
        <f t="shared" si="15"/>
        <v>-7.9023908144420889E-5</v>
      </c>
      <c r="O250" s="1">
        <v>0.87195609323153245</v>
      </c>
      <c r="P250" s="1">
        <v>0.87058480719374243</v>
      </c>
      <c r="Q250">
        <f t="shared" si="16"/>
        <v>1.3712860377900205E-3</v>
      </c>
      <c r="R250" s="11">
        <v>19.833333333333321</v>
      </c>
      <c r="S250" s="1">
        <v>0.10938269114116064</v>
      </c>
      <c r="T250" s="1">
        <v>0.10895454312469664</v>
      </c>
      <c r="U250">
        <f t="shared" si="17"/>
        <v>4.2814801646400003E-4</v>
      </c>
      <c r="W250" s="1">
        <v>0.12337209861698975</v>
      </c>
      <c r="X250" s="1">
        <v>0.12204428396052767</v>
      </c>
      <c r="Y250" s="12">
        <f t="shared" si="18"/>
        <v>1.0879777514951172E-2</v>
      </c>
    </row>
    <row r="251" spans="11:25" x14ac:dyDescent="0.2">
      <c r="K251" s="1">
        <v>6.8981147670129387E-3</v>
      </c>
      <c r="L251" s="1">
        <v>6.9768316103126738E-3</v>
      </c>
      <c r="M251" s="13">
        <f t="shared" si="15"/>
        <v>-7.8716843299735106E-5</v>
      </c>
      <c r="O251" s="1">
        <v>0.8711315368447744</v>
      </c>
      <c r="P251" s="1">
        <v>0.86976116135056325</v>
      </c>
      <c r="Q251">
        <f t="shared" si="16"/>
        <v>1.3703754942111512E-3</v>
      </c>
      <c r="R251" s="11">
        <v>19.916666666666654</v>
      </c>
      <c r="S251" s="1">
        <v>0.10966792848454145</v>
      </c>
      <c r="T251" s="1">
        <v>0.10925695378106864</v>
      </c>
      <c r="U251">
        <f t="shared" si="17"/>
        <v>4.1097470347280229E-4</v>
      </c>
      <c r="W251" s="1">
        <v>0.12376948474771714</v>
      </c>
      <c r="X251" s="1">
        <v>0.12246767085637855</v>
      </c>
      <c r="Y251" s="12">
        <f t="shared" si="18"/>
        <v>1.0629857514521168E-2</v>
      </c>
    </row>
    <row r="252" spans="11:25" x14ac:dyDescent="0.2">
      <c r="K252" s="1">
        <v>6.9147969715734215E-3</v>
      </c>
      <c r="L252" s="1">
        <v>6.9932039910567002E-3</v>
      </c>
      <c r="M252" s="13">
        <f t="shared" si="15"/>
        <v>-7.8407019483278662E-5</v>
      </c>
      <c r="O252" s="1">
        <v>0.87033927463074778</v>
      </c>
      <c r="P252" s="1">
        <v>0.86896985221589673</v>
      </c>
      <c r="Q252">
        <f t="shared" si="16"/>
        <v>1.3694224148510514E-3</v>
      </c>
      <c r="R252" s="11">
        <v>19.999999999999986</v>
      </c>
      <c r="S252" s="1">
        <v>0.10990975750594557</v>
      </c>
      <c r="T252" s="1">
        <v>0.10946258346969952</v>
      </c>
      <c r="U252">
        <f t="shared" si="17"/>
        <v>4.4717403624605634E-4</v>
      </c>
      <c r="W252" s="1">
        <v>0.12411524941417847</v>
      </c>
      <c r="X252" s="1">
        <v>0.12275672468234336</v>
      </c>
      <c r="Y252" s="12">
        <f t="shared" si="18"/>
        <v>1.1066804978306033E-2</v>
      </c>
    </row>
    <row r="253" spans="11:25" x14ac:dyDescent="0.2">
      <c r="K253" s="1">
        <v>6.9295799549554341E-3</v>
      </c>
      <c r="L253" s="1">
        <v>7.0077603592905921E-3</v>
      </c>
      <c r="M253" s="13">
        <f t="shared" si="15"/>
        <v>-7.818040433515798E-5</v>
      </c>
      <c r="O253" s="1">
        <v>0.86957862034986322</v>
      </c>
      <c r="P253" s="1">
        <v>0.86820868974524623</v>
      </c>
      <c r="Q253">
        <f t="shared" si="16"/>
        <v>1.3699306046169868E-3</v>
      </c>
      <c r="R253" s="11">
        <v>20.083333333333318</v>
      </c>
      <c r="S253" s="1">
        <v>0.11010746674709536</v>
      </c>
      <c r="T253" s="1">
        <v>0.10972108610094608</v>
      </c>
      <c r="U253">
        <f t="shared" si="17"/>
        <v>3.8638064614927858E-4</v>
      </c>
      <c r="W253" s="1">
        <v>0.12440772387531088</v>
      </c>
      <c r="X253" s="1">
        <v>0.12314244552988753</v>
      </c>
      <c r="Y253" s="12">
        <f t="shared" si="18"/>
        <v>1.0274916499983355E-2</v>
      </c>
    </row>
    <row r="254" spans="11:25" x14ac:dyDescent="0.2">
      <c r="K254" s="1">
        <v>6.942726058008916E-3</v>
      </c>
      <c r="L254" s="1">
        <v>7.0205852098158723E-3</v>
      </c>
      <c r="M254" s="13">
        <f t="shared" si="15"/>
        <v>-7.785915180695633E-5</v>
      </c>
      <c r="O254" s="1">
        <v>0.8688452892290085</v>
      </c>
      <c r="P254" s="1">
        <v>0.86747650552274569</v>
      </c>
      <c r="Q254">
        <f t="shared" si="16"/>
        <v>1.3687837062628105E-3</v>
      </c>
      <c r="R254" s="11">
        <v>20.16666666666665</v>
      </c>
      <c r="S254" s="1">
        <v>0.11032836736272314</v>
      </c>
      <c r="T254" s="1">
        <v>0.11005021765993177</v>
      </c>
      <c r="U254">
        <f t="shared" si="17"/>
        <v>2.7814970279137208E-4</v>
      </c>
      <c r="W254" s="1">
        <v>0.12474951270332285</v>
      </c>
      <c r="X254" s="1">
        <v>0.12365221460701216</v>
      </c>
      <c r="Y254" s="12">
        <f t="shared" si="18"/>
        <v>8.8740674786786933E-3</v>
      </c>
    </row>
    <row r="255" spans="11:25" x14ac:dyDescent="0.2">
      <c r="K255" s="1">
        <v>6.9545176834062625E-3</v>
      </c>
      <c r="L255" s="1">
        <v>7.0320311874265233E-3</v>
      </c>
      <c r="M255" s="13">
        <f t="shared" si="15"/>
        <v>-7.7513504020260832E-5</v>
      </c>
      <c r="O255" s="1">
        <v>0.86813458349682748</v>
      </c>
      <c r="P255" s="1">
        <v>0.8667673874157299</v>
      </c>
      <c r="Q255">
        <f t="shared" si="16"/>
        <v>1.3671960810975881E-3</v>
      </c>
      <c r="R255" s="11">
        <v>20.249999999999982</v>
      </c>
      <c r="S255" s="1">
        <v>0.11051469154768565</v>
      </c>
      <c r="T255" s="1">
        <v>0.11022297490851198</v>
      </c>
      <c r="U255">
        <f t="shared" si="17"/>
        <v>2.9171663917366975E-4</v>
      </c>
      <c r="W255" s="1">
        <v>0.1250483139063493</v>
      </c>
      <c r="X255" s="1">
        <v>0.1239299152702549</v>
      </c>
      <c r="Y255" s="12">
        <f t="shared" si="18"/>
        <v>9.0244444503613241E-3</v>
      </c>
    </row>
    <row r="256" spans="11:25" x14ac:dyDescent="0.2">
      <c r="K256" s="1">
        <v>6.9651485327686911E-3</v>
      </c>
      <c r="L256" s="1">
        <v>7.0423141537280867E-3</v>
      </c>
      <c r="M256" s="13">
        <f t="shared" si="15"/>
        <v>-7.7165620959395581E-5</v>
      </c>
      <c r="O256" s="1">
        <v>0.86744331184093293</v>
      </c>
      <c r="P256" s="1">
        <v>0.86607776144146031</v>
      </c>
      <c r="Q256">
        <f t="shared" si="16"/>
        <v>1.3655503994726148E-3</v>
      </c>
      <c r="R256" s="11">
        <v>20.333333333333314</v>
      </c>
      <c r="S256" s="1">
        <v>0.1108363563259772</v>
      </c>
      <c r="T256" s="1">
        <v>0.11048865420468079</v>
      </c>
      <c r="U256">
        <f t="shared" si="17"/>
        <v>3.4770212129640876E-4</v>
      </c>
      <c r="W256" s="1">
        <v>0.12556792265959915</v>
      </c>
      <c r="X256" s="1">
        <v>0.12436182051150688</v>
      </c>
      <c r="Y256" s="12">
        <f t="shared" si="18"/>
        <v>9.6983313940846028E-3</v>
      </c>
    </row>
    <row r="257" spans="11:25" x14ac:dyDescent="0.2">
      <c r="K257" s="1">
        <v>6.9748055145555047E-3</v>
      </c>
      <c r="L257" s="1">
        <v>7.0516045579476373E-3</v>
      </c>
      <c r="M257" s="13">
        <f t="shared" si="15"/>
        <v>-7.679904339213256E-5</v>
      </c>
      <c r="O257" s="1">
        <v>0.86676835914568351</v>
      </c>
      <c r="P257" s="1">
        <v>0.86540480969318045</v>
      </c>
      <c r="Q257">
        <f t="shared" si="16"/>
        <v>1.3635494525030545E-3</v>
      </c>
      <c r="R257" s="11">
        <v>20.416666666666647</v>
      </c>
      <c r="S257" s="1">
        <v>0.11107365122482428</v>
      </c>
      <c r="T257" s="1">
        <v>0.11079234324873592</v>
      </c>
      <c r="U257">
        <f t="shared" si="17"/>
        <v>2.8130797608835745E-4</v>
      </c>
      <c r="W257" s="1">
        <v>0.12596384618402068</v>
      </c>
      <c r="X257" s="1">
        <v>0.12486135578607059</v>
      </c>
      <c r="Y257" s="12">
        <f t="shared" si="18"/>
        <v>8.8297166966457841E-3</v>
      </c>
    </row>
    <row r="258" spans="11:25" x14ac:dyDescent="0.2">
      <c r="K258" s="1">
        <v>6.9836968097913271E-3</v>
      </c>
      <c r="L258" s="1">
        <v>7.0601570428203576E-3</v>
      </c>
      <c r="M258" s="13">
        <f t="shared" si="15"/>
        <v>-7.6460233029030517E-5</v>
      </c>
      <c r="O258" s="1">
        <v>0.86610618770922521</v>
      </c>
      <c r="P258" s="1">
        <v>0.86474417624555644</v>
      </c>
      <c r="Q258">
        <f t="shared" si="16"/>
        <v>1.3620114636687664E-3</v>
      </c>
      <c r="R258" s="11">
        <v>20.499999999999979</v>
      </c>
      <c r="S258" s="1">
        <v>0.11138731937347179</v>
      </c>
      <c r="T258" s="1">
        <v>0.11101387469824857</v>
      </c>
      <c r="U258">
        <f t="shared" si="17"/>
        <v>3.7344467522322511E-4</v>
      </c>
      <c r="W258" s="1">
        <v>0.1264857184389882</v>
      </c>
      <c r="X258" s="1">
        <v>0.12523869653280942</v>
      </c>
      <c r="Y258" s="12">
        <f t="shared" si="18"/>
        <v>9.9571613303408579E-3</v>
      </c>
    </row>
    <row r="259" spans="11:25" x14ac:dyDescent="0.2">
      <c r="K259" s="1">
        <v>6.9921595209916452E-3</v>
      </c>
      <c r="L259" s="1">
        <v>7.0681871991215995E-3</v>
      </c>
      <c r="M259" s="13">
        <f t="shared" si="15"/>
        <v>-7.6027678129954313E-5</v>
      </c>
      <c r="O259" s="1">
        <v>0.86545090526916613</v>
      </c>
      <c r="P259" s="1">
        <v>0.86409214307939308</v>
      </c>
      <c r="Q259">
        <f t="shared" si="16"/>
        <v>1.358762189773044E-3</v>
      </c>
      <c r="R259" s="11">
        <v>20.583333333333311</v>
      </c>
      <c r="S259" s="1">
        <v>0.11165492033974769</v>
      </c>
      <c r="T259" s="1">
        <v>0.11130852579737607</v>
      </c>
      <c r="U259">
        <f t="shared" si="17"/>
        <v>3.4639454237161971E-4</v>
      </c>
      <c r="W259" s="1">
        <v>0.12693904905318507</v>
      </c>
      <c r="X259" s="1">
        <v>0.12573473079759509</v>
      </c>
      <c r="Y259" s="12">
        <f t="shared" si="18"/>
        <v>9.5782465827096708E-3</v>
      </c>
    </row>
    <row r="260" spans="11:25" x14ac:dyDescent="0.2">
      <c r="K260" s="1">
        <v>7.0003160922198597E-3</v>
      </c>
      <c r="L260" s="1">
        <v>7.0758724075397766E-3</v>
      </c>
      <c r="M260" s="13">
        <f t="shared" si="15"/>
        <v>-7.5556315319916939E-5</v>
      </c>
      <c r="O260" s="1">
        <v>0.86480039239753392</v>
      </c>
      <c r="P260" s="1">
        <v>0.86344562620079213</v>
      </c>
      <c r="Q260">
        <f t="shared" si="16"/>
        <v>1.3547661967417968E-3</v>
      </c>
      <c r="R260" s="11">
        <v>20.666666666666643</v>
      </c>
      <c r="S260" s="1">
        <v>0.1118776546295263</v>
      </c>
      <c r="T260" s="1">
        <v>0.11158039411059351</v>
      </c>
      <c r="U260">
        <f t="shared" si="17"/>
        <v>2.9726051893279315E-4</v>
      </c>
      <c r="W260" s="1">
        <v>0.12732441336090677</v>
      </c>
      <c r="X260" s="1">
        <v>0.12619801943046949</v>
      </c>
      <c r="Y260" s="12">
        <f t="shared" si="18"/>
        <v>8.9256070382142116E-3</v>
      </c>
    </row>
    <row r="261" spans="11:25" x14ac:dyDescent="0.2">
      <c r="K261" s="1">
        <v>7.0083410839977996E-3</v>
      </c>
      <c r="L261" s="1">
        <v>7.0832820706968266E-3</v>
      </c>
      <c r="M261" s="13">
        <f t="shared" si="15"/>
        <v>-7.4940986699027073E-5</v>
      </c>
      <c r="O261" s="1">
        <v>0.86415156257387404</v>
      </c>
      <c r="P261" s="1">
        <v>0.86280344084833027</v>
      </c>
      <c r="Q261">
        <f t="shared" si="16"/>
        <v>1.3481217255437716E-3</v>
      </c>
      <c r="R261" s="11">
        <v>20.749999999999975</v>
      </c>
      <c r="S261" s="1">
        <v>0.11213749562924429</v>
      </c>
      <c r="T261" s="1">
        <v>0.11185180486554926</v>
      </c>
      <c r="U261">
        <f t="shared" si="17"/>
        <v>2.8569076369502899E-4</v>
      </c>
      <c r="W261" s="1">
        <v>0.12776896864174436</v>
      </c>
      <c r="X261" s="1">
        <v>0.12666290439506711</v>
      </c>
      <c r="Y261" s="12">
        <f t="shared" si="18"/>
        <v>8.7323455273644601E-3</v>
      </c>
    </row>
    <row r="262" spans="11:25" x14ac:dyDescent="0.2">
      <c r="K262" s="1">
        <v>7.0165021547827144E-3</v>
      </c>
      <c r="L262" s="1">
        <v>7.0907927314611714E-3</v>
      </c>
      <c r="M262" s="13">
        <f t="shared" si="15"/>
        <v>-7.4290576678457017E-5</v>
      </c>
      <c r="O262" s="1">
        <v>0.86349960681215621</v>
      </c>
      <c r="P262" s="1">
        <v>0.86215884705762313</v>
      </c>
      <c r="Q262">
        <f t="shared" si="16"/>
        <v>1.3407597545330718E-3</v>
      </c>
      <c r="R262" s="11">
        <v>20.833333333333307</v>
      </c>
      <c r="S262" s="1">
        <v>0.1123512459418522</v>
      </c>
      <c r="T262" s="1">
        <v>0.11212065141621541</v>
      </c>
      <c r="U262">
        <f t="shared" si="17"/>
        <v>2.3059452563678473E-4</v>
      </c>
      <c r="W262" s="1">
        <v>0.12813956208864671</v>
      </c>
      <c r="X262" s="1">
        <v>0.12712279011019192</v>
      </c>
      <c r="Y262" s="12">
        <f t="shared" si="18"/>
        <v>7.9983453602099353E-3</v>
      </c>
    </row>
    <row r="263" spans="11:25" x14ac:dyDescent="0.2">
      <c r="K263" s="1">
        <v>7.0249246988346101E-3</v>
      </c>
      <c r="L263" s="1">
        <v>7.0986828136239237E-3</v>
      </c>
      <c r="M263" s="13">
        <f t="shared" si="15"/>
        <v>-7.3758114789313628E-5</v>
      </c>
      <c r="O263" s="1">
        <v>0.86284223146251793</v>
      </c>
      <c r="P263" s="1">
        <v>0.86150679203078928</v>
      </c>
      <c r="Q263">
        <f t="shared" si="16"/>
        <v>1.3354394317286467E-3</v>
      </c>
      <c r="R263" s="11">
        <v>20.916666666666639</v>
      </c>
      <c r="S263" s="1">
        <v>0.11262298832144768</v>
      </c>
      <c r="T263" s="1">
        <v>0.11232565367300808</v>
      </c>
      <c r="U263">
        <f t="shared" si="17"/>
        <v>2.9733464843960389E-4</v>
      </c>
      <c r="W263" s="1">
        <v>0.12859891381365912</v>
      </c>
      <c r="X263" s="1">
        <v>0.12747872630282092</v>
      </c>
      <c r="Y263" s="12">
        <f t="shared" si="18"/>
        <v>8.7872505736936724E-3</v>
      </c>
    </row>
    <row r="264" spans="11:25" x14ac:dyDescent="0.2">
      <c r="K264" s="1">
        <v>7.0339017913586474E-3</v>
      </c>
      <c r="L264" s="1">
        <v>7.1070033217611999E-3</v>
      </c>
      <c r="M264" s="13">
        <f t="shared" si="15"/>
        <v>-7.3101530402552503E-5</v>
      </c>
      <c r="O264" s="1">
        <v>0.8621740659037368</v>
      </c>
      <c r="P264" s="1">
        <v>0.8608462860651156</v>
      </c>
      <c r="Q264">
        <f t="shared" si="16"/>
        <v>1.3277798386212014E-3</v>
      </c>
      <c r="R264" s="11">
        <v>20.999999999999972</v>
      </c>
      <c r="S264" s="1">
        <v>0.11279579327897189</v>
      </c>
      <c r="T264" s="1">
        <v>0.11264454048293651</v>
      </c>
      <c r="U264">
        <f t="shared" si="17"/>
        <v>1.51252796035381E-4</v>
      </c>
      <c r="W264" s="1">
        <v>0.12889697397278491</v>
      </c>
      <c r="X264" s="1">
        <v>0.12800996946021503</v>
      </c>
      <c r="Y264" s="12">
        <f t="shared" si="18"/>
        <v>6.9291830652733477E-3</v>
      </c>
    </row>
    <row r="265" spans="11:25" x14ac:dyDescent="0.2">
      <c r="K265" s="1">
        <v>7.0433117747759066E-3</v>
      </c>
      <c r="L265" s="1">
        <v>7.1158527558313252E-3</v>
      </c>
      <c r="M265" s="13">
        <f t="shared" si="15"/>
        <v>-7.2540981055418605E-5</v>
      </c>
      <c r="O265" s="1">
        <v>0.86149723497544328</v>
      </c>
      <c r="P265" s="1">
        <v>0.86017546340364603</v>
      </c>
      <c r="Q265">
        <f t="shared" si="16"/>
        <v>1.3217715717972478E-3</v>
      </c>
      <c r="R265" s="11">
        <v>21.083333333333304</v>
      </c>
      <c r="S265" s="1">
        <v>0.11307815862056966</v>
      </c>
      <c r="T265" s="1">
        <v>0.11297511121041778</v>
      </c>
      <c r="U265">
        <f t="shared" si="17"/>
        <v>1.0304741015187968E-4</v>
      </c>
      <c r="W265" s="1">
        <v>0.12936376636651067</v>
      </c>
      <c r="X265" s="1">
        <v>0.12855498109853228</v>
      </c>
      <c r="Y265" s="12">
        <f t="shared" si="18"/>
        <v>6.2913569047822193E-3</v>
      </c>
    </row>
    <row r="266" spans="11:25" x14ac:dyDescent="0.2">
      <c r="K266" s="1">
        <v>7.053102312686051E-3</v>
      </c>
      <c r="L266" s="1">
        <v>7.1251200807578617E-3</v>
      </c>
      <c r="M266" s="13">
        <f t="shared" si="15"/>
        <v>-7.2017768071810755E-5</v>
      </c>
      <c r="O266" s="1">
        <v>0.86081262409474579</v>
      </c>
      <c r="P266" s="1">
        <v>0.85949626328299178</v>
      </c>
      <c r="Q266">
        <f t="shared" si="16"/>
        <v>1.3163608117540138E-3</v>
      </c>
      <c r="R266" s="11">
        <v>21.166666666666636</v>
      </c>
      <c r="S266" s="1">
        <v>0.11335354441931303</v>
      </c>
      <c r="T266" s="1">
        <v>0.11323072044577104</v>
      </c>
      <c r="U266">
        <f t="shared" si="17"/>
        <v>1.2282397354199115E-4</v>
      </c>
      <c r="W266" s="1">
        <v>0.12981590833173592</v>
      </c>
      <c r="X266" s="1">
        <v>0.12897785702998443</v>
      </c>
      <c r="Y266" s="12">
        <f t="shared" si="18"/>
        <v>6.4976370444476128E-3</v>
      </c>
    </row>
    <row r="267" spans="11:25" x14ac:dyDescent="0.2">
      <c r="K267" s="1">
        <v>7.0632999126466938E-3</v>
      </c>
      <c r="L267" s="1">
        <v>7.1347703506069527E-3</v>
      </c>
      <c r="M267" s="13">
        <f t="shared" si="15"/>
        <v>-7.1470437960258898E-5</v>
      </c>
      <c r="O267" s="1">
        <v>0.86011968443506326</v>
      </c>
      <c r="P267" s="1">
        <v>0.85880925691014909</v>
      </c>
      <c r="Q267">
        <f t="shared" si="16"/>
        <v>1.3104275249141706E-3</v>
      </c>
      <c r="R267" s="11">
        <v>21.249999999999968</v>
      </c>
      <c r="S267" s="1">
        <v>0.11369798699956403</v>
      </c>
      <c r="T267" s="1">
        <v>0.11355284603381997</v>
      </c>
      <c r="U267">
        <f t="shared" si="17"/>
        <v>1.4514096574405611E-4</v>
      </c>
      <c r="W267" s="1">
        <v>0.13037355199333456</v>
      </c>
      <c r="X267" s="1">
        <v>0.1295022347378359</v>
      </c>
      <c r="Y267" s="12">
        <f t="shared" si="18"/>
        <v>6.728202468957889E-3</v>
      </c>
    </row>
    <row r="268" spans="11:25" x14ac:dyDescent="0.2">
      <c r="K268" s="1">
        <v>7.0738356417193761E-3</v>
      </c>
      <c r="L268" s="1">
        <v>7.1446821596200362E-3</v>
      </c>
      <c r="M268" s="13">
        <f t="shared" ref="M268:M331" si="19">K268-L268</f>
        <v>-7.0846517900660134E-5</v>
      </c>
      <c r="O268" s="1">
        <v>0.85941961830439739</v>
      </c>
      <c r="P268" s="1">
        <v>0.85811661290576047</v>
      </c>
      <c r="Q268">
        <f t="shared" ref="Q268:Q331" si="20">O268-P268</f>
        <v>1.303005398636925E-3</v>
      </c>
      <c r="R268" s="11">
        <v>21.3333333333333</v>
      </c>
      <c r="S268" s="1">
        <v>0.11394904529345642</v>
      </c>
      <c r="T268" s="1">
        <v>0.11390129488522228</v>
      </c>
      <c r="U268">
        <f t="shared" si="17"/>
        <v>4.7750408234140118E-5</v>
      </c>
      <c r="W268" s="1">
        <v>0.13077998180422218</v>
      </c>
      <c r="X268" s="1">
        <v>0.1300658795182961</v>
      </c>
      <c r="Y268" s="12">
        <f t="shared" si="18"/>
        <v>5.4903122061742415E-3</v>
      </c>
    </row>
    <row r="269" spans="11:25" x14ac:dyDescent="0.2">
      <c r="K269" s="1">
        <v>7.0846980465754574E-3</v>
      </c>
      <c r="L269" s="1">
        <v>7.1548005829629733E-3</v>
      </c>
      <c r="M269" s="13">
        <f t="shared" si="19"/>
        <v>-7.0102536387515839E-5</v>
      </c>
      <c r="O269" s="1">
        <v>0.8587125828828972</v>
      </c>
      <c r="P269" s="1">
        <v>0.8574193022500467</v>
      </c>
      <c r="Q269">
        <f t="shared" si="20"/>
        <v>1.293280632850502E-3</v>
      </c>
      <c r="R269" s="11">
        <v>21.416666666666632</v>
      </c>
      <c r="S269" s="1">
        <v>0.11409596299035007</v>
      </c>
      <c r="T269" s="1">
        <v>0.11414199326999273</v>
      </c>
      <c r="U269">
        <f t="shared" ref="U269:U332" si="21">S269-T269</f>
        <v>-4.6030279642658711E-5</v>
      </c>
      <c r="W269" s="1">
        <v>0.13101767161408259</v>
      </c>
      <c r="X269" s="1">
        <v>0.13045681779725765</v>
      </c>
      <c r="Y269" s="12">
        <f t="shared" ref="Y269:Y332" si="22">W269/X269-1</f>
        <v>4.2991529787010929E-3</v>
      </c>
    </row>
    <row r="270" spans="11:25" x14ac:dyDescent="0.2">
      <c r="K270" s="1">
        <v>7.0959065685300372E-3</v>
      </c>
      <c r="L270" s="1">
        <v>7.1651291100425004E-3</v>
      </c>
      <c r="M270" s="13">
        <f t="shared" si="19"/>
        <v>-6.9222541512463202E-5</v>
      </c>
      <c r="O270" s="1">
        <v>0.85799816621863811</v>
      </c>
      <c r="P270" s="1">
        <v>0.8567172284562552</v>
      </c>
      <c r="Q270">
        <f t="shared" si="20"/>
        <v>1.2809377623829166E-3</v>
      </c>
      <c r="R270" s="11">
        <v>21.499999999999964</v>
      </c>
      <c r="S270" s="1">
        <v>0.1143558224401431</v>
      </c>
      <c r="T270" s="1">
        <v>0.11443123367405016</v>
      </c>
      <c r="U270">
        <f t="shared" si="21"/>
        <v>-7.541123390705784E-5</v>
      </c>
      <c r="W270" s="1">
        <v>0.13143097617830019</v>
      </c>
      <c r="X270" s="1">
        <v>0.13092249523650559</v>
      </c>
      <c r="Y270" s="12">
        <f t="shared" si="22"/>
        <v>3.8838317347682505E-3</v>
      </c>
    </row>
    <row r="271" spans="11:25" x14ac:dyDescent="0.2">
      <c r="K271" s="1">
        <v>7.1073693173073944E-3</v>
      </c>
      <c r="L271" s="1">
        <v>7.1756536279641032E-3</v>
      </c>
      <c r="M271" s="13">
        <f t="shared" si="19"/>
        <v>-6.8284310656708744E-5</v>
      </c>
      <c r="O271" s="1">
        <v>0.85727802032921696</v>
      </c>
      <c r="P271" s="1">
        <v>0.85601062094396041</v>
      </c>
      <c r="Q271">
        <f t="shared" si="20"/>
        <v>1.2673993852565513E-3</v>
      </c>
      <c r="R271" s="11">
        <v>21.583333333333297</v>
      </c>
      <c r="S271" s="1">
        <v>0.11458963213431943</v>
      </c>
      <c r="T271" s="1">
        <v>0.11467334595281785</v>
      </c>
      <c r="U271">
        <f t="shared" si="21"/>
        <v>-8.3713818498420967E-5</v>
      </c>
      <c r="W271" s="1">
        <v>0.1318000839339232</v>
      </c>
      <c r="X271" s="1">
        <v>0.13131124480216086</v>
      </c>
      <c r="Y271" s="12">
        <f t="shared" si="22"/>
        <v>3.7227514863547029E-3</v>
      </c>
    </row>
    <row r="272" spans="11:25" x14ac:dyDescent="0.2">
      <c r="K272" s="1">
        <v>7.1189357610485903E-3</v>
      </c>
      <c r="L272" s="1">
        <v>7.1862889366305898E-3</v>
      </c>
      <c r="M272" s="13">
        <f t="shared" si="19"/>
        <v>-6.7353175581999492E-5</v>
      </c>
      <c r="O272" s="1">
        <v>0.8565549106176783</v>
      </c>
      <c r="P272" s="1">
        <v>0.85530103493388454</v>
      </c>
      <c r="Q272">
        <f t="shared" si="20"/>
        <v>1.2538756837937592E-3</v>
      </c>
      <c r="R272" s="11">
        <v>21.666666666666629</v>
      </c>
      <c r="S272" s="1">
        <v>0.11477242392646841</v>
      </c>
      <c r="T272" s="1">
        <v>0.11496886403805345</v>
      </c>
      <c r="U272">
        <f t="shared" si="21"/>
        <v>-1.9644011158503893E-4</v>
      </c>
      <c r="W272" s="1">
        <v>0.13208642814811206</v>
      </c>
      <c r="X272" s="1">
        <v>0.13178350880808001</v>
      </c>
      <c r="Y272" s="12">
        <f t="shared" si="22"/>
        <v>2.2986134059701513E-3</v>
      </c>
    </row>
    <row r="273" spans="11:25" x14ac:dyDescent="0.2">
      <c r="K273" s="1">
        <v>7.130507157087209E-3</v>
      </c>
      <c r="L273" s="1">
        <v>7.1969350064393003E-3</v>
      </c>
      <c r="M273" s="13">
        <f t="shared" si="19"/>
        <v>-6.6427849352091242E-5</v>
      </c>
      <c r="O273" s="1">
        <v>0.85583066848740708</v>
      </c>
      <c r="P273" s="1">
        <v>0.85459032153742209</v>
      </c>
      <c r="Q273">
        <f t="shared" si="20"/>
        <v>1.2403469499849828E-3</v>
      </c>
      <c r="R273" s="11">
        <v>21.749999999999961</v>
      </c>
      <c r="S273" s="1">
        <v>0.11503757598577172</v>
      </c>
      <c r="T273" s="1">
        <v>0.11523054975285443</v>
      </c>
      <c r="U273">
        <f t="shared" si="21"/>
        <v>-1.9297376708271585E-4</v>
      </c>
      <c r="W273" s="1">
        <v>0.13250338090265257</v>
      </c>
      <c r="X273" s="1">
        <v>0.13220153150663611</v>
      </c>
      <c r="Y273" s="12">
        <f t="shared" si="22"/>
        <v>2.283251885030646E-3</v>
      </c>
    </row>
    <row r="274" spans="11:25" x14ac:dyDescent="0.2">
      <c r="K274" s="1">
        <v>7.1420816864630494E-3</v>
      </c>
      <c r="L274" s="1">
        <v>7.2075957070358472E-3</v>
      </c>
      <c r="M274" s="13">
        <f t="shared" si="19"/>
        <v>-6.5514020572797829E-5</v>
      </c>
      <c r="O274" s="1">
        <v>0.85510533087412099</v>
      </c>
      <c r="P274" s="1">
        <v>0.85387840982932628</v>
      </c>
      <c r="Q274">
        <f t="shared" si="20"/>
        <v>1.2269210447947154E-3</v>
      </c>
      <c r="R274" s="11">
        <v>21.833333333333293</v>
      </c>
      <c r="S274" s="1">
        <v>0.11529554483153343</v>
      </c>
      <c r="T274" s="1">
        <v>0.11545123489124318</v>
      </c>
      <c r="U274">
        <f t="shared" si="21"/>
        <v>-1.5569005970975103E-4</v>
      </c>
      <c r="W274" s="1">
        <v>0.13290840452182359</v>
      </c>
      <c r="X274" s="1">
        <v>0.13255366671272364</v>
      </c>
      <c r="Y274" s="12">
        <f t="shared" si="22"/>
        <v>2.6761825447556564E-3</v>
      </c>
    </row>
    <row r="275" spans="11:25" x14ac:dyDescent="0.2">
      <c r="K275" s="1">
        <v>7.1535231636739183E-3</v>
      </c>
      <c r="L275" s="1">
        <v>7.2182751534490604E-3</v>
      </c>
      <c r="M275" s="13">
        <f t="shared" si="19"/>
        <v>-6.4751989775142099E-5</v>
      </c>
      <c r="O275" s="1">
        <v>0.85438146072538601</v>
      </c>
      <c r="P275" s="1">
        <v>0.85316522343130041</v>
      </c>
      <c r="Q275">
        <f t="shared" si="20"/>
        <v>1.2162372940855981E-3</v>
      </c>
      <c r="R275" s="11">
        <v>21.916666666666625</v>
      </c>
      <c r="S275" s="1">
        <v>0.11551241359001442</v>
      </c>
      <c r="T275" s="1">
        <v>0.11567319196119383</v>
      </c>
      <c r="U275">
        <f t="shared" si="21"/>
        <v>-1.6077837117940696E-4</v>
      </c>
      <c r="W275" s="1">
        <v>0.13324850534138105</v>
      </c>
      <c r="X275" s="1">
        <v>0.13290713136749036</v>
      </c>
      <c r="Y275" s="12">
        <f t="shared" si="22"/>
        <v>2.568515100568991E-3</v>
      </c>
    </row>
    <row r="276" spans="11:25" x14ac:dyDescent="0.2">
      <c r="K276" s="1">
        <v>7.1648662517445876E-3</v>
      </c>
      <c r="L276" s="1">
        <v>7.2287936719904692E-3</v>
      </c>
      <c r="M276" s="13">
        <f t="shared" si="19"/>
        <v>-6.3927420245881578E-5</v>
      </c>
      <c r="O276" s="1">
        <v>0.85365843029538158</v>
      </c>
      <c r="P276" s="1">
        <v>0.8524541448900218</v>
      </c>
      <c r="Q276">
        <f t="shared" si="20"/>
        <v>1.2042854053597729E-3</v>
      </c>
      <c r="R276" s="11">
        <v>21.999999999999957</v>
      </c>
      <c r="S276" s="1">
        <v>0.11568123789658873</v>
      </c>
      <c r="T276" s="1">
        <v>0.1159294248749921</v>
      </c>
      <c r="U276">
        <f t="shared" si="21"/>
        <v>-2.4818697840336967E-4</v>
      </c>
      <c r="W276" s="1">
        <v>0.13351205199675634</v>
      </c>
      <c r="X276" s="1">
        <v>0.13331632536543464</v>
      </c>
      <c r="Y276" s="12">
        <f t="shared" si="22"/>
        <v>1.4681370101161662E-3</v>
      </c>
    </row>
    <row r="277" spans="11:25" x14ac:dyDescent="0.2">
      <c r="K277" s="1">
        <v>7.1760824193591111E-3</v>
      </c>
      <c r="L277" s="1">
        <v>7.2392253106963907E-3</v>
      </c>
      <c r="M277" s="13">
        <f t="shared" si="19"/>
        <v>-6.3142891337279565E-5</v>
      </c>
      <c r="O277" s="1">
        <v>0.85293679890386842</v>
      </c>
      <c r="P277" s="1">
        <v>0.85174380614247924</v>
      </c>
      <c r="Q277">
        <f t="shared" si="20"/>
        <v>1.1929927613891778E-3</v>
      </c>
      <c r="R277" s="11">
        <v>22.08333333333329</v>
      </c>
      <c r="S277" s="1">
        <v>0.11586722225048046</v>
      </c>
      <c r="T277" s="1">
        <v>0.11614045950213703</v>
      </c>
      <c r="U277">
        <f t="shared" si="21"/>
        <v>-2.732372516565662E-4</v>
      </c>
      <c r="W277" s="1">
        <v>0.13380351999830994</v>
      </c>
      <c r="X277" s="1">
        <v>0.13365363074904754</v>
      </c>
      <c r="Y277" s="12">
        <f t="shared" si="22"/>
        <v>1.1214753271000522E-3</v>
      </c>
    </row>
    <row r="278" spans="11:25" x14ac:dyDescent="0.2">
      <c r="K278" s="1">
        <v>7.1872394807567814E-3</v>
      </c>
      <c r="L278" s="1">
        <v>7.2495375188036289E-3</v>
      </c>
      <c r="M278" s="13">
        <f t="shared" si="19"/>
        <v>-6.2298038046847484E-5</v>
      </c>
      <c r="O278" s="1">
        <v>0.85221530519733302</v>
      </c>
      <c r="P278" s="1">
        <v>0.85103484117689499</v>
      </c>
      <c r="Q278">
        <f t="shared" si="20"/>
        <v>1.1804640204380323E-3</v>
      </c>
      <c r="R278" s="11">
        <v>22.166666666666622</v>
      </c>
      <c r="S278" s="1">
        <v>0.11605200388959658</v>
      </c>
      <c r="T278" s="1">
        <v>0.11638641674086271</v>
      </c>
      <c r="U278">
        <f t="shared" si="21"/>
        <v>-3.3441285126613318E-4</v>
      </c>
      <c r="W278" s="1">
        <v>0.1340929297400579</v>
      </c>
      <c r="X278" s="1">
        <v>0.13404741617550889</v>
      </c>
      <c r="Y278" s="12">
        <f t="shared" si="22"/>
        <v>3.3953332221958732E-4</v>
      </c>
    </row>
    <row r="279" spans="11:25" x14ac:dyDescent="0.2">
      <c r="K279" s="1">
        <v>7.1983666042330979E-3</v>
      </c>
      <c r="L279" s="1">
        <v>7.2597276938006121E-3</v>
      </c>
      <c r="M279" s="13">
        <f t="shared" si="19"/>
        <v>-6.1361089567514224E-5</v>
      </c>
      <c r="O279" s="1">
        <v>0.85149340775638904</v>
      </c>
      <c r="P279" s="1">
        <v>0.85032732235977204</v>
      </c>
      <c r="Q279">
        <f t="shared" si="20"/>
        <v>1.1660853966170004E-3</v>
      </c>
      <c r="R279" s="11">
        <v>22.249999999999954</v>
      </c>
      <c r="S279" s="1">
        <v>0.11623628529750793</v>
      </c>
      <c r="T279" s="1">
        <v>0.11661742989447341</v>
      </c>
      <c r="U279">
        <f t="shared" si="21"/>
        <v>-3.8114459696547698E-4</v>
      </c>
      <c r="W279" s="1">
        <v>0.13438113464082277</v>
      </c>
      <c r="X279" s="1">
        <v>0.13441796241731749</v>
      </c>
      <c r="Y279" s="12">
        <f t="shared" si="22"/>
        <v>-2.7397957707753218E-4</v>
      </c>
    </row>
    <row r="280" spans="11:25" x14ac:dyDescent="0.2">
      <c r="K280" s="1">
        <v>7.2093754421276727E-3</v>
      </c>
      <c r="L280" s="1">
        <v>7.2698459865952868E-3</v>
      </c>
      <c r="M280" s="13">
        <f t="shared" si="19"/>
        <v>-6.0470544467614191E-5</v>
      </c>
      <c r="O280" s="1">
        <v>0.85077279992917065</v>
      </c>
      <c r="P280" s="1">
        <v>0.84962031782793324</v>
      </c>
      <c r="Q280">
        <f t="shared" si="20"/>
        <v>1.1524821012374176E-3</v>
      </c>
      <c r="R280" s="11">
        <v>22.333333333333286</v>
      </c>
      <c r="S280" s="1">
        <v>0.11648743428560426</v>
      </c>
      <c r="T280" s="1">
        <v>0.11679935279099371</v>
      </c>
      <c r="U280">
        <f t="shared" si="21"/>
        <v>-3.1191850538944688E-4</v>
      </c>
      <c r="W280" s="1">
        <v>0.13477720786381125</v>
      </c>
      <c r="X280" s="1">
        <v>0.13470994419336435</v>
      </c>
      <c r="Y280" s="12">
        <f t="shared" si="22"/>
        <v>4.9932223526383268E-4</v>
      </c>
    </row>
    <row r="281" spans="11:25" x14ac:dyDescent="0.2">
      <c r="K281" s="1">
        <v>7.2202945183296695E-3</v>
      </c>
      <c r="L281" s="1">
        <v>7.2799238135454053E-3</v>
      </c>
      <c r="M281" s="13">
        <f t="shared" si="19"/>
        <v>-5.9629295215735817E-5</v>
      </c>
      <c r="O281" s="1">
        <v>0.85005295905978639</v>
      </c>
      <c r="P281" s="1">
        <v>0.84891324246233724</v>
      </c>
      <c r="Q281">
        <f t="shared" si="20"/>
        <v>1.1397165974491585E-3</v>
      </c>
      <c r="R281" s="11">
        <v>22.416666666666618</v>
      </c>
      <c r="S281" s="1">
        <v>0.11674678154408037</v>
      </c>
      <c r="T281" s="1">
        <v>0.11699085409327684</v>
      </c>
      <c r="U281">
        <f t="shared" si="21"/>
        <v>-2.4407254919646404E-4</v>
      </c>
      <c r="W281" s="1">
        <v>0.13518685729400468</v>
      </c>
      <c r="X281" s="1">
        <v>0.13501705998757688</v>
      </c>
      <c r="Y281" s="12">
        <f t="shared" si="22"/>
        <v>1.2575989022678424E-3</v>
      </c>
    </row>
    <row r="282" spans="11:25" x14ac:dyDescent="0.2">
      <c r="K282" s="1">
        <v>7.231080093022025E-3</v>
      </c>
      <c r="L282" s="1">
        <v>7.2899475385824683E-3</v>
      </c>
      <c r="M282" s="13">
        <f t="shared" si="19"/>
        <v>-5.8867445560443349E-5</v>
      </c>
      <c r="O282" s="1">
        <v>0.84933474225742556</v>
      </c>
      <c r="P282" s="1">
        <v>0.84820636720287379</v>
      </c>
      <c r="Q282">
        <f t="shared" si="20"/>
        <v>1.1283750545517668E-3</v>
      </c>
      <c r="R282" s="11">
        <v>22.49999999999995</v>
      </c>
      <c r="S282" s="1">
        <v>0.11698612283181052</v>
      </c>
      <c r="T282" s="1">
        <v>0.11727225005414722</v>
      </c>
      <c r="U282">
        <f t="shared" si="21"/>
        <v>-2.8612722233670174E-4</v>
      </c>
      <c r="W282" s="1">
        <v>0.1355651340245537</v>
      </c>
      <c r="X282" s="1">
        <v>0.13546862577705582</v>
      </c>
      <c r="Y282" s="12">
        <f t="shared" si="22"/>
        <v>7.1240294159857775E-4</v>
      </c>
    </row>
    <row r="283" spans="11:25" x14ac:dyDescent="0.2">
      <c r="K283" s="1">
        <v>7.2417146321373232E-3</v>
      </c>
      <c r="L283" s="1">
        <v>7.299803991366224E-3</v>
      </c>
      <c r="M283" s="13">
        <f t="shared" si="19"/>
        <v>-5.808935922890085E-5</v>
      </c>
      <c r="O283" s="1">
        <v>0.84861851203085537</v>
      </c>
      <c r="P283" s="1">
        <v>0.8475018779970187</v>
      </c>
      <c r="Q283">
        <f t="shared" si="20"/>
        <v>1.1166340338366609E-3</v>
      </c>
      <c r="R283" s="11">
        <v>22.583333333333282</v>
      </c>
      <c r="S283" s="1">
        <v>0.11722087330996023</v>
      </c>
      <c r="T283" s="1">
        <v>0.11748743810363114</v>
      </c>
      <c r="U283">
        <f t="shared" si="21"/>
        <v>-2.6656479367091757E-4</v>
      </c>
      <c r="W283" s="1">
        <v>0.13593696104459232</v>
      </c>
      <c r="X283" s="1">
        <v>0.13581491584981642</v>
      </c>
      <c r="Y283" s="12">
        <f t="shared" si="22"/>
        <v>8.9861407351499167E-4</v>
      </c>
    </row>
    <row r="284" spans="11:25" x14ac:dyDescent="0.2">
      <c r="K284" s="1">
        <v>7.2522697584171082E-3</v>
      </c>
      <c r="L284" s="1">
        <v>7.3095348095916501E-3</v>
      </c>
      <c r="M284" s="13">
        <f t="shared" si="19"/>
        <v>-5.7265051174541955E-5</v>
      </c>
      <c r="O284" s="1">
        <v>0.84790291480386881</v>
      </c>
      <c r="P284" s="1">
        <v>0.84679900315035084</v>
      </c>
      <c r="Q284">
        <f t="shared" si="20"/>
        <v>1.1039116535179749E-3</v>
      </c>
      <c r="R284" s="11">
        <v>22.666666666666615</v>
      </c>
      <c r="S284" s="1">
        <v>0.11751622761884956</v>
      </c>
      <c r="T284" s="1">
        <v>0.11769865887701086</v>
      </c>
      <c r="U284">
        <f t="shared" si="21"/>
        <v>-1.8243125816130856E-4</v>
      </c>
      <c r="W284" s="1">
        <v>0.13640682159053311</v>
      </c>
      <c r="X284" s="1">
        <v>0.13615549997819301</v>
      </c>
      <c r="Y284" s="12">
        <f t="shared" si="22"/>
        <v>1.8458425284351154E-3</v>
      </c>
    </row>
    <row r="285" spans="11:25" x14ac:dyDescent="0.2">
      <c r="K285" s="1">
        <v>7.2627036265506409E-3</v>
      </c>
      <c r="L285" s="1">
        <v>7.3192629318223996E-3</v>
      </c>
      <c r="M285" s="13">
        <f t="shared" si="19"/>
        <v>-5.6559305271758689E-5</v>
      </c>
      <c r="O285" s="1">
        <v>0.84718877627445399</v>
      </c>
      <c r="P285" s="1">
        <v>0.84609539111553989</v>
      </c>
      <c r="Q285">
        <f t="shared" si="20"/>
        <v>1.0933851589141064E-3</v>
      </c>
      <c r="R285" s="11">
        <v>22.749999999999947</v>
      </c>
      <c r="S285" s="1">
        <v>0.11772487149012316</v>
      </c>
      <c r="T285" s="1">
        <v>0.11792066091646602</v>
      </c>
      <c r="U285">
        <f t="shared" si="21"/>
        <v>-1.9578942634286556E-4</v>
      </c>
      <c r="W285" s="1">
        <v>0.13673752041905626</v>
      </c>
      <c r="X285" s="1">
        <v>0.13651298170924933</v>
      </c>
      <c r="Y285" s="12">
        <f t="shared" si="22"/>
        <v>1.6448158042958738E-3</v>
      </c>
    </row>
    <row r="286" spans="11:25" x14ac:dyDescent="0.2">
      <c r="K286" s="1">
        <v>7.2731204486892412E-3</v>
      </c>
      <c r="L286" s="1">
        <v>7.3289665953772103E-3</v>
      </c>
      <c r="M286" s="13">
        <f t="shared" si="19"/>
        <v>-5.5846146687969084E-5</v>
      </c>
      <c r="O286" s="1">
        <v>0.84647409788553485</v>
      </c>
      <c r="P286" s="1">
        <v>0.84539146688999878</v>
      </c>
      <c r="Q286">
        <f t="shared" si="20"/>
        <v>1.0826309955360713E-3</v>
      </c>
      <c r="R286" s="11">
        <v>22.833333333333279</v>
      </c>
      <c r="S286" s="1">
        <v>0.11808350983748576</v>
      </c>
      <c r="T286" s="1">
        <v>0.11818648982917521</v>
      </c>
      <c r="U286">
        <f t="shared" si="21"/>
        <v>-1.0297999168944194E-4</v>
      </c>
      <c r="W286" s="1">
        <v>0.13731027546150021</v>
      </c>
      <c r="X286" s="1">
        <v>0.13694096834368358</v>
      </c>
      <c r="Y286" s="12">
        <f t="shared" si="22"/>
        <v>2.6968344264206578E-3</v>
      </c>
    </row>
    <row r="287" spans="11:25" x14ac:dyDescent="0.2">
      <c r="K287" s="1">
        <v>7.2834076099254109E-3</v>
      </c>
      <c r="L287" s="1">
        <v>7.338677545451382E-3</v>
      </c>
      <c r="M287" s="13">
        <f t="shared" si="19"/>
        <v>-5.5269935525971078E-5</v>
      </c>
      <c r="O287" s="1">
        <v>0.84576107626236297</v>
      </c>
      <c r="P287" s="1">
        <v>0.84468662065204114</v>
      </c>
      <c r="Q287">
        <f t="shared" si="20"/>
        <v>1.0744556103218228E-3</v>
      </c>
      <c r="R287" s="11">
        <v>22.916666666666611</v>
      </c>
      <c r="S287" s="1">
        <v>0.11833128814351773</v>
      </c>
      <c r="T287" s="1">
        <v>0.11833448051150015</v>
      </c>
      <c r="U287">
        <f t="shared" si="21"/>
        <v>-3.1923679824213957E-6</v>
      </c>
      <c r="W287" s="1">
        <v>0.13770480856664333</v>
      </c>
      <c r="X287" s="1">
        <v>0.13717812033106444</v>
      </c>
      <c r="Y287" s="12">
        <f t="shared" si="22"/>
        <v>3.8394478238059637E-3</v>
      </c>
    </row>
    <row r="288" spans="11:25" x14ac:dyDescent="0.2">
      <c r="K288" s="1">
        <v>7.2935935233777831E-3</v>
      </c>
      <c r="L288" s="1">
        <v>7.3482699341796201E-3</v>
      </c>
      <c r="M288" s="13">
        <f t="shared" si="19"/>
        <v>-5.4676410801837022E-5</v>
      </c>
      <c r="O288" s="1">
        <v>0.84504918138350094</v>
      </c>
      <c r="P288" s="1">
        <v>0.84398330590604165</v>
      </c>
      <c r="Q288">
        <f t="shared" si="20"/>
        <v>1.0658754774592882E-3</v>
      </c>
      <c r="R288" s="11">
        <v>22.999999999999943</v>
      </c>
      <c r="S288" s="1">
        <v>0.1185829232084102</v>
      </c>
      <c r="T288" s="1">
        <v>0.11858808103553636</v>
      </c>
      <c r="U288">
        <f t="shared" si="21"/>
        <v>-5.1578271261648601E-6</v>
      </c>
      <c r="W288" s="1">
        <v>0.13810612672062925</v>
      </c>
      <c r="X288" s="1">
        <v>0.13758652501116145</v>
      </c>
      <c r="Y288" s="12">
        <f t="shared" si="22"/>
        <v>3.7765450462947658E-3</v>
      </c>
    </row>
    <row r="289" spans="11:25" x14ac:dyDescent="0.2">
      <c r="K289" s="1">
        <v>7.3037157759629568E-3</v>
      </c>
      <c r="L289" s="1">
        <v>7.3577997769011094E-3</v>
      </c>
      <c r="M289" s="13">
        <f t="shared" si="19"/>
        <v>-5.4084000938152584E-5</v>
      </c>
      <c r="O289" s="1">
        <v>0.84433769756747457</v>
      </c>
      <c r="P289" s="1">
        <v>0.84328045048338351</v>
      </c>
      <c r="Q289">
        <f t="shared" si="20"/>
        <v>1.0572470840910508E-3</v>
      </c>
      <c r="R289" s="11">
        <v>23.083333333333275</v>
      </c>
      <c r="S289" s="1">
        <v>0.11872552923117098</v>
      </c>
      <c r="T289" s="1">
        <v>0.11883105084593197</v>
      </c>
      <c r="U289">
        <f t="shared" si="21"/>
        <v>-1.0552161476098942E-4</v>
      </c>
      <c r="W289" s="1">
        <v>0.13833087958302173</v>
      </c>
      <c r="X289" s="1">
        <v>0.1379779439646821</v>
      </c>
      <c r="Y289" s="12">
        <f t="shared" si="22"/>
        <v>2.5579133026505385E-3</v>
      </c>
    </row>
    <row r="290" spans="11:25" x14ac:dyDescent="0.2">
      <c r="K290" s="1">
        <v>7.3138289129123417E-3</v>
      </c>
      <c r="L290" s="1">
        <v>7.3674215285564927E-3</v>
      </c>
      <c r="M290" s="13">
        <f t="shared" si="19"/>
        <v>-5.3592615644150986E-5</v>
      </c>
      <c r="O290" s="1">
        <v>0.84362556834474767</v>
      </c>
      <c r="P290" s="1">
        <v>0.84257504162934183</v>
      </c>
      <c r="Q290">
        <f t="shared" si="20"/>
        <v>1.0505267154058417E-3</v>
      </c>
      <c r="R290" s="11">
        <v>23.166666666666607</v>
      </c>
      <c r="S290" s="1">
        <v>0.11902217028212239</v>
      </c>
      <c r="T290" s="1">
        <v>0.11901984671452057</v>
      </c>
      <c r="U290">
        <f t="shared" si="21"/>
        <v>2.3235676018251716E-6</v>
      </c>
      <c r="W290" s="1">
        <v>0.13880492072329972</v>
      </c>
      <c r="X290" s="1">
        <v>0.1382802603925638</v>
      </c>
      <c r="Y290" s="12">
        <f t="shared" si="22"/>
        <v>3.7941809571839791E-3</v>
      </c>
    </row>
    <row r="291" spans="11:25" x14ac:dyDescent="0.2">
      <c r="K291" s="1">
        <v>7.3239844318385809E-3</v>
      </c>
      <c r="L291" s="1">
        <v>7.3771727115865956E-3</v>
      </c>
      <c r="M291" s="13">
        <f t="shared" si="19"/>
        <v>-5.3188279748014704E-5</v>
      </c>
      <c r="O291" s="1">
        <v>0.84291178542798062</v>
      </c>
      <c r="P291" s="1">
        <v>0.84186633031527669</v>
      </c>
      <c r="Q291">
        <f t="shared" si="20"/>
        <v>1.0454551127039302E-3</v>
      </c>
      <c r="R291" s="11">
        <v>23.24999999999994</v>
      </c>
      <c r="S291" s="1">
        <v>0.11921892279847926</v>
      </c>
      <c r="T291" s="1">
        <v>0.11922099587786779</v>
      </c>
      <c r="U291">
        <f t="shared" si="21"/>
        <v>-2.0730793885287424E-6</v>
      </c>
      <c r="W291" s="1">
        <v>0.13911601375279656</v>
      </c>
      <c r="X291" s="1">
        <v>0.13860076969322729</v>
      </c>
      <c r="Y291" s="12">
        <f t="shared" si="22"/>
        <v>3.717468962904702E-3</v>
      </c>
    </row>
    <row r="292" spans="11:25" x14ac:dyDescent="0.2">
      <c r="K292" s="1">
        <v>7.3342317224121293E-3</v>
      </c>
      <c r="L292" s="1">
        <v>7.3870434694184722E-3</v>
      </c>
      <c r="M292" s="13">
        <f t="shared" si="19"/>
        <v>-5.2811747006342898E-5</v>
      </c>
      <c r="O292" s="1">
        <v>0.84219537107475428</v>
      </c>
      <c r="P292" s="1">
        <v>0.84115449279721766</v>
      </c>
      <c r="Q292">
        <f t="shared" si="20"/>
        <v>1.0408782775366276E-3</v>
      </c>
      <c r="R292" s="11">
        <v>23.333333333333272</v>
      </c>
      <c r="S292" s="1">
        <v>0.1194541060234936</v>
      </c>
      <c r="T292" s="1">
        <v>0.1194272696712774</v>
      </c>
      <c r="U292">
        <f t="shared" si="21"/>
        <v>2.6836352216202952E-5</v>
      </c>
      <c r="W292" s="1">
        <v>0.13948809150049618</v>
      </c>
      <c r="X292" s="1">
        <v>0.13892787466364537</v>
      </c>
      <c r="Y292" s="12">
        <f t="shared" si="22"/>
        <v>4.0324293321778448E-3</v>
      </c>
    </row>
    <row r="293" spans="11:25" x14ac:dyDescent="0.2">
      <c r="K293" s="1">
        <v>7.344629980715057E-3</v>
      </c>
      <c r="L293" s="1">
        <v>7.397072341941837E-3</v>
      </c>
      <c r="M293" s="13">
        <f t="shared" si="19"/>
        <v>-5.2442361226780025E-5</v>
      </c>
      <c r="O293" s="1">
        <v>0.84147514313409133</v>
      </c>
      <c r="P293" s="1">
        <v>0.84043875171695692</v>
      </c>
      <c r="Q293">
        <f t="shared" si="20"/>
        <v>1.036391417134408E-3</v>
      </c>
      <c r="R293" s="11">
        <v>23.416666666666604</v>
      </c>
      <c r="S293" s="1">
        <v>0.11968260802503433</v>
      </c>
      <c r="T293" s="1">
        <v>0.11970170937548577</v>
      </c>
      <c r="U293">
        <f t="shared" si="21"/>
        <v>-1.9101350451439236E-5</v>
      </c>
      <c r="W293" s="1">
        <v>0.13984732469166253</v>
      </c>
      <c r="X293" s="1">
        <v>0.1393636695832591</v>
      </c>
      <c r="Y293" s="12">
        <f t="shared" si="22"/>
        <v>3.4704533100320401E-3</v>
      </c>
    </row>
    <row r="294" spans="11:25" x14ac:dyDescent="0.2">
      <c r="K294" s="1">
        <v>7.355192010527976E-3</v>
      </c>
      <c r="L294" s="1">
        <v>7.4072740881589083E-3</v>
      </c>
      <c r="M294" s="13">
        <f t="shared" si="19"/>
        <v>-5.2082077630932234E-5</v>
      </c>
      <c r="O294" s="1">
        <v>0.84075082683330926</v>
      </c>
      <c r="P294" s="1">
        <v>0.8397187925956956</v>
      </c>
      <c r="Q294">
        <f t="shared" si="20"/>
        <v>1.032034237613666E-3</v>
      </c>
      <c r="R294" s="11">
        <v>23.499999999999936</v>
      </c>
      <c r="S294" s="1">
        <v>0.11991186121674581</v>
      </c>
      <c r="T294" s="1">
        <v>0.11992866581227067</v>
      </c>
      <c r="U294">
        <f t="shared" si="21"/>
        <v>-1.6804595524860799E-5</v>
      </c>
      <c r="W294" s="1">
        <v>0.14020564656847187</v>
      </c>
      <c r="X294" s="1">
        <v>0.13972016218361308</v>
      </c>
      <c r="Y294" s="12">
        <f t="shared" si="22"/>
        <v>3.4746909627887401E-3</v>
      </c>
    </row>
    <row r="295" spans="11:25" x14ac:dyDescent="0.2">
      <c r="K295" s="1">
        <v>7.3660310277669522E-3</v>
      </c>
      <c r="L295" s="1">
        <v>7.4177566445829089E-3</v>
      </c>
      <c r="M295" s="13">
        <f t="shared" si="19"/>
        <v>-5.1725616815956679E-5</v>
      </c>
      <c r="O295" s="1">
        <v>0.84002014861124918</v>
      </c>
      <c r="P295" s="1">
        <v>0.83899244785363059</v>
      </c>
      <c r="Q295">
        <f t="shared" si="20"/>
        <v>1.0277007576185992E-3</v>
      </c>
      <c r="R295" s="11">
        <v>23.583333333333268</v>
      </c>
      <c r="S295" s="1">
        <v>0.12016519457386846</v>
      </c>
      <c r="T295" s="1">
        <v>0.12010281697807138</v>
      </c>
      <c r="U295">
        <f t="shared" si="21"/>
        <v>6.2377595797080687E-5</v>
      </c>
      <c r="W295" s="1">
        <v>0.14059995576730411</v>
      </c>
      <c r="X295" s="1">
        <v>0.13998739103469221</v>
      </c>
      <c r="Y295" s="12">
        <f t="shared" si="22"/>
        <v>4.3758564831035685E-3</v>
      </c>
    </row>
    <row r="296" spans="11:25" x14ac:dyDescent="0.2">
      <c r="K296" s="1">
        <v>7.3772710166422331E-3</v>
      </c>
      <c r="L296" s="1">
        <v>7.4285073089803595E-3</v>
      </c>
      <c r="M296" s="13">
        <f t="shared" si="19"/>
        <v>-5.1236292338126439E-5</v>
      </c>
      <c r="O296" s="1">
        <v>0.83928059665582355</v>
      </c>
      <c r="P296" s="1">
        <v>0.83825992916988556</v>
      </c>
      <c r="Q296">
        <f t="shared" si="20"/>
        <v>1.0206674859379872E-3</v>
      </c>
      <c r="R296" s="11">
        <v>23.6666666666666</v>
      </c>
      <c r="S296" s="1">
        <v>0.12037191713597463</v>
      </c>
      <c r="T296" s="1">
        <v>0.12032119498633125</v>
      </c>
      <c r="U296">
        <f t="shared" si="21"/>
        <v>5.0722149643384062E-5</v>
      </c>
      <c r="W296" s="1">
        <v>0.14091374965814701</v>
      </c>
      <c r="X296" s="1">
        <v>0.14032335819243907</v>
      </c>
      <c r="Y296" s="12">
        <f t="shared" si="22"/>
        <v>4.2073641431690234E-3</v>
      </c>
    </row>
    <row r="297" spans="11:25" x14ac:dyDescent="0.2">
      <c r="K297" s="1">
        <v>7.3888952808683506E-3</v>
      </c>
      <c r="L297" s="1">
        <v>7.4395055031203387E-3</v>
      </c>
      <c r="M297" s="13">
        <f t="shared" si="19"/>
        <v>-5.0610222251988059E-5</v>
      </c>
      <c r="O297" s="1">
        <v>0.83853244514828662</v>
      </c>
      <c r="P297" s="1">
        <v>0.83752160844195644</v>
      </c>
      <c r="Q297">
        <f t="shared" si="20"/>
        <v>1.010836706330176E-3</v>
      </c>
      <c r="R297" s="11">
        <v>23.749999999999932</v>
      </c>
      <c r="S297" s="1">
        <v>0.12060551767455405</v>
      </c>
      <c r="T297" s="1">
        <v>0.12059561267381376</v>
      </c>
      <c r="U297">
        <f t="shared" si="21"/>
        <v>9.9050007402873286E-6</v>
      </c>
      <c r="W297" s="1">
        <v>0.14126697243026737</v>
      </c>
      <c r="X297" s="1">
        <v>0.14074770191354022</v>
      </c>
      <c r="Y297" s="12">
        <f t="shared" si="22"/>
        <v>3.6893711916243799E-3</v>
      </c>
    </row>
    <row r="298" spans="11:25" x14ac:dyDescent="0.2">
      <c r="K298" s="1">
        <v>7.4008633214667271E-3</v>
      </c>
      <c r="L298" s="1">
        <v>7.4508341094668331E-3</v>
      </c>
      <c r="M298" s="13">
        <f t="shared" si="19"/>
        <v>-4.9970788000106015E-5</v>
      </c>
      <c r="O298" s="1">
        <v>0.8377764492402775</v>
      </c>
      <c r="P298" s="1">
        <v>0.83677579163139293</v>
      </c>
      <c r="Q298">
        <f t="shared" si="20"/>
        <v>1.0006576088845698E-3</v>
      </c>
      <c r="R298" s="11">
        <v>23.833333333333265</v>
      </c>
      <c r="S298" s="1">
        <v>0.12079706304492864</v>
      </c>
      <c r="T298" s="1">
        <v>0.12075281929370257</v>
      </c>
      <c r="U298">
        <f t="shared" si="21"/>
        <v>4.424375122606683E-5</v>
      </c>
      <c r="W298" s="1">
        <v>0.14154743216213861</v>
      </c>
      <c r="X298" s="1">
        <v>0.14097696977833701</v>
      </c>
      <c r="Y298" s="12">
        <f t="shared" si="22"/>
        <v>4.0464934428550148E-3</v>
      </c>
    </row>
    <row r="299" spans="11:25" x14ac:dyDescent="0.2">
      <c r="K299" s="1">
        <v>7.4131721854985462E-3</v>
      </c>
      <c r="L299" s="1">
        <v>7.4626329312600451E-3</v>
      </c>
      <c r="M299" s="13">
        <f t="shared" si="19"/>
        <v>-4.9460745761498864E-5</v>
      </c>
      <c r="O299" s="1">
        <v>0.83701261874118316</v>
      </c>
      <c r="P299" s="1">
        <v>0.83601962578781663</v>
      </c>
      <c r="Q299">
        <f t="shared" si="20"/>
        <v>9.9299295336652271E-4</v>
      </c>
      <c r="R299" s="11">
        <v>23.916666666666597</v>
      </c>
      <c r="S299" s="1">
        <v>0.1210649371191749</v>
      </c>
      <c r="T299" s="1">
        <v>0.12095870210067457</v>
      </c>
      <c r="U299">
        <f t="shared" si="21"/>
        <v>1.0623501850033634E-4</v>
      </c>
      <c r="W299" s="1">
        <v>0.14194861336909725</v>
      </c>
      <c r="X299" s="1">
        <v>0.14128029146952098</v>
      </c>
      <c r="Y299" s="12">
        <f t="shared" si="22"/>
        <v>4.7304680123798626E-3</v>
      </c>
    </row>
    <row r="300" spans="11:25" x14ac:dyDescent="0.2">
      <c r="K300" s="1">
        <v>7.4258858051230248E-3</v>
      </c>
      <c r="L300" s="1">
        <v>7.4747342912657062E-3</v>
      </c>
      <c r="M300" s="13">
        <f t="shared" si="19"/>
        <v>-4.884848614268144E-5</v>
      </c>
      <c r="O300" s="1">
        <v>0.83623961751866205</v>
      </c>
      <c r="P300" s="1">
        <v>0.8352564149372611</v>
      </c>
      <c r="Q300">
        <f t="shared" si="20"/>
        <v>9.8320258140094374E-4</v>
      </c>
      <c r="R300" s="11">
        <v>23.999999999999929</v>
      </c>
      <c r="S300" s="1">
        <v>0.12125810714348778</v>
      </c>
      <c r="T300" s="1">
        <v>0.12124610415135535</v>
      </c>
      <c r="U300">
        <f t="shared" si="21"/>
        <v>1.2002992132428836E-5</v>
      </c>
      <c r="W300" s="1">
        <v>0.14222287805562733</v>
      </c>
      <c r="X300" s="1">
        <v>0.14171320997929326</v>
      </c>
      <c r="Y300" s="12">
        <f t="shared" si="22"/>
        <v>3.5964754196771143E-3</v>
      </c>
    </row>
    <row r="301" spans="11:25" x14ac:dyDescent="0.2">
      <c r="K301" s="1">
        <v>7.4388933609519526E-3</v>
      </c>
      <c r="L301" s="1">
        <v>7.4870765397280908E-3</v>
      </c>
      <c r="M301" s="13">
        <f t="shared" si="19"/>
        <v>-4.8183178776138244E-5</v>
      </c>
      <c r="O301" s="1">
        <v>0.83545962520720662</v>
      </c>
      <c r="P301" s="1">
        <v>0.83448735978805688</v>
      </c>
      <c r="Q301">
        <f t="shared" si="20"/>
        <v>9.7226541914974263E-4</v>
      </c>
      <c r="R301" s="11">
        <v>24.083333333333261</v>
      </c>
      <c r="S301" s="1">
        <v>0.12141446751751211</v>
      </c>
      <c r="T301" s="1">
        <v>0.12145177494881911</v>
      </c>
      <c r="U301">
        <f t="shared" si="21"/>
        <v>-3.7307431306990435E-5</v>
      </c>
      <c r="W301" s="1">
        <v>0.14243309918664071</v>
      </c>
      <c r="X301" s="1">
        <v>0.14200946846203835</v>
      </c>
      <c r="Y301" s="12">
        <f t="shared" si="22"/>
        <v>2.9831160498681175E-3</v>
      </c>
    </row>
    <row r="302" spans="11:25" x14ac:dyDescent="0.2">
      <c r="K302" s="1">
        <v>7.4518839257528193E-3</v>
      </c>
      <c r="L302" s="1">
        <v>7.4995154623506985E-3</v>
      </c>
      <c r="M302" s="13">
        <f t="shared" si="19"/>
        <v>-4.7631536597879214E-5</v>
      </c>
      <c r="O302" s="1">
        <v>0.8346788948155065</v>
      </c>
      <c r="P302" s="1">
        <v>0.83371534322547691</v>
      </c>
      <c r="Q302">
        <f t="shared" si="20"/>
        <v>9.6355159002958768E-4</v>
      </c>
      <c r="R302" s="11">
        <v>24.166666666666593</v>
      </c>
      <c r="S302" s="1">
        <v>0.1215666617188491</v>
      </c>
      <c r="T302" s="1">
        <v>0.12166442820100365</v>
      </c>
      <c r="U302">
        <f t="shared" si="21"/>
        <v>-9.7766482154551526E-5</v>
      </c>
      <c r="W302" s="1">
        <v>0.14263577818325154</v>
      </c>
      <c r="X302" s="1">
        <v>0.14231547558713128</v>
      </c>
      <c r="Y302" s="12">
        <f t="shared" si="22"/>
        <v>2.2506519041505246E-3</v>
      </c>
    </row>
    <row r="303" spans="11:25" x14ac:dyDescent="0.2">
      <c r="K303" s="1">
        <v>7.4647028902650719E-3</v>
      </c>
      <c r="L303" s="1">
        <v>7.5118948016829577E-3</v>
      </c>
      <c r="M303" s="13">
        <f t="shared" si="19"/>
        <v>-4.7191911417885854E-5</v>
      </c>
      <c r="O303" s="1">
        <v>0.83390057057632383</v>
      </c>
      <c r="P303" s="1">
        <v>0.83294352171669084</v>
      </c>
      <c r="Q303">
        <f t="shared" si="20"/>
        <v>9.570488596329918E-4</v>
      </c>
      <c r="R303" s="11">
        <v>24.249999999999925</v>
      </c>
      <c r="S303" s="1">
        <v>0.12184304309977688</v>
      </c>
      <c r="T303" s="1">
        <v>0.12187032243834707</v>
      </c>
      <c r="U303">
        <f t="shared" si="21"/>
        <v>-2.7279338570190825E-5</v>
      </c>
      <c r="W303" s="1">
        <v>0.14304310394646122</v>
      </c>
      <c r="X303" s="1">
        <v>0.14261030346847564</v>
      </c>
      <c r="Y303" s="12">
        <f t="shared" si="22"/>
        <v>3.0348471846652902E-3</v>
      </c>
    </row>
    <row r="304" spans="11:25" x14ac:dyDescent="0.2">
      <c r="K304" s="1">
        <v>7.4772219935557663E-3</v>
      </c>
      <c r="L304" s="1">
        <v>7.5240759424288553E-3</v>
      </c>
      <c r="M304" s="13">
        <f t="shared" si="19"/>
        <v>-4.6853948873088955E-5</v>
      </c>
      <c r="O304" s="1">
        <v>0.83312729196322266</v>
      </c>
      <c r="P304" s="1">
        <v>0.83217472494883549</v>
      </c>
      <c r="Q304">
        <f t="shared" si="20"/>
        <v>9.5256701438717339E-4</v>
      </c>
      <c r="R304" s="11">
        <v>24.333333333333258</v>
      </c>
      <c r="S304" s="1">
        <v>0.12209761195319245</v>
      </c>
      <c r="T304" s="1">
        <v>0.12210712566700657</v>
      </c>
      <c r="U304">
        <f t="shared" si="21"/>
        <v>-9.5137138141215827E-6</v>
      </c>
      <c r="W304" s="1">
        <v>0.14341708941008566</v>
      </c>
      <c r="X304" s="1">
        <v>0.14295712836309685</v>
      </c>
      <c r="Y304" s="12">
        <f t="shared" si="22"/>
        <v>3.2174754225655633E-3</v>
      </c>
    </row>
    <row r="305" spans="11:25" x14ac:dyDescent="0.2">
      <c r="K305" s="1">
        <v>7.4892959633774073E-3</v>
      </c>
      <c r="L305" s="1">
        <v>7.5358240966583254E-3</v>
      </c>
      <c r="M305" s="13">
        <f t="shared" si="19"/>
        <v>-4.6528133280918094E-5</v>
      </c>
      <c r="O305" s="1">
        <v>0.83236207119294081</v>
      </c>
      <c r="P305" s="1">
        <v>0.83141376959077884</v>
      </c>
      <c r="Q305">
        <f t="shared" si="20"/>
        <v>9.4830160216197168E-4</v>
      </c>
      <c r="R305" s="11">
        <v>24.41666666666659</v>
      </c>
      <c r="S305" s="1">
        <v>0.12231946766514119</v>
      </c>
      <c r="T305" s="1">
        <v>0.1223544579280335</v>
      </c>
      <c r="U305">
        <f t="shared" si="21"/>
        <v>-3.4990262892303781E-5</v>
      </c>
      <c r="W305" s="1">
        <v>0.14374124012905465</v>
      </c>
      <c r="X305" s="1">
        <v>0.14332501467807854</v>
      </c>
      <c r="Y305" s="12">
        <f t="shared" si="22"/>
        <v>2.904067038897562E-3</v>
      </c>
    </row>
    <row r="306" spans="11:25" x14ac:dyDescent="0.2">
      <c r="K306" s="1">
        <v>7.5007879078010688E-3</v>
      </c>
      <c r="L306" s="1">
        <v>7.5469787031531791E-3</v>
      </c>
      <c r="M306" s="13">
        <f t="shared" si="19"/>
        <v>-4.6190795352110334E-5</v>
      </c>
      <c r="O306" s="1">
        <v>0.83160777848861622</v>
      </c>
      <c r="P306" s="1">
        <v>0.8306640040717046</v>
      </c>
      <c r="Q306">
        <f t="shared" si="20"/>
        <v>9.4377441691162467E-4</v>
      </c>
      <c r="R306" s="11">
        <v>24.499999999999922</v>
      </c>
      <c r="S306" s="1">
        <v>0.12261851387120191</v>
      </c>
      <c r="T306" s="1">
        <v>0.12264150484634831</v>
      </c>
      <c r="U306">
        <f t="shared" si="21"/>
        <v>-2.2990975146394699E-5</v>
      </c>
      <c r="W306" s="1">
        <v>0.14419765426438147</v>
      </c>
      <c r="X306" s="1">
        <v>0.14376363368560369</v>
      </c>
      <c r="Y306" s="12">
        <f t="shared" si="22"/>
        <v>3.0189872615973279E-3</v>
      </c>
    </row>
    <row r="307" spans="11:25" x14ac:dyDescent="0.2">
      <c r="K307" s="1">
        <v>7.5114619946233686E-3</v>
      </c>
      <c r="L307" s="1">
        <v>7.5573891790500893E-3</v>
      </c>
      <c r="M307" s="13">
        <f t="shared" si="19"/>
        <v>-4.5927184426720717E-5</v>
      </c>
      <c r="O307" s="1">
        <v>0.83086933961660869</v>
      </c>
      <c r="P307" s="1">
        <v>0.82992860517731171</v>
      </c>
      <c r="Q307">
        <f t="shared" si="20"/>
        <v>9.407344392969863E-4</v>
      </c>
      <c r="R307" s="11">
        <v>24.583333333333254</v>
      </c>
      <c r="S307" s="1">
        <v>0.12279393876213483</v>
      </c>
      <c r="T307" s="1">
        <v>0.12288165271122305</v>
      </c>
      <c r="U307">
        <f t="shared" si="21"/>
        <v>-8.7713949088213949E-5</v>
      </c>
      <c r="W307" s="1">
        <v>0.14445851638660723</v>
      </c>
      <c r="X307" s="1">
        <v>0.1441323100679795</v>
      </c>
      <c r="Y307" s="12">
        <f t="shared" si="22"/>
        <v>2.2632421451780349E-3</v>
      </c>
    </row>
    <row r="308" spans="11:25" x14ac:dyDescent="0.2">
      <c r="K308" s="1">
        <v>7.5212039406014376E-3</v>
      </c>
      <c r="L308" s="1">
        <v>7.5667467341697988E-3</v>
      </c>
      <c r="M308" s="13">
        <f t="shared" si="19"/>
        <v>-4.5542793568361176E-5</v>
      </c>
      <c r="O308" s="1">
        <v>0.83014923136318919</v>
      </c>
      <c r="P308" s="1">
        <v>0.82921402748759188</v>
      </c>
      <c r="Q308">
        <f t="shared" si="20"/>
        <v>9.3520387559731244E-4</v>
      </c>
      <c r="R308" s="11">
        <v>24.666666666666586</v>
      </c>
      <c r="S308" s="1">
        <v>0.12299371847419673</v>
      </c>
      <c r="T308" s="1">
        <v>0.12310265459903494</v>
      </c>
      <c r="U308">
        <f t="shared" si="21"/>
        <v>-1.0893612483821313E-4</v>
      </c>
      <c r="W308" s="1">
        <v>0.14476839139535672</v>
      </c>
      <c r="X308" s="1">
        <v>0.14447977102216342</v>
      </c>
      <c r="Y308" s="12">
        <f t="shared" si="22"/>
        <v>1.9976524820837227E-3</v>
      </c>
    </row>
    <row r="309" spans="11:25" x14ac:dyDescent="0.2">
      <c r="K309" s="1">
        <v>7.5298200202358959E-3</v>
      </c>
      <c r="L309" s="1">
        <v>7.5749861439100737E-3</v>
      </c>
      <c r="M309" s="13">
        <f t="shared" si="19"/>
        <v>-4.5166123674177799E-5</v>
      </c>
      <c r="O309" s="1">
        <v>0.82945159083796027</v>
      </c>
      <c r="P309" s="1">
        <v>0.82852177840991004</v>
      </c>
      <c r="Q309">
        <f t="shared" si="20"/>
        <v>9.2981242805023623E-4</v>
      </c>
      <c r="R309" s="11">
        <v>24.749999999999918</v>
      </c>
      <c r="S309" s="1">
        <v>0.12319303643990592</v>
      </c>
      <c r="T309" s="1">
        <v>0.12333067927167102</v>
      </c>
      <c r="U309">
        <f t="shared" si="21"/>
        <v>-1.3764283176509462E-4</v>
      </c>
      <c r="W309" s="1">
        <v>0.14508853915344008</v>
      </c>
      <c r="X309" s="1">
        <v>0.1448498105083959</v>
      </c>
      <c r="Y309" s="12">
        <f t="shared" si="22"/>
        <v>1.6481115453743644E-3</v>
      </c>
    </row>
    <row r="310" spans="11:25" x14ac:dyDescent="0.2">
      <c r="K310" s="1">
        <v>7.5371739811433518E-3</v>
      </c>
      <c r="L310" s="1">
        <v>7.5820266925944284E-3</v>
      </c>
      <c r="M310" s="13">
        <f t="shared" si="19"/>
        <v>-4.485271145107661E-5</v>
      </c>
      <c r="O310" s="1">
        <v>0.82877940936632422</v>
      </c>
      <c r="P310" s="1">
        <v>0.82785369939786146</v>
      </c>
      <c r="Q310">
        <f t="shared" si="20"/>
        <v>9.2570996846275122E-4</v>
      </c>
      <c r="R310" s="11">
        <v>24.83333333333325</v>
      </c>
      <c r="S310" s="1">
        <v>0.12336176111674257</v>
      </c>
      <c r="T310" s="1">
        <v>0.12353671948471955</v>
      </c>
      <c r="U310">
        <f t="shared" si="21"/>
        <v>-1.7495836797697117E-4</v>
      </c>
      <c r="W310" s="1">
        <v>0.14537074278977943</v>
      </c>
      <c r="X310" s="1">
        <v>0.14519557889233761</v>
      </c>
      <c r="Y310" s="12">
        <f t="shared" si="22"/>
        <v>1.2063996629794183E-3</v>
      </c>
    </row>
    <row r="311" spans="11:25" x14ac:dyDescent="0.2">
      <c r="K311" s="1">
        <v>7.5430489430162537E-3</v>
      </c>
      <c r="L311" s="1">
        <v>7.5876128202270873E-3</v>
      </c>
      <c r="M311" s="13">
        <f t="shared" si="19"/>
        <v>-4.4563877210833554E-5</v>
      </c>
      <c r="O311" s="1">
        <v>0.82813737744099181</v>
      </c>
      <c r="P311" s="1">
        <v>0.827215265887146</v>
      </c>
      <c r="Q311">
        <f t="shared" si="20"/>
        <v>9.2211155384580579E-4</v>
      </c>
      <c r="R311" s="11">
        <v>24.916666666666583</v>
      </c>
      <c r="S311" s="1">
        <v>0.12366475534061432</v>
      </c>
      <c r="T311" s="1">
        <v>0.12373241632326004</v>
      </c>
      <c r="U311">
        <f t="shared" si="21"/>
        <v>-6.7660982645725842E-5</v>
      </c>
      <c r="W311" s="1">
        <v>0.14588957465553304</v>
      </c>
      <c r="X311" s="1">
        <v>0.14553895347348583</v>
      </c>
      <c r="Y311" s="12">
        <f t="shared" si="22"/>
        <v>2.4091226003701838E-3</v>
      </c>
    </row>
    <row r="312" spans="11:25" x14ac:dyDescent="0.2">
      <c r="K312" s="1">
        <v>7.5472555694336436E-3</v>
      </c>
      <c r="L312" s="1">
        <v>7.5915447133111155E-3</v>
      </c>
      <c r="M312" s="13">
        <f t="shared" si="19"/>
        <v>-4.4289143877471876E-5</v>
      </c>
      <c r="O312" s="1">
        <v>0.8275296618809731</v>
      </c>
      <c r="P312" s="1">
        <v>0.82661085361494346</v>
      </c>
      <c r="Q312">
        <f t="shared" si="20"/>
        <v>9.1880826602963594E-4</v>
      </c>
      <c r="R312" s="11">
        <v>24.999999999999915</v>
      </c>
      <c r="S312" s="1">
        <v>0.12394647582539037</v>
      </c>
      <c r="T312" s="1">
        <v>0.12400715336143306</v>
      </c>
      <c r="U312">
        <f t="shared" si="21"/>
        <v>-6.0677536042691438E-5</v>
      </c>
      <c r="W312" s="1">
        <v>0.14639058358526288</v>
      </c>
      <c r="X312" s="1">
        <v>0.14602973283919621</v>
      </c>
      <c r="Y312" s="12">
        <f t="shared" si="22"/>
        <v>2.4710772186649077E-3</v>
      </c>
    </row>
    <row r="313" spans="11:25" x14ac:dyDescent="0.2">
      <c r="K313" s="1">
        <v>7.5499723453850316E-3</v>
      </c>
      <c r="L313" s="1">
        <v>7.593824673623112E-3</v>
      </c>
      <c r="M313" s="13">
        <f t="shared" si="19"/>
        <v>-4.3852328238080419E-5</v>
      </c>
      <c r="O313" s="1">
        <v>0.8269528181838145</v>
      </c>
      <c r="P313" s="1">
        <v>0.82604068247235285</v>
      </c>
      <c r="Q313">
        <f t="shared" si="20"/>
        <v>9.1213571146164796E-4</v>
      </c>
      <c r="R313" s="11">
        <v>25.083333333333247</v>
      </c>
      <c r="S313" s="1">
        <v>0.12413201345236057</v>
      </c>
      <c r="T313" s="1">
        <v>0.12423762253708837</v>
      </c>
      <c r="U313">
        <f t="shared" si="21"/>
        <v>-1.0560908472780073E-4</v>
      </c>
      <c r="W313" s="1">
        <v>0.14674801305863538</v>
      </c>
      <c r="X313" s="1">
        <v>0.14646458567608728</v>
      </c>
      <c r="Y313" s="12">
        <f t="shared" si="22"/>
        <v>1.9351256908950454E-3</v>
      </c>
    </row>
    <row r="314" spans="11:25" x14ac:dyDescent="0.2">
      <c r="K314" s="1">
        <v>7.5513337553638569E-3</v>
      </c>
      <c r="L314" s="1">
        <v>7.5948063847253271E-3</v>
      </c>
      <c r="M314" s="13">
        <f t="shared" si="19"/>
        <v>-4.3472629361470186E-5</v>
      </c>
      <c r="O314" s="1">
        <v>0.82640428394785992</v>
      </c>
      <c r="P314" s="1">
        <v>0.82549765096684891</v>
      </c>
      <c r="Q314">
        <f t="shared" si="20"/>
        <v>9.0663298101101297E-4</v>
      </c>
      <c r="R314" s="11">
        <v>25.166666666666579</v>
      </c>
      <c r="S314" s="1">
        <v>0.12443925523425417</v>
      </c>
      <c r="T314" s="1">
        <v>0.12445963170491518</v>
      </c>
      <c r="U314">
        <f t="shared" si="21"/>
        <v>-2.0376470661012669E-5</v>
      </c>
      <c r="W314" s="1">
        <v>0.14732110499621931</v>
      </c>
      <c r="X314" s="1">
        <v>0.14689902972031457</v>
      </c>
      <c r="Y314" s="12">
        <f t="shared" si="22"/>
        <v>2.8732339261079431E-3</v>
      </c>
    </row>
    <row r="315" spans="11:25" x14ac:dyDescent="0.2">
      <c r="K315" s="1">
        <v>7.551596382491612E-3</v>
      </c>
      <c r="L315" s="1">
        <v>7.594593262260565E-3</v>
      </c>
      <c r="M315" s="13">
        <f t="shared" si="19"/>
        <v>-4.2996879768953007E-5</v>
      </c>
      <c r="O315" s="1">
        <v>0.82587891488441734</v>
      </c>
      <c r="P315" s="1">
        <v>0.82497981249990049</v>
      </c>
      <c r="Q315">
        <f t="shared" si="20"/>
        <v>8.9910238451684776E-4</v>
      </c>
      <c r="R315" s="11">
        <v>25.249999999999911</v>
      </c>
      <c r="S315" s="1">
        <v>0.12467737299156248</v>
      </c>
      <c r="T315" s="1">
        <v>0.12469356045945512</v>
      </c>
      <c r="U315">
        <f t="shared" si="21"/>
        <v>-1.6187467892642138E-5</v>
      </c>
      <c r="W315" s="1">
        <v>0.14779145872017418</v>
      </c>
      <c r="X315" s="1">
        <v>0.14736583602976841</v>
      </c>
      <c r="Y315" s="12">
        <f t="shared" si="22"/>
        <v>2.8882046332625588E-3</v>
      </c>
    </row>
    <row r="316" spans="11:25" x14ac:dyDescent="0.2">
      <c r="K316" s="1">
        <v>7.5509692815744489E-3</v>
      </c>
      <c r="L316" s="1">
        <v>7.5934034844712672E-3</v>
      </c>
      <c r="M316" s="13">
        <f t="shared" si="19"/>
        <v>-4.2434202896818318E-5</v>
      </c>
      <c r="O316" s="1">
        <v>0.8253725083843132</v>
      </c>
      <c r="P316" s="1">
        <v>0.8244827943091928</v>
      </c>
      <c r="Q316">
        <f t="shared" si="20"/>
        <v>8.897140751203958E-4</v>
      </c>
      <c r="R316" s="11">
        <v>25.333333333333243</v>
      </c>
      <c r="S316" s="1">
        <v>0.12488205007636104</v>
      </c>
      <c r="T316" s="1">
        <v>0.12492528677714414</v>
      </c>
      <c r="U316">
        <f t="shared" si="21"/>
        <v>-4.3236700783100268E-5</v>
      </c>
      <c r="W316" s="1">
        <v>0.14821587570176162</v>
      </c>
      <c r="X316" s="1">
        <v>0.14783947921309132</v>
      </c>
      <c r="Y316" s="12">
        <f t="shared" si="22"/>
        <v>2.545980888689181E-3</v>
      </c>
    </row>
    <row r="317" spans="11:25" x14ac:dyDescent="0.2">
      <c r="K317" s="1">
        <v>7.5496010957070078E-3</v>
      </c>
      <c r="L317" s="1">
        <v>7.5914968065843198E-3</v>
      </c>
      <c r="M317" s="13">
        <f t="shared" si="19"/>
        <v>-4.1895710877312003E-5</v>
      </c>
      <c r="O317" s="1">
        <v>0.82488208681039399</v>
      </c>
      <c r="P317" s="1">
        <v>0.82400130233695568</v>
      </c>
      <c r="Q317">
        <f t="shared" si="20"/>
        <v>8.807844734383119E-4</v>
      </c>
      <c r="R317" s="11">
        <v>25.416666666666575</v>
      </c>
      <c r="S317" s="1">
        <v>0.12509136404884846</v>
      </c>
      <c r="T317" s="1">
        <v>0.12517658842211477</v>
      </c>
      <c r="U317">
        <f t="shared" si="21"/>
        <v>-8.5224373266301612E-5</v>
      </c>
      <c r="W317" s="1">
        <v>0.14865597976984846</v>
      </c>
      <c r="X317" s="1">
        <v>0.14835345781238973</v>
      </c>
      <c r="Y317" s="12">
        <f t="shared" si="22"/>
        <v>2.0391972113067425E-3</v>
      </c>
    </row>
    <row r="318" spans="11:25" x14ac:dyDescent="0.2">
      <c r="K318" s="1">
        <v>7.5475743240285545E-3</v>
      </c>
      <c r="L318" s="1">
        <v>7.588901858556615E-3</v>
      </c>
      <c r="M318" s="13">
        <f t="shared" si="19"/>
        <v>-4.132753452806056E-5</v>
      </c>
      <c r="O318" s="1">
        <v>0.82440603477526675</v>
      </c>
      <c r="P318" s="1">
        <v>0.82353485412584837</v>
      </c>
      <c r="Q318">
        <f t="shared" si="20"/>
        <v>8.7118064941837936E-4</v>
      </c>
      <c r="R318" s="11">
        <v>25.499999999999908</v>
      </c>
      <c r="S318" s="1">
        <v>0.12531699504958496</v>
      </c>
      <c r="T318" s="1">
        <v>0.12531920102791613</v>
      </c>
      <c r="U318">
        <f t="shared" si="21"/>
        <v>-2.2059783311711989E-6</v>
      </c>
      <c r="W318" s="1">
        <v>0.14913042749682656</v>
      </c>
      <c r="X318" s="1">
        <v>0.14869451768047354</v>
      </c>
      <c r="Y318" s="12">
        <f t="shared" si="22"/>
        <v>2.9315796113595916E-3</v>
      </c>
    </row>
    <row r="319" spans="11:25" x14ac:dyDescent="0.2">
      <c r="K319" s="1">
        <v>7.5450778146557238E-3</v>
      </c>
      <c r="L319" s="1">
        <v>7.5857969372432263E-3</v>
      </c>
      <c r="M319" s="13">
        <f t="shared" si="19"/>
        <v>-4.0719122587502474E-5</v>
      </c>
      <c r="O319" s="1">
        <v>0.82394046965828915</v>
      </c>
      <c r="P319" s="1">
        <v>0.82307979941021336</v>
      </c>
      <c r="Q319">
        <f t="shared" si="20"/>
        <v>8.6067024807578996E-4</v>
      </c>
      <c r="R319" s="11">
        <v>25.58333333333324</v>
      </c>
      <c r="S319" s="1">
        <v>0.12557901670981242</v>
      </c>
      <c r="T319" s="1">
        <v>0.12558946971432822</v>
      </c>
      <c r="U319">
        <f t="shared" si="21"/>
        <v>-1.0453004515798003E-5</v>
      </c>
      <c r="W319" s="1">
        <v>0.14967078532004649</v>
      </c>
      <c r="X319" s="1">
        <v>0.14925340893000125</v>
      </c>
      <c r="Y319" s="12">
        <f t="shared" si="22"/>
        <v>2.7964278540597576E-3</v>
      </c>
    </row>
    <row r="320" spans="11:25" x14ac:dyDescent="0.2">
      <c r="K320" s="1">
        <v>7.5423672270830792E-3</v>
      </c>
      <c r="L320" s="1">
        <v>7.5824170488528854E-3</v>
      </c>
      <c r="M320" s="13">
        <f t="shared" si="19"/>
        <v>-4.0049821769806183E-5</v>
      </c>
      <c r="O320" s="1">
        <v>0.82348004952708631</v>
      </c>
      <c r="P320" s="1">
        <v>0.8226312463781309</v>
      </c>
      <c r="Q320">
        <f t="shared" si="20"/>
        <v>8.4880314895541265E-4</v>
      </c>
      <c r="R320" s="11">
        <v>25.666666666666572</v>
      </c>
      <c r="S320" s="1">
        <v>0.12580147428765145</v>
      </c>
      <c r="T320" s="1">
        <v>0.12583519771942933</v>
      </c>
      <c r="U320">
        <f t="shared" si="21"/>
        <v>-3.3723431777876733E-5</v>
      </c>
      <c r="W320" s="1">
        <v>0.15014794612632157</v>
      </c>
      <c r="X320" s="1">
        <v>0.14977490998264531</v>
      </c>
      <c r="Y320" s="12">
        <f t="shared" si="22"/>
        <v>2.4906450868138474E-3</v>
      </c>
    </row>
    <row r="321" spans="11:25" x14ac:dyDescent="0.2">
      <c r="K321" s="1">
        <v>7.5395238144756408E-3</v>
      </c>
      <c r="L321" s="1">
        <v>7.5789649075400489E-3</v>
      </c>
      <c r="M321" s="13">
        <f t="shared" si="19"/>
        <v>-3.9441093064408045E-5</v>
      </c>
      <c r="O321" s="1">
        <v>0.82302308253649603</v>
      </c>
      <c r="P321" s="1">
        <v>0.82218493557603378</v>
      </c>
      <c r="Q321">
        <f t="shared" si="20"/>
        <v>8.3814696046224935E-4</v>
      </c>
      <c r="R321" s="11">
        <v>25.749999999999904</v>
      </c>
      <c r="S321" s="1">
        <v>0.12602004283540483</v>
      </c>
      <c r="T321" s="1">
        <v>0.12607295507503027</v>
      </c>
      <c r="U321">
        <f t="shared" si="21"/>
        <v>-5.2912239625446666E-5</v>
      </c>
      <c r="W321" s="1">
        <v>0.15062038037643782</v>
      </c>
      <c r="X321" s="1">
        <v>0.15028436576666784</v>
      </c>
      <c r="Y321" s="12">
        <f t="shared" si="22"/>
        <v>2.235858720604833E-3</v>
      </c>
    </row>
    <row r="322" spans="11:25" x14ac:dyDescent="0.2">
      <c r="K322" s="1">
        <v>7.5367541994340237E-3</v>
      </c>
      <c r="L322" s="1">
        <v>7.5756363938180348E-3</v>
      </c>
      <c r="M322" s="13">
        <f t="shared" si="19"/>
        <v>-3.8882194384011123E-5</v>
      </c>
      <c r="O322" s="1">
        <v>0.82256518571393644</v>
      </c>
      <c r="P322" s="1">
        <v>0.82173670684788847</v>
      </c>
      <c r="Q322">
        <f t="shared" si="20"/>
        <v>8.2847886604797694E-4</v>
      </c>
      <c r="R322" s="11">
        <v>25.833333333333236</v>
      </c>
      <c r="S322" s="1">
        <v>0.12618503078302754</v>
      </c>
      <c r="T322" s="1">
        <v>0.12634181683253101</v>
      </c>
      <c r="U322">
        <f t="shared" si="21"/>
        <v>-1.5678604950347674E-4</v>
      </c>
      <c r="W322" s="1">
        <v>0.15100284671619546</v>
      </c>
      <c r="X322" s="1">
        <v>0.15084483274059943</v>
      </c>
      <c r="Y322" s="12">
        <f t="shared" si="22"/>
        <v>1.0475266054870147E-3</v>
      </c>
    </row>
    <row r="323" spans="11:25" x14ac:dyDescent="0.2">
      <c r="K323" s="1">
        <v>7.5343244505685107E-3</v>
      </c>
      <c r="L323" s="1">
        <v>7.5725344597264519E-3</v>
      </c>
      <c r="M323" s="13">
        <f t="shared" si="19"/>
        <v>-3.8210009157941226E-5</v>
      </c>
      <c r="O323" s="1">
        <v>0.82210065859219306</v>
      </c>
      <c r="P323" s="1">
        <v>0.82128433983341453</v>
      </c>
      <c r="Q323">
        <f t="shared" si="20"/>
        <v>8.1631875877852256E-4</v>
      </c>
      <c r="R323" s="11">
        <v>25.916666666666568</v>
      </c>
      <c r="S323" s="1">
        <v>0.12638658346620796</v>
      </c>
      <c r="T323" s="1">
        <v>0.12654349889497596</v>
      </c>
      <c r="U323">
        <f t="shared" si="21"/>
        <v>-1.569154287680008E-4</v>
      </c>
      <c r="W323" s="1">
        <v>0.15144290303502639</v>
      </c>
      <c r="X323" s="1">
        <v>0.15129116486172725</v>
      </c>
      <c r="Y323" s="12">
        <f t="shared" si="22"/>
        <v>1.0029546235421627E-3</v>
      </c>
    </row>
    <row r="324" spans="11:25" x14ac:dyDescent="0.2">
      <c r="K324" s="1">
        <v>7.5323578845664365E-3</v>
      </c>
      <c r="L324" s="1">
        <v>7.5698214191604798E-3</v>
      </c>
      <c r="M324" s="13">
        <f t="shared" si="19"/>
        <v>-3.7463534594043245E-5</v>
      </c>
      <c r="O324" s="1">
        <v>0.82162680010781641</v>
      </c>
      <c r="P324" s="1">
        <v>0.82082432002066996</v>
      </c>
      <c r="Q324">
        <f t="shared" si="20"/>
        <v>8.0248008714645103E-4</v>
      </c>
      <c r="R324" s="11">
        <v>25.999999999999901</v>
      </c>
      <c r="S324" s="1">
        <v>0.12661648575770362</v>
      </c>
      <c r="T324" s="1">
        <v>0.12669551428946746</v>
      </c>
      <c r="U324">
        <f t="shared" si="21"/>
        <v>-7.9028531763836174E-5</v>
      </c>
      <c r="W324" s="1">
        <v>0.15192560437869082</v>
      </c>
      <c r="X324" s="1">
        <v>0.15165050777743871</v>
      </c>
      <c r="Y324" s="12">
        <f t="shared" si="22"/>
        <v>1.8140170137499467E-3</v>
      </c>
    </row>
    <row r="325" spans="11:25" x14ac:dyDescent="0.2">
      <c r="K325" s="1">
        <v>7.5307651407467589E-3</v>
      </c>
      <c r="L325" s="1">
        <v>7.5675995283333549E-3</v>
      </c>
      <c r="M325" s="13">
        <f t="shared" si="19"/>
        <v>-3.6834387586595976E-5</v>
      </c>
      <c r="O325" s="1">
        <v>0.82114545167563335</v>
      </c>
      <c r="P325" s="1">
        <v>0.82035438576404107</v>
      </c>
      <c r="Q325">
        <f t="shared" si="20"/>
        <v>7.9106591159228135E-4</v>
      </c>
      <c r="R325" s="11">
        <v>26.083333333333233</v>
      </c>
      <c r="S325" s="1">
        <v>0.12690651503134201</v>
      </c>
      <c r="T325" s="1">
        <v>0.12685706331993166</v>
      </c>
      <c r="U325">
        <f t="shared" si="21"/>
        <v>4.9451711410353205E-5</v>
      </c>
      <c r="W325" s="1">
        <v>0.15250525152900662</v>
      </c>
      <c r="X325" s="1">
        <v>0.15202054062886267</v>
      </c>
      <c r="Y325" s="12">
        <f t="shared" si="22"/>
        <v>3.1884566265771852E-3</v>
      </c>
    </row>
    <row r="326" spans="11:25" x14ac:dyDescent="0.2">
      <c r="K326" s="1">
        <v>7.5295527126975868E-3</v>
      </c>
      <c r="L326" s="1">
        <v>7.5657074743891222E-3</v>
      </c>
      <c r="M326" s="13">
        <f t="shared" si="19"/>
        <v>-3.6154761691535413E-5</v>
      </c>
      <c r="O326" s="1">
        <v>0.82065641020086988</v>
      </c>
      <c r="P326" s="1">
        <v>0.81987792545492744</v>
      </c>
      <c r="Q326">
        <f t="shared" si="20"/>
        <v>7.7848474594244266E-4</v>
      </c>
      <c r="R326" s="11">
        <v>26.166666666666565</v>
      </c>
      <c r="S326" s="1">
        <v>0.12716419761775027</v>
      </c>
      <c r="T326" s="1">
        <v>0.12700809847288397</v>
      </c>
      <c r="U326">
        <f t="shared" si="21"/>
        <v>1.5609914486630627E-4</v>
      </c>
      <c r="W326" s="1">
        <v>0.15302694228410404</v>
      </c>
      <c r="X326" s="1">
        <v>0.15236943266723113</v>
      </c>
      <c r="Y326" s="12">
        <f t="shared" si="22"/>
        <v>4.3152330842426423E-3</v>
      </c>
    </row>
    <row r="327" spans="11:25" x14ac:dyDescent="0.2">
      <c r="K327" s="1">
        <v>7.5287288940889541E-3</v>
      </c>
      <c r="L327" s="1">
        <v>7.5641200878719889E-3</v>
      </c>
      <c r="M327" s="13">
        <f t="shared" si="19"/>
        <v>-3.5391193783034826E-5</v>
      </c>
      <c r="O327" s="1">
        <v>0.82015943266443059</v>
      </c>
      <c r="P327" s="1">
        <v>0.81939542630392936</v>
      </c>
      <c r="Q327">
        <f t="shared" si="20"/>
        <v>7.6400636050122372E-4</v>
      </c>
      <c r="R327" s="11">
        <v>26.249999999999897</v>
      </c>
      <c r="S327" s="1">
        <v>0.12742021281751328</v>
      </c>
      <c r="T327" s="1">
        <v>0.12714847747822411</v>
      </c>
      <c r="U327">
        <f t="shared" si="21"/>
        <v>2.7173533928917526E-4</v>
      </c>
      <c r="W327" s="1">
        <v>0.15354187774977102</v>
      </c>
      <c r="X327" s="1">
        <v>0.15269713368253696</v>
      </c>
      <c r="Y327" s="12">
        <f t="shared" si="22"/>
        <v>5.5321540546420245E-3</v>
      </c>
    </row>
    <row r="328" spans="11:25" x14ac:dyDescent="0.2">
      <c r="K328" s="1">
        <v>7.5280955520613049E-3</v>
      </c>
      <c r="L328" s="1">
        <v>7.5627555924936774E-3</v>
      </c>
      <c r="M328" s="13">
        <f t="shared" si="19"/>
        <v>-3.4660040432372453E-5</v>
      </c>
      <c r="O328" s="1">
        <v>0.81965874429910945</v>
      </c>
      <c r="P328" s="1">
        <v>0.81890860597801751</v>
      </c>
      <c r="Q328">
        <f t="shared" si="20"/>
        <v>7.5013832109194212E-4</v>
      </c>
      <c r="R328" s="11">
        <v>26.333333333333229</v>
      </c>
      <c r="S328" s="1">
        <v>0.1276214061006391</v>
      </c>
      <c r="T328" s="1">
        <v>0.12736265821194065</v>
      </c>
      <c r="U328">
        <f t="shared" si="21"/>
        <v>2.5874788869845178E-4</v>
      </c>
      <c r="W328" s="1">
        <v>0.15396288119390336</v>
      </c>
      <c r="X328" s="1">
        <v>0.15314624150039252</v>
      </c>
      <c r="Y328" s="12">
        <f t="shared" si="22"/>
        <v>5.3324174691466997E-3</v>
      </c>
    </row>
    <row r="329" spans="11:25" x14ac:dyDescent="0.2">
      <c r="K329" s="1">
        <v>7.5277487085622522E-3</v>
      </c>
      <c r="L329" s="1">
        <v>7.5615690429557229E-3</v>
      </c>
      <c r="M329" s="13">
        <f t="shared" si="19"/>
        <v>-3.3820334393470756E-5</v>
      </c>
      <c r="O329" s="1">
        <v>0.81915222886018546</v>
      </c>
      <c r="P329" s="1">
        <v>0.8184184016905901</v>
      </c>
      <c r="Q329">
        <f t="shared" si="20"/>
        <v>7.3382716959535799E-4</v>
      </c>
      <c r="R329" s="11">
        <v>26.416666666666561</v>
      </c>
      <c r="S329" s="1">
        <v>0.12781828771981249</v>
      </c>
      <c r="T329" s="1">
        <v>0.12753436153128034</v>
      </c>
      <c r="U329">
        <f t="shared" si="21"/>
        <v>2.8392618853215201E-4</v>
      </c>
      <c r="W329" s="1">
        <v>0.15437355051660243</v>
      </c>
      <c r="X329" s="1">
        <v>0.15352219641859238</v>
      </c>
      <c r="Y329" s="12">
        <f t="shared" si="22"/>
        <v>5.5454788810391786E-3</v>
      </c>
    </row>
    <row r="330" spans="11:25" x14ac:dyDescent="0.2">
      <c r="K330" s="1">
        <v>7.5276059686828212E-3</v>
      </c>
      <c r="L330" s="1">
        <v>7.5604794736390691E-3</v>
      </c>
      <c r="M330" s="13">
        <f t="shared" si="19"/>
        <v>-3.2873504956247926E-5</v>
      </c>
      <c r="O330" s="1">
        <v>0.81864163199006224</v>
      </c>
      <c r="P330" s="1">
        <v>0.81792654393050734</v>
      </c>
      <c r="Q330">
        <f t="shared" si="20"/>
        <v>7.1508805955489141E-4</v>
      </c>
      <c r="R330" s="11">
        <v>26.499999999999893</v>
      </c>
      <c r="S330" s="1">
        <v>0.12805767744023056</v>
      </c>
      <c r="T330" s="1">
        <v>0.12781429684588971</v>
      </c>
      <c r="U330">
        <f t="shared" si="21"/>
        <v>2.433805943408418E-4</v>
      </c>
      <c r="W330" s="1">
        <v>0.15485355839243733</v>
      </c>
      <c r="X330" s="1">
        <v>0.15407915149462226</v>
      </c>
      <c r="Y330" s="12">
        <f t="shared" si="22"/>
        <v>5.026032985663953E-3</v>
      </c>
    </row>
    <row r="331" spans="11:25" x14ac:dyDescent="0.2">
      <c r="K331" s="1">
        <v>7.527620065057198E-3</v>
      </c>
      <c r="L331" s="1">
        <v>7.5594006014862575E-3</v>
      </c>
      <c r="M331" s="13">
        <f t="shared" si="19"/>
        <v>-3.1780536429059508E-5</v>
      </c>
      <c r="O331" s="1">
        <v>0.81812795118654968</v>
      </c>
      <c r="P331" s="1">
        <v>0.81743489703229921</v>
      </c>
      <c r="Q331">
        <f t="shared" si="20"/>
        <v>6.9305415425047201E-4</v>
      </c>
      <c r="R331" s="11">
        <v>26.583333333333226</v>
      </c>
      <c r="S331" s="1">
        <v>0.12829741181455273</v>
      </c>
      <c r="T331" s="1">
        <v>0.12810055598525183</v>
      </c>
      <c r="U331">
        <f t="shared" si="21"/>
        <v>1.9685582930090151E-4</v>
      </c>
      <c r="W331" s="1">
        <v>0.15533256624247704</v>
      </c>
      <c r="X331" s="1">
        <v>0.15464700423692251</v>
      </c>
      <c r="Y331" s="12">
        <f t="shared" si="22"/>
        <v>4.4330765341191736E-3</v>
      </c>
    </row>
    <row r="332" spans="11:25" x14ac:dyDescent="0.2">
      <c r="K332" s="1">
        <v>7.5277278728999482E-3</v>
      </c>
      <c r="L332" s="1">
        <v>7.5584727646082692E-3</v>
      </c>
      <c r="M332" s="13">
        <f t="shared" ref="M332:M395" si="23">K332-L332</f>
        <v>-3.0744891708320982E-5</v>
      </c>
      <c r="O332" s="1">
        <v>0.81761254120749705</v>
      </c>
      <c r="P332" s="1">
        <v>0.81694039195005863</v>
      </c>
      <c r="Q332">
        <f t="shared" ref="Q332:Q395" si="24">O332-P332</f>
        <v>6.7214925743841469E-4</v>
      </c>
      <c r="R332" s="11">
        <v>26.666666666666558</v>
      </c>
      <c r="S332" s="1">
        <v>0.12849492152561523</v>
      </c>
      <c r="T332" s="1">
        <v>0.12828492002988187</v>
      </c>
      <c r="U332">
        <f t="shared" si="21"/>
        <v>2.1000149573335847E-4</v>
      </c>
      <c r="W332" s="1">
        <v>0.15573947735251042</v>
      </c>
      <c r="X332" s="1">
        <v>0.1550418623545087</v>
      </c>
      <c r="Y332" s="12">
        <f t="shared" si="22"/>
        <v>4.4995266917433607E-3</v>
      </c>
    </row>
    <row r="333" spans="11:25" x14ac:dyDescent="0.2">
      <c r="K333" s="1">
        <v>7.5278726648327389E-3</v>
      </c>
      <c r="L333" s="1">
        <v>7.5575163818583238E-3</v>
      </c>
      <c r="M333" s="13">
        <f t="shared" si="23"/>
        <v>-2.9643717025584944E-5</v>
      </c>
      <c r="O333" s="1">
        <v>0.81709663035610791</v>
      </c>
      <c r="P333" s="1">
        <v>0.81644693765470333</v>
      </c>
      <c r="Q333">
        <f t="shared" si="24"/>
        <v>6.4969270140458057E-4</v>
      </c>
      <c r="R333" s="11">
        <v>26.74999999999989</v>
      </c>
      <c r="S333" s="1">
        <v>0.12868886094506735</v>
      </c>
      <c r="T333" s="1">
        <v>0.12853266528985294</v>
      </c>
      <c r="U333">
        <f t="shared" ref="U333:U396" si="25">S333-T333</f>
        <v>1.5619565521440837E-4</v>
      </c>
      <c r="W333" s="1">
        <v>0.15613996599674296</v>
      </c>
      <c r="X333" s="1">
        <v>0.15554399250464745</v>
      </c>
      <c r="Y333" s="12">
        <f t="shared" ref="Y333:Y396" si="26">W333/X333-1</f>
        <v>3.8315429769986142E-3</v>
      </c>
    </row>
    <row r="334" spans="11:25" x14ac:dyDescent="0.2">
      <c r="K334" s="1">
        <v>7.5279736403675163E-3</v>
      </c>
      <c r="L334" s="1">
        <v>7.5564571177537919E-3</v>
      </c>
      <c r="M334" s="13">
        <f t="shared" si="23"/>
        <v>-2.848347738627563E-5</v>
      </c>
      <c r="O334" s="1">
        <v>0.81658198840625196</v>
      </c>
      <c r="P334" s="1">
        <v>0.81595617104147999</v>
      </c>
      <c r="Q334">
        <f t="shared" si="24"/>
        <v>6.2581736477196337E-4</v>
      </c>
      <c r="R334" s="11">
        <v>26.833333333333222</v>
      </c>
      <c r="S334" s="1">
        <v>0.12893784694138244</v>
      </c>
      <c r="T334" s="1">
        <v>0.12869901697567737</v>
      </c>
      <c r="U334">
        <f t="shared" si="25"/>
        <v>2.3882996570506743E-4</v>
      </c>
      <c r="W334" s="1">
        <v>0.15663394252625218</v>
      </c>
      <c r="X334" s="1">
        <v>0.15591012996792256</v>
      </c>
      <c r="Y334" s="12">
        <f t="shared" si="26"/>
        <v>4.6424985886326375E-3</v>
      </c>
    </row>
    <row r="335" spans="11:25" x14ac:dyDescent="0.2">
      <c r="K335" s="1">
        <v>7.5281413769938219E-3</v>
      </c>
      <c r="L335" s="1">
        <v>7.555281656057347E-3</v>
      </c>
      <c r="M335" s="13">
        <f t="shared" si="23"/>
        <v>-2.7140279063525043E-5</v>
      </c>
      <c r="O335" s="1">
        <v>0.8160661858648115</v>
      </c>
      <c r="P335" s="1">
        <v>0.81546840178741709</v>
      </c>
      <c r="Q335">
        <f t="shared" si="24"/>
        <v>5.977840773944143E-4</v>
      </c>
      <c r="R335" s="11">
        <v>26.916666666666554</v>
      </c>
      <c r="S335" s="1">
        <v>0.12916871175059313</v>
      </c>
      <c r="T335" s="1">
        <v>0.12900338226465743</v>
      </c>
      <c r="U335">
        <f t="shared" si="25"/>
        <v>1.6532948593570018E-4</v>
      </c>
      <c r="W335" s="1">
        <v>0.15709669517721819</v>
      </c>
      <c r="X335" s="1">
        <v>0.15651078011878886</v>
      </c>
      <c r="Y335" s="12">
        <f t="shared" si="26"/>
        <v>3.7436083187665226E-3</v>
      </c>
    </row>
    <row r="336" spans="11:25" x14ac:dyDescent="0.2">
      <c r="K336" s="1">
        <v>7.5283620825122638E-3</v>
      </c>
      <c r="L336" s="1">
        <v>7.5540287265138091E-3</v>
      </c>
      <c r="M336" s="13">
        <f t="shared" si="23"/>
        <v>-2.5666644001545377E-5</v>
      </c>
      <c r="O336" s="1">
        <v>0.81554951636870976</v>
      </c>
      <c r="P336" s="1">
        <v>0.814982793682826</v>
      </c>
      <c r="Q336">
        <f t="shared" si="24"/>
        <v>5.6672268588375818E-4</v>
      </c>
      <c r="R336" s="11">
        <v>26.999999999999886</v>
      </c>
      <c r="S336" s="1">
        <v>0.12938715309565138</v>
      </c>
      <c r="T336" s="1">
        <v>0.12918341980270026</v>
      </c>
      <c r="U336">
        <f t="shared" si="25"/>
        <v>2.037332929511193E-4</v>
      </c>
      <c r="W336" s="1">
        <v>0.15753793209854794</v>
      </c>
      <c r="X336" s="1">
        <v>0.15690248527348818</v>
      </c>
      <c r="Y336" s="12">
        <f t="shared" si="26"/>
        <v>4.0499474814064129E-3</v>
      </c>
    </row>
    <row r="337" spans="11:25" x14ac:dyDescent="0.2">
      <c r="K337" s="1">
        <v>7.5284514421169908E-3</v>
      </c>
      <c r="L337" s="1">
        <v>7.5527281950446661E-3</v>
      </c>
      <c r="M337" s="13">
        <f t="shared" si="23"/>
        <v>-2.4276752927675227E-5</v>
      </c>
      <c r="O337" s="1">
        <v>0.81503605223851094</v>
      </c>
      <c r="P337" s="1">
        <v>0.81449869813789866</v>
      </c>
      <c r="Q337">
        <f t="shared" si="24"/>
        <v>5.3735410061228617E-4</v>
      </c>
      <c r="R337" s="11">
        <v>27.083333333333218</v>
      </c>
      <c r="S337" s="1">
        <v>0.12960962997458689</v>
      </c>
      <c r="T337" s="1">
        <v>0.1293718215905181</v>
      </c>
      <c r="U337">
        <f t="shared" si="25"/>
        <v>2.378083840687828E-4</v>
      </c>
      <c r="W337" s="1">
        <v>0.15798756490160423</v>
      </c>
      <c r="X337" s="1">
        <v>0.15730895065283679</v>
      </c>
      <c r="Y337" s="12">
        <f t="shared" si="26"/>
        <v>4.3138947018028784E-3</v>
      </c>
    </row>
    <row r="338" spans="11:25" x14ac:dyDescent="0.2">
      <c r="K338" s="1">
        <v>7.5284836728482093E-3</v>
      </c>
      <c r="L338" s="1">
        <v>7.5513953609010736E-3</v>
      </c>
      <c r="M338" s="13">
        <f t="shared" si="23"/>
        <v>-2.2911688052864275E-5</v>
      </c>
      <c r="O338" s="1">
        <v>0.81452416726986521</v>
      </c>
      <c r="P338" s="1">
        <v>0.81401578312057665</v>
      </c>
      <c r="Q338">
        <f t="shared" si="24"/>
        <v>5.0838414928855435E-4</v>
      </c>
      <c r="R338" s="11">
        <v>27.166666666666551</v>
      </c>
      <c r="S338" s="1">
        <v>0.12984485618129973</v>
      </c>
      <c r="T338" s="1">
        <v>0.12951530752906959</v>
      </c>
      <c r="U338">
        <f t="shared" si="25"/>
        <v>3.2954865223014385E-4</v>
      </c>
      <c r="W338" s="1">
        <v>0.15845954828749295</v>
      </c>
      <c r="X338" s="1">
        <v>0.15763977482760064</v>
      </c>
      <c r="Y338" s="12">
        <f t="shared" si="26"/>
        <v>5.2002958059844673E-3</v>
      </c>
    </row>
    <row r="339" spans="11:25" x14ac:dyDescent="0.2">
      <c r="K339" s="1">
        <v>7.5284096359119661E-3</v>
      </c>
      <c r="L339" s="1">
        <v>7.5500500484050066E-3</v>
      </c>
      <c r="M339" s="13">
        <f t="shared" si="23"/>
        <v>-2.1640412493040447E-5</v>
      </c>
      <c r="O339" s="1">
        <v>0.81401496384364702</v>
      </c>
      <c r="P339" s="1">
        <v>0.81353361261620516</v>
      </c>
      <c r="Q339">
        <f t="shared" si="24"/>
        <v>4.8135122744186187E-4</v>
      </c>
      <c r="R339" s="11">
        <v>27.249999999999883</v>
      </c>
      <c r="S339" s="1">
        <v>0.1299348971932828</v>
      </c>
      <c r="T339" s="1">
        <v>0.12983479987174368</v>
      </c>
      <c r="U339">
        <f t="shared" si="25"/>
        <v>1.000973215391221E-4</v>
      </c>
      <c r="W339" s="1">
        <v>0.15868654699082757</v>
      </c>
      <c r="X339" s="1">
        <v>0.15826916239494765</v>
      </c>
      <c r="Y339" s="12">
        <f t="shared" si="26"/>
        <v>2.6371820610155972E-3</v>
      </c>
    </row>
    <row r="340" spans="11:25" x14ac:dyDescent="0.2">
      <c r="K340" s="1">
        <v>7.5282791506853484E-3</v>
      </c>
      <c r="L340" s="1">
        <v>7.5486850520240919E-3</v>
      </c>
      <c r="M340" s="13">
        <f t="shared" si="23"/>
        <v>-2.0405901338743475E-5</v>
      </c>
      <c r="O340" s="1">
        <v>0.81350734778896761</v>
      </c>
      <c r="P340" s="1">
        <v>0.8130523487970418</v>
      </c>
      <c r="Q340">
        <f t="shared" si="24"/>
        <v>4.5499899192580351E-4</v>
      </c>
      <c r="R340" s="11">
        <v>27.333333333333215</v>
      </c>
      <c r="S340" s="1">
        <v>0.13011779528511166</v>
      </c>
      <c r="T340" s="1">
        <v>0.12997459926986119</v>
      </c>
      <c r="U340">
        <f t="shared" si="25"/>
        <v>1.4319601525047965E-4</v>
      </c>
      <c r="W340" s="1">
        <v>0.15907158403858201</v>
      </c>
      <c r="X340" s="1">
        <v>0.15859427554489786</v>
      </c>
      <c r="Y340" s="12">
        <f t="shared" si="26"/>
        <v>3.009619937694552E-3</v>
      </c>
    </row>
    <row r="341" spans="11:25" x14ac:dyDescent="0.2">
      <c r="K341" s="1">
        <v>7.528167624165214E-3</v>
      </c>
      <c r="L341" s="1">
        <v>7.5473320653737588E-3</v>
      </c>
      <c r="M341" s="13">
        <f t="shared" si="23"/>
        <v>-1.9164441208544859E-5</v>
      </c>
      <c r="O341" s="1">
        <v>0.81299964209291242</v>
      </c>
      <c r="P341" s="1">
        <v>0.81257128617365726</v>
      </c>
      <c r="Q341">
        <f t="shared" si="24"/>
        <v>4.2835591925516336E-4</v>
      </c>
      <c r="R341" s="11">
        <v>27.416666666666547</v>
      </c>
      <c r="S341" s="1">
        <v>0.13038895103730669</v>
      </c>
      <c r="T341" s="1">
        <v>0.1301996308074902</v>
      </c>
      <c r="U341">
        <f t="shared" si="25"/>
        <v>1.8932022981649199E-4</v>
      </c>
      <c r="W341" s="1">
        <v>0.15960638604776267</v>
      </c>
      <c r="X341" s="1">
        <v>0.15906398546836076</v>
      </c>
      <c r="Y341" s="12">
        <f t="shared" si="26"/>
        <v>3.4099521510468911E-3</v>
      </c>
    </row>
    <row r="342" spans="11:25" x14ac:dyDescent="0.2">
      <c r="K342" s="1">
        <v>7.5280122864262297E-3</v>
      </c>
      <c r="L342" s="1">
        <v>7.54592899337322E-3</v>
      </c>
      <c r="M342" s="13">
        <f t="shared" si="23"/>
        <v>-1.7916706946990296E-5</v>
      </c>
      <c r="O342" s="1">
        <v>0.81249325022029761</v>
      </c>
      <c r="P342" s="1">
        <v>0.81209181322859547</v>
      </c>
      <c r="Q342">
        <f t="shared" si="24"/>
        <v>4.0143699170214209E-4</v>
      </c>
      <c r="R342" s="11">
        <v>27.499999999999879</v>
      </c>
      <c r="S342" s="1">
        <v>0.13057744934226412</v>
      </c>
      <c r="T342" s="1">
        <v>0.1303545090801041</v>
      </c>
      <c r="U342">
        <f t="shared" si="25"/>
        <v>2.2294026216002072E-4</v>
      </c>
      <c r="W342" s="1">
        <v>0.16000132927002808</v>
      </c>
      <c r="X342" s="1">
        <v>0.15941519298032142</v>
      </c>
      <c r="Y342" s="12">
        <f t="shared" si="26"/>
        <v>3.6767906417740637E-3</v>
      </c>
    </row>
    <row r="343" spans="11:25" x14ac:dyDescent="0.2">
      <c r="K343" s="1">
        <v>7.527770699358457E-3</v>
      </c>
      <c r="L343" s="1">
        <v>7.5445284405943639E-3</v>
      </c>
      <c r="M343" s="13">
        <f t="shared" si="23"/>
        <v>-1.6757741235906912E-5</v>
      </c>
      <c r="O343" s="1">
        <v>0.81198913237695081</v>
      </c>
      <c r="P343" s="1">
        <v>0.81161275642922814</v>
      </c>
      <c r="Q343">
        <f t="shared" si="24"/>
        <v>3.7637594772266247E-4</v>
      </c>
      <c r="R343" s="11">
        <v>27.583333333333211</v>
      </c>
      <c r="S343" s="1">
        <v>0.13076686477856261</v>
      </c>
      <c r="T343" s="1">
        <v>0.13052584182583477</v>
      </c>
      <c r="U343">
        <f t="shared" si="25"/>
        <v>2.4102295272784846E-4</v>
      </c>
      <c r="W343" s="1">
        <v>0.16039883317507531</v>
      </c>
      <c r="X343" s="1">
        <v>0.15979436491806145</v>
      </c>
      <c r="Y343" s="12">
        <f t="shared" si="26"/>
        <v>3.7827883187482314E-3</v>
      </c>
    </row>
    <row r="344" spans="11:25" x14ac:dyDescent="0.2">
      <c r="K344" s="1">
        <v>7.527488449861449E-3</v>
      </c>
      <c r="L344" s="1">
        <v>7.5430701464668081E-3</v>
      </c>
      <c r="M344" s="13">
        <f t="shared" si="23"/>
        <v>-1.5581696605359088E-5</v>
      </c>
      <c r="O344" s="1">
        <v>0.81148627565787934</v>
      </c>
      <c r="P344" s="1">
        <v>0.81113547126659402</v>
      </c>
      <c r="Q344">
        <f t="shared" si="24"/>
        <v>3.5080439128531982E-4</v>
      </c>
      <c r="R344" s="11">
        <v>27.666666666666544</v>
      </c>
      <c r="S344" s="1">
        <v>0.13101064261489012</v>
      </c>
      <c r="T344" s="1">
        <v>0.13073506094506218</v>
      </c>
      <c r="U344">
        <f t="shared" si="25"/>
        <v>2.7558166982794008E-4</v>
      </c>
      <c r="W344" s="1">
        <v>0.16088944324083873</v>
      </c>
      <c r="X344" s="1">
        <v>0.16023877859132055</v>
      </c>
      <c r="Y344" s="12">
        <f t="shared" si="26"/>
        <v>4.0605941660205591E-3</v>
      </c>
    </row>
    <row r="345" spans="11:25" x14ac:dyDescent="0.2">
      <c r="K345" s="1">
        <v>7.5272035935607193E-3</v>
      </c>
      <c r="L345" s="1">
        <v>7.5417386545612621E-3</v>
      </c>
      <c r="M345" s="13">
        <f t="shared" si="23"/>
        <v>-1.4535061000542707E-5</v>
      </c>
      <c r="O345" s="1">
        <v>0.81098382734465602</v>
      </c>
      <c r="P345" s="1">
        <v>0.8106558027351578</v>
      </c>
      <c r="Q345">
        <f t="shared" si="24"/>
        <v>3.2802460949821199E-4</v>
      </c>
      <c r="R345" s="11">
        <v>27.749999999999876</v>
      </c>
      <c r="S345" s="1">
        <v>0.13131636607786792</v>
      </c>
      <c r="T345" s="1">
        <v>0.13087658497069596</v>
      </c>
      <c r="U345">
        <f t="shared" si="25"/>
        <v>4.3978110717196595E-4</v>
      </c>
      <c r="W345" s="1">
        <v>0.16148587912889412</v>
      </c>
      <c r="X345" s="1">
        <v>0.160566467965648</v>
      </c>
      <c r="Y345" s="12">
        <f t="shared" si="26"/>
        <v>5.7260471311035843E-3</v>
      </c>
    </row>
    <row r="346" spans="11:25" x14ac:dyDescent="0.2">
      <c r="K346" s="1">
        <v>7.5268577295939595E-3</v>
      </c>
      <c r="L346" s="1">
        <v>7.5404572699909172E-3</v>
      </c>
      <c r="M346" s="13">
        <f t="shared" si="23"/>
        <v>-1.3599540396957641E-5</v>
      </c>
      <c r="O346" s="1">
        <v>0.81048310896851583</v>
      </c>
      <c r="P346" s="1">
        <v>0.81017546435004151</v>
      </c>
      <c r="Q346">
        <f t="shared" si="24"/>
        <v>3.0764461847432312E-4</v>
      </c>
      <c r="R346" s="11">
        <v>27.833333333333208</v>
      </c>
      <c r="S346" s="1">
        <v>0.13151836377603762</v>
      </c>
      <c r="T346" s="1">
        <v>0.13111750249529835</v>
      </c>
      <c r="U346">
        <f t="shared" si="25"/>
        <v>4.0086128073926752E-4</v>
      </c>
      <c r="W346" s="1">
        <v>0.16190634009872146</v>
      </c>
      <c r="X346" s="1">
        <v>0.16106310404525567</v>
      </c>
      <c r="Y346" s="12">
        <f t="shared" si="26"/>
        <v>5.2354389819089242E-3</v>
      </c>
    </row>
    <row r="347" spans="11:25" x14ac:dyDescent="0.2">
      <c r="K347" s="1">
        <v>7.52652381398015E-3</v>
      </c>
      <c r="L347" s="1">
        <v>7.5392961946078012E-3</v>
      </c>
      <c r="M347" s="13">
        <f t="shared" si="23"/>
        <v>-1.2772380627651229E-5</v>
      </c>
      <c r="O347" s="1">
        <v>0.80998247545418545</v>
      </c>
      <c r="P347" s="1">
        <v>0.80969285591971485</v>
      </c>
      <c r="Q347">
        <f t="shared" si="24"/>
        <v>2.8961953447059763E-4</v>
      </c>
      <c r="R347" s="11">
        <v>27.91666666666654</v>
      </c>
      <c r="S347" s="1">
        <v>0.13167753136703378</v>
      </c>
      <c r="T347" s="1">
        <v>0.13126580048814959</v>
      </c>
      <c r="U347">
        <f t="shared" si="25"/>
        <v>4.1173087888418669E-4</v>
      </c>
      <c r="W347" s="1">
        <v>0.16225354907283268</v>
      </c>
      <c r="X347" s="1">
        <v>0.16140039907192419</v>
      </c>
      <c r="Y347" s="12">
        <f t="shared" si="26"/>
        <v>5.2859224996606446E-3</v>
      </c>
    </row>
    <row r="348" spans="11:25" x14ac:dyDescent="0.2">
      <c r="K348" s="1">
        <v>7.5261987801920208E-3</v>
      </c>
      <c r="L348" s="1">
        <v>7.5380900908066876E-3</v>
      </c>
      <c r="M348" s="13">
        <f t="shared" si="23"/>
        <v>-1.1891310614666785E-5</v>
      </c>
      <c r="O348" s="1">
        <v>0.80948199431964341</v>
      </c>
      <c r="P348" s="1">
        <v>0.80921171485031784</v>
      </c>
      <c r="Q348">
        <f t="shared" si="24"/>
        <v>2.7027946932556279E-4</v>
      </c>
      <c r="R348" s="11">
        <v>27.999999999999872</v>
      </c>
      <c r="S348" s="1">
        <v>0.13192582256195098</v>
      </c>
      <c r="T348" s="1">
        <v>0.13141496946796144</v>
      </c>
      <c r="U348">
        <f t="shared" si="25"/>
        <v>5.1085309398954393E-4</v>
      </c>
      <c r="W348" s="1">
        <v>0.16275293014619469</v>
      </c>
      <c r="X348" s="1">
        <v>0.16173966540423468</v>
      </c>
      <c r="Y348" s="12">
        <f t="shared" si="26"/>
        <v>6.2647881670063743E-3</v>
      </c>
    </row>
    <row r="349" spans="11:25" x14ac:dyDescent="0.2">
      <c r="K349" s="1">
        <v>7.5258590599459885E-3</v>
      </c>
      <c r="L349" s="1">
        <v>7.536936792540117E-3</v>
      </c>
      <c r="M349" s="13">
        <f t="shared" si="23"/>
        <v>-1.1077732594128552E-5</v>
      </c>
      <c r="O349" s="1">
        <v>0.80898220090288819</v>
      </c>
      <c r="P349" s="1">
        <v>0.80872981938672017</v>
      </c>
      <c r="Q349">
        <f t="shared" si="24"/>
        <v>2.5238151616802096E-4</v>
      </c>
      <c r="R349" s="11">
        <v>28.083333333333204</v>
      </c>
      <c r="S349" s="1">
        <v>0.13209690188652951</v>
      </c>
      <c r="T349" s="1">
        <v>0.13154715648730728</v>
      </c>
      <c r="U349">
        <f t="shared" si="25"/>
        <v>5.4974539922222898E-4</v>
      </c>
      <c r="W349" s="1">
        <v>0.16312055676043377</v>
      </c>
      <c r="X349" s="1">
        <v>0.16204921845128997</v>
      </c>
      <c r="Y349" s="12">
        <f t="shared" si="26"/>
        <v>6.6111908430204203E-3</v>
      </c>
    </row>
    <row r="350" spans="11:25" x14ac:dyDescent="0.2">
      <c r="K350" s="1">
        <v>7.5255056448461088E-3</v>
      </c>
      <c r="L350" s="1">
        <v>7.5359609891056034E-3</v>
      </c>
      <c r="M350" s="13">
        <f t="shared" si="23"/>
        <v>-1.0455344259494535E-5</v>
      </c>
      <c r="O350" s="1">
        <v>0.80848307463235469</v>
      </c>
      <c r="P350" s="1">
        <v>0.80824431352407633</v>
      </c>
      <c r="Q350">
        <f t="shared" si="24"/>
        <v>2.387611082783625E-4</v>
      </c>
      <c r="R350" s="11">
        <v>28.166666666666536</v>
      </c>
      <c r="S350" s="1">
        <v>0.13231185790971473</v>
      </c>
      <c r="T350" s="1">
        <v>0.13168982264147733</v>
      </c>
      <c r="U350">
        <f t="shared" si="25"/>
        <v>6.2203526823739752E-4</v>
      </c>
      <c r="W350" s="1">
        <v>0.16356342814267466</v>
      </c>
      <c r="X350" s="1">
        <v>0.16237451724902388</v>
      </c>
      <c r="Y350" s="12">
        <f t="shared" si="26"/>
        <v>7.322028812116077E-3</v>
      </c>
    </row>
    <row r="351" spans="11:25" x14ac:dyDescent="0.2">
      <c r="K351" s="1">
        <v>7.5251667051676636E-3</v>
      </c>
      <c r="L351" s="1">
        <v>7.5350176539513156E-3</v>
      </c>
      <c r="M351" s="13">
        <f t="shared" si="23"/>
        <v>-9.8509487836519541E-6</v>
      </c>
      <c r="O351" s="1">
        <v>0.80798397252117915</v>
      </c>
      <c r="P351" s="1">
        <v>0.80775848740952139</v>
      </c>
      <c r="Q351">
        <f t="shared" si="24"/>
        <v>2.2548511165776386E-4</v>
      </c>
      <c r="R351" s="11">
        <v>28.249999999999869</v>
      </c>
      <c r="S351" s="1">
        <v>0.13256829772439208</v>
      </c>
      <c r="T351" s="1">
        <v>0.13202631605275558</v>
      </c>
      <c r="U351">
        <f t="shared" si="25"/>
        <v>5.4198167163649336E-4</v>
      </c>
      <c r="W351" s="1">
        <v>0.16407728928843204</v>
      </c>
      <c r="X351" s="1">
        <v>0.16303145801267127</v>
      </c>
      <c r="Y351" s="12">
        <f t="shared" si="26"/>
        <v>6.4149047583166308E-3</v>
      </c>
    </row>
    <row r="352" spans="11:25" x14ac:dyDescent="0.2">
      <c r="K352" s="1">
        <v>7.524792201910796E-3</v>
      </c>
      <c r="L352" s="1">
        <v>7.5340546476080844E-3</v>
      </c>
      <c r="M352" s="13">
        <f t="shared" si="23"/>
        <v>-9.2624456972884364E-6</v>
      </c>
      <c r="O352" s="1">
        <v>0.80748604017993064</v>
      </c>
      <c r="P352" s="1">
        <v>0.80727353149820857</v>
      </c>
      <c r="Q352">
        <f t="shared" si="24"/>
        <v>2.1250868172206783E-4</v>
      </c>
      <c r="R352" s="11">
        <v>28.333333333333201</v>
      </c>
      <c r="S352" s="1">
        <v>0.13279255817773536</v>
      </c>
      <c r="T352" s="1">
        <v>0.13213769451224236</v>
      </c>
      <c r="U352">
        <f t="shared" si="25"/>
        <v>6.5486366549299957E-4</v>
      </c>
      <c r="W352" s="1">
        <v>0.16453657509486019</v>
      </c>
      <c r="X352" s="1">
        <v>0.16330307408060768</v>
      </c>
      <c r="Y352" s="12">
        <f t="shared" si="26"/>
        <v>7.5534463830340126E-3</v>
      </c>
    </row>
    <row r="353" spans="11:25" x14ac:dyDescent="0.2">
      <c r="K353" s="1">
        <v>7.5244073384018858E-3</v>
      </c>
      <c r="L353" s="1">
        <v>7.5331817445912462E-3</v>
      </c>
      <c r="M353" s="13">
        <f t="shared" si="23"/>
        <v>-8.77440618936038E-6</v>
      </c>
      <c r="O353" s="1">
        <v>0.80698870334422967</v>
      </c>
      <c r="P353" s="1">
        <v>0.80678692444457312</v>
      </c>
      <c r="Q353">
        <f t="shared" si="24"/>
        <v>2.0177889965655726E-4</v>
      </c>
      <c r="R353" s="11">
        <v>28.416666666666533</v>
      </c>
      <c r="S353" s="1">
        <v>0.1328991508251875</v>
      </c>
      <c r="T353" s="1">
        <v>0.13236255256866472</v>
      </c>
      <c r="U353">
        <f t="shared" si="25"/>
        <v>5.3659825652277449E-4</v>
      </c>
      <c r="W353" s="1">
        <v>0.16479412966012161</v>
      </c>
      <c r="X353" s="1">
        <v>0.16376819919327779</v>
      </c>
      <c r="Y353" s="12">
        <f t="shared" si="26"/>
        <v>6.2645279846609281E-3</v>
      </c>
    </row>
    <row r="354" spans="11:25" x14ac:dyDescent="0.2">
      <c r="K354" s="1">
        <v>7.5239525695692524E-3</v>
      </c>
      <c r="L354" s="1">
        <v>7.5323527224406776E-3</v>
      </c>
      <c r="M354" s="13">
        <f t="shared" si="23"/>
        <v>-8.4001528714251414E-6</v>
      </c>
      <c r="O354" s="1">
        <v>0.80649333602826878</v>
      </c>
      <c r="P354" s="1">
        <v>0.80629971669960898</v>
      </c>
      <c r="Q354">
        <f t="shared" si="24"/>
        <v>1.9361932865979981E-4</v>
      </c>
      <c r="R354" s="11">
        <v>28.499999999999865</v>
      </c>
      <c r="S354" s="1">
        <v>0.13306947565563979</v>
      </c>
      <c r="T354" s="1">
        <v>0.13256758157561915</v>
      </c>
      <c r="U354">
        <f t="shared" si="25"/>
        <v>5.0189408002063174E-4</v>
      </c>
      <c r="W354" s="1">
        <v>0.16516177422692582</v>
      </c>
      <c r="X354" s="1">
        <v>0.16419888370143218</v>
      </c>
      <c r="Y354" s="12">
        <f t="shared" si="26"/>
        <v>5.8641721782013434E-3</v>
      </c>
    </row>
    <row r="355" spans="11:25" x14ac:dyDescent="0.2">
      <c r="K355" s="1">
        <v>7.5234917098437049E-3</v>
      </c>
      <c r="L355" s="1">
        <v>7.5314470231783665E-3</v>
      </c>
      <c r="M355" s="13">
        <f t="shared" si="23"/>
        <v>-7.9553133346616303E-6</v>
      </c>
      <c r="O355" s="1">
        <v>0.80599847461419472</v>
      </c>
      <c r="P355" s="1">
        <v>0.80581468575322823</v>
      </c>
      <c r="Q355">
        <f t="shared" si="24"/>
        <v>1.8378886096648284E-4</v>
      </c>
      <c r="R355" s="11">
        <v>28.583333333333197</v>
      </c>
      <c r="S355" s="1">
        <v>0.133319013705892</v>
      </c>
      <c r="T355" s="1">
        <v>0.1327812464354578</v>
      </c>
      <c r="U355">
        <f t="shared" si="25"/>
        <v>5.3776727043419736E-4</v>
      </c>
      <c r="W355" s="1">
        <v>0.16566562002176241</v>
      </c>
      <c r="X355" s="1">
        <v>0.16464541793728357</v>
      </c>
      <c r="Y355" s="12">
        <f t="shared" si="26"/>
        <v>6.196358800992785E-3</v>
      </c>
    </row>
    <row r="356" spans="11:25" x14ac:dyDescent="0.2">
      <c r="K356" s="1">
        <v>7.5231768476331081E-3</v>
      </c>
      <c r="L356" s="1">
        <v>7.5306031590657817E-3</v>
      </c>
      <c r="M356" s="13">
        <f t="shared" si="23"/>
        <v>-7.4263114326735338E-6</v>
      </c>
      <c r="O356" s="1">
        <v>0.80550059767772275</v>
      </c>
      <c r="P356" s="1">
        <v>0.80532863645973607</v>
      </c>
      <c r="Q356">
        <f t="shared" si="24"/>
        <v>1.7196121798668251E-4</v>
      </c>
      <c r="R356" s="11">
        <v>28.666666666666529</v>
      </c>
      <c r="S356" s="1">
        <v>0.13349298026963641</v>
      </c>
      <c r="T356" s="1">
        <v>0.13298211922467393</v>
      </c>
      <c r="U356">
        <f t="shared" si="25"/>
        <v>5.1086104496247953E-4</v>
      </c>
      <c r="W356" s="1">
        <v>0.16603785815236885</v>
      </c>
      <c r="X356" s="1">
        <v>0.16506931155977908</v>
      </c>
      <c r="Y356" s="12">
        <f t="shared" si="26"/>
        <v>5.8675145818307683E-3</v>
      </c>
    </row>
    <row r="357" spans="11:25" x14ac:dyDescent="0.2">
      <c r="K357" s="1">
        <v>7.5229118352559445E-3</v>
      </c>
      <c r="L357" s="1">
        <v>7.5297310804337894E-3</v>
      </c>
      <c r="M357" s="13">
        <f t="shared" si="23"/>
        <v>-6.8192451778449625E-6</v>
      </c>
      <c r="O357" s="1">
        <v>0.80500191347146444</v>
      </c>
      <c r="P357" s="1">
        <v>0.80484364829163646</v>
      </c>
      <c r="Q357">
        <f t="shared" si="24"/>
        <v>1.5826517982797661E-4</v>
      </c>
      <c r="R357" s="11">
        <v>28.749999999999861</v>
      </c>
      <c r="S357" s="1">
        <v>0.13374615083434346</v>
      </c>
      <c r="T357" s="1">
        <v>0.13318838569253216</v>
      </c>
      <c r="U357">
        <f t="shared" si="25"/>
        <v>5.5776514181130055E-4</v>
      </c>
      <c r="W357" s="1">
        <v>0.16654581017118136</v>
      </c>
      <c r="X357" s="1">
        <v>0.16550290274570853</v>
      </c>
      <c r="Y357" s="12">
        <f t="shared" si="26"/>
        <v>6.3014449183120824E-3</v>
      </c>
    </row>
    <row r="358" spans="11:25" x14ac:dyDescent="0.2">
      <c r="K358" s="1">
        <v>7.5225985031887495E-3</v>
      </c>
      <c r="L358" s="1">
        <v>7.5287631639458143E-3</v>
      </c>
      <c r="M358" s="13">
        <f t="shared" si="23"/>
        <v>-6.1646607570648576E-6</v>
      </c>
      <c r="O358" s="1">
        <v>0.80450469762262089</v>
      </c>
      <c r="P358" s="1">
        <v>0.80436129823822489</v>
      </c>
      <c r="Q358">
        <f t="shared" si="24"/>
        <v>1.4339938439600353E-4</v>
      </c>
      <c r="R358" s="11">
        <v>28.833333333333194</v>
      </c>
      <c r="S358" s="1">
        <v>0.13392551896499927</v>
      </c>
      <c r="T358" s="1">
        <v>0.13342204422265566</v>
      </c>
      <c r="U358">
        <f t="shared" si="25"/>
        <v>5.0347474234360701E-4</v>
      </c>
      <c r="W358" s="1">
        <v>0.16692734816942931</v>
      </c>
      <c r="X358" s="1">
        <v>0.16598493825367394</v>
      </c>
      <c r="Y358" s="12">
        <f t="shared" si="26"/>
        <v>5.6776833227789592E-3</v>
      </c>
    </row>
    <row r="359" spans="11:25" x14ac:dyDescent="0.2">
      <c r="K359" s="1">
        <v>7.5222044298351104E-3</v>
      </c>
      <c r="L359" s="1">
        <v>7.5278247755633503E-3</v>
      </c>
      <c r="M359" s="13">
        <f t="shared" si="23"/>
        <v>-5.6203457282398908E-6</v>
      </c>
      <c r="O359" s="1">
        <v>0.80400971345438943</v>
      </c>
      <c r="P359" s="1">
        <v>0.80387867856917339</v>
      </c>
      <c r="Q359">
        <f t="shared" si="24"/>
        <v>1.3103488521604145E-4</v>
      </c>
      <c r="R359" s="11">
        <v>28.916666666666526</v>
      </c>
      <c r="S359" s="1">
        <v>0.13408184959023561</v>
      </c>
      <c r="T359" s="1">
        <v>0.13362821516075549</v>
      </c>
      <c r="U359">
        <f t="shared" si="25"/>
        <v>4.5363442948012644E-4</v>
      </c>
      <c r="W359" s="1">
        <v>0.1672701145264523</v>
      </c>
      <c r="X359" s="1">
        <v>0.1664193821103673</v>
      </c>
      <c r="Y359" s="12">
        <f t="shared" si="26"/>
        <v>5.1119791775262602E-3</v>
      </c>
    </row>
    <row r="360" spans="11:25" x14ac:dyDescent="0.2">
      <c r="K360" s="1">
        <v>7.5218364742839208E-3</v>
      </c>
      <c r="L360" s="1">
        <v>7.5267508087115634E-3</v>
      </c>
      <c r="M360" s="13">
        <f t="shared" si="23"/>
        <v>-4.9143344276426568E-6</v>
      </c>
      <c r="O360" s="1">
        <v>0.80351447626292538</v>
      </c>
      <c r="P360" s="1">
        <v>0.80339964198114711</v>
      </c>
      <c r="Q360">
        <f t="shared" si="24"/>
        <v>1.1483428177827548E-4</v>
      </c>
      <c r="R360" s="11">
        <v>28.999999999999858</v>
      </c>
      <c r="S360" s="1">
        <v>0.13431889727863391</v>
      </c>
      <c r="T360" s="1">
        <v>0.13391554533469074</v>
      </c>
      <c r="U360">
        <f t="shared" si="25"/>
        <v>4.0335194394316987E-4</v>
      </c>
      <c r="W360" s="1">
        <v>0.1677517589030344</v>
      </c>
      <c r="X360" s="1">
        <v>0.16699561770734445</v>
      </c>
      <c r="Y360" s="12">
        <f t="shared" si="26"/>
        <v>4.527910409092728E-3</v>
      </c>
    </row>
    <row r="361" spans="11:25" x14ac:dyDescent="0.2">
      <c r="K361" s="1">
        <v>7.5215256510660633E-3</v>
      </c>
      <c r="L361" s="1">
        <v>7.5257581582421525E-3</v>
      </c>
      <c r="M361" s="13">
        <f t="shared" si="23"/>
        <v>-4.2325071760891675E-6</v>
      </c>
      <c r="O361" s="1">
        <v>0.80301825524489912</v>
      </c>
      <c r="P361" s="1">
        <v>0.80291913026469242</v>
      </c>
      <c r="Q361">
        <f t="shared" si="24"/>
        <v>9.9124980206699576E-5</v>
      </c>
      <c r="R361" s="11">
        <v>29.08333333333319</v>
      </c>
      <c r="S361" s="1">
        <v>0.13454839097425531</v>
      </c>
      <c r="T361" s="1">
        <v>0.13405417059356187</v>
      </c>
      <c r="U361">
        <f t="shared" si="25"/>
        <v>4.9422038069343865E-4</v>
      </c>
      <c r="W361" s="1">
        <v>0.16821977422061793</v>
      </c>
      <c r="X361" s="1">
        <v>0.16731436634207433</v>
      </c>
      <c r="Y361" s="12">
        <f t="shared" si="26"/>
        <v>5.411417431378851E-3</v>
      </c>
    </row>
    <row r="362" spans="11:25" x14ac:dyDescent="0.2">
      <c r="K362" s="1">
        <v>7.5211949087813142E-3</v>
      </c>
      <c r="L362" s="1">
        <v>7.5248420559169858E-3</v>
      </c>
      <c r="M362" s="13">
        <f t="shared" si="23"/>
        <v>-3.6471471356715537E-6</v>
      </c>
      <c r="O362" s="1">
        <v>0.80252284982442923</v>
      </c>
      <c r="P362" s="1">
        <v>0.80243724201258393</v>
      </c>
      <c r="Q362">
        <f t="shared" si="24"/>
        <v>8.5607811845300752E-5</v>
      </c>
      <c r="R362" s="11">
        <v>29.166666666666522</v>
      </c>
      <c r="S362" s="1">
        <v>0.13469086113017636</v>
      </c>
      <c r="T362" s="1">
        <v>0.13421316573275621</v>
      </c>
      <c r="U362">
        <f t="shared" si="25"/>
        <v>4.7769539742015255E-4</v>
      </c>
      <c r="W362" s="1">
        <v>0.16853773604488009</v>
      </c>
      <c r="X362" s="1">
        <v>0.16766728646503276</v>
      </c>
      <c r="Y362" s="12">
        <f t="shared" si="26"/>
        <v>5.1915289988835323E-3</v>
      </c>
    </row>
    <row r="363" spans="11:25" x14ac:dyDescent="0.2">
      <c r="K363" s="1">
        <v>7.520926774592776E-3</v>
      </c>
      <c r="L363" s="1">
        <v>7.5239989673097606E-3</v>
      </c>
      <c r="M363" s="13">
        <f t="shared" si="23"/>
        <v>-3.0721927169845287E-6</v>
      </c>
      <c r="O363" s="1">
        <v>0.80202632131876084</v>
      </c>
      <c r="P363" s="1">
        <v>0.80195404784562085</v>
      </c>
      <c r="Q363">
        <f t="shared" si="24"/>
        <v>7.2273473139983224E-5</v>
      </c>
      <c r="R363" s="11">
        <v>29.249999999999854</v>
      </c>
      <c r="S363" s="1">
        <v>0.13488921409858254</v>
      </c>
      <c r="T363" s="1">
        <v>0.13445875371044774</v>
      </c>
      <c r="U363">
        <f t="shared" si="25"/>
        <v>4.304603881347957E-4</v>
      </c>
      <c r="W363" s="1">
        <v>0.16895144014558419</v>
      </c>
      <c r="X363" s="1">
        <v>0.16816903099201452</v>
      </c>
      <c r="Y363" s="12">
        <f t="shared" si="26"/>
        <v>4.6525162745738591E-3</v>
      </c>
    </row>
    <row r="364" spans="11:25" x14ac:dyDescent="0.2">
      <c r="K364" s="1">
        <v>7.5207294241355404E-3</v>
      </c>
      <c r="L364" s="1">
        <v>7.5232307892094553E-3</v>
      </c>
      <c r="M364" s="13">
        <f t="shared" si="23"/>
        <v>-2.5013650739149143E-6</v>
      </c>
      <c r="O364" s="1">
        <v>0.80152846687810975</v>
      </c>
      <c r="P364" s="1">
        <v>0.80146949112245669</v>
      </c>
      <c r="Q364">
        <f t="shared" si="24"/>
        <v>5.8975755653056794E-5</v>
      </c>
      <c r="R364" s="11">
        <v>29.333333333333186</v>
      </c>
      <c r="S364" s="1">
        <v>0.13508475002901391</v>
      </c>
      <c r="T364" s="1">
        <v>0.13469176086459492</v>
      </c>
      <c r="U364">
        <f t="shared" si="25"/>
        <v>3.9298916441898868E-4</v>
      </c>
      <c r="W364" s="1">
        <v>0.16935939806185052</v>
      </c>
      <c r="X364" s="1">
        <v>0.16864824846186774</v>
      </c>
      <c r="Y364" s="12">
        <f t="shared" si="26"/>
        <v>4.2167624417610572E-3</v>
      </c>
    </row>
    <row r="365" spans="11:25" x14ac:dyDescent="0.2">
      <c r="K365" s="1">
        <v>7.5205281725916357E-3</v>
      </c>
      <c r="L365" s="1">
        <v>7.522454051178306E-3</v>
      </c>
      <c r="M365" s="13">
        <f t="shared" si="23"/>
        <v>-1.9258785866702738E-6</v>
      </c>
      <c r="O365" s="1">
        <v>0.80103104001009107</v>
      </c>
      <c r="P365" s="1">
        <v>0.80098553199128353</v>
      </c>
      <c r="Q365">
        <f t="shared" si="24"/>
        <v>4.5508018807538519E-5</v>
      </c>
      <c r="R365" s="11">
        <v>29.416666666666519</v>
      </c>
      <c r="S365" s="1">
        <v>0.1352612038073838</v>
      </c>
      <c r="T365" s="1">
        <v>0.13480382817431463</v>
      </c>
      <c r="U365">
        <f t="shared" si="25"/>
        <v>4.5737563306916251E-4</v>
      </c>
      <c r="W365" s="1">
        <v>0.16973434753284752</v>
      </c>
      <c r="X365" s="1">
        <v>0.16891822565566073</v>
      </c>
      <c r="Y365" s="12">
        <f t="shared" si="26"/>
        <v>4.8314613418356522E-3</v>
      </c>
    </row>
    <row r="366" spans="11:25" x14ac:dyDescent="0.2">
      <c r="K366" s="1">
        <v>7.5202898953588013E-3</v>
      </c>
      <c r="L366" s="1">
        <v>7.5216942071967951E-3</v>
      </c>
      <c r="M366" s="13">
        <f t="shared" si="23"/>
        <v>-1.4043118379937838E-6</v>
      </c>
      <c r="O366" s="1">
        <v>0.80053482555555633</v>
      </c>
      <c r="P366" s="1">
        <v>0.80050156864729816</v>
      </c>
      <c r="Q366">
        <f t="shared" si="24"/>
        <v>3.3256908258172402E-5</v>
      </c>
      <c r="R366" s="11">
        <v>29.499999999999851</v>
      </c>
      <c r="S366" s="1">
        <v>0.13554729504404275</v>
      </c>
      <c r="T366" s="1">
        <v>0.13497889100872984</v>
      </c>
      <c r="U366">
        <f t="shared" si="25"/>
        <v>5.6840403531291384E-4</v>
      </c>
      <c r="W366" s="1">
        <v>0.17029972737871721</v>
      </c>
      <c r="X366" s="1">
        <v>0.1692970135088725</v>
      </c>
      <c r="Y366" s="12">
        <f t="shared" si="26"/>
        <v>5.9228089678744489E-3</v>
      </c>
    </row>
    <row r="367" spans="11:25" x14ac:dyDescent="0.2">
      <c r="K367" s="1">
        <v>7.5200072501509065E-3</v>
      </c>
      <c r="L367" s="1">
        <v>7.5209640834474085E-3</v>
      </c>
      <c r="M367" s="13">
        <f t="shared" si="23"/>
        <v>-9.5683329650198684E-7</v>
      </c>
      <c r="O367" s="1">
        <v>0.80004000331458536</v>
      </c>
      <c r="P367" s="1">
        <v>0.80001729365779906</v>
      </c>
      <c r="Q367">
        <f t="shared" si="24"/>
        <v>2.2709656786301657E-5</v>
      </c>
      <c r="R367" s="11">
        <v>29.583333333333183</v>
      </c>
      <c r="S367" s="1">
        <v>0.13567383675159461</v>
      </c>
      <c r="T367" s="1">
        <v>0.13518662558180794</v>
      </c>
      <c r="U367">
        <f t="shared" si="25"/>
        <v>4.8721116978667212E-4</v>
      </c>
      <c r="W367" s="1">
        <v>0.17058915098572025</v>
      </c>
      <c r="X367" s="1">
        <v>0.16973209036875994</v>
      </c>
      <c r="Y367" s="12">
        <f t="shared" si="26"/>
        <v>5.0494907303519909E-3</v>
      </c>
    </row>
    <row r="368" spans="11:25" x14ac:dyDescent="0.2">
      <c r="K368" s="1">
        <v>7.5197231779228334E-3</v>
      </c>
      <c r="L368" s="1">
        <v>7.5202045861826987E-3</v>
      </c>
      <c r="M368" s="13">
        <f t="shared" si="23"/>
        <v>-4.8140825986524305E-7</v>
      </c>
      <c r="O368" s="1">
        <v>0.79954555853885634</v>
      </c>
      <c r="P368" s="1">
        <v>0.79953410761273447</v>
      </c>
      <c r="Q368">
        <f t="shared" si="24"/>
        <v>1.145092612186982E-5</v>
      </c>
      <c r="R368" s="11">
        <v>29.666666666666515</v>
      </c>
      <c r="S368" s="1">
        <v>0.13583811185663591</v>
      </c>
      <c r="T368" s="1">
        <v>0.13537115617095508</v>
      </c>
      <c r="U368">
        <f t="shared" si="25"/>
        <v>4.6695568568083656E-4</v>
      </c>
      <c r="W368" s="1">
        <v>0.17094390901825327</v>
      </c>
      <c r="X368" s="1">
        <v>0.17012731773453343</v>
      </c>
      <c r="Y368" s="12">
        <f t="shared" si="26"/>
        <v>4.7998833731925927E-3</v>
      </c>
    </row>
    <row r="369" spans="11:25" x14ac:dyDescent="0.2">
      <c r="K369" s="1">
        <v>7.519326361497632E-3</v>
      </c>
      <c r="L369" s="1">
        <v>7.5193473281453781E-3</v>
      </c>
      <c r="M369" s="13">
        <f t="shared" si="23"/>
        <v>-2.0966647746104017E-8</v>
      </c>
      <c r="O369" s="1">
        <v>0.79905414481601378</v>
      </c>
      <c r="P369" s="1">
        <v>0.79905364500381437</v>
      </c>
      <c r="Q369">
        <f t="shared" si="24"/>
        <v>4.998121994059801E-7</v>
      </c>
      <c r="R369" s="11">
        <v>29.749999999999847</v>
      </c>
      <c r="S369" s="1">
        <v>0.13606738034649815</v>
      </c>
      <c r="T369" s="1">
        <v>0.13556712282554528</v>
      </c>
      <c r="U369">
        <f t="shared" si="25"/>
        <v>5.0025752095286813E-4</v>
      </c>
      <c r="W369" s="1">
        <v>0.17141289193727213</v>
      </c>
      <c r="X369" s="1">
        <v>0.17054364601861124</v>
      </c>
      <c r="Y369" s="12">
        <f t="shared" si="26"/>
        <v>5.0969117815506948E-3</v>
      </c>
    </row>
    <row r="370" spans="11:25" x14ac:dyDescent="0.2">
      <c r="K370" s="1">
        <v>7.5188630842331731E-3</v>
      </c>
      <c r="L370" s="1">
        <v>7.5184991225313641E-3</v>
      </c>
      <c r="M370" s="13">
        <f t="shared" si="23"/>
        <v>3.6396170180908599E-7</v>
      </c>
      <c r="O370" s="1">
        <v>0.79856467371187301</v>
      </c>
      <c r="P370" s="1">
        <v>0.79857336894736175</v>
      </c>
      <c r="Q370">
        <f t="shared" si="24"/>
        <v>-8.6952354887426253E-6</v>
      </c>
      <c r="R370" s="11">
        <v>29.833333333333179</v>
      </c>
      <c r="S370" s="1">
        <v>0.13624080822546278</v>
      </c>
      <c r="T370" s="1">
        <v>0.13578809637534037</v>
      </c>
      <c r="U370">
        <f t="shared" si="25"/>
        <v>4.5271185012241144E-4</v>
      </c>
      <c r="W370" s="1">
        <v>0.17178573808220884</v>
      </c>
      <c r="X370" s="1">
        <v>0.1710033749386044</v>
      </c>
      <c r="Y370" s="12">
        <f t="shared" si="26"/>
        <v>4.5751327649838913E-3</v>
      </c>
    </row>
    <row r="371" spans="11:25" x14ac:dyDescent="0.2">
      <c r="K371" s="1">
        <v>7.5183761451179786E-3</v>
      </c>
      <c r="L371" s="1">
        <v>7.5176067782571666E-3</v>
      </c>
      <c r="M371" s="13">
        <f t="shared" si="23"/>
        <v>7.6936686081198469E-7</v>
      </c>
      <c r="O371" s="1">
        <v>0.79807613057993709</v>
      </c>
      <c r="P371" s="1">
        <v>0.79809455119233763</v>
      </c>
      <c r="Q371">
        <f t="shared" si="24"/>
        <v>-1.8420612400538161E-5</v>
      </c>
      <c r="R371" s="11">
        <v>29.916666666666512</v>
      </c>
      <c r="S371" s="1">
        <v>0.13648425933531583</v>
      </c>
      <c r="T371" s="1">
        <v>0.13598250805468898</v>
      </c>
      <c r="U371">
        <f t="shared" si="25"/>
        <v>5.0175128062684982E-4</v>
      </c>
      <c r="W371" s="1">
        <v>0.17228063111157779</v>
      </c>
      <c r="X371" s="1">
        <v>0.17141755325236335</v>
      </c>
      <c r="Y371" s="12">
        <f t="shared" si="26"/>
        <v>5.0349444548645206E-3</v>
      </c>
    </row>
    <row r="372" spans="11:25" x14ac:dyDescent="0.2">
      <c r="K372" s="1">
        <v>7.517836415996253E-3</v>
      </c>
      <c r="L372" s="1">
        <v>7.5167115425503993E-3</v>
      </c>
      <c r="M372" s="13">
        <f t="shared" si="23"/>
        <v>1.1248734458537551E-6</v>
      </c>
      <c r="O372" s="1">
        <v>0.79758921770660951</v>
      </c>
      <c r="P372" s="1">
        <v>0.79761620853681958</v>
      </c>
      <c r="Q372">
        <f t="shared" si="24"/>
        <v>-2.699083021007187E-5</v>
      </c>
      <c r="R372" s="11">
        <v>29.999999999999844</v>
      </c>
      <c r="S372" s="1">
        <v>0.13667962172168488</v>
      </c>
      <c r="T372" s="1">
        <v>0.13622090261377157</v>
      </c>
      <c r="U372">
        <f t="shared" si="25"/>
        <v>4.587191079133135E-4</v>
      </c>
      <c r="W372" s="1">
        <v>0.17269261406625205</v>
      </c>
      <c r="X372" s="1">
        <v>0.17190837604369141</v>
      </c>
      <c r="Y372" s="12">
        <f t="shared" si="26"/>
        <v>4.5619535278567103E-3</v>
      </c>
    </row>
    <row r="373" spans="11:25" x14ac:dyDescent="0.2">
      <c r="K373" s="1">
        <v>7.5174191190814105E-3</v>
      </c>
      <c r="L373" s="1">
        <v>7.5158024268831974E-3</v>
      </c>
      <c r="M373" s="13">
        <f t="shared" si="23"/>
        <v>1.6166921982131016E-6</v>
      </c>
      <c r="O373" s="1">
        <v>0.79709972961519981</v>
      </c>
      <c r="P373" s="1">
        <v>0.79713860528808722</v>
      </c>
      <c r="Q373">
        <f t="shared" si="24"/>
        <v>-3.8875672887406232E-5</v>
      </c>
      <c r="R373" s="11">
        <v>30.083333333333176</v>
      </c>
      <c r="S373" s="1">
        <v>0.13692413243712215</v>
      </c>
      <c r="T373" s="1">
        <v>0.13639712045232666</v>
      </c>
      <c r="U373">
        <f t="shared" si="25"/>
        <v>5.2701198479548905E-4</v>
      </c>
      <c r="W373" s="1">
        <v>0.17318864962474392</v>
      </c>
      <c r="X373" s="1">
        <v>0.17229119884422053</v>
      </c>
      <c r="Y373" s="12">
        <f t="shared" si="26"/>
        <v>5.2089183112298265E-3</v>
      </c>
    </row>
    <row r="374" spans="11:25" x14ac:dyDescent="0.2">
      <c r="K374" s="1">
        <v>7.5170149569690498E-3</v>
      </c>
      <c r="L374" s="1">
        <v>7.5149182577865098E-3</v>
      </c>
      <c r="M374" s="13">
        <f t="shared" si="23"/>
        <v>2.0966991825400322E-6</v>
      </c>
      <c r="O374" s="1">
        <v>0.79661028081569107</v>
      </c>
      <c r="P374" s="1">
        <v>0.79666080754477564</v>
      </c>
      <c r="Q374">
        <f t="shared" si="24"/>
        <v>-5.052672908456568E-5</v>
      </c>
      <c r="R374" s="11">
        <v>30.166666666666508</v>
      </c>
      <c r="S374" s="1">
        <v>0.1370790048501335</v>
      </c>
      <c r="T374" s="1">
        <v>0.13662678562629066</v>
      </c>
      <c r="U374">
        <f t="shared" si="25"/>
        <v>4.5221922384283686E-4</v>
      </c>
      <c r="W374" s="1">
        <v>0.17352839748845725</v>
      </c>
      <c r="X374" s="1">
        <v>0.17276687248205255</v>
      </c>
      <c r="Y374" s="12">
        <f t="shared" si="26"/>
        <v>4.4078184403308907E-3</v>
      </c>
    </row>
    <row r="375" spans="11:25" x14ac:dyDescent="0.2">
      <c r="K375" s="1">
        <v>7.5165920847580833E-3</v>
      </c>
      <c r="L375" s="1">
        <v>7.5140781208241835E-3</v>
      </c>
      <c r="M375" s="13">
        <f t="shared" si="23"/>
        <v>2.5139639338997086E-6</v>
      </c>
      <c r="O375" s="1">
        <v>0.79612163801337488</v>
      </c>
      <c r="P375" s="1">
        <v>0.79618235010111393</v>
      </c>
      <c r="Q375">
        <f t="shared" si="24"/>
        <v>-6.0712087739056564E-5</v>
      </c>
      <c r="R375" s="11">
        <v>30.24999999999984</v>
      </c>
      <c r="S375" s="1">
        <v>0.13719117357802188</v>
      </c>
      <c r="T375" s="1">
        <v>0.13681761876868054</v>
      </c>
      <c r="U375">
        <f t="shared" si="25"/>
        <v>3.7355480934134211E-4</v>
      </c>
      <c r="W375" s="1">
        <v>0.17379379976282375</v>
      </c>
      <c r="X375" s="1">
        <v>0.17317435613714116</v>
      </c>
      <c r="Y375" s="12">
        <f t="shared" si="26"/>
        <v>3.5769939585745814E-3</v>
      </c>
    </row>
    <row r="376" spans="11:25" x14ac:dyDescent="0.2">
      <c r="K376" s="1">
        <v>7.5161942889394656E-3</v>
      </c>
      <c r="L376" s="1">
        <v>7.5133766707052418E-3</v>
      </c>
      <c r="M376" s="13">
        <f t="shared" si="23"/>
        <v>2.8176182342238079E-6</v>
      </c>
      <c r="O376" s="1">
        <v>0.79563274415965513</v>
      </c>
      <c r="P376" s="1">
        <v>0.7957009348403884</v>
      </c>
      <c r="Q376">
        <f t="shared" si="24"/>
        <v>-6.8190680733271059E-5</v>
      </c>
      <c r="R376" s="11">
        <v>30.333333333333172</v>
      </c>
      <c r="S376" s="1">
        <v>0.13740003893347064</v>
      </c>
      <c r="T376" s="1">
        <v>0.13691994223185666</v>
      </c>
      <c r="U376">
        <f t="shared" si="25"/>
        <v>4.8009670161397455E-4</v>
      </c>
      <c r="W376" s="1">
        <v>0.17422744770861215</v>
      </c>
      <c r="X376" s="1">
        <v>0.17342556152220814</v>
      </c>
      <c r="Y376" s="12">
        <f t="shared" si="26"/>
        <v>4.6238061988417289E-3</v>
      </c>
    </row>
    <row r="377" spans="11:25" x14ac:dyDescent="0.2">
      <c r="K377" s="1">
        <v>7.5157358570534794E-3</v>
      </c>
      <c r="L377" s="1">
        <v>7.5126395811911757E-3</v>
      </c>
      <c r="M377" s="13">
        <f t="shared" si="23"/>
        <v>3.0962758623036615E-6</v>
      </c>
      <c r="O377" s="1">
        <v>0.79514567379151946</v>
      </c>
      <c r="P377" s="1">
        <v>0.79522076804316122</v>
      </c>
      <c r="Q377">
        <f t="shared" si="24"/>
        <v>-7.5094251641760756E-5</v>
      </c>
      <c r="R377" s="11">
        <v>30.416666666666504</v>
      </c>
      <c r="S377" s="1">
        <v>0.1376493025397407</v>
      </c>
      <c r="T377" s="1">
        <v>0.13710882986260187</v>
      </c>
      <c r="U377">
        <f t="shared" si="25"/>
        <v>5.4047267713883129E-4</v>
      </c>
      <c r="W377" s="1">
        <v>0.17473245629814935</v>
      </c>
      <c r="X377" s="1">
        <v>0.17382824701093699</v>
      </c>
      <c r="Y377" s="12">
        <f t="shared" si="26"/>
        <v>5.201739664068894E-3</v>
      </c>
    </row>
    <row r="378" spans="11:25" x14ac:dyDescent="0.2">
      <c r="K378" s="1">
        <v>7.5151666066972387E-3</v>
      </c>
      <c r="L378" s="1">
        <v>7.5119067582917233E-3</v>
      </c>
      <c r="M378" s="13">
        <f t="shared" si="23"/>
        <v>3.2598484055153601E-6</v>
      </c>
      <c r="O378" s="1">
        <v>0.79466165557553592</v>
      </c>
      <c r="P378" s="1">
        <v>0.79474088493217132</v>
      </c>
      <c r="Q378">
        <f t="shared" si="24"/>
        <v>-7.9229356635401871E-5</v>
      </c>
      <c r="R378" s="11">
        <v>30.499999999999837</v>
      </c>
      <c r="S378" s="1">
        <v>0.13781693857325697</v>
      </c>
      <c r="T378" s="1">
        <v>0.13729313968589235</v>
      </c>
      <c r="U378">
        <f t="shared" si="25"/>
        <v>5.2379888736461822E-4</v>
      </c>
      <c r="W378" s="1">
        <v>0.17509635965825157</v>
      </c>
      <c r="X378" s="1">
        <v>0.17422287968274947</v>
      </c>
      <c r="Y378" s="12">
        <f t="shared" si="26"/>
        <v>5.0135778784776708E-3</v>
      </c>
    </row>
    <row r="379" spans="11:25" x14ac:dyDescent="0.2">
      <c r="K379" s="1">
        <v>7.5145802585850135E-3</v>
      </c>
      <c r="L379" s="1">
        <v>7.5112653140301123E-3</v>
      </c>
      <c r="M379" s="13">
        <f t="shared" si="23"/>
        <v>3.3149445549012294E-6</v>
      </c>
      <c r="O379" s="1">
        <v>0.79417842374946646</v>
      </c>
      <c r="P379" s="1">
        <v>0.79425916268149199</v>
      </c>
      <c r="Q379">
        <f t="shared" si="24"/>
        <v>-8.0738932025536947E-5</v>
      </c>
      <c r="R379" s="11">
        <v>30.583333333333169</v>
      </c>
      <c r="S379" s="1">
        <v>0.13796759645740411</v>
      </c>
      <c r="T379" s="1">
        <v>0.13742642557419052</v>
      </c>
      <c r="U379">
        <f t="shared" si="25"/>
        <v>5.4117088321359308E-4</v>
      </c>
      <c r="W379" s="1">
        <v>0.17543072935069554</v>
      </c>
      <c r="X379" s="1">
        <v>0.17452706255024777</v>
      </c>
      <c r="Y379" s="12">
        <f t="shared" si="26"/>
        <v>5.1778033002050083E-3</v>
      </c>
    </row>
    <row r="380" spans="11:25" x14ac:dyDescent="0.2">
      <c r="K380" s="1">
        <v>7.5139364291940697E-3</v>
      </c>
      <c r="L380" s="1">
        <v>7.5106176457769222E-3</v>
      </c>
      <c r="M380" s="13">
        <f t="shared" si="23"/>
        <v>3.3187834171475444E-6</v>
      </c>
      <c r="O380" s="1">
        <v>0.79369696623643782</v>
      </c>
      <c r="P380" s="1">
        <v>0.79377796920078958</v>
      </c>
      <c r="Q380">
        <f t="shared" si="24"/>
        <v>-8.1002964351761797E-5</v>
      </c>
      <c r="R380" s="11">
        <v>30.666666666666501</v>
      </c>
      <c r="S380" s="1">
        <v>0.13809880777396275</v>
      </c>
      <c r="T380" s="1">
        <v>0.13762766558675907</v>
      </c>
      <c r="U380">
        <f t="shared" si="25"/>
        <v>4.7114218720367695E-4</v>
      </c>
      <c r="W380" s="1">
        <v>0.17573171095145557</v>
      </c>
      <c r="X380" s="1">
        <v>0.17495014928635275</v>
      </c>
      <c r="Y380" s="12">
        <f t="shared" si="26"/>
        <v>4.4673392294372061E-3</v>
      </c>
    </row>
    <row r="381" spans="11:25" x14ac:dyDescent="0.2">
      <c r="K381" s="1">
        <v>7.5133739282079188E-3</v>
      </c>
      <c r="L381" s="1">
        <v>7.510091843142541E-3</v>
      </c>
      <c r="M381" s="13">
        <f t="shared" si="23"/>
        <v>3.2820850653777697E-6</v>
      </c>
      <c r="O381" s="1">
        <v>0.79321389662885866</v>
      </c>
      <c r="P381" s="1">
        <v>0.79329417205138086</v>
      </c>
      <c r="Q381">
        <f t="shared" si="24"/>
        <v>-8.0275422522202433E-5</v>
      </c>
      <c r="R381" s="11">
        <v>30.749999999999833</v>
      </c>
      <c r="S381" s="1">
        <v>0.13824343088098853</v>
      </c>
      <c r="T381" s="1">
        <v>0.13776008640066462</v>
      </c>
      <c r="U381">
        <f t="shared" si="25"/>
        <v>4.8334448032391619E-4</v>
      </c>
      <c r="W381" s="1">
        <v>0.17605497593962213</v>
      </c>
      <c r="X381" s="1">
        <v>0.17525112174878141</v>
      </c>
      <c r="Y381" s="12">
        <f t="shared" si="26"/>
        <v>4.5868704452176612E-3</v>
      </c>
    </row>
    <row r="382" spans="11:25" x14ac:dyDescent="0.2">
      <c r="K382" s="1">
        <v>7.5127743358631219E-3</v>
      </c>
      <c r="L382" s="1">
        <v>7.5095829997936861E-3</v>
      </c>
      <c r="M382" s="13">
        <f t="shared" si="23"/>
        <v>3.1913360694357795E-6</v>
      </c>
      <c r="O382" s="1">
        <v>0.79273210440974151</v>
      </c>
      <c r="P382" s="1">
        <v>0.79281032355686709</v>
      </c>
      <c r="Q382">
        <f t="shared" si="24"/>
        <v>-7.821914712557998E-5</v>
      </c>
      <c r="R382" s="11">
        <v>30.833333333333165</v>
      </c>
      <c r="S382" s="1">
        <v>0.13851329407366794</v>
      </c>
      <c r="T382" s="1">
        <v>0.13800674580359518</v>
      </c>
      <c r="U382">
        <f t="shared" si="25"/>
        <v>5.0654827007276526E-4</v>
      </c>
      <c r="W382" s="1">
        <v>0.17659807576741576</v>
      </c>
      <c r="X382" s="1">
        <v>0.17575197480136265</v>
      </c>
      <c r="Y382" s="12">
        <f t="shared" si="26"/>
        <v>4.8141761536926175E-3</v>
      </c>
    </row>
    <row r="383" spans="11:25" x14ac:dyDescent="0.2">
      <c r="K383" s="1">
        <v>7.5123031003291535E-3</v>
      </c>
      <c r="L383" s="1">
        <v>7.5090711338709568E-3</v>
      </c>
      <c r="M383" s="13">
        <f t="shared" si="23"/>
        <v>3.2319664581966986E-6</v>
      </c>
      <c r="O383" s="1">
        <v>0.79224753159123595</v>
      </c>
      <c r="P383" s="1">
        <v>0.79232691160865909</v>
      </c>
      <c r="Q383">
        <f t="shared" si="24"/>
        <v>-7.9380017423136273E-5</v>
      </c>
      <c r="R383" s="11">
        <v>30.916666666666497</v>
      </c>
      <c r="S383" s="1">
        <v>0.13871235955992639</v>
      </c>
      <c r="T383" s="1">
        <v>0.1382359451271033</v>
      </c>
      <c r="U383">
        <f t="shared" si="25"/>
        <v>4.7641443282309126E-4</v>
      </c>
      <c r="W383" s="1">
        <v>0.17701551858776671</v>
      </c>
      <c r="X383" s="1">
        <v>0.17622235503929037</v>
      </c>
      <c r="Y383" s="12">
        <f t="shared" si="26"/>
        <v>4.5009246885816534E-3</v>
      </c>
    </row>
    <row r="384" spans="11:25" x14ac:dyDescent="0.2">
      <c r="K384" s="1">
        <v>7.5117253902852723E-3</v>
      </c>
      <c r="L384" s="1">
        <v>7.5086103873001821E-3</v>
      </c>
      <c r="M384" s="13">
        <f t="shared" si="23"/>
        <v>3.1150029850901886E-6</v>
      </c>
      <c r="O384" s="1">
        <v>0.79176593757222913</v>
      </c>
      <c r="P384" s="1">
        <v>0.79184260376422699</v>
      </c>
      <c r="Q384">
        <f t="shared" si="24"/>
        <v>-7.6666191997865063E-5</v>
      </c>
      <c r="R384" s="11">
        <v>30.999999999999829</v>
      </c>
      <c r="S384" s="1">
        <v>0.13890492299830953</v>
      </c>
      <c r="T384" s="1">
        <v>0.13846948891585198</v>
      </c>
      <c r="U384">
        <f t="shared" si="25"/>
        <v>4.3543408245755311E-4</v>
      </c>
      <c r="W384" s="1">
        <v>0.1774229499988462</v>
      </c>
      <c r="X384" s="1">
        <v>0.17669976038139432</v>
      </c>
      <c r="Y384" s="12">
        <f t="shared" si="26"/>
        <v>4.0927594688919822E-3</v>
      </c>
    </row>
    <row r="385" spans="11:25" x14ac:dyDescent="0.2">
      <c r="K385" s="1">
        <v>7.5111033180598891E-3</v>
      </c>
      <c r="L385" s="1">
        <v>7.508111134153032E-3</v>
      </c>
      <c r="M385" s="13">
        <f t="shared" si="23"/>
        <v>2.9921839068570294E-6</v>
      </c>
      <c r="O385" s="1">
        <v>0.79128580654289216</v>
      </c>
      <c r="P385" s="1">
        <v>0.79135960244825609</v>
      </c>
      <c r="Q385">
        <f t="shared" si="24"/>
        <v>-7.3795905363938097E-5</v>
      </c>
      <c r="R385" s="11">
        <v>31.083333333333162</v>
      </c>
      <c r="S385" s="1">
        <v>0.13912251978899948</v>
      </c>
      <c r="T385" s="1">
        <v>0.13871099270733042</v>
      </c>
      <c r="U385">
        <f t="shared" si="25"/>
        <v>4.1152708166905527E-4</v>
      </c>
      <c r="W385" s="1">
        <v>0.17787490672828479</v>
      </c>
      <c r="X385" s="1">
        <v>0.17719172624180229</v>
      </c>
      <c r="Y385" s="12">
        <f t="shared" si="26"/>
        <v>3.85560037690591E-3</v>
      </c>
    </row>
    <row r="386" spans="11:25" x14ac:dyDescent="0.2">
      <c r="K386" s="1">
        <v>7.5104531504070343E-3</v>
      </c>
      <c r="L386" s="1">
        <v>7.507566616705456E-3</v>
      </c>
      <c r="M386" s="13">
        <f t="shared" si="23"/>
        <v>2.8865337015782783E-6</v>
      </c>
      <c r="O386" s="1">
        <v>0.79080674297114584</v>
      </c>
      <c r="P386" s="1">
        <v>0.79087808026090267</v>
      </c>
      <c r="Q386">
        <f t="shared" si="24"/>
        <v>-7.1337289756834288E-5</v>
      </c>
      <c r="R386" s="11">
        <v>31.166666666666494</v>
      </c>
      <c r="S386" s="1">
        <v>0.13935284546264812</v>
      </c>
      <c r="T386" s="1">
        <v>0.13889018038948375</v>
      </c>
      <c r="U386">
        <f t="shared" si="25"/>
        <v>4.6266507316436445E-4</v>
      </c>
      <c r="W386" s="1">
        <v>0.17834964354184518</v>
      </c>
      <c r="X386" s="1">
        <v>0.17757487812751221</v>
      </c>
      <c r="Y386" s="12">
        <f t="shared" si="26"/>
        <v>4.3630350334613599E-3</v>
      </c>
    </row>
    <row r="387" spans="11:25" x14ac:dyDescent="0.2">
      <c r="K387" s="1">
        <v>7.5098205125573589E-3</v>
      </c>
      <c r="L387" s="1">
        <v>7.507045838043255E-3</v>
      </c>
      <c r="M387" s="13">
        <f t="shared" si="23"/>
        <v>2.7746745141039517E-6</v>
      </c>
      <c r="O387" s="1">
        <v>0.79032762097589582</v>
      </c>
      <c r="P387" s="1">
        <v>0.79039633488928129</v>
      </c>
      <c r="Q387">
        <f t="shared" si="24"/>
        <v>-6.8713913385476388E-5</v>
      </c>
      <c r="R387" s="11">
        <v>31.249999999999826</v>
      </c>
      <c r="S387" s="1">
        <v>0.13957188410797006</v>
      </c>
      <c r="T387" s="1">
        <v>0.13907709703632651</v>
      </c>
      <c r="U387">
        <f t="shared" si="25"/>
        <v>4.9478707164354874E-4</v>
      </c>
      <c r="W387" s="1">
        <v>0.17880438153339812</v>
      </c>
      <c r="X387" s="1">
        <v>0.17797126386433723</v>
      </c>
      <c r="Y387" s="12">
        <f t="shared" si="26"/>
        <v>4.6811920698386356E-3</v>
      </c>
    </row>
    <row r="388" spans="11:25" x14ac:dyDescent="0.2">
      <c r="K388" s="1">
        <v>7.5091753105612259E-3</v>
      </c>
      <c r="L388" s="1">
        <v>7.5064691073285193E-3</v>
      </c>
      <c r="M388" s="13">
        <f t="shared" si="23"/>
        <v>2.7062032327065944E-6</v>
      </c>
      <c r="O388" s="1">
        <v>0.78984918431724405</v>
      </c>
      <c r="P388" s="1">
        <v>0.78991634005872469</v>
      </c>
      <c r="Q388">
        <f t="shared" si="24"/>
        <v>-6.7155741480640074E-5</v>
      </c>
      <c r="R388" s="11">
        <v>31.333333333333158</v>
      </c>
      <c r="S388" s="1">
        <v>0.13972830478891315</v>
      </c>
      <c r="T388" s="1">
        <v>0.13928687549407406</v>
      </c>
      <c r="U388">
        <f t="shared" si="25"/>
        <v>4.4142929483909077E-4</v>
      </c>
      <c r="W388" s="1">
        <v>0.17914919145550995</v>
      </c>
      <c r="X388" s="1">
        <v>0.17840858928722261</v>
      </c>
      <c r="Y388" s="12">
        <f t="shared" si="26"/>
        <v>4.1511575829740188E-3</v>
      </c>
    </row>
    <row r="389" spans="11:25" x14ac:dyDescent="0.2">
      <c r="K389" s="1">
        <v>7.5085042272485568E-3</v>
      </c>
      <c r="L389" s="1">
        <v>7.5057997049863519E-3</v>
      </c>
      <c r="M389" s="13">
        <f t="shared" si="23"/>
        <v>2.7045222622049114E-6</v>
      </c>
      <c r="O389" s="1">
        <v>0.78937176571547751</v>
      </c>
      <c r="P389" s="1">
        <v>0.78943901709576814</v>
      </c>
      <c r="Q389">
        <f t="shared" si="24"/>
        <v>-6.725138029062272E-5</v>
      </c>
      <c r="R389" s="11">
        <v>31.41666666666649</v>
      </c>
      <c r="S389" s="1">
        <v>0.13994717685097036</v>
      </c>
      <c r="T389" s="1">
        <v>0.13950500403717533</v>
      </c>
      <c r="U389">
        <f t="shared" si="25"/>
        <v>4.4217281379502205E-4</v>
      </c>
      <c r="W389" s="1">
        <v>0.17960417465341943</v>
      </c>
      <c r="X389" s="1">
        <v>0.1788618745403216</v>
      </c>
      <c r="Y389" s="12">
        <f t="shared" si="26"/>
        <v>4.150130456843204E-3</v>
      </c>
    </row>
    <row r="390" spans="11:25" x14ac:dyDescent="0.2">
      <c r="K390" s="1">
        <v>7.5078333625340707E-3</v>
      </c>
      <c r="L390" s="1">
        <v>7.5050979375986121E-3</v>
      </c>
      <c r="M390" s="13">
        <f t="shared" si="23"/>
        <v>2.7354249354585858E-6</v>
      </c>
      <c r="O390" s="1">
        <v>0.78889471847501669</v>
      </c>
      <c r="P390" s="1">
        <v>0.78896287706136314</v>
      </c>
      <c r="Q390">
        <f t="shared" si="24"/>
        <v>-6.8158586346456218E-5</v>
      </c>
      <c r="R390" s="11">
        <v>31.499999999999822</v>
      </c>
      <c r="S390" s="1">
        <v>0.14019524292810134</v>
      </c>
      <c r="T390" s="1">
        <v>0.13970258063747509</v>
      </c>
      <c r="U390">
        <f t="shared" si="25"/>
        <v>4.9266229062625011E-4</v>
      </c>
      <c r="W390" s="1">
        <v>0.18011061468634151</v>
      </c>
      <c r="X390" s="1">
        <v>0.1792794359852142</v>
      </c>
      <c r="Y390" s="12">
        <f t="shared" si="26"/>
        <v>4.6362188533204396E-3</v>
      </c>
    </row>
    <row r="391" spans="11:25" x14ac:dyDescent="0.2">
      <c r="K391" s="1">
        <v>7.5070779579773528E-3</v>
      </c>
      <c r="L391" s="1">
        <v>7.504431150015525E-3</v>
      </c>
      <c r="M391" s="13">
        <f t="shared" si="23"/>
        <v>2.6468079618278961E-6</v>
      </c>
      <c r="O391" s="1">
        <v>0.78842015835874057</v>
      </c>
      <c r="P391" s="1">
        <v>0.788486243025324</v>
      </c>
      <c r="Q391">
        <f t="shared" si="24"/>
        <v>-6.6084666583421381E-5</v>
      </c>
      <c r="R391" s="11">
        <v>31.583333333333155</v>
      </c>
      <c r="S391" s="1">
        <v>0.14036884748693751</v>
      </c>
      <c r="T391" s="1">
        <v>0.13991636469177857</v>
      </c>
      <c r="U391">
        <f t="shared" si="25"/>
        <v>4.5248279515894274E-4</v>
      </c>
      <c r="W391" s="1">
        <v>0.18048708230492122</v>
      </c>
      <c r="X391" s="1">
        <v>0.17972510239977868</v>
      </c>
      <c r="Y391" s="12">
        <f t="shared" si="26"/>
        <v>4.2396965975715073E-3</v>
      </c>
    </row>
    <row r="392" spans="11:25" x14ac:dyDescent="0.2">
      <c r="K392" s="1">
        <v>7.5063426309968815E-3</v>
      </c>
      <c r="L392" s="1">
        <v>7.5037802368789043E-3</v>
      </c>
      <c r="M392" s="13">
        <f t="shared" si="23"/>
        <v>2.5623941179771931E-6</v>
      </c>
      <c r="O392" s="1">
        <v>0.78794548063110748</v>
      </c>
      <c r="P392" s="1">
        <v>0.78800958734176452</v>
      </c>
      <c r="Q392">
        <f t="shared" si="24"/>
        <v>-6.4106710657041432E-5</v>
      </c>
      <c r="R392" s="11">
        <v>31.666666666666487</v>
      </c>
      <c r="S392" s="1">
        <v>0.14061057243134295</v>
      </c>
      <c r="T392" s="1">
        <v>0.14008945492135569</v>
      </c>
      <c r="U392">
        <f t="shared" si="25"/>
        <v>5.2111750998726225E-4</v>
      </c>
      <c r="W392" s="1">
        <v>0.18098334436032132</v>
      </c>
      <c r="X392" s="1">
        <v>0.18009881720297868</v>
      </c>
      <c r="Y392" s="12">
        <f t="shared" si="26"/>
        <v>4.9113435117440485E-3</v>
      </c>
    </row>
    <row r="393" spans="11:25" x14ac:dyDescent="0.2">
      <c r="K393" s="1">
        <v>7.5055338066619829E-3</v>
      </c>
      <c r="L393" s="1">
        <v>7.5032269106630215E-3</v>
      </c>
      <c r="M393" s="13">
        <f t="shared" si="23"/>
        <v>2.3068959989613197E-6</v>
      </c>
      <c r="O393" s="1">
        <v>0.78747302761851345</v>
      </c>
      <c r="P393" s="1">
        <v>0.78753085876026185</v>
      </c>
      <c r="Q393">
        <f t="shared" si="24"/>
        <v>-5.7831141748398984E-5</v>
      </c>
      <c r="R393" s="11">
        <v>31.749999999999819</v>
      </c>
      <c r="S393" s="1">
        <v>0.14082404781262964</v>
      </c>
      <c r="T393" s="1">
        <v>0.14028423207776375</v>
      </c>
      <c r="U393">
        <f t="shared" si="25"/>
        <v>5.3981573486588941E-4</v>
      </c>
      <c r="W393" s="1">
        <v>0.18143085238447826</v>
      </c>
      <c r="X393" s="1">
        <v>0.18050943683353718</v>
      </c>
      <c r="Y393" s="12">
        <f t="shared" si="26"/>
        <v>5.104528423025334E-3</v>
      </c>
    </row>
    <row r="394" spans="11:25" x14ac:dyDescent="0.2">
      <c r="K394" s="1">
        <v>7.5045559770378946E-3</v>
      </c>
      <c r="L394" s="1">
        <v>7.5027562100672442E-3</v>
      </c>
      <c r="M394" s="13">
        <f t="shared" si="23"/>
        <v>1.7997669706504293E-6</v>
      </c>
      <c r="O394" s="1">
        <v>0.78700520914212346</v>
      </c>
      <c r="P394" s="1">
        <v>0.78705041803646658</v>
      </c>
      <c r="Q394">
        <f t="shared" si="24"/>
        <v>-4.5208894343118367E-5</v>
      </c>
      <c r="R394" s="11">
        <v>31.833333333333151</v>
      </c>
      <c r="S394" s="1">
        <v>0.14105204147976247</v>
      </c>
      <c r="T394" s="1">
        <v>0.14057445428539522</v>
      </c>
      <c r="U394">
        <f t="shared" si="25"/>
        <v>4.7758719436724606E-4</v>
      </c>
      <c r="W394" s="1">
        <v>0.18190631579380814</v>
      </c>
      <c r="X394" s="1">
        <v>0.1810874629704711</v>
      </c>
      <c r="Y394" s="12">
        <f t="shared" si="26"/>
        <v>4.5218636889874375E-3</v>
      </c>
    </row>
    <row r="395" spans="11:25" x14ac:dyDescent="0.2">
      <c r="K395" s="1">
        <v>7.503651263537834E-3</v>
      </c>
      <c r="L395" s="1">
        <v>7.5022989355266797E-3</v>
      </c>
      <c r="M395" s="13">
        <f t="shared" si="23"/>
        <v>1.3523280111542996E-6</v>
      </c>
      <c r="O395" s="1">
        <v>0.78653595649568031</v>
      </c>
      <c r="P395" s="1">
        <v>0.78656999417954077</v>
      </c>
      <c r="Q395">
        <f t="shared" si="24"/>
        <v>-3.4037683860455026E-5</v>
      </c>
      <c r="R395" s="11">
        <v>31.916666666666483</v>
      </c>
      <c r="S395" s="1">
        <v>0.14123166814614721</v>
      </c>
      <c r="T395" s="1">
        <v>0.14071940269712854</v>
      </c>
      <c r="U395">
        <f t="shared" si="25"/>
        <v>5.1226544901866733E-4</v>
      </c>
      <c r="W395" s="1">
        <v>0.18229543398809261</v>
      </c>
      <c r="X395" s="1">
        <v>0.18140880327922623</v>
      </c>
      <c r="Y395" s="12">
        <f t="shared" si="26"/>
        <v>4.8874734458264069E-3</v>
      </c>
    </row>
    <row r="396" spans="11:25" x14ac:dyDescent="0.2">
      <c r="K396" s="1">
        <v>7.5027037846516677E-3</v>
      </c>
      <c r="L396" s="1">
        <v>7.5018162467739014E-3</v>
      </c>
      <c r="M396" s="13">
        <f t="shared" ref="M396:M459" si="27">K396-L396</f>
        <v>8.8753787776639503E-7</v>
      </c>
      <c r="O396" s="1">
        <v>0.78606818069810847</v>
      </c>
      <c r="P396" s="1">
        <v>0.78609056444468728</v>
      </c>
      <c r="Q396">
        <f t="shared" ref="Q396:Q459" si="28">O396-P396</f>
        <v>-2.2383746578813479E-5</v>
      </c>
      <c r="R396" s="11">
        <v>31.999999999999815</v>
      </c>
      <c r="S396" s="1">
        <v>0.1414499256374564</v>
      </c>
      <c r="T396" s="1">
        <v>0.14084357797317407</v>
      </c>
      <c r="U396">
        <f t="shared" si="25"/>
        <v>6.0634766428233067E-4</v>
      </c>
      <c r="W396" s="1">
        <v>0.18275338221891232</v>
      </c>
      <c r="X396" s="1">
        <v>0.18169363145295833</v>
      </c>
      <c r="Y396" s="12">
        <f t="shared" si="26"/>
        <v>5.8326247182107771E-3</v>
      </c>
    </row>
    <row r="397" spans="11:25" x14ac:dyDescent="0.2">
      <c r="K397" s="1">
        <v>7.5016938344685691E-3</v>
      </c>
      <c r="L397" s="1">
        <v>7.5013527488263249E-3</v>
      </c>
      <c r="M397" s="13">
        <f t="shared" si="27"/>
        <v>3.41085642244221E-7</v>
      </c>
      <c r="O397" s="1">
        <v>0.78560238581829911</v>
      </c>
      <c r="P397" s="1">
        <v>0.7856110051714168</v>
      </c>
      <c r="Q397">
        <f t="shared" si="28"/>
        <v>-8.6193531176892435E-6</v>
      </c>
      <c r="R397" s="11">
        <v>32.083333333333151</v>
      </c>
      <c r="S397" s="1">
        <v>0.14161699339990649</v>
      </c>
      <c r="T397" s="1">
        <v>0.14102776573042125</v>
      </c>
      <c r="U397">
        <f t="shared" ref="U397:U460" si="29">S397-T397</f>
        <v>5.8922766948524274E-4</v>
      </c>
      <c r="W397" s="1">
        <v>0.18312171216081605</v>
      </c>
      <c r="X397" s="1">
        <v>0.18208418609633134</v>
      </c>
      <c r="Y397" s="12">
        <f t="shared" ref="Y397:Y460" si="30">W397/X397-1</f>
        <v>5.6980569632543165E-3</v>
      </c>
    </row>
    <row r="398" spans="11:25" x14ac:dyDescent="0.2">
      <c r="K398" s="1">
        <v>7.5005512768508342E-3</v>
      </c>
      <c r="L398" s="1">
        <v>7.5008580929708212E-3</v>
      </c>
      <c r="M398" s="13">
        <f t="shared" si="27"/>
        <v>-3.0681611998695929E-7</v>
      </c>
      <c r="O398" s="1">
        <v>0.78514035682551175</v>
      </c>
      <c r="P398" s="1">
        <v>0.78513258804154407</v>
      </c>
      <c r="Q398">
        <f t="shared" si="28"/>
        <v>7.7687839676876536E-6</v>
      </c>
      <c r="R398" s="11">
        <v>32.166666666666487</v>
      </c>
      <c r="S398" s="1">
        <v>0.1418566297947256</v>
      </c>
      <c r="T398" s="1">
        <v>0.14125963420802304</v>
      </c>
      <c r="U398">
        <f t="shared" si="29"/>
        <v>5.9699558670256447E-4</v>
      </c>
      <c r="W398" s="1">
        <v>0.18362021764508726</v>
      </c>
      <c r="X398" s="1">
        <v>0.18255951075873059</v>
      </c>
      <c r="Y398" s="12">
        <f t="shared" si="30"/>
        <v>5.8101979017597394E-3</v>
      </c>
    </row>
    <row r="399" spans="11:25" x14ac:dyDescent="0.2">
      <c r="K399" s="1">
        <v>7.4994292044151499E-3</v>
      </c>
      <c r="L399" s="1">
        <v>7.5003157936617982E-3</v>
      </c>
      <c r="M399" s="13">
        <f t="shared" si="27"/>
        <v>-8.865892466482922E-7</v>
      </c>
      <c r="O399" s="1">
        <v>0.78467822924984454</v>
      </c>
      <c r="P399" s="1">
        <v>0.78465573568352642</v>
      </c>
      <c r="Q399">
        <f t="shared" si="28"/>
        <v>2.2493566318115832E-5</v>
      </c>
      <c r="R399" s="11">
        <v>32.249999999999822</v>
      </c>
      <c r="S399" s="1">
        <v>0.1420891051700526</v>
      </c>
      <c r="T399" s="1">
        <v>0.1414433166010127</v>
      </c>
      <c r="U399">
        <f t="shared" si="29"/>
        <v>6.4578856903990678E-4</v>
      </c>
      <c r="W399" s="1">
        <v>0.18410587268902145</v>
      </c>
      <c r="X399" s="1">
        <v>0.18295019867797607</v>
      </c>
      <c r="Y399" s="12">
        <f t="shared" si="30"/>
        <v>6.3168775950857015E-3</v>
      </c>
    </row>
    <row r="400" spans="11:25" x14ac:dyDescent="0.2">
      <c r="K400" s="1">
        <v>7.4982841823185683E-3</v>
      </c>
      <c r="L400" s="1">
        <v>7.4998827208557581E-3</v>
      </c>
      <c r="M400" s="13">
        <f t="shared" si="27"/>
        <v>-1.5985385371898933E-6</v>
      </c>
      <c r="O400" s="1">
        <v>0.78421710375613685</v>
      </c>
      <c r="P400" s="1">
        <v>0.78417646723478462</v>
      </c>
      <c r="Q400">
        <f t="shared" si="28"/>
        <v>4.0636521352221955E-5</v>
      </c>
      <c r="R400" s="11">
        <v>32.333333333333158</v>
      </c>
      <c r="S400" s="1">
        <v>0.14233248658057226</v>
      </c>
      <c r="T400" s="1">
        <v>0.1415414421058154</v>
      </c>
      <c r="U400">
        <f t="shared" si="29"/>
        <v>7.9104447475686346E-4</v>
      </c>
      <c r="W400" s="1">
        <v>0.18461125419306665</v>
      </c>
      <c r="X400" s="1">
        <v>0.18318772856795087</v>
      </c>
      <c r="Y400" s="12">
        <f t="shared" si="30"/>
        <v>7.7708569031562647E-3</v>
      </c>
    </row>
    <row r="401" spans="11:25" x14ac:dyDescent="0.2">
      <c r="K401" s="1">
        <v>7.4970376154037156E-3</v>
      </c>
      <c r="L401" s="1">
        <v>7.4995353209362046E-3</v>
      </c>
      <c r="M401" s="13">
        <f t="shared" si="27"/>
        <v>-2.4977055324889447E-6</v>
      </c>
      <c r="O401" s="1">
        <v>0.7837589853803314</v>
      </c>
      <c r="P401" s="1">
        <v>0.78369536599002954</v>
      </c>
      <c r="Q401">
        <f t="shared" si="28"/>
        <v>6.3619390301861145E-5</v>
      </c>
      <c r="R401" s="11">
        <v>32.416666666666494</v>
      </c>
      <c r="S401" s="1">
        <v>0.14256387834745013</v>
      </c>
      <c r="T401" s="1">
        <v>0.14172256118054441</v>
      </c>
      <c r="U401">
        <f t="shared" si="29"/>
        <v>8.4131716690571956E-4</v>
      </c>
      <c r="W401" s="1">
        <v>0.18509690011184102</v>
      </c>
      <c r="X401" s="1">
        <v>0.18357100066563858</v>
      </c>
      <c r="Y401" s="12">
        <f t="shared" si="30"/>
        <v>8.3123120790835614E-3</v>
      </c>
    </row>
    <row r="402" spans="11:25" x14ac:dyDescent="0.2">
      <c r="K402" s="1">
        <v>7.4958050778243506E-3</v>
      </c>
      <c r="L402" s="1">
        <v>7.4990663124933059E-3</v>
      </c>
      <c r="M402" s="13">
        <f t="shared" si="27"/>
        <v>-3.2612346689553373E-6</v>
      </c>
      <c r="O402" s="1">
        <v>0.78330093929985023</v>
      </c>
      <c r="P402" s="1">
        <v>0.78321770867886931</v>
      </c>
      <c r="Q402">
        <f t="shared" si="28"/>
        <v>8.3230620980923042E-5</v>
      </c>
      <c r="R402" s="11">
        <v>32.499999999999829</v>
      </c>
      <c r="S402" s="1">
        <v>0.14276279248026491</v>
      </c>
      <c r="T402" s="1">
        <v>0.1419275737282901</v>
      </c>
      <c r="U402">
        <f t="shared" si="29"/>
        <v>8.3521875197481443E-4</v>
      </c>
      <c r="W402" s="1">
        <v>0.18552484970335878</v>
      </c>
      <c r="X402" s="1">
        <v>0.18399827161843724</v>
      </c>
      <c r="Y402" s="12">
        <f t="shared" si="30"/>
        <v>8.2966979607681512E-3</v>
      </c>
    </row>
    <row r="403" spans="11:25" x14ac:dyDescent="0.2">
      <c r="K403" s="1">
        <v>7.4944902036289552E-3</v>
      </c>
      <c r="L403" s="1">
        <v>7.4985526507221493E-3</v>
      </c>
      <c r="M403" s="13">
        <f t="shared" si="27"/>
        <v>-4.0624470931940534E-6</v>
      </c>
      <c r="O403" s="1">
        <v>0.78284542731296325</v>
      </c>
      <c r="P403" s="1">
        <v>0.78274154544708741</v>
      </c>
      <c r="Q403">
        <f t="shared" si="28"/>
        <v>1.0388186587584336E-4</v>
      </c>
      <c r="R403" s="11">
        <v>32.583333333333165</v>
      </c>
      <c r="S403" s="1">
        <v>0.14301111372830028</v>
      </c>
      <c r="T403" s="1">
        <v>0.14214615547316151</v>
      </c>
      <c r="U403">
        <f t="shared" si="29"/>
        <v>8.6495825513877023E-4</v>
      </c>
      <c r="W403" s="1">
        <v>0.18604163926784834</v>
      </c>
      <c r="X403" s="1">
        <v>0.18445023238572866</v>
      </c>
      <c r="Y403" s="12">
        <f t="shared" si="30"/>
        <v>8.6278388567799791E-3</v>
      </c>
    </row>
    <row r="404" spans="11:25" x14ac:dyDescent="0.2">
      <c r="K404" s="1">
        <v>7.4931898720506747E-3</v>
      </c>
      <c r="L404" s="1">
        <v>7.497978381540843E-3</v>
      </c>
      <c r="M404" s="13">
        <f t="shared" si="27"/>
        <v>-4.7885094901682981E-6</v>
      </c>
      <c r="O404" s="1">
        <v>0.78238997904731755</v>
      </c>
      <c r="P404" s="1">
        <v>0.78226729138748496</v>
      </c>
      <c r="Q404">
        <f t="shared" si="28"/>
        <v>1.2268765983258767E-4</v>
      </c>
      <c r="R404" s="11">
        <v>32.666666666666501</v>
      </c>
      <c r="S404" s="1">
        <v>0.14313140280469513</v>
      </c>
      <c r="T404" s="1">
        <v>0.14230977594801858</v>
      </c>
      <c r="U404">
        <f t="shared" si="29"/>
        <v>8.21626856676555E-4</v>
      </c>
      <c r="W404" s="1">
        <v>0.18633104552186025</v>
      </c>
      <c r="X404" s="1">
        <v>0.18480543847936207</v>
      </c>
      <c r="Y404" s="12">
        <f t="shared" si="30"/>
        <v>8.2552064216905308E-3</v>
      </c>
    </row>
    <row r="405" spans="11:25" x14ac:dyDescent="0.2">
      <c r="K405" s="1">
        <v>7.4919702467778114E-3</v>
      </c>
      <c r="L405" s="1">
        <v>7.4973729692300907E-3</v>
      </c>
      <c r="M405" s="13">
        <f t="shared" si="27"/>
        <v>-5.4027224522792613E-6</v>
      </c>
      <c r="O405" s="1">
        <v>0.78193289320427306</v>
      </c>
      <c r="P405" s="1">
        <v>0.78179419890934088</v>
      </c>
      <c r="Q405">
        <f t="shared" si="28"/>
        <v>1.3869429493218455E-4</v>
      </c>
      <c r="R405" s="11">
        <v>32.749999999999837</v>
      </c>
      <c r="S405" s="1">
        <v>0.14329616811860085</v>
      </c>
      <c r="T405" s="1">
        <v>0.14242264271619323</v>
      </c>
      <c r="U405">
        <f t="shared" si="29"/>
        <v>8.7352540240762111E-4</v>
      </c>
      <c r="W405" s="1">
        <v>0.18669820416995989</v>
      </c>
      <c r="X405" s="1">
        <v>0.18507079718146305</v>
      </c>
      <c r="Y405" s="12">
        <f t="shared" si="30"/>
        <v>8.7934293971898558E-3</v>
      </c>
    </row>
    <row r="406" spans="11:25" x14ac:dyDescent="0.2">
      <c r="K406" s="1">
        <v>7.4907533153044849E-3</v>
      </c>
      <c r="L406" s="1">
        <v>7.4967829103042855E-3</v>
      </c>
      <c r="M406" s="13">
        <f t="shared" si="27"/>
        <v>-6.0295949998005749E-6</v>
      </c>
      <c r="O406" s="1">
        <v>0.78147616395587916</v>
      </c>
      <c r="P406" s="1">
        <v>0.78132107651477978</v>
      </c>
      <c r="Q406">
        <f t="shared" si="28"/>
        <v>1.5508744109937744E-4</v>
      </c>
      <c r="R406" s="11">
        <v>32.833333333333172</v>
      </c>
      <c r="S406" s="1">
        <v>0.14345227989528411</v>
      </c>
      <c r="T406" s="1">
        <v>0.14259377676053134</v>
      </c>
      <c r="U406">
        <f t="shared" si="29"/>
        <v>8.5850313475277495E-4</v>
      </c>
      <c r="W406" s="1">
        <v>0.18704989725982263</v>
      </c>
      <c r="X406" s="1">
        <v>0.18543935304037809</v>
      </c>
      <c r="Y406" s="12">
        <f t="shared" si="30"/>
        <v>8.685018541311651E-3</v>
      </c>
    </row>
    <row r="407" spans="11:25" x14ac:dyDescent="0.2">
      <c r="K407" s="1">
        <v>7.4895850964199848E-3</v>
      </c>
      <c r="L407" s="1">
        <v>7.4961625648822449E-3</v>
      </c>
      <c r="M407" s="13">
        <f t="shared" si="27"/>
        <v>-6.5774684622601012E-6</v>
      </c>
      <c r="O407" s="1">
        <v>0.78101860439180837</v>
      </c>
      <c r="P407" s="1">
        <v>0.78084909765585864</v>
      </c>
      <c r="Q407">
        <f t="shared" si="28"/>
        <v>1.6950673594973154E-4</v>
      </c>
      <c r="R407" s="11">
        <v>32.916666666666508</v>
      </c>
      <c r="S407" s="1">
        <v>0.14361810022176696</v>
      </c>
      <c r="T407" s="1">
        <v>0.1426978810470147</v>
      </c>
      <c r="U407">
        <f t="shared" si="29"/>
        <v>9.2021917475226811E-4</v>
      </c>
      <c r="W407" s="1">
        <v>0.1874181085712596</v>
      </c>
      <c r="X407" s="1">
        <v>0.18568900822233333</v>
      </c>
      <c r="Y407" s="12">
        <f t="shared" si="30"/>
        <v>9.3118077665423904E-3</v>
      </c>
    </row>
    <row r="408" spans="11:25" x14ac:dyDescent="0.2">
      <c r="K408" s="1">
        <v>7.488430760126865E-3</v>
      </c>
      <c r="L408" s="1">
        <v>7.4956474699346071E-3</v>
      </c>
      <c r="M408" s="13">
        <f t="shared" si="27"/>
        <v>-7.2167098077420902E-6</v>
      </c>
      <c r="O408" s="1">
        <v>0.78056110621164809</v>
      </c>
      <c r="P408" s="1">
        <v>0.78037476729472688</v>
      </c>
      <c r="Q408">
        <f t="shared" si="28"/>
        <v>1.8633891692121374E-4</v>
      </c>
      <c r="R408" s="11">
        <v>32.999999999999844</v>
      </c>
      <c r="S408" s="1">
        <v>0.14384672594579936</v>
      </c>
      <c r="T408" s="1">
        <v>0.14284104311818197</v>
      </c>
      <c r="U408">
        <f t="shared" si="29"/>
        <v>1.005682827617399E-3</v>
      </c>
      <c r="W408" s="1">
        <v>0.18789783634920124</v>
      </c>
      <c r="X408" s="1">
        <v>0.1860065051348565</v>
      </c>
      <c r="Y408" s="12">
        <f t="shared" si="30"/>
        <v>1.0168091771701748E-2</v>
      </c>
    </row>
    <row r="409" spans="11:25" x14ac:dyDescent="0.2">
      <c r="K409" s="1">
        <v>7.4873399133909106E-3</v>
      </c>
      <c r="L409" s="1">
        <v>7.495141536037476E-3</v>
      </c>
      <c r="M409" s="13">
        <f t="shared" si="27"/>
        <v>-7.8016226465653718E-6</v>
      </c>
      <c r="O409" s="1">
        <v>0.78010238341228244</v>
      </c>
      <c r="P409" s="1">
        <v>0.77990055505537204</v>
      </c>
      <c r="Q409">
        <f t="shared" si="28"/>
        <v>2.0182835691040513E-4</v>
      </c>
      <c r="R409" s="11">
        <v>33.083333333333179</v>
      </c>
      <c r="S409" s="1">
        <v>0.14397886912311364</v>
      </c>
      <c r="T409" s="1">
        <v>0.1430473753702379</v>
      </c>
      <c r="U409">
        <f t="shared" si="29"/>
        <v>9.3149375287573943E-4</v>
      </c>
      <c r="W409" s="1">
        <v>0.18820495696624978</v>
      </c>
      <c r="X409" s="1">
        <v>0.1864362448729536</v>
      </c>
      <c r="Y409" s="12">
        <f t="shared" si="30"/>
        <v>9.4869540764537241E-3</v>
      </c>
    </row>
    <row r="410" spans="11:25" x14ac:dyDescent="0.2">
      <c r="K410" s="1">
        <v>7.4861937925549552E-3</v>
      </c>
      <c r="L410" s="1">
        <v>7.494605941704308E-3</v>
      </c>
      <c r="M410" s="13">
        <f t="shared" si="27"/>
        <v>-8.412149149352767E-6</v>
      </c>
      <c r="O410" s="1">
        <v>0.77964550482299322</v>
      </c>
      <c r="P410" s="1">
        <v>0.77942746538317809</v>
      </c>
      <c r="Q410">
        <f t="shared" si="28"/>
        <v>2.1803943981513196E-4</v>
      </c>
      <c r="R410" s="11">
        <v>33.166666666666515</v>
      </c>
      <c r="S410" s="1">
        <v>0.1441650237773146</v>
      </c>
      <c r="T410" s="1">
        <v>0.14319804457903915</v>
      </c>
      <c r="U410">
        <f t="shared" si="29"/>
        <v>9.6697919827545831E-4</v>
      </c>
      <c r="W410" s="1">
        <v>0.18860895555724771</v>
      </c>
      <c r="X410" s="1">
        <v>0.18676719674101813</v>
      </c>
      <c r="Y410" s="12">
        <f t="shared" si="30"/>
        <v>9.8612542693108374E-3</v>
      </c>
    </row>
    <row r="411" spans="11:25" x14ac:dyDescent="0.2">
      <c r="K411" s="1">
        <v>7.4849976848684711E-3</v>
      </c>
      <c r="L411" s="1">
        <v>7.4940743632220998E-3</v>
      </c>
      <c r="M411" s="13">
        <f t="shared" si="27"/>
        <v>-9.0766783536287005E-6</v>
      </c>
      <c r="O411" s="1">
        <v>0.77919034096020068</v>
      </c>
      <c r="P411" s="1">
        <v>0.77895462795014669</v>
      </c>
      <c r="Q411">
        <f t="shared" si="28"/>
        <v>2.3571301005398393E-4</v>
      </c>
      <c r="R411" s="11">
        <v>33.249999999999851</v>
      </c>
      <c r="S411" s="1">
        <v>0.14428640856487229</v>
      </c>
      <c r="T411" s="1">
        <v>0.14339863909483386</v>
      </c>
      <c r="U411">
        <f t="shared" si="29"/>
        <v>8.8776947003843532E-4</v>
      </c>
      <c r="W411" s="1">
        <v>0.1888982027401335</v>
      </c>
      <c r="X411" s="1">
        <v>0.18718698317276095</v>
      </c>
      <c r="Y411" s="12">
        <f t="shared" si="30"/>
        <v>9.1417658341830244E-3</v>
      </c>
    </row>
    <row r="412" spans="11:25" x14ac:dyDescent="0.2">
      <c r="K412" s="1">
        <v>7.4836587794853545E-3</v>
      </c>
      <c r="L412" s="1">
        <v>7.4936120391081509E-3</v>
      </c>
      <c r="M412" s="13">
        <f t="shared" si="27"/>
        <v>-9.9532596227963968E-6</v>
      </c>
      <c r="O412" s="1">
        <v>0.77873931406530128</v>
      </c>
      <c r="P412" s="1">
        <v>0.77848034473297822</v>
      </c>
      <c r="Q412">
        <f t="shared" si="28"/>
        <v>2.5896933232305575E-4</v>
      </c>
      <c r="R412" s="11">
        <v>33.333333333333186</v>
      </c>
      <c r="S412" s="1">
        <v>0.14448078456590849</v>
      </c>
      <c r="T412" s="1">
        <v>0.14356316564885413</v>
      </c>
      <c r="U412">
        <f t="shared" si="29"/>
        <v>9.1761891705435805E-4</v>
      </c>
      <c r="W412" s="1">
        <v>0.18931951935190874</v>
      </c>
      <c r="X412" s="1">
        <v>0.18754141994366388</v>
      </c>
      <c r="Y412" s="12">
        <f t="shared" si="30"/>
        <v>9.4811024080920792E-3</v>
      </c>
    </row>
    <row r="413" spans="11:25" x14ac:dyDescent="0.2">
      <c r="K413" s="1">
        <v>7.4823771573601363E-3</v>
      </c>
      <c r="L413" s="1">
        <v>7.4930825901954002E-3</v>
      </c>
      <c r="M413" s="13">
        <f t="shared" si="27"/>
        <v>-1.0705432835263901E-5</v>
      </c>
      <c r="O413" s="1">
        <v>0.7782872283926523</v>
      </c>
      <c r="P413" s="1">
        <v>0.7780081597318409</v>
      </c>
      <c r="Q413">
        <f t="shared" si="28"/>
        <v>2.7906866081139903E-4</v>
      </c>
      <c r="R413" s="11">
        <v>33.416666666666522</v>
      </c>
      <c r="S413" s="1">
        <v>0.1446330636169787</v>
      </c>
      <c r="T413" s="1">
        <v>0.14376850011967643</v>
      </c>
      <c r="U413">
        <f t="shared" si="29"/>
        <v>8.6456349730226756E-4</v>
      </c>
      <c r="W413" s="1">
        <v>0.18966491667227303</v>
      </c>
      <c r="X413" s="1">
        <v>0.18796954135665173</v>
      </c>
      <c r="Y413" s="12">
        <f t="shared" si="30"/>
        <v>9.019415078555193E-3</v>
      </c>
    </row>
    <row r="414" spans="11:25" x14ac:dyDescent="0.2">
      <c r="K414" s="1">
        <v>7.4811445524920958E-3</v>
      </c>
      <c r="L414" s="1">
        <v>7.492521074367979E-3</v>
      </c>
      <c r="M414" s="13">
        <f t="shared" si="27"/>
        <v>-1.1376521875883228E-5</v>
      </c>
      <c r="O414" s="1">
        <v>0.77783429087723432</v>
      </c>
      <c r="P414" s="1">
        <v>0.77753716708422782</v>
      </c>
      <c r="Q414">
        <f t="shared" si="28"/>
        <v>2.9712379300650404E-4</v>
      </c>
      <c r="R414" s="11">
        <v>33.499999999999858</v>
      </c>
      <c r="S414" s="1">
        <v>0.14484790005920889</v>
      </c>
      <c r="T414" s="1">
        <v>0.14400515459631894</v>
      </c>
      <c r="U414">
        <f t="shared" si="29"/>
        <v>8.4274546288995444E-4</v>
      </c>
      <c r="W414" s="1">
        <v>0.19012122691669095</v>
      </c>
      <c r="X414" s="1">
        <v>0.1884540221368885</v>
      </c>
      <c r="Y414" s="12">
        <f t="shared" si="30"/>
        <v>8.8467455398295591E-3</v>
      </c>
    </row>
    <row r="415" spans="11:25" x14ac:dyDescent="0.2">
      <c r="K415" s="1">
        <v>7.4799797609831908E-3</v>
      </c>
      <c r="L415" s="1">
        <v>7.4918877348957138E-3</v>
      </c>
      <c r="M415" s="13">
        <f t="shared" si="27"/>
        <v>-1.1907973912522914E-5</v>
      </c>
      <c r="O415" s="1">
        <v>0.77738000185801526</v>
      </c>
      <c r="P415" s="1">
        <v>0.7770684112877948</v>
      </c>
      <c r="Q415">
        <f t="shared" si="28"/>
        <v>3.1159057022045467E-4</v>
      </c>
      <c r="R415" s="11">
        <v>33.583333333333194</v>
      </c>
      <c r="S415" s="1">
        <v>0.14503252631233099</v>
      </c>
      <c r="T415" s="1">
        <v>0.1441894489777116</v>
      </c>
      <c r="U415">
        <f t="shared" si="29"/>
        <v>8.4307733461938539E-4</v>
      </c>
      <c r="W415" s="1">
        <v>0.19052264354686418</v>
      </c>
      <c r="X415" s="1">
        <v>0.18884602183679244</v>
      </c>
      <c r="Y415" s="12">
        <f t="shared" si="30"/>
        <v>8.878247440768039E-3</v>
      </c>
    </row>
    <row r="416" spans="11:25" x14ac:dyDescent="0.2">
      <c r="K416" s="1">
        <v>7.478858786120467E-3</v>
      </c>
      <c r="L416" s="1">
        <v>7.4913300902305349E-3</v>
      </c>
      <c r="M416" s="13">
        <f t="shared" si="27"/>
        <v>-1.2471304110067867E-5</v>
      </c>
      <c r="O416" s="1">
        <v>0.77692498006278077</v>
      </c>
      <c r="P416" s="1">
        <v>0.77659803608925548</v>
      </c>
      <c r="Q416">
        <f t="shared" si="28"/>
        <v>3.2694397352528437E-4</v>
      </c>
      <c r="R416" s="11">
        <v>33.666666666666529</v>
      </c>
      <c r="S416" s="1">
        <v>0.14520437318666918</v>
      </c>
      <c r="T416" s="1">
        <v>0.14439777405177975</v>
      </c>
      <c r="U416">
        <f t="shared" si="29"/>
        <v>8.0659913488942414E-4</v>
      </c>
      <c r="W416" s="1">
        <v>0.1909005704608415</v>
      </c>
      <c r="X416" s="1">
        <v>0.1892798326291886</v>
      </c>
      <c r="Y416" s="12">
        <f t="shared" si="30"/>
        <v>8.5626546111123858E-3</v>
      </c>
    </row>
    <row r="417" spans="11:25" x14ac:dyDescent="0.2">
      <c r="K417" s="1">
        <v>7.4777079478564948E-3</v>
      </c>
      <c r="L417" s="1">
        <v>7.4907756879338105E-3</v>
      </c>
      <c r="M417" s="13">
        <f t="shared" si="27"/>
        <v>-1.306774007731569E-5</v>
      </c>
      <c r="O417" s="1">
        <v>0.77647115420083268</v>
      </c>
      <c r="P417" s="1">
        <v>0.77612793261091706</v>
      </c>
      <c r="Q417">
        <f t="shared" si="28"/>
        <v>3.4322158991562102E-4</v>
      </c>
      <c r="R417" s="11">
        <v>33.749999999999865</v>
      </c>
      <c r="S417" s="1">
        <v>0.14541301960397993</v>
      </c>
      <c r="T417" s="1">
        <v>0.14455935803374978</v>
      </c>
      <c r="U417">
        <f t="shared" si="29"/>
        <v>8.5366157023014644E-4</v>
      </c>
      <c r="W417" s="1">
        <v>0.19134467985324571</v>
      </c>
      <c r="X417" s="1">
        <v>0.18962999038020609</v>
      </c>
      <c r="Y417" s="12">
        <f t="shared" si="30"/>
        <v>9.0422905659683916E-3</v>
      </c>
    </row>
    <row r="418" spans="11:25" x14ac:dyDescent="0.2">
      <c r="K418" s="1">
        <v>7.4764519828307442E-3</v>
      </c>
      <c r="L418" s="1">
        <v>7.4901838307503887E-3</v>
      </c>
      <c r="M418" s="13">
        <f t="shared" si="27"/>
        <v>-1.3731847919644553E-5</v>
      </c>
      <c r="O418" s="1">
        <v>0.77602050921219556</v>
      </c>
      <c r="P418" s="1">
        <v>0.77565917072874069</v>
      </c>
      <c r="Q418">
        <f t="shared" si="28"/>
        <v>3.6133848345487607E-4</v>
      </c>
      <c r="R418" s="11">
        <v>33.833333333333201</v>
      </c>
      <c r="S418" s="1">
        <v>0.14562507118316451</v>
      </c>
      <c r="T418" s="1">
        <v>0.14477249451557642</v>
      </c>
      <c r="U418">
        <f t="shared" si="29"/>
        <v>8.525766675880897E-4</v>
      </c>
      <c r="W418" s="1">
        <v>0.19179642121528007</v>
      </c>
      <c r="X418" s="1">
        <v>0.19007281918712832</v>
      </c>
      <c r="Y418" s="12">
        <f t="shared" si="30"/>
        <v>9.0681141865678327E-3</v>
      </c>
    </row>
    <row r="419" spans="11:25" x14ac:dyDescent="0.2">
      <c r="K419" s="1">
        <v>7.4752087240451941E-3</v>
      </c>
      <c r="L419" s="1">
        <v>7.489558642116141E-3</v>
      </c>
      <c r="M419" s="13">
        <f t="shared" si="27"/>
        <v>-1.4349918070946828E-5</v>
      </c>
      <c r="O419" s="1">
        <v>0.77556995305940613</v>
      </c>
      <c r="P419" s="1">
        <v>0.77519164693448339</v>
      </c>
      <c r="Q419">
        <f t="shared" si="28"/>
        <v>3.7830612492273374E-4</v>
      </c>
      <c r="R419" s="11">
        <v>33.916666666666536</v>
      </c>
      <c r="S419" s="1">
        <v>0.14578560204119767</v>
      </c>
      <c r="T419" s="1">
        <v>0.14492649856538459</v>
      </c>
      <c r="U419">
        <f t="shared" si="29"/>
        <v>8.5910347581308333E-4</v>
      </c>
      <c r="W419" s="1">
        <v>0.19215579669989891</v>
      </c>
      <c r="X419" s="1">
        <v>0.19041026795015328</v>
      </c>
      <c r="Y419" s="12">
        <f t="shared" si="30"/>
        <v>9.1671986418431217E-3</v>
      </c>
    </row>
    <row r="420" spans="11:25" x14ac:dyDescent="0.2">
      <c r="K420" s="1">
        <v>7.4739127616200336E-3</v>
      </c>
      <c r="L420" s="1">
        <v>7.4889581274007969E-3</v>
      </c>
      <c r="M420" s="13">
        <f t="shared" si="27"/>
        <v>-1.5045365780763306E-5</v>
      </c>
      <c r="O420" s="1">
        <v>0.77512121147230051</v>
      </c>
      <c r="P420" s="1">
        <v>0.77472383414282309</v>
      </c>
      <c r="Q420">
        <f t="shared" si="28"/>
        <v>3.9737732947742188E-4</v>
      </c>
      <c r="R420" s="11">
        <v>33.999999999999872</v>
      </c>
      <c r="S420" s="1">
        <v>0.14597396419526151</v>
      </c>
      <c r="T420" s="1">
        <v>0.14512978073707522</v>
      </c>
      <c r="U420">
        <f t="shared" si="29"/>
        <v>8.4418345818629281E-4</v>
      </c>
      <c r="W420" s="1">
        <v>0.1925657152777091</v>
      </c>
      <c r="X420" s="1">
        <v>0.19083549811156172</v>
      </c>
      <c r="Y420" s="12">
        <f t="shared" si="30"/>
        <v>9.0665373228198121E-3</v>
      </c>
    </row>
    <row r="421" spans="11:25" x14ac:dyDescent="0.2">
      <c r="K421" s="1">
        <v>7.47258443222233E-3</v>
      </c>
      <c r="L421" s="1">
        <v>7.48833372070681E-3</v>
      </c>
      <c r="M421" s="13">
        <f t="shared" si="27"/>
        <v>-1.5749288484480026E-5</v>
      </c>
      <c r="O421" s="1">
        <v>0.7746737535389091</v>
      </c>
      <c r="P421" s="1">
        <v>0.77425701319188278</v>
      </c>
      <c r="Q421">
        <f t="shared" si="28"/>
        <v>4.1674034702632312E-4</v>
      </c>
      <c r="R421" s="11">
        <v>34.083333333333208</v>
      </c>
      <c r="S421" s="1">
        <v>0.14610567975018102</v>
      </c>
      <c r="T421" s="1">
        <v>0.14530339272717477</v>
      </c>
      <c r="U421">
        <f t="shared" si="29"/>
        <v>8.0228702300624843E-4</v>
      </c>
      <c r="W421" s="1">
        <v>0.19287460397926715</v>
      </c>
      <c r="X421" s="1">
        <v>0.19120788119304866</v>
      </c>
      <c r="Y421" s="12">
        <f t="shared" si="30"/>
        <v>8.7168100803109994E-3</v>
      </c>
    </row>
    <row r="422" spans="11:25" x14ac:dyDescent="0.2">
      <c r="K422" s="1">
        <v>7.4713731769866006E-3</v>
      </c>
      <c r="L422" s="1">
        <v>7.4876976740706844E-3</v>
      </c>
      <c r="M422" s="13">
        <f t="shared" si="27"/>
        <v>-1.6324497084083817E-5</v>
      </c>
      <c r="O422" s="1">
        <v>0.77422362083597562</v>
      </c>
      <c r="P422" s="1">
        <v>0.77379086254286866</v>
      </c>
      <c r="Q422">
        <f t="shared" si="28"/>
        <v>4.3275829310696068E-4</v>
      </c>
      <c r="R422" s="11">
        <v>34.166666666666544</v>
      </c>
      <c r="S422" s="1">
        <v>0.14627180912192231</v>
      </c>
      <c r="T422" s="1">
        <v>0.14547130923161256</v>
      </c>
      <c r="U422">
        <f t="shared" si="29"/>
        <v>8.0049989030975266E-4</v>
      </c>
      <c r="W422" s="1">
        <v>0.19324336089587429</v>
      </c>
      <c r="X422" s="1">
        <v>0.19157014143211606</v>
      </c>
      <c r="Y422" s="12">
        <f t="shared" si="30"/>
        <v>8.7342393300426924E-3</v>
      </c>
    </row>
    <row r="423" spans="11:25" x14ac:dyDescent="0.2">
      <c r="K423" s="1">
        <v>7.4701354713816379E-3</v>
      </c>
      <c r="L423" s="1">
        <v>7.4870761629728388E-3</v>
      </c>
      <c r="M423" s="13">
        <f t="shared" si="27"/>
        <v>-1.6940691591200985E-5</v>
      </c>
      <c r="O423" s="1">
        <v>0.77377460858097402</v>
      </c>
      <c r="P423" s="1">
        <v>0.77332468859339065</v>
      </c>
      <c r="Q423">
        <f t="shared" si="28"/>
        <v>4.4991998758336926E-4</v>
      </c>
      <c r="R423" s="11">
        <v>34.249999999999879</v>
      </c>
      <c r="S423" s="1">
        <v>0.14651259566829553</v>
      </c>
      <c r="T423" s="1">
        <v>0.14561965796455772</v>
      </c>
      <c r="U423">
        <f t="shared" si="29"/>
        <v>8.9293770373780057E-4</v>
      </c>
      <c r="W423" s="1">
        <v>0.19374634388918111</v>
      </c>
      <c r="X423" s="1">
        <v>0.19189700143176114</v>
      </c>
      <c r="Y423" s="12">
        <f t="shared" si="30"/>
        <v>9.6371618296369199E-3</v>
      </c>
    </row>
    <row r="424" spans="11:25" x14ac:dyDescent="0.2">
      <c r="K424" s="1">
        <v>7.4688457905535861E-3</v>
      </c>
      <c r="L424" s="1">
        <v>7.4865092279457982E-3</v>
      </c>
      <c r="M424" s="13">
        <f t="shared" si="27"/>
        <v>-1.7663437392212086E-5</v>
      </c>
      <c r="O424" s="1">
        <v>0.77332739959392427</v>
      </c>
      <c r="P424" s="1">
        <v>0.77285742386943346</v>
      </c>
      <c r="Q424">
        <f t="shared" si="28"/>
        <v>4.6997572449081204E-4</v>
      </c>
      <c r="R424" s="11">
        <v>34.333333333333215</v>
      </c>
      <c r="S424" s="1">
        <v>0.14671449784585971</v>
      </c>
      <c r="T424" s="1">
        <v>0.1458257459292705</v>
      </c>
      <c r="U424">
        <f t="shared" si="29"/>
        <v>8.8875191658921437E-4</v>
      </c>
      <c r="W424" s="1">
        <v>0.19418039313870447</v>
      </c>
      <c r="X424" s="1">
        <v>0.19232654237770894</v>
      </c>
      <c r="Y424" s="12">
        <f t="shared" si="30"/>
        <v>9.6390791311309343E-3</v>
      </c>
    </row>
    <row r="425" spans="11:25" x14ac:dyDescent="0.2">
      <c r="K425" s="1">
        <v>7.4674723583130938E-3</v>
      </c>
      <c r="L425" s="1">
        <v>7.4858883678757225E-3</v>
      </c>
      <c r="M425" s="13">
        <f t="shared" si="27"/>
        <v>-1.8416009562628732E-5</v>
      </c>
      <c r="O425" s="1">
        <v>0.77288284838576515</v>
      </c>
      <c r="P425" s="1">
        <v>0.772391951430071</v>
      </c>
      <c r="Q425">
        <f t="shared" si="28"/>
        <v>4.9089695569415337E-4</v>
      </c>
      <c r="R425" s="11">
        <v>34.416666666666551</v>
      </c>
      <c r="S425" s="1">
        <v>0.14685839809908274</v>
      </c>
      <c r="T425" s="1">
        <v>0.14594901708296854</v>
      </c>
      <c r="U425">
        <f t="shared" si="29"/>
        <v>9.0938101611420796E-4</v>
      </c>
      <c r="W425" s="1">
        <v>0.19451156275837633</v>
      </c>
      <c r="X425" s="1">
        <v>0.19260816339174885</v>
      </c>
      <c r="Y425" s="12">
        <f t="shared" si="30"/>
        <v>9.8822362100827732E-3</v>
      </c>
    </row>
    <row r="426" spans="11:25" x14ac:dyDescent="0.2">
      <c r="K426" s="1">
        <v>7.4660911615643845E-3</v>
      </c>
      <c r="L426" s="1">
        <v>7.4852764011969454E-3</v>
      </c>
      <c r="M426" s="13">
        <f t="shared" si="27"/>
        <v>-1.9185239632560878E-5</v>
      </c>
      <c r="O426" s="1">
        <v>0.77243893696276089</v>
      </c>
      <c r="P426" s="1">
        <v>0.77192660179319583</v>
      </c>
      <c r="Q426">
        <f t="shared" si="28"/>
        <v>5.1233516956505909E-4</v>
      </c>
      <c r="R426" s="11">
        <v>34.499999999999886</v>
      </c>
      <c r="S426" s="1">
        <v>0.14704419125491711</v>
      </c>
      <c r="T426" s="1">
        <v>0.14616995688134896</v>
      </c>
      <c r="U426">
        <f t="shared" si="29"/>
        <v>8.7423437356815015E-4</v>
      </c>
      <c r="W426" s="1">
        <v>0.19491800254820282</v>
      </c>
      <c r="X426" s="1">
        <v>0.19306490541991242</v>
      </c>
      <c r="Y426" s="12">
        <f t="shared" si="30"/>
        <v>9.598311636493273E-3</v>
      </c>
    </row>
    <row r="427" spans="11:25" x14ac:dyDescent="0.2">
      <c r="K427" s="1">
        <v>7.464636453472338E-3</v>
      </c>
      <c r="L427" s="1">
        <v>7.4846902527509057E-3</v>
      </c>
      <c r="M427" s="13">
        <f t="shared" si="27"/>
        <v>-2.0053799278567722E-5</v>
      </c>
      <c r="O427" s="1">
        <v>0.77199742556724615</v>
      </c>
      <c r="P427" s="1">
        <v>0.77146092072175121</v>
      </c>
      <c r="Q427">
        <f t="shared" si="28"/>
        <v>5.3650484549494504E-4</v>
      </c>
      <c r="R427" s="11">
        <v>34.583333333333222</v>
      </c>
      <c r="S427" s="1">
        <v>0.14721552245005193</v>
      </c>
      <c r="T427" s="1">
        <v>0.14634107168086677</v>
      </c>
      <c r="U427">
        <f t="shared" si="29"/>
        <v>8.7445076918515885E-4</v>
      </c>
      <c r="W427" s="1">
        <v>0.19529953070199899</v>
      </c>
      <c r="X427" s="1">
        <v>0.19343172570995537</v>
      </c>
      <c r="Y427" s="12">
        <f t="shared" si="30"/>
        <v>9.656146039064506E-3</v>
      </c>
    </row>
    <row r="428" spans="11:25" x14ac:dyDescent="0.2">
      <c r="K428" s="1">
        <v>7.4631883477171042E-3</v>
      </c>
      <c r="L428" s="1">
        <v>7.4840489954286259E-3</v>
      </c>
      <c r="M428" s="13">
        <f t="shared" si="27"/>
        <v>-2.086064771152172E-5</v>
      </c>
      <c r="O428" s="1">
        <v>0.77155617657701514</v>
      </c>
      <c r="P428" s="1">
        <v>0.77099707238568638</v>
      </c>
      <c r="Q428">
        <f t="shared" si="28"/>
        <v>5.591041913287631E-4</v>
      </c>
      <c r="R428" s="11">
        <v>34.666666666666558</v>
      </c>
      <c r="S428" s="1">
        <v>0.14738602898537764</v>
      </c>
      <c r="T428" s="1">
        <v>0.14651866201069019</v>
      </c>
      <c r="U428">
        <f t="shared" si="29"/>
        <v>8.6736697468745017E-4</v>
      </c>
      <c r="W428" s="1">
        <v>0.19567944415103783</v>
      </c>
      <c r="X428" s="1">
        <v>0.19381090750034433</v>
      </c>
      <c r="Y428" s="12">
        <f t="shared" si="30"/>
        <v>9.6410293661628454E-3</v>
      </c>
    </row>
    <row r="429" spans="11:25" x14ac:dyDescent="0.2">
      <c r="K429" s="1">
        <v>7.4616973730397256E-3</v>
      </c>
      <c r="L429" s="1">
        <v>7.4833365906368538E-3</v>
      </c>
      <c r="M429" s="13">
        <f t="shared" si="27"/>
        <v>-2.1639217597128196E-5</v>
      </c>
      <c r="O429" s="1">
        <v>0.77111651738231757</v>
      </c>
      <c r="P429" s="1">
        <v>0.77053549491309381</v>
      </c>
      <c r="Q429">
        <f t="shared" si="28"/>
        <v>5.8102246922375755E-4</v>
      </c>
      <c r="R429" s="11">
        <v>34.749999999999893</v>
      </c>
      <c r="S429" s="1">
        <v>0.14755036544744554</v>
      </c>
      <c r="T429" s="1">
        <v>0.14657841493039073</v>
      </c>
      <c r="U429">
        <f t="shared" si="29"/>
        <v>9.7195051705481483E-4</v>
      </c>
      <c r="W429" s="1">
        <v>0.19604886128060717</v>
      </c>
      <c r="X429" s="1">
        <v>0.19397911691255701</v>
      </c>
      <c r="Y429" s="12">
        <f t="shared" si="30"/>
        <v>1.0669933965021361E-2</v>
      </c>
    </row>
    <row r="430" spans="11:25" x14ac:dyDescent="0.2">
      <c r="K430" s="1">
        <v>7.4602311654547102E-3</v>
      </c>
      <c r="L430" s="1">
        <v>7.4826316728882642E-3</v>
      </c>
      <c r="M430" s="13">
        <f t="shared" si="27"/>
        <v>-2.2400507433554054E-5</v>
      </c>
      <c r="O430" s="1">
        <v>0.77067663376120621</v>
      </c>
      <c r="P430" s="1">
        <v>0.7700740838951815</v>
      </c>
      <c r="Q430">
        <f t="shared" si="28"/>
        <v>6.0254986602470417E-4</v>
      </c>
      <c r="R430" s="11">
        <v>34.833333333333229</v>
      </c>
      <c r="S430" s="1">
        <v>0.14775510063265102</v>
      </c>
      <c r="T430" s="1">
        <v>0.14679422783161789</v>
      </c>
      <c r="U430">
        <f t="shared" si="29"/>
        <v>9.6087280103313022E-4</v>
      </c>
      <c r="W430" s="1">
        <v>0.19649056193318848</v>
      </c>
      <c r="X430" s="1">
        <v>0.19442777004509246</v>
      </c>
      <c r="Y430" s="12">
        <f t="shared" si="30"/>
        <v>1.0609553808170524E-2</v>
      </c>
    </row>
    <row r="431" spans="11:25" x14ac:dyDescent="0.2">
      <c r="K431" s="1">
        <v>7.4587743128116217E-3</v>
      </c>
      <c r="L431" s="1">
        <v>7.4819097542381599E-3</v>
      </c>
      <c r="M431" s="13">
        <f t="shared" si="27"/>
        <v>-2.31354414265382E-5</v>
      </c>
      <c r="O431" s="1">
        <v>0.77023693709976315</v>
      </c>
      <c r="P431" s="1">
        <v>0.76961349754194286</v>
      </c>
      <c r="Q431">
        <f t="shared" si="28"/>
        <v>6.2343955782029337E-4</v>
      </c>
      <c r="R431" s="11">
        <v>34.916666666666565</v>
      </c>
      <c r="S431" s="1">
        <v>0.1479936960349226</v>
      </c>
      <c r="T431" s="1">
        <v>0.14694046561641039</v>
      </c>
      <c r="U431">
        <f t="shared" si="29"/>
        <v>1.0532304185122132E-3</v>
      </c>
      <c r="W431" s="1">
        <v>0.19699310020643426</v>
      </c>
      <c r="X431" s="1">
        <v>0.19475140451769068</v>
      </c>
      <c r="Y431" s="12">
        <f t="shared" si="30"/>
        <v>1.1510549535163728E-2</v>
      </c>
    </row>
    <row r="432" spans="11:25" x14ac:dyDescent="0.2">
      <c r="K432" s="1">
        <v>7.4572070396063377E-3</v>
      </c>
      <c r="L432" s="1">
        <v>7.4811467480197461E-3</v>
      </c>
      <c r="M432" s="13">
        <f t="shared" si="27"/>
        <v>-2.3939708413408395E-5</v>
      </c>
      <c r="O432" s="1">
        <v>0.76980066035497074</v>
      </c>
      <c r="P432" s="1">
        <v>0.76915438793944146</v>
      </c>
      <c r="Q432">
        <f t="shared" si="28"/>
        <v>6.4627241552928094E-4</v>
      </c>
      <c r="R432" s="11">
        <v>34.999999999999901</v>
      </c>
      <c r="S432" s="1">
        <v>0.14820698083936981</v>
      </c>
      <c r="T432" s="1">
        <v>0.1471395447807238</v>
      </c>
      <c r="U432">
        <f t="shared" si="29"/>
        <v>1.0674360586460097E-3</v>
      </c>
      <c r="W432" s="1">
        <v>0.19745178154778881</v>
      </c>
      <c r="X432" s="1">
        <v>0.19517069812563528</v>
      </c>
      <c r="Y432" s="12">
        <f t="shared" si="30"/>
        <v>1.1687632641889323E-2</v>
      </c>
    </row>
    <row r="433" spans="11:25" x14ac:dyDescent="0.2">
      <c r="K433" s="1">
        <v>7.4556527582879221E-3</v>
      </c>
      <c r="L433" s="1">
        <v>7.4803165995134526E-3</v>
      </c>
      <c r="M433" s="13">
        <f t="shared" si="27"/>
        <v>-2.4663841225530496E-5</v>
      </c>
      <c r="O433" s="1">
        <v>0.76936448018465275</v>
      </c>
      <c r="P433" s="1">
        <v>0.76869746499364322</v>
      </c>
      <c r="Q433">
        <f t="shared" si="28"/>
        <v>6.6701519100953455E-4</v>
      </c>
      <c r="R433" s="11">
        <v>35.083333333333236</v>
      </c>
      <c r="S433" s="1">
        <v>0.14842381028052487</v>
      </c>
      <c r="T433" s="1">
        <v>0.1472900415904618</v>
      </c>
      <c r="U433">
        <f t="shared" si="29"/>
        <v>1.1337686900630695E-3</v>
      </c>
      <c r="W433" s="1">
        <v>0.19791669226987349</v>
      </c>
      <c r="X433" s="1">
        <v>0.1955034150095937</v>
      </c>
      <c r="Y433" s="12">
        <f t="shared" si="30"/>
        <v>1.2343913584125232E-2</v>
      </c>
    </row>
    <row r="434" spans="11:25" x14ac:dyDescent="0.2">
      <c r="K434" s="1">
        <v>7.4540331838610814E-3</v>
      </c>
      <c r="L434" s="1">
        <v>7.4795597018832583E-3</v>
      </c>
      <c r="M434" s="13">
        <f t="shared" si="27"/>
        <v>-2.5526518022176911E-5</v>
      </c>
      <c r="O434" s="1">
        <v>0.76893051610354346</v>
      </c>
      <c r="P434" s="1">
        <v>0.76823893611205007</v>
      </c>
      <c r="Q434">
        <f t="shared" si="28"/>
        <v>6.9157999149338512E-4</v>
      </c>
      <c r="R434" s="11">
        <v>35.166666666666572</v>
      </c>
      <c r="S434" s="1">
        <v>0.14862990800368636</v>
      </c>
      <c r="T434" s="1">
        <v>0.14747241836706482</v>
      </c>
      <c r="U434">
        <f t="shared" si="29"/>
        <v>1.1574896366215448E-3</v>
      </c>
      <c r="W434" s="1">
        <v>0.19836328444181442</v>
      </c>
      <c r="X434" s="1">
        <v>0.19589238870574519</v>
      </c>
      <c r="Y434" s="12">
        <f t="shared" si="30"/>
        <v>1.2613536199105768E-2</v>
      </c>
    </row>
    <row r="435" spans="11:25" x14ac:dyDescent="0.2">
      <c r="K435" s="1">
        <v>7.4524282318790963E-3</v>
      </c>
      <c r="L435" s="1">
        <v>7.4787734405896839E-3</v>
      </c>
      <c r="M435" s="13">
        <f t="shared" si="27"/>
        <v>-2.6345208710587542E-5</v>
      </c>
      <c r="O435" s="1">
        <v>0.76849660719046775</v>
      </c>
      <c r="P435" s="1">
        <v>0.76778157418400983</v>
      </c>
      <c r="Q435">
        <f t="shared" si="28"/>
        <v>7.1503300645792134E-4</v>
      </c>
      <c r="R435" s="11">
        <v>35.249999999999908</v>
      </c>
      <c r="S435" s="1">
        <v>0.14874720819874268</v>
      </c>
      <c r="T435" s="1">
        <v>0.14765805646853938</v>
      </c>
      <c r="U435">
        <f t="shared" si="29"/>
        <v>1.0891517302032971E-3</v>
      </c>
      <c r="W435" s="1">
        <v>0.19864953909862737</v>
      </c>
      <c r="X435" s="1">
        <v>0.19628761612652385</v>
      </c>
      <c r="Y435" s="12">
        <f t="shared" si="30"/>
        <v>1.2032969877126876E-2</v>
      </c>
    </row>
    <row r="436" spans="11:25" x14ac:dyDescent="0.2">
      <c r="K436" s="1">
        <v>7.450840438896455E-3</v>
      </c>
      <c r="L436" s="1">
        <v>7.4778027393782691E-3</v>
      </c>
      <c r="M436" s="13">
        <f t="shared" si="27"/>
        <v>-2.6962300481814076E-5</v>
      </c>
      <c r="O436" s="1">
        <v>0.76806268182069592</v>
      </c>
      <c r="P436" s="1">
        <v>0.76732959746405183</v>
      </c>
      <c r="Q436">
        <f t="shared" si="28"/>
        <v>7.330843566440981E-4</v>
      </c>
      <c r="R436" s="11">
        <v>35.333333333333243</v>
      </c>
      <c r="S436" s="1">
        <v>0.14887543864021924</v>
      </c>
      <c r="T436" s="1">
        <v>0.14780817591009446</v>
      </c>
      <c r="U436">
        <f t="shared" si="29"/>
        <v>1.0672627301247795E-3</v>
      </c>
      <c r="W436" s="1">
        <v>0.19895513279917484</v>
      </c>
      <c r="X436" s="1">
        <v>0.1966214762622438</v>
      </c>
      <c r="Y436" s="12">
        <f t="shared" si="30"/>
        <v>1.1868777415843024E-2</v>
      </c>
    </row>
    <row r="437" spans="11:25" x14ac:dyDescent="0.2">
      <c r="K437" s="1">
        <v>7.4492980544466712E-3</v>
      </c>
      <c r="L437" s="1">
        <v>7.4767649657332767E-3</v>
      </c>
      <c r="M437" s="13">
        <f t="shared" si="27"/>
        <v>-2.74669112866055E-5</v>
      </c>
      <c r="O437" s="1">
        <v>0.76762796718319237</v>
      </c>
      <c r="P437" s="1">
        <v>0.76687983687489014</v>
      </c>
      <c r="Q437">
        <f t="shared" si="28"/>
        <v>7.481303083022306E-4</v>
      </c>
      <c r="R437" s="11">
        <v>35.416666666666579</v>
      </c>
      <c r="S437" s="1">
        <v>0.14902074507730415</v>
      </c>
      <c r="T437" s="1">
        <v>0.14798506357015476</v>
      </c>
      <c r="U437">
        <f t="shared" si="29"/>
        <v>1.0356815071493886E-3</v>
      </c>
      <c r="W437" s="1">
        <v>0.19929075746126884</v>
      </c>
      <c r="X437" s="1">
        <v>0.19700456369845473</v>
      </c>
      <c r="Y437" s="12">
        <f t="shared" si="30"/>
        <v>1.1604775645266185E-2</v>
      </c>
    </row>
    <row r="438" spans="11:25" x14ac:dyDescent="0.2">
      <c r="K438" s="1">
        <v>7.447735130023652E-3</v>
      </c>
      <c r="L438" s="1">
        <v>7.4757165408133232E-3</v>
      </c>
      <c r="M438" s="13">
        <f t="shared" si="27"/>
        <v>-2.7981410789671216E-5</v>
      </c>
      <c r="O438" s="1">
        <v>0.76719425653436379</v>
      </c>
      <c r="P438" s="1">
        <v>0.76643076295401891</v>
      </c>
      <c r="Q438">
        <f t="shared" si="28"/>
        <v>7.6349358034488723E-4</v>
      </c>
      <c r="R438" s="11">
        <v>35.499999999999915</v>
      </c>
      <c r="S438" s="1">
        <v>0.14917182602214543</v>
      </c>
      <c r="T438" s="1">
        <v>0.14819174946692437</v>
      </c>
      <c r="U438">
        <f t="shared" si="29"/>
        <v>9.8007655522105996E-4</v>
      </c>
      <c r="W438" s="1">
        <v>0.1996370451009028</v>
      </c>
      <c r="X438" s="1">
        <v>0.19744156454930256</v>
      </c>
      <c r="Y438" s="12">
        <f t="shared" si="30"/>
        <v>1.1119647256705223E-2</v>
      </c>
    </row>
    <row r="439" spans="11:25" x14ac:dyDescent="0.2">
      <c r="K439" s="1">
        <v>7.4461722821363638E-3</v>
      </c>
      <c r="L439" s="1">
        <v>7.4746947287470528E-3</v>
      </c>
      <c r="M439" s="13">
        <f t="shared" si="27"/>
        <v>-2.8522446610688978E-5</v>
      </c>
      <c r="O439" s="1">
        <v>0.76676098857099984</v>
      </c>
      <c r="P439" s="1">
        <v>0.7659813587866634</v>
      </c>
      <c r="Q439">
        <f t="shared" si="28"/>
        <v>7.7962978433643304E-4</v>
      </c>
      <c r="R439" s="11">
        <v>35.58333333333325</v>
      </c>
      <c r="S439" s="1">
        <v>0.14932037898734374</v>
      </c>
      <c r="T439" s="1">
        <v>0.14836541871512679</v>
      </c>
      <c r="U439">
        <f t="shared" si="29"/>
        <v>9.5496027221694813E-4</v>
      </c>
      <c r="W439" s="1">
        <v>0.19997869502279669</v>
      </c>
      <c r="X439" s="1">
        <v>0.19781849711580252</v>
      </c>
      <c r="Y439" s="12">
        <f t="shared" si="30"/>
        <v>1.0920100690733792E-2</v>
      </c>
    </row>
    <row r="440" spans="11:25" x14ac:dyDescent="0.2">
      <c r="K440" s="1">
        <v>7.4445662240304016E-3</v>
      </c>
      <c r="L440" s="1">
        <v>7.4735018551104343E-3</v>
      </c>
      <c r="M440" s="13">
        <f t="shared" si="27"/>
        <v>-2.8935631080032748E-5</v>
      </c>
      <c r="O440" s="1">
        <v>0.76632934870001668</v>
      </c>
      <c r="P440" s="1">
        <v>0.7655370300935086</v>
      </c>
      <c r="Q440">
        <f t="shared" si="28"/>
        <v>7.9231860650808006E-4</v>
      </c>
      <c r="R440" s="11">
        <v>35.666666666666586</v>
      </c>
      <c r="S440" s="1">
        <v>0.14945668525535524</v>
      </c>
      <c r="T440" s="1">
        <v>0.1485615196643236</v>
      </c>
      <c r="U440">
        <f t="shared" si="29"/>
        <v>8.9516559103164361E-4</v>
      </c>
      <c r="W440" s="1">
        <v>0.20029879453971272</v>
      </c>
      <c r="X440" s="1">
        <v>0.19823851170732479</v>
      </c>
      <c r="Y440" s="12">
        <f t="shared" si="30"/>
        <v>1.0392949455904299E-2</v>
      </c>
    </row>
    <row r="441" spans="11:25" x14ac:dyDescent="0.2">
      <c r="K441" s="1">
        <v>7.4430382163301386E-3</v>
      </c>
      <c r="L441" s="1">
        <v>7.472265798182701E-3</v>
      </c>
      <c r="M441" s="13">
        <f t="shared" si="27"/>
        <v>-2.9227581852562384E-5</v>
      </c>
      <c r="O441" s="1">
        <v>0.7658960147631424</v>
      </c>
      <c r="P441" s="1">
        <v>0.76509429516236283</v>
      </c>
      <c r="Q441">
        <f t="shared" si="28"/>
        <v>8.0171960077957127E-4</v>
      </c>
      <c r="R441" s="11">
        <v>35.749999999999922</v>
      </c>
      <c r="S441" s="1">
        <v>0.14958085535219776</v>
      </c>
      <c r="T441" s="1">
        <v>0.14873884095839451</v>
      </c>
      <c r="U441">
        <f t="shared" si="29"/>
        <v>8.4201439380324206E-4</v>
      </c>
      <c r="W441" s="1">
        <v>0.20059565490678555</v>
      </c>
      <c r="X441" s="1">
        <v>0.19862520766524214</v>
      </c>
      <c r="Y441" s="12">
        <f t="shared" si="30"/>
        <v>9.9204288554570752E-3</v>
      </c>
    </row>
    <row r="442" spans="11:25" x14ac:dyDescent="0.2">
      <c r="K442" s="1">
        <v>7.4415989412990949E-3</v>
      </c>
      <c r="L442" s="1">
        <v>7.4710289561602614E-3</v>
      </c>
      <c r="M442" s="13">
        <f t="shared" si="27"/>
        <v>-2.9430014861166545E-5</v>
      </c>
      <c r="O442" s="1">
        <v>0.76546068128812372</v>
      </c>
      <c r="P442" s="1">
        <v>0.76465199536639927</v>
      </c>
      <c r="Q442">
        <f t="shared" si="28"/>
        <v>8.086859217244502E-4</v>
      </c>
      <c r="R442" s="11">
        <v>35.833333333333258</v>
      </c>
      <c r="S442" s="1">
        <v>0.14965983386948553</v>
      </c>
      <c r="T442" s="1">
        <v>0.14889067050652208</v>
      </c>
      <c r="U442">
        <f t="shared" si="29"/>
        <v>7.6916336296345422E-4</v>
      </c>
      <c r="W442" s="1">
        <v>0.20080925842004382</v>
      </c>
      <c r="X442" s="1">
        <v>0.19896575416128501</v>
      </c>
      <c r="Y442" s="12">
        <f t="shared" si="30"/>
        <v>9.2654349816623238E-3</v>
      </c>
    </row>
    <row r="443" spans="11:25" x14ac:dyDescent="0.2">
      <c r="K443" s="1">
        <v>7.4401805174491489E-3</v>
      </c>
      <c r="L443" s="1">
        <v>7.4697824303557054E-3</v>
      </c>
      <c r="M443" s="13">
        <f t="shared" si="27"/>
        <v>-2.9601912906556532E-5</v>
      </c>
      <c r="O443" s="1">
        <v>0.76502520450868361</v>
      </c>
      <c r="P443" s="1">
        <v>0.76421037521379509</v>
      </c>
      <c r="Q443">
        <f t="shared" si="28"/>
        <v>8.1482929488851941E-4</v>
      </c>
      <c r="R443" s="11">
        <v>35.916666666666593</v>
      </c>
      <c r="S443" s="1">
        <v>0.14986914063619808</v>
      </c>
      <c r="T443" s="1">
        <v>0.14902042432501669</v>
      </c>
      <c r="U443">
        <f t="shared" si="29"/>
        <v>8.4871631118138557E-4</v>
      </c>
      <c r="W443" s="1">
        <v>0.20125827550577305</v>
      </c>
      <c r="X443" s="1">
        <v>0.19926640861782038</v>
      </c>
      <c r="Y443" s="12">
        <f t="shared" si="30"/>
        <v>9.9959993346039333E-3</v>
      </c>
    </row>
    <row r="444" spans="11:25" x14ac:dyDescent="0.2">
      <c r="K444" s="1">
        <v>7.4387829932449773E-3</v>
      </c>
      <c r="L444" s="1">
        <v>7.4685232534340519E-3</v>
      </c>
      <c r="M444" s="13">
        <f t="shared" si="27"/>
        <v>-2.9740260189074601E-5</v>
      </c>
      <c r="O444" s="1">
        <v>0.76458957962833551</v>
      </c>
      <c r="P444" s="1">
        <v>0.76376951744904775</v>
      </c>
      <c r="Q444">
        <f t="shared" si="28"/>
        <v>8.2006217928776159E-4</v>
      </c>
      <c r="R444" s="11">
        <v>35.999999999999929</v>
      </c>
      <c r="S444" s="1">
        <v>0.1500414900512072</v>
      </c>
      <c r="T444" s="1">
        <v>0.14918187471002728</v>
      </c>
      <c r="U444">
        <f t="shared" si="29"/>
        <v>8.5961534117992566E-4</v>
      </c>
      <c r="W444" s="1">
        <v>0.20164004655755438</v>
      </c>
      <c r="X444" s="1">
        <v>0.19962452268432918</v>
      </c>
      <c r="Y444" s="12">
        <f t="shared" si="30"/>
        <v>1.009657453965418E-2</v>
      </c>
    </row>
    <row r="445" spans="11:25" x14ac:dyDescent="0.2">
      <c r="K445" s="1">
        <v>7.437419741514472E-3</v>
      </c>
      <c r="L445" s="1">
        <v>7.4672628561345327E-3</v>
      </c>
      <c r="M445" s="13">
        <f t="shared" si="27"/>
        <v>-2.9843114620060722E-5</v>
      </c>
      <c r="O445" s="1">
        <v>0.76415343360635235</v>
      </c>
      <c r="P445" s="1">
        <v>0.76332910789180708</v>
      </c>
      <c r="Q445">
        <f t="shared" si="28"/>
        <v>8.2432571454527093E-4</v>
      </c>
      <c r="R445" s="11">
        <v>36.083333333333265</v>
      </c>
      <c r="S445" s="1">
        <v>0.15018009493350615</v>
      </c>
      <c r="T445" s="1">
        <v>0.14939106105527078</v>
      </c>
      <c r="U445">
        <f t="shared" si="29"/>
        <v>7.8903387823536786E-4</v>
      </c>
      <c r="W445" s="1">
        <v>0.20196009748715441</v>
      </c>
      <c r="X445" s="1">
        <v>0.20006904589897487</v>
      </c>
      <c r="Y445" s="12">
        <f t="shared" si="30"/>
        <v>9.4519948334956805E-3</v>
      </c>
    </row>
    <row r="446" spans="11:25" x14ac:dyDescent="0.2">
      <c r="K446" s="1">
        <v>7.4360574283381508E-3</v>
      </c>
      <c r="L446" s="1">
        <v>7.4659119481294261E-3</v>
      </c>
      <c r="M446" s="13">
        <f t="shared" si="27"/>
        <v>-2.9854519791275291E-5</v>
      </c>
      <c r="O446" s="1">
        <v>0.76371768391539741</v>
      </c>
      <c r="P446" s="1">
        <v>0.76289161559675445</v>
      </c>
      <c r="Q446">
        <f t="shared" si="28"/>
        <v>8.2606831864295849E-4</v>
      </c>
      <c r="R446" s="11">
        <v>36.1666666666666</v>
      </c>
      <c r="S446" s="1">
        <v>0.150340164065834</v>
      </c>
      <c r="T446" s="1">
        <v>0.14954757931977336</v>
      </c>
      <c r="U446">
        <f t="shared" si="29"/>
        <v>7.9258474606064278E-4</v>
      </c>
      <c r="W446" s="1">
        <v>0.20231893298152812</v>
      </c>
      <c r="X446" s="1">
        <v>0.20041953130033111</v>
      </c>
      <c r="Y446" s="12">
        <f t="shared" si="30"/>
        <v>9.4771286454649051E-3</v>
      </c>
    </row>
    <row r="447" spans="11:25" x14ac:dyDescent="0.2">
      <c r="K447" s="1">
        <v>7.4347843988989623E-3</v>
      </c>
      <c r="L447" s="1">
        <v>7.464613392146038E-3</v>
      </c>
      <c r="M447" s="13">
        <f t="shared" si="27"/>
        <v>-2.9828993247075705E-5</v>
      </c>
      <c r="O447" s="1">
        <v>0.76327987994513646</v>
      </c>
      <c r="P447" s="1">
        <v>0.76245309543114648</v>
      </c>
      <c r="Q447">
        <f t="shared" si="28"/>
        <v>8.2678451398998654E-4</v>
      </c>
      <c r="R447" s="11">
        <v>36.249999999999936</v>
      </c>
      <c r="S447" s="1">
        <v>0.15048739436679151</v>
      </c>
      <c r="T447" s="1">
        <v>0.14969205409235639</v>
      </c>
      <c r="U447">
        <f t="shared" si="29"/>
        <v>7.9534027443511901E-4</v>
      </c>
      <c r="W447" s="1">
        <v>0.20265302245838379</v>
      </c>
      <c r="X447" s="1">
        <v>0.2007472967630114</v>
      </c>
      <c r="Y447" s="12">
        <f t="shared" si="30"/>
        <v>9.4931574477048475E-3</v>
      </c>
    </row>
    <row r="448" spans="11:25" x14ac:dyDescent="0.2">
      <c r="K448" s="1">
        <v>7.4335611491438743E-3</v>
      </c>
      <c r="L448" s="1">
        <v>7.4633779828376691E-3</v>
      </c>
      <c r="M448" s="13">
        <f t="shared" si="27"/>
        <v>-2.9816833693794773E-5</v>
      </c>
      <c r="O448" s="1">
        <v>0.76284110591372223</v>
      </c>
      <c r="P448" s="1">
        <v>0.76201323993143222</v>
      </c>
      <c r="Q448">
        <f t="shared" si="28"/>
        <v>8.2786598229001029E-4</v>
      </c>
      <c r="R448" s="11">
        <v>36.333333333333272</v>
      </c>
      <c r="S448" s="1">
        <v>0.15067172626215034</v>
      </c>
      <c r="T448" s="1">
        <v>0.14981108057021711</v>
      </c>
      <c r="U448">
        <f t="shared" si="29"/>
        <v>8.6064569193322615E-4</v>
      </c>
      <c r="W448" s="1">
        <v>0.2030535387284147</v>
      </c>
      <c r="X448" s="1">
        <v>0.20102782904759464</v>
      </c>
      <c r="Y448" s="12">
        <f t="shared" si="30"/>
        <v>1.0076762458298472E-2</v>
      </c>
    </row>
    <row r="449" spans="11:25" x14ac:dyDescent="0.2">
      <c r="K449" s="1">
        <v>7.4323621992808259E-3</v>
      </c>
      <c r="L449" s="1">
        <v>7.4622069316477406E-3</v>
      </c>
      <c r="M449" s="13">
        <f t="shared" si="27"/>
        <v>-2.9844732366914734E-5</v>
      </c>
      <c r="O449" s="1">
        <v>0.76240206333805605</v>
      </c>
      <c r="P449" s="1">
        <v>0.76157200600237518</v>
      </c>
      <c r="Q449">
        <f t="shared" si="28"/>
        <v>8.3005733568086715E-4</v>
      </c>
      <c r="R449" s="11">
        <v>36.416666666666607</v>
      </c>
      <c r="S449" s="1">
        <v>0.15083642868031988</v>
      </c>
      <c r="T449" s="1">
        <v>0.14993828872499698</v>
      </c>
      <c r="U449">
        <f t="shared" si="29"/>
        <v>8.9813995532289637E-4</v>
      </c>
      <c r="W449" s="1">
        <v>0.20341800102162019</v>
      </c>
      <c r="X449" s="1">
        <v>0.20132206005184086</v>
      </c>
      <c r="Y449" s="12">
        <f t="shared" si="30"/>
        <v>1.0410885768005862E-2</v>
      </c>
    </row>
    <row r="450" spans="11:25" x14ac:dyDescent="0.2">
      <c r="K450" s="1">
        <v>7.4312658155763558E-3</v>
      </c>
      <c r="L450" s="1">
        <v>7.4610726278373611E-3</v>
      </c>
      <c r="M450" s="13">
        <f t="shared" si="27"/>
        <v>-2.9806812261005261E-5</v>
      </c>
      <c r="O450" s="1">
        <v>0.76196056666361822</v>
      </c>
      <c r="P450" s="1">
        <v>0.76113015289840014</v>
      </c>
      <c r="Q450">
        <f t="shared" si="28"/>
        <v>8.3041376521808541E-4</v>
      </c>
      <c r="R450" s="11">
        <v>36.499999999999943</v>
      </c>
      <c r="S450" s="1">
        <v>0.15097854714637718</v>
      </c>
      <c r="T450" s="1">
        <v>0.15012236641709273</v>
      </c>
      <c r="U450">
        <f t="shared" si="29"/>
        <v>8.5618072928445033E-4</v>
      </c>
      <c r="W450" s="1">
        <v>0.20373977037210228</v>
      </c>
      <c r="X450" s="1">
        <v>0.20171880814222715</v>
      </c>
      <c r="Y450" s="12">
        <f t="shared" si="30"/>
        <v>1.0018709948207638E-2</v>
      </c>
    </row>
    <row r="451" spans="11:25" x14ac:dyDescent="0.2">
      <c r="K451" s="1">
        <v>7.4301863160007274E-3</v>
      </c>
      <c r="L451" s="1">
        <v>7.4598955085154461E-3</v>
      </c>
      <c r="M451" s="13">
        <f t="shared" si="27"/>
        <v>-2.9709192514718735E-5</v>
      </c>
      <c r="O451" s="1">
        <v>0.76151899336189233</v>
      </c>
      <c r="P451" s="1">
        <v>0.76068989416761434</v>
      </c>
      <c r="Q451">
        <f t="shared" si="28"/>
        <v>8.290991942779824E-4</v>
      </c>
      <c r="R451" s="11">
        <v>36.583333333333279</v>
      </c>
      <c r="S451" s="1">
        <v>0.15113887931930542</v>
      </c>
      <c r="T451" s="1">
        <v>0.15031841537901611</v>
      </c>
      <c r="U451">
        <f t="shared" si="29"/>
        <v>8.2046394028931213E-4</v>
      </c>
      <c r="W451" s="1">
        <v>0.20409423178040687</v>
      </c>
      <c r="X451" s="1">
        <v>0.20213790928327363</v>
      </c>
      <c r="Y451" s="12">
        <f t="shared" si="30"/>
        <v>9.6781573732003245E-3</v>
      </c>
    </row>
    <row r="452" spans="11:25" x14ac:dyDescent="0.2">
      <c r="K452" s="1">
        <v>7.4290232801695871E-3</v>
      </c>
      <c r="L452" s="1">
        <v>7.4587607778028578E-3</v>
      </c>
      <c r="M452" s="13">
        <f t="shared" si="27"/>
        <v>-2.9737497633270694E-5</v>
      </c>
      <c r="O452" s="1">
        <v>0.7610801493723951</v>
      </c>
      <c r="P452" s="1">
        <v>0.76024885494303251</v>
      </c>
      <c r="Q452">
        <f t="shared" si="28"/>
        <v>8.3129442936258346E-4</v>
      </c>
      <c r="R452" s="11">
        <v>36.666666666666615</v>
      </c>
      <c r="S452" s="1">
        <v>0.15129993523378571</v>
      </c>
      <c r="T452" s="1">
        <v>0.15049088385846243</v>
      </c>
      <c r="U452">
        <f t="shared" si="29"/>
        <v>8.0905137532327753E-4</v>
      </c>
      <c r="W452" s="1">
        <v>0.20445122756381864</v>
      </c>
      <c r="X452" s="1">
        <v>0.20251347573897768</v>
      </c>
      <c r="Y452" s="12">
        <f t="shared" si="30"/>
        <v>9.5685080598713057E-3</v>
      </c>
    </row>
    <row r="453" spans="11:25" x14ac:dyDescent="0.2">
      <c r="K453" s="1">
        <v>7.4279115717906198E-3</v>
      </c>
      <c r="L453" s="1">
        <v>7.4576818063382668E-3</v>
      </c>
      <c r="M453" s="13">
        <f t="shared" si="27"/>
        <v>-2.9770234547647073E-5</v>
      </c>
      <c r="O453" s="1">
        <v>0.76064026768144866</v>
      </c>
      <c r="P453" s="1">
        <v>0.75980665463245189</v>
      </c>
      <c r="Q453">
        <f t="shared" si="28"/>
        <v>8.3361304899676192E-4</v>
      </c>
      <c r="R453" s="11">
        <v>36.74999999999995</v>
      </c>
      <c r="S453" s="1">
        <v>0.15144860973763868</v>
      </c>
      <c r="T453" s="1">
        <v>0.15066674590382459</v>
      </c>
      <c r="U453">
        <f t="shared" si="29"/>
        <v>7.8186383381409486E-4</v>
      </c>
      <c r="W453" s="1">
        <v>0.20478481497235829</v>
      </c>
      <c r="X453" s="1">
        <v>0.20289425847057033</v>
      </c>
      <c r="Y453" s="12">
        <f t="shared" si="30"/>
        <v>9.3179398768554744E-3</v>
      </c>
    </row>
    <row r="454" spans="11:25" x14ac:dyDescent="0.2">
      <c r="K454" s="1">
        <v>7.4268566392085645E-3</v>
      </c>
      <c r="L454" s="1">
        <v>7.4566365893991215E-3</v>
      </c>
      <c r="M454" s="13">
        <f t="shared" si="27"/>
        <v>-2.9779950190557056E-5</v>
      </c>
      <c r="O454" s="1">
        <v>0.76019918772384965</v>
      </c>
      <c r="P454" s="1">
        <v>0.75936390183666613</v>
      </c>
      <c r="Q454">
        <f t="shared" si="28"/>
        <v>8.3528588718351227E-4</v>
      </c>
      <c r="R454" s="11">
        <v>36.833333333333286</v>
      </c>
      <c r="S454" s="1">
        <v>0.15160598065407513</v>
      </c>
      <c r="T454" s="1">
        <v>0.1508357576133976</v>
      </c>
      <c r="U454">
        <f t="shared" si="29"/>
        <v>7.7022304067753122E-4</v>
      </c>
      <c r="W454" s="1">
        <v>0.20513320232654436</v>
      </c>
      <c r="X454" s="1">
        <v>0.2032619823069339</v>
      </c>
      <c r="Y454" s="12">
        <f t="shared" si="30"/>
        <v>9.2059518379823402E-3</v>
      </c>
    </row>
    <row r="455" spans="11:25" x14ac:dyDescent="0.2">
      <c r="K455" s="1">
        <v>7.4258092134802355E-3</v>
      </c>
      <c r="L455" s="1">
        <v>7.4555451020800363E-3</v>
      </c>
      <c r="M455" s="13">
        <f t="shared" si="27"/>
        <v>-2.9735888599800864E-5</v>
      </c>
      <c r="O455" s="1">
        <v>0.75975828609632767</v>
      </c>
      <c r="P455" s="1">
        <v>0.75892283852490694</v>
      </c>
      <c r="Q455">
        <f t="shared" si="28"/>
        <v>8.3544757142073323E-4</v>
      </c>
      <c r="R455" s="11">
        <v>36.916666666666622</v>
      </c>
      <c r="S455" s="1">
        <v>0.15170389719588137</v>
      </c>
      <c r="T455" s="1">
        <v>0.15100072942171702</v>
      </c>
      <c r="U455">
        <f t="shared" si="29"/>
        <v>7.0316777416434828E-4</v>
      </c>
      <c r="W455" s="1">
        <v>0.2053732098754153</v>
      </c>
      <c r="X455" s="1">
        <v>0.20362300466327546</v>
      </c>
      <c r="Y455" s="12">
        <f t="shared" si="30"/>
        <v>8.5953216093344054E-3</v>
      </c>
    </row>
    <row r="456" spans="11:25" x14ac:dyDescent="0.2">
      <c r="K456" s="1">
        <v>7.4247193273478881E-3</v>
      </c>
      <c r="L456" s="1">
        <v>7.4544804514549076E-3</v>
      </c>
      <c r="M456" s="13">
        <f t="shared" si="27"/>
        <v>-2.9761124107019477E-5</v>
      </c>
      <c r="O456" s="1">
        <v>0.75931896834094836</v>
      </c>
      <c r="P456" s="1">
        <v>0.75848141453945184</v>
      </c>
      <c r="Q456">
        <f t="shared" si="28"/>
        <v>8.375538014965267E-4</v>
      </c>
      <c r="R456" s="11">
        <v>36.999999999999957</v>
      </c>
      <c r="S456" s="1">
        <v>0.15191265952139119</v>
      </c>
      <c r="T456" s="1">
        <v>0.1511512223426813</v>
      </c>
      <c r="U456">
        <f t="shared" si="29"/>
        <v>7.6143717870988392E-4</v>
      </c>
      <c r="W456" s="1">
        <v>0.2058154220238424</v>
      </c>
      <c r="X456" s="1">
        <v>0.20395717184522907</v>
      </c>
      <c r="Y456" s="12">
        <f t="shared" si="30"/>
        <v>9.1109822802575291E-3</v>
      </c>
    </row>
    <row r="457" spans="11:25" x14ac:dyDescent="0.2">
      <c r="K457" s="1">
        <v>7.4236538579058198E-3</v>
      </c>
      <c r="L457" s="1">
        <v>7.4533340749540931E-3</v>
      </c>
      <c r="M457" s="13">
        <f t="shared" si="27"/>
        <v>-2.9680217048273262E-5</v>
      </c>
      <c r="O457" s="1">
        <v>0.75887935378918969</v>
      </c>
      <c r="P457" s="1">
        <v>0.75804268434901512</v>
      </c>
      <c r="Q457">
        <f t="shared" si="28"/>
        <v>8.3666944017457556E-4</v>
      </c>
      <c r="R457" s="11">
        <v>37.083333333333293</v>
      </c>
      <c r="S457" s="1">
        <v>0.15207338210966445</v>
      </c>
      <c r="T457" s="1">
        <v>0.15133433951313058</v>
      </c>
      <c r="U457">
        <f t="shared" si="29"/>
        <v>7.3904259653387316E-4</v>
      </c>
      <c r="W457" s="1">
        <v>0.2061697540058004</v>
      </c>
      <c r="X457" s="1">
        <v>0.20435189912723861</v>
      </c>
      <c r="Y457" s="12">
        <f t="shared" si="30"/>
        <v>8.8957082675797938E-3</v>
      </c>
    </row>
    <row r="458" spans="11:25" x14ac:dyDescent="0.2">
      <c r="K458" s="1">
        <v>7.4224993868956847E-3</v>
      </c>
      <c r="L458" s="1">
        <v>7.4520895989568185E-3</v>
      </c>
      <c r="M458" s="13">
        <f t="shared" si="27"/>
        <v>-2.9590212061133755E-5</v>
      </c>
      <c r="O458" s="1">
        <v>0.75844264290578922</v>
      </c>
      <c r="P458" s="1">
        <v>0.75760712113188633</v>
      </c>
      <c r="Q458">
        <f t="shared" si="28"/>
        <v>8.3552177390289195E-4</v>
      </c>
      <c r="R458" s="11">
        <v>37.166666666666629</v>
      </c>
      <c r="S458" s="1">
        <v>0.15226905792314346</v>
      </c>
      <c r="T458" s="1">
        <v>0.15150897319220125</v>
      </c>
      <c r="U458">
        <f t="shared" si="29"/>
        <v>7.6008473094221762E-4</v>
      </c>
      <c r="W458" s="1">
        <v>0.20658906045369016</v>
      </c>
      <c r="X458" s="1">
        <v>0.20473268167965816</v>
      </c>
      <c r="Y458" s="12">
        <f t="shared" si="30"/>
        <v>9.0673299387376005E-3</v>
      </c>
    </row>
    <row r="459" spans="11:25" x14ac:dyDescent="0.2">
      <c r="K459" s="1">
        <v>7.4212920282195546E-3</v>
      </c>
      <c r="L459" s="1">
        <v>7.4508258996598175E-3</v>
      </c>
      <c r="M459" s="13">
        <f t="shared" si="27"/>
        <v>-2.9533871440262822E-5</v>
      </c>
      <c r="O459" s="1">
        <v>0.75800782584936444</v>
      </c>
      <c r="P459" s="1">
        <v>0.75717250863145302</v>
      </c>
      <c r="Q459">
        <f t="shared" si="28"/>
        <v>8.3531721791141322E-4</v>
      </c>
      <c r="R459" s="11">
        <v>37.249999999999964</v>
      </c>
      <c r="S459" s="1">
        <v>0.15244055446321242</v>
      </c>
      <c r="T459" s="1">
        <v>0.15164357956253058</v>
      </c>
      <c r="U459">
        <f t="shared" si="29"/>
        <v>7.9697490068184051E-4</v>
      </c>
      <c r="W459" s="1">
        <v>0.2069651158436987</v>
      </c>
      <c r="X459" s="1">
        <v>0.20504080402601763</v>
      </c>
      <c r="Y459" s="12">
        <f t="shared" si="30"/>
        <v>9.3850188835433723E-3</v>
      </c>
    </row>
    <row r="460" spans="11:25" x14ac:dyDescent="0.2">
      <c r="K460" s="1">
        <v>7.4201424411793927E-3</v>
      </c>
      <c r="L460" s="1">
        <v>7.449596839454219E-3</v>
      </c>
      <c r="M460" s="13">
        <f t="shared" ref="M460:M523" si="31">K460-L460</f>
        <v>-2.9454398274826252E-5</v>
      </c>
      <c r="O460" s="1">
        <v>0.75757177293281541</v>
      </c>
      <c r="P460" s="1">
        <v>0.75673732404224081</v>
      </c>
      <c r="Q460">
        <f t="shared" ref="Q460:Q523" si="32">O460-P460</f>
        <v>8.344488905746017E-4</v>
      </c>
      <c r="R460" s="11">
        <v>37.3333333333333</v>
      </c>
      <c r="S460" s="1">
        <v>0.15258740350603275</v>
      </c>
      <c r="T460" s="1">
        <v>0.15181977119224904</v>
      </c>
      <c r="U460">
        <f t="shared" si="29"/>
        <v>7.6763231378371155E-4</v>
      </c>
      <c r="W460" s="1">
        <v>0.20729524537043453</v>
      </c>
      <c r="X460" s="1">
        <v>0.205424017743774</v>
      </c>
      <c r="Y460" s="12">
        <f t="shared" si="30"/>
        <v>9.1090985718842443E-3</v>
      </c>
    </row>
    <row r="461" spans="11:25" x14ac:dyDescent="0.2">
      <c r="K461" s="1">
        <v>7.4189758202847554E-3</v>
      </c>
      <c r="L461" s="1">
        <v>7.448403991490363E-3</v>
      </c>
      <c r="M461" s="13">
        <f t="shared" si="31"/>
        <v>-2.9428171205607596E-5</v>
      </c>
      <c r="O461" s="1">
        <v>0.75713659956211044</v>
      </c>
      <c r="P461" s="1">
        <v>0.75630151747153818</v>
      </c>
      <c r="Q461">
        <f t="shared" si="32"/>
        <v>8.3508209057225891E-4</v>
      </c>
      <c r="R461" s="11">
        <v>37.416666666666636</v>
      </c>
      <c r="S461" s="1">
        <v>0.15284848403499546</v>
      </c>
      <c r="T461" s="1">
        <v>0.15191718688742162</v>
      </c>
      <c r="U461">
        <f t="shared" ref="U461:U524" si="33">S461-T461</f>
        <v>9.3129714757383963E-4</v>
      </c>
      <c r="W461" s="1">
        <v>0.20783377665358438</v>
      </c>
      <c r="X461" s="1">
        <v>0.20566300248838626</v>
      </c>
      <c r="Y461" s="12">
        <f t="shared" ref="Y461:Y524" si="34">W461/X461-1</f>
        <v>1.0555005708042797E-2</v>
      </c>
    </row>
    <row r="462" spans="11:25" x14ac:dyDescent="0.2">
      <c r="K462" s="1">
        <v>7.4177528833149053E-3</v>
      </c>
      <c r="L462" s="1">
        <v>7.4470748603379586E-3</v>
      </c>
      <c r="M462" s="13">
        <f t="shared" si="31"/>
        <v>-2.9321977023053294E-5</v>
      </c>
      <c r="O462" s="1">
        <v>0.75670342489531872</v>
      </c>
      <c r="P462" s="1">
        <v>0.75586998369332115</v>
      </c>
      <c r="Q462">
        <f t="shared" si="32"/>
        <v>8.3344120199757565E-4</v>
      </c>
      <c r="R462" s="11">
        <v>37.499999999999972</v>
      </c>
      <c r="S462" s="1">
        <v>0.15302372348915569</v>
      </c>
      <c r="T462" s="1">
        <v>0.15206013019950515</v>
      </c>
      <c r="U462">
        <f t="shared" si="33"/>
        <v>9.6359328965053836E-4</v>
      </c>
      <c r="W462" s="1">
        <v>0.20821670553999647</v>
      </c>
      <c r="X462" s="1">
        <v>0.20598701250641921</v>
      </c>
      <c r="Y462" s="12">
        <f t="shared" si="34"/>
        <v>1.0824435028435442E-2</v>
      </c>
    </row>
    <row r="463" spans="11:25" x14ac:dyDescent="0.2">
      <c r="K463" s="1">
        <v>7.4164827784586294E-3</v>
      </c>
      <c r="L463" s="1">
        <v>7.4456486405044308E-3</v>
      </c>
      <c r="M463" s="13">
        <f t="shared" si="31"/>
        <v>-2.9165862045801329E-5</v>
      </c>
      <c r="O463" s="1">
        <v>0.75627199583736715</v>
      </c>
      <c r="P463" s="1">
        <v>0.75544162613796417</v>
      </c>
      <c r="Q463">
        <f t="shared" si="32"/>
        <v>8.3036969940297745E-4</v>
      </c>
      <c r="R463" s="11">
        <v>37.583333333333307</v>
      </c>
      <c r="S463" s="1">
        <v>0.15324445536587983</v>
      </c>
      <c r="T463" s="1">
        <v>0.15215160266373959</v>
      </c>
      <c r="U463">
        <f t="shared" si="33"/>
        <v>1.0928527021402401E-3</v>
      </c>
      <c r="W463" s="1">
        <v>0.20868330631809653</v>
      </c>
      <c r="X463" s="1">
        <v>0.2062185917821234</v>
      </c>
      <c r="Y463" s="12">
        <f t="shared" si="34"/>
        <v>1.1951951153740703E-2</v>
      </c>
    </row>
    <row r="464" spans="11:25" x14ac:dyDescent="0.2">
      <c r="K464" s="1">
        <v>7.4151233005211557E-3</v>
      </c>
      <c r="L464" s="1">
        <v>7.4442637673864829E-3</v>
      </c>
      <c r="M464" s="13">
        <f t="shared" si="31"/>
        <v>-2.9140466865327196E-5</v>
      </c>
      <c r="O464" s="1">
        <v>0.75584352284128031</v>
      </c>
      <c r="P464" s="1">
        <v>0.7550125123519561</v>
      </c>
      <c r="Q464">
        <f t="shared" si="32"/>
        <v>8.3101048932421318E-4</v>
      </c>
      <c r="R464" s="11">
        <v>37.666666666666643</v>
      </c>
      <c r="S464" s="1">
        <v>0.15340386810203108</v>
      </c>
      <c r="T464" s="1">
        <v>0.15228428096085317</v>
      </c>
      <c r="U464">
        <f t="shared" si="33"/>
        <v>1.1195871411779079E-3</v>
      </c>
      <c r="W464" s="1">
        <v>0.20903944861814347</v>
      </c>
      <c r="X464" s="1">
        <v>0.20652452610479771</v>
      </c>
      <c r="Y464" s="12">
        <f t="shared" si="34"/>
        <v>1.2177355207049878E-2</v>
      </c>
    </row>
    <row r="465" spans="11:25" x14ac:dyDescent="0.2">
      <c r="K465" s="1">
        <v>7.413774552017389E-3</v>
      </c>
      <c r="L465" s="1">
        <v>7.4428363483251408E-3</v>
      </c>
      <c r="M465" s="13">
        <f t="shared" si="31"/>
        <v>-2.9061796307751873E-5</v>
      </c>
      <c r="O465" s="1">
        <v>0.75541515711642715</v>
      </c>
      <c r="P465" s="1">
        <v>0.75458503110321462</v>
      </c>
      <c r="Q465">
        <f t="shared" si="32"/>
        <v>8.3012601321252877E-4</v>
      </c>
      <c r="R465" s="11">
        <v>37.749999999999979</v>
      </c>
      <c r="S465" s="1">
        <v>0.15357220517056086</v>
      </c>
      <c r="T465" s="1">
        <v>0.15242791392695473</v>
      </c>
      <c r="U465">
        <f t="shared" si="33"/>
        <v>1.144291243606127E-3</v>
      </c>
      <c r="W465" s="1">
        <v>0.20941161834512617</v>
      </c>
      <c r="X465" s="1">
        <v>0.20685103102533031</v>
      </c>
      <c r="Y465" s="12">
        <f t="shared" si="34"/>
        <v>1.2378895609576723E-2</v>
      </c>
    </row>
    <row r="466" spans="11:25" x14ac:dyDescent="0.2">
      <c r="K466" s="1">
        <v>7.4124341852756827E-3</v>
      </c>
      <c r="L466" s="1">
        <v>7.4413841268616745E-3</v>
      </c>
      <c r="M466" s="13">
        <f t="shared" si="31"/>
        <v>-2.8949941585991804E-5</v>
      </c>
      <c r="O466" s="1">
        <v>0.75498696393630771</v>
      </c>
      <c r="P466" s="1">
        <v>0.75415868053594337</v>
      </c>
      <c r="Q466">
        <f t="shared" si="32"/>
        <v>8.2828340036433801E-4</v>
      </c>
      <c r="R466" s="11">
        <v>37.833333333333314</v>
      </c>
      <c r="S466" s="1">
        <v>0.15376474866194703</v>
      </c>
      <c r="T466" s="1">
        <v>0.15261880168876779</v>
      </c>
      <c r="U466">
        <f t="shared" si="33"/>
        <v>1.1459469731792404E-3</v>
      </c>
      <c r="W466" s="1">
        <v>0.20982777336762171</v>
      </c>
      <c r="X466" s="1">
        <v>0.20726413609445946</v>
      </c>
      <c r="Y466" s="12">
        <f t="shared" si="34"/>
        <v>1.2368938116693151E-2</v>
      </c>
    </row>
    <row r="467" spans="11:25" x14ac:dyDescent="0.2">
      <c r="K467" s="1">
        <v>7.4111826177369767E-3</v>
      </c>
      <c r="L467" s="1">
        <v>7.4400284930768064E-3</v>
      </c>
      <c r="M467" s="13">
        <f t="shared" si="31"/>
        <v>-2.8845875339829699E-5</v>
      </c>
      <c r="O467" s="1">
        <v>0.75455663587657695</v>
      </c>
      <c r="P467" s="1">
        <v>0.75372998684932546</v>
      </c>
      <c r="Q467">
        <f t="shared" si="32"/>
        <v>8.2664902725149147E-4</v>
      </c>
      <c r="R467" s="11">
        <v>37.91666666666665</v>
      </c>
      <c r="S467" s="1">
        <v>0.15394708474441693</v>
      </c>
      <c r="T467" s="1">
        <v>0.15279335898830759</v>
      </c>
      <c r="U467">
        <f t="shared" si="33"/>
        <v>1.1537257561093361E-3</v>
      </c>
      <c r="W467" s="1">
        <v>0.21022378016317667</v>
      </c>
      <c r="X467" s="1">
        <v>0.20764580150289857</v>
      </c>
      <c r="Y467" s="12">
        <f t="shared" si="34"/>
        <v>1.2415269856742572E-2</v>
      </c>
    </row>
    <row r="468" spans="11:25" x14ac:dyDescent="0.2">
      <c r="K468" s="1">
        <v>7.4098580309012209E-3</v>
      </c>
      <c r="L468" s="1">
        <v>7.4386512476465778E-3</v>
      </c>
      <c r="M468" s="13">
        <f t="shared" si="31"/>
        <v>-2.8793216745356953E-5</v>
      </c>
      <c r="O468" s="1">
        <v>0.75412880749452471</v>
      </c>
      <c r="P468" s="1">
        <v>0.75330232704970357</v>
      </c>
      <c r="Q468">
        <f t="shared" si="32"/>
        <v>8.2648044482114269E-4</v>
      </c>
      <c r="R468" s="11">
        <v>37.999999999999986</v>
      </c>
      <c r="S468" s="1">
        <v>0.15408656179174346</v>
      </c>
      <c r="T468" s="1">
        <v>0.15299964677597042</v>
      </c>
      <c r="U468">
        <f t="shared" si="33"/>
        <v>1.0869150157730434E-3</v>
      </c>
      <c r="W468" s="1">
        <v>0.21054260189620144</v>
      </c>
      <c r="X468" s="1">
        <v>0.20808573661152205</v>
      </c>
      <c r="Y468" s="12">
        <f t="shared" si="34"/>
        <v>1.1806985546857218E-2</v>
      </c>
    </row>
    <row r="469" spans="11:25" x14ac:dyDescent="0.2">
      <c r="K469" s="1">
        <v>7.4086223520842829E-3</v>
      </c>
      <c r="L469" s="1">
        <v>7.4373146919793388E-3</v>
      </c>
      <c r="M469" s="13">
        <f t="shared" si="31"/>
        <v>-2.8692339895055978E-5</v>
      </c>
      <c r="O469" s="1">
        <v>0.75369883053096687</v>
      </c>
      <c r="P469" s="1">
        <v>0.75287391350757815</v>
      </c>
      <c r="Q469">
        <f t="shared" si="32"/>
        <v>8.2491702338871598E-4</v>
      </c>
      <c r="R469" s="11">
        <v>38.083333333333321</v>
      </c>
      <c r="S469" s="1">
        <v>0.15424870328737161</v>
      </c>
      <c r="T469" s="1">
        <v>0.15313680696880941</v>
      </c>
      <c r="U469">
        <f t="shared" si="33"/>
        <v>1.1118963185622055E-3</v>
      </c>
      <c r="W469" s="1">
        <v>0.2109012701142437</v>
      </c>
      <c r="X469" s="1">
        <v>0.20839861753357308</v>
      </c>
      <c r="Y469" s="12">
        <f t="shared" si="34"/>
        <v>1.2008969206657172E-2</v>
      </c>
    </row>
    <row r="470" spans="11:25" x14ac:dyDescent="0.2">
      <c r="K470" s="1">
        <v>7.4074921852201794E-3</v>
      </c>
      <c r="L470" s="1">
        <v>7.4359593517381358E-3</v>
      </c>
      <c r="M470" s="13">
        <f t="shared" si="31"/>
        <v>-2.8467166517956444E-5</v>
      </c>
      <c r="O470" s="1">
        <v>0.75326621379567327</v>
      </c>
      <c r="P470" s="1">
        <v>0.75244645186457115</v>
      </c>
      <c r="Q470">
        <f t="shared" si="32"/>
        <v>8.1976193110211426E-4</v>
      </c>
      <c r="R470" s="11">
        <v>38.166666666666657</v>
      </c>
      <c r="S470" s="1">
        <v>0.15437644011030144</v>
      </c>
      <c r="T470" s="1">
        <v>0.15329071646237394</v>
      </c>
      <c r="U470">
        <f t="shared" si="33"/>
        <v>1.0857236479275001E-3</v>
      </c>
      <c r="W470" s="1">
        <v>0.21119519483444896</v>
      </c>
      <c r="X470" s="1">
        <v>0.20874231841862584</v>
      </c>
      <c r="Y470" s="12">
        <f t="shared" si="34"/>
        <v>1.1750738587198883E-2</v>
      </c>
    </row>
    <row r="471" spans="11:25" x14ac:dyDescent="0.2">
      <c r="K471" s="1">
        <v>7.4064273994903819E-3</v>
      </c>
      <c r="L471" s="1">
        <v>7.4345583727539258E-3</v>
      </c>
      <c r="M471" s="13">
        <f t="shared" si="31"/>
        <v>-2.8130973263543885E-5</v>
      </c>
      <c r="O471" s="1">
        <v>0.75283210037537052</v>
      </c>
      <c r="P471" s="1">
        <v>0.7520207184444373</v>
      </c>
      <c r="Q471">
        <f t="shared" si="32"/>
        <v>8.1138193093321931E-4</v>
      </c>
      <c r="R471" s="11">
        <v>38.249999999999993</v>
      </c>
      <c r="S471" s="1">
        <v>0.15454655267993256</v>
      </c>
      <c r="T471" s="1">
        <v>0.15341634784145219</v>
      </c>
      <c r="U471">
        <f t="shared" si="33"/>
        <v>1.1302048384803642E-3</v>
      </c>
      <c r="W471" s="1">
        <v>0.21156539937807212</v>
      </c>
      <c r="X471" s="1">
        <v>0.20903494634724984</v>
      </c>
      <c r="Y471" s="12">
        <f t="shared" si="34"/>
        <v>1.2105406655874118E-2</v>
      </c>
    </row>
    <row r="472" spans="11:25" x14ac:dyDescent="0.2">
      <c r="K472" s="1">
        <v>7.4055169466260059E-3</v>
      </c>
      <c r="L472" s="1">
        <v>7.4331151027224717E-3</v>
      </c>
      <c r="M472" s="13">
        <f t="shared" si="31"/>
        <v>-2.759815609646582E-5</v>
      </c>
      <c r="O472" s="1">
        <v>0.75239390973968701</v>
      </c>
      <c r="P472" s="1">
        <v>0.75159662250251225</v>
      </c>
      <c r="Q472">
        <f t="shared" si="32"/>
        <v>7.9728723717475969E-4</v>
      </c>
      <c r="R472" s="11">
        <v>38.333333333333329</v>
      </c>
      <c r="S472" s="1">
        <v>0.15467742948613744</v>
      </c>
      <c r="T472" s="1">
        <v>0.15352742572410766</v>
      </c>
      <c r="U472">
        <f t="shared" si="33"/>
        <v>1.1500037620297832E-3</v>
      </c>
      <c r="W472" s="1">
        <v>0.21186115905332545</v>
      </c>
      <c r="X472" s="1">
        <v>0.20930151005428593</v>
      </c>
      <c r="Y472" s="12">
        <f t="shared" si="34"/>
        <v>1.2229481757564109E-2</v>
      </c>
    </row>
    <row r="473" spans="11:25" x14ac:dyDescent="0.2">
      <c r="K473" s="1">
        <v>7.4046712700861009E-3</v>
      </c>
      <c r="L473" s="1">
        <v>7.4316630513561717E-3</v>
      </c>
      <c r="M473" s="13">
        <f t="shared" si="31"/>
        <v>-2.6991781270070854E-5</v>
      </c>
      <c r="O473" s="1">
        <v>0.75195421296672915</v>
      </c>
      <c r="P473" s="1">
        <v>0.75117320037454627</v>
      </c>
      <c r="Q473">
        <f t="shared" si="32"/>
        <v>7.8101259218288366E-4</v>
      </c>
      <c r="R473" s="11">
        <v>38.416666666666664</v>
      </c>
      <c r="S473" s="1">
        <v>0.15482468414815162</v>
      </c>
      <c r="T473" s="1">
        <v>0.15370367541102881</v>
      </c>
      <c r="U473">
        <f t="shared" si="33"/>
        <v>1.1210087371228139E-3</v>
      </c>
      <c r="W473" s="1">
        <v>0.21218565821570579</v>
      </c>
      <c r="X473" s="1">
        <v>0.20968738008622523</v>
      </c>
      <c r="Y473" s="12">
        <f t="shared" si="34"/>
        <v>1.1914298936126944E-2</v>
      </c>
    </row>
    <row r="474" spans="11:25" x14ac:dyDescent="0.2">
      <c r="K474" s="1">
        <v>7.4038690133220869E-3</v>
      </c>
      <c r="L474" s="1">
        <v>7.4301944016750138E-3</v>
      </c>
      <c r="M474" s="13">
        <f t="shared" si="31"/>
        <v>-2.632538835292686E-5</v>
      </c>
      <c r="O474" s="1">
        <v>0.75151362007778333</v>
      </c>
      <c r="P474" s="1">
        <v>0.75075067926945016</v>
      </c>
      <c r="Q474">
        <f t="shared" si="32"/>
        <v>7.6294080833316791E-4</v>
      </c>
      <c r="R474" s="11">
        <v>38.5</v>
      </c>
      <c r="S474" s="1">
        <v>0.15497185574441363</v>
      </c>
      <c r="T474" s="1">
        <v>0.153920953718922</v>
      </c>
      <c r="U474">
        <f t="shared" si="33"/>
        <v>1.050902025491629E-3</v>
      </c>
      <c r="W474" s="1">
        <v>0.21250913587691192</v>
      </c>
      <c r="X474" s="1">
        <v>0.21014859188069512</v>
      </c>
      <c r="Y474" s="12">
        <f t="shared" si="34"/>
        <v>1.1232737631460932E-2</v>
      </c>
    </row>
    <row r="475" spans="11:25" x14ac:dyDescent="0.2">
      <c r="K475" s="1">
        <v>7.403123540322667E-3</v>
      </c>
      <c r="L475" s="1">
        <v>7.4285961567942113E-3</v>
      </c>
      <c r="M475" s="13">
        <f t="shared" si="31"/>
        <v>-2.5472616471544293E-5</v>
      </c>
      <c r="O475" s="1">
        <v>0.75107173668711835</v>
      </c>
      <c r="P475" s="1">
        <v>0.75033233940304456</v>
      </c>
      <c r="Q475">
        <f t="shared" si="32"/>
        <v>7.3939728407379501E-4</v>
      </c>
      <c r="R475" s="11">
        <v>38.583333333333336</v>
      </c>
      <c r="S475" s="1">
        <v>0.15507766968507597</v>
      </c>
      <c r="T475" s="1">
        <v>0.15410815836631733</v>
      </c>
      <c r="U475">
        <f t="shared" si="33"/>
        <v>9.6951131875863683E-4</v>
      </c>
      <c r="W475" s="1">
        <v>0.2127557717491648</v>
      </c>
      <c r="X475" s="1">
        <v>0.2105568511419231</v>
      </c>
      <c r="Y475" s="12">
        <f t="shared" si="34"/>
        <v>1.0443358149194282E-2</v>
      </c>
    </row>
    <row r="476" spans="11:25" x14ac:dyDescent="0.2">
      <c r="K476" s="1">
        <v>7.4024002066030636E-3</v>
      </c>
      <c r="L476" s="1">
        <v>7.4268973699397559E-3</v>
      </c>
      <c r="M476" s="13">
        <f t="shared" si="31"/>
        <v>-2.4497163336692322E-5</v>
      </c>
      <c r="O476" s="1">
        <v>0.75062956241921952</v>
      </c>
      <c r="P476" s="1">
        <v>0.74991735407886162</v>
      </c>
      <c r="Q476">
        <f t="shared" si="32"/>
        <v>7.1220834035790048E-4</v>
      </c>
      <c r="R476" s="11">
        <v>38.666666666666671</v>
      </c>
      <c r="S476" s="1">
        <v>0.15519050675064244</v>
      </c>
      <c r="T476" s="1">
        <v>0.15429930762794389</v>
      </c>
      <c r="U476">
        <f t="shared" si="33"/>
        <v>8.9119912269855495E-4</v>
      </c>
      <c r="W476" s="1">
        <v>0.2130146993006479</v>
      </c>
      <c r="X476" s="1">
        <v>0.21097396847094091</v>
      </c>
      <c r="Y476" s="12">
        <f t="shared" si="34"/>
        <v>9.6729034605427255E-3</v>
      </c>
    </row>
    <row r="477" spans="11:25" x14ac:dyDescent="0.2">
      <c r="K477" s="1">
        <v>7.4017293132270165E-3</v>
      </c>
      <c r="L477" s="1">
        <v>7.4251346182111011E-3</v>
      </c>
      <c r="M477" s="13">
        <f t="shared" si="31"/>
        <v>-2.3405304984084642E-5</v>
      </c>
      <c r="O477" s="1">
        <v>0.75018621120368156</v>
      </c>
      <c r="P477" s="1">
        <v>0.7495046722218951</v>
      </c>
      <c r="Q477">
        <f t="shared" si="32"/>
        <v>6.8153898178646699E-4</v>
      </c>
      <c r="R477" s="11">
        <v>38.750000000000007</v>
      </c>
      <c r="S477" s="1">
        <v>0.15534135726206927</v>
      </c>
      <c r="T477" s="1">
        <v>0.15448419188497231</v>
      </c>
      <c r="U477">
        <f t="shared" si="33"/>
        <v>8.5716537709695784E-4</v>
      </c>
      <c r="W477" s="1">
        <v>0.21334221785156701</v>
      </c>
      <c r="X477" s="1">
        <v>0.21138064047883254</v>
      </c>
      <c r="Y477" s="12">
        <f t="shared" si="34"/>
        <v>9.279834559546174E-3</v>
      </c>
    </row>
    <row r="478" spans="11:25" x14ac:dyDescent="0.2">
      <c r="K478" s="1">
        <v>7.4010224535061286E-3</v>
      </c>
      <c r="L478" s="1">
        <v>7.4232812752082263E-3</v>
      </c>
      <c r="M478" s="13">
        <f t="shared" si="31"/>
        <v>-2.2258821702097684E-5</v>
      </c>
      <c r="O478" s="1">
        <v>0.74974425509067955</v>
      </c>
      <c r="P478" s="1">
        <v>0.74909507848019052</v>
      </c>
      <c r="Q478">
        <f t="shared" si="32"/>
        <v>6.4917661048902175E-4</v>
      </c>
      <c r="R478" s="11">
        <v>38.833333333333343</v>
      </c>
      <c r="S478" s="1">
        <v>0.15550658178315388</v>
      </c>
      <c r="T478" s="1">
        <v>0.15471282281356438</v>
      </c>
      <c r="U478">
        <f t="shared" si="33"/>
        <v>7.9375896958949754E-4</v>
      </c>
      <c r="W478" s="1">
        <v>0.21369653117772486</v>
      </c>
      <c r="X478" s="1">
        <v>0.2118689937114219</v>
      </c>
      <c r="Y478" s="12">
        <f t="shared" si="34"/>
        <v>8.6257900898523143E-3</v>
      </c>
    </row>
    <row r="479" spans="11:25" x14ac:dyDescent="0.2">
      <c r="K479" s="1">
        <v>7.4002688833137492E-3</v>
      </c>
      <c r="L479" s="1">
        <v>7.4214800326734345E-3</v>
      </c>
      <c r="M479" s="13">
        <f t="shared" si="31"/>
        <v>-2.1211149359685356E-5</v>
      </c>
      <c r="O479" s="1">
        <v>0.74930401263410717</v>
      </c>
      <c r="P479" s="1">
        <v>0.74868441857054979</v>
      </c>
      <c r="Q479">
        <f t="shared" si="32"/>
        <v>6.1959406355738267E-4</v>
      </c>
      <c r="R479" s="11">
        <v>38.916666666666679</v>
      </c>
      <c r="S479" s="1">
        <v>0.15566543097686461</v>
      </c>
      <c r="T479" s="1">
        <v>0.15488987778202773</v>
      </c>
      <c r="U479">
        <f t="shared" si="33"/>
        <v>7.7555319483688101E-4</v>
      </c>
      <c r="W479" s="1">
        <v>0.2140397978524953</v>
      </c>
      <c r="X479" s="1">
        <v>0.21226191643595835</v>
      </c>
      <c r="Y479" s="12">
        <f t="shared" si="34"/>
        <v>8.3758850687347675E-3</v>
      </c>
    </row>
    <row r="480" spans="11:25" x14ac:dyDescent="0.2">
      <c r="K480" s="1">
        <v>7.3995036965114318E-3</v>
      </c>
      <c r="L480" s="1">
        <v>7.4196355206760153E-3</v>
      </c>
      <c r="M480" s="13">
        <f t="shared" si="31"/>
        <v>-2.0131824164583423E-5</v>
      </c>
      <c r="O480" s="1">
        <v>0.74886446273343499</v>
      </c>
      <c r="P480" s="1">
        <v>0.74827547384382387</v>
      </c>
      <c r="Q480">
        <f t="shared" si="32"/>
        <v>5.889888896111195E-4</v>
      </c>
      <c r="R480" s="11">
        <v>39.000000000000014</v>
      </c>
      <c r="S480" s="1">
        <v>0.15584814445299572</v>
      </c>
      <c r="T480" s="1">
        <v>0.15507294886729747</v>
      </c>
      <c r="U480">
        <f t="shared" si="33"/>
        <v>7.751955856982462E-4</v>
      </c>
      <c r="W480" s="1">
        <v>0.21442688701260801</v>
      </c>
      <c r="X480" s="1">
        <v>0.21266656141905932</v>
      </c>
      <c r="Y480" s="12">
        <f t="shared" si="34"/>
        <v>8.2773971695528914E-3</v>
      </c>
    </row>
    <row r="481" spans="11:25" x14ac:dyDescent="0.2">
      <c r="K481" s="1">
        <v>7.3987795540608877E-3</v>
      </c>
      <c r="L481" s="1">
        <v>7.4178090584901945E-3</v>
      </c>
      <c r="M481" s="13">
        <f t="shared" si="31"/>
        <v>-1.9029504429306753E-5</v>
      </c>
      <c r="O481" s="1">
        <v>0.74842406297967123</v>
      </c>
      <c r="P481" s="1">
        <v>0.74786645369311577</v>
      </c>
      <c r="Q481">
        <f t="shared" si="32"/>
        <v>5.5760928655546049E-4</v>
      </c>
      <c r="R481" s="11">
        <v>39.08333333333335</v>
      </c>
      <c r="S481" s="1">
        <v>0.15597438744073458</v>
      </c>
      <c r="T481" s="1">
        <v>0.15530112350479836</v>
      </c>
      <c r="U481">
        <f t="shared" si="33"/>
        <v>6.7326393593622469E-4</v>
      </c>
      <c r="W481" s="1">
        <v>0.21470955554850196</v>
      </c>
      <c r="X481" s="1">
        <v>0.21315363149236746</v>
      </c>
      <c r="Y481" s="12">
        <f t="shared" si="34"/>
        <v>7.2995428003779228E-3</v>
      </c>
    </row>
    <row r="482" spans="11:25" x14ac:dyDescent="0.2">
      <c r="K482" s="1">
        <v>7.3980859256051607E-3</v>
      </c>
      <c r="L482" s="1">
        <v>7.4160964836139653E-3</v>
      </c>
      <c r="M482" s="13">
        <f t="shared" si="31"/>
        <v>-1.8010558008804689E-5</v>
      </c>
      <c r="O482" s="1">
        <v>0.74798311665443018</v>
      </c>
      <c r="P482" s="1">
        <v>0.74745454346694107</v>
      </c>
      <c r="Q482">
        <f t="shared" si="32"/>
        <v>5.2857318748911197E-4</v>
      </c>
      <c r="R482" s="11">
        <v>39.166666666666686</v>
      </c>
      <c r="S482" s="1">
        <v>0.15609531457422635</v>
      </c>
      <c r="T482" s="1">
        <v>0.15544920920512212</v>
      </c>
      <c r="U482">
        <f t="shared" si="33"/>
        <v>6.4610536910422733E-4</v>
      </c>
      <c r="W482" s="1">
        <v>0.21498176781260345</v>
      </c>
      <c r="X482" s="1">
        <v>0.21349180212789851</v>
      </c>
      <c r="Y482" s="12">
        <f t="shared" si="34"/>
        <v>6.9790299667447098E-3</v>
      </c>
    </row>
    <row r="483" spans="11:25" x14ac:dyDescent="0.2">
      <c r="K483" s="1">
        <v>7.3973002760581719E-3</v>
      </c>
      <c r="L483" s="1">
        <v>7.4145204139289874E-3</v>
      </c>
      <c r="M483" s="13">
        <f t="shared" si="31"/>
        <v>-1.7220137870815541E-5</v>
      </c>
      <c r="O483" s="1">
        <v>0.74754522227164855</v>
      </c>
      <c r="P483" s="1">
        <v>0.74703906232467354</v>
      </c>
      <c r="Q483">
        <f t="shared" si="32"/>
        <v>5.0615994697500444E-4</v>
      </c>
      <c r="R483" s="11">
        <v>39.250000000000021</v>
      </c>
      <c r="S483" s="1">
        <v>0.15619928545804451</v>
      </c>
      <c r="T483" s="1">
        <v>0.15554192191544125</v>
      </c>
      <c r="U483">
        <f t="shared" si="33"/>
        <v>6.5736354260326202E-4</v>
      </c>
      <c r="W483" s="1">
        <v>0.2152242174886716</v>
      </c>
      <c r="X483" s="1">
        <v>0.21372591728315923</v>
      </c>
      <c r="Y483" s="12">
        <f t="shared" si="34"/>
        <v>7.0103814481576876E-3</v>
      </c>
    </row>
    <row r="484" spans="11:25" x14ac:dyDescent="0.2">
      <c r="K484" s="1">
        <v>7.3965343211923771E-3</v>
      </c>
      <c r="L484" s="1">
        <v>7.4129564311417751E-3</v>
      </c>
      <c r="M484" s="13">
        <f t="shared" si="31"/>
        <v>-1.6422109949397988E-5</v>
      </c>
      <c r="O484" s="1">
        <v>0.74710710209589049</v>
      </c>
      <c r="P484" s="1">
        <v>0.74662365254380514</v>
      </c>
      <c r="Q484">
        <f t="shared" si="32"/>
        <v>4.8344955208534657E-4</v>
      </c>
      <c r="R484" s="11">
        <v>39.333333333333357</v>
      </c>
      <c r="S484" s="1">
        <v>0.15630717975574185</v>
      </c>
      <c r="T484" s="1">
        <v>0.15573477861682547</v>
      </c>
      <c r="U484">
        <f t="shared" si="33"/>
        <v>5.7240113891637856E-4</v>
      </c>
      <c r="W484" s="1">
        <v>0.21547333260764262</v>
      </c>
      <c r="X484" s="1">
        <v>0.21414359739542993</v>
      </c>
      <c r="Y484" s="12">
        <f t="shared" si="34"/>
        <v>6.2095492388560825E-3</v>
      </c>
    </row>
    <row r="485" spans="11:25" x14ac:dyDescent="0.2">
      <c r="K485" s="1">
        <v>7.395698902903044E-3</v>
      </c>
      <c r="L485" s="1">
        <v>7.4113751862979376E-3</v>
      </c>
      <c r="M485" s="13">
        <f t="shared" si="31"/>
        <v>-1.5676283394893548E-5</v>
      </c>
      <c r="O485" s="1">
        <v>0.74667138273014022</v>
      </c>
      <c r="P485" s="1">
        <v>0.74620917707498657</v>
      </c>
      <c r="Q485">
        <f t="shared" si="32"/>
        <v>4.6220565515364687E-4</v>
      </c>
      <c r="R485" s="11">
        <v>39.416666666666693</v>
      </c>
      <c r="S485" s="1">
        <v>0.15647769921236601</v>
      </c>
      <c r="T485" s="1">
        <v>0.15587370540503487</v>
      </c>
      <c r="U485">
        <f t="shared" si="33"/>
        <v>6.039938073311435E-4</v>
      </c>
      <c r="W485" s="1">
        <v>0.21583847344958271</v>
      </c>
      <c r="X485" s="1">
        <v>0.21446244787005253</v>
      </c>
      <c r="Y485" s="12">
        <f t="shared" si="34"/>
        <v>6.4161609325841251E-3</v>
      </c>
    </row>
    <row r="486" spans="11:25" x14ac:dyDescent="0.2">
      <c r="K486" s="1">
        <v>7.3948451729675584E-3</v>
      </c>
      <c r="L486" s="1">
        <v>7.4097697151272578E-3</v>
      </c>
      <c r="M486" s="13">
        <f t="shared" si="31"/>
        <v>-1.492454215969944E-5</v>
      </c>
      <c r="O486" s="1">
        <v>0.74623656228183732</v>
      </c>
      <c r="P486" s="1">
        <v>0.7457958434297477</v>
      </c>
      <c r="Q486">
        <f t="shared" si="32"/>
        <v>4.4071885208962769E-4</v>
      </c>
      <c r="R486" s="11">
        <v>39.500000000000028</v>
      </c>
      <c r="S486" s="1">
        <v>0.1565574333099416</v>
      </c>
      <c r="T486" s="1">
        <v>0.15602817859577531</v>
      </c>
      <c r="U486">
        <f t="shared" si="33"/>
        <v>5.2925471416628844E-4</v>
      </c>
      <c r="W486" s="1">
        <v>0.21603697324864435</v>
      </c>
      <c r="X486" s="1">
        <v>0.21481017626406551</v>
      </c>
      <c r="Y486" s="12">
        <f t="shared" si="34"/>
        <v>5.7110748006217182E-3</v>
      </c>
    </row>
    <row r="487" spans="11:25" x14ac:dyDescent="0.2">
      <c r="K487" s="1">
        <v>7.3940518169805956E-3</v>
      </c>
      <c r="L487" s="1">
        <v>7.408171920910523E-3</v>
      </c>
      <c r="M487" s="13">
        <f t="shared" si="31"/>
        <v>-1.4120103929927443E-5</v>
      </c>
      <c r="O487" s="1">
        <v>0.74580031509846811</v>
      </c>
      <c r="P487" s="1">
        <v>0.74538271119973942</v>
      </c>
      <c r="Q487">
        <f t="shared" si="32"/>
        <v>4.1760389872869119E-4</v>
      </c>
      <c r="R487" s="11">
        <v>39.583333333333364</v>
      </c>
      <c r="S487" s="1">
        <v>0.15668057046926939</v>
      </c>
      <c r="T487" s="1">
        <v>0.15622372120680222</v>
      </c>
      <c r="U487">
        <f t="shared" si="33"/>
        <v>4.5684926246716828E-4</v>
      </c>
      <c r="W487" s="1">
        <v>0.21631399543968297</v>
      </c>
      <c r="X487" s="1">
        <v>0.21523318293831858</v>
      </c>
      <c r="Y487" s="12">
        <f t="shared" si="34"/>
        <v>5.0215886166313783E-3</v>
      </c>
    </row>
    <row r="488" spans="11:25" x14ac:dyDescent="0.2">
      <c r="K488" s="1">
        <v>7.3932995902527901E-3</v>
      </c>
      <c r="L488" s="1">
        <v>7.4065497936120694E-3</v>
      </c>
      <c r="M488" s="13">
        <f t="shared" si="31"/>
        <v>-1.325020335927931E-5</v>
      </c>
      <c r="O488" s="1">
        <v>0.74536320291377478</v>
      </c>
      <c r="P488" s="1">
        <v>0.7449707267734712</v>
      </c>
      <c r="Q488">
        <f t="shared" si="32"/>
        <v>3.9247614030357703E-4</v>
      </c>
      <c r="R488" s="11">
        <v>39.6666666666667</v>
      </c>
      <c r="S488" s="1">
        <v>0.15680441005088128</v>
      </c>
      <c r="T488" s="1">
        <v>0.15636126030170497</v>
      </c>
      <c r="U488">
        <f t="shared" si="33"/>
        <v>4.4314974917630812E-4</v>
      </c>
      <c r="W488" s="1">
        <v>0.21659142171637613</v>
      </c>
      <c r="X488" s="1">
        <v>0.21554990920508244</v>
      </c>
      <c r="Y488" s="12">
        <f t="shared" si="34"/>
        <v>4.8318856414026889E-3</v>
      </c>
    </row>
    <row r="489" spans="11:25" x14ac:dyDescent="0.2">
      <c r="K489" s="1">
        <v>7.3925113142262154E-3</v>
      </c>
      <c r="L489" s="1">
        <v>7.4049132015788707E-3</v>
      </c>
      <c r="M489" s="13">
        <f t="shared" si="31"/>
        <v>-1.2401887352655322E-5</v>
      </c>
      <c r="O489" s="1">
        <v>0.74492751000010238</v>
      </c>
      <c r="P489" s="1">
        <v>0.74455960035141466</v>
      </c>
      <c r="Q489">
        <f t="shared" si="32"/>
        <v>3.6790964868771425E-4</v>
      </c>
      <c r="R489" s="11">
        <v>39.750000000000036</v>
      </c>
      <c r="S489" s="1">
        <v>0.15699970527151888</v>
      </c>
      <c r="T489" s="1">
        <v>0.15654743212933914</v>
      </c>
      <c r="U489">
        <f t="shared" si="33"/>
        <v>4.5227314217974324E-4</v>
      </c>
      <c r="W489" s="1">
        <v>0.21700070187176584</v>
      </c>
      <c r="X489" s="1">
        <v>0.21595622772283496</v>
      </c>
      <c r="Y489" s="12">
        <f t="shared" si="34"/>
        <v>4.836508582986454E-3</v>
      </c>
    </row>
    <row r="490" spans="11:25" x14ac:dyDescent="0.2">
      <c r="K490" s="1">
        <v>7.3916882435514815E-3</v>
      </c>
      <c r="L490" s="1">
        <v>7.403245023468577E-3</v>
      </c>
      <c r="M490" s="13">
        <f t="shared" si="31"/>
        <v>-1.1556779917095555E-5</v>
      </c>
      <c r="O490" s="1">
        <v>0.74449320359200466</v>
      </c>
      <c r="P490" s="1">
        <v>0.74414984202702927</v>
      </c>
      <c r="Q490">
        <f t="shared" si="32"/>
        <v>3.4336156497538628E-4</v>
      </c>
      <c r="R490" s="11">
        <v>39.833333333333371</v>
      </c>
      <c r="S490" s="1">
        <v>0.1571805916805232</v>
      </c>
      <c r="T490" s="1">
        <v>0.15677092012315105</v>
      </c>
      <c r="U490">
        <f t="shared" si="33"/>
        <v>4.0967155737214878E-4</v>
      </c>
      <c r="W490" s="1">
        <v>0.21738395878944597</v>
      </c>
      <c r="X490" s="1">
        <v>0.21643168428345302</v>
      </c>
      <c r="Y490" s="12">
        <f t="shared" si="34"/>
        <v>4.3998849297213205E-3</v>
      </c>
    </row>
    <row r="491" spans="11:25" x14ac:dyDescent="0.2">
      <c r="K491" s="1">
        <v>7.39086955614102E-3</v>
      </c>
      <c r="L491" s="1">
        <v>7.4015828299194269E-3</v>
      </c>
      <c r="M491" s="13">
        <f t="shared" si="31"/>
        <v>-1.0713273778406932E-5</v>
      </c>
      <c r="O491" s="1">
        <v>0.74405912200507529</v>
      </c>
      <c r="P491" s="1">
        <v>0.74374033795111616</v>
      </c>
      <c r="Q491">
        <f t="shared" si="32"/>
        <v>3.1878405395913134E-4</v>
      </c>
      <c r="R491" s="11">
        <v>39.916666666666707</v>
      </c>
      <c r="S491" s="1">
        <v>0.15725675343036283</v>
      </c>
      <c r="T491" s="1">
        <v>0.1569687953910246</v>
      </c>
      <c r="U491">
        <f t="shared" si="33"/>
        <v>2.8795803933823194E-4</v>
      </c>
      <c r="W491" s="1">
        <v>0.21757431268337246</v>
      </c>
      <c r="X491" s="1">
        <v>0.21685988938870496</v>
      </c>
      <c r="Y491" s="12">
        <f t="shared" si="34"/>
        <v>3.2944003461468085E-3</v>
      </c>
    </row>
    <row r="492" spans="11:25" x14ac:dyDescent="0.2">
      <c r="K492" s="1">
        <v>7.3901012756757006E-3</v>
      </c>
      <c r="L492" s="1">
        <v>7.3998391387425991E-3</v>
      </c>
      <c r="M492" s="13">
        <f t="shared" si="31"/>
        <v>-9.7378630668984445E-6</v>
      </c>
      <c r="O492" s="1">
        <v>0.74362389250082728</v>
      </c>
      <c r="P492" s="1">
        <v>0.74333369339280075</v>
      </c>
      <c r="Q492">
        <f t="shared" si="32"/>
        <v>2.9019910802652316E-4</v>
      </c>
      <c r="R492" s="11">
        <v>40.000000000000043</v>
      </c>
      <c r="S492" s="1">
        <v>0.1573601291267876</v>
      </c>
      <c r="T492" s="1">
        <v>0.15718524351394869</v>
      </c>
      <c r="U492">
        <f t="shared" si="33"/>
        <v>1.7488561283890425E-4</v>
      </c>
      <c r="W492" s="1">
        <v>0.21781365422490689</v>
      </c>
      <c r="X492" s="1">
        <v>0.21732364030283893</v>
      </c>
      <c r="Y492" s="12">
        <f t="shared" si="34"/>
        <v>2.2547658477702903E-3</v>
      </c>
    </row>
    <row r="493" spans="11:25" x14ac:dyDescent="0.2">
      <c r="K493" s="1">
        <v>7.389272139054933E-3</v>
      </c>
      <c r="L493" s="1">
        <v>7.3981767968641001E-3</v>
      </c>
      <c r="M493" s="13">
        <f t="shared" si="31"/>
        <v>-8.9046578091670631E-6</v>
      </c>
      <c r="O493" s="1">
        <v>0.74319082938759773</v>
      </c>
      <c r="P493" s="1">
        <v>0.74292505954186272</v>
      </c>
      <c r="Q493">
        <f t="shared" si="32"/>
        <v>2.6576984573500884E-4</v>
      </c>
      <c r="R493" s="11">
        <v>40.083333333333378</v>
      </c>
      <c r="S493" s="1">
        <v>0.15749531667569672</v>
      </c>
      <c r="T493" s="1">
        <v>0.15734720926033252</v>
      </c>
      <c r="U493">
        <f t="shared" si="33"/>
        <v>1.4810741536419592E-4</v>
      </c>
      <c r="W493" s="1">
        <v>0.21811241573167872</v>
      </c>
      <c r="X493" s="1">
        <v>0.21768566377208284</v>
      </c>
      <c r="Y493" s="12">
        <f t="shared" si="34"/>
        <v>1.9604045218277744E-3</v>
      </c>
    </row>
    <row r="494" spans="11:25" x14ac:dyDescent="0.2">
      <c r="K494" s="1">
        <v>7.388376403174142E-3</v>
      </c>
      <c r="L494" s="1">
        <v>7.3965398965142037E-3</v>
      </c>
      <c r="M494" s="13">
        <f t="shared" si="31"/>
        <v>-8.1634933400617782E-6</v>
      </c>
      <c r="O494" s="1">
        <v>0.74276011217309656</v>
      </c>
      <c r="P494" s="1">
        <v>0.74251609569636623</v>
      </c>
      <c r="Q494">
        <f t="shared" si="32"/>
        <v>2.4401647673033544E-4</v>
      </c>
      <c r="R494" s="11">
        <v>40.166666666666714</v>
      </c>
      <c r="S494" s="1">
        <v>0.15768957230450198</v>
      </c>
      <c r="T494" s="1">
        <v>0.15752048960298912</v>
      </c>
      <c r="U494">
        <f t="shared" si="33"/>
        <v>1.6908270151286264E-4</v>
      </c>
      <c r="W494" s="1">
        <v>0.2185209464021621</v>
      </c>
      <c r="X494" s="1">
        <v>0.21806800235428722</v>
      </c>
      <c r="Y494" s="12">
        <f t="shared" si="34"/>
        <v>2.077077072219824E-3</v>
      </c>
    </row>
    <row r="495" spans="11:25" x14ac:dyDescent="0.2">
      <c r="K495" s="1">
        <v>7.3875111275798471E-3</v>
      </c>
      <c r="L495" s="1">
        <v>7.3949258165409825E-3</v>
      </c>
      <c r="M495" s="13">
        <f t="shared" si="31"/>
        <v>-7.4146889611353961E-6</v>
      </c>
      <c r="O495" s="1">
        <v>0.74232884340349703</v>
      </c>
      <c r="P495" s="1">
        <v>0.74210687638406003</v>
      </c>
      <c r="Q495">
        <f t="shared" si="32"/>
        <v>2.2196701943699715E-4</v>
      </c>
      <c r="R495" s="11">
        <v>40.25000000000005</v>
      </c>
      <c r="S495" s="1">
        <v>0.15786746498951149</v>
      </c>
      <c r="T495" s="1">
        <v>0.15763402116443057</v>
      </c>
      <c r="U495">
        <f t="shared" si="33"/>
        <v>2.334438250809201E-4</v>
      </c>
      <c r="W495" s="1">
        <v>0.21889869305050683</v>
      </c>
      <c r="X495" s="1">
        <v>0.21833981859990853</v>
      </c>
      <c r="Y495" s="12">
        <f t="shared" si="34"/>
        <v>2.5596542773647091E-3</v>
      </c>
    </row>
    <row r="496" spans="11:25" x14ac:dyDescent="0.2">
      <c r="K496" s="1">
        <v>7.3867088920971831E-3</v>
      </c>
      <c r="L496" s="1">
        <v>7.3933202751218473E-3</v>
      </c>
      <c r="M496" s="13">
        <f t="shared" si="31"/>
        <v>-6.6113830246641858E-6</v>
      </c>
      <c r="O496" s="1">
        <v>0.74189604177453428</v>
      </c>
      <c r="P496" s="1">
        <v>0.74169782616957614</v>
      </c>
      <c r="Q496">
        <f t="shared" si="32"/>
        <v>1.9821560495814072E-4</v>
      </c>
      <c r="R496" s="11">
        <v>40.333333333333385</v>
      </c>
      <c r="S496" s="1">
        <v>0.1579806915606794</v>
      </c>
      <c r="T496" s="1">
        <v>0.15772971327304897</v>
      </c>
      <c r="U496">
        <f t="shared" si="33"/>
        <v>2.5097828763043228E-4</v>
      </c>
      <c r="W496" s="1">
        <v>0.21915606550346384</v>
      </c>
      <c r="X496" s="1">
        <v>0.21857848017228826</v>
      </c>
      <c r="Y496" s="12">
        <f t="shared" si="34"/>
        <v>2.6424620151093148E-3</v>
      </c>
    </row>
    <row r="497" spans="11:25" x14ac:dyDescent="0.2">
      <c r="K497" s="1">
        <v>7.3860031410820917E-3</v>
      </c>
      <c r="L497" s="1">
        <v>7.391712437741324E-3</v>
      </c>
      <c r="M497" s="13">
        <f t="shared" si="31"/>
        <v>-5.7092966592323449E-6</v>
      </c>
      <c r="O497" s="1">
        <v>0.74146069426793026</v>
      </c>
      <c r="P497" s="1">
        <v>0.74128926871563872</v>
      </c>
      <c r="Q497">
        <f t="shared" si="32"/>
        <v>1.7142555229154866E-4</v>
      </c>
      <c r="R497" s="11">
        <v>40.416666666666721</v>
      </c>
      <c r="S497" s="1">
        <v>0.15811868462783524</v>
      </c>
      <c r="T497" s="1">
        <v>0.15786531912518431</v>
      </c>
      <c r="U497">
        <f t="shared" si="33"/>
        <v>2.5336550265092628E-4</v>
      </c>
      <c r="W497" s="1">
        <v>0.21945720341541988</v>
      </c>
      <c r="X497" s="1">
        <v>0.21889059328615396</v>
      </c>
      <c r="Y497" s="12">
        <f t="shared" si="34"/>
        <v>2.5885540386159089E-3</v>
      </c>
    </row>
    <row r="498" spans="11:25" x14ac:dyDescent="0.2">
      <c r="K498" s="1">
        <v>7.3852393155051082E-3</v>
      </c>
      <c r="L498" s="1">
        <v>7.3900375274483371E-3</v>
      </c>
      <c r="M498" s="13">
        <f t="shared" si="31"/>
        <v>-4.7982119432288944E-6</v>
      </c>
      <c r="O498" s="1">
        <v>0.74102743588356557</v>
      </c>
      <c r="P498" s="1">
        <v>0.74088315156045059</v>
      </c>
      <c r="Q498">
        <f t="shared" si="32"/>
        <v>1.4428432311497374E-4</v>
      </c>
      <c r="R498" s="11">
        <v>40.500000000000057</v>
      </c>
      <c r="S498" s="1">
        <v>0.15830315203092538</v>
      </c>
      <c r="T498" s="1">
        <v>0.15799041395697536</v>
      </c>
      <c r="U498">
        <f t="shared" si="33"/>
        <v>3.1273807395001962E-4</v>
      </c>
      <c r="W498" s="1">
        <v>0.2198448508298543</v>
      </c>
      <c r="X498" s="1">
        <v>0.21918438820372804</v>
      </c>
      <c r="Y498" s="12">
        <f t="shared" si="34"/>
        <v>3.0132740362529553E-3</v>
      </c>
    </row>
    <row r="499" spans="11:25" x14ac:dyDescent="0.2">
      <c r="K499" s="1">
        <v>7.3846033847199018E-3</v>
      </c>
      <c r="L499" s="1">
        <v>7.3883189382387884E-3</v>
      </c>
      <c r="M499" s="13">
        <f t="shared" si="31"/>
        <v>-3.7155535188865968E-6</v>
      </c>
      <c r="O499" s="1">
        <v>0.74059067308354998</v>
      </c>
      <c r="P499" s="1">
        <v>0.74047877889654445</v>
      </c>
      <c r="Q499">
        <f t="shared" si="32"/>
        <v>1.1189418700552345E-4</v>
      </c>
      <c r="R499" s="11">
        <v>40.583333333333393</v>
      </c>
      <c r="S499" s="1">
        <v>0.15851682191344252</v>
      </c>
      <c r="T499" s="1">
        <v>0.15810250794528768</v>
      </c>
      <c r="U499">
        <f t="shared" si="33"/>
        <v>4.1431396815483357E-4</v>
      </c>
      <c r="W499" s="1">
        <v>0.22028395889502253</v>
      </c>
      <c r="X499" s="1">
        <v>0.21945485360980707</v>
      </c>
      <c r="Y499" s="12">
        <f t="shared" si="34"/>
        <v>3.7780220923691044E-3</v>
      </c>
    </row>
    <row r="500" spans="11:25" x14ac:dyDescent="0.2">
      <c r="K500" s="1">
        <v>7.3840813821744403E-3</v>
      </c>
      <c r="L500" s="1">
        <v>7.3865502391798465E-3</v>
      </c>
      <c r="M500" s="13">
        <f t="shared" si="31"/>
        <v>-2.4688570054061387E-6</v>
      </c>
      <c r="O500" s="1">
        <v>0.74015080994586835</v>
      </c>
      <c r="P500" s="1">
        <v>0.74007635013610829</v>
      </c>
      <c r="Q500">
        <f t="shared" si="32"/>
        <v>7.44598097600635E-5</v>
      </c>
      <c r="R500" s="11">
        <v>40.666666666666728</v>
      </c>
      <c r="S500" s="1">
        <v>0.1586763489871067</v>
      </c>
      <c r="T500" s="1">
        <v>0.15831311887512728</v>
      </c>
      <c r="U500">
        <f t="shared" si="33"/>
        <v>3.632301119794179E-4</v>
      </c>
      <c r="W500" s="1">
        <v>0.22062109591129228</v>
      </c>
      <c r="X500" s="1">
        <v>0.21990780380574865</v>
      </c>
      <c r="Y500" s="12">
        <f t="shared" si="34"/>
        <v>3.2435961489283294E-3</v>
      </c>
    </row>
    <row r="501" spans="11:25" x14ac:dyDescent="0.2">
      <c r="K501" s="1">
        <v>7.3834793191622904E-3</v>
      </c>
      <c r="L501" s="1">
        <v>7.3849362811013539E-3</v>
      </c>
      <c r="M501" s="13">
        <f t="shared" si="31"/>
        <v>-1.4569619390635002E-6</v>
      </c>
      <c r="O501" s="1">
        <v>0.73971369063423653</v>
      </c>
      <c r="P501" s="1">
        <v>0.73966968444330461</v>
      </c>
      <c r="Q501">
        <f t="shared" si="32"/>
        <v>4.4006190931922262E-5</v>
      </c>
      <c r="R501" s="11">
        <v>40.750000000000064</v>
      </c>
      <c r="S501" s="1">
        <v>0.1588404886891428</v>
      </c>
      <c r="T501" s="1">
        <v>0.1584550326748137</v>
      </c>
      <c r="U501">
        <f t="shared" si="33"/>
        <v>3.8545601432909971E-4</v>
      </c>
      <c r="W501" s="1">
        <v>0.22096797565777879</v>
      </c>
      <c r="X501" s="1">
        <v>0.22023124751215864</v>
      </c>
      <c r="Y501" s="12">
        <f t="shared" si="34"/>
        <v>3.3452480242590621E-3</v>
      </c>
    </row>
    <row r="502" spans="11:25" x14ac:dyDescent="0.2">
      <c r="K502" s="1">
        <v>7.3828778378076075E-3</v>
      </c>
      <c r="L502" s="1">
        <v>7.3834062991112691E-3</v>
      </c>
      <c r="M502" s="13">
        <f t="shared" si="31"/>
        <v>-5.2846130366157595E-7</v>
      </c>
      <c r="O502" s="1">
        <v>0.73927688606461284</v>
      </c>
      <c r="P502" s="1">
        <v>0.73926090094573171</v>
      </c>
      <c r="Q502">
        <f t="shared" si="32"/>
        <v>1.5985118881123306E-5</v>
      </c>
      <c r="R502" s="11">
        <v>40.8333333333334</v>
      </c>
      <c r="S502" s="1">
        <v>0.15896004117240572</v>
      </c>
      <c r="T502" s="1">
        <v>0.15864611865975459</v>
      </c>
      <c r="U502">
        <f t="shared" si="33"/>
        <v>3.1392251265113802E-4</v>
      </c>
      <c r="W502" s="1">
        <v>0.22123242181007863</v>
      </c>
      <c r="X502" s="1">
        <v>0.22064385220223504</v>
      </c>
      <c r="Y502" s="12">
        <f t="shared" si="34"/>
        <v>2.667509663057066E-3</v>
      </c>
    </row>
    <row r="503" spans="11:25" x14ac:dyDescent="0.2">
      <c r="K503" s="1">
        <v>7.3822480377574475E-3</v>
      </c>
      <c r="L503" s="1">
        <v>7.3818751072632091E-3</v>
      </c>
      <c r="M503" s="13">
        <f t="shared" si="31"/>
        <v>3.7293049423830354E-7</v>
      </c>
      <c r="O503" s="1">
        <v>0.73884127134004751</v>
      </c>
      <c r="P503" s="1">
        <v>0.7388525684204742</v>
      </c>
      <c r="Q503">
        <f t="shared" si="32"/>
        <v>-1.1297080426686534E-5</v>
      </c>
      <c r="R503" s="11">
        <v>40.916666666666735</v>
      </c>
      <c r="S503" s="1">
        <v>0.1591012016068192</v>
      </c>
      <c r="T503" s="1">
        <v>0.15878665560247884</v>
      </c>
      <c r="U503">
        <f t="shared" si="33"/>
        <v>3.1454600434036029E-4</v>
      </c>
      <c r="W503" s="1">
        <v>0.22153703819335038</v>
      </c>
      <c r="X503" s="1">
        <v>0.22096309787567134</v>
      </c>
      <c r="Y503" s="12">
        <f t="shared" si="34"/>
        <v>2.5974487287554471E-3</v>
      </c>
    </row>
    <row r="504" spans="11:25" x14ac:dyDescent="0.2">
      <c r="K504" s="1">
        <v>7.3816549049609218E-3</v>
      </c>
      <c r="L504" s="1">
        <v>7.3803096180042414E-3</v>
      </c>
      <c r="M504" s="13">
        <f t="shared" si="31"/>
        <v>1.3452869566804582E-6</v>
      </c>
      <c r="O504" s="1">
        <v>0.73840487846346436</v>
      </c>
      <c r="P504" s="1">
        <v>0.73844569039632801</v>
      </c>
      <c r="Q504">
        <f t="shared" si="32"/>
        <v>-4.0811932863649147E-5</v>
      </c>
      <c r="R504" s="11">
        <v>41.000000000000071</v>
      </c>
      <c r="S504" s="1">
        <v>0.15920267689523829</v>
      </c>
      <c r="T504" s="1">
        <v>0.1589562951081103</v>
      </c>
      <c r="U504">
        <f t="shared" si="33"/>
        <v>2.4638178712799164E-4</v>
      </c>
      <c r="W504" s="1">
        <v>0.22176757161384644</v>
      </c>
      <c r="X504" s="1">
        <v>0.22133657033895771</v>
      </c>
      <c r="Y504" s="12">
        <f t="shared" si="34"/>
        <v>1.947266437844819E-3</v>
      </c>
    </row>
    <row r="505" spans="11:25" x14ac:dyDescent="0.2">
      <c r="K505" s="1">
        <v>7.3810636782610552E-3</v>
      </c>
      <c r="L505" s="1">
        <v>7.3787135648335535E-3</v>
      </c>
      <c r="M505" s="13">
        <f t="shared" si="31"/>
        <v>2.3501134275016877E-6</v>
      </c>
      <c r="O505" s="1">
        <v>0.73796875838571063</v>
      </c>
      <c r="P505" s="1">
        <v>0.73804015761299102</v>
      </c>
      <c r="Q505">
        <f t="shared" si="32"/>
        <v>-7.1399227280388722E-5</v>
      </c>
      <c r="R505" s="11">
        <v>41.083333333333407</v>
      </c>
      <c r="S505" s="1">
        <v>0.15933029541610497</v>
      </c>
      <c r="T505" s="1">
        <v>0.15911041724421693</v>
      </c>
      <c r="U505">
        <f t="shared" si="33"/>
        <v>2.1987817188803827E-4</v>
      </c>
      <c r="W505" s="1">
        <v>0.22204611589615839</v>
      </c>
      <c r="X505" s="1">
        <v>0.2216818402714329</v>
      </c>
      <c r="Y505" s="12">
        <f t="shared" si="34"/>
        <v>1.6432361995888378E-3</v>
      </c>
    </row>
    <row r="506" spans="11:25" x14ac:dyDescent="0.2">
      <c r="K506" s="1">
        <v>7.3804879364165188E-3</v>
      </c>
      <c r="L506" s="1">
        <v>7.3770680584727124E-3</v>
      </c>
      <c r="M506" s="13">
        <f t="shared" si="31"/>
        <v>3.4198779438063612E-6</v>
      </c>
      <c r="O506" s="1">
        <v>0.73753249746681737</v>
      </c>
      <c r="P506" s="1">
        <v>0.73763654848962013</v>
      </c>
      <c r="Q506">
        <f t="shared" si="32"/>
        <v>-1.0405102280275358E-4</v>
      </c>
      <c r="R506" s="11">
        <v>41.166666666666742</v>
      </c>
      <c r="S506" s="1">
        <v>0.1595136290995729</v>
      </c>
      <c r="T506" s="1">
        <v>0.15925996305685108</v>
      </c>
      <c r="U506">
        <f t="shared" si="33"/>
        <v>2.5366604272181181E-4</v>
      </c>
      <c r="W506" s="1">
        <v>0.22242706906517357</v>
      </c>
      <c r="X506" s="1">
        <v>0.22201943710823066</v>
      </c>
      <c r="Y506" s="12">
        <f t="shared" si="34"/>
        <v>1.8360192344069048E-3</v>
      </c>
    </row>
    <row r="507" spans="11:25" x14ac:dyDescent="0.2">
      <c r="K507" s="1">
        <v>7.3798655677596997E-3</v>
      </c>
      <c r="L507" s="1">
        <v>7.3754182165751032E-3</v>
      </c>
      <c r="M507" s="13">
        <f t="shared" si="31"/>
        <v>4.4473511845964653E-6</v>
      </c>
      <c r="O507" s="1">
        <v>0.73709798574395047</v>
      </c>
      <c r="P507" s="1">
        <v>0.73723349438723162</v>
      </c>
      <c r="Q507">
        <f t="shared" si="32"/>
        <v>-1.3550864328115697E-4</v>
      </c>
      <c r="R507" s="11">
        <v>41.250000000000078</v>
      </c>
      <c r="S507" s="1">
        <v>0.15960210308588688</v>
      </c>
      <c r="T507" s="1">
        <v>0.15937886664228182</v>
      </c>
      <c r="U507">
        <f t="shared" si="33"/>
        <v>2.2323644360505712E-4</v>
      </c>
      <c r="W507" s="1">
        <v>0.22263349453339401</v>
      </c>
      <c r="X507" s="1">
        <v>0.22230039277936395</v>
      </c>
      <c r="Y507" s="12">
        <f t="shared" si="34"/>
        <v>1.4984307938703534E-3</v>
      </c>
    </row>
    <row r="508" spans="11:25" x14ac:dyDescent="0.2">
      <c r="K508" s="1">
        <v>7.3792100282936302E-3</v>
      </c>
      <c r="L508" s="1">
        <v>7.3737804606227794E-3</v>
      </c>
      <c r="M508" s="13">
        <f t="shared" si="31"/>
        <v>5.4295676708508017E-6</v>
      </c>
      <c r="O508" s="1">
        <v>0.73666481847050658</v>
      </c>
      <c r="P508" s="1">
        <v>0.73683049430018943</v>
      </c>
      <c r="Q508">
        <f t="shared" si="32"/>
        <v>-1.6567582968285421E-4</v>
      </c>
      <c r="R508" s="11">
        <v>41.333333333333414</v>
      </c>
      <c r="S508" s="1">
        <v>0.15970468867620008</v>
      </c>
      <c r="T508" s="1">
        <v>0.15955546143078303</v>
      </c>
      <c r="U508">
        <f t="shared" si="33"/>
        <v>1.4922724541704957E-4</v>
      </c>
      <c r="W508" s="1">
        <v>0.22286635140616562</v>
      </c>
      <c r="X508" s="1">
        <v>0.22268762799969105</v>
      </c>
      <c r="Y508" s="12">
        <f t="shared" si="34"/>
        <v>8.0257447654341618E-4</v>
      </c>
    </row>
    <row r="509" spans="11:25" x14ac:dyDescent="0.2">
      <c r="K509" s="1">
        <v>7.3786312813723899E-3</v>
      </c>
      <c r="L509" s="1">
        <v>7.3720835519915859E-3</v>
      </c>
      <c r="M509" s="13">
        <f t="shared" si="31"/>
        <v>6.5477293808039946E-6</v>
      </c>
      <c r="O509" s="1">
        <v>0.73622963990577017</v>
      </c>
      <c r="P509" s="1">
        <v>0.7364297233353867</v>
      </c>
      <c r="Q509">
        <f t="shared" si="32"/>
        <v>-2.0008342961652659E-4</v>
      </c>
      <c r="R509" s="11">
        <v>41.41666666666675</v>
      </c>
      <c r="S509" s="1">
        <v>0.15985181160604184</v>
      </c>
      <c r="T509" s="1">
        <v>0.15971228413241714</v>
      </c>
      <c r="U509">
        <f t="shared" si="33"/>
        <v>1.3952747362469542E-4</v>
      </c>
      <c r="W509" s="1">
        <v>0.22317991793625505</v>
      </c>
      <c r="X509" s="1">
        <v>0.22303929325783151</v>
      </c>
      <c r="Y509" s="12">
        <f t="shared" si="34"/>
        <v>6.3049284441984987E-4</v>
      </c>
    </row>
    <row r="510" spans="11:25" x14ac:dyDescent="0.2">
      <c r="K510" s="1">
        <v>7.3780670536243605E-3</v>
      </c>
      <c r="L510" s="1">
        <v>7.3703458273933469E-3</v>
      </c>
      <c r="M510" s="13">
        <f t="shared" si="31"/>
        <v>7.7212262310135532E-6</v>
      </c>
      <c r="O510" s="1">
        <v>0.73579434515217546</v>
      </c>
      <c r="P510" s="1">
        <v>0.73603062775433503</v>
      </c>
      <c r="Q510">
        <f t="shared" si="32"/>
        <v>-2.3628260215957653E-4</v>
      </c>
      <c r="R510" s="11">
        <v>41.500000000000085</v>
      </c>
      <c r="S510" s="1">
        <v>0.15995381894689106</v>
      </c>
      <c r="T510" s="1">
        <v>0.15986597301792171</v>
      </c>
      <c r="U510">
        <f t="shared" si="33"/>
        <v>8.7845928969348952E-5</v>
      </c>
      <c r="W510" s="1">
        <v>0.22340965223216194</v>
      </c>
      <c r="X510" s="1">
        <v>0.22338580494258381</v>
      </c>
      <c r="Y510" s="12">
        <f t="shared" si="34"/>
        <v>1.0675382701363922E-4</v>
      </c>
    </row>
    <row r="511" spans="11:25" x14ac:dyDescent="0.2">
      <c r="K511" s="1">
        <v>7.3774559532303052E-3</v>
      </c>
      <c r="L511" s="1">
        <v>7.3686243149743633E-3</v>
      </c>
      <c r="M511" s="13">
        <f t="shared" si="31"/>
        <v>8.8316382559419648E-6</v>
      </c>
      <c r="O511" s="1">
        <v>0.73536081309575085</v>
      </c>
      <c r="P511" s="1">
        <v>0.73563146458590023</v>
      </c>
      <c r="Q511">
        <f t="shared" si="32"/>
        <v>-2.7065149014937617E-4</v>
      </c>
      <c r="R511" s="11">
        <v>41.583333333333421</v>
      </c>
      <c r="S511" s="1">
        <v>0.16015453492669637</v>
      </c>
      <c r="T511" s="1">
        <v>0.16008020466754444</v>
      </c>
      <c r="U511">
        <f t="shared" si="33"/>
        <v>7.4330259151933475E-5</v>
      </c>
      <c r="W511" s="1">
        <v>0.22382248608837468</v>
      </c>
      <c r="X511" s="1">
        <v>0.22384389663598445</v>
      </c>
      <c r="Y511" s="12">
        <f t="shared" si="34"/>
        <v>-9.5649458982438595E-5</v>
      </c>
    </row>
    <row r="512" spans="11:25" x14ac:dyDescent="0.2">
      <c r="K512" s="1">
        <v>7.3768690819486348E-3</v>
      </c>
      <c r="L512" s="1">
        <v>7.3670541805769176E-3</v>
      </c>
      <c r="M512" s="13">
        <f t="shared" si="31"/>
        <v>9.8149013717171996E-6</v>
      </c>
      <c r="O512" s="1">
        <v>0.73492686790303263</v>
      </c>
      <c r="P512" s="1">
        <v>0.73522808216314517</v>
      </c>
      <c r="Q512">
        <f t="shared" si="32"/>
        <v>-3.0121426011253671E-4</v>
      </c>
      <c r="R512" s="11">
        <v>41.666666666666757</v>
      </c>
      <c r="S512" s="1">
        <v>0.16032647460574589</v>
      </c>
      <c r="T512" s="1">
        <v>0.16029458364994187</v>
      </c>
      <c r="U512">
        <f t="shared" si="33"/>
        <v>3.18909558040259E-5</v>
      </c>
      <c r="W512" s="1">
        <v>0.22418152837719935</v>
      </c>
      <c r="X512" s="1">
        <v>0.22429947956017071</v>
      </c>
      <c r="Y512" s="12">
        <f t="shared" si="34"/>
        <v>-5.2586471980520244E-4</v>
      </c>
    </row>
    <row r="513" spans="11:25" x14ac:dyDescent="0.2">
      <c r="K513" s="1">
        <v>7.3762276958794712E-3</v>
      </c>
      <c r="L513" s="1">
        <v>7.3655377600123934E-3</v>
      </c>
      <c r="M513" s="13">
        <f t="shared" si="31"/>
        <v>1.0689935867077768E-5</v>
      </c>
      <c r="O513" s="1">
        <v>0.73449492566839292</v>
      </c>
      <c r="P513" s="1">
        <v>0.73482346205896898</v>
      </c>
      <c r="Q513">
        <f t="shared" si="32"/>
        <v>-3.2853639057606188E-4</v>
      </c>
      <c r="R513" s="11">
        <v>41.750000000000092</v>
      </c>
      <c r="S513" s="1">
        <v>0.16044814923187531</v>
      </c>
      <c r="T513" s="1">
        <v>0.16052156870523665</v>
      </c>
      <c r="U513">
        <f t="shared" si="33"/>
        <v>-7.3419473361341359E-5</v>
      </c>
      <c r="W513" s="1">
        <v>0.22444843304077927</v>
      </c>
      <c r="X513" s="1">
        <v>0.22477734393726673</v>
      </c>
      <c r="Y513" s="12">
        <f t="shared" si="34"/>
        <v>-1.4632742371902818E-3</v>
      </c>
    </row>
    <row r="514" spans="11:25" x14ac:dyDescent="0.2">
      <c r="K514" s="1">
        <v>7.3756572692982494E-3</v>
      </c>
      <c r="L514" s="1">
        <v>7.3641031554986924E-3</v>
      </c>
      <c r="M514" s="13">
        <f t="shared" si="31"/>
        <v>1.1554113799557009E-5</v>
      </c>
      <c r="O514" s="1">
        <v>0.73406113238716042</v>
      </c>
      <c r="P514" s="1">
        <v>0.73441673159093157</v>
      </c>
      <c r="Q514">
        <f t="shared" si="32"/>
        <v>-3.5559920377115084E-4</v>
      </c>
      <c r="R514" s="11">
        <v>41.833333333333428</v>
      </c>
      <c r="S514" s="1">
        <v>0.16059496983993482</v>
      </c>
      <c r="T514" s="1">
        <v>0.16059213241593306</v>
      </c>
      <c r="U514">
        <f t="shared" si="33"/>
        <v>2.837424001755906E-6</v>
      </c>
      <c r="W514" s="1">
        <v>0.22476036295327381</v>
      </c>
      <c r="X514" s="1">
        <v>0.22496425405494533</v>
      </c>
      <c r="Y514" s="12">
        <f t="shared" si="34"/>
        <v>-9.0632666299828024E-4</v>
      </c>
    </row>
    <row r="515" spans="11:25" x14ac:dyDescent="0.2">
      <c r="K515" s="1">
        <v>7.3750885655007627E-3</v>
      </c>
      <c r="L515" s="1">
        <v>7.36266590470251E-3</v>
      </c>
      <c r="M515" s="13">
        <f t="shared" si="31"/>
        <v>1.2422660798252702E-5</v>
      </c>
      <c r="O515" s="1">
        <v>0.73362761196833071</v>
      </c>
      <c r="P515" s="1">
        <v>0.73401048333452845</v>
      </c>
      <c r="Q515">
        <f t="shared" si="32"/>
        <v>-3.8287136619774564E-4</v>
      </c>
      <c r="R515" s="11">
        <v>41.916666666666764</v>
      </c>
      <c r="S515" s="1">
        <v>0.16070563317224973</v>
      </c>
      <c r="T515" s="1">
        <v>0.16078585453853106</v>
      </c>
      <c r="U515">
        <f t="shared" si="33"/>
        <v>-8.0221366281330031E-5</v>
      </c>
      <c r="W515" s="1">
        <v>0.22500518179050724</v>
      </c>
      <c r="X515" s="1">
        <v>0.22537895184863174</v>
      </c>
      <c r="Y515" s="12">
        <f t="shared" si="34"/>
        <v>-1.6584071185827831E-3</v>
      </c>
    </row>
    <row r="516" spans="11:25" x14ac:dyDescent="0.2">
      <c r="K516" s="1">
        <v>7.3745149297005435E-3</v>
      </c>
      <c r="L516" s="1">
        <v>7.3612598932434672E-3</v>
      </c>
      <c r="M516" s="13">
        <f t="shared" si="31"/>
        <v>1.3255036457076284E-5</v>
      </c>
      <c r="O516" s="1">
        <v>0.7331945692504992</v>
      </c>
      <c r="P516" s="1">
        <v>0.73360367108973279</v>
      </c>
      <c r="Q516">
        <f t="shared" si="32"/>
        <v>-4.0910183923359433E-4</v>
      </c>
      <c r="R516" s="11">
        <v>42.000000000000099</v>
      </c>
      <c r="S516" s="1">
        <v>0.16089929958742213</v>
      </c>
      <c r="T516" s="1">
        <v>0.16091290167332326</v>
      </c>
      <c r="U516">
        <f t="shared" si="33"/>
        <v>-1.3602085901120997E-5</v>
      </c>
      <c r="W516" s="1">
        <v>0.22540345855109095</v>
      </c>
      <c r="X516" s="1">
        <v>0.22566957494179216</v>
      </c>
      <c r="Y516" s="12">
        <f t="shared" si="34"/>
        <v>-1.1792302563153889E-3</v>
      </c>
    </row>
    <row r="517" spans="11:25" x14ac:dyDescent="0.2">
      <c r="K517" s="1">
        <v>7.3739104211786501E-3</v>
      </c>
      <c r="L517" s="1">
        <v>7.3598866248355647E-3</v>
      </c>
      <c r="M517" s="13">
        <f t="shared" si="31"/>
        <v>1.4023796343085385E-5</v>
      </c>
      <c r="O517" s="1">
        <v>0.73276280611358791</v>
      </c>
      <c r="P517" s="1">
        <v>0.73319624382799187</v>
      </c>
      <c r="Q517">
        <f t="shared" si="32"/>
        <v>-4.3343771440396139E-4</v>
      </c>
      <c r="R517" s="11">
        <v>42.083333333333435</v>
      </c>
      <c r="S517" s="1">
        <v>0.1610273845975225</v>
      </c>
      <c r="T517" s="1">
        <v>0.16111310446529495</v>
      </c>
      <c r="U517">
        <f t="shared" si="33"/>
        <v>-8.571986777244911E-5</v>
      </c>
      <c r="W517" s="1">
        <v>0.22568077116069843</v>
      </c>
      <c r="X517" s="1">
        <v>0.22609489734689936</v>
      </c>
      <c r="Y517" s="12">
        <f t="shared" si="34"/>
        <v>-1.8316476446857965E-3</v>
      </c>
    </row>
    <row r="518" spans="11:25" x14ac:dyDescent="0.2">
      <c r="K518" s="1">
        <v>7.3733618625376491E-3</v>
      </c>
      <c r="L518" s="1">
        <v>7.358453710749403E-3</v>
      </c>
      <c r="M518" s="13">
        <f t="shared" si="31"/>
        <v>1.4908151788246143E-5</v>
      </c>
      <c r="O518" s="1">
        <v>0.73232963987324906</v>
      </c>
      <c r="P518" s="1">
        <v>0.73279105721475757</v>
      </c>
      <c r="Q518">
        <f t="shared" si="32"/>
        <v>-4.6141734150850766E-4</v>
      </c>
      <c r="R518" s="11">
        <v>42.166666666666771</v>
      </c>
      <c r="S518" s="1">
        <v>0.16120321299680712</v>
      </c>
      <c r="T518" s="1">
        <v>0.16126253246587902</v>
      </c>
      <c r="U518">
        <f t="shared" si="33"/>
        <v>-5.9319469071894559E-5</v>
      </c>
      <c r="W518" s="1">
        <v>0.2260452319841243</v>
      </c>
      <c r="X518" s="1">
        <v>0.22642719697249664</v>
      </c>
      <c r="Y518" s="12">
        <f t="shared" si="34"/>
        <v>-1.6869218604456115E-3</v>
      </c>
    </row>
    <row r="519" spans="11:25" x14ac:dyDescent="0.2">
      <c r="K519" s="1">
        <v>7.3728678456164015E-3</v>
      </c>
      <c r="L519" s="1">
        <v>7.3569905281710337E-3</v>
      </c>
      <c r="M519" s="13">
        <f t="shared" si="31"/>
        <v>1.5877317445367814E-5</v>
      </c>
      <c r="O519" s="1">
        <v>0.73189510671143976</v>
      </c>
      <c r="P519" s="1">
        <v>0.73238720788334399</v>
      </c>
      <c r="Q519">
        <f t="shared" si="32"/>
        <v>-4.9210117190423563E-4</v>
      </c>
      <c r="R519" s="11">
        <v>42.250000000000107</v>
      </c>
      <c r="S519" s="1">
        <v>0.16132675495278029</v>
      </c>
      <c r="T519" s="1">
        <v>0.16143428327913736</v>
      </c>
      <c r="U519">
        <f t="shared" si="33"/>
        <v>-1.0752832635707588E-4</v>
      </c>
      <c r="W519" s="1">
        <v>0.22631172704100386</v>
      </c>
      <c r="X519" s="1">
        <v>0.22680126803703365</v>
      </c>
      <c r="Y519" s="12">
        <f t="shared" si="34"/>
        <v>-2.1584579322099229E-3</v>
      </c>
    </row>
    <row r="520" spans="11:25" x14ac:dyDescent="0.2">
      <c r="K520" s="1">
        <v>7.3724623323565023E-3</v>
      </c>
      <c r="L520" s="1">
        <v>7.3553958766821763E-3</v>
      </c>
      <c r="M520" s="13">
        <f t="shared" si="31"/>
        <v>1.7066455674326006E-5</v>
      </c>
      <c r="O520" s="1">
        <v>0.7314581456875443</v>
      </c>
      <c r="P520" s="1">
        <v>0.73198784152111629</v>
      </c>
      <c r="Q520">
        <f t="shared" si="32"/>
        <v>-5.2969583357198591E-4</v>
      </c>
      <c r="R520" s="11">
        <v>42.333333333333442</v>
      </c>
      <c r="S520" s="1">
        <v>0.16150087185480652</v>
      </c>
      <c r="T520" s="1">
        <v>0.16164254628623567</v>
      </c>
      <c r="U520">
        <f t="shared" si="33"/>
        <v>-1.416744314291507E-4</v>
      </c>
      <c r="W520" s="1">
        <v>0.22667002942819495</v>
      </c>
      <c r="X520" s="1">
        <v>0.22724527313786416</v>
      </c>
      <c r="Y520" s="12">
        <f t="shared" si="34"/>
        <v>-2.5313781084468356E-3</v>
      </c>
    </row>
    <row r="521" spans="11:25" x14ac:dyDescent="0.2">
      <c r="K521" s="1">
        <v>7.3719991057160407E-3</v>
      </c>
      <c r="L521" s="1">
        <v>7.3537424687786486E-3</v>
      </c>
      <c r="M521" s="13">
        <f t="shared" si="31"/>
        <v>1.8256636937392066E-5</v>
      </c>
      <c r="O521" s="1">
        <v>0.7310232880129649</v>
      </c>
      <c r="P521" s="1">
        <v>0.73159071425690103</v>
      </c>
      <c r="Q521">
        <f t="shared" si="32"/>
        <v>-5.6742624393613106E-4</v>
      </c>
      <c r="R521" s="11">
        <v>42.416666666666778</v>
      </c>
      <c r="S521" s="1">
        <v>0.16165316998503856</v>
      </c>
      <c r="T521" s="1">
        <v>0.16178438225421507</v>
      </c>
      <c r="U521">
        <f t="shared" si="33"/>
        <v>-1.3121226917650608E-4</v>
      </c>
      <c r="W521" s="1">
        <v>0.22698879814527295</v>
      </c>
      <c r="X521" s="1">
        <v>0.22756722207150709</v>
      </c>
      <c r="Y521" s="12">
        <f t="shared" si="34"/>
        <v>-2.5417717058231482E-3</v>
      </c>
    </row>
    <row r="522" spans="11:25" x14ac:dyDescent="0.2">
      <c r="K522" s="1">
        <v>7.3715482451847617E-3</v>
      </c>
      <c r="L522" s="1">
        <v>7.3521046662270995E-3</v>
      </c>
      <c r="M522" s="13">
        <f t="shared" si="31"/>
        <v>1.9443578957662258E-5</v>
      </c>
      <c r="O522" s="1">
        <v>0.73058836054868304</v>
      </c>
      <c r="P522" s="1">
        <v>0.73119351804214305</v>
      </c>
      <c r="Q522">
        <f t="shared" si="32"/>
        <v>-6.051574934600179E-4</v>
      </c>
      <c r="R522" s="11">
        <v>42.500000000000114</v>
      </c>
      <c r="S522" s="1">
        <v>0.16182280647255448</v>
      </c>
      <c r="T522" s="1">
        <v>0.16193084799407398</v>
      </c>
      <c r="U522">
        <f t="shared" si="33"/>
        <v>-1.0804152151949742E-4</v>
      </c>
      <c r="W522" s="1">
        <v>0.22733925236305358</v>
      </c>
      <c r="X522" s="1">
        <v>0.22789734694761163</v>
      </c>
      <c r="Y522" s="12">
        <f t="shared" si="34"/>
        <v>-2.4488858340520059E-3</v>
      </c>
    </row>
    <row r="523" spans="11:25" x14ac:dyDescent="0.2">
      <c r="K523" s="1">
        <v>7.3710549905051589E-3</v>
      </c>
      <c r="L523" s="1">
        <v>7.350470384430029E-3</v>
      </c>
      <c r="M523" s="13">
        <f t="shared" si="31"/>
        <v>2.0584606075129894E-5</v>
      </c>
      <c r="O523" s="1">
        <v>0.73015506742951497</v>
      </c>
      <c r="P523" s="1">
        <v>0.73079662717767835</v>
      </c>
      <c r="Q523">
        <f t="shared" si="32"/>
        <v>-6.4155974816337835E-4</v>
      </c>
      <c r="R523" s="11">
        <v>42.583333333333449</v>
      </c>
      <c r="S523" s="1">
        <v>0.16194210282299418</v>
      </c>
      <c r="T523" s="1">
        <v>0.16202721505752404</v>
      </c>
      <c r="U523">
        <f t="shared" si="33"/>
        <v>-8.5112234529866049E-5</v>
      </c>
      <c r="W523" s="1">
        <v>0.22759705239186193</v>
      </c>
      <c r="X523" s="1">
        <v>0.22813444142497477</v>
      </c>
      <c r="Y523" s="12">
        <f t="shared" si="34"/>
        <v>-2.3555804628017096E-3</v>
      </c>
    </row>
    <row r="524" spans="11:25" x14ac:dyDescent="0.2">
      <c r="K524" s="1">
        <v>7.3706107012655869E-3</v>
      </c>
      <c r="L524" s="1">
        <v>7.3488240775620422E-3</v>
      </c>
      <c r="M524" s="13">
        <f t="shared" ref="M524:M587" si="35">K524-L524</f>
        <v>2.1786623703544741E-5</v>
      </c>
      <c r="O524" s="1">
        <v>0.72972056376949512</v>
      </c>
      <c r="P524" s="1">
        <v>0.73040052616983253</v>
      </c>
      <c r="Q524">
        <f t="shared" ref="Q524:Q587" si="36">O524-P524</f>
        <v>-6.7996240033740829E-4</v>
      </c>
      <c r="R524" s="11">
        <v>42.666666666666785</v>
      </c>
      <c r="S524" s="1">
        <v>0.16204485573356406</v>
      </c>
      <c r="T524" s="1">
        <v>0.16220579388924283</v>
      </c>
      <c r="U524">
        <f t="shared" si="33"/>
        <v>-1.6093815567877479E-4</v>
      </c>
      <c r="W524" s="1">
        <v>0.22782308083951358</v>
      </c>
      <c r="X524" s="1">
        <v>0.22852400763877098</v>
      </c>
      <c r="Y524" s="12">
        <f t="shared" si="34"/>
        <v>-3.0671910863971918E-3</v>
      </c>
    </row>
    <row r="525" spans="11:25" x14ac:dyDescent="0.2">
      <c r="K525" s="1">
        <v>7.3702127706913711E-3</v>
      </c>
      <c r="L525" s="1">
        <v>7.3471674226479027E-3</v>
      </c>
      <c r="M525" s="13">
        <f t="shared" si="35"/>
        <v>2.3045348043468361E-5</v>
      </c>
      <c r="O525" s="1">
        <v>0.72928492453831772</v>
      </c>
      <c r="P525" s="1">
        <v>0.73000516372408197</v>
      </c>
      <c r="Q525">
        <f t="shared" si="36"/>
        <v>-7.2023918576424872E-4</v>
      </c>
      <c r="R525" s="11">
        <v>42.750000000000121</v>
      </c>
      <c r="S525" s="1">
        <v>0.16215889801484856</v>
      </c>
      <c r="T525" s="1">
        <v>0.16237303533281047</v>
      </c>
      <c r="U525">
        <f t="shared" ref="U525:U588" si="37">S525-T525</f>
        <v>-2.1413731796190993E-4</v>
      </c>
      <c r="W525" s="1">
        <v>0.22806893925952398</v>
      </c>
      <c r="X525" s="1">
        <v>0.22889265242305759</v>
      </c>
      <c r="Y525" s="12">
        <f t="shared" ref="Y525:Y588" si="38">W525/X525-1</f>
        <v>-3.5986876591003192E-3</v>
      </c>
    </row>
    <row r="526" spans="11:25" x14ac:dyDescent="0.2">
      <c r="K526" s="1">
        <v>7.3698880557418397E-3</v>
      </c>
      <c r="L526" s="1">
        <v>7.345514268636456E-3</v>
      </c>
      <c r="M526" s="13">
        <f t="shared" si="35"/>
        <v>2.4373787105383751E-5</v>
      </c>
      <c r="O526" s="1">
        <v>0.72884730355385641</v>
      </c>
      <c r="P526" s="1">
        <v>0.72961010711644381</v>
      </c>
      <c r="Q526">
        <f t="shared" si="36"/>
        <v>-7.6280356258739968E-4</v>
      </c>
      <c r="R526" s="11">
        <v>42.833333333333456</v>
      </c>
      <c r="S526" s="1">
        <v>0.16233440845614122</v>
      </c>
      <c r="T526" s="1">
        <v>0.16257026010508041</v>
      </c>
      <c r="U526">
        <f t="shared" si="37"/>
        <v>-2.3585164893918931E-4</v>
      </c>
      <c r="W526" s="1">
        <v>0.22842713372570136</v>
      </c>
      <c r="X526" s="1">
        <v>0.22931672922689431</v>
      </c>
      <c r="Y526" s="12">
        <f t="shared" si="38"/>
        <v>-3.879331020427812E-3</v>
      </c>
    </row>
    <row r="527" spans="11:25" x14ac:dyDescent="0.2">
      <c r="K527" s="1">
        <v>7.36952215707142E-3</v>
      </c>
      <c r="L527" s="1">
        <v>7.3439999459276803E-3</v>
      </c>
      <c r="M527" s="13">
        <f t="shared" si="35"/>
        <v>2.552221114373969E-5</v>
      </c>
      <c r="O527" s="1">
        <v>0.72841127453532373</v>
      </c>
      <c r="P527" s="1">
        <v>0.72921111200086208</v>
      </c>
      <c r="Q527">
        <f t="shared" si="36"/>
        <v>-7.9983746553835555E-4</v>
      </c>
      <c r="R527" s="11">
        <v>42.916666666666792</v>
      </c>
      <c r="S527" s="1">
        <v>0.16244362396854561</v>
      </c>
      <c r="T527" s="1">
        <v>0.16269504130223467</v>
      </c>
      <c r="U527">
        <f t="shared" si="37"/>
        <v>-2.5141733368905239E-4</v>
      </c>
      <c r="W527" s="1">
        <v>0.22866301263517438</v>
      </c>
      <c r="X527" s="1">
        <v>0.22960378447578886</v>
      </c>
      <c r="Y527" s="12">
        <f t="shared" si="38"/>
        <v>-4.0973707936146075E-3</v>
      </c>
    </row>
    <row r="528" spans="11:25" x14ac:dyDescent="0.2">
      <c r="K528" s="1">
        <v>7.36926442572564E-3</v>
      </c>
      <c r="L528" s="1">
        <v>7.3425424269668357E-3</v>
      </c>
      <c r="M528" s="13">
        <f t="shared" si="35"/>
        <v>2.6721998758804343E-5</v>
      </c>
      <c r="O528" s="1">
        <v>0.72797215825280459</v>
      </c>
      <c r="P528" s="1">
        <v>0.72881073540599817</v>
      </c>
      <c r="Q528">
        <f t="shared" si="36"/>
        <v>-8.3857715319357595E-4</v>
      </c>
      <c r="R528" s="11">
        <v>43.000000000000128</v>
      </c>
      <c r="S528" s="1">
        <v>0.16257762717999882</v>
      </c>
      <c r="T528" s="1">
        <v>0.16290180902098539</v>
      </c>
      <c r="U528">
        <f t="shared" si="37"/>
        <v>-3.2418184098656488E-4</v>
      </c>
      <c r="W528" s="1">
        <v>0.22894259931005989</v>
      </c>
      <c r="X528" s="1">
        <v>0.23004171543788093</v>
      </c>
      <c r="Y528" s="12">
        <f t="shared" si="38"/>
        <v>-4.7778991985383268E-3</v>
      </c>
    </row>
    <row r="529" spans="11:25" x14ac:dyDescent="0.2">
      <c r="K529" s="1">
        <v>7.3690883892154274E-3</v>
      </c>
      <c r="L529" s="1">
        <v>7.3410222905719996E-3</v>
      </c>
      <c r="M529" s="13">
        <f t="shared" si="35"/>
        <v>2.806609864342783E-5</v>
      </c>
      <c r="O529" s="1">
        <v>0.72753077230176788</v>
      </c>
      <c r="P529" s="1">
        <v>0.72841272447173544</v>
      </c>
      <c r="Q529">
        <f t="shared" si="36"/>
        <v>-8.8195216996755921E-4</v>
      </c>
      <c r="R529" s="11">
        <v>43.083333333333464</v>
      </c>
      <c r="S529" s="1">
        <v>0.16266375705118241</v>
      </c>
      <c r="T529" s="1">
        <v>0.16311017331257194</v>
      </c>
      <c r="U529">
        <f t="shared" si="37"/>
        <v>-4.4641626138952617E-4</v>
      </c>
      <c r="W529" s="1">
        <v>0.2291316701213312</v>
      </c>
      <c r="X529" s="1">
        <v>0.23048367796284505</v>
      </c>
      <c r="Y529" s="12">
        <f t="shared" si="38"/>
        <v>-5.86595915799204E-3</v>
      </c>
    </row>
    <row r="530" spans="11:25" x14ac:dyDescent="0.2">
      <c r="K530" s="1">
        <v>7.3689217900820428E-3</v>
      </c>
      <c r="L530" s="1">
        <v>7.3394378508503944E-3</v>
      </c>
      <c r="M530" s="13">
        <f t="shared" si="35"/>
        <v>2.9483939231648472E-5</v>
      </c>
      <c r="O530" s="1">
        <v>0.72708937853176181</v>
      </c>
      <c r="P530" s="1">
        <v>0.72801714004170237</v>
      </c>
      <c r="Q530">
        <f t="shared" si="36"/>
        <v>-9.2776150994056117E-4</v>
      </c>
      <c r="R530" s="11">
        <v>43.166666666666799</v>
      </c>
      <c r="S530" s="1">
        <v>0.16277505565811334</v>
      </c>
      <c r="T530" s="1">
        <v>0.1632400794194491</v>
      </c>
      <c r="U530">
        <f t="shared" si="37"/>
        <v>-4.6502376133575329E-4</v>
      </c>
      <c r="W530" s="1">
        <v>0.22936697968882086</v>
      </c>
      <c r="X530" s="1">
        <v>0.23078118952743926</v>
      </c>
      <c r="Y530" s="12">
        <f t="shared" si="38"/>
        <v>-6.1279250770577276E-3</v>
      </c>
    </row>
    <row r="531" spans="11:25" x14ac:dyDescent="0.2">
      <c r="K531" s="1">
        <v>7.3687188615992813E-3</v>
      </c>
      <c r="L531" s="1">
        <v>7.3378222848577502E-3</v>
      </c>
      <c r="M531" s="13">
        <f t="shared" si="35"/>
        <v>3.0896576741531144E-5</v>
      </c>
      <c r="O531" s="1">
        <v>0.72664941667515637</v>
      </c>
      <c r="P531" s="1">
        <v>0.72762294401095939</v>
      </c>
      <c r="Q531">
        <f t="shared" si="36"/>
        <v>-9.7352733580302608E-4</v>
      </c>
      <c r="R531" s="11">
        <v>43.250000000000135</v>
      </c>
      <c r="S531" s="1">
        <v>0.16292658404257593</v>
      </c>
      <c r="T531" s="1">
        <v>0.16339018842532763</v>
      </c>
      <c r="U531">
        <f t="shared" si="37"/>
        <v>-4.636043827516978E-4</v>
      </c>
      <c r="W531" s="1">
        <v>0.22967734171071938</v>
      </c>
      <c r="X531" s="1">
        <v>0.23111664166806709</v>
      </c>
      <c r="Y531" s="12">
        <f t="shared" si="38"/>
        <v>-6.2275911719712473E-3</v>
      </c>
    </row>
    <row r="532" spans="11:25" x14ac:dyDescent="0.2">
      <c r="K532" s="1">
        <v>7.3685778172802793E-3</v>
      </c>
      <c r="L532" s="1">
        <v>7.3363132345520147E-3</v>
      </c>
      <c r="M532" s="13">
        <f t="shared" si="35"/>
        <v>3.2264582728264678E-5</v>
      </c>
      <c r="O532" s="1">
        <v>0.72620779442024697</v>
      </c>
      <c r="P532" s="1">
        <v>0.72722579413387822</v>
      </c>
      <c r="Q532">
        <f t="shared" si="36"/>
        <v>-1.0179997136312569E-3</v>
      </c>
      <c r="R532" s="11">
        <v>43.333333333333471</v>
      </c>
      <c r="S532" s="1">
        <v>0.16304349700661613</v>
      </c>
      <c r="T532" s="1">
        <v>0.16356832308350824</v>
      </c>
      <c r="U532">
        <f t="shared" si="37"/>
        <v>-5.2482607689210981E-4</v>
      </c>
      <c r="W532" s="1">
        <v>0.22992210828407214</v>
      </c>
      <c r="X532" s="1">
        <v>0.23150198327147517</v>
      </c>
      <c r="Y532" s="12">
        <f t="shared" si="38"/>
        <v>-6.8244555190283274E-3</v>
      </c>
    </row>
    <row r="533" spans="11:25" x14ac:dyDescent="0.2">
      <c r="K533" s="1">
        <v>7.3683099676981681E-3</v>
      </c>
      <c r="L533" s="1">
        <v>7.3347608591256518E-3</v>
      </c>
      <c r="M533" s="13">
        <f t="shared" si="35"/>
        <v>3.3549108572516334E-5</v>
      </c>
      <c r="O533" s="1">
        <v>0.72577046098261588</v>
      </c>
      <c r="P533" s="1">
        <v>0.72683041364639756</v>
      </c>
      <c r="Q533">
        <f t="shared" si="36"/>
        <v>-1.0599526637816714E-3</v>
      </c>
      <c r="R533" s="11">
        <v>43.416666666666806</v>
      </c>
      <c r="S533" s="1">
        <v>0.16315535596756742</v>
      </c>
      <c r="T533" s="1">
        <v>0.16375089045908275</v>
      </c>
      <c r="U533">
        <f t="shared" si="37"/>
        <v>-5.9553449151533711E-4</v>
      </c>
      <c r="W533" s="1">
        <v>0.23015963469726167</v>
      </c>
      <c r="X533" s="1">
        <v>0.23189625627752389</v>
      </c>
      <c r="Y533" s="12">
        <f t="shared" si="38"/>
        <v>-7.488786615787002E-3</v>
      </c>
    </row>
    <row r="534" spans="11:25" x14ac:dyDescent="0.2">
      <c r="K534" s="1">
        <v>7.3680274004119511E-3</v>
      </c>
      <c r="L534" s="1">
        <v>7.3332588446115982E-3</v>
      </c>
      <c r="M534" s="13">
        <f t="shared" si="35"/>
        <v>3.4768555800352915E-5</v>
      </c>
      <c r="O534" s="1">
        <v>0.72533388855671987</v>
      </c>
      <c r="P534" s="1">
        <v>0.72643384162193581</v>
      </c>
      <c r="Q534">
        <f t="shared" si="36"/>
        <v>-1.0999530652159306E-3</v>
      </c>
      <c r="R534" s="11">
        <v>43.500000000000142</v>
      </c>
      <c r="S534" s="1">
        <v>0.16330740372668495</v>
      </c>
      <c r="T534" s="1">
        <v>0.16390570132349336</v>
      </c>
      <c r="U534">
        <f t="shared" si="37"/>
        <v>-5.9829759680840588E-4</v>
      </c>
      <c r="W534" s="1">
        <v>0.23047177342980477</v>
      </c>
      <c r="X534" s="1">
        <v>0.23223794325309483</v>
      </c>
      <c r="Y534" s="12">
        <f t="shared" si="38"/>
        <v>-7.6050011404263929E-3</v>
      </c>
    </row>
    <row r="535" spans="11:25" x14ac:dyDescent="0.2">
      <c r="K535" s="1">
        <v>7.3677536986775649E-3</v>
      </c>
      <c r="L535" s="1">
        <v>7.3318460802466639E-3</v>
      </c>
      <c r="M535" s="13">
        <f t="shared" si="35"/>
        <v>3.590761843090106E-5</v>
      </c>
      <c r="O535" s="1">
        <v>0.72489733225188779</v>
      </c>
      <c r="P535" s="1">
        <v>0.72603483817810366</v>
      </c>
      <c r="Q535">
        <f t="shared" si="36"/>
        <v>-1.1375059262158649E-3</v>
      </c>
      <c r="R535" s="11">
        <v>43.583333333333478</v>
      </c>
      <c r="S535" s="1">
        <v>0.16346919578727723</v>
      </c>
      <c r="T535" s="1">
        <v>0.16408127783148144</v>
      </c>
      <c r="U535">
        <f t="shared" si="37"/>
        <v>-6.1208204420420964E-4</v>
      </c>
      <c r="W535" s="1">
        <v>0.23080160943444689</v>
      </c>
      <c r="X535" s="1">
        <v>0.23261636581141498</v>
      </c>
      <c r="Y535" s="12">
        <f t="shared" si="38"/>
        <v>-7.8014991363046793E-3</v>
      </c>
    </row>
    <row r="536" spans="11:25" x14ac:dyDescent="0.2">
      <c r="K536" s="1">
        <v>7.3675844548332257E-3</v>
      </c>
      <c r="L536" s="1">
        <v>7.330482373129726E-3</v>
      </c>
      <c r="M536" s="13">
        <f t="shared" si="35"/>
        <v>3.7102081703499663E-5</v>
      </c>
      <c r="O536" s="1">
        <v>0.72445776094144942</v>
      </c>
      <c r="P536" s="1">
        <v>0.72563466735261628</v>
      </c>
      <c r="Q536">
        <f t="shared" si="36"/>
        <v>-1.1769064111668559E-3</v>
      </c>
      <c r="R536" s="11">
        <v>43.666666666666814</v>
      </c>
      <c r="S536" s="1">
        <v>0.16355925919778175</v>
      </c>
      <c r="T536" s="1">
        <v>0.16427919615595432</v>
      </c>
      <c r="U536">
        <f t="shared" si="37"/>
        <v>-7.1993695817257342E-4</v>
      </c>
      <c r="W536" s="1">
        <v>0.23099612874902614</v>
      </c>
      <c r="X536" s="1">
        <v>0.23303521472156943</v>
      </c>
      <c r="Y536" s="12">
        <f t="shared" si="38"/>
        <v>-8.7501194829270323E-3</v>
      </c>
    </row>
    <row r="537" spans="11:25" x14ac:dyDescent="0.2">
      <c r="K537" s="1">
        <v>7.3674864069675945E-3</v>
      </c>
      <c r="L537" s="1">
        <v>7.3292522495741492E-3</v>
      </c>
      <c r="M537" s="13">
        <f t="shared" si="35"/>
        <v>3.8234157393445337E-5</v>
      </c>
      <c r="O537" s="1">
        <v>0.72401621712351338</v>
      </c>
      <c r="P537" s="1">
        <v>0.72523063538798194</v>
      </c>
      <c r="Q537">
        <f t="shared" si="36"/>
        <v>-1.2144182644685531E-3</v>
      </c>
      <c r="R537" s="11">
        <v>43.750000000000149</v>
      </c>
      <c r="S537" s="1">
        <v>0.16369806281233473</v>
      </c>
      <c r="T537" s="1">
        <v>0.16440679998485755</v>
      </c>
      <c r="U537">
        <f t="shared" si="37"/>
        <v>-7.0873717252281643E-4</v>
      </c>
      <c r="W537" s="1">
        <v>0.23127951891137222</v>
      </c>
      <c r="X537" s="1">
        <v>0.23332083033610623</v>
      </c>
      <c r="Y537" s="12">
        <f t="shared" si="38"/>
        <v>-8.7489463405108214E-3</v>
      </c>
    </row>
    <row r="538" spans="11:25" x14ac:dyDescent="0.2">
      <c r="K538" s="1">
        <v>7.3673842915753952E-3</v>
      </c>
      <c r="L538" s="1">
        <v>7.3281651341621061E-3</v>
      </c>
      <c r="M538" s="13">
        <f t="shared" si="35"/>
        <v>3.921915741328906E-5</v>
      </c>
      <c r="O538" s="1">
        <v>0.72357508349646371</v>
      </c>
      <c r="P538" s="1">
        <v>0.72482242477324932</v>
      </c>
      <c r="Q538">
        <f t="shared" si="36"/>
        <v>-1.2473412767856074E-3</v>
      </c>
      <c r="R538" s="11">
        <v>43.833333333333485</v>
      </c>
      <c r="S538" s="1">
        <v>0.163863274462935</v>
      </c>
      <c r="T538" s="1">
        <v>0.16455292413292494</v>
      </c>
      <c r="U538">
        <f t="shared" si="37"/>
        <v>-6.8964966998993904E-4</v>
      </c>
      <c r="W538" s="1">
        <v>0.23161177227093341</v>
      </c>
      <c r="X538" s="1">
        <v>0.23363795277295782</v>
      </c>
      <c r="Y538" s="12">
        <f t="shared" si="38"/>
        <v>-8.6723089206033332E-3</v>
      </c>
    </row>
    <row r="539" spans="11:25" x14ac:dyDescent="0.2">
      <c r="K539" s="1">
        <v>7.3672940702667212E-3</v>
      </c>
      <c r="L539" s="1">
        <v>7.3271303460820721E-3</v>
      </c>
      <c r="M539" s="13">
        <f t="shared" si="35"/>
        <v>4.0163724184649058E-5</v>
      </c>
      <c r="O539" s="1">
        <v>0.72313385250882745</v>
      </c>
      <c r="P539" s="1">
        <v>0.7244129072896609</v>
      </c>
      <c r="Q539">
        <f t="shared" si="36"/>
        <v>-1.2790547808334551E-3</v>
      </c>
      <c r="R539" s="11">
        <v>43.916666666666821</v>
      </c>
      <c r="S539" s="1">
        <v>0.1640863548177558</v>
      </c>
      <c r="T539" s="1">
        <v>0.16471636380046381</v>
      </c>
      <c r="U539">
        <f t="shared" si="37"/>
        <v>-6.3000898270801353E-4</v>
      </c>
      <c r="W539" s="1">
        <v>0.23205100096550577</v>
      </c>
      <c r="X539" s="1">
        <v>0.23398607259771897</v>
      </c>
      <c r="Y539" s="12">
        <f t="shared" si="38"/>
        <v>-8.2700291121176051E-3</v>
      </c>
    </row>
    <row r="540" spans="11:25" x14ac:dyDescent="0.2">
      <c r="K540" s="1">
        <v>7.3672458654586281E-3</v>
      </c>
      <c r="L540" s="1">
        <v>7.326175189609087E-3</v>
      </c>
      <c r="M540" s="13">
        <f t="shared" si="35"/>
        <v>4.1070675849541084E-5</v>
      </c>
      <c r="O540" s="1">
        <v>0.72269156285743374</v>
      </c>
      <c r="P540" s="1">
        <v>0.72400120448685035</v>
      </c>
      <c r="Q540">
        <f t="shared" si="36"/>
        <v>-1.3096416294166024E-3</v>
      </c>
      <c r="R540" s="11">
        <v>44.000000000000156</v>
      </c>
      <c r="S540" s="1">
        <v>0.16422087745841485</v>
      </c>
      <c r="T540" s="1">
        <v>0.16488378510538534</v>
      </c>
      <c r="U540">
        <f t="shared" si="37"/>
        <v>-6.6290764697049531E-4</v>
      </c>
      <c r="W540" s="1">
        <v>0.232324797201406</v>
      </c>
      <c r="X540" s="1">
        <v>0.23433990119827536</v>
      </c>
      <c r="Y540" s="12">
        <f t="shared" si="38"/>
        <v>-8.5990648052906016E-3</v>
      </c>
    </row>
    <row r="541" spans="11:25" x14ac:dyDescent="0.2">
      <c r="K541" s="1">
        <v>7.3671705245091194E-3</v>
      </c>
      <c r="L541" s="1">
        <v>7.3252212520303825E-3</v>
      </c>
      <c r="M541" s="13">
        <f t="shared" si="35"/>
        <v>4.1949272478736949E-5</v>
      </c>
      <c r="O541" s="1">
        <v>0.72225041515180732</v>
      </c>
      <c r="P541" s="1">
        <v>0.72358981190166194</v>
      </c>
      <c r="Q541">
        <f t="shared" si="36"/>
        <v>-1.3393967498546155E-3</v>
      </c>
      <c r="R541" s="11">
        <v>44.083333333333492</v>
      </c>
      <c r="S541" s="1">
        <v>0.1643690148639019</v>
      </c>
      <c r="T541" s="1">
        <v>0.1649751680202596</v>
      </c>
      <c r="U541">
        <f t="shared" si="37"/>
        <v>-6.0615315635770273E-4</v>
      </c>
      <c r="W541" s="1">
        <v>0.23262414475529863</v>
      </c>
      <c r="X541" s="1">
        <v>0.23455226721580075</v>
      </c>
      <c r="Y541" s="12">
        <f t="shared" si="38"/>
        <v>-8.2204383841155693E-3</v>
      </c>
    </row>
    <row r="542" spans="11:25" x14ac:dyDescent="0.2">
      <c r="K542" s="1">
        <v>7.3670923024147092E-3</v>
      </c>
      <c r="L542" s="1">
        <v>7.324222662923683E-3</v>
      </c>
      <c r="M542" s="13">
        <f t="shared" si="35"/>
        <v>4.2869639491026172E-5</v>
      </c>
      <c r="O542" s="1">
        <v>0.72180963782059926</v>
      </c>
      <c r="P542" s="1">
        <v>0.72318019693601165</v>
      </c>
      <c r="Q542">
        <f t="shared" si="36"/>
        <v>-1.3705591154123953E-3</v>
      </c>
      <c r="R542" s="11">
        <v>44.166666666666828</v>
      </c>
      <c r="S542" s="1">
        <v>0.16450390102834142</v>
      </c>
      <c r="T542" s="1">
        <v>0.1650960558649521</v>
      </c>
      <c r="U542">
        <f t="shared" si="37"/>
        <v>-5.9215483661068102E-4</v>
      </c>
      <c r="W542" s="1">
        <v>0.23289870104085453</v>
      </c>
      <c r="X542" s="1">
        <v>0.23482011044417059</v>
      </c>
      <c r="Y542" s="12">
        <f t="shared" si="38"/>
        <v>-8.182473808063695E-3</v>
      </c>
    </row>
    <row r="543" spans="11:25" x14ac:dyDescent="0.2">
      <c r="K543" s="1">
        <v>7.3670954631116061E-3</v>
      </c>
      <c r="L543" s="1">
        <v>7.3232244515882006E-3</v>
      </c>
      <c r="M543" s="13">
        <f t="shared" si="35"/>
        <v>4.3871011523405508E-5</v>
      </c>
      <c r="O543" s="1">
        <v>0.72136653621909852</v>
      </c>
      <c r="P543" s="1">
        <v>0.72277092203515936</v>
      </c>
      <c r="Q543">
        <f t="shared" si="36"/>
        <v>-1.404385816060838E-3</v>
      </c>
      <c r="R543" s="11">
        <v>44.250000000000163</v>
      </c>
      <c r="S543" s="1">
        <v>0.16471907320694051</v>
      </c>
      <c r="T543" s="1">
        <v>0.16522779951028552</v>
      </c>
      <c r="U543">
        <f t="shared" si="37"/>
        <v>-5.0872630334500291E-4</v>
      </c>
      <c r="W543" s="1">
        <v>0.23332054774378674</v>
      </c>
      <c r="X543" s="1">
        <v>0.23510793458579282</v>
      </c>
      <c r="Y543" s="12">
        <f t="shared" si="38"/>
        <v>-7.6024096981458511E-3</v>
      </c>
    </row>
    <row r="544" spans="11:25" x14ac:dyDescent="0.2">
      <c r="K544" s="1">
        <v>7.3670194333521569E-3</v>
      </c>
      <c r="L544" s="1">
        <v>7.3222609034979281E-3</v>
      </c>
      <c r="M544" s="13">
        <f t="shared" si="35"/>
        <v>4.4758529854228846E-5</v>
      </c>
      <c r="O544" s="1">
        <v>0.72092624201153499</v>
      </c>
      <c r="P544" s="1">
        <v>0.72236088677037491</v>
      </c>
      <c r="Q544">
        <f t="shared" si="36"/>
        <v>-1.4346447588399203E-3</v>
      </c>
      <c r="R544" s="11">
        <v>44.333333333333499</v>
      </c>
      <c r="S544" s="1">
        <v>0.16488233403630859</v>
      </c>
      <c r="T544" s="1">
        <v>0.16539372213810588</v>
      </c>
      <c r="U544">
        <f t="shared" si="37"/>
        <v>-5.1138810179729433E-4</v>
      </c>
      <c r="W544" s="1">
        <v>0.23364727761957624</v>
      </c>
      <c r="X544" s="1">
        <v>0.23545843624822341</v>
      </c>
      <c r="Y544" s="12">
        <f t="shared" si="38"/>
        <v>-7.6920523957689779E-3</v>
      </c>
    </row>
    <row r="545" spans="11:25" x14ac:dyDescent="0.2">
      <c r="K545" s="1">
        <v>7.366932719630204E-3</v>
      </c>
      <c r="L545" s="1">
        <v>7.321311904086027E-3</v>
      </c>
      <c r="M545" s="13">
        <f t="shared" si="35"/>
        <v>4.5620815544177018E-5</v>
      </c>
      <c r="O545" s="1">
        <v>0.72048656821765245</v>
      </c>
      <c r="P545" s="1">
        <v>0.72195073265911447</v>
      </c>
      <c r="Q545">
        <f t="shared" si="36"/>
        <v>-1.4641644414620236E-3</v>
      </c>
      <c r="R545" s="11">
        <v>44.416666666666835</v>
      </c>
      <c r="S545" s="1">
        <v>0.16500597578895637</v>
      </c>
      <c r="T545" s="1">
        <v>0.16552486029664651</v>
      </c>
      <c r="U545">
        <f t="shared" si="37"/>
        <v>-5.1888450769013716E-4</v>
      </c>
      <c r="W545" s="1">
        <v>0.23390039470203211</v>
      </c>
      <c r="X545" s="1">
        <v>0.23574382631879154</v>
      </c>
      <c r="Y545" s="12">
        <f t="shared" si="38"/>
        <v>-7.8196389935004662E-3</v>
      </c>
    </row>
    <row r="546" spans="11:25" x14ac:dyDescent="0.2">
      <c r="K546" s="1">
        <v>7.3667448626180323E-3</v>
      </c>
      <c r="L546" s="1">
        <v>7.3203295541220577E-3</v>
      </c>
      <c r="M546" s="13">
        <f t="shared" si="35"/>
        <v>4.6415308495974597E-5</v>
      </c>
      <c r="O546" s="1">
        <v>0.72005041989513763</v>
      </c>
      <c r="P546" s="1">
        <v>0.72154199840032729</v>
      </c>
      <c r="Q546">
        <f t="shared" si="36"/>
        <v>-1.4915785051896613E-3</v>
      </c>
      <c r="R546" s="11">
        <v>44.500000000000171</v>
      </c>
      <c r="S546" s="1">
        <v>0.16515148053585502</v>
      </c>
      <c r="T546" s="1">
        <v>0.16560343037654851</v>
      </c>
      <c r="U546">
        <f t="shared" si="37"/>
        <v>-4.5194984069349409E-4</v>
      </c>
      <c r="W546" s="1">
        <v>0.23419581888626018</v>
      </c>
      <c r="X546" s="1">
        <v>0.23593194208744467</v>
      </c>
      <c r="Y546" s="12">
        <f t="shared" si="38"/>
        <v>-7.3585763157962836E-3</v>
      </c>
    </row>
    <row r="547" spans="11:25" x14ac:dyDescent="0.2">
      <c r="K547" s="1">
        <v>7.3665280245607933E-3</v>
      </c>
      <c r="L547" s="1">
        <v>7.3193084502131281E-3</v>
      </c>
      <c r="M547" s="13">
        <f t="shared" si="35"/>
        <v>4.7219574347665168E-5</v>
      </c>
      <c r="O547" s="1">
        <v>0.71961548965892252</v>
      </c>
      <c r="P547" s="1">
        <v>0.72113486190532217</v>
      </c>
      <c r="Q547">
        <f t="shared" si="36"/>
        <v>-1.5193722463996417E-3</v>
      </c>
      <c r="R547" s="11">
        <v>44.583333333333506</v>
      </c>
      <c r="S547" s="1">
        <v>0.16529876067817384</v>
      </c>
      <c r="T547" s="1">
        <v>0.1658104573930797</v>
      </c>
      <c r="U547">
        <f t="shared" si="37"/>
        <v>-5.1169671490586266E-4</v>
      </c>
      <c r="W547" s="1">
        <v>0.23449486481331291</v>
      </c>
      <c r="X547" s="1">
        <v>0.23635945154190505</v>
      </c>
      <c r="Y547" s="12">
        <f t="shared" si="38"/>
        <v>-7.8887758303227695E-3</v>
      </c>
    </row>
    <row r="548" spans="11:25" x14ac:dyDescent="0.2">
      <c r="K548" s="1">
        <v>7.3662799189639916E-3</v>
      </c>
      <c r="L548" s="1">
        <v>7.3182203780493092E-3</v>
      </c>
      <c r="M548" s="13">
        <f t="shared" si="35"/>
        <v>4.8059540914682439E-5</v>
      </c>
      <c r="O548" s="1">
        <v>0.71918185441813487</v>
      </c>
      <c r="P548" s="1">
        <v>0.72073023769940803</v>
      </c>
      <c r="Q548">
        <f t="shared" si="36"/>
        <v>-1.5483832812731579E-3</v>
      </c>
      <c r="R548" s="11">
        <v>44.666666666666842</v>
      </c>
      <c r="S548" s="1">
        <v>0.16542302443583839</v>
      </c>
      <c r="T548" s="1">
        <v>0.16595119527517424</v>
      </c>
      <c r="U548">
        <f t="shared" si="37"/>
        <v>-5.281708393358453E-4</v>
      </c>
      <c r="W548" s="1">
        <v>0.23475152478087657</v>
      </c>
      <c r="X548" s="1">
        <v>0.2366648425793669</v>
      </c>
      <c r="Y548" s="12">
        <f t="shared" si="38"/>
        <v>-8.0845037126656694E-3</v>
      </c>
    </row>
    <row r="549" spans="11:25" x14ac:dyDescent="0.2">
      <c r="K549" s="1">
        <v>7.3660936705184496E-3</v>
      </c>
      <c r="L549" s="1">
        <v>7.3170959168568986E-3</v>
      </c>
      <c r="M549" s="13">
        <f t="shared" si="35"/>
        <v>4.8997753661550979E-5</v>
      </c>
      <c r="O549" s="1">
        <v>0.71874651692844971</v>
      </c>
      <c r="P549" s="1">
        <v>0.7203271463239399</v>
      </c>
      <c r="Q549">
        <f t="shared" si="36"/>
        <v>-1.5806293954901962E-3</v>
      </c>
      <c r="R549" s="11">
        <v>44.750000000000178</v>
      </c>
      <c r="S549" s="1">
        <v>0.16554865285558629</v>
      </c>
      <c r="T549" s="1">
        <v>0.16612009745641321</v>
      </c>
      <c r="U549">
        <f t="shared" si="37"/>
        <v>-5.7144460082692028E-4</v>
      </c>
      <c r="W549" s="1">
        <v>0.23500928293218057</v>
      </c>
      <c r="X549" s="1">
        <v>0.23702314430676361</v>
      </c>
      <c r="Y549" s="12">
        <f t="shared" si="38"/>
        <v>-8.4964756520850004E-3</v>
      </c>
    </row>
    <row r="550" spans="11:25" x14ac:dyDescent="0.2">
      <c r="K550" s="1">
        <v>7.3658435850362976E-3</v>
      </c>
      <c r="L550" s="1">
        <v>7.3160260199090802E-3</v>
      </c>
      <c r="M550" s="13">
        <f t="shared" si="35"/>
        <v>4.9817565127217335E-5</v>
      </c>
      <c r="O550" s="1">
        <v>0.7183135249071646</v>
      </c>
      <c r="P550" s="1">
        <v>0.71992265089108487</v>
      </c>
      <c r="Q550">
        <f t="shared" si="36"/>
        <v>-1.6091259839202676E-3</v>
      </c>
      <c r="R550" s="11">
        <v>44.833333333333513</v>
      </c>
      <c r="S550" s="1">
        <v>0.16571290900379923</v>
      </c>
      <c r="T550" s="1">
        <v>0.16629599710938314</v>
      </c>
      <c r="U550">
        <f t="shared" si="37"/>
        <v>-5.8308810558391211E-4</v>
      </c>
      <c r="W550" s="1">
        <v>0.23533980804695048</v>
      </c>
      <c r="X550" s="1">
        <v>0.2373932323273385</v>
      </c>
      <c r="Y550" s="12">
        <f t="shared" si="38"/>
        <v>-8.6498855096112104E-3</v>
      </c>
    </row>
    <row r="551" spans="11:25" x14ac:dyDescent="0.2">
      <c r="K551" s="1">
        <v>7.3654323446047257E-3</v>
      </c>
      <c r="L551" s="1">
        <v>7.3148629522054335E-3</v>
      </c>
      <c r="M551" s="13">
        <f t="shared" si="35"/>
        <v>5.0569392399292187E-5</v>
      </c>
      <c r="O551" s="1">
        <v>0.71788602972474846</v>
      </c>
      <c r="P551" s="1">
        <v>0.71952152762208521</v>
      </c>
      <c r="Q551">
        <f t="shared" si="36"/>
        <v>-1.6354978973367462E-3</v>
      </c>
      <c r="R551" s="11">
        <v>44.916666666666849</v>
      </c>
      <c r="S551" s="1">
        <v>0.16589316503163162</v>
      </c>
      <c r="T551" s="1">
        <v>0.16647244053689195</v>
      </c>
      <c r="U551">
        <f t="shared" si="37"/>
        <v>-5.7927550526032379E-4</v>
      </c>
      <c r="W551" s="1">
        <v>0.23570296649710895</v>
      </c>
      <c r="X551" s="1">
        <v>0.23776598758973322</v>
      </c>
      <c r="Y551" s="12">
        <f t="shared" si="38"/>
        <v>-8.67668716428871E-3</v>
      </c>
    </row>
    <row r="552" spans="11:25" x14ac:dyDescent="0.2">
      <c r="K552" s="1">
        <v>7.364935106248912E-3</v>
      </c>
      <c r="L552" s="1">
        <v>7.3136672496956229E-3</v>
      </c>
      <c r="M552" s="13">
        <f t="shared" si="35"/>
        <v>5.126785655328904E-5</v>
      </c>
      <c r="O552" s="1">
        <v>0.71746161978108891</v>
      </c>
      <c r="P552" s="1">
        <v>0.71912182527980695</v>
      </c>
      <c r="Q552">
        <f t="shared" si="36"/>
        <v>-1.660205498718037E-3</v>
      </c>
      <c r="R552" s="11">
        <v>45.000000000000185</v>
      </c>
      <c r="S552" s="1">
        <v>0.16606687880715201</v>
      </c>
      <c r="T552" s="1">
        <v>0.16663884110160052</v>
      </c>
      <c r="U552">
        <f t="shared" si="37"/>
        <v>-5.7196229444850255E-4</v>
      </c>
      <c r="W552" s="1">
        <v>0.2360554290487909</v>
      </c>
      <c r="X552" s="1">
        <v>0.23812054379734413</v>
      </c>
      <c r="Y552" s="12">
        <f t="shared" si="38"/>
        <v>-8.672560189979972E-3</v>
      </c>
    </row>
    <row r="553" spans="11:25" x14ac:dyDescent="0.2">
      <c r="K553" s="1">
        <v>7.3645926833204711E-3</v>
      </c>
      <c r="L553" s="1">
        <v>7.3124905597779302E-3</v>
      </c>
      <c r="M553" s="13">
        <f t="shared" si="35"/>
        <v>5.2102123542540832E-5</v>
      </c>
      <c r="O553" s="1">
        <v>0.71703250630411219</v>
      </c>
      <c r="P553" s="1">
        <v>0.7187218710142117</v>
      </c>
      <c r="Q553">
        <f t="shared" si="36"/>
        <v>-1.6893647100995057E-3</v>
      </c>
      <c r="R553" s="11">
        <v>45.08333333333352</v>
      </c>
      <c r="S553" s="1">
        <v>0.16614185046435812</v>
      </c>
      <c r="T553" s="1">
        <v>0.16676341141227044</v>
      </c>
      <c r="U553">
        <f t="shared" si="37"/>
        <v>-6.2156094791232519E-4</v>
      </c>
      <c r="W553" s="1">
        <v>0.2362211693704338</v>
      </c>
      <c r="X553" s="1">
        <v>0.23839675758068643</v>
      </c>
      <c r="Y553" s="12">
        <f t="shared" si="38"/>
        <v>-9.12591359182513E-3</v>
      </c>
    </row>
    <row r="554" spans="11:25" x14ac:dyDescent="0.2">
      <c r="K554" s="1">
        <v>7.3643145476940796E-3</v>
      </c>
      <c r="L554" s="1">
        <v>7.311291073292453E-3</v>
      </c>
      <c r="M554" s="13">
        <f t="shared" si="35"/>
        <v>5.3023474401626622E-5</v>
      </c>
      <c r="O554" s="1">
        <v>0.7166016057792346</v>
      </c>
      <c r="P554" s="1">
        <v>0.71832302104700385</v>
      </c>
      <c r="Q554">
        <f t="shared" si="36"/>
        <v>-1.7214152677692551E-3</v>
      </c>
      <c r="R554" s="11">
        <v>45.166666666666856</v>
      </c>
      <c r="S554" s="1">
        <v>0.1662690987839214</v>
      </c>
      <c r="T554" s="1">
        <v>0.16691059855504176</v>
      </c>
      <c r="U554">
        <f t="shared" si="37"/>
        <v>-6.4149977112035184E-4</v>
      </c>
      <c r="W554" s="1">
        <v>0.23648255758876427</v>
      </c>
      <c r="X554" s="1">
        <v>0.23871531884881325</v>
      </c>
      <c r="Y554" s="12">
        <f t="shared" si="38"/>
        <v>-9.3532382874140785E-3</v>
      </c>
    </row>
    <row r="555" spans="11:25" x14ac:dyDescent="0.2">
      <c r="K555" s="1">
        <v>7.3640852964019007E-3</v>
      </c>
      <c r="L555" s="1">
        <v>7.3100337299145529E-3</v>
      </c>
      <c r="M555" s="13">
        <f t="shared" si="35"/>
        <v>5.4051566487347755E-5</v>
      </c>
      <c r="O555" s="1">
        <v>0.71616941030521231</v>
      </c>
      <c r="P555" s="1">
        <v>0.71792641895022224</v>
      </c>
      <c r="Q555">
        <f t="shared" si="36"/>
        <v>-1.7570086450099387E-3</v>
      </c>
      <c r="R555" s="11">
        <v>45.250000000000192</v>
      </c>
      <c r="S555" s="1">
        <v>0.16633050497413779</v>
      </c>
      <c r="T555" s="1">
        <v>0.16710156924339736</v>
      </c>
      <c r="U555">
        <f t="shared" si="37"/>
        <v>-7.7106426925957483E-4</v>
      </c>
      <c r="W555" s="1">
        <v>0.23662036495190114</v>
      </c>
      <c r="X555" s="1">
        <v>0.23911631040962403</v>
      </c>
      <c r="Y555" s="12">
        <f t="shared" si="38"/>
        <v>-1.043820663444972E-2</v>
      </c>
    </row>
    <row r="556" spans="11:25" x14ac:dyDescent="0.2">
      <c r="K556" s="1">
        <v>7.3638263260502809E-3</v>
      </c>
      <c r="L556" s="1">
        <v>7.3088125840273825E-3</v>
      </c>
      <c r="M556" s="13">
        <f t="shared" si="35"/>
        <v>5.5013742022898444E-5</v>
      </c>
      <c r="O556" s="1">
        <v>0.71573846890406934</v>
      </c>
      <c r="P556" s="1">
        <v>0.71752900659321173</v>
      </c>
      <c r="Q556">
        <f t="shared" si="36"/>
        <v>-1.7905376891423908E-3</v>
      </c>
      <c r="R556" s="11">
        <v>45.333333333333528</v>
      </c>
      <c r="S556" s="1">
        <v>0.16638848998929198</v>
      </c>
      <c r="T556" s="1">
        <v>0.16721116480477316</v>
      </c>
      <c r="U556">
        <f t="shared" si="37"/>
        <v>-8.2267481548117805E-4</v>
      </c>
      <c r="W556" s="1">
        <v>0.2367521233824762</v>
      </c>
      <c r="X556" s="1">
        <v>0.23936503272805504</v>
      </c>
      <c r="Y556" s="12">
        <f t="shared" si="38"/>
        <v>-1.0916002708496686E-2</v>
      </c>
    </row>
    <row r="557" spans="11:25" x14ac:dyDescent="0.2">
      <c r="K557" s="1">
        <v>7.3637136964830006E-3</v>
      </c>
      <c r="L557" s="1">
        <v>7.3076737540148408E-3</v>
      </c>
      <c r="M557" s="13">
        <f t="shared" si="35"/>
        <v>5.6039942468159853E-5</v>
      </c>
      <c r="O557" s="1">
        <v>0.71530305482236944</v>
      </c>
      <c r="P557" s="1">
        <v>0.71712927425875928</v>
      </c>
      <c r="Q557">
        <f t="shared" si="36"/>
        <v>-1.826219436389831E-3</v>
      </c>
      <c r="R557" s="11">
        <v>45.416666666666863</v>
      </c>
      <c r="S557" s="1">
        <v>0.16649196420208481</v>
      </c>
      <c r="T557" s="1">
        <v>0.16734878533872474</v>
      </c>
      <c r="U557">
        <f t="shared" si="37"/>
        <v>-8.568211366399292E-4</v>
      </c>
      <c r="W557" s="1">
        <v>0.23696531886569588</v>
      </c>
      <c r="X557" s="1">
        <v>0.23966409538230929</v>
      </c>
      <c r="Y557" s="12">
        <f t="shared" si="38"/>
        <v>-1.1260662604919425E-2</v>
      </c>
    </row>
    <row r="558" spans="11:25" x14ac:dyDescent="0.2">
      <c r="K558" s="1">
        <v>7.3637534009824528E-3</v>
      </c>
      <c r="L558" s="1">
        <v>7.3065993988305862E-3</v>
      </c>
      <c r="M558" s="13">
        <f t="shared" si="35"/>
        <v>5.7154002151866591E-5</v>
      </c>
      <c r="O558" s="1">
        <v>0.71486295509053543</v>
      </c>
      <c r="P558" s="1">
        <v>0.71672779420236432</v>
      </c>
      <c r="Q558">
        <f t="shared" si="36"/>
        <v>-1.8648391118288865E-3</v>
      </c>
      <c r="R558" s="11">
        <v>45.500000000000199</v>
      </c>
      <c r="S558" s="1">
        <v>0.16662030326887489</v>
      </c>
      <c r="T558" s="1">
        <v>0.16750171195378333</v>
      </c>
      <c r="U558">
        <f t="shared" si="37"/>
        <v>-8.8140868490843571E-4</v>
      </c>
      <c r="W558" s="1">
        <v>0.23722149477635698</v>
      </c>
      <c r="X558" s="1">
        <v>0.23999018783398032</v>
      </c>
      <c r="Y558" s="12">
        <f t="shared" si="38"/>
        <v>-1.1536692739865906E-2</v>
      </c>
    </row>
    <row r="559" spans="11:25" x14ac:dyDescent="0.2">
      <c r="K559" s="1">
        <v>7.3638268319972198E-3</v>
      </c>
      <c r="L559" s="1">
        <v>7.3056122283144268E-3</v>
      </c>
      <c r="M559" s="13">
        <f t="shared" si="35"/>
        <v>5.8214603682792999E-5</v>
      </c>
      <c r="O559" s="1">
        <v>0.71442202107069475</v>
      </c>
      <c r="P559" s="1">
        <v>0.7163238151756961</v>
      </c>
      <c r="Q559">
        <f t="shared" si="36"/>
        <v>-1.9017941050013532E-3</v>
      </c>
      <c r="R559" s="11">
        <v>45.583333333333535</v>
      </c>
      <c r="S559" s="1">
        <v>0.16681257731172724</v>
      </c>
      <c r="T559" s="1">
        <v>0.1676761775812155</v>
      </c>
      <c r="U559">
        <f t="shared" si="37"/>
        <v>-8.6360026948825719E-4</v>
      </c>
      <c r="W559" s="1">
        <v>0.23759563236057044</v>
      </c>
      <c r="X559" s="1">
        <v>0.24035445563865077</v>
      </c>
      <c r="Y559" s="12">
        <f t="shared" si="38"/>
        <v>-1.1478144937025592E-2</v>
      </c>
    </row>
    <row r="560" spans="11:25" x14ac:dyDescent="0.2">
      <c r="K560" s="1">
        <v>7.3640371896780505E-3</v>
      </c>
      <c r="L560" s="1">
        <v>7.3047103533326538E-3</v>
      </c>
      <c r="M560" s="13">
        <f t="shared" si="35"/>
        <v>5.9326836345396754E-5</v>
      </c>
      <c r="O560" s="1">
        <v>0.71397687763776263</v>
      </c>
      <c r="P560" s="1">
        <v>0.71591738792952653</v>
      </c>
      <c r="Q560">
        <f t="shared" si="36"/>
        <v>-1.9405102917638972E-3</v>
      </c>
      <c r="R560" s="11">
        <v>45.66666666666687</v>
      </c>
      <c r="S560" s="1">
        <v>0.16690746419571417</v>
      </c>
      <c r="T560" s="1">
        <v>0.16782388446255253</v>
      </c>
      <c r="U560">
        <f t="shared" si="37"/>
        <v>-9.1642026683835809E-4</v>
      </c>
      <c r="W560" s="1">
        <v>0.23778571389666539</v>
      </c>
      <c r="X560" s="1">
        <v>0.24066704538983191</v>
      </c>
      <c r="Y560" s="12">
        <f t="shared" si="38"/>
        <v>-1.1972272682781893E-2</v>
      </c>
    </row>
    <row r="561" spans="11:25" x14ac:dyDescent="0.2">
      <c r="K561" s="1">
        <v>7.3642881477782793E-3</v>
      </c>
      <c r="L561" s="1">
        <v>7.303830465054899E-3</v>
      </c>
      <c r="M561" s="13">
        <f t="shared" si="35"/>
        <v>6.0457682723380306E-5</v>
      </c>
      <c r="O561" s="1">
        <v>0.71353065877290667</v>
      </c>
      <c r="P561" s="1">
        <v>0.71551057779451432</v>
      </c>
      <c r="Q561">
        <f t="shared" si="36"/>
        <v>-1.9799190216076568E-3</v>
      </c>
      <c r="R561" s="11">
        <v>45.750000000000206</v>
      </c>
      <c r="S561" s="1">
        <v>0.16703373281260489</v>
      </c>
      <c r="T561" s="1">
        <v>0.16801353007764067</v>
      </c>
      <c r="U561">
        <f t="shared" si="37"/>
        <v>-9.7979726503577558E-4</v>
      </c>
      <c r="W561" s="1">
        <v>0.23803307132419804</v>
      </c>
      <c r="X561" s="1">
        <v>0.24105705734063185</v>
      </c>
      <c r="Y561" s="12">
        <f t="shared" si="38"/>
        <v>-1.2544689833165479E-2</v>
      </c>
    </row>
    <row r="562" spans="11:25" x14ac:dyDescent="0.2">
      <c r="K562" s="1">
        <v>7.3645244157910898E-3</v>
      </c>
      <c r="L562" s="1">
        <v>7.3029035906333282E-3</v>
      </c>
      <c r="M562" s="13">
        <f t="shared" si="35"/>
        <v>6.1620825157761641E-5</v>
      </c>
      <c r="O562" s="1">
        <v>0.71308516994862159</v>
      </c>
      <c r="P562" s="1">
        <v>0.71510564649327757</v>
      </c>
      <c r="Q562">
        <f t="shared" si="36"/>
        <v>-2.0204765446559803E-3</v>
      </c>
      <c r="R562" s="11">
        <v>45.833333333333542</v>
      </c>
      <c r="S562" s="1">
        <v>0.1671576420071729</v>
      </c>
      <c r="T562" s="1">
        <v>0.16817003934313055</v>
      </c>
      <c r="U562">
        <f t="shared" si="37"/>
        <v>-1.0123973359576488E-3</v>
      </c>
      <c r="W562" s="1">
        <v>0.23827605528551743</v>
      </c>
      <c r="X562" s="1">
        <v>0.24138614655791935</v>
      </c>
      <c r="Y562" s="12">
        <f t="shared" si="38"/>
        <v>-1.288429894072507E-2</v>
      </c>
    </row>
    <row r="563" spans="11:25" x14ac:dyDescent="0.2">
      <c r="K563" s="1">
        <v>7.3647717640734755E-3</v>
      </c>
      <c r="L563" s="1">
        <v>7.3019693050373636E-3</v>
      </c>
      <c r="M563" s="13">
        <f t="shared" si="35"/>
        <v>6.2802459036111896E-5</v>
      </c>
      <c r="O563" s="1">
        <v>0.71263956797335815</v>
      </c>
      <c r="P563" s="1">
        <v>0.71470129841416896</v>
      </c>
      <c r="Q563">
        <f t="shared" si="36"/>
        <v>-2.0617304408108161E-3</v>
      </c>
      <c r="R563" s="11">
        <v>45.916666666666877</v>
      </c>
      <c r="S563" s="1">
        <v>0.1673137780684498</v>
      </c>
      <c r="T563" s="1">
        <v>0.16831670192177028</v>
      </c>
      <c r="U563">
        <f t="shared" si="37"/>
        <v>-1.0029238533204865E-3</v>
      </c>
      <c r="W563" s="1">
        <v>0.23857847926755868</v>
      </c>
      <c r="X563" s="1">
        <v>0.24169686636011392</v>
      </c>
      <c r="Y563" s="12">
        <f t="shared" si="38"/>
        <v>-1.2902058431775609E-2</v>
      </c>
    </row>
    <row r="564" spans="11:25" x14ac:dyDescent="0.2">
      <c r="K564" s="1">
        <v>7.3651092789478196E-3</v>
      </c>
      <c r="L564" s="1">
        <v>7.3011357760291795E-3</v>
      </c>
      <c r="M564" s="13">
        <f t="shared" si="35"/>
        <v>6.3973502918640048E-5</v>
      </c>
      <c r="O564" s="1">
        <v>0.71219125580471998</v>
      </c>
      <c r="P564" s="1">
        <v>0.71429397357813285</v>
      </c>
      <c r="Q564">
        <f t="shared" si="36"/>
        <v>-2.1027177734128655E-3</v>
      </c>
      <c r="R564" s="11">
        <v>46.000000000000213</v>
      </c>
      <c r="S564" s="1">
        <v>0.16739762120836821</v>
      </c>
      <c r="T564" s="1">
        <v>0.16848522644686523</v>
      </c>
      <c r="U564">
        <f t="shared" si="37"/>
        <v>-1.0876052384970192E-3</v>
      </c>
      <c r="W564" s="1">
        <v>0.23874437822724659</v>
      </c>
      <c r="X564" s="1">
        <v>0.24204606456221453</v>
      </c>
      <c r="Y564" s="12">
        <f t="shared" si="38"/>
        <v>-1.3640735456449837E-2</v>
      </c>
    </row>
    <row r="565" spans="11:25" x14ac:dyDescent="0.2">
      <c r="K565" s="1">
        <v>7.3654594741287436E-3</v>
      </c>
      <c r="L565" s="1">
        <v>7.3003527360201576E-3</v>
      </c>
      <c r="M565" s="13">
        <f t="shared" si="35"/>
        <v>6.5106738108586075E-5</v>
      </c>
      <c r="O565" s="1">
        <v>0.71174276896637645</v>
      </c>
      <c r="P565" s="1">
        <v>0.71388531605670547</v>
      </c>
      <c r="Q565">
        <f t="shared" si="36"/>
        <v>-2.1425470903290167E-3</v>
      </c>
      <c r="R565" s="11">
        <v>46.083333333333549</v>
      </c>
      <c r="S565" s="1">
        <v>0.16749129250055167</v>
      </c>
      <c r="T565" s="1">
        <v>0.16860521055150418</v>
      </c>
      <c r="U565">
        <f t="shared" si="37"/>
        <v>-1.1139180509525115E-3</v>
      </c>
      <c r="W565" s="1">
        <v>0.23892801218650347</v>
      </c>
      <c r="X565" s="1">
        <v>0.24230369805503615</v>
      </c>
      <c r="Y565" s="12">
        <f t="shared" si="38"/>
        <v>-1.3931631649162557E-2</v>
      </c>
    </row>
    <row r="566" spans="11:25" x14ac:dyDescent="0.2">
      <c r="K566" s="1">
        <v>7.3659605717221691E-3</v>
      </c>
      <c r="L566" s="1">
        <v>7.2995327210746124E-3</v>
      </c>
      <c r="M566" s="13">
        <f t="shared" si="35"/>
        <v>6.6427850647556713E-5</v>
      </c>
      <c r="O566" s="1">
        <v>0.71128955876204258</v>
      </c>
      <c r="P566" s="1">
        <v>0.71347820555891273</v>
      </c>
      <c r="Q566">
        <f t="shared" si="36"/>
        <v>-2.1886467968701417E-3</v>
      </c>
      <c r="R566" s="11">
        <v>46.166666666666885</v>
      </c>
      <c r="S566" s="1">
        <v>0.16754089154933458</v>
      </c>
      <c r="T566" s="1">
        <v>0.16874788916554967</v>
      </c>
      <c r="U566">
        <f t="shared" si="37"/>
        <v>-1.2069976162150942E-3</v>
      </c>
      <c r="W566" s="1">
        <v>0.23902635445744472</v>
      </c>
      <c r="X566" s="1">
        <v>0.2426041116969388</v>
      </c>
      <c r="Y566" s="12">
        <f t="shared" si="38"/>
        <v>-1.4747306690182649E-2</v>
      </c>
    </row>
    <row r="567" spans="11:25" x14ac:dyDescent="0.2">
      <c r="K567" s="1">
        <v>7.3664549862522914E-3</v>
      </c>
      <c r="L567" s="1">
        <v>7.2987476019430019E-3</v>
      </c>
      <c r="M567" s="13">
        <f t="shared" si="35"/>
        <v>6.7707384309289437E-5</v>
      </c>
      <c r="O567" s="1">
        <v>0.71083679788756415</v>
      </c>
      <c r="P567" s="1">
        <v>0.71307027175963889</v>
      </c>
      <c r="Q567">
        <f t="shared" si="36"/>
        <v>-2.2334738720747316E-3</v>
      </c>
      <c r="R567" s="11">
        <v>46.25000000000022</v>
      </c>
      <c r="S567" s="1">
        <v>0.16765716629710797</v>
      </c>
      <c r="T567" s="1">
        <v>0.16894715232920587</v>
      </c>
      <c r="U567">
        <f t="shared" si="37"/>
        <v>-1.2899860320979006E-3</v>
      </c>
      <c r="W567" s="1">
        <v>0.23924856479275416</v>
      </c>
      <c r="X567" s="1">
        <v>0.24300895137960357</v>
      </c>
      <c r="Y567" s="12">
        <f t="shared" si="38"/>
        <v>-1.5474271896162906E-2</v>
      </c>
    </row>
    <row r="568" spans="11:25" x14ac:dyDescent="0.2">
      <c r="K568" s="1">
        <v>7.3670294618688537E-3</v>
      </c>
      <c r="L568" s="1">
        <v>7.2981473324809122E-3</v>
      </c>
      <c r="M568" s="13">
        <f t="shared" si="35"/>
        <v>6.8882129387941478E-5</v>
      </c>
      <c r="O568" s="1">
        <v>0.71038162677103833</v>
      </c>
      <c r="P568" s="1">
        <v>0.71265654975758752</v>
      </c>
      <c r="Q568">
        <f t="shared" si="36"/>
        <v>-2.2749229865491882E-3</v>
      </c>
      <c r="R568" s="11">
        <v>46.333333333333556</v>
      </c>
      <c r="S568" s="1">
        <v>0.16774185761908514</v>
      </c>
      <c r="T568" s="1">
        <v>0.16911187306879599</v>
      </c>
      <c r="U568">
        <f t="shared" si="37"/>
        <v>-1.3700154497108541E-3</v>
      </c>
      <c r="W568" s="1">
        <v>0.23941011369554543</v>
      </c>
      <c r="X568" s="1">
        <v>0.24334554997862914</v>
      </c>
      <c r="Y568" s="12">
        <f t="shared" si="38"/>
        <v>-1.6172213888560161E-2</v>
      </c>
    </row>
    <row r="569" spans="11:25" x14ac:dyDescent="0.2">
      <c r="K569" s="1">
        <v>7.3676600570024339E-3</v>
      </c>
      <c r="L569" s="1">
        <v>7.2975244692470333E-3</v>
      </c>
      <c r="M569" s="13">
        <f t="shared" si="35"/>
        <v>7.0135587755400589E-5</v>
      </c>
      <c r="O569" s="1">
        <v>0.70992482655016742</v>
      </c>
      <c r="P569" s="1">
        <v>0.71224388734297839</v>
      </c>
      <c r="Q569">
        <f t="shared" si="36"/>
        <v>-2.3190607928109674E-3</v>
      </c>
      <c r="R569" s="11">
        <v>46.416666666666892</v>
      </c>
      <c r="S569" s="1">
        <v>0.1678728087679621</v>
      </c>
      <c r="T569" s="1">
        <v>0.1692677598058076</v>
      </c>
      <c r="U569">
        <f t="shared" si="37"/>
        <v>-1.3949510378455099E-3</v>
      </c>
      <c r="W569" s="1">
        <v>0.23965630360925708</v>
      </c>
      <c r="X569" s="1">
        <v>0.24366594181826567</v>
      </c>
      <c r="Y569" s="12">
        <f t="shared" si="38"/>
        <v>-1.6455472517366121E-2</v>
      </c>
    </row>
    <row r="570" spans="11:25" x14ac:dyDescent="0.2">
      <c r="K570" s="1">
        <v>7.3684157114204171E-3</v>
      </c>
      <c r="L570" s="1">
        <v>7.296914751983085E-3</v>
      </c>
      <c r="M570" s="13">
        <f t="shared" si="35"/>
        <v>7.1500959437332048E-5</v>
      </c>
      <c r="O570" s="1">
        <v>0.70946411238152141</v>
      </c>
      <c r="P570" s="1">
        <v>0.71183110186189458</v>
      </c>
      <c r="Q570">
        <f t="shared" si="36"/>
        <v>-2.3669894803731717E-3</v>
      </c>
      <c r="R570" s="11">
        <v>46.500000000000227</v>
      </c>
      <c r="S570" s="1">
        <v>0.16798131945999092</v>
      </c>
      <c r="T570" s="1">
        <v>0.16947165213155974</v>
      </c>
      <c r="U570">
        <f t="shared" si="37"/>
        <v>-1.4903326715688114E-3</v>
      </c>
      <c r="W570" s="1">
        <v>0.23985792316034849</v>
      </c>
      <c r="X570" s="1">
        <v>0.24407520630423479</v>
      </c>
      <c r="Y570" s="12">
        <f t="shared" si="38"/>
        <v>-1.7278621650039905E-2</v>
      </c>
    </row>
    <row r="571" spans="11:25" x14ac:dyDescent="0.2">
      <c r="K571" s="1">
        <v>7.3692286193095154E-3</v>
      </c>
      <c r="L571" s="1">
        <v>7.2962230607110327E-3</v>
      </c>
      <c r="M571" s="13">
        <f t="shared" si="35"/>
        <v>7.3005558598482692E-5</v>
      </c>
      <c r="O571" s="1">
        <v>0.70900171357157338</v>
      </c>
      <c r="P571" s="1">
        <v>0.71142134941153423</v>
      </c>
      <c r="Q571">
        <f t="shared" si="36"/>
        <v>-2.4196358399608542E-3</v>
      </c>
      <c r="R571" s="11">
        <v>46.583333333333563</v>
      </c>
      <c r="S571" s="1">
        <v>0.16809241580113157</v>
      </c>
      <c r="T571" s="1">
        <v>0.16961587669738304</v>
      </c>
      <c r="U571">
        <f t="shared" si="37"/>
        <v>-1.5234608962514662E-3</v>
      </c>
      <c r="W571" s="1">
        <v>0.24006288746318313</v>
      </c>
      <c r="X571" s="1">
        <v>0.24437485018601365</v>
      </c>
      <c r="Y571" s="12">
        <f t="shared" si="38"/>
        <v>-1.764487106405721E-2</v>
      </c>
    </row>
    <row r="572" spans="11:25" x14ac:dyDescent="0.2">
      <c r="K572" s="1">
        <v>7.370078861206027E-3</v>
      </c>
      <c r="L572" s="1">
        <v>7.2954968656826907E-3</v>
      </c>
      <c r="M572" s="13">
        <f t="shared" si="35"/>
        <v>7.4581995523336289E-5</v>
      </c>
      <c r="O572" s="1">
        <v>0.7085382834785573</v>
      </c>
      <c r="P572" s="1">
        <v>0.71101306169352774</v>
      </c>
      <c r="Q572">
        <f t="shared" si="36"/>
        <v>-2.4747782149704411E-3</v>
      </c>
      <c r="R572" s="11">
        <v>46.666666666666899</v>
      </c>
      <c r="S572" s="1">
        <v>0.16817856729331823</v>
      </c>
      <c r="T572" s="1">
        <v>0.16975266636709457</v>
      </c>
      <c r="U572">
        <f t="shared" si="37"/>
        <v>-1.5740990737763416E-3</v>
      </c>
      <c r="W572" s="1">
        <v>0.24022036442277986</v>
      </c>
      <c r="X572" s="1">
        <v>0.24466114060581812</v>
      </c>
      <c r="Y572" s="12">
        <f t="shared" si="38"/>
        <v>-1.815072132845541E-2</v>
      </c>
    </row>
    <row r="573" spans="11:25" x14ac:dyDescent="0.2">
      <c r="K573" s="1">
        <v>7.3708921814939765E-3</v>
      </c>
      <c r="L573" s="1">
        <v>7.2948214367385047E-3</v>
      </c>
      <c r="M573" s="13">
        <f t="shared" si="35"/>
        <v>7.6070744755471834E-5</v>
      </c>
      <c r="O573" s="1">
        <v>0.70807628033917147</v>
      </c>
      <c r="P573" s="1">
        <v>0.71060340480633788</v>
      </c>
      <c r="Q573">
        <f t="shared" si="36"/>
        <v>-2.5271244671664084E-3</v>
      </c>
      <c r="R573" s="11">
        <v>46.750000000000234</v>
      </c>
      <c r="S573" s="1">
        <v>0.16825602809660636</v>
      </c>
      <c r="T573" s="1">
        <v>0.16988575545015225</v>
      </c>
      <c r="U573">
        <f t="shared" si="37"/>
        <v>-1.6297273535458845E-3</v>
      </c>
      <c r="W573" s="1">
        <v>0.24036209015479934</v>
      </c>
      <c r="X573" s="1">
        <v>0.24493929122898794</v>
      </c>
      <c r="Y573" s="12">
        <f t="shared" si="38"/>
        <v>-1.8687083853400566E-2</v>
      </c>
    </row>
    <row r="574" spans="11:25" x14ac:dyDescent="0.2">
      <c r="K574" s="1">
        <v>7.3717023552127238E-3</v>
      </c>
      <c r="L574" s="1">
        <v>7.294169278746915E-3</v>
      </c>
      <c r="M574" s="13">
        <f t="shared" si="35"/>
        <v>7.7533076465808801E-5</v>
      </c>
      <c r="O574" s="1">
        <v>0.70761458699256485</v>
      </c>
      <c r="P574" s="1">
        <v>0.71019328850815233</v>
      </c>
      <c r="Q574">
        <f t="shared" si="36"/>
        <v>-2.5787015155874782E-3</v>
      </c>
      <c r="R574" s="11">
        <v>46.83333333333357</v>
      </c>
      <c r="S574" s="1">
        <v>0.16841693093208432</v>
      </c>
      <c r="T574" s="1">
        <v>0.17000172449327883</v>
      </c>
      <c r="U574">
        <f t="shared" si="37"/>
        <v>-1.5847935611945085E-3</v>
      </c>
      <c r="W574" s="1">
        <v>0.24065883861125312</v>
      </c>
      <c r="X574" s="1">
        <v>0.24518487527476582</v>
      </c>
      <c r="Y574" s="12">
        <f t="shared" si="38"/>
        <v>-1.8459689483050767E-2</v>
      </c>
    </row>
    <row r="575" spans="11:25" x14ac:dyDescent="0.2">
      <c r="K575" s="1">
        <v>7.3725843304346429E-3</v>
      </c>
      <c r="L575" s="1">
        <v>7.2936583183563324E-3</v>
      </c>
      <c r="M575" s="13">
        <f t="shared" si="35"/>
        <v>7.892601207831057E-5</v>
      </c>
      <c r="O575" s="1">
        <v>0.70715071279709341</v>
      </c>
      <c r="P575" s="1">
        <v>0.70977877574073145</v>
      </c>
      <c r="Q575">
        <f t="shared" si="36"/>
        <v>-2.6280629436380432E-3</v>
      </c>
      <c r="R575" s="11">
        <v>46.916666666666906</v>
      </c>
      <c r="S575" s="1">
        <v>0.16847259848185184</v>
      </c>
      <c r="T575" s="1">
        <v>0.17012454674060531</v>
      </c>
      <c r="U575">
        <f t="shared" si="37"/>
        <v>-1.6519482587534773E-3</v>
      </c>
      <c r="W575" s="1">
        <v>0.24075798114869834</v>
      </c>
      <c r="X575" s="1">
        <v>0.24544010238358191</v>
      </c>
      <c r="Y575" s="12">
        <f t="shared" si="38"/>
        <v>-1.9076431232766478E-2</v>
      </c>
    </row>
    <row r="576" spans="11:25" x14ac:dyDescent="0.2">
      <c r="K576" s="1">
        <v>7.3734299728973208E-3</v>
      </c>
      <c r="L576" s="1">
        <v>7.2931745448990759E-3</v>
      </c>
      <c r="M576" s="13">
        <f t="shared" si="35"/>
        <v>8.0255427998244915E-5</v>
      </c>
      <c r="O576" s="1">
        <v>0.70668824772012062</v>
      </c>
      <c r="P576" s="1">
        <v>0.70936365729559669</v>
      </c>
      <c r="Q576">
        <f t="shared" si="36"/>
        <v>-2.6754095754760732E-3</v>
      </c>
      <c r="R576" s="11">
        <v>47.000000000000242</v>
      </c>
      <c r="S576" s="1">
        <v>0.1685635879625024</v>
      </c>
      <c r="T576" s="1">
        <v>0.17023179392419457</v>
      </c>
      <c r="U576">
        <f t="shared" si="37"/>
        <v>-1.6682059616921763E-3</v>
      </c>
      <c r="W576" s="1">
        <v>0.24092326676083084</v>
      </c>
      <c r="X576" s="1">
        <v>0.24566554019177753</v>
      </c>
      <c r="Y576" s="12">
        <f t="shared" si="38"/>
        <v>-1.9303779550215561E-2</v>
      </c>
    </row>
    <row r="577" spans="11:25" x14ac:dyDescent="0.2">
      <c r="K577" s="1">
        <v>7.3743101451987187E-3</v>
      </c>
      <c r="L577" s="1">
        <v>7.2927833533775717E-3</v>
      </c>
      <c r="M577" s="13">
        <f t="shared" si="35"/>
        <v>8.1526791821147013E-5</v>
      </c>
      <c r="O577" s="1">
        <v>0.70622483535277125</v>
      </c>
      <c r="P577" s="1">
        <v>0.70894574297901081</v>
      </c>
      <c r="Q577">
        <f t="shared" si="36"/>
        <v>-2.7209076262395548E-3</v>
      </c>
      <c r="R577" s="11">
        <v>47.083333333333577</v>
      </c>
      <c r="S577" s="1">
        <v>0.16863245869769192</v>
      </c>
      <c r="T577" s="1">
        <v>0.17030802867835321</v>
      </c>
      <c r="U577">
        <f t="shared" si="37"/>
        <v>-1.67556998066129E-3</v>
      </c>
      <c r="W577" s="1">
        <v>0.24104636191209103</v>
      </c>
      <c r="X577" s="1">
        <v>0.24583109257226887</v>
      </c>
      <c r="Y577" s="12">
        <f t="shared" si="38"/>
        <v>-1.9463488568970289E-2</v>
      </c>
    </row>
    <row r="578" spans="11:25" x14ac:dyDescent="0.2">
      <c r="K578" s="1">
        <v>7.3751819403480249E-3</v>
      </c>
      <c r="L578" s="1">
        <v>7.2923740765693679E-3</v>
      </c>
      <c r="M578" s="13">
        <f t="shared" si="35"/>
        <v>8.2807863778656954E-5</v>
      </c>
      <c r="O578" s="1">
        <v>0.70576190269204686</v>
      </c>
      <c r="P578" s="1">
        <v>0.70852872652603494</v>
      </c>
      <c r="Q578">
        <f t="shared" si="36"/>
        <v>-2.7668238339880746E-3</v>
      </c>
      <c r="R578" s="11">
        <v>47.166666666666913</v>
      </c>
      <c r="S578" s="1">
        <v>0.16872893267607966</v>
      </c>
      <c r="T578" s="1">
        <v>0.17045487034384918</v>
      </c>
      <c r="U578">
        <f t="shared" si="37"/>
        <v>-1.7259376677695171E-3</v>
      </c>
      <c r="W578" s="1">
        <v>0.24122067789242096</v>
      </c>
      <c r="X578" s="1">
        <v>0.24612824127381949</v>
      </c>
      <c r="Y578" s="12">
        <f t="shared" si="38"/>
        <v>-1.9939050293455884E-2</v>
      </c>
    </row>
    <row r="579" spans="11:25" x14ac:dyDescent="0.2">
      <c r="K579" s="1">
        <v>7.3761229084338357E-3</v>
      </c>
      <c r="L579" s="1">
        <v>7.2920014977801879E-3</v>
      </c>
      <c r="M579" s="13">
        <f t="shared" si="35"/>
        <v>8.4121410653647741E-5</v>
      </c>
      <c r="O579" s="1">
        <v>0.70529686172911799</v>
      </c>
      <c r="P579" s="1">
        <v>0.70811077365550712</v>
      </c>
      <c r="Q579">
        <f t="shared" si="36"/>
        <v>-2.8139119263891343E-3</v>
      </c>
      <c r="R579" s="11">
        <v>47.250000000000249</v>
      </c>
      <c r="S579" s="1">
        <v>0.16880330661929646</v>
      </c>
      <c r="T579" s="1">
        <v>0.17058897515750457</v>
      </c>
      <c r="U579">
        <f t="shared" si="37"/>
        <v>-1.7856685382081072E-3</v>
      </c>
      <c r="W579" s="1">
        <v>0.24135212631522107</v>
      </c>
      <c r="X579" s="1">
        <v>0.24640067647516281</v>
      </c>
      <c r="Y579" s="12">
        <f t="shared" si="38"/>
        <v>-2.0489189527248097E-2</v>
      </c>
    </row>
    <row r="580" spans="11:25" x14ac:dyDescent="0.2">
      <c r="K580" s="1">
        <v>7.3771277084095617E-3</v>
      </c>
      <c r="L580" s="1">
        <v>7.2917096151337646E-3</v>
      </c>
      <c r="M580" s="13">
        <f t="shared" si="35"/>
        <v>8.5418093275797108E-5</v>
      </c>
      <c r="O580" s="1">
        <v>0.7048298833451565</v>
      </c>
      <c r="P580" s="1">
        <v>0.70769040340499811</v>
      </c>
      <c r="Q580">
        <f t="shared" si="36"/>
        <v>-2.8605200598416092E-3</v>
      </c>
      <c r="R580" s="11">
        <v>47.333333333333584</v>
      </c>
      <c r="S580" s="1">
        <v>0.1688974482029883</v>
      </c>
      <c r="T580" s="1">
        <v>0.17067886686438047</v>
      </c>
      <c r="U580">
        <f t="shared" si="37"/>
        <v>-1.7814186613921701E-3</v>
      </c>
      <c r="W580" s="1">
        <v>0.241518739254829</v>
      </c>
      <c r="X580" s="1">
        <v>0.24658887189180451</v>
      </c>
      <c r="Y580" s="12">
        <f t="shared" si="38"/>
        <v>-2.0561076410618107E-2</v>
      </c>
    </row>
    <row r="581" spans="11:25" x14ac:dyDescent="0.2">
      <c r="K581" s="1">
        <v>7.3781949498216946E-3</v>
      </c>
      <c r="L581" s="1">
        <v>7.2916426436602415E-3</v>
      </c>
      <c r="M581" s="13">
        <f t="shared" si="35"/>
        <v>8.6552306161453117E-5</v>
      </c>
      <c r="O581" s="1">
        <v>0.70436100707565086</v>
      </c>
      <c r="P581" s="1">
        <v>0.70726276118713827</v>
      </c>
      <c r="Q581">
        <f t="shared" si="36"/>
        <v>-2.901754111487409E-3</v>
      </c>
      <c r="R581" s="11">
        <v>47.41666666666692</v>
      </c>
      <c r="S581" s="1">
        <v>0.16905437602086748</v>
      </c>
      <c r="T581" s="1">
        <v>0.17081511286739443</v>
      </c>
      <c r="U581">
        <f t="shared" si="37"/>
        <v>-1.7607368465269446E-3</v>
      </c>
      <c r="W581" s="1">
        <v>0.24180061389147176</v>
      </c>
      <c r="X581" s="1">
        <v>0.24685848075422528</v>
      </c>
      <c r="Y581" s="12">
        <f t="shared" si="38"/>
        <v>-2.0488932959889627E-2</v>
      </c>
    </row>
    <row r="582" spans="11:25" x14ac:dyDescent="0.2">
      <c r="K582" s="1">
        <v>7.3791754326400418E-3</v>
      </c>
      <c r="L582" s="1">
        <v>7.2917053843556592E-3</v>
      </c>
      <c r="M582" s="13">
        <f t="shared" si="35"/>
        <v>8.7470048284382651E-5</v>
      </c>
      <c r="O582" s="1">
        <v>0.70389522337304733</v>
      </c>
      <c r="P582" s="1">
        <v>0.70683102260235109</v>
      </c>
      <c r="Q582">
        <f t="shared" si="36"/>
        <v>-2.9357992293037594E-3</v>
      </c>
      <c r="R582" s="11">
        <v>47.500000000000256</v>
      </c>
      <c r="S582" s="1">
        <v>0.16916498348842263</v>
      </c>
      <c r="T582" s="1">
        <v>0.17096223479510073</v>
      </c>
      <c r="U582">
        <f t="shared" si="37"/>
        <v>-1.7972513066780993E-3</v>
      </c>
      <c r="W582" s="1">
        <v>0.24199771178612742</v>
      </c>
      <c r="X582" s="1">
        <v>0.24714538688499857</v>
      </c>
      <c r="Y582" s="12">
        <f t="shared" si="38"/>
        <v>-2.082852997481377E-2</v>
      </c>
    </row>
    <row r="583" spans="11:25" x14ac:dyDescent="0.2">
      <c r="K583" s="1">
        <v>7.3799905246119202E-3</v>
      </c>
      <c r="L583" s="1">
        <v>7.2918183216739707E-3</v>
      </c>
      <c r="M583" s="13">
        <f t="shared" si="35"/>
        <v>8.8172202937949508E-5</v>
      </c>
      <c r="O583" s="1">
        <v>0.7034351783373799</v>
      </c>
      <c r="P583" s="1">
        <v>0.70639784997545385</v>
      </c>
      <c r="Q583">
        <f t="shared" si="36"/>
        <v>-2.9626716380739548E-3</v>
      </c>
      <c r="R583" s="11">
        <v>47.583333333333591</v>
      </c>
      <c r="S583" s="1">
        <v>0.16926435979122034</v>
      </c>
      <c r="T583" s="1">
        <v>0.17111621188027648</v>
      </c>
      <c r="U583">
        <f t="shared" si="37"/>
        <v>-1.8518520890561385E-3</v>
      </c>
      <c r="W583" s="1">
        <v>0.24217696810254002</v>
      </c>
      <c r="X583" s="1">
        <v>0.24744373757894259</v>
      </c>
      <c r="Y583" s="12">
        <f t="shared" si="38"/>
        <v>-2.1284715175797442E-2</v>
      </c>
    </row>
    <row r="584" spans="11:25" x14ac:dyDescent="0.2">
      <c r="K584" s="1">
        <v>7.3807490790381092E-3</v>
      </c>
      <c r="L584" s="1">
        <v>7.2919199521433008E-3</v>
      </c>
      <c r="M584" s="13">
        <f t="shared" si="35"/>
        <v>8.8829126894808368E-5</v>
      </c>
      <c r="O584" s="1">
        <v>0.70297723627768594</v>
      </c>
      <c r="P584" s="1">
        <v>0.70596531067673918</v>
      </c>
      <c r="Q584">
        <f t="shared" si="36"/>
        <v>-2.9880743990532421E-3</v>
      </c>
      <c r="R584" s="11">
        <v>47.666666666666927</v>
      </c>
      <c r="S584" s="1">
        <v>0.16941299223561412</v>
      </c>
      <c r="T584" s="1">
        <v>0.17124039828360907</v>
      </c>
      <c r="U584">
        <f t="shared" si="37"/>
        <v>-1.827406047994945E-3</v>
      </c>
      <c r="W584" s="1">
        <v>0.24244874540429573</v>
      </c>
      <c r="X584" s="1">
        <v>0.24768657199438177</v>
      </c>
      <c r="Y584" s="12">
        <f t="shared" si="38"/>
        <v>-2.1146994558125853E-2</v>
      </c>
    </row>
    <row r="585" spans="11:25" x14ac:dyDescent="0.2">
      <c r="K585" s="1">
        <v>7.3815543979506492E-3</v>
      </c>
      <c r="L585" s="1">
        <v>7.2920366679015344E-3</v>
      </c>
      <c r="M585" s="13">
        <f t="shared" si="35"/>
        <v>8.9517730049114806E-5</v>
      </c>
      <c r="O585" s="1">
        <v>0.70251793206046198</v>
      </c>
      <c r="P585" s="1">
        <v>0.70553251518042104</v>
      </c>
      <c r="Q585">
        <f t="shared" si="36"/>
        <v>-3.0145831199590578E-3</v>
      </c>
      <c r="R585" s="11">
        <v>47.750000000000263</v>
      </c>
      <c r="S585" s="1">
        <v>0.16953034058945834</v>
      </c>
      <c r="T585" s="1">
        <v>0.17142004634435803</v>
      </c>
      <c r="U585">
        <f t="shared" si="37"/>
        <v>-1.8897057548996898E-3</v>
      </c>
      <c r="W585" s="1">
        <v>0.242661018434953</v>
      </c>
      <c r="X585" s="1">
        <v>0.24803207579314007</v>
      </c>
      <c r="Y585" s="12">
        <f t="shared" si="38"/>
        <v>-2.165468857611208E-2</v>
      </c>
    </row>
    <row r="586" spans="11:25" x14ac:dyDescent="0.2">
      <c r="K586" s="1">
        <v>7.3823809085474508E-3</v>
      </c>
      <c r="L586" s="1">
        <v>7.2923200989595954E-3</v>
      </c>
      <c r="M586" s="13">
        <f t="shared" si="35"/>
        <v>9.0060809587855402E-5</v>
      </c>
      <c r="O586" s="1">
        <v>0.7020581208139467</v>
      </c>
      <c r="P586" s="1">
        <v>0.7050943386681191</v>
      </c>
      <c r="Q586">
        <f t="shared" si="36"/>
        <v>-3.0362178541724072E-3</v>
      </c>
      <c r="R586" s="11">
        <v>47.833333333333599</v>
      </c>
      <c r="S586" s="1">
        <v>0.16962676622387476</v>
      </c>
      <c r="T586" s="1">
        <v>0.17159085492743345</v>
      </c>
      <c r="U586">
        <f t="shared" si="37"/>
        <v>-1.9640887035586863E-3</v>
      </c>
      <c r="W586" s="1">
        <v>0.24283359679708447</v>
      </c>
      <c r="X586" s="1">
        <v>0.24835735182952048</v>
      </c>
      <c r="Y586" s="12">
        <f t="shared" si="38"/>
        <v>-2.2241157717882598E-2</v>
      </c>
    </row>
    <row r="587" spans="11:25" x14ac:dyDescent="0.2">
      <c r="K587" s="1">
        <v>7.3832200019545565E-3</v>
      </c>
      <c r="L587" s="1">
        <v>7.2925487997901293E-3</v>
      </c>
      <c r="M587" s="13">
        <f t="shared" si="35"/>
        <v>9.0671202164427193E-5</v>
      </c>
      <c r="O587" s="1">
        <v>0.7015980901283696</v>
      </c>
      <c r="P587" s="1">
        <v>0.70465825217254319</v>
      </c>
      <c r="Q587">
        <f t="shared" si="36"/>
        <v>-3.0601620441735866E-3</v>
      </c>
      <c r="R587" s="11">
        <v>47.916666666666934</v>
      </c>
      <c r="S587" s="1">
        <v>0.16978796352885958</v>
      </c>
      <c r="T587" s="1">
        <v>0.17170675930814858</v>
      </c>
      <c r="U587">
        <f t="shared" si="37"/>
        <v>-1.9187957792889954E-3</v>
      </c>
      <c r="W587" s="1">
        <v>0.2431261425396066</v>
      </c>
      <c r="X587" s="1">
        <v>0.2485812628287597</v>
      </c>
      <c r="Y587" s="12">
        <f t="shared" si="38"/>
        <v>-2.1945018007696659E-2</v>
      </c>
    </row>
    <row r="588" spans="11:25" x14ac:dyDescent="0.2">
      <c r="K588" s="1">
        <v>7.3841398740517638E-3</v>
      </c>
      <c r="L588" s="1">
        <v>7.2926327049861904E-3</v>
      </c>
      <c r="M588" s="13">
        <f t="shared" ref="M588:M651" si="39">K588-L588</f>
        <v>9.1507169065573393E-5</v>
      </c>
      <c r="O588" s="1">
        <v>0.70113553953720487</v>
      </c>
      <c r="P588" s="1">
        <v>0.70422731153916962</v>
      </c>
      <c r="Q588">
        <f t="shared" ref="Q588:Q651" si="40">O588-P588</f>
        <v>-3.0917720019647543E-3</v>
      </c>
      <c r="R588" s="11">
        <v>48.00000000000027</v>
      </c>
      <c r="S588" s="1">
        <v>0.16987565790776724</v>
      </c>
      <c r="T588" s="1">
        <v>0.17186152645367062</v>
      </c>
      <c r="U588">
        <f t="shared" si="37"/>
        <v>-1.9858685459033798E-3</v>
      </c>
      <c r="W588" s="1">
        <v>0.24327990456446938</v>
      </c>
      <c r="X588" s="1">
        <v>0.24888026244516931</v>
      </c>
      <c r="Y588" s="12">
        <f t="shared" si="38"/>
        <v>-2.2502217836312899E-2</v>
      </c>
    </row>
    <row r="589" spans="11:25" x14ac:dyDescent="0.2">
      <c r="K589" s="1">
        <v>7.3850188100482005E-3</v>
      </c>
      <c r="L589" s="1">
        <v>7.2927500793560571E-3</v>
      </c>
      <c r="M589" s="13">
        <f t="shared" si="39"/>
        <v>9.2268730692143461E-5</v>
      </c>
      <c r="O589" s="1">
        <v>0.70067456803301309</v>
      </c>
      <c r="P589" s="1">
        <v>0.70379549002111985</v>
      </c>
      <c r="Q589">
        <f t="shared" si="40"/>
        <v>-3.1209219881067618E-3</v>
      </c>
      <c r="R589" s="11">
        <v>48.083333333333606</v>
      </c>
      <c r="S589" s="1">
        <v>0.17003578664602476</v>
      </c>
      <c r="T589" s="1">
        <v>0.17200038967544146</v>
      </c>
      <c r="U589">
        <f t="shared" ref="U589:U652" si="41">S589-T589</f>
        <v>-1.9646030294167005E-3</v>
      </c>
      <c r="W589" s="1">
        <v>0.24356898596256901</v>
      </c>
      <c r="X589" s="1">
        <v>0.24914867165373225</v>
      </c>
      <c r="Y589" s="12">
        <f t="shared" ref="Y589:Y652" si="42">W589/X589-1</f>
        <v>-2.2395004774169114E-2</v>
      </c>
    </row>
    <row r="590" spans="11:25" x14ac:dyDescent="0.2">
      <c r="K590" s="1">
        <v>7.3858502039422496E-3</v>
      </c>
      <c r="L590" s="1">
        <v>7.2928653509136531E-3</v>
      </c>
      <c r="M590" s="13">
        <f t="shared" si="39"/>
        <v>9.2984853028596492E-5</v>
      </c>
      <c r="O590" s="1">
        <v>0.70021540325399567</v>
      </c>
      <c r="P590" s="1">
        <v>0.70336399089379342</v>
      </c>
      <c r="Q590">
        <f t="shared" si="40"/>
        <v>-3.1485876397977508E-3</v>
      </c>
      <c r="R590" s="11">
        <v>48.166666666666941</v>
      </c>
      <c r="S590" s="1">
        <v>0.17007909434328827</v>
      </c>
      <c r="T590" s="1">
        <v>0.1721109477378521</v>
      </c>
      <c r="U590">
        <f t="shared" si="41"/>
        <v>-2.0318533945638262E-3</v>
      </c>
      <c r="W590" s="1">
        <v>0.24364133492296361</v>
      </c>
      <c r="X590" s="1">
        <v>0.24936415390857927</v>
      </c>
      <c r="Y590" s="12">
        <f t="shared" si="42"/>
        <v>-2.2949645712565969E-2</v>
      </c>
    </row>
    <row r="591" spans="11:25" x14ac:dyDescent="0.2">
      <c r="K591" s="1">
        <v>7.3866867468769118E-3</v>
      </c>
      <c r="L591" s="1">
        <v>7.2929280167711181E-3</v>
      </c>
      <c r="M591" s="13">
        <f t="shared" si="39"/>
        <v>9.375873010579374E-5</v>
      </c>
      <c r="O591" s="1">
        <v>0.69975626826321946</v>
      </c>
      <c r="P591" s="1">
        <v>0.70293453010046258</v>
      </c>
      <c r="Q591">
        <f t="shared" si="40"/>
        <v>-3.1782618372431237E-3</v>
      </c>
      <c r="R591" s="11">
        <v>48.250000000000277</v>
      </c>
      <c r="S591" s="1">
        <v>0.17020680681792286</v>
      </c>
      <c r="T591" s="1">
        <v>0.17223804777613963</v>
      </c>
      <c r="U591">
        <f t="shared" si="41"/>
        <v>-2.0312409582167734E-3</v>
      </c>
      <c r="W591" s="1">
        <v>0.24387032982788465</v>
      </c>
      <c r="X591" s="1">
        <v>0.24961125275429777</v>
      </c>
      <c r="Y591" s="12">
        <f t="shared" si="42"/>
        <v>-2.2999455605730024E-2</v>
      </c>
    </row>
    <row r="592" spans="11:25" x14ac:dyDescent="0.2">
      <c r="K592" s="1">
        <v>7.3874972730100068E-3</v>
      </c>
      <c r="L592" s="1">
        <v>7.293058614619023E-3</v>
      </c>
      <c r="M592" s="13">
        <f t="shared" si="39"/>
        <v>9.4438658390983733E-5</v>
      </c>
      <c r="O592" s="1">
        <v>0.69929821769921541</v>
      </c>
      <c r="P592" s="1">
        <v>0.70250301362592404</v>
      </c>
      <c r="Q592">
        <f t="shared" si="40"/>
        <v>-3.2047959267086368E-3</v>
      </c>
      <c r="R592" s="11">
        <v>48.333333333333613</v>
      </c>
      <c r="S592" s="1">
        <v>0.17032736264561912</v>
      </c>
      <c r="T592" s="1">
        <v>0.17236166453300372</v>
      </c>
      <c r="U592">
        <f t="shared" si="41"/>
        <v>-2.0343018873845986E-3</v>
      </c>
      <c r="W592" s="1">
        <v>0.24408622623502688</v>
      </c>
      <c r="X592" s="1">
        <v>0.24985015627125631</v>
      </c>
      <c r="Y592" s="12">
        <f t="shared" si="42"/>
        <v>-2.3069547452960859E-2</v>
      </c>
    </row>
    <row r="593" spans="11:25" x14ac:dyDescent="0.2">
      <c r="K593" s="1">
        <v>7.3883301741496255E-3</v>
      </c>
      <c r="L593" s="1">
        <v>7.2933153262605245E-3</v>
      </c>
      <c r="M593" s="13">
        <f t="shared" si="39"/>
        <v>9.501484788910098E-5</v>
      </c>
      <c r="O593" s="1">
        <v>0.69883961419125362</v>
      </c>
      <c r="P593" s="1">
        <v>0.70206745254657221</v>
      </c>
      <c r="Q593">
        <f t="shared" si="40"/>
        <v>-3.2278383553185908E-3</v>
      </c>
      <c r="R593" s="11">
        <v>48.416666666666949</v>
      </c>
      <c r="S593" s="1">
        <v>0.17046289613470256</v>
      </c>
      <c r="T593" s="1">
        <v>0.1724458199556487</v>
      </c>
      <c r="U593">
        <f t="shared" si="41"/>
        <v>-1.9829238209461419E-3</v>
      </c>
      <c r="W593" s="1">
        <v>0.24432920613800443</v>
      </c>
      <c r="X593" s="1">
        <v>0.25001266182317672</v>
      </c>
      <c r="Y593" s="12">
        <f t="shared" si="42"/>
        <v>-2.2732671392427073E-2</v>
      </c>
    </row>
    <row r="594" spans="11:25" x14ac:dyDescent="0.2">
      <c r="K594" s="1">
        <v>7.3892516362476486E-3</v>
      </c>
      <c r="L594" s="1">
        <v>7.293528520024105E-3</v>
      </c>
      <c r="M594" s="13">
        <f t="shared" si="39"/>
        <v>9.5723116223543625E-5</v>
      </c>
      <c r="O594" s="1">
        <v>0.69837820965166664</v>
      </c>
      <c r="P594" s="1">
        <v>0.70163361492406717</v>
      </c>
      <c r="Q594">
        <f t="shared" si="40"/>
        <v>-3.2554052724005356E-3</v>
      </c>
      <c r="R594" s="11">
        <v>48.500000000000284</v>
      </c>
      <c r="S594" s="1">
        <v>0.17057038033155175</v>
      </c>
      <c r="T594" s="1">
        <v>0.17259446166978534</v>
      </c>
      <c r="U594">
        <f t="shared" si="41"/>
        <v>-2.0240813382335909E-3</v>
      </c>
      <c r="W594" s="1">
        <v>0.24451782418517329</v>
      </c>
      <c r="X594" s="1">
        <v>0.25029582612421758</v>
      </c>
      <c r="Y594" s="12">
        <f t="shared" si="42"/>
        <v>-2.3084691536872759E-2</v>
      </c>
    </row>
    <row r="595" spans="11:25" x14ac:dyDescent="0.2">
      <c r="K595" s="1">
        <v>7.3901822870526155E-3</v>
      </c>
      <c r="L595" s="1">
        <v>7.293705129835063E-3</v>
      </c>
      <c r="M595" s="13">
        <f t="shared" si="39"/>
        <v>9.6477157217552539E-5</v>
      </c>
      <c r="O595" s="1">
        <v>0.69791669047049421</v>
      </c>
      <c r="P595" s="1">
        <v>0.70120126890418033</v>
      </c>
      <c r="Q595">
        <f t="shared" si="40"/>
        <v>-3.284578433686125E-3</v>
      </c>
      <c r="R595" s="11">
        <v>48.58333333333362</v>
      </c>
      <c r="S595" s="1">
        <v>0.17065355525922987</v>
      </c>
      <c r="T595" s="1">
        <v>0.17274198895451062</v>
      </c>
      <c r="U595">
        <f t="shared" si="41"/>
        <v>-2.0884336952807503E-3</v>
      </c>
      <c r="W595" s="1">
        <v>0.24466069410541913</v>
      </c>
      <c r="X595" s="1">
        <v>0.25057739604605422</v>
      </c>
      <c r="Y595" s="12">
        <f t="shared" si="42"/>
        <v>-2.3612273229735581E-2</v>
      </c>
    </row>
    <row r="596" spans="11:25" x14ac:dyDescent="0.2">
      <c r="K596" s="1">
        <v>7.3910699964070854E-3</v>
      </c>
      <c r="L596" s="1">
        <v>7.2939740033940714E-3</v>
      </c>
      <c r="M596" s="13">
        <f t="shared" si="39"/>
        <v>9.7095993013013998E-5</v>
      </c>
      <c r="O596" s="1">
        <v>0.69745682815195376</v>
      </c>
      <c r="P596" s="1">
        <v>0.70076601671548922</v>
      </c>
      <c r="Q596">
        <f t="shared" si="40"/>
        <v>-3.309188563535459E-3</v>
      </c>
      <c r="R596" s="11">
        <v>48.666666666666956</v>
      </c>
      <c r="S596" s="1">
        <v>0.17078599261153141</v>
      </c>
      <c r="T596" s="1">
        <v>0.17285315819685335</v>
      </c>
      <c r="U596">
        <f t="shared" si="41"/>
        <v>-2.0671655853219395E-3</v>
      </c>
      <c r="W596" s="1">
        <v>0.24489579590430693</v>
      </c>
      <c r="X596" s="1">
        <v>0.25078905161212389</v>
      </c>
      <c r="Y596" s="12">
        <f t="shared" si="42"/>
        <v>-2.3498855591716938E-2</v>
      </c>
    </row>
    <row r="597" spans="11:25" x14ac:dyDescent="0.2">
      <c r="K597" s="1">
        <v>7.3919753580860325E-3</v>
      </c>
      <c r="L597" s="1">
        <v>7.2942443833143187E-3</v>
      </c>
      <c r="M597" s="13">
        <f t="shared" si="39"/>
        <v>9.7730974771713733E-5</v>
      </c>
      <c r="O597" s="1">
        <v>0.69699656489164796</v>
      </c>
      <c r="P597" s="1">
        <v>0.70033095179790061</v>
      </c>
      <c r="Q597">
        <f t="shared" si="40"/>
        <v>-3.334386906252651E-3</v>
      </c>
      <c r="R597" s="11">
        <v>48.750000000000291</v>
      </c>
      <c r="S597" s="1">
        <v>0.17083718572700429</v>
      </c>
      <c r="T597" s="1">
        <v>0.1729477655333797</v>
      </c>
      <c r="U597">
        <f t="shared" si="41"/>
        <v>-2.1105798063754122E-3</v>
      </c>
      <c r="W597" s="1">
        <v>0.24497904341439181</v>
      </c>
      <c r="X597" s="1">
        <v>0.2509695594096058</v>
      </c>
      <c r="Y597" s="12">
        <f t="shared" si="42"/>
        <v>-2.3869492416954463E-2</v>
      </c>
    </row>
    <row r="598" spans="11:25" x14ac:dyDescent="0.2">
      <c r="K598" s="1">
        <v>7.3928882638808844E-3</v>
      </c>
      <c r="L598" s="1">
        <v>7.2945066612262752E-3</v>
      </c>
      <c r="M598" s="13">
        <f t="shared" si="39"/>
        <v>9.8381602654609192E-5</v>
      </c>
      <c r="O598" s="1">
        <v>0.69653624321883012</v>
      </c>
      <c r="P598" s="1">
        <v>0.69989640283236021</v>
      </c>
      <c r="Q598">
        <f t="shared" si="40"/>
        <v>-3.3601596135300893E-3</v>
      </c>
      <c r="R598" s="11">
        <v>48.833333333333627</v>
      </c>
      <c r="S598" s="1">
        <v>0.17098920446616214</v>
      </c>
      <c r="T598" s="1">
        <v>0.17306172197997738</v>
      </c>
      <c r="U598">
        <f t="shared" si="41"/>
        <v>-2.0725175138152363E-3</v>
      </c>
      <c r="W598" s="1">
        <v>0.24524940045506766</v>
      </c>
      <c r="X598" s="1">
        <v>0.25118595658533294</v>
      </c>
      <c r="Y598" s="12">
        <f t="shared" si="42"/>
        <v>-2.3634108415008126E-2</v>
      </c>
    </row>
    <row r="599" spans="11:25" x14ac:dyDescent="0.2">
      <c r="K599" s="1">
        <v>7.3939880479299037E-3</v>
      </c>
      <c r="L599" s="1">
        <v>7.2948138767307182E-3</v>
      </c>
      <c r="M599" s="13">
        <f t="shared" si="39"/>
        <v>9.9174171199185521E-5</v>
      </c>
      <c r="O599" s="1">
        <v>0.69606974568656033</v>
      </c>
      <c r="P599" s="1">
        <v>0.69946055275162466</v>
      </c>
      <c r="Q599">
        <f t="shared" si="40"/>
        <v>-3.3908070650643385E-3</v>
      </c>
      <c r="R599" s="11">
        <v>48.916666666666963</v>
      </c>
      <c r="S599" s="1">
        <v>0.17108358286314851</v>
      </c>
      <c r="T599" s="1">
        <v>0.17314055218029384</v>
      </c>
      <c r="U599">
        <f t="shared" si="41"/>
        <v>-2.0569693171453296E-3</v>
      </c>
      <c r="W599" s="1">
        <v>0.24540826196819521</v>
      </c>
      <c r="X599" s="1">
        <v>0.25133573216302374</v>
      </c>
      <c r="Y599" s="12">
        <f t="shared" si="42"/>
        <v>-2.358387382413174E-2</v>
      </c>
    </row>
    <row r="600" spans="11:25" x14ac:dyDescent="0.2">
      <c r="K600" s="1">
        <v>7.3951834409068011E-3</v>
      </c>
      <c r="L600" s="1">
        <v>7.2950972367826043E-3</v>
      </c>
      <c r="M600" s="13">
        <f t="shared" si="39"/>
        <v>1.0008620412419681E-4</v>
      </c>
      <c r="O600" s="1">
        <v>0.69560016876011632</v>
      </c>
      <c r="P600" s="1">
        <v>0.69902575679052903</v>
      </c>
      <c r="Q600">
        <f t="shared" si="40"/>
        <v>-3.4255880304127073E-3</v>
      </c>
      <c r="R600" s="11">
        <v>49.000000000000298</v>
      </c>
      <c r="S600" s="1">
        <v>0.17116987763481142</v>
      </c>
      <c r="T600" s="1">
        <v>0.1731745359305582</v>
      </c>
      <c r="U600">
        <f t="shared" si="41"/>
        <v>-2.0046582957467807E-3</v>
      </c>
      <c r="W600" s="1">
        <v>0.24554973699113816</v>
      </c>
      <c r="X600" s="1">
        <v>0.25140225521813964</v>
      </c>
      <c r="Y600" s="12">
        <f t="shared" si="42"/>
        <v>-2.3279497719395081E-2</v>
      </c>
    </row>
    <row r="601" spans="11:25" x14ac:dyDescent="0.2">
      <c r="K601" s="1">
        <v>7.3964126190508251E-3</v>
      </c>
      <c r="L601" s="1">
        <v>7.2953474147100482E-3</v>
      </c>
      <c r="M601" s="13">
        <f t="shared" si="39"/>
        <v>1.0106520434077695E-4</v>
      </c>
      <c r="O601" s="1">
        <v>0.69512961543985063</v>
      </c>
      <c r="P601" s="1">
        <v>0.69859233783412489</v>
      </c>
      <c r="Q601">
        <f t="shared" si="40"/>
        <v>-3.4627223942742535E-3</v>
      </c>
      <c r="R601" s="11">
        <v>49.083333333333634</v>
      </c>
      <c r="S601" s="1">
        <v>0.17127996407079965</v>
      </c>
      <c r="T601" s="1">
        <v>0.17325776747322338</v>
      </c>
      <c r="U601">
        <f t="shared" si="41"/>
        <v>-1.9778034024237334E-3</v>
      </c>
      <c r="W601" s="1">
        <v>0.24573441844506183</v>
      </c>
      <c r="X601" s="1">
        <v>0.25156085131065897</v>
      </c>
      <c r="Y601" s="12">
        <f t="shared" si="42"/>
        <v>-2.3161127159654571E-2</v>
      </c>
    </row>
    <row r="602" spans="11:25" x14ac:dyDescent="0.2">
      <c r="K602" s="1">
        <v>7.3977064859094034E-3</v>
      </c>
      <c r="L602" s="1">
        <v>7.295567570836374E-3</v>
      </c>
      <c r="M602" s="13">
        <f t="shared" si="39"/>
        <v>1.0213891507302938E-4</v>
      </c>
      <c r="O602" s="1">
        <v>0.6946570250005657</v>
      </c>
      <c r="P602" s="1">
        <v>0.6981601907815943</v>
      </c>
      <c r="Q602">
        <f t="shared" si="40"/>
        <v>-3.5031657810286054E-3</v>
      </c>
      <c r="R602" s="11">
        <v>49.16666666666697</v>
      </c>
      <c r="S602" s="1">
        <v>0.1713693252514743</v>
      </c>
      <c r="T602" s="1">
        <v>0.17339346322214683</v>
      </c>
      <c r="U602">
        <f t="shared" si="41"/>
        <v>-2.0241379706725238E-3</v>
      </c>
      <c r="W602" s="1">
        <v>0.24587883629995308</v>
      </c>
      <c r="X602" s="1">
        <v>0.25181744600366712</v>
      </c>
      <c r="Y602" s="12">
        <f t="shared" si="42"/>
        <v>-2.3582995530927464E-2</v>
      </c>
    </row>
    <row r="603" spans="11:25" x14ac:dyDescent="0.2">
      <c r="K603" s="1">
        <v>7.3990090508949738E-3</v>
      </c>
      <c r="L603" s="1">
        <v>7.2958137066686636E-3</v>
      </c>
      <c r="M603" s="13">
        <f t="shared" si="39"/>
        <v>1.0319534422631015E-4</v>
      </c>
      <c r="O603" s="1">
        <v>0.69418430827944044</v>
      </c>
      <c r="P603" s="1">
        <v>0.69772739119866811</v>
      </c>
      <c r="Q603">
        <f t="shared" si="40"/>
        <v>-3.5430829192276692E-3</v>
      </c>
      <c r="R603" s="11">
        <v>49.250000000000306</v>
      </c>
      <c r="S603" s="1">
        <v>0.1714686463512238</v>
      </c>
      <c r="T603" s="1">
        <v>0.17346288921043454</v>
      </c>
      <c r="U603">
        <f t="shared" si="41"/>
        <v>-1.9942428592107375E-3</v>
      </c>
      <c r="W603" s="1">
        <v>0.24604125075219177</v>
      </c>
      <c r="X603" s="1">
        <v>0.2519498551677134</v>
      </c>
      <c r="Y603" s="12">
        <f t="shared" si="42"/>
        <v>-2.3451509474329724E-2</v>
      </c>
    </row>
    <row r="604" spans="11:25" x14ac:dyDescent="0.2">
      <c r="K604" s="1">
        <v>7.4003859387068681E-3</v>
      </c>
      <c r="L604" s="1">
        <v>7.2960642054093663E-3</v>
      </c>
      <c r="M604" s="13">
        <f t="shared" si="39"/>
        <v>1.0432173329750181E-4</v>
      </c>
      <c r="O604" s="1">
        <v>0.69370921479262926</v>
      </c>
      <c r="P604" s="1">
        <v>0.6972946809725562</v>
      </c>
      <c r="Q604">
        <f t="shared" si="40"/>
        <v>-3.5854661799269438E-3</v>
      </c>
      <c r="R604" s="11">
        <v>49.333333333333641</v>
      </c>
      <c r="S604" s="1">
        <v>0.17155427621555411</v>
      </c>
      <c r="T604" s="1">
        <v>0.17355936270954611</v>
      </c>
      <c r="U604">
        <f t="shared" si="41"/>
        <v>-2.0050864939920032E-3</v>
      </c>
      <c r="W604" s="1">
        <v>0.24617627781869497</v>
      </c>
      <c r="X604" s="1">
        <v>0.2521322201705587</v>
      </c>
      <c r="Y604" s="12">
        <f t="shared" si="42"/>
        <v>-2.3622297649363189E-2</v>
      </c>
    </row>
    <row r="605" spans="11:25" x14ac:dyDescent="0.2">
      <c r="K605" s="1">
        <v>7.4017563239687986E-3</v>
      </c>
      <c r="L605" s="1">
        <v>7.2962515347129962E-3</v>
      </c>
      <c r="M605" s="13">
        <f t="shared" si="39"/>
        <v>1.0550478925580239E-4</v>
      </c>
      <c r="O605" s="1">
        <v>0.69323451050686558</v>
      </c>
      <c r="P605" s="1">
        <v>0.69686438901977033</v>
      </c>
      <c r="Q605">
        <f t="shared" si="40"/>
        <v>-3.6298785129047495E-3</v>
      </c>
      <c r="R605" s="11">
        <v>49.416666666666977</v>
      </c>
      <c r="S605" s="1">
        <v>0.1716976591802217</v>
      </c>
      <c r="T605" s="1">
        <v>0.17365075700314114</v>
      </c>
      <c r="U605">
        <f t="shared" si="41"/>
        <v>-1.9530978229194418E-3</v>
      </c>
      <c r="W605" s="1">
        <v>0.24641850516981925</v>
      </c>
      <c r="X605" s="1">
        <v>0.2523062007834514</v>
      </c>
      <c r="Y605" s="12">
        <f t="shared" si="42"/>
        <v>-2.3335516905053866E-2</v>
      </c>
    </row>
    <row r="606" spans="11:25" x14ac:dyDescent="0.2">
      <c r="K606" s="1">
        <v>7.4030725242847824E-3</v>
      </c>
      <c r="L606" s="1">
        <v>7.2964223600762807E-3</v>
      </c>
      <c r="M606" s="13">
        <f t="shared" si="39"/>
        <v>1.0665016420850163E-4</v>
      </c>
      <c r="O606" s="1">
        <v>0.69276183405601433</v>
      </c>
      <c r="P606" s="1">
        <v>0.6964349107577289</v>
      </c>
      <c r="Q606">
        <f t="shared" si="40"/>
        <v>-3.6730767017145727E-3</v>
      </c>
      <c r="R606" s="11">
        <v>49.500000000000313</v>
      </c>
      <c r="S606" s="1">
        <v>0.17180931324409265</v>
      </c>
      <c r="T606" s="1">
        <v>0.1737739460918174</v>
      </c>
      <c r="U606">
        <f t="shared" si="41"/>
        <v>-1.9646328477247454E-3</v>
      </c>
      <c r="W606" s="1">
        <v>0.2466025142082798</v>
      </c>
      <c r="X606" s="1">
        <v>0.25253942366513948</v>
      </c>
      <c r="Y606" s="12">
        <f t="shared" si="42"/>
        <v>-2.3508842186683143E-2</v>
      </c>
    </row>
    <row r="607" spans="11:25" x14ac:dyDescent="0.2">
      <c r="K607" s="1">
        <v>7.4043209921945564E-3</v>
      </c>
      <c r="L607" s="1">
        <v>7.2966726171377113E-3</v>
      </c>
      <c r="M607" s="13">
        <f t="shared" si="39"/>
        <v>1.0764837505684507E-4</v>
      </c>
      <c r="O607" s="1">
        <v>0.69229165692547112</v>
      </c>
      <c r="P607" s="1">
        <v>0.69600293155576876</v>
      </c>
      <c r="Q607">
        <f t="shared" si="40"/>
        <v>-3.711274630297634E-3</v>
      </c>
      <c r="R607" s="11">
        <v>49.583333333333648</v>
      </c>
      <c r="S607" s="1">
        <v>0.17198723783640621</v>
      </c>
      <c r="T607" s="1">
        <v>0.17389281141664817</v>
      </c>
      <c r="U607">
        <f t="shared" si="41"/>
        <v>-1.9055735802419593E-3</v>
      </c>
      <c r="W607" s="1">
        <v>0.24691083434409561</v>
      </c>
      <c r="X607" s="1">
        <v>0.25276259690557079</v>
      </c>
      <c r="Y607" s="12">
        <f t="shared" si="42"/>
        <v>-2.3151220287791818E-2</v>
      </c>
    </row>
    <row r="608" spans="11:25" x14ac:dyDescent="0.2">
      <c r="K608" s="1">
        <v>7.4055204749943126E-3</v>
      </c>
      <c r="L608" s="1">
        <v>7.2969821979793868E-3</v>
      </c>
      <c r="M608" s="13">
        <f t="shared" si="39"/>
        <v>1.0853827701492579E-4</v>
      </c>
      <c r="O608" s="1">
        <v>0.69182334092886255</v>
      </c>
      <c r="P608" s="1">
        <v>0.69556913840993928</v>
      </c>
      <c r="Q608">
        <f t="shared" si="40"/>
        <v>-3.7457974810767292E-3</v>
      </c>
      <c r="R608" s="11">
        <v>49.666666666666984</v>
      </c>
      <c r="S608" s="1">
        <v>0.17208471499637631</v>
      </c>
      <c r="T608" s="1">
        <v>0.17401408685688122</v>
      </c>
      <c r="U608">
        <f t="shared" si="41"/>
        <v>-1.9293718605049026E-3</v>
      </c>
      <c r="W608" s="1">
        <v>0.24707026232462045</v>
      </c>
      <c r="X608" s="1">
        <v>0.25298867867468083</v>
      </c>
      <c r="Y608" s="12">
        <f t="shared" si="42"/>
        <v>-2.3393996842328679E-2</v>
      </c>
    </row>
    <row r="609" spans="11:25" x14ac:dyDescent="0.2">
      <c r="K609" s="1">
        <v>7.4067950081757299E-3</v>
      </c>
      <c r="L609" s="1">
        <v>7.2973152594256532E-3</v>
      </c>
      <c r="M609" s="13">
        <f t="shared" si="39"/>
        <v>1.094797487500767E-4</v>
      </c>
      <c r="O609" s="1">
        <v>0.69135261785248991</v>
      </c>
      <c r="P609" s="1">
        <v>0.69513476637537763</v>
      </c>
      <c r="Q609">
        <f t="shared" si="40"/>
        <v>-3.7821485228877183E-3</v>
      </c>
      <c r="R609" s="11">
        <v>49.75000000000032</v>
      </c>
      <c r="S609" s="1">
        <v>0.17217911227939967</v>
      </c>
      <c r="T609" s="1">
        <v>0.17413325639288679</v>
      </c>
      <c r="U609">
        <f t="shared" si="41"/>
        <v>-1.9541441134871274E-3</v>
      </c>
      <c r="W609" s="1">
        <v>0.247222021882821</v>
      </c>
      <c r="X609" s="1">
        <v>0.2532100350346545</v>
      </c>
      <c r="Y609" s="12">
        <f t="shared" si="42"/>
        <v>-2.364840378863331E-2</v>
      </c>
    </row>
    <row r="610" spans="11:25" x14ac:dyDescent="0.2">
      <c r="K610" s="1">
        <v>7.4081554436827577E-3</v>
      </c>
      <c r="L610" s="1">
        <v>7.2976191121315219E-3</v>
      </c>
      <c r="M610" s="13">
        <f t="shared" si="39"/>
        <v>1.1053633155123574E-4</v>
      </c>
      <c r="O610" s="1">
        <v>0.69087910583503198</v>
      </c>
      <c r="P610" s="1">
        <v>0.69470163991265677</v>
      </c>
      <c r="Q610">
        <f t="shared" si="40"/>
        <v>-3.822534077624784E-3</v>
      </c>
      <c r="R610" s="11">
        <v>49.833333333333655</v>
      </c>
      <c r="S610" s="1">
        <v>0.17227648000062254</v>
      </c>
      <c r="T610" s="1">
        <v>0.17420529605819829</v>
      </c>
      <c r="U610">
        <f t="shared" si="41"/>
        <v>-1.9288160575757496E-3</v>
      </c>
      <c r="W610" s="1">
        <v>0.2473771226074877</v>
      </c>
      <c r="X610" s="1">
        <v>0.25334403423641949</v>
      </c>
      <c r="Y610" s="12">
        <f t="shared" si="42"/>
        <v>-2.3552603663694271E-2</v>
      </c>
    </row>
    <row r="611" spans="11:25" x14ac:dyDescent="0.2">
      <c r="K611" s="1">
        <v>7.4094301430177711E-3</v>
      </c>
      <c r="L611" s="1">
        <v>7.2981510950796162E-3</v>
      </c>
      <c r="M611" s="13">
        <f t="shared" si="39"/>
        <v>1.112790479381549E-4</v>
      </c>
      <c r="O611" s="1">
        <v>0.69040872123070918</v>
      </c>
      <c r="P611" s="1">
        <v>0.69426082902459152</v>
      </c>
      <c r="Q611">
        <f t="shared" si="40"/>
        <v>-3.8521077938823423E-3</v>
      </c>
      <c r="R611" s="11">
        <v>49.916666666666991</v>
      </c>
      <c r="S611" s="1">
        <v>0.17235648823980798</v>
      </c>
      <c r="T611" s="1">
        <v>0.17428867917355681</v>
      </c>
      <c r="U611">
        <f t="shared" si="41"/>
        <v>-1.9321909337488286E-3</v>
      </c>
      <c r="W611" s="1">
        <v>0.24750143917943387</v>
      </c>
      <c r="X611" s="1">
        <v>0.25349389350475704</v>
      </c>
      <c r="Y611" s="12">
        <f t="shared" si="42"/>
        <v>-2.3639442522550236E-2</v>
      </c>
    </row>
    <row r="612" spans="11:25" x14ac:dyDescent="0.2">
      <c r="K612" s="1">
        <v>7.410725842218158E-3</v>
      </c>
      <c r="L612" s="1">
        <v>7.2987240099688169E-3</v>
      </c>
      <c r="M612" s="13">
        <f t="shared" si="39"/>
        <v>1.1200183224934109E-4</v>
      </c>
      <c r="O612" s="1">
        <v>0.68993778467227784</v>
      </c>
      <c r="P612" s="1">
        <v>0.69381881399306644</v>
      </c>
      <c r="Q612">
        <f t="shared" si="40"/>
        <v>-3.8810293207885982E-3</v>
      </c>
      <c r="R612" s="11">
        <v>50.000000000000327</v>
      </c>
      <c r="S612" s="1">
        <v>0.17243158645094361</v>
      </c>
      <c r="T612" s="1">
        <v>0.17438078034933535</v>
      </c>
      <c r="U612">
        <f t="shared" si="41"/>
        <v>-1.9491938983917378E-3</v>
      </c>
      <c r="W612" s="1">
        <v>0.24761583719805325</v>
      </c>
      <c r="X612" s="1">
        <v>0.25365877666274322</v>
      </c>
      <c r="Y612" s="12">
        <f t="shared" si="42"/>
        <v>-2.3823104188208211E-2</v>
      </c>
    </row>
    <row r="613" spans="11:25" x14ac:dyDescent="0.2">
      <c r="K613" s="1">
        <v>7.4119955958291735E-3</v>
      </c>
      <c r="L613" s="1">
        <v>7.2992629328874487E-3</v>
      </c>
      <c r="M613" s="13">
        <f t="shared" si="39"/>
        <v>1.1273266294172489E-4</v>
      </c>
      <c r="O613" s="1">
        <v>0.68946791786875961</v>
      </c>
      <c r="P613" s="1">
        <v>0.69337819656334199</v>
      </c>
      <c r="Q613">
        <f t="shared" si="40"/>
        <v>-3.9102786945823809E-3</v>
      </c>
      <c r="R613" s="11">
        <v>50.083333333333663</v>
      </c>
      <c r="S613" s="1">
        <v>0.17249275941431796</v>
      </c>
      <c r="T613" s="1">
        <v>0.17449926284562517</v>
      </c>
      <c r="U613">
        <f t="shared" si="41"/>
        <v>-2.006503431307205E-3</v>
      </c>
      <c r="W613" s="1">
        <v>0.24770456628096507</v>
      </c>
      <c r="X613" s="1">
        <v>0.25387317180093039</v>
      </c>
      <c r="Y613" s="12">
        <f t="shared" si="42"/>
        <v>-2.4297981059622553E-2</v>
      </c>
    </row>
    <row r="614" spans="11:25" x14ac:dyDescent="0.2">
      <c r="K614" s="1">
        <v>7.4133418709319832E-3</v>
      </c>
      <c r="L614" s="1">
        <v>7.2997512312867729E-3</v>
      </c>
      <c r="M614" s="13">
        <f t="shared" si="39"/>
        <v>1.1359063964521028E-4</v>
      </c>
      <c r="O614" s="1">
        <v>0.68899557591361049</v>
      </c>
      <c r="P614" s="1">
        <v>0.69293955946694819</v>
      </c>
      <c r="Q614">
        <f t="shared" si="40"/>
        <v>-3.9439835533376932E-3</v>
      </c>
      <c r="R614" s="11">
        <v>50.166666666666998</v>
      </c>
      <c r="S614" s="1">
        <v>0.17258196304567369</v>
      </c>
      <c r="T614" s="1">
        <v>0.17461692514567267</v>
      </c>
      <c r="U614">
        <f t="shared" si="41"/>
        <v>-2.0349620999989826E-3</v>
      </c>
      <c r="W614" s="1">
        <v>0.24784341340441948</v>
      </c>
      <c r="X614" s="1">
        <v>0.25408683152597844</v>
      </c>
      <c r="Y614" s="12">
        <f t="shared" si="42"/>
        <v>-2.4571986214565467E-2</v>
      </c>
    </row>
    <row r="615" spans="11:25" x14ac:dyDescent="0.2">
      <c r="K615" s="1">
        <v>7.4146905605146675E-3</v>
      </c>
      <c r="L615" s="1">
        <v>7.3003522838324328E-3</v>
      </c>
      <c r="M615" s="13">
        <f t="shared" si="39"/>
        <v>1.143382766822347E-4</v>
      </c>
      <c r="O615" s="1">
        <v>0.6885233193855923</v>
      </c>
      <c r="P615" s="1">
        <v>0.69249721336326975</v>
      </c>
      <c r="Q615">
        <f t="shared" si="40"/>
        <v>-3.9738939776774451E-3</v>
      </c>
      <c r="R615" s="11">
        <v>50.250000000000334</v>
      </c>
      <c r="S615" s="1">
        <v>0.17267152658419735</v>
      </c>
      <c r="T615" s="1">
        <v>0.17475898302192741</v>
      </c>
      <c r="U615">
        <f t="shared" si="41"/>
        <v>-2.087456437730062E-3</v>
      </c>
      <c r="W615" s="1">
        <v>0.24798253067663845</v>
      </c>
      <c r="X615" s="1">
        <v>0.25434309510567288</v>
      </c>
      <c r="Y615" s="12">
        <f t="shared" si="42"/>
        <v>-2.5007812484124203E-2</v>
      </c>
    </row>
    <row r="616" spans="11:25" x14ac:dyDescent="0.2">
      <c r="K616" s="1">
        <v>7.4160867841364456E-3</v>
      </c>
      <c r="L616" s="1">
        <v>7.3010242829176543E-3</v>
      </c>
      <c r="M616" s="13">
        <f t="shared" si="39"/>
        <v>1.1506250121879127E-4</v>
      </c>
      <c r="O616" s="1">
        <v>0.68804958297575103</v>
      </c>
      <c r="P616" s="1">
        <v>0.69205260491039544</v>
      </c>
      <c r="Q616">
        <f t="shared" si="40"/>
        <v>-4.0030219346444129E-3</v>
      </c>
      <c r="R616" s="11">
        <v>50.33333333333367</v>
      </c>
      <c r="S616" s="1">
        <v>0.17278378084795881</v>
      </c>
      <c r="T616" s="1">
        <v>0.17486287773421011</v>
      </c>
      <c r="U616">
        <f t="shared" si="41"/>
        <v>-2.0790968862512971E-3</v>
      </c>
      <c r="W616" s="1">
        <v>0.24816244506890703</v>
      </c>
      <c r="X616" s="1">
        <v>0.2545264997711581</v>
      </c>
      <c r="Y616" s="12">
        <f t="shared" si="42"/>
        <v>-2.5003505363775158E-2</v>
      </c>
    </row>
    <row r="617" spans="11:25" x14ac:dyDescent="0.2">
      <c r="K617" s="1">
        <v>7.4175926986912227E-3</v>
      </c>
      <c r="L617" s="1">
        <v>7.3017785129150603E-3</v>
      </c>
      <c r="M617" s="13">
        <f t="shared" si="39"/>
        <v>1.1581418577616236E-4</v>
      </c>
      <c r="O617" s="1">
        <v>0.68757220377457129</v>
      </c>
      <c r="P617" s="1">
        <v>0.69160533244383637</v>
      </c>
      <c r="Q617">
        <f t="shared" si="40"/>
        <v>-4.0331286692650847E-3</v>
      </c>
      <c r="R617" s="11">
        <v>50.416666666667005</v>
      </c>
      <c r="S617" s="1">
        <v>0.17284227484570741</v>
      </c>
      <c r="T617" s="1">
        <v>0.17494870249992467</v>
      </c>
      <c r="U617">
        <f t="shared" si="41"/>
        <v>-2.1064276542172577E-3</v>
      </c>
      <c r="W617" s="1">
        <v>0.24823973647996064</v>
      </c>
      <c r="X617" s="1">
        <v>0.25467417681606247</v>
      </c>
      <c r="Y617" s="12">
        <f t="shared" si="42"/>
        <v>-2.5265381895193451E-2</v>
      </c>
    </row>
    <row r="618" spans="11:25" x14ac:dyDescent="0.2">
      <c r="K618" s="1">
        <v>7.4190992569192525E-3</v>
      </c>
      <c r="L618" s="1">
        <v>7.3025418850459958E-3</v>
      </c>
      <c r="M618" s="13">
        <f t="shared" si="39"/>
        <v>1.1655737187325679E-4</v>
      </c>
      <c r="O618" s="1">
        <v>0.68709496096399925</v>
      </c>
      <c r="P618" s="1">
        <v>0.69115794254781848</v>
      </c>
      <c r="Q618">
        <f t="shared" si="40"/>
        <v>-4.0629815838192362E-3</v>
      </c>
      <c r="R618" s="11">
        <v>50.500000000000341</v>
      </c>
      <c r="S618" s="1">
        <v>0.17299182079868725</v>
      </c>
      <c r="T618" s="1">
        <v>0.17508538391399239</v>
      </c>
      <c r="U618">
        <f t="shared" si="41"/>
        <v>-2.093563115305147E-3</v>
      </c>
      <c r="W618" s="1">
        <v>0.24848584978872704</v>
      </c>
      <c r="X618" s="1">
        <v>0.25491590943396047</v>
      </c>
      <c r="Y618" s="12">
        <f t="shared" si="42"/>
        <v>-2.5224238296900903E-2</v>
      </c>
    </row>
    <row r="619" spans="11:25" x14ac:dyDescent="0.2">
      <c r="K619" s="1">
        <v>7.4205392779273568E-3</v>
      </c>
      <c r="L619" s="1">
        <v>7.3032994560166282E-3</v>
      </c>
      <c r="M619" s="13">
        <f t="shared" si="39"/>
        <v>1.172398219107286E-4</v>
      </c>
      <c r="O619" s="1">
        <v>0.68662019174517119</v>
      </c>
      <c r="P619" s="1">
        <v>0.69071095720139219</v>
      </c>
      <c r="Q619">
        <f t="shared" si="40"/>
        <v>-4.0907654562210016E-3</v>
      </c>
      <c r="R619" s="11">
        <v>50.583333333333677</v>
      </c>
      <c r="S619" s="1">
        <v>0.17307942806586343</v>
      </c>
      <c r="T619" s="1">
        <v>0.17512096164143606</v>
      </c>
      <c r="U619">
        <f t="shared" si="41"/>
        <v>-2.0415335755726294E-3</v>
      </c>
      <c r="W619" s="1">
        <v>0.24861795235995909</v>
      </c>
      <c r="X619" s="1">
        <v>0.25496942995143118</v>
      </c>
      <c r="Y619" s="12">
        <f t="shared" si="42"/>
        <v>-2.4910741623738852E-2</v>
      </c>
    </row>
    <row r="620" spans="11:25" x14ac:dyDescent="0.2">
      <c r="K620" s="1">
        <v>7.4220158868695089E-3</v>
      </c>
      <c r="L620" s="1">
        <v>7.3041483611118408E-3</v>
      </c>
      <c r="M620" s="13">
        <f t="shared" si="39"/>
        <v>1.178675257576681E-4</v>
      </c>
      <c r="O620" s="1">
        <v>0.68614431184547553</v>
      </c>
      <c r="P620" s="1">
        <v>0.69026097426530886</v>
      </c>
      <c r="Q620">
        <f t="shared" si="40"/>
        <v>-4.1166624198333279E-3</v>
      </c>
      <c r="R620" s="11">
        <v>50.666666666667012</v>
      </c>
      <c r="S620" s="1">
        <v>0.17313211382122204</v>
      </c>
      <c r="T620" s="1">
        <v>0.17526790923244601</v>
      </c>
      <c r="U620">
        <f t="shared" si="41"/>
        <v>-2.1357954112239674E-3</v>
      </c>
      <c r="W620" s="1">
        <v>0.24868403544710774</v>
      </c>
      <c r="X620" s="1">
        <v>0.25522771850619363</v>
      </c>
      <c r="Y620" s="12">
        <f t="shared" si="42"/>
        <v>-2.563860656430661E-2</v>
      </c>
    </row>
    <row r="621" spans="11:25" x14ac:dyDescent="0.2">
      <c r="K621" s="1">
        <v>7.4235558931168436E-3</v>
      </c>
      <c r="L621" s="1">
        <v>7.3050674708146964E-3</v>
      </c>
      <c r="M621" s="13">
        <f t="shared" si="39"/>
        <v>1.1848842230214717E-4</v>
      </c>
      <c r="O621" s="1">
        <v>0.68566638332447172</v>
      </c>
      <c r="P621" s="1">
        <v>0.68980872513739633</v>
      </c>
      <c r="Q621">
        <f t="shared" si="40"/>
        <v>-4.1423418129246103E-3</v>
      </c>
      <c r="R621" s="11">
        <v>50.750000000000348</v>
      </c>
      <c r="S621" s="1">
        <v>0.17318922278822174</v>
      </c>
      <c r="T621" s="1">
        <v>0.17536958533120839</v>
      </c>
      <c r="U621">
        <f t="shared" si="41"/>
        <v>-2.1803625429866469E-3</v>
      </c>
      <c r="W621" s="1">
        <v>0.24875661409137587</v>
      </c>
      <c r="X621" s="1">
        <v>0.25539994384359449</v>
      </c>
      <c r="Y621" s="12">
        <f t="shared" si="42"/>
        <v>-2.6011476949607149E-2</v>
      </c>
    </row>
    <row r="622" spans="11:25" x14ac:dyDescent="0.2">
      <c r="K622" s="1">
        <v>7.4251898295893404E-3</v>
      </c>
      <c r="L622" s="1">
        <v>7.3061330170521707E-3</v>
      </c>
      <c r="M622" s="13">
        <f t="shared" si="39"/>
        <v>1.1905681253716969E-4</v>
      </c>
      <c r="O622" s="1">
        <v>0.68518533485028787</v>
      </c>
      <c r="P622" s="1">
        <v>0.68935152685191647</v>
      </c>
      <c r="Q622">
        <f t="shared" si="40"/>
        <v>-4.1661920016285992E-3</v>
      </c>
      <c r="R622" s="11">
        <v>50.833333333333684</v>
      </c>
      <c r="S622" s="1">
        <v>0.17328477203422255</v>
      </c>
      <c r="T622" s="1">
        <v>0.17546620406767385</v>
      </c>
      <c r="U622">
        <f t="shared" si="41"/>
        <v>-2.1814320334513082E-3</v>
      </c>
      <c r="W622" s="1">
        <v>0.24889821045440549</v>
      </c>
      <c r="X622" s="1">
        <v>0.25555920082207584</v>
      </c>
      <c r="Y622" s="12">
        <f t="shared" si="42"/>
        <v>-2.6064373132500984E-2</v>
      </c>
    </row>
    <row r="623" spans="11:25" x14ac:dyDescent="0.2">
      <c r="K623" s="1">
        <v>7.426885470778518E-3</v>
      </c>
      <c r="L623" s="1">
        <v>7.307224150726402E-3</v>
      </c>
      <c r="M623" s="13">
        <f t="shared" si="39"/>
        <v>1.1966132005211596E-4</v>
      </c>
      <c r="O623" s="1">
        <v>0.68470228268776101</v>
      </c>
      <c r="P623" s="1">
        <v>0.68889361027266671</v>
      </c>
      <c r="Q623">
        <f t="shared" si="40"/>
        <v>-4.1913275849057019E-3</v>
      </c>
      <c r="R623" s="11">
        <v>50.91666666666702</v>
      </c>
      <c r="S623" s="1">
        <v>0.17340039123889506</v>
      </c>
      <c r="T623" s="1">
        <v>0.17563001624214244</v>
      </c>
      <c r="U623">
        <f t="shared" si="41"/>
        <v>-2.2296250032473874E-3</v>
      </c>
      <c r="W623" s="1">
        <v>0.24907537706052391</v>
      </c>
      <c r="X623" s="1">
        <v>0.25584244761166181</v>
      </c>
      <c r="Y623" s="12">
        <f t="shared" si="42"/>
        <v>-2.645014779333843E-2</v>
      </c>
    </row>
    <row r="624" spans="11:25" x14ac:dyDescent="0.2">
      <c r="K624" s="1">
        <v>7.4286237696823375E-3</v>
      </c>
      <c r="L624" s="1">
        <v>7.3083403321000471E-3</v>
      </c>
      <c r="M624" s="13">
        <f t="shared" si="39"/>
        <v>1.2028343758229039E-4</v>
      </c>
      <c r="O624" s="1">
        <v>0.68421788672979333</v>
      </c>
      <c r="P624" s="1">
        <v>0.68843499181152623</v>
      </c>
      <c r="Q624">
        <f t="shared" si="40"/>
        <v>-4.217105081732897E-3</v>
      </c>
      <c r="R624" s="11">
        <v>51.000000000000355</v>
      </c>
      <c r="S624" s="1">
        <v>0.17343421771486542</v>
      </c>
      <c r="T624" s="1">
        <v>0.17579783706025809</v>
      </c>
      <c r="U624">
        <f t="shared" si="41"/>
        <v>-2.3636193453926702E-3</v>
      </c>
      <c r="W624" s="1">
        <v>0.24909933449648902</v>
      </c>
      <c r="X624" s="1">
        <v>0.25613220848946078</v>
      </c>
      <c r="Y624" s="12">
        <f t="shared" si="42"/>
        <v>-2.7457983650116202E-2</v>
      </c>
    </row>
    <row r="625" spans="11:25" x14ac:dyDescent="0.2">
      <c r="K625" s="1">
        <v>7.4302729531748523E-3</v>
      </c>
      <c r="L625" s="1">
        <v>7.3094721400642094E-3</v>
      </c>
      <c r="M625" s="13">
        <f t="shared" si="39"/>
        <v>1.2080081311064295E-4</v>
      </c>
      <c r="O625" s="1">
        <v>0.68373675302488668</v>
      </c>
      <c r="P625" s="1">
        <v>0.68797600060419617</v>
      </c>
      <c r="Q625">
        <f t="shared" si="40"/>
        <v>-4.2392475793094908E-3</v>
      </c>
      <c r="R625" s="11">
        <v>51.083333333333691</v>
      </c>
      <c r="S625" s="1">
        <v>0.17354056674653193</v>
      </c>
      <c r="T625" s="1">
        <v>0.17590031693816405</v>
      </c>
      <c r="U625">
        <f t="shared" si="41"/>
        <v>-2.3597501916321206E-3</v>
      </c>
      <c r="W625" s="1">
        <v>0.24925956560423643</v>
      </c>
      <c r="X625" s="1">
        <v>0.25629983588502375</v>
      </c>
      <c r="Y625" s="12">
        <f t="shared" si="42"/>
        <v>-2.7468883296303037E-2</v>
      </c>
    </row>
    <row r="626" spans="11:25" x14ac:dyDescent="0.2">
      <c r="K626" s="1">
        <v>7.4319281221520627E-3</v>
      </c>
      <c r="L626" s="1">
        <v>7.3106113553979765E-3</v>
      </c>
      <c r="M626" s="13">
        <f t="shared" si="39"/>
        <v>1.2131676675408622E-4</v>
      </c>
      <c r="O626" s="1">
        <v>0.68325556025213696</v>
      </c>
      <c r="P626" s="1">
        <v>0.68751692472394044</v>
      </c>
      <c r="Q626">
        <f t="shared" si="40"/>
        <v>-4.2613644718034749E-3</v>
      </c>
      <c r="R626" s="11">
        <v>51.166666666667027</v>
      </c>
      <c r="S626" s="1">
        <v>0.17366375564563621</v>
      </c>
      <c r="T626" s="1">
        <v>0.17606829024137988</v>
      </c>
      <c r="U626">
        <f t="shared" si="41"/>
        <v>-2.4045345957436626E-3</v>
      </c>
      <c r="W626" s="1">
        <v>0.24945056495634585</v>
      </c>
      <c r="X626" s="1">
        <v>0.25658862145171729</v>
      </c>
      <c r="Y626" s="12">
        <f t="shared" si="42"/>
        <v>-2.7819068729494023E-2</v>
      </c>
    </row>
    <row r="627" spans="11:25" x14ac:dyDescent="0.2">
      <c r="K627" s="1">
        <v>7.4336405672599231E-3</v>
      </c>
      <c r="L627" s="1">
        <v>7.311718235802637E-3</v>
      </c>
      <c r="M627" s="13">
        <f t="shared" si="39"/>
        <v>1.219223314572861E-4</v>
      </c>
      <c r="O627" s="1">
        <v>0.68277251030333086</v>
      </c>
      <c r="P627" s="1">
        <v>0.68705916514769383</v>
      </c>
      <c r="Q627">
        <f t="shared" si="40"/>
        <v>-4.2866548443629693E-3</v>
      </c>
      <c r="R627" s="11">
        <v>51.250000000000362</v>
      </c>
      <c r="S627" s="1">
        <v>0.17376945354540765</v>
      </c>
      <c r="T627" s="1">
        <v>0.17617315768464986</v>
      </c>
      <c r="U627">
        <f t="shared" si="41"/>
        <v>-2.4037041392422076E-3</v>
      </c>
      <c r="W627" s="1">
        <v>0.24960746086231175</v>
      </c>
      <c r="X627" s="1">
        <v>0.25676052821068918</v>
      </c>
      <c r="Y627" s="12">
        <f t="shared" si="42"/>
        <v>-2.7858905721318106E-2</v>
      </c>
    </row>
    <row r="628" spans="11:25" x14ac:dyDescent="0.2">
      <c r="K628" s="1">
        <v>7.4352829639542182E-3</v>
      </c>
      <c r="L628" s="1">
        <v>7.3128879322567585E-3</v>
      </c>
      <c r="M628" s="13">
        <f t="shared" si="39"/>
        <v>1.2239503169745973E-4</v>
      </c>
      <c r="O628" s="1">
        <v>0.68229206450876823</v>
      </c>
      <c r="P628" s="1">
        <v>0.68659936611401473</v>
      </c>
      <c r="Q628">
        <f t="shared" si="40"/>
        <v>-4.3073016052465052E-3</v>
      </c>
      <c r="R628" s="11">
        <v>51.333333333333698</v>
      </c>
      <c r="S628" s="1">
        <v>0.17383549278910199</v>
      </c>
      <c r="T628" s="1">
        <v>0.17627218817503737</v>
      </c>
      <c r="U628">
        <f t="shared" si="41"/>
        <v>-2.4366953859353835E-3</v>
      </c>
      <c r="W628" s="1">
        <v>0.24969189792871757</v>
      </c>
      <c r="X628" s="1">
        <v>0.25691984727244688</v>
      </c>
      <c r="Y628" s="12">
        <f t="shared" si="42"/>
        <v>-2.8133090613527201E-2</v>
      </c>
    </row>
    <row r="629" spans="11:25" x14ac:dyDescent="0.2">
      <c r="K629" s="1">
        <v>7.4369381252695418E-3</v>
      </c>
      <c r="L629" s="1">
        <v>7.3139948750780706E-3</v>
      </c>
      <c r="M629" s="13">
        <f t="shared" si="39"/>
        <v>1.229432501914712E-4</v>
      </c>
      <c r="O629" s="1">
        <v>0.68181132194682137</v>
      </c>
      <c r="P629" s="1">
        <v>0.68614195850633475</v>
      </c>
      <c r="Q629">
        <f t="shared" si="40"/>
        <v>-4.3306365595133789E-3</v>
      </c>
      <c r="R629" s="11">
        <v>51.416666666667034</v>
      </c>
      <c r="S629" s="1">
        <v>0.17396173394899292</v>
      </c>
      <c r="T629" s="1">
        <v>0.17637504867474027</v>
      </c>
      <c r="U629">
        <f t="shared" si="41"/>
        <v>-2.4133147257473508E-3</v>
      </c>
      <c r="W629" s="1">
        <v>0.24988744739976632</v>
      </c>
      <c r="X629" s="1">
        <v>0.25708732937472412</v>
      </c>
      <c r="Y629" s="12">
        <f t="shared" si="42"/>
        <v>-2.8005588577504015E-2</v>
      </c>
    </row>
    <row r="630" spans="11:25" x14ac:dyDescent="0.2">
      <c r="K630" s="1">
        <v>7.438540370695761E-3</v>
      </c>
      <c r="L630" s="1">
        <v>7.3150338381926371E-3</v>
      </c>
      <c r="M630" s="13">
        <f t="shared" si="39"/>
        <v>1.2350653250312385E-4</v>
      </c>
      <c r="O630" s="1">
        <v>0.68133258991158585</v>
      </c>
      <c r="P630" s="1">
        <v>0.68568713355794897</v>
      </c>
      <c r="Q630">
        <f t="shared" si="40"/>
        <v>-4.3545436463631182E-3</v>
      </c>
      <c r="R630" s="11">
        <v>51.500000000000369</v>
      </c>
      <c r="S630" s="1">
        <v>0.17410564990269642</v>
      </c>
      <c r="T630" s="1">
        <v>0.17647519566960854</v>
      </c>
      <c r="U630">
        <f t="shared" si="41"/>
        <v>-2.3695457669121178E-3</v>
      </c>
      <c r="W630" s="1">
        <v>0.25011657810003546</v>
      </c>
      <c r="X630" s="1">
        <v>0.25725094469285592</v>
      </c>
      <c r="Y630" s="12">
        <f t="shared" si="42"/>
        <v>-2.7733101627045564E-2</v>
      </c>
    </row>
    <row r="631" spans="11:25" x14ac:dyDescent="0.2">
      <c r="K631" s="1">
        <v>7.4400255300922863E-3</v>
      </c>
      <c r="L631" s="1">
        <v>7.3160156848925319E-3</v>
      </c>
      <c r="M631" s="13">
        <f t="shared" si="39"/>
        <v>1.2400984519975438E-4</v>
      </c>
      <c r="O631" s="1">
        <v>0.68085813100216841</v>
      </c>
      <c r="P631" s="1">
        <v>0.68523451357967569</v>
      </c>
      <c r="Q631">
        <f t="shared" si="40"/>
        <v>-4.3763825775072762E-3</v>
      </c>
      <c r="R631" s="11">
        <v>51.583333333333705</v>
      </c>
      <c r="S631" s="1">
        <v>0.1742502633935637</v>
      </c>
      <c r="T631" s="1">
        <v>0.17661375812560429</v>
      </c>
      <c r="U631">
        <f t="shared" si="41"/>
        <v>-2.3634947320405886E-3</v>
      </c>
      <c r="W631" s="1">
        <v>0.25034918825591507</v>
      </c>
      <c r="X631" s="1">
        <v>0.25748681691897496</v>
      </c>
      <c r="Y631" s="12">
        <f t="shared" si="42"/>
        <v>-2.7720365448091755E-2</v>
      </c>
    </row>
    <row r="632" spans="11:25" x14ac:dyDescent="0.2">
      <c r="K632" s="1">
        <v>7.4415121402493347E-3</v>
      </c>
      <c r="L632" s="1">
        <v>7.3170907064015692E-3</v>
      </c>
      <c r="M632" s="13">
        <f t="shared" si="39"/>
        <v>1.2442143384776543E-4</v>
      </c>
      <c r="O632" s="1">
        <v>0.68038378299706481</v>
      </c>
      <c r="P632" s="1">
        <v>0.68477877844416057</v>
      </c>
      <c r="Q632">
        <f t="shared" si="40"/>
        <v>-4.394995447095762E-3</v>
      </c>
      <c r="R632" s="11">
        <v>51.666666666667041</v>
      </c>
      <c r="S632" s="1">
        <v>0.17435819903949662</v>
      </c>
      <c r="T632" s="1">
        <v>0.17668229763821813</v>
      </c>
      <c r="U632">
        <f t="shared" si="41"/>
        <v>-2.3240985987215135E-3</v>
      </c>
      <c r="W632" s="1">
        <v>0.25051334425323973</v>
      </c>
      <c r="X632" s="1">
        <v>0.25759026116896805</v>
      </c>
      <c r="Y632" s="12">
        <f t="shared" si="42"/>
        <v>-2.7473542220162406E-2</v>
      </c>
    </row>
    <row r="633" spans="11:25" x14ac:dyDescent="0.2">
      <c r="K633" s="1">
        <v>7.443022587767233E-3</v>
      </c>
      <c r="L633" s="1">
        <v>7.3182932173422935E-3</v>
      </c>
      <c r="M633" s="13">
        <f t="shared" si="39"/>
        <v>1.2472937042493949E-4</v>
      </c>
      <c r="O633" s="1">
        <v>0.67990875693073727</v>
      </c>
      <c r="P633" s="1">
        <v>0.68431870166687447</v>
      </c>
      <c r="Q633">
        <f t="shared" si="40"/>
        <v>-4.4099447361372057E-3</v>
      </c>
      <c r="R633" s="11">
        <v>51.750000000000377</v>
      </c>
      <c r="S633" s="1">
        <v>0.1744359148986169</v>
      </c>
      <c r="T633" s="1">
        <v>0.17675530038795881</v>
      </c>
      <c r="U633">
        <f t="shared" si="41"/>
        <v>-2.3193854893419075E-3</v>
      </c>
      <c r="W633" s="1">
        <v>0.25062055984798204</v>
      </c>
      <c r="X633" s="1">
        <v>0.25769879731883</v>
      </c>
      <c r="Y633" s="12">
        <f t="shared" si="42"/>
        <v>-2.7467095479264625E-2</v>
      </c>
    </row>
    <row r="634" spans="11:25" x14ac:dyDescent="0.2">
      <c r="K634" s="1">
        <v>7.4445509193626488E-3</v>
      </c>
      <c r="L634" s="1">
        <v>7.3195854183663398E-3</v>
      </c>
      <c r="M634" s="13">
        <f t="shared" si="39"/>
        <v>1.2496550099630899E-4</v>
      </c>
      <c r="O634" s="1">
        <v>0.67943326063192178</v>
      </c>
      <c r="P634" s="1">
        <v>0.68385561262005323</v>
      </c>
      <c r="Q634">
        <f t="shared" si="40"/>
        <v>-4.4223519881314566E-3</v>
      </c>
      <c r="R634" s="11">
        <v>51.833333333333712</v>
      </c>
      <c r="S634" s="1">
        <v>0.1744990065315582</v>
      </c>
      <c r="T634" s="1">
        <v>0.17686678440484258</v>
      </c>
      <c r="U634">
        <f t="shared" si="41"/>
        <v>-2.3677778732843768E-3</v>
      </c>
      <c r="W634" s="1">
        <v>0.25069990704324713</v>
      </c>
      <c r="X634" s="1">
        <v>0.25787640043782434</v>
      </c>
      <c r="Y634" s="12">
        <f t="shared" si="42"/>
        <v>-2.7829197950618667E-2</v>
      </c>
    </row>
    <row r="635" spans="11:25" x14ac:dyDescent="0.2">
      <c r="K635" s="1">
        <v>7.4460581757067636E-3</v>
      </c>
      <c r="L635" s="1">
        <v>7.3208116838796881E-3</v>
      </c>
      <c r="M635" s="13">
        <f t="shared" si="39"/>
        <v>1.2524649182707546E-4</v>
      </c>
      <c r="O635" s="1">
        <v>0.67895866800669069</v>
      </c>
      <c r="P635" s="1">
        <v>0.68339503288862169</v>
      </c>
      <c r="Q635">
        <f t="shared" si="40"/>
        <v>-4.4363648819309986E-3</v>
      </c>
      <c r="R635" s="11">
        <v>51.916666666667048</v>
      </c>
      <c r="S635" s="1">
        <v>0.17460437050518568</v>
      </c>
      <c r="T635" s="1">
        <v>0.17698436127086026</v>
      </c>
      <c r="U635">
        <f t="shared" si="41"/>
        <v>-2.3799907656745778E-3</v>
      </c>
      <c r="W635" s="1">
        <v>0.25085777392976494</v>
      </c>
      <c r="X635" s="1">
        <v>0.25806643050497635</v>
      </c>
      <c r="Y635" s="12">
        <f t="shared" si="42"/>
        <v>-2.7933337013674064E-2</v>
      </c>
    </row>
    <row r="636" spans="11:25" x14ac:dyDescent="0.2">
      <c r="K636" s="1">
        <v>7.4474778293227104E-3</v>
      </c>
      <c r="L636" s="1">
        <v>7.3220272117265929E-3</v>
      </c>
      <c r="M636" s="13">
        <f t="shared" si="39"/>
        <v>1.2545061759611752E-4</v>
      </c>
      <c r="O636" s="1">
        <v>0.67848733213650581</v>
      </c>
      <c r="P636" s="1">
        <v>0.68293500571675858</v>
      </c>
      <c r="Q636">
        <f t="shared" si="40"/>
        <v>-4.4476735802527756E-3</v>
      </c>
      <c r="R636" s="11">
        <v>52.000000000000384</v>
      </c>
      <c r="S636" s="1">
        <v>0.17467993928610001</v>
      </c>
      <c r="T636" s="1">
        <v>0.17710099105983929</v>
      </c>
      <c r="U636">
        <f t="shared" si="41"/>
        <v>-2.4210517737392745E-3</v>
      </c>
      <c r="W636" s="1">
        <v>0.25096197026884703</v>
      </c>
      <c r="X636" s="1">
        <v>0.25825458315416666</v>
      </c>
      <c r="Y636" s="12">
        <f t="shared" si="42"/>
        <v>-2.823807731213146E-2</v>
      </c>
    </row>
    <row r="637" spans="11:25" x14ac:dyDescent="0.2">
      <c r="K637" s="1">
        <v>7.4490437478990689E-3</v>
      </c>
      <c r="L637" s="1">
        <v>7.3232628666983759E-3</v>
      </c>
      <c r="M637" s="13">
        <f t="shared" si="39"/>
        <v>1.2578088120069296E-4</v>
      </c>
      <c r="O637" s="1">
        <v>0.67801098969592355</v>
      </c>
      <c r="P637" s="1">
        <v>0.68247443337612845</v>
      </c>
      <c r="Q637">
        <f t="shared" si="40"/>
        <v>-4.4634436802049038E-3</v>
      </c>
      <c r="R637" s="11">
        <v>52.083333333333719</v>
      </c>
      <c r="S637" s="1">
        <v>0.17478822019077314</v>
      </c>
      <c r="T637" s="1">
        <v>0.17721108248363035</v>
      </c>
      <c r="U637">
        <f t="shared" si="41"/>
        <v>-2.4228622928572086E-3</v>
      </c>
      <c r="W637" s="1">
        <v>0.2511232353961857</v>
      </c>
      <c r="X637" s="1">
        <v>0.25842979141554745</v>
      </c>
      <c r="Y637" s="12">
        <f t="shared" si="42"/>
        <v>-2.8272885952274063E-2</v>
      </c>
    </row>
    <row r="638" spans="11:25" x14ac:dyDescent="0.2">
      <c r="K638" s="1">
        <v>7.4506819485285107E-3</v>
      </c>
      <c r="L638" s="1">
        <v>7.3245654782330919E-3</v>
      </c>
      <c r="M638" s="13">
        <f t="shared" si="39"/>
        <v>1.2611647029541883E-4</v>
      </c>
      <c r="O638" s="1">
        <v>0.67753224598532735</v>
      </c>
      <c r="P638" s="1">
        <v>0.68201164518189905</v>
      </c>
      <c r="Q638">
        <f t="shared" si="40"/>
        <v>-4.4793991965716984E-3</v>
      </c>
      <c r="R638" s="11">
        <v>52.166666666667055</v>
      </c>
      <c r="S638" s="1">
        <v>0.17488627390192152</v>
      </c>
      <c r="T638" s="1">
        <v>0.17728005386374501</v>
      </c>
      <c r="U638">
        <f t="shared" si="41"/>
        <v>-2.3937799618234945E-3</v>
      </c>
      <c r="W638" s="1">
        <v>0.25126357137105659</v>
      </c>
      <c r="X638" s="1">
        <v>0.25852685516391216</v>
      </c>
      <c r="Y638" s="12">
        <f t="shared" si="42"/>
        <v>-2.8094890908917258E-2</v>
      </c>
    </row>
    <row r="639" spans="11:25" x14ac:dyDescent="0.2">
      <c r="K639" s="1">
        <v>7.4523165128516887E-3</v>
      </c>
      <c r="L639" s="1">
        <v>7.3257364809648038E-3</v>
      </c>
      <c r="M639" s="13">
        <f t="shared" si="39"/>
        <v>1.2658003188688489E-4</v>
      </c>
      <c r="O639" s="1">
        <v>0.67705378430080077</v>
      </c>
      <c r="P639" s="1">
        <v>0.6815537170439776</v>
      </c>
      <c r="Q639">
        <f t="shared" si="40"/>
        <v>-4.4999327431768377E-3</v>
      </c>
      <c r="R639" s="11">
        <v>52.250000000000391</v>
      </c>
      <c r="S639" s="1">
        <v>0.17496635465846094</v>
      </c>
      <c r="T639" s="1">
        <v>0.17735527869393553</v>
      </c>
      <c r="U639">
        <f t="shared" si="41"/>
        <v>-2.3889240354745822E-3</v>
      </c>
      <c r="W639" s="1">
        <v>0.25137030977797192</v>
      </c>
      <c r="X639" s="1">
        <v>0.25863814971713711</v>
      </c>
      <c r="Y639" s="12">
        <f t="shared" si="42"/>
        <v>-2.8100417309332548E-2</v>
      </c>
    </row>
    <row r="640" spans="11:25" x14ac:dyDescent="0.2">
      <c r="K640" s="1">
        <v>7.4540097666808917E-3</v>
      </c>
      <c r="L640" s="1">
        <v>7.3270149330254058E-3</v>
      </c>
      <c r="M640" s="13">
        <f t="shared" si="39"/>
        <v>1.2699483365548585E-4</v>
      </c>
      <c r="O640" s="1">
        <v>0.67657339482848444</v>
      </c>
      <c r="P640" s="1">
        <v>0.68109212743453218</v>
      </c>
      <c r="Q640">
        <f t="shared" si="40"/>
        <v>-4.5187326060477373E-3</v>
      </c>
      <c r="R640" s="11">
        <v>52.333333333333727</v>
      </c>
      <c r="S640" s="1">
        <v>0.17502635134370018</v>
      </c>
      <c r="T640" s="1">
        <v>0.17746125556038569</v>
      </c>
      <c r="U640">
        <f t="shared" si="41"/>
        <v>-2.4349042166855184E-3</v>
      </c>
      <c r="W640" s="1">
        <v>0.25143816246059025</v>
      </c>
      <c r="X640" s="1">
        <v>0.25880370424111293</v>
      </c>
      <c r="Y640" s="12">
        <f t="shared" si="42"/>
        <v>-2.8459955015406657E-2</v>
      </c>
    </row>
    <row r="641" spans="11:25" x14ac:dyDescent="0.2">
      <c r="K641" s="1">
        <v>7.4557042009576486E-3</v>
      </c>
      <c r="L641" s="1">
        <v>7.328328171017336E-3</v>
      </c>
      <c r="M641" s="13">
        <f t="shared" si="39"/>
        <v>1.2737602994031261E-4</v>
      </c>
      <c r="O641" s="1">
        <v>0.67609311350711965</v>
      </c>
      <c r="P641" s="1">
        <v>0.68062946240754763</v>
      </c>
      <c r="Q641">
        <f t="shared" si="40"/>
        <v>-4.5363489004279778E-3</v>
      </c>
      <c r="R641" s="11">
        <v>52.416666666667062</v>
      </c>
      <c r="S641" s="1">
        <v>0.1751005480850677</v>
      </c>
      <c r="T641" s="1">
        <v>0.17756055282660116</v>
      </c>
      <c r="U641">
        <f t="shared" si="41"/>
        <v>-2.4600047415334614E-3</v>
      </c>
      <c r="W641" s="1">
        <v>0.25153195544371376</v>
      </c>
      <c r="X641" s="1">
        <v>0.25895572548738249</v>
      </c>
      <c r="Y641" s="12">
        <f t="shared" si="42"/>
        <v>-2.8668105444266234E-2</v>
      </c>
    </row>
    <row r="642" spans="11:25" x14ac:dyDescent="0.2">
      <c r="K642" s="1">
        <v>7.4574315663190182E-3</v>
      </c>
      <c r="L642" s="1">
        <v>7.3296732442571077E-3</v>
      </c>
      <c r="M642" s="13">
        <f t="shared" si="39"/>
        <v>1.2775832206191051E-4</v>
      </c>
      <c r="O642" s="1">
        <v>0.67561181241947321</v>
      </c>
      <c r="P642" s="1">
        <v>0.68016582419724736</v>
      </c>
      <c r="Q642">
        <f t="shared" si="40"/>
        <v>-4.5540117777741473E-3</v>
      </c>
      <c r="R642" s="11">
        <v>52.500000000000398</v>
      </c>
      <c r="S642" s="1">
        <v>0.17521427481473412</v>
      </c>
      <c r="T642" s="1">
        <v>0.17764343803434418</v>
      </c>
      <c r="U642">
        <f t="shared" si="41"/>
        <v>-2.4291632196100643E-3</v>
      </c>
      <c r="W642" s="1">
        <v>0.25169790821652194</v>
      </c>
      <c r="X642" s="1">
        <v>0.25907623837804911</v>
      </c>
      <c r="Y642" s="12">
        <f t="shared" si="42"/>
        <v>-2.8479378146445744E-2</v>
      </c>
    </row>
    <row r="643" spans="11:25" x14ac:dyDescent="0.2">
      <c r="K643" s="1">
        <v>7.4591350628124137E-3</v>
      </c>
      <c r="L643" s="1">
        <v>7.3309957674739081E-3</v>
      </c>
      <c r="M643" s="13">
        <f t="shared" si="39"/>
        <v>1.2813929533850559E-4</v>
      </c>
      <c r="O643" s="1">
        <v>0.67513150830003099</v>
      </c>
      <c r="P643" s="1">
        <v>0.67970315667635872</v>
      </c>
      <c r="Q643">
        <f t="shared" si="40"/>
        <v>-4.5716483763277305E-3</v>
      </c>
      <c r="R643" s="11">
        <v>52.583333333333734</v>
      </c>
      <c r="S643" s="1">
        <v>0.17531057149156892</v>
      </c>
      <c r="T643" s="1">
        <v>0.17776248298357541</v>
      </c>
      <c r="U643">
        <f t="shared" si="41"/>
        <v>-2.4519114920064922E-3</v>
      </c>
      <c r="W643" s="1">
        <v>0.25183172467772397</v>
      </c>
      <c r="X643" s="1">
        <v>0.25926394470283337</v>
      </c>
      <c r="Y643" s="12">
        <f t="shared" si="42"/>
        <v>-2.8666616307285508E-2</v>
      </c>
    </row>
    <row r="644" spans="11:25" x14ac:dyDescent="0.2">
      <c r="K644" s="1">
        <v>7.4609458433168088E-3</v>
      </c>
      <c r="L644" s="1">
        <v>7.3324218656771805E-3</v>
      </c>
      <c r="M644" s="13">
        <f t="shared" si="39"/>
        <v>1.2852397763962829E-4</v>
      </c>
      <c r="O644" s="1">
        <v>0.67464753609525052</v>
      </c>
      <c r="P644" s="1">
        <v>0.67923694308017124</v>
      </c>
      <c r="Q644">
        <f t="shared" si="40"/>
        <v>-4.5894069849207186E-3</v>
      </c>
      <c r="R644" s="11">
        <v>52.666666666667069</v>
      </c>
      <c r="S644" s="1">
        <v>0.17545367101370574</v>
      </c>
      <c r="T644" s="1">
        <v>0.1778699373068667</v>
      </c>
      <c r="U644">
        <f t="shared" si="41"/>
        <v>-2.416266293160968E-3</v>
      </c>
      <c r="W644" s="1">
        <v>0.25204946830848196</v>
      </c>
      <c r="X644" s="1">
        <v>0.25942744093701081</v>
      </c>
      <c r="Y644" s="12">
        <f t="shared" si="42"/>
        <v>-2.8439445734347868E-2</v>
      </c>
    </row>
    <row r="645" spans="11:25" x14ac:dyDescent="0.2">
      <c r="K645" s="1">
        <v>7.4626622280395986E-3</v>
      </c>
      <c r="L645" s="1">
        <v>7.3339645190596027E-3</v>
      </c>
      <c r="M645" s="13">
        <f t="shared" si="39"/>
        <v>1.286977089799959E-4</v>
      </c>
      <c r="O645" s="1">
        <v>0.67416706959564698</v>
      </c>
      <c r="P645" s="1">
        <v>0.67876670807378436</v>
      </c>
      <c r="Q645">
        <f t="shared" si="40"/>
        <v>-4.59963847813738E-3</v>
      </c>
      <c r="R645" s="11">
        <v>52.750000000000405</v>
      </c>
      <c r="S645" s="1">
        <v>0.17555585661306453</v>
      </c>
      <c r="T645" s="1">
        <v>0.17804918027443384</v>
      </c>
      <c r="U645">
        <f t="shared" si="41"/>
        <v>-2.4933236613693122E-3</v>
      </c>
      <c r="W645" s="1">
        <v>0.25219315388822022</v>
      </c>
      <c r="X645" s="1">
        <v>0.259720931366272</v>
      </c>
      <c r="Y645" s="12">
        <f t="shared" si="42"/>
        <v>-2.8984100120277634E-2</v>
      </c>
    </row>
    <row r="646" spans="11:25" x14ac:dyDescent="0.2">
      <c r="K646" s="1">
        <v>7.4643752554813363E-3</v>
      </c>
      <c r="L646" s="1">
        <v>7.3355119760850794E-3</v>
      </c>
      <c r="M646" s="13">
        <f t="shared" si="39"/>
        <v>1.2886327939625689E-4</v>
      </c>
      <c r="O646" s="1">
        <v>0.67368687223878965</v>
      </c>
      <c r="P646" s="1">
        <v>0.67829645179638665</v>
      </c>
      <c r="Q646">
        <f t="shared" si="40"/>
        <v>-4.6095795575969989E-3</v>
      </c>
      <c r="R646" s="11">
        <v>52.833333333333741</v>
      </c>
      <c r="S646" s="1">
        <v>0.17569474861471257</v>
      </c>
      <c r="T646" s="1">
        <v>0.17814876112667521</v>
      </c>
      <c r="U646">
        <f t="shared" si="41"/>
        <v>-2.4540125119626444E-3</v>
      </c>
      <c r="W646" s="1">
        <v>0.25240450818713184</v>
      </c>
      <c r="X646" s="1">
        <v>0.25986630635128088</v>
      </c>
      <c r="Y646" s="12">
        <f t="shared" si="42"/>
        <v>-2.8713988623297548E-2</v>
      </c>
    </row>
    <row r="647" spans="11:25" x14ac:dyDescent="0.2">
      <c r="K647" s="1">
        <v>7.4661397678875054E-3</v>
      </c>
      <c r="L647" s="1">
        <v>7.3370377251579556E-3</v>
      </c>
      <c r="M647" s="13">
        <f t="shared" si="39"/>
        <v>1.291020427295498E-4</v>
      </c>
      <c r="O647" s="1">
        <v>0.67320498773536319</v>
      </c>
      <c r="P647" s="1">
        <v>0.67782712635352682</v>
      </c>
      <c r="Q647">
        <f t="shared" si="40"/>
        <v>-4.6221386181636293E-3</v>
      </c>
      <c r="R647" s="11">
        <v>52.916666666667076</v>
      </c>
      <c r="S647" s="1">
        <v>0.17585598384102305</v>
      </c>
      <c r="T647" s="1">
        <v>0.17821694447245068</v>
      </c>
      <c r="U647">
        <f t="shared" si="41"/>
        <v>-2.3609606314276277E-3</v>
      </c>
      <c r="W647" s="1">
        <v>0.25265566581306281</v>
      </c>
      <c r="X647" s="1">
        <v>0.25995364947251576</v>
      </c>
      <c r="Y647" s="12">
        <f t="shared" si="42"/>
        <v>-2.8074172739108061E-2</v>
      </c>
    </row>
    <row r="648" spans="11:25" x14ac:dyDescent="0.2">
      <c r="K648" s="1">
        <v>7.4680307282484317E-3</v>
      </c>
      <c r="L648" s="1">
        <v>7.3384975522235545E-3</v>
      </c>
      <c r="M648" s="13">
        <f t="shared" si="39"/>
        <v>1.2953317602487722E-4</v>
      </c>
      <c r="O648" s="1">
        <v>0.6727187345922041</v>
      </c>
      <c r="P648" s="1">
        <v>0.67736032372233046</v>
      </c>
      <c r="Q648">
        <f t="shared" si="40"/>
        <v>-4.6415891301263557E-3</v>
      </c>
      <c r="R648" s="11">
        <v>53.000000000000412</v>
      </c>
      <c r="S648" s="1">
        <v>0.17594273510073119</v>
      </c>
      <c r="T648" s="1">
        <v>0.17832488354733991</v>
      </c>
      <c r="U648">
        <f t="shared" si="41"/>
        <v>-2.3821484466087228E-3</v>
      </c>
      <c r="W648" s="1">
        <v>0.2527657185094182</v>
      </c>
      <c r="X648" s="1">
        <v>0.2601157776823711</v>
      </c>
      <c r="Y648" s="12">
        <f t="shared" si="42"/>
        <v>-2.8256875605324083E-2</v>
      </c>
    </row>
    <row r="649" spans="11:25" x14ac:dyDescent="0.2">
      <c r="K649" s="1">
        <v>7.4699007695409898E-3</v>
      </c>
      <c r="L649" s="1">
        <v>7.3399810052135611E-3</v>
      </c>
      <c r="M649" s="13">
        <f t="shared" si="39"/>
        <v>1.2991976432742865E-4</v>
      </c>
      <c r="O649" s="1">
        <v>0.67223336846235793</v>
      </c>
      <c r="P649" s="1">
        <v>0.67689282762165581</v>
      </c>
      <c r="Q649">
        <f t="shared" si="40"/>
        <v>-4.6594591592978851E-3</v>
      </c>
      <c r="R649" s="11">
        <v>53.083333333333748</v>
      </c>
      <c r="S649" s="1">
        <v>0.17607476677466152</v>
      </c>
      <c r="T649" s="1">
        <v>0.17847384898140237</v>
      </c>
      <c r="U649">
        <f t="shared" si="41"/>
        <v>-2.3990822067408435E-3</v>
      </c>
      <c r="W649" s="1">
        <v>0.25295965504476742</v>
      </c>
      <c r="X649" s="1">
        <v>0.26035295679798404</v>
      </c>
      <c r="Y649" s="12">
        <f t="shared" si="42"/>
        <v>-2.839722599714245E-2</v>
      </c>
    </row>
    <row r="650" spans="11:25" x14ac:dyDescent="0.2">
      <c r="K650" s="1">
        <v>7.4717990426208993E-3</v>
      </c>
      <c r="L650" s="1">
        <v>7.3415001541252169E-3</v>
      </c>
      <c r="M650" s="13">
        <f t="shared" si="39"/>
        <v>1.3029888849568246E-4</v>
      </c>
      <c r="O650" s="1">
        <v>0.67174713329080638</v>
      </c>
      <c r="P650" s="1">
        <v>0.67642420117980939</v>
      </c>
      <c r="Q650">
        <f t="shared" si="40"/>
        <v>-4.6770678890030171E-3</v>
      </c>
      <c r="R650" s="11">
        <v>53.166666666667084</v>
      </c>
      <c r="S650" s="1">
        <v>0.17618271271592562</v>
      </c>
      <c r="T650" s="1">
        <v>0.17854773969644019</v>
      </c>
      <c r="U650">
        <f t="shared" si="41"/>
        <v>-2.3650269805145785E-3</v>
      </c>
      <c r="W650" s="1">
        <v>0.25310799751562285</v>
      </c>
      <c r="X650" s="1">
        <v>0.26044993435973218</v>
      </c>
      <c r="Y650" s="12">
        <f t="shared" si="42"/>
        <v>-2.8189436338919127E-2</v>
      </c>
    </row>
    <row r="651" spans="11:25" x14ac:dyDescent="0.2">
      <c r="K651" s="1">
        <v>7.4736785414818031E-3</v>
      </c>
      <c r="L651" s="1">
        <v>7.3430385532180084E-3</v>
      </c>
      <c r="M651" s="13">
        <f t="shared" si="39"/>
        <v>1.3063998826379469E-4</v>
      </c>
      <c r="O651" s="1">
        <v>0.67126170957510445</v>
      </c>
      <c r="P651" s="1">
        <v>0.67595503404377633</v>
      </c>
      <c r="Q651">
        <f t="shared" si="40"/>
        <v>-4.6933244686718778E-3</v>
      </c>
      <c r="R651" s="11">
        <v>53.250000000000419</v>
      </c>
      <c r="S651" s="1">
        <v>0.17627731206762176</v>
      </c>
      <c r="T651" s="1">
        <v>0.17867523066683541</v>
      </c>
      <c r="U651">
        <f t="shared" si="41"/>
        <v>-2.3979185992136498E-3</v>
      </c>
      <c r="W651" s="1">
        <v>0.25323169406051454</v>
      </c>
      <c r="X651" s="1">
        <v>0.26064532617222896</v>
      </c>
      <c r="Y651" s="12">
        <f t="shared" si="42"/>
        <v>-2.844337253458229E-2</v>
      </c>
    </row>
    <row r="652" spans="11:25" x14ac:dyDescent="0.2">
      <c r="K652" s="1">
        <v>7.4755451171295466E-3</v>
      </c>
      <c r="L652" s="1">
        <v>7.3446172762165422E-3</v>
      </c>
      <c r="M652" s="13">
        <f t="shared" ref="M652:M715" si="43">K652-L652</f>
        <v>1.3092784091300446E-4</v>
      </c>
      <c r="O652" s="1">
        <v>0.67077688956702808</v>
      </c>
      <c r="P652" s="1">
        <v>0.67548456415292557</v>
      </c>
      <c r="Q652">
        <f t="shared" ref="Q652:Q715" si="44">O652-P652</f>
        <v>-4.7076745858974922E-3</v>
      </c>
      <c r="R652" s="11">
        <v>53.333333333333755</v>
      </c>
      <c r="S652" s="1">
        <v>0.17639388198373485</v>
      </c>
      <c r="T652" s="1">
        <v>0.1787315879304727</v>
      </c>
      <c r="U652">
        <f t="shared" si="41"/>
        <v>-2.3377059467378503E-3</v>
      </c>
      <c r="W652" s="1">
        <v>0.25339593649633624</v>
      </c>
      <c r="X652" s="1">
        <v>0.26070776042448035</v>
      </c>
      <c r="Y652" s="12">
        <f t="shared" si="42"/>
        <v>-2.8046054004066123E-2</v>
      </c>
    </row>
    <row r="653" spans="11:25" x14ac:dyDescent="0.2">
      <c r="K653" s="1">
        <v>7.4772007866182487E-3</v>
      </c>
      <c r="L653" s="1">
        <v>7.3463458972115219E-3</v>
      </c>
      <c r="M653" s="13">
        <f t="shared" si="43"/>
        <v>1.3085488940672678E-4</v>
      </c>
      <c r="O653" s="1">
        <v>0.67029977446697786</v>
      </c>
      <c r="P653" s="1">
        <v>0.67500883081869878</v>
      </c>
      <c r="Q653">
        <f t="shared" si="44"/>
        <v>-4.7090563517209194E-3</v>
      </c>
      <c r="R653" s="11">
        <v>53.416666666667091</v>
      </c>
      <c r="S653" s="1">
        <v>0.17652427816014954</v>
      </c>
      <c r="T653" s="1">
        <v>0.17885262723101267</v>
      </c>
      <c r="U653">
        <f t="shared" ref="U653:U716" si="45">S653-T653</f>
        <v>-2.3283490708631283E-3</v>
      </c>
      <c r="W653" s="1">
        <v>0.25359012664207276</v>
      </c>
      <c r="X653" s="1">
        <v>0.26088607673953718</v>
      </c>
      <c r="Y653" s="12">
        <f t="shared" ref="Y653:Y716" si="46">W653/X653-1</f>
        <v>-2.7966038619793965E-2</v>
      </c>
    </row>
    <row r="654" spans="11:25" x14ac:dyDescent="0.2">
      <c r="K654" s="1">
        <v>7.4787884661642948E-3</v>
      </c>
      <c r="L654" s="1">
        <v>7.3480540919182765E-3</v>
      </c>
      <c r="M654" s="13">
        <f t="shared" si="43"/>
        <v>1.3073437424601826E-4</v>
      </c>
      <c r="O654" s="1">
        <v>0.66982525415315963</v>
      </c>
      <c r="P654" s="1">
        <v>0.67453397648353064</v>
      </c>
      <c r="Q654">
        <f t="shared" si="44"/>
        <v>-4.7087223303710068E-3</v>
      </c>
      <c r="R654" s="11">
        <v>53.500000000000426</v>
      </c>
      <c r="S654" s="1">
        <v>0.17661647163051727</v>
      </c>
      <c r="T654" s="1">
        <v>0.17896105677500038</v>
      </c>
      <c r="U654">
        <f t="shared" si="45"/>
        <v>-2.3445851444831023E-3</v>
      </c>
      <c r="W654" s="1">
        <v>0.25371485732220561</v>
      </c>
      <c r="X654" s="1">
        <v>0.26104113986841471</v>
      </c>
      <c r="Y654" s="12">
        <f t="shared" si="46"/>
        <v>-2.8065624253334587E-2</v>
      </c>
    </row>
    <row r="655" spans="11:25" x14ac:dyDescent="0.2">
      <c r="K655" s="1">
        <v>7.4804731950054906E-3</v>
      </c>
      <c r="L655" s="1">
        <v>7.3497319291685355E-3</v>
      </c>
      <c r="M655" s="13">
        <f t="shared" si="43"/>
        <v>1.3074126583695507E-4</v>
      </c>
      <c r="O655" s="1">
        <v>0.66934740646449631</v>
      </c>
      <c r="P655" s="1">
        <v>0.67406036246129308</v>
      </c>
      <c r="Q655">
        <f t="shared" si="44"/>
        <v>-4.7129559967967749E-3</v>
      </c>
      <c r="R655" s="11">
        <v>53.583333333333762</v>
      </c>
      <c r="S655" s="1">
        <v>0.17667953012911525</v>
      </c>
      <c r="T655" s="1">
        <v>0.17904787700057009</v>
      </c>
      <c r="U655">
        <f t="shared" si="45"/>
        <v>-2.3683468714548461E-3</v>
      </c>
      <c r="W655" s="1">
        <v>0.25378318214970602</v>
      </c>
      <c r="X655" s="1">
        <v>0.26115654993456272</v>
      </c>
      <c r="Y655" s="12">
        <f t="shared" si="46"/>
        <v>-2.8233516588820895E-2</v>
      </c>
    </row>
    <row r="656" spans="11:25" x14ac:dyDescent="0.2">
      <c r="K656" s="1">
        <v>7.482123414475756E-3</v>
      </c>
      <c r="L656" s="1">
        <v>7.3513578814423681E-3</v>
      </c>
      <c r="M656" s="13">
        <f t="shared" si="43"/>
        <v>1.3076553303338796E-4</v>
      </c>
      <c r="O656" s="1">
        <v>0.66887095253096018</v>
      </c>
      <c r="P656" s="1">
        <v>0.67358877113207882</v>
      </c>
      <c r="Q656">
        <f t="shared" si="44"/>
        <v>-4.7178186011186396E-3</v>
      </c>
      <c r="R656" s="11">
        <v>53.666666666667098</v>
      </c>
      <c r="S656" s="1">
        <v>0.17679983764344329</v>
      </c>
      <c r="T656" s="1">
        <v>0.17913546059576146</v>
      </c>
      <c r="U656">
        <f t="shared" si="45"/>
        <v>-2.3356229523181782E-3</v>
      </c>
      <c r="W656" s="1">
        <v>0.25395773643729069</v>
      </c>
      <c r="X656" s="1">
        <v>0.26127420193614181</v>
      </c>
      <c r="Y656" s="12">
        <f t="shared" si="46"/>
        <v>-2.8003015393916808E-2</v>
      </c>
    </row>
    <row r="657" spans="11:25" x14ac:dyDescent="0.2">
      <c r="K657" s="1">
        <v>7.4838124377464774E-3</v>
      </c>
      <c r="L657" s="1">
        <v>7.3529987557637497E-3</v>
      </c>
      <c r="M657" s="13">
        <f t="shared" si="43"/>
        <v>1.3081368198272769E-4</v>
      </c>
      <c r="O657" s="1">
        <v>0.66839325767970914</v>
      </c>
      <c r="P657" s="1">
        <v>0.67311678661444707</v>
      </c>
      <c r="Q657">
        <f t="shared" si="44"/>
        <v>-4.7235289347379306E-3</v>
      </c>
      <c r="R657" s="11">
        <v>53.750000000000433</v>
      </c>
      <c r="S657" s="1">
        <v>0.17686979079799478</v>
      </c>
      <c r="T657" s="1">
        <v>0.17920516573425341</v>
      </c>
      <c r="U657">
        <f t="shared" si="45"/>
        <v>-2.3353749362586274E-3</v>
      </c>
      <c r="W657" s="1">
        <v>0.25403799890582179</v>
      </c>
      <c r="X657" s="1">
        <v>0.26135808336995875</v>
      </c>
      <c r="Y657" s="12">
        <f t="shared" si="46"/>
        <v>-2.8007874750807682E-2</v>
      </c>
    </row>
    <row r="658" spans="11:25" x14ac:dyDescent="0.2">
      <c r="K658" s="1">
        <v>7.485505252358274E-3</v>
      </c>
      <c r="L658" s="1">
        <v>7.3547137971765085E-3</v>
      </c>
      <c r="M658" s="13">
        <f t="shared" si="43"/>
        <v>1.3079145518176544E-4</v>
      </c>
      <c r="O658" s="1">
        <v>0.66791557943513957</v>
      </c>
      <c r="P658" s="1">
        <v>0.67264225906691877</v>
      </c>
      <c r="Q658">
        <f t="shared" si="44"/>
        <v>-4.7266796317791959E-3</v>
      </c>
      <c r="R658" s="11">
        <v>53.833333333333769</v>
      </c>
      <c r="S658" s="1">
        <v>0.17698363003516165</v>
      </c>
      <c r="T658" s="1">
        <v>0.17927872057352234</v>
      </c>
      <c r="U658">
        <f t="shared" si="45"/>
        <v>-2.295090538360689E-3</v>
      </c>
      <c r="W658" s="1">
        <v>0.2541988946943019</v>
      </c>
      <c r="X658" s="1">
        <v>0.26144700418581085</v>
      </c>
      <c r="Y658" s="12">
        <f t="shared" si="46"/>
        <v>-2.7723054291942439E-2</v>
      </c>
    </row>
    <row r="659" spans="11:25" x14ac:dyDescent="0.2">
      <c r="K659" s="1">
        <v>7.4871662888505936E-3</v>
      </c>
      <c r="L659" s="1">
        <v>7.356447796556055E-3</v>
      </c>
      <c r="M659" s="13">
        <f t="shared" si="43"/>
        <v>1.3071849229453862E-4</v>
      </c>
      <c r="O659" s="1">
        <v>0.66743919960001508</v>
      </c>
      <c r="P659" s="1">
        <v>0.67216718579650714</v>
      </c>
      <c r="Q659">
        <f t="shared" si="44"/>
        <v>-4.7279861964920622E-3</v>
      </c>
      <c r="R659" s="11">
        <v>53.916666666667105</v>
      </c>
      <c r="S659" s="1">
        <v>0.17710718154236546</v>
      </c>
      <c r="T659" s="1">
        <v>0.17942858503485182</v>
      </c>
      <c r="U659">
        <f t="shared" si="45"/>
        <v>-2.3214034924863569E-3</v>
      </c>
      <c r="W659" s="1">
        <v>0.25437807457341993</v>
      </c>
      <c r="X659" s="1">
        <v>0.26167616953067929</v>
      </c>
      <c r="Y659" s="12">
        <f t="shared" si="46"/>
        <v>-2.7889795889127433E-2</v>
      </c>
    </row>
    <row r="660" spans="11:25" x14ac:dyDescent="0.2">
      <c r="K660" s="1">
        <v>7.4888191186684794E-3</v>
      </c>
      <c r="L660" s="1">
        <v>7.3582346050332179E-3</v>
      </c>
      <c r="M660" s="13">
        <f t="shared" si="43"/>
        <v>1.3058451363526149E-4</v>
      </c>
      <c r="O660" s="1">
        <v>0.66696327092111751</v>
      </c>
      <c r="P660" s="1">
        <v>0.67169033552931567</v>
      </c>
      <c r="Q660">
        <f t="shared" si="44"/>
        <v>-4.7270646081981615E-3</v>
      </c>
      <c r="R660" s="11">
        <v>54.000000000000441</v>
      </c>
      <c r="S660" s="1">
        <v>0.17718510408876595</v>
      </c>
      <c r="T660" s="1">
        <v>0.17950188767142497</v>
      </c>
      <c r="U660">
        <f t="shared" si="45"/>
        <v>-2.3167835826590211E-3</v>
      </c>
      <c r="W660" s="1">
        <v>0.25447281018485274</v>
      </c>
      <c r="X660" s="1">
        <v>0.26176220717174642</v>
      </c>
      <c r="Y660" s="12">
        <f t="shared" si="46"/>
        <v>-2.7847400377820741E-2</v>
      </c>
    </row>
    <row r="661" spans="11:25" x14ac:dyDescent="0.2">
      <c r="K661" s="1">
        <v>7.4904018299505448E-3</v>
      </c>
      <c r="L661" s="1">
        <v>7.359967054585418E-3</v>
      </c>
      <c r="M661" s="13">
        <f t="shared" si="43"/>
        <v>1.3043477536512672E-4</v>
      </c>
      <c r="O661" s="1">
        <v>0.6664900293952406</v>
      </c>
      <c r="P661" s="1">
        <v>0.67121560001419345</v>
      </c>
      <c r="Q661">
        <f t="shared" si="44"/>
        <v>-4.7255706189528457E-3</v>
      </c>
      <c r="R661" s="11">
        <v>54.083333333333776</v>
      </c>
      <c r="S661" s="1">
        <v>0.17728948416235282</v>
      </c>
      <c r="T661" s="1">
        <v>0.17959797489362112</v>
      </c>
      <c r="U661">
        <f t="shared" si="45"/>
        <v>-2.3084907312682923E-3</v>
      </c>
      <c r="W661" s="1">
        <v>0.25461764352521077</v>
      </c>
      <c r="X661" s="1">
        <v>0.26189124082045651</v>
      </c>
      <c r="Y661" s="12">
        <f t="shared" si="46"/>
        <v>-2.7773350771331251E-2</v>
      </c>
    </row>
    <row r="662" spans="11:25" x14ac:dyDescent="0.2">
      <c r="K662" s="1">
        <v>7.491930848731964E-3</v>
      </c>
      <c r="L662" s="1">
        <v>7.3616503839269952E-3</v>
      </c>
      <c r="M662" s="13">
        <f t="shared" si="43"/>
        <v>1.302804648049688E-4</v>
      </c>
      <c r="O662" s="1">
        <v>0.66601888795992292</v>
      </c>
      <c r="P662" s="1">
        <v>0.67074279373437606</v>
      </c>
      <c r="Q662">
        <f t="shared" si="44"/>
        <v>-4.723905774453141E-3</v>
      </c>
      <c r="R662" s="11">
        <v>54.166666666667112</v>
      </c>
      <c r="S662" s="1">
        <v>0.17742707310543762</v>
      </c>
      <c r="T662" s="1">
        <v>0.17969012010459706</v>
      </c>
      <c r="U662">
        <f t="shared" si="45"/>
        <v>-2.2630469991594404E-3</v>
      </c>
      <c r="W662" s="1">
        <v>0.25482463549354828</v>
      </c>
      <c r="X662" s="1">
        <v>0.26201375928200771</v>
      </c>
      <c r="Y662" s="12">
        <f t="shared" si="46"/>
        <v>-2.7437962831263762E-2</v>
      </c>
    </row>
    <row r="663" spans="11:25" x14ac:dyDescent="0.2">
      <c r="K663" s="1">
        <v>7.4933993471903932E-3</v>
      </c>
      <c r="L663" s="1">
        <v>7.3633732241602228E-3</v>
      </c>
      <c r="M663" s="13">
        <f t="shared" si="43"/>
        <v>1.3002612303017035E-4</v>
      </c>
      <c r="O663" s="1">
        <v>0.66555009847374091</v>
      </c>
      <c r="P663" s="1">
        <v>0.67026869354660534</v>
      </c>
      <c r="Q663">
        <f t="shared" si="44"/>
        <v>-4.7185950728644288E-3</v>
      </c>
      <c r="R663" s="11">
        <v>54.250000000000448</v>
      </c>
      <c r="S663" s="1">
        <v>0.17751035853772773</v>
      </c>
      <c r="T663" s="1">
        <v>0.17977789585038925</v>
      </c>
      <c r="U663">
        <f t="shared" si="45"/>
        <v>-2.2675373126615217E-3</v>
      </c>
      <c r="W663" s="1">
        <v>0.25493242553148093</v>
      </c>
      <c r="X663" s="1">
        <v>0.26212691319466458</v>
      </c>
      <c r="Y663" s="12">
        <f t="shared" si="46"/>
        <v>-2.744658141165679E-2</v>
      </c>
    </row>
    <row r="664" spans="11:25" x14ac:dyDescent="0.2">
      <c r="K664" s="1">
        <v>7.4948108869226406E-3</v>
      </c>
      <c r="L664" s="1">
        <v>7.3650582304996062E-3</v>
      </c>
      <c r="M664" s="13">
        <f t="shared" si="43"/>
        <v>1.2975265642303432E-4</v>
      </c>
      <c r="O664" s="1">
        <v>0.66508353760091088</v>
      </c>
      <c r="P664" s="1">
        <v>0.66979611511255566</v>
      </c>
      <c r="Q664">
        <f t="shared" si="44"/>
        <v>-4.7125775116447777E-3</v>
      </c>
      <c r="R664" s="11">
        <v>54.333333333333783</v>
      </c>
      <c r="S664" s="1">
        <v>0.17757709370552036</v>
      </c>
      <c r="T664" s="1">
        <v>0.17988578532967375</v>
      </c>
      <c r="U664">
        <f t="shared" si="45"/>
        <v>-2.3086916241533972E-3</v>
      </c>
      <c r="W664" s="1">
        <v>0.25501064518011496</v>
      </c>
      <c r="X664" s="1">
        <v>0.26227772019374873</v>
      </c>
      <c r="Y664" s="12">
        <f t="shared" si="46"/>
        <v>-2.7707557501511992E-2</v>
      </c>
    </row>
    <row r="665" spans="11:25" x14ac:dyDescent="0.2">
      <c r="K665" s="1">
        <v>7.4961983878329436E-3</v>
      </c>
      <c r="L665" s="1">
        <v>7.3667464778475224E-3</v>
      </c>
      <c r="M665" s="13">
        <f t="shared" si="43"/>
        <v>1.2945190998542126E-4</v>
      </c>
      <c r="O665" s="1">
        <v>0.66461801816483079</v>
      </c>
      <c r="P665" s="1">
        <v>0.66932356367871393</v>
      </c>
      <c r="Q665">
        <f t="shared" si="44"/>
        <v>-4.7055455138831359E-3</v>
      </c>
      <c r="R665" s="11">
        <v>54.416666666667119</v>
      </c>
      <c r="S665" s="1">
        <v>0.17763999680390077</v>
      </c>
      <c r="T665" s="1">
        <v>0.17996496530068418</v>
      </c>
      <c r="U665">
        <f t="shared" si="45"/>
        <v>-2.3249684967834028E-3</v>
      </c>
      <c r="W665" s="1">
        <v>0.25508201785107887</v>
      </c>
      <c r="X665" s="1">
        <v>0.26237506552230883</v>
      </c>
      <c r="Y665" s="12">
        <f t="shared" si="46"/>
        <v>-2.7796268127505686E-2</v>
      </c>
    </row>
    <row r="666" spans="11:25" x14ac:dyDescent="0.2">
      <c r="K666" s="1">
        <v>7.4974014847724677E-3</v>
      </c>
      <c r="L666" s="1">
        <v>7.368442707196045E-3</v>
      </c>
      <c r="M666" s="13">
        <f t="shared" si="43"/>
        <v>1.2895877757642272E-4</v>
      </c>
      <c r="O666" s="1">
        <v>0.66415935596452269</v>
      </c>
      <c r="P666" s="1">
        <v>0.66885086603161459</v>
      </c>
      <c r="Q666">
        <f t="shared" si="44"/>
        <v>-4.6915100670918974E-3</v>
      </c>
      <c r="R666" s="11">
        <v>54.500000000000455</v>
      </c>
      <c r="S666" s="1">
        <v>0.17769288643252873</v>
      </c>
      <c r="T666" s="1">
        <v>0.18005433830507131</v>
      </c>
      <c r="U666">
        <f t="shared" si="45"/>
        <v>-2.3614518725425804E-3</v>
      </c>
      <c r="W666" s="1">
        <v>0.25513883673829557</v>
      </c>
      <c r="X666" s="1">
        <v>0.2624906751707084</v>
      </c>
      <c r="Y666" s="12">
        <f t="shared" si="46"/>
        <v>-2.8007998484638086E-2</v>
      </c>
    </row>
    <row r="667" spans="11:25" x14ac:dyDescent="0.2">
      <c r="K667" s="1">
        <v>7.4985385096540333E-3</v>
      </c>
      <c r="L667" s="1">
        <v>7.3701917870761507E-3</v>
      </c>
      <c r="M667" s="13">
        <f t="shared" si="43"/>
        <v>1.2834672257788261E-4</v>
      </c>
      <c r="O667" s="1">
        <v>0.66370327446218269</v>
      </c>
      <c r="P667" s="1">
        <v>0.66837638221412643</v>
      </c>
      <c r="Q667">
        <f t="shared" si="44"/>
        <v>-4.6731077519437392E-3</v>
      </c>
      <c r="R667" s="11">
        <v>54.58333333333379</v>
      </c>
      <c r="S667" s="1">
        <v>0.17781297152850856</v>
      </c>
      <c r="T667" s="1">
        <v>0.18016324192305319</v>
      </c>
      <c r="U667">
        <f t="shared" si="45"/>
        <v>-2.3502703945446346E-3</v>
      </c>
      <c r="W667" s="1">
        <v>0.25532079803835628</v>
      </c>
      <c r="X667" s="1">
        <v>0.26264071719161769</v>
      </c>
      <c r="Y667" s="12">
        <f t="shared" si="46"/>
        <v>-2.7870465903125474E-2</v>
      </c>
    </row>
    <row r="668" spans="11:25" x14ac:dyDescent="0.2">
      <c r="K668" s="1">
        <v>7.4997527001301276E-3</v>
      </c>
      <c r="L668" s="1">
        <v>7.3718823621681494E-3</v>
      </c>
      <c r="M668" s="13">
        <f t="shared" si="43"/>
        <v>1.2787033796197826E-4</v>
      </c>
      <c r="O668" s="1">
        <v>0.66324457837269168</v>
      </c>
      <c r="P668" s="1">
        <v>0.66790417967907534</v>
      </c>
      <c r="Q668">
        <f t="shared" si="44"/>
        <v>-4.6596013063836539E-3</v>
      </c>
      <c r="R668" s="11">
        <v>54.666666666667126</v>
      </c>
      <c r="S668" s="1">
        <v>0.17791118100594541</v>
      </c>
      <c r="T668" s="1">
        <v>0.18027602983425042</v>
      </c>
      <c r="U668">
        <f t="shared" si="45"/>
        <v>-2.3648488283050106E-3</v>
      </c>
      <c r="W668" s="1">
        <v>0.25546029452706742</v>
      </c>
      <c r="X668" s="1">
        <v>0.26279891054411342</v>
      </c>
      <c r="Y668" s="12">
        <f t="shared" si="46"/>
        <v>-2.7924834246274899E-2</v>
      </c>
    </row>
    <row r="669" spans="11:25" x14ac:dyDescent="0.2">
      <c r="K669" s="1">
        <v>7.5009261363785029E-3</v>
      </c>
      <c r="L669" s="1">
        <v>7.3735963984184229E-3</v>
      </c>
      <c r="M669" s="13">
        <f t="shared" si="43"/>
        <v>1.2732973796008001E-4</v>
      </c>
      <c r="O669" s="1">
        <v>0.66278754629388237</v>
      </c>
      <c r="P669" s="1">
        <v>0.66743126407408893</v>
      </c>
      <c r="Q669">
        <f t="shared" si="44"/>
        <v>-4.6437177802065577E-3</v>
      </c>
      <c r="R669" s="11">
        <v>54.750000000000462</v>
      </c>
      <c r="S669" s="1">
        <v>0.17800352941033612</v>
      </c>
      <c r="T669" s="1">
        <v>0.18039559036973346</v>
      </c>
      <c r="U669">
        <f t="shared" si="45"/>
        <v>-2.3920609593973408E-3</v>
      </c>
      <c r="W669" s="1">
        <v>0.25558959076219212</v>
      </c>
      <c r="X669" s="1">
        <v>0.26296865532206121</v>
      </c>
      <c r="Y669" s="12">
        <f t="shared" si="46"/>
        <v>-2.8060623996543854E-2</v>
      </c>
    </row>
    <row r="670" spans="11:25" x14ac:dyDescent="0.2">
      <c r="K670" s="1">
        <v>7.5020126161101774E-3</v>
      </c>
      <c r="L670" s="1">
        <v>7.3752893541008408E-3</v>
      </c>
      <c r="M670" s="13">
        <f t="shared" si="43"/>
        <v>1.2672326200933656E-4</v>
      </c>
      <c r="O670" s="1">
        <v>0.66233386249176596</v>
      </c>
      <c r="P670" s="1">
        <v>0.66695926491071311</v>
      </c>
      <c r="Q670">
        <f t="shared" si="44"/>
        <v>-4.6254024189471554E-3</v>
      </c>
      <c r="R670" s="11">
        <v>54.833333333333798</v>
      </c>
      <c r="S670" s="1">
        <v>0.17805289367856261</v>
      </c>
      <c r="T670" s="1">
        <v>0.18051948865991915</v>
      </c>
      <c r="U670">
        <f t="shared" si="45"/>
        <v>-2.4665949813565402E-3</v>
      </c>
      <c r="W670" s="1">
        <v>0.2556413351413363</v>
      </c>
      <c r="X670" s="1">
        <v>0.26314649850404143</v>
      </c>
      <c r="Y670" s="12">
        <f t="shared" si="46"/>
        <v>-2.8520855893470531E-2</v>
      </c>
    </row>
    <row r="671" spans="11:25" x14ac:dyDescent="0.2">
      <c r="K671" s="1">
        <v>7.5031616321834726E-3</v>
      </c>
      <c r="L671" s="1">
        <v>7.3768777194840093E-3</v>
      </c>
      <c r="M671" s="13">
        <f t="shared" si="43"/>
        <v>1.2628391269946335E-4</v>
      </c>
      <c r="O671" s="1">
        <v>0.66187809285403953</v>
      </c>
      <c r="P671" s="1">
        <v>0.66649124544120009</v>
      </c>
      <c r="Q671">
        <f t="shared" si="44"/>
        <v>-4.6131525871605517E-3</v>
      </c>
      <c r="R671" s="11">
        <v>54.916666666667133</v>
      </c>
      <c r="S671" s="1">
        <v>0.1781010479559029</v>
      </c>
      <c r="T671" s="1">
        <v>0.18064399500378123</v>
      </c>
      <c r="U671">
        <f t="shared" si="45"/>
        <v>-2.54294704787833E-3</v>
      </c>
      <c r="W671" s="1">
        <v>0.25568909797866302</v>
      </c>
      <c r="X671" s="1">
        <v>0.26332752875360838</v>
      </c>
      <c r="Y671" s="12">
        <f t="shared" si="46"/>
        <v>-2.9007338545650185E-2</v>
      </c>
    </row>
    <row r="672" spans="11:25" x14ac:dyDescent="0.2">
      <c r="K672" s="1">
        <v>7.5042735680392464E-3</v>
      </c>
      <c r="L672" s="1">
        <v>7.3785419225463333E-3</v>
      </c>
      <c r="M672" s="13">
        <f t="shared" si="43"/>
        <v>1.2573164549291305E-4</v>
      </c>
      <c r="O672" s="1">
        <v>0.66142386113755824</v>
      </c>
      <c r="P672" s="1">
        <v>0.66602059584108397</v>
      </c>
      <c r="Q672">
        <f t="shared" si="44"/>
        <v>-4.5967347035257289E-3</v>
      </c>
      <c r="R672" s="11">
        <v>55.000000000000469</v>
      </c>
      <c r="S672" s="1">
        <v>0.17818065318130505</v>
      </c>
      <c r="T672" s="1">
        <v>0.18074990629788129</v>
      </c>
      <c r="U672">
        <f t="shared" si="45"/>
        <v>-2.5692531165762422E-3</v>
      </c>
      <c r="W672" s="1">
        <v>0.25579537823812254</v>
      </c>
      <c r="X672" s="1">
        <v>0.26347210349408062</v>
      </c>
      <c r="Y672" s="12">
        <f t="shared" si="46"/>
        <v>-2.9136766868871011E-2</v>
      </c>
    </row>
    <row r="673" spans="11:25" x14ac:dyDescent="0.2">
      <c r="K673" s="1">
        <v>7.5053003324658972E-3</v>
      </c>
      <c r="L673" s="1">
        <v>7.3802007161419807E-3</v>
      </c>
      <c r="M673" s="13">
        <f t="shared" si="43"/>
        <v>1.2509961632391643E-4</v>
      </c>
      <c r="O673" s="1">
        <v>0.66097292431301857</v>
      </c>
      <c r="P673" s="1">
        <v>0.66555029260819643</v>
      </c>
      <c r="Q673">
        <f t="shared" si="44"/>
        <v>-4.5773682951778527E-3</v>
      </c>
      <c r="R673" s="11">
        <v>55.083333333333805</v>
      </c>
      <c r="S673" s="1">
        <v>0.17827062295903168</v>
      </c>
      <c r="T673" s="1">
        <v>0.18088496354756758</v>
      </c>
      <c r="U673">
        <f t="shared" si="45"/>
        <v>-2.6143405885359072E-3</v>
      </c>
      <c r="W673" s="1">
        <v>0.25592241543020006</v>
      </c>
      <c r="X673" s="1">
        <v>0.2636701277353416</v>
      </c>
      <c r="Y673" s="12">
        <f t="shared" si="46"/>
        <v>-2.938411101661953E-2</v>
      </c>
    </row>
    <row r="674" spans="11:25" x14ac:dyDescent="0.2">
      <c r="K674" s="1">
        <v>7.5063501112767172E-3</v>
      </c>
      <c r="L674" s="1">
        <v>7.3817260291357528E-3</v>
      </c>
      <c r="M674" s="13">
        <f t="shared" si="43"/>
        <v>1.2462408214096443E-4</v>
      </c>
      <c r="O674" s="1">
        <v>0.66052134200581292</v>
      </c>
      <c r="P674" s="1">
        <v>0.66508504245628952</v>
      </c>
      <c r="Q674">
        <f t="shared" si="44"/>
        <v>-4.5637004504766043E-3</v>
      </c>
      <c r="R674" s="11">
        <v>55.16666666666714</v>
      </c>
      <c r="S674" s="1">
        <v>0.17835296763159358</v>
      </c>
      <c r="T674" s="1">
        <v>0.18103050689327613</v>
      </c>
      <c r="U674">
        <f t="shared" si="45"/>
        <v>-2.6775392616825433E-3</v>
      </c>
      <c r="W674" s="1">
        <v>0.25603455087539684</v>
      </c>
      <c r="X674" s="1">
        <v>0.2638902163520675</v>
      </c>
      <c r="Y674" s="12">
        <f t="shared" si="46"/>
        <v>-2.9768687847790742E-2</v>
      </c>
    </row>
    <row r="675" spans="11:25" x14ac:dyDescent="0.2">
      <c r="K675" s="1">
        <v>7.5074382773607645E-3</v>
      </c>
      <c r="L675" s="1">
        <v>7.3833446752409699E-3</v>
      </c>
      <c r="M675" s="13">
        <f t="shared" si="43"/>
        <v>1.240936021197946E-4</v>
      </c>
      <c r="O675" s="1">
        <v>0.66006855068523518</v>
      </c>
      <c r="P675" s="1">
        <v>0.66461651620085127</v>
      </c>
      <c r="Q675">
        <f t="shared" si="44"/>
        <v>-4.5479655156160925E-3</v>
      </c>
      <c r="R675" s="11">
        <v>55.250000000000476</v>
      </c>
      <c r="S675" s="1">
        <v>0.17840523028291963</v>
      </c>
      <c r="T675" s="1">
        <v>0.18115570516884325</v>
      </c>
      <c r="U675">
        <f t="shared" si="45"/>
        <v>-2.750474885923615E-3</v>
      </c>
      <c r="W675" s="1">
        <v>0.25609006507168747</v>
      </c>
      <c r="X675" s="1">
        <v>0.26407021598289859</v>
      </c>
      <c r="Y675" s="12">
        <f t="shared" si="46"/>
        <v>-3.0219806809746119E-2</v>
      </c>
    </row>
    <row r="676" spans="11:25" x14ac:dyDescent="0.2">
      <c r="K676" s="1">
        <v>7.5085620831120362E-3</v>
      </c>
      <c r="L676" s="1">
        <v>7.3850254594492199E-3</v>
      </c>
      <c r="M676" s="13">
        <f t="shared" si="43"/>
        <v>1.2353662366281631E-4</v>
      </c>
      <c r="O676" s="1">
        <v>0.65961464736614894</v>
      </c>
      <c r="P676" s="1">
        <v>0.66414585385232772</v>
      </c>
      <c r="Q676">
        <f t="shared" si="44"/>
        <v>-4.5312064861787738E-3</v>
      </c>
      <c r="R676" s="11">
        <v>55.333333333333812</v>
      </c>
      <c r="S676" s="1">
        <v>0.17849330700234067</v>
      </c>
      <c r="T676" s="1">
        <v>0.18121797772967294</v>
      </c>
      <c r="U676">
        <f t="shared" si="45"/>
        <v>-2.7246707273322623E-3</v>
      </c>
      <c r="W676" s="1">
        <v>0.25621041036846859</v>
      </c>
      <c r="X676" s="1">
        <v>0.26413249674489292</v>
      </c>
      <c r="Y676" s="12">
        <f t="shared" si="46"/>
        <v>-2.9992850081130729E-2</v>
      </c>
    </row>
    <row r="677" spans="11:25" x14ac:dyDescent="0.2">
      <c r="K677" s="1">
        <v>7.5097185297090165E-3</v>
      </c>
      <c r="L677" s="1">
        <v>7.3867620828958506E-3</v>
      </c>
      <c r="M677" s="13">
        <f t="shared" si="43"/>
        <v>1.2295644681316591E-4</v>
      </c>
      <c r="O677" s="1">
        <v>0.65915973860406141</v>
      </c>
      <c r="P677" s="1">
        <v>0.66367328211923582</v>
      </c>
      <c r="Q677">
        <f t="shared" si="44"/>
        <v>-4.5135435151744119E-3</v>
      </c>
      <c r="R677" s="11">
        <v>55.416666666667147</v>
      </c>
      <c r="S677" s="1">
        <v>0.17856059210401568</v>
      </c>
      <c r="T677" s="1">
        <v>0.18131212537727881</v>
      </c>
      <c r="U677">
        <f t="shared" si="45"/>
        <v>-2.7515332732631348E-3</v>
      </c>
      <c r="W677" s="1">
        <v>0.25629138438631427</v>
      </c>
      <c r="X677" s="1">
        <v>0.26425177550241236</v>
      </c>
      <c r="Y677" s="12">
        <f t="shared" si="46"/>
        <v>-3.0124267286239736E-2</v>
      </c>
    </row>
    <row r="678" spans="11:25" x14ac:dyDescent="0.2">
      <c r="K678" s="1">
        <v>7.5109315583966312E-3</v>
      </c>
      <c r="L678" s="1">
        <v>7.3885365343178983E-3</v>
      </c>
      <c r="M678" s="13">
        <f t="shared" si="43"/>
        <v>1.223950240787329E-4</v>
      </c>
      <c r="O678" s="1">
        <v>0.65870294497608051</v>
      </c>
      <c r="P678" s="1">
        <v>0.66319946024067311</v>
      </c>
      <c r="Q678">
        <f t="shared" si="44"/>
        <v>-4.4965152645926043E-3</v>
      </c>
      <c r="R678" s="11">
        <v>55.500000000000483</v>
      </c>
      <c r="S678" s="1">
        <v>0.17862667799948953</v>
      </c>
      <c r="T678" s="1">
        <v>0.18143655314873</v>
      </c>
      <c r="U678">
        <f t="shared" si="45"/>
        <v>-2.8098751492404705E-3</v>
      </c>
      <c r="W678" s="1">
        <v>0.25636851725672605</v>
      </c>
      <c r="X678" s="1">
        <v>0.26442550121887609</v>
      </c>
      <c r="Y678" s="12">
        <f t="shared" si="46"/>
        <v>-3.046976908434007E-2</v>
      </c>
    </row>
    <row r="679" spans="11:25" x14ac:dyDescent="0.2">
      <c r="K679" s="1">
        <v>7.5121739187547776E-3</v>
      </c>
      <c r="L679" s="1">
        <v>7.3904322538841348E-3</v>
      </c>
      <c r="M679" s="13">
        <f t="shared" si="43"/>
        <v>1.2174166487064278E-4</v>
      </c>
      <c r="O679" s="1">
        <v>0.65824526004331485</v>
      </c>
      <c r="P679" s="1">
        <v>0.66272130686880415</v>
      </c>
      <c r="Q679">
        <f t="shared" si="44"/>
        <v>-4.4760468254892993E-3</v>
      </c>
      <c r="R679" s="11">
        <v>55.583333333333819</v>
      </c>
      <c r="S679" s="1">
        <v>0.17871535685210577</v>
      </c>
      <c r="T679" s="1">
        <v>0.18150837973657047</v>
      </c>
      <c r="U679">
        <f t="shared" si="45"/>
        <v>-2.793022884464702E-3</v>
      </c>
      <c r="W679" s="1">
        <v>0.25648624222275923</v>
      </c>
      <c r="X679" s="1">
        <v>0.2644991604937223</v>
      </c>
      <c r="Y679" s="12">
        <f t="shared" si="46"/>
        <v>-3.0294683189186378E-2</v>
      </c>
    </row>
    <row r="680" spans="11:25" x14ac:dyDescent="0.2">
      <c r="K680" s="1">
        <v>7.5134154015628445E-3</v>
      </c>
      <c r="L680" s="1">
        <v>7.3924239603363438E-3</v>
      </c>
      <c r="M680" s="13">
        <f t="shared" si="43"/>
        <v>1.2099144122650063E-4</v>
      </c>
      <c r="O680" s="1">
        <v>0.65778778910227442</v>
      </c>
      <c r="P680" s="1">
        <v>0.66223974516543727</v>
      </c>
      <c r="Q680">
        <f t="shared" si="44"/>
        <v>-4.451956063162843E-3</v>
      </c>
      <c r="R680" s="11">
        <v>55.666666666667155</v>
      </c>
      <c r="S680" s="1">
        <v>0.17880449333208828</v>
      </c>
      <c r="T680" s="1">
        <v>0.18160423736411949</v>
      </c>
      <c r="U680">
        <f t="shared" si="45"/>
        <v>-2.7997440320312039E-3</v>
      </c>
      <c r="W680" s="1">
        <v>0.25660450047043509</v>
      </c>
      <c r="X680" s="1">
        <v>0.26461436762412616</v>
      </c>
      <c r="Y680" s="12">
        <f t="shared" si="46"/>
        <v>-3.0269963137711242E-2</v>
      </c>
    </row>
    <row r="681" spans="11:25" x14ac:dyDescent="0.2">
      <c r="K681" s="1">
        <v>7.5147721967843209E-3</v>
      </c>
      <c r="L681" s="1">
        <v>7.3944125835120646E-3</v>
      </c>
      <c r="M681" s="13">
        <f t="shared" si="43"/>
        <v>1.2035961327225633E-4</v>
      </c>
      <c r="O681" s="1">
        <v>0.6573262680243267</v>
      </c>
      <c r="P681" s="1">
        <v>0.66175842763546311</v>
      </c>
      <c r="Q681">
        <f t="shared" si="44"/>
        <v>-4.4321596111364103E-3</v>
      </c>
      <c r="R681" s="11">
        <v>55.75000000000049</v>
      </c>
      <c r="S681" s="1">
        <v>0.17887984662149145</v>
      </c>
      <c r="T681" s="1">
        <v>0.18171417679360544</v>
      </c>
      <c r="U681">
        <f t="shared" si="45"/>
        <v>-2.8343301721139857E-3</v>
      </c>
      <c r="W681" s="1">
        <v>0.25669436343112739</v>
      </c>
      <c r="X681" s="1">
        <v>0.26475515212012335</v>
      </c>
      <c r="Y681" s="12">
        <f t="shared" si="46"/>
        <v>-3.0446201422130059E-2</v>
      </c>
    </row>
    <row r="682" spans="11:25" x14ac:dyDescent="0.2">
      <c r="K682" s="1">
        <v>7.5162337929928612E-3</v>
      </c>
      <c r="L682" s="1">
        <v>7.3964037379034564E-3</v>
      </c>
      <c r="M682" s="13">
        <f t="shared" si="43"/>
        <v>1.1983005508940485E-4</v>
      </c>
      <c r="O682" s="1">
        <v>0.65686107292585161</v>
      </c>
      <c r="P682" s="1">
        <v>0.66127714716109753</v>
      </c>
      <c r="Q682">
        <f t="shared" si="44"/>
        <v>-4.4160742352459259E-3</v>
      </c>
      <c r="R682" s="11">
        <v>55.833333333333826</v>
      </c>
      <c r="S682" s="1">
        <v>0.17897144683828278</v>
      </c>
      <c r="T682" s="1">
        <v>0.18179291594150879</v>
      </c>
      <c r="U682">
        <f t="shared" si="45"/>
        <v>-2.8214691032260042E-3</v>
      </c>
      <c r="W682" s="1">
        <v>0.25681133306308068</v>
      </c>
      <c r="X682" s="1">
        <v>0.26483811334162366</v>
      </c>
      <c r="Y682" s="12">
        <f t="shared" si="46"/>
        <v>-3.0308252000681546E-2</v>
      </c>
    </row>
    <row r="683" spans="11:25" x14ac:dyDescent="0.2">
      <c r="K683" s="1">
        <v>7.5178281215108108E-3</v>
      </c>
      <c r="L683" s="1">
        <v>7.3984062261889978E-3</v>
      </c>
      <c r="M683" s="13">
        <f t="shared" si="43"/>
        <v>1.1942189532181298E-4</v>
      </c>
      <c r="O683" s="1">
        <v>0.65639116817220788</v>
      </c>
      <c r="P683" s="1">
        <v>0.66079557801308075</v>
      </c>
      <c r="Q683">
        <f t="shared" si="44"/>
        <v>-4.4044098408728694E-3</v>
      </c>
      <c r="R683" s="11">
        <v>55.916666666667162</v>
      </c>
      <c r="S683" s="1">
        <v>0.17912476178503431</v>
      </c>
      <c r="T683" s="1">
        <v>0.18191471559263164</v>
      </c>
      <c r="U683">
        <f t="shared" si="45"/>
        <v>-2.789953807597334E-3</v>
      </c>
      <c r="W683" s="1">
        <v>0.25703835247168361</v>
      </c>
      <c r="X683" s="1">
        <v>0.26499957154444903</v>
      </c>
      <c r="Y683" s="12">
        <f t="shared" si="46"/>
        <v>-3.0042384696573277E-2</v>
      </c>
    </row>
    <row r="684" spans="11:25" x14ac:dyDescent="0.2">
      <c r="K684" s="1">
        <v>7.5195603225584251E-3</v>
      </c>
      <c r="L684" s="1">
        <v>7.4004870014103274E-3</v>
      </c>
      <c r="M684" s="13">
        <f t="shared" si="43"/>
        <v>1.1907332114809762E-4</v>
      </c>
      <c r="O684" s="1">
        <v>0.65591635349115329</v>
      </c>
      <c r="P684" s="1">
        <v>0.66031124002106212</v>
      </c>
      <c r="Q684">
        <f t="shared" si="44"/>
        <v>-4.3948865299088258E-3</v>
      </c>
      <c r="R684" s="11">
        <v>56.000000000000497</v>
      </c>
      <c r="S684" s="1">
        <v>0.17923569534865771</v>
      </c>
      <c r="T684" s="1">
        <v>0.18204714586278148</v>
      </c>
      <c r="U684">
        <f t="shared" si="45"/>
        <v>-2.8114505141237645E-3</v>
      </c>
      <c r="W684" s="1">
        <v>0.25718379043045553</v>
      </c>
      <c r="X684" s="1">
        <v>0.26517826775078945</v>
      </c>
      <c r="Y684" s="12">
        <f t="shared" si="46"/>
        <v>-3.0147558426043441E-2</v>
      </c>
    </row>
    <row r="685" spans="11:25" x14ac:dyDescent="0.2">
      <c r="K685" s="1">
        <v>7.5213369119817861E-3</v>
      </c>
      <c r="L685" s="1">
        <v>7.4026454306187987E-3</v>
      </c>
      <c r="M685" s="13">
        <f t="shared" si="43"/>
        <v>1.1869148136298743E-4</v>
      </c>
      <c r="O685" s="1">
        <v>0.65544005894083845</v>
      </c>
      <c r="P685" s="1">
        <v>0.6598241503324177</v>
      </c>
      <c r="Q685">
        <f t="shared" si="44"/>
        <v>-4.3840913915792479E-3</v>
      </c>
      <c r="R685" s="11">
        <v>56.083333333333833</v>
      </c>
      <c r="S685" s="1">
        <v>0.17935921035500099</v>
      </c>
      <c r="T685" s="1">
        <v>0.18216191810527393</v>
      </c>
      <c r="U685">
        <f t="shared" si="45"/>
        <v>-2.8027077502729425E-3</v>
      </c>
      <c r="W685" s="1">
        <v>0.25735093350966021</v>
      </c>
      <c r="X685" s="1">
        <v>0.26532223325680254</v>
      </c>
      <c r="Y685" s="12">
        <f t="shared" si="46"/>
        <v>-3.0043843854679952E-2</v>
      </c>
    </row>
    <row r="686" spans="11:25" x14ac:dyDescent="0.2">
      <c r="K686" s="1">
        <v>7.5230961032821935E-3</v>
      </c>
      <c r="L686" s="1">
        <v>7.4047514549097516E-3</v>
      </c>
      <c r="M686" s="13">
        <f t="shared" si="43"/>
        <v>1.1834464837244194E-4</v>
      </c>
      <c r="O686" s="1">
        <v>0.65496455729586112</v>
      </c>
      <c r="P686" s="1">
        <v>0.65933912634644753</v>
      </c>
      <c r="Q686">
        <f t="shared" si="44"/>
        <v>-4.3745690505864188E-3</v>
      </c>
      <c r="R686" s="11">
        <v>56.166666666667169</v>
      </c>
      <c r="S686" s="1">
        <v>0.17947767675831433</v>
      </c>
      <c r="T686" s="1">
        <v>0.18230593314918553</v>
      </c>
      <c r="U686">
        <f t="shared" si="45"/>
        <v>-2.8282563908711977E-3</v>
      </c>
      <c r="W686" s="1">
        <v>0.25750881746151411</v>
      </c>
      <c r="X686" s="1">
        <v>0.26552073099922374</v>
      </c>
      <c r="Y686" s="12">
        <f t="shared" si="46"/>
        <v>-3.0174342724798575E-2</v>
      </c>
    </row>
    <row r="687" spans="11:25" x14ac:dyDescent="0.2">
      <c r="K687" s="1">
        <v>7.5247794280431466E-3</v>
      </c>
      <c r="L687" s="1">
        <v>7.4068447066220986E-3</v>
      </c>
      <c r="M687" s="13">
        <f t="shared" si="43"/>
        <v>1.1793472142104799E-4</v>
      </c>
      <c r="O687" s="1">
        <v>0.65449200588922862</v>
      </c>
      <c r="P687" s="1">
        <v>0.65885470169193228</v>
      </c>
      <c r="Q687">
        <f t="shared" si="44"/>
        <v>-4.3626958027036533E-3</v>
      </c>
      <c r="R687" s="11">
        <v>56.250000000000504</v>
      </c>
      <c r="S687" s="1">
        <v>0.17958118701182443</v>
      </c>
      <c r="T687" s="1">
        <v>0.18239181775064942</v>
      </c>
      <c r="U687">
        <f t="shared" si="45"/>
        <v>-2.8106307388249818E-3</v>
      </c>
      <c r="W687" s="1">
        <v>0.25764063071566379</v>
      </c>
      <c r="X687" s="1">
        <v>0.2656123852645777</v>
      </c>
      <c r="Y687" s="12">
        <f t="shared" si="46"/>
        <v>-3.0012736570898979E-2</v>
      </c>
    </row>
    <row r="688" spans="11:25" x14ac:dyDescent="0.2">
      <c r="K688" s="1">
        <v>7.526352720363786E-3</v>
      </c>
      <c r="L688" s="1">
        <v>7.4089569890611095E-3</v>
      </c>
      <c r="M688" s="13">
        <f t="shared" si="43"/>
        <v>1.1739573130267657E-4</v>
      </c>
      <c r="O688" s="1">
        <v>0.65402367188280519</v>
      </c>
      <c r="P688" s="1">
        <v>0.65836969640192078</v>
      </c>
      <c r="Q688">
        <f t="shared" si="44"/>
        <v>-4.3460245191155877E-3</v>
      </c>
      <c r="R688" s="11">
        <v>56.33333333333384</v>
      </c>
      <c r="S688" s="1">
        <v>0.17963612016418321</v>
      </c>
      <c r="T688" s="1">
        <v>0.1824549615803468</v>
      </c>
      <c r="U688">
        <f t="shared" si="45"/>
        <v>-2.8188414161635922E-3</v>
      </c>
      <c r="W688" s="1">
        <v>0.2576854536819535</v>
      </c>
      <c r="X688" s="1">
        <v>0.26566146114485917</v>
      </c>
      <c r="Y688" s="12">
        <f t="shared" si="46"/>
        <v>-3.0023201063990701E-2</v>
      </c>
    </row>
    <row r="689" spans="11:25" x14ac:dyDescent="0.2">
      <c r="K689" s="1">
        <v>7.5279856206463287E-3</v>
      </c>
      <c r="L689" s="1">
        <v>7.4110747480447443E-3</v>
      </c>
      <c r="M689" s="13">
        <f t="shared" si="43"/>
        <v>1.1691087260158432E-4</v>
      </c>
      <c r="O689" s="1">
        <v>0.6535533005561257</v>
      </c>
      <c r="P689" s="1">
        <v>0.65788461296845913</v>
      </c>
      <c r="Q689">
        <f t="shared" si="44"/>
        <v>-4.3313124123334212E-3</v>
      </c>
      <c r="R689" s="11">
        <v>56.416666666667176</v>
      </c>
      <c r="S689" s="1">
        <v>0.17969128763637299</v>
      </c>
      <c r="T689" s="1">
        <v>0.1825716820775227</v>
      </c>
      <c r="U689">
        <f t="shared" si="45"/>
        <v>-2.8803944411497084E-3</v>
      </c>
      <c r="W689" s="1">
        <v>0.25772897357738611</v>
      </c>
      <c r="X689" s="1">
        <v>0.26580833714733376</v>
      </c>
      <c r="Y689" s="12">
        <f t="shared" si="46"/>
        <v>-3.0395448301794192E-2</v>
      </c>
    </row>
    <row r="690" spans="11:25" x14ac:dyDescent="0.2">
      <c r="K690" s="1">
        <v>7.5296450101935827E-3</v>
      </c>
      <c r="L690" s="1">
        <v>7.4130563945270433E-3</v>
      </c>
      <c r="M690" s="13">
        <f t="shared" si="43"/>
        <v>1.1658861566653939E-4</v>
      </c>
      <c r="O690" s="1">
        <v>0.65308211090864998</v>
      </c>
      <c r="P690" s="1">
        <v>0.65740471802006906</v>
      </c>
      <c r="Q690">
        <f t="shared" si="44"/>
        <v>-4.3226071114190745E-3</v>
      </c>
      <c r="R690" s="11">
        <v>56.500000000000512</v>
      </c>
      <c r="S690" s="1">
        <v>0.17975188519595028</v>
      </c>
      <c r="T690" s="1">
        <v>0.18262003106121488</v>
      </c>
      <c r="U690">
        <f t="shared" si="45"/>
        <v>-2.8681458652645986E-3</v>
      </c>
      <c r="W690" s="1">
        <v>0.25778151137536742</v>
      </c>
      <c r="X690" s="1">
        <v>0.26583266990512999</v>
      </c>
      <c r="Y690" s="12">
        <f t="shared" si="46"/>
        <v>-3.0286565351940631E-2</v>
      </c>
    </row>
    <row r="691" spans="11:25" x14ac:dyDescent="0.2">
      <c r="K691" s="1">
        <v>7.5312889172214036E-3</v>
      </c>
      <c r="L691" s="1">
        <v>7.4150393485454208E-3</v>
      </c>
      <c r="M691" s="13">
        <f t="shared" si="43"/>
        <v>1.1624956867598273E-4</v>
      </c>
      <c r="O691" s="1">
        <v>0.65261165304734903</v>
      </c>
      <c r="P691" s="1">
        <v>0.65692490749224464</v>
      </c>
      <c r="Q691">
        <f t="shared" si="44"/>
        <v>-4.3132544448956089E-3</v>
      </c>
      <c r="R691" s="11">
        <v>56.583333333333847</v>
      </c>
      <c r="S691" s="1">
        <v>0.17984558027741027</v>
      </c>
      <c r="T691" s="1">
        <v>0.18274651522627344</v>
      </c>
      <c r="U691">
        <f t="shared" si="45"/>
        <v>-2.9009349488631764E-3</v>
      </c>
      <c r="W691" s="1">
        <v>0.25789484848416599</v>
      </c>
      <c r="X691" s="1">
        <v>0.26599991151041408</v>
      </c>
      <c r="Y691" s="12">
        <f t="shared" si="46"/>
        <v>-3.0470171889251829E-2</v>
      </c>
    </row>
    <row r="692" spans="11:25" x14ac:dyDescent="0.2">
      <c r="K692" s="1">
        <v>7.5328743856923983E-3</v>
      </c>
      <c r="L692" s="1">
        <v>7.4169720117844866E-3</v>
      </c>
      <c r="M692" s="13">
        <f t="shared" si="43"/>
        <v>1.1590237390791177E-4</v>
      </c>
      <c r="O692" s="1">
        <v>0.65214351816845539</v>
      </c>
      <c r="P692" s="1">
        <v>0.65644710370517001</v>
      </c>
      <c r="Q692">
        <f t="shared" si="44"/>
        <v>-4.3035855367146159E-3</v>
      </c>
      <c r="R692" s="11">
        <v>56.666666666667183</v>
      </c>
      <c r="S692" s="1">
        <v>0.17993899781349171</v>
      </c>
      <c r="T692" s="1">
        <v>0.18284890870156442</v>
      </c>
      <c r="U692">
        <f t="shared" si="45"/>
        <v>-2.9099108880727143E-3</v>
      </c>
      <c r="W692" s="1">
        <v>0.25800870916745672</v>
      </c>
      <c r="X692" s="1">
        <v>0.26612378404077863</v>
      </c>
      <c r="Y692" s="12">
        <f t="shared" si="46"/>
        <v>-3.0493609966399826E-2</v>
      </c>
    </row>
    <row r="693" spans="11:25" x14ac:dyDescent="0.2">
      <c r="K693" s="1">
        <v>7.5343611323783338E-3</v>
      </c>
      <c r="L693" s="1">
        <v>7.4188078978866048E-3</v>
      </c>
      <c r="M693" s="13">
        <f t="shared" si="43"/>
        <v>1.15553234491729E-4</v>
      </c>
      <c r="O693" s="1">
        <v>0.65167920325121831</v>
      </c>
      <c r="P693" s="1">
        <v>0.65597304409786106</v>
      </c>
      <c r="Q693">
        <f t="shared" si="44"/>
        <v>-4.2938408466427491E-3</v>
      </c>
      <c r="R693" s="11">
        <v>56.750000000000519</v>
      </c>
      <c r="S693" s="1">
        <v>0.18004315870156165</v>
      </c>
      <c r="T693" s="1">
        <v>0.18300574518653248</v>
      </c>
      <c r="U693">
        <f t="shared" si="45"/>
        <v>-2.9625864849708305E-3</v>
      </c>
      <c r="W693" s="1">
        <v>0.25814427835932602</v>
      </c>
      <c r="X693" s="1">
        <v>0.26634937945305137</v>
      </c>
      <c r="Y693" s="12">
        <f t="shared" si="46"/>
        <v>-3.0805782655002001E-2</v>
      </c>
    </row>
    <row r="694" spans="11:25" x14ac:dyDescent="0.2">
      <c r="K694" s="1">
        <v>7.5356744921183261E-3</v>
      </c>
      <c r="L694" s="1">
        <v>7.4205721104340129E-3</v>
      </c>
      <c r="M694" s="13">
        <f t="shared" si="43"/>
        <v>1.1510238168431323E-4</v>
      </c>
      <c r="O694" s="1">
        <v>0.65122148417004566</v>
      </c>
      <c r="P694" s="1">
        <v>0.65550180032853322</v>
      </c>
      <c r="Q694">
        <f t="shared" si="44"/>
        <v>-4.2803161584875626E-3</v>
      </c>
      <c r="R694" s="11">
        <v>56.833333333333854</v>
      </c>
      <c r="S694" s="1">
        <v>0.18011291420208678</v>
      </c>
      <c r="T694" s="1">
        <v>0.18308425897739766</v>
      </c>
      <c r="U694">
        <f t="shared" si="45"/>
        <v>-2.9713447753108857E-3</v>
      </c>
      <c r="W694" s="1">
        <v>0.2582205033212876</v>
      </c>
      <c r="X694" s="1">
        <v>0.2664327766257874</v>
      </c>
      <c r="Y694" s="12">
        <f t="shared" si="46"/>
        <v>-3.0823059416725584E-2</v>
      </c>
    </row>
    <row r="695" spans="11:25" x14ac:dyDescent="0.2">
      <c r="K695" s="1">
        <v>7.5369787783360846E-3</v>
      </c>
      <c r="L695" s="1">
        <v>7.4223915750701343E-3</v>
      </c>
      <c r="M695" s="13">
        <f t="shared" si="43"/>
        <v>1.1458720326595027E-4</v>
      </c>
      <c r="O695" s="1">
        <v>0.65076428069774783</v>
      </c>
      <c r="P695" s="1">
        <v>0.65502863956307367</v>
      </c>
      <c r="Q695">
        <f t="shared" si="44"/>
        <v>-4.2643588653258346E-3</v>
      </c>
      <c r="R695" s="11">
        <v>56.91666666666719</v>
      </c>
      <c r="S695" s="1">
        <v>0.18026815720430533</v>
      </c>
      <c r="T695" s="1">
        <v>0.18318665936168341</v>
      </c>
      <c r="U695">
        <f t="shared" si="45"/>
        <v>-2.9185021573780723E-3</v>
      </c>
      <c r="W695" s="1">
        <v>0.25845341347682205</v>
      </c>
      <c r="X695" s="1">
        <v>0.26655822276829294</v>
      </c>
      <c r="Y695" s="12">
        <f t="shared" si="46"/>
        <v>-3.0405399643274378E-2</v>
      </c>
    </row>
    <row r="696" spans="11:25" x14ac:dyDescent="0.2">
      <c r="K696" s="1">
        <v>7.5382655771079887E-3</v>
      </c>
      <c r="L696" s="1">
        <v>7.4242165792543615E-3</v>
      </c>
      <c r="M696" s="13">
        <f t="shared" si="43"/>
        <v>1.1404899785362726E-4</v>
      </c>
      <c r="O696" s="1">
        <v>0.65030790601424149</v>
      </c>
      <c r="P696" s="1">
        <v>0.65455541486817004</v>
      </c>
      <c r="Q696">
        <f t="shared" si="44"/>
        <v>-4.2475088539285499E-3</v>
      </c>
      <c r="R696" s="11">
        <v>57.000000000000526</v>
      </c>
      <c r="S696" s="1">
        <v>0.18037230353135161</v>
      </c>
      <c r="T696" s="1">
        <v>0.18329593776904515</v>
      </c>
      <c r="U696">
        <f t="shared" si="45"/>
        <v>-2.9236342376935398E-3</v>
      </c>
      <c r="W696" s="1">
        <v>0.25859266287991439</v>
      </c>
      <c r="X696" s="1">
        <v>0.26669574184037959</v>
      </c>
      <c r="Y696" s="12">
        <f t="shared" si="46"/>
        <v>-3.0383233360039785E-2</v>
      </c>
    </row>
    <row r="697" spans="11:25" x14ac:dyDescent="0.2">
      <c r="K697" s="1">
        <v>7.5396598532613598E-3</v>
      </c>
      <c r="L697" s="1">
        <v>7.4261419386712334E-3</v>
      </c>
      <c r="M697" s="13">
        <f t="shared" si="43"/>
        <v>1.1351791459012633E-4</v>
      </c>
      <c r="O697" s="1">
        <v>0.64984771925346496</v>
      </c>
      <c r="P697" s="1">
        <v>0.65407858066071722</v>
      </c>
      <c r="Q697">
        <f t="shared" si="44"/>
        <v>-4.2308614072522621E-3</v>
      </c>
      <c r="R697" s="11">
        <v>57.083333333333862</v>
      </c>
      <c r="S697" s="1">
        <v>0.18042362876745377</v>
      </c>
      <c r="T697" s="1">
        <v>0.1833218985599156</v>
      </c>
      <c r="U697">
        <f t="shared" si="45"/>
        <v>-2.8982697924618273E-3</v>
      </c>
      <c r="W697" s="1">
        <v>0.25863218035187036</v>
      </c>
      <c r="X697" s="1">
        <v>0.26667790432280991</v>
      </c>
      <c r="Y697" s="12">
        <f t="shared" si="46"/>
        <v>-3.0170193482547791E-2</v>
      </c>
    </row>
    <row r="698" spans="11:25" x14ac:dyDescent="0.2">
      <c r="K698" s="1">
        <v>7.5410022310309043E-3</v>
      </c>
      <c r="L698" s="1">
        <v>7.4280810789350447E-3</v>
      </c>
      <c r="M698" s="13">
        <f t="shared" si="43"/>
        <v>1.1292115209585955E-4</v>
      </c>
      <c r="O698" s="1">
        <v>0.64938963668920602</v>
      </c>
      <c r="P698" s="1">
        <v>0.65360136842238803</v>
      </c>
      <c r="Q698">
        <f t="shared" si="44"/>
        <v>-4.2117317331820114E-3</v>
      </c>
      <c r="R698" s="11">
        <v>57.166666666667197</v>
      </c>
      <c r="S698" s="1">
        <v>0.18053693910559721</v>
      </c>
      <c r="T698" s="1">
        <v>0.18339467413749777</v>
      </c>
      <c r="U698">
        <f t="shared" si="45"/>
        <v>-2.8577350319005657E-3</v>
      </c>
      <c r="W698" s="1">
        <v>0.25878622981645527</v>
      </c>
      <c r="X698" s="1">
        <v>0.26674509004422237</v>
      </c>
      <c r="Y698" s="12">
        <f t="shared" si="46"/>
        <v>-2.9836951174800008E-2</v>
      </c>
    </row>
    <row r="699" spans="11:25" x14ac:dyDescent="0.2">
      <c r="K699" s="1">
        <v>7.542298436211967E-3</v>
      </c>
      <c r="L699" s="1">
        <v>7.4300153846005058E-3</v>
      </c>
      <c r="M699" s="13">
        <f t="shared" si="43"/>
        <v>1.1228305161146111E-4</v>
      </c>
      <c r="O699" s="1">
        <v>0.64893344971832234</v>
      </c>
      <c r="P699" s="1">
        <v>0.65312447430764875</v>
      </c>
      <c r="Q699">
        <f t="shared" si="44"/>
        <v>-4.1910245893264086E-3</v>
      </c>
      <c r="R699" s="11">
        <v>57.250000000000533</v>
      </c>
      <c r="S699" s="1">
        <v>0.18065489425449041</v>
      </c>
      <c r="T699" s="1">
        <v>0.18346118217726898</v>
      </c>
      <c r="U699">
        <f t="shared" si="45"/>
        <v>-2.8062879227785664E-3</v>
      </c>
      <c r="W699" s="1">
        <v>0.25894953828275225</v>
      </c>
      <c r="X699" s="1">
        <v>0.26680056095566651</v>
      </c>
      <c r="Y699" s="12">
        <f t="shared" si="46"/>
        <v>-2.9426559842274269E-2</v>
      </c>
    </row>
    <row r="700" spans="11:25" x14ac:dyDescent="0.2">
      <c r="K700" s="1">
        <v>7.543544621530892E-3</v>
      </c>
      <c r="L700" s="1">
        <v>7.4320340178388664E-3</v>
      </c>
      <c r="M700" s="13">
        <f t="shared" si="43"/>
        <v>1.1151060369202562E-4</v>
      </c>
      <c r="O700" s="1">
        <v>0.64847930553183897</v>
      </c>
      <c r="P700" s="1">
        <v>0.65264455776345032</v>
      </c>
      <c r="Q700">
        <f t="shared" si="44"/>
        <v>-4.1652522316113494E-3</v>
      </c>
      <c r="R700" s="11">
        <v>57.333333333333869</v>
      </c>
      <c r="S700" s="1">
        <v>0.18077525587115392</v>
      </c>
      <c r="T700" s="1">
        <v>0.1834918297589844</v>
      </c>
      <c r="U700">
        <f t="shared" si="45"/>
        <v>-2.7165738878304757E-3</v>
      </c>
      <c r="W700" s="1">
        <v>0.25911809497418092</v>
      </c>
      <c r="X700" s="1">
        <v>0.26678800692307653</v>
      </c>
      <c r="Y700" s="12">
        <f t="shared" si="46"/>
        <v>-2.8749088226844743E-2</v>
      </c>
    </row>
    <row r="701" spans="11:25" x14ac:dyDescent="0.2">
      <c r="K701" s="1">
        <v>7.5446677459666198E-3</v>
      </c>
      <c r="L701" s="1">
        <v>7.4340792760506525E-3</v>
      </c>
      <c r="M701" s="13">
        <f t="shared" si="43"/>
        <v>1.1058846991596726E-4</v>
      </c>
      <c r="O701" s="1">
        <v>0.6480299300206217</v>
      </c>
      <c r="P701" s="1">
        <v>0.65216377602706133</v>
      </c>
      <c r="Q701">
        <f t="shared" si="44"/>
        <v>-4.1338460064396232E-3</v>
      </c>
      <c r="R701" s="11">
        <v>57.416666666667204</v>
      </c>
      <c r="S701" s="1">
        <v>0.18085404620935841</v>
      </c>
      <c r="T701" s="1">
        <v>0.18361717294604232</v>
      </c>
      <c r="U701">
        <f t="shared" si="45"/>
        <v>-2.763126736683913E-3</v>
      </c>
      <c r="W701" s="1">
        <v>0.25921312908169597</v>
      </c>
      <c r="X701" s="1">
        <v>0.2669476818558793</v>
      </c>
      <c r="Y701" s="12">
        <f t="shared" si="46"/>
        <v>-2.8974039858338574E-2</v>
      </c>
    </row>
    <row r="702" spans="11:25" x14ac:dyDescent="0.2">
      <c r="K702" s="1">
        <v>7.5457747067775981E-3</v>
      </c>
      <c r="L702" s="1">
        <v>7.4360669687388867E-3</v>
      </c>
      <c r="M702" s="13">
        <f t="shared" si="43"/>
        <v>1.0970773803871143E-4</v>
      </c>
      <c r="O702" s="1">
        <v>0.64758134743290485</v>
      </c>
      <c r="P702" s="1">
        <v>0.65168528653572444</v>
      </c>
      <c r="Q702">
        <f t="shared" si="44"/>
        <v>-4.1039391028195871E-3</v>
      </c>
      <c r="R702" s="11">
        <v>57.50000000000054</v>
      </c>
      <c r="S702" s="1">
        <v>0.18092918328992547</v>
      </c>
      <c r="T702" s="1">
        <v>0.18366200430470098</v>
      </c>
      <c r="U702">
        <f t="shared" si="45"/>
        <v>-2.7328210147755105E-3</v>
      </c>
      <c r="W702" s="1">
        <v>0.25930155144629174</v>
      </c>
      <c r="X702" s="1">
        <v>0.26696112253851861</v>
      </c>
      <c r="Y702" s="12">
        <f t="shared" si="46"/>
        <v>-2.8691709936609633E-2</v>
      </c>
    </row>
    <row r="703" spans="11:25" x14ac:dyDescent="0.2">
      <c r="K703" s="1">
        <v>7.5468918498777411E-3</v>
      </c>
      <c r="L703" s="1">
        <v>7.4380520067879232E-3</v>
      </c>
      <c r="M703" s="13">
        <f t="shared" si="43"/>
        <v>1.0883984308981791E-4</v>
      </c>
      <c r="O703" s="1">
        <v>0.64713257599094298</v>
      </c>
      <c r="P703" s="1">
        <v>0.65120703206612451</v>
      </c>
      <c r="Q703">
        <f t="shared" si="44"/>
        <v>-4.0744560751815317E-3</v>
      </c>
      <c r="R703" s="11">
        <v>57.583333333333876</v>
      </c>
      <c r="S703" s="1">
        <v>0.18103747930337624</v>
      </c>
      <c r="T703" s="1">
        <v>0.18377963000716085</v>
      </c>
      <c r="U703">
        <f t="shared" si="45"/>
        <v>-2.7421507037846127E-3</v>
      </c>
      <c r="W703" s="1">
        <v>0.25945011144339625</v>
      </c>
      <c r="X703" s="1">
        <v>0.26710736712179683</v>
      </c>
      <c r="Y703" s="12">
        <f t="shared" si="46"/>
        <v>-2.8667332394875511E-2</v>
      </c>
    </row>
    <row r="704" spans="11:25" x14ac:dyDescent="0.2">
      <c r="K704" s="1">
        <v>7.547938221027041E-3</v>
      </c>
      <c r="L704" s="1">
        <v>7.4398889728496884E-3</v>
      </c>
      <c r="M704" s="13">
        <f t="shared" si="43"/>
        <v>1.0804924817735262E-4</v>
      </c>
      <c r="O704" s="1">
        <v>0.64668663819419503</v>
      </c>
      <c r="P704" s="1">
        <v>0.65073447779682625</v>
      </c>
      <c r="Q704">
        <f t="shared" si="44"/>
        <v>-4.0478396026312202E-3</v>
      </c>
      <c r="R704" s="11">
        <v>57.666666666667211</v>
      </c>
      <c r="S704" s="1">
        <v>0.18109345037590097</v>
      </c>
      <c r="T704" s="1">
        <v>0.18389456503447274</v>
      </c>
      <c r="U704">
        <f t="shared" si="45"/>
        <v>-2.8011146585717739E-3</v>
      </c>
      <c r="W704" s="1">
        <v>0.25950429251316981</v>
      </c>
      <c r="X704" s="1">
        <v>0.26725191172953056</v>
      </c>
      <c r="Y704" s="12">
        <f t="shared" si="46"/>
        <v>-2.8989948719998826E-2</v>
      </c>
    </row>
    <row r="705" spans="11:25" x14ac:dyDescent="0.2">
      <c r="K705" s="1">
        <v>7.5489761446029509E-3</v>
      </c>
      <c r="L705" s="1">
        <v>7.4417164131699185E-3</v>
      </c>
      <c r="M705" s="13">
        <f t="shared" si="43"/>
        <v>1.0725973143303237E-4</v>
      </c>
      <c r="O705" s="1">
        <v>0.64624121071292351</v>
      </c>
      <c r="P705" s="1">
        <v>0.65026242558885661</v>
      </c>
      <c r="Q705">
        <f t="shared" si="44"/>
        <v>-4.021214875933099E-3</v>
      </c>
      <c r="R705" s="11">
        <v>57.750000000000547</v>
      </c>
      <c r="S705" s="1">
        <v>0.18114187466011977</v>
      </c>
      <c r="T705" s="1">
        <v>0.1840139666916156</v>
      </c>
      <c r="U705">
        <f t="shared" si="45"/>
        <v>-2.8720920314958265E-3</v>
      </c>
      <c r="W705" s="1">
        <v>0.25954457810430825</v>
      </c>
      <c r="X705" s="1">
        <v>0.26740444950784997</v>
      </c>
      <c r="Y705" s="12">
        <f t="shared" si="46"/>
        <v>-2.9393196029488644E-2</v>
      </c>
    </row>
    <row r="706" spans="11:25" x14ac:dyDescent="0.2">
      <c r="K706" s="1">
        <v>7.5500453733623784E-3</v>
      </c>
      <c r="L706" s="1">
        <v>7.4433633239815566E-3</v>
      </c>
      <c r="M706" s="13">
        <f t="shared" si="43"/>
        <v>1.0668204938082178E-4</v>
      </c>
      <c r="O706" s="1">
        <v>0.64579480743415341</v>
      </c>
      <c r="P706" s="1">
        <v>0.64979731193449675</v>
      </c>
      <c r="Q706">
        <f t="shared" si="44"/>
        <v>-4.0025045003433402E-3</v>
      </c>
      <c r="R706" s="11">
        <v>57.833333333333883</v>
      </c>
      <c r="S706" s="1">
        <v>0.18123480414765111</v>
      </c>
      <c r="T706" s="1">
        <v>0.18413009089420612</v>
      </c>
      <c r="U706">
        <f t="shared" si="45"/>
        <v>-2.8952867465550092E-3</v>
      </c>
      <c r="W706" s="1">
        <v>0.25966523506198202</v>
      </c>
      <c r="X706" s="1">
        <v>0.26755503204721115</v>
      </c>
      <c r="Y706" s="12">
        <f t="shared" si="46"/>
        <v>-2.9488501579880366E-2</v>
      </c>
    </row>
    <row r="707" spans="11:25" x14ac:dyDescent="0.2">
      <c r="K707" s="1">
        <v>7.5510841038144939E-3</v>
      </c>
      <c r="L707" s="1">
        <v>7.4450529472814501E-3</v>
      </c>
      <c r="M707" s="13">
        <f t="shared" si="43"/>
        <v>1.0603115653304383E-4</v>
      </c>
      <c r="O707" s="1">
        <v>0.64534973907194693</v>
      </c>
      <c r="P707" s="1">
        <v>0.64933074412536274</v>
      </c>
      <c r="Q707">
        <f t="shared" si="44"/>
        <v>-3.9810050534158092E-3</v>
      </c>
      <c r="R707" s="11">
        <v>57.916666666667219</v>
      </c>
      <c r="S707" s="1">
        <v>0.18138105455380596</v>
      </c>
      <c r="T707" s="1">
        <v>0.18420874624230474</v>
      </c>
      <c r="U707">
        <f t="shared" si="45"/>
        <v>-2.8276916884987791E-3</v>
      </c>
      <c r="W707" s="1">
        <v>0.25988381433634655</v>
      </c>
      <c r="X707" s="1">
        <v>0.26763576702042291</v>
      </c>
      <c r="Y707" s="12">
        <f t="shared" si="46"/>
        <v>-2.8964561689113877E-2</v>
      </c>
    </row>
    <row r="708" spans="11:25" x14ac:dyDescent="0.2">
      <c r="K708" s="1">
        <v>7.552296678333059E-3</v>
      </c>
      <c r="L708" s="1">
        <v>7.4468127600659986E-3</v>
      </c>
      <c r="M708" s="13">
        <f t="shared" si="43"/>
        <v>1.0548391826706045E-4</v>
      </c>
      <c r="O708" s="1">
        <v>0.64489835393738848</v>
      </c>
      <c r="P708" s="1">
        <v>0.64886168328859306</v>
      </c>
      <c r="Q708">
        <f t="shared" si="44"/>
        <v>-3.9633293512045809E-3</v>
      </c>
      <c r="R708" s="11">
        <v>58.000000000000554</v>
      </c>
      <c r="S708" s="1">
        <v>0.18147525640512455</v>
      </c>
      <c r="T708" s="1">
        <v>0.18422970723290025</v>
      </c>
      <c r="U708">
        <f t="shared" si="45"/>
        <v>-2.7544508277757007E-3</v>
      </c>
      <c r="W708" s="1">
        <v>0.26000266581035136</v>
      </c>
      <c r="X708" s="1">
        <v>0.26760910560636297</v>
      </c>
      <c r="Y708" s="12">
        <f t="shared" si="46"/>
        <v>-2.8423695743747368E-2</v>
      </c>
    </row>
    <row r="709" spans="11:25" x14ac:dyDescent="0.2">
      <c r="K709" s="1">
        <v>7.5535818529988037E-3</v>
      </c>
      <c r="L709" s="1">
        <v>7.4485901916169269E-3</v>
      </c>
      <c r="M709" s="13">
        <f t="shared" si="43"/>
        <v>1.0499166138187681E-4</v>
      </c>
      <c r="O709" s="1">
        <v>0.64444443284514186</v>
      </c>
      <c r="P709" s="1">
        <v>0.64839210662630309</v>
      </c>
      <c r="Q709">
        <f t="shared" si="44"/>
        <v>-3.9476737811612317E-3</v>
      </c>
      <c r="R709" s="11">
        <v>58.08333333333389</v>
      </c>
      <c r="S709" s="1">
        <v>0.1815749577418555</v>
      </c>
      <c r="T709" s="1">
        <v>0.18424100753210762</v>
      </c>
      <c r="U709">
        <f t="shared" si="45"/>
        <v>-2.6660497902521174E-3</v>
      </c>
      <c r="W709" s="1">
        <v>0.26012948028649419</v>
      </c>
      <c r="X709" s="1">
        <v>0.26756406148660461</v>
      </c>
      <c r="Y709" s="12">
        <f t="shared" si="46"/>
        <v>-2.7786172622748295E-2</v>
      </c>
    </row>
    <row r="710" spans="11:25" x14ac:dyDescent="0.2">
      <c r="K710" s="1">
        <v>7.554769205220269E-3</v>
      </c>
      <c r="L710" s="1">
        <v>7.4503608587920813E-3</v>
      </c>
      <c r="M710" s="13">
        <f t="shared" si="43"/>
        <v>1.0440834642818763E-4</v>
      </c>
      <c r="O710" s="1">
        <v>0.64399436288253642</v>
      </c>
      <c r="P710" s="1">
        <v>0.64792293315134086</v>
      </c>
      <c r="Q710">
        <f t="shared" si="44"/>
        <v>-3.9285702688044433E-3</v>
      </c>
      <c r="R710" s="11">
        <v>58.166666666667226</v>
      </c>
      <c r="S710" s="1">
        <v>0.18168901584203839</v>
      </c>
      <c r="T710" s="1">
        <v>0.18430459709268962</v>
      </c>
      <c r="U710">
        <f t="shared" si="45"/>
        <v>-2.6155812506512277E-3</v>
      </c>
      <c r="W710" s="1">
        <v>0.26028455903737624</v>
      </c>
      <c r="X710" s="1">
        <v>0.26761430091315291</v>
      </c>
      <c r="Y710" s="12">
        <f t="shared" si="46"/>
        <v>-2.7389200991001394E-2</v>
      </c>
    </row>
    <row r="711" spans="11:25" x14ac:dyDescent="0.2">
      <c r="K711" s="1">
        <v>7.5559794701677441E-3</v>
      </c>
      <c r="L711" s="1">
        <v>7.4520932142521853E-3</v>
      </c>
      <c r="M711" s="13">
        <f t="shared" si="43"/>
        <v>1.0388625591555879E-4</v>
      </c>
      <c r="O711" s="1">
        <v>0.64354361974411944</v>
      </c>
      <c r="P711" s="1">
        <v>0.64745535506118268</v>
      </c>
      <c r="Q711">
        <f t="shared" si="44"/>
        <v>-3.9117353170632363E-3</v>
      </c>
      <c r="R711" s="11">
        <v>58.250000000000561</v>
      </c>
      <c r="S711" s="1">
        <v>0.18177276679375368</v>
      </c>
      <c r="T711" s="1">
        <v>0.18440576232825379</v>
      </c>
      <c r="U711">
        <f t="shared" si="45"/>
        <v>-2.6329955345001099E-3</v>
      </c>
      <c r="W711" s="1">
        <v>0.26038337672857537</v>
      </c>
      <c r="X711" s="1">
        <v>0.26773369661754098</v>
      </c>
      <c r="Y711" s="12">
        <f t="shared" si="46"/>
        <v>-2.7453846795629899E-2</v>
      </c>
    </row>
    <row r="712" spans="11:25" x14ac:dyDescent="0.2">
      <c r="K712" s="1">
        <v>7.5572836708159199E-3</v>
      </c>
      <c r="L712" s="1">
        <v>7.4538216304443558E-3</v>
      </c>
      <c r="M712" s="13">
        <f t="shared" si="43"/>
        <v>1.0346204037156408E-4</v>
      </c>
      <c r="O712" s="1">
        <v>0.64308953346406694</v>
      </c>
      <c r="P712" s="1">
        <v>0.64698807648396794</v>
      </c>
      <c r="Q712">
        <f t="shared" si="44"/>
        <v>-3.8985430199010018E-3</v>
      </c>
      <c r="R712" s="11">
        <v>58.333333333333897</v>
      </c>
      <c r="S712" s="1">
        <v>0.1818840465098</v>
      </c>
      <c r="T712" s="1">
        <v>0.18453356144698743</v>
      </c>
      <c r="U712">
        <f t="shared" si="45"/>
        <v>-2.6495149371874305E-3</v>
      </c>
      <c r="W712" s="1">
        <v>0.26052986133696249</v>
      </c>
      <c r="X712" s="1">
        <v>0.26790138461762369</v>
      </c>
      <c r="Y712" s="12">
        <f t="shared" si="46"/>
        <v>-2.7515808815929077E-2</v>
      </c>
    </row>
    <row r="713" spans="11:25" x14ac:dyDescent="0.2">
      <c r="K713" s="1">
        <v>7.5584376066129937E-3</v>
      </c>
      <c r="L713" s="1">
        <v>7.4555773531705168E-3</v>
      </c>
      <c r="M713" s="13">
        <f t="shared" si="43"/>
        <v>1.0286025344247683E-4</v>
      </c>
      <c r="O713" s="1">
        <v>0.64264127701031193</v>
      </c>
      <c r="P713" s="1">
        <v>0.64651991613346593</v>
      </c>
      <c r="Q713">
        <f t="shared" si="44"/>
        <v>-3.8786391231540041E-3</v>
      </c>
      <c r="R713" s="11">
        <v>58.416666666667233</v>
      </c>
      <c r="S713" s="1">
        <v>0.18193831402916621</v>
      </c>
      <c r="T713" s="1">
        <v>0.18463023039080159</v>
      </c>
      <c r="U713">
        <f t="shared" si="45"/>
        <v>-2.691916361635377E-3</v>
      </c>
      <c r="W713" s="1">
        <v>0.26057557134865311</v>
      </c>
      <c r="X713" s="1">
        <v>0.26801123524386522</v>
      </c>
      <c r="Y713" s="12">
        <f t="shared" si="46"/>
        <v>-2.7743851441326184E-2</v>
      </c>
    </row>
    <row r="714" spans="11:25" x14ac:dyDescent="0.2">
      <c r="K714" s="1">
        <v>7.5594348384412386E-3</v>
      </c>
      <c r="L714" s="1">
        <v>7.4573590817149978E-3</v>
      </c>
      <c r="M714" s="13">
        <f t="shared" si="43"/>
        <v>1.0207575672624078E-4</v>
      </c>
      <c r="O714" s="1">
        <v>0.64219910501446087</v>
      </c>
      <c r="P714" s="1">
        <v>0.64605092123141461</v>
      </c>
      <c r="Q714">
        <f t="shared" si="44"/>
        <v>-3.8518162169537407E-3</v>
      </c>
      <c r="R714" s="11">
        <v>58.500000000000568</v>
      </c>
      <c r="S714" s="1">
        <v>0.18209306296072636</v>
      </c>
      <c r="T714" s="1">
        <v>0.18472009921396065</v>
      </c>
      <c r="U714">
        <f t="shared" si="45"/>
        <v>-2.6270362532342939E-3</v>
      </c>
      <c r="W714" s="1">
        <v>0.26080820118056269</v>
      </c>
      <c r="X714" s="1">
        <v>0.26810767458446111</v>
      </c>
      <c r="Y714" s="12">
        <f t="shared" si="46"/>
        <v>-2.7225902485677911E-2</v>
      </c>
    </row>
    <row r="715" spans="11:25" x14ac:dyDescent="0.2">
      <c r="K715" s="1">
        <v>7.5603361889152506E-3</v>
      </c>
      <c r="L715" s="1">
        <v>7.4590861939635884E-3</v>
      </c>
      <c r="M715" s="13">
        <f t="shared" si="43"/>
        <v>1.0124999495166216E-4</v>
      </c>
      <c r="O715" s="1">
        <v>0.64176074051276577</v>
      </c>
      <c r="P715" s="1">
        <v>0.64558414338536363</v>
      </c>
      <c r="Q715">
        <f t="shared" si="44"/>
        <v>-3.8234028725978586E-3</v>
      </c>
      <c r="R715" s="11">
        <v>58.583333333333904</v>
      </c>
      <c r="S715" s="1">
        <v>0.18209832097013628</v>
      </c>
      <c r="T715" s="1">
        <v>0.18480869144888121</v>
      </c>
      <c r="U715">
        <f t="shared" si="45"/>
        <v>-2.7103704787449223E-3</v>
      </c>
      <c r="W715" s="1">
        <v>0.26077002779865882</v>
      </c>
      <c r="X715" s="1">
        <v>0.26820277545328364</v>
      </c>
      <c r="Y715" s="12">
        <f t="shared" si="46"/>
        <v>-2.7713164571331883E-2</v>
      </c>
    </row>
    <row r="716" spans="11:25" x14ac:dyDescent="0.2">
      <c r="K716" s="1">
        <v>7.5611850667120957E-3</v>
      </c>
      <c r="L716" s="1">
        <v>7.4607200512823019E-3</v>
      </c>
      <c r="M716" s="13">
        <f t="shared" ref="M716:M731" si="47">K716-L716</f>
        <v>1.0046501542979383E-4</v>
      </c>
      <c r="O716" s="1">
        <v>0.64132455594843785</v>
      </c>
      <c r="P716" s="1">
        <v>0.64512105152478572</v>
      </c>
      <c r="Q716">
        <f t="shared" ref="Q716:Q731" si="48">O716-P716</f>
        <v>-3.7964955763478692E-3</v>
      </c>
      <c r="R716" s="11">
        <v>58.66666666666724</v>
      </c>
      <c r="S716" s="1">
        <v>0.18218671101447032</v>
      </c>
      <c r="T716" s="1">
        <v>0.18485708139899457</v>
      </c>
      <c r="U716">
        <f t="shared" si="45"/>
        <v>-2.670370384524251E-3</v>
      </c>
      <c r="W716" s="1">
        <v>0.26088455709428238</v>
      </c>
      <c r="X716" s="1">
        <v>0.26822659757756778</v>
      </c>
      <c r="Y716" s="12">
        <f t="shared" si="46"/>
        <v>-2.7372529605913409E-2</v>
      </c>
    </row>
    <row r="717" spans="11:25" x14ac:dyDescent="0.2">
      <c r="K717" s="1">
        <v>7.5620994737546788E-3</v>
      </c>
      <c r="L717" s="1">
        <v>7.4623436390375206E-3</v>
      </c>
      <c r="M717" s="13">
        <f t="shared" si="47"/>
        <v>9.9755834717158223E-5</v>
      </c>
      <c r="O717" s="1">
        <v>0.64088610635682941</v>
      </c>
      <c r="P717" s="1">
        <v>0.64465850580152351</v>
      </c>
      <c r="Q717">
        <f t="shared" si="48"/>
        <v>-3.7723994446940967E-3</v>
      </c>
      <c r="R717" s="11">
        <v>58.750000000000576</v>
      </c>
      <c r="S717" s="1">
        <v>0.18227425959397262</v>
      </c>
      <c r="T717" s="1">
        <v>0.18495660268920427</v>
      </c>
      <c r="U717">
        <f t="shared" ref="U717:U731" si="49">S717-T717</f>
        <v>-2.6823430952316596E-3</v>
      </c>
      <c r="W717" s="1">
        <v>0.26099564731652752</v>
      </c>
      <c r="X717" s="1">
        <v>0.26834347347994186</v>
      </c>
      <c r="Y717" s="12">
        <f t="shared" ref="Y717:Y731" si="50">W717/X717-1</f>
        <v>-2.7382168338681678E-2</v>
      </c>
    </row>
    <row r="718" spans="11:25" x14ac:dyDescent="0.2">
      <c r="K718" s="1">
        <v>7.5630074155525837E-3</v>
      </c>
      <c r="L718" s="1">
        <v>7.4640627594193178E-3</v>
      </c>
      <c r="M718" s="13">
        <f t="shared" si="47"/>
        <v>9.894465613326589E-5</v>
      </c>
      <c r="O718" s="1">
        <v>0.64044810286524767</v>
      </c>
      <c r="P718" s="1">
        <v>0.6441924915766164</v>
      </c>
      <c r="Q718">
        <f t="shared" si="48"/>
        <v>-3.7443887113687291E-3</v>
      </c>
      <c r="R718" s="11">
        <v>58.833333333333911</v>
      </c>
      <c r="S718" s="1">
        <v>0.18236329665450149</v>
      </c>
      <c r="T718" s="1">
        <v>0.18503573657546296</v>
      </c>
      <c r="U718">
        <f t="shared" si="49"/>
        <v>-2.6724399209614724E-3</v>
      </c>
      <c r="W718" s="1">
        <v>0.26110930481368561</v>
      </c>
      <c r="X718" s="1">
        <v>0.26842048718589245</v>
      </c>
      <c r="Y718" s="12">
        <f t="shared" si="50"/>
        <v>-2.7237795627513162E-2</v>
      </c>
    </row>
    <row r="719" spans="11:25" x14ac:dyDescent="0.2">
      <c r="K719" s="1">
        <v>7.5639085629228345E-3</v>
      </c>
      <c r="L719" s="1">
        <v>7.4659287315617835E-3</v>
      </c>
      <c r="M719" s="13">
        <f t="shared" si="47"/>
        <v>9.7979831361050956E-5</v>
      </c>
      <c r="O719" s="1">
        <v>0.64001055843331545</v>
      </c>
      <c r="P719" s="1">
        <v>0.64372105239918209</v>
      </c>
      <c r="Q719">
        <f t="shared" si="48"/>
        <v>-3.7104939658666458E-3</v>
      </c>
      <c r="R719" s="11">
        <v>58.916666666667247</v>
      </c>
      <c r="S719" s="1">
        <v>0.18242108016127234</v>
      </c>
      <c r="T719" s="1">
        <v>0.18508796660485147</v>
      </c>
      <c r="U719">
        <f t="shared" si="49"/>
        <v>-2.6668864435791251E-3</v>
      </c>
      <c r="W719" s="1">
        <v>0.26116584529356646</v>
      </c>
      <c r="X719" s="1">
        <v>0.26844452277518444</v>
      </c>
      <c r="Y719" s="12">
        <f t="shared" si="50"/>
        <v>-2.7114270786272265E-2</v>
      </c>
    </row>
    <row r="720" spans="11:25" x14ac:dyDescent="0.2">
      <c r="K720" s="1">
        <v>7.5648238924205021E-3</v>
      </c>
      <c r="L720" s="1">
        <v>7.4678098001183645E-3</v>
      </c>
      <c r="M720" s="13">
        <f t="shared" si="47"/>
        <v>9.7014092302137589E-5</v>
      </c>
      <c r="O720" s="1">
        <v>0.63957268095113617</v>
      </c>
      <c r="P720" s="1">
        <v>0.64324918444311174</v>
      </c>
      <c r="Q720">
        <f t="shared" si="48"/>
        <v>-3.676503491975569E-3</v>
      </c>
      <c r="R720" s="11">
        <v>59.000000000000583</v>
      </c>
      <c r="S720" s="1">
        <v>0.18248088426206699</v>
      </c>
      <c r="T720" s="1">
        <v>0.1851714936614719</v>
      </c>
      <c r="U720">
        <f t="shared" si="49"/>
        <v>-2.6906093994049085E-3</v>
      </c>
      <c r="W720" s="1">
        <v>0.26122544096162043</v>
      </c>
      <c r="X720" s="1">
        <v>0.26852479937738472</v>
      </c>
      <c r="Y720" s="12">
        <f t="shared" si="50"/>
        <v>-2.7183181712411519E-2</v>
      </c>
    </row>
    <row r="721" spans="11:25" x14ac:dyDescent="0.2">
      <c r="K721" s="1">
        <v>7.5657296868796436E-3</v>
      </c>
      <c r="L721" s="1">
        <v>7.4695273655063874E-3</v>
      </c>
      <c r="M721" s="13">
        <f t="shared" si="47"/>
        <v>9.6202321373256225E-5</v>
      </c>
      <c r="O721" s="1">
        <v>0.63913536612163202</v>
      </c>
      <c r="P721" s="1">
        <v>0.64278367908215783</v>
      </c>
      <c r="Q721">
        <f t="shared" si="48"/>
        <v>-3.6483129605258124E-3</v>
      </c>
      <c r="R721" s="11">
        <v>59.083333333333918</v>
      </c>
      <c r="S721" s="1">
        <v>0.18252993644751378</v>
      </c>
      <c r="T721" s="1">
        <v>0.18531053911106218</v>
      </c>
      <c r="U721">
        <f t="shared" si="49"/>
        <v>-2.7806026635484038E-3</v>
      </c>
      <c r="W721" s="1">
        <v>0.26126539414407218</v>
      </c>
      <c r="X721" s="1">
        <v>0.26870978113228006</v>
      </c>
      <c r="Y721" s="12">
        <f t="shared" si="50"/>
        <v>-2.7704190583755395E-2</v>
      </c>
    </row>
    <row r="722" spans="11:25" x14ac:dyDescent="0.2">
      <c r="K722" s="1">
        <v>7.5667140659651556E-3</v>
      </c>
      <c r="L722" s="1">
        <v>7.4711999447372611E-3</v>
      </c>
      <c r="M722" s="13">
        <f t="shared" si="47"/>
        <v>9.5514121227894579E-5</v>
      </c>
      <c r="O722" s="1">
        <v>0.6386952800283735</v>
      </c>
      <c r="P722" s="1">
        <v>0.64232003878329935</v>
      </c>
      <c r="Q722">
        <f t="shared" si="48"/>
        <v>-3.6247587549258498E-3</v>
      </c>
      <c r="R722" s="11">
        <v>59.166666666667254</v>
      </c>
      <c r="S722" s="1">
        <v>0.18261652875263229</v>
      </c>
      <c r="T722" s="1">
        <v>0.18536474014994367</v>
      </c>
      <c r="U722">
        <f t="shared" si="49"/>
        <v>-2.7482113973113786E-3</v>
      </c>
      <c r="W722" s="1">
        <v>0.26137154288420178</v>
      </c>
      <c r="X722" s="1">
        <v>0.26874118681391845</v>
      </c>
      <c r="Y722" s="12">
        <f t="shared" si="50"/>
        <v>-2.7422830185012015E-2</v>
      </c>
    </row>
    <row r="723" spans="11:25" x14ac:dyDescent="0.2">
      <c r="K723" s="1">
        <v>7.5676795224523244E-3</v>
      </c>
      <c r="L723" s="1">
        <v>7.4728224485391412E-3</v>
      </c>
      <c r="M723" s="13">
        <f t="shared" si="47"/>
        <v>9.485707391318314E-5</v>
      </c>
      <c r="O723" s="1">
        <v>0.63825610884446826</v>
      </c>
      <c r="P723" s="1">
        <v>0.64185846103235999</v>
      </c>
      <c r="Q723">
        <f t="shared" si="48"/>
        <v>-3.6023521878917331E-3</v>
      </c>
      <c r="R723" s="11">
        <v>59.25000000000059</v>
      </c>
      <c r="S723" s="1">
        <v>0.1826935065268516</v>
      </c>
      <c r="T723" s="1">
        <v>0.1854776596105806</v>
      </c>
      <c r="U723">
        <f t="shared" si="49"/>
        <v>-2.7841530837290074E-3</v>
      </c>
      <c r="W723" s="1">
        <v>0.26146033680317848</v>
      </c>
      <c r="X723" s="1">
        <v>0.26888026754988514</v>
      </c>
      <c r="Y723" s="12">
        <f t="shared" si="50"/>
        <v>-2.7595668564001419E-2</v>
      </c>
    </row>
    <row r="724" spans="11:25" x14ac:dyDescent="0.2">
      <c r="K724" s="1">
        <v>7.5685728969805601E-3</v>
      </c>
      <c r="L724" s="1">
        <v>7.4745084080268314E-3</v>
      </c>
      <c r="M724" s="13">
        <f t="shared" si="47"/>
        <v>9.4064488953728674E-5</v>
      </c>
      <c r="O724" s="1">
        <v>0.63781986870039875</v>
      </c>
      <c r="P724" s="1">
        <v>0.64139462326008001</v>
      </c>
      <c r="Q724">
        <f t="shared" si="48"/>
        <v>-3.5747545596812591E-3</v>
      </c>
      <c r="R724" s="11">
        <v>59.333333333333925</v>
      </c>
      <c r="S724" s="1">
        <v>0.18279084486953265</v>
      </c>
      <c r="T724" s="1">
        <v>0.18553761542159233</v>
      </c>
      <c r="U724">
        <f t="shared" si="49"/>
        <v>-2.7467705520596852E-3</v>
      </c>
      <c r="W724" s="1">
        <v>0.26158768726659032</v>
      </c>
      <c r="X724" s="1">
        <v>0.26892112399656182</v>
      </c>
      <c r="Y724" s="12">
        <f t="shared" si="50"/>
        <v>-2.7269842625175289E-2</v>
      </c>
    </row>
    <row r="725" spans="11:25" x14ac:dyDescent="0.2">
      <c r="K725" s="1">
        <v>7.5694591969601649E-3</v>
      </c>
      <c r="L725" s="1">
        <v>7.4760529234936691E-3</v>
      </c>
      <c r="M725" s="13">
        <f t="shared" si="47"/>
        <v>9.3406273466495847E-5</v>
      </c>
      <c r="O725" s="1">
        <v>0.63738410011494007</v>
      </c>
      <c r="P725" s="1">
        <v>0.64093633462770749</v>
      </c>
      <c r="Q725">
        <f t="shared" si="48"/>
        <v>-3.5522345127674271E-3</v>
      </c>
      <c r="R725" s="11">
        <v>59.416666666667261</v>
      </c>
      <c r="S725" s="1">
        <v>0.18285057631543852</v>
      </c>
      <c r="T725" s="1">
        <v>0.18560066795592645</v>
      </c>
      <c r="U725">
        <f t="shared" si="49"/>
        <v>-2.7500916404879228E-3</v>
      </c>
      <c r="W725" s="1">
        <v>0.26164643253366132</v>
      </c>
      <c r="X725" s="1">
        <v>0.26897082263905653</v>
      </c>
      <c r="Y725" s="12">
        <f t="shared" si="50"/>
        <v>-2.7231169661938059E-2</v>
      </c>
    </row>
    <row r="726" spans="11:25" x14ac:dyDescent="0.2">
      <c r="K726" s="1">
        <v>7.5703237458657558E-3</v>
      </c>
      <c r="L726" s="1">
        <v>7.4775982002668311E-3</v>
      </c>
      <c r="M726" s="13">
        <f t="shared" si="47"/>
        <v>9.2725545598924645E-5</v>
      </c>
      <c r="O726" s="1">
        <v>0.63694936065231444</v>
      </c>
      <c r="P726" s="1">
        <v>0.64047817952698438</v>
      </c>
      <c r="Q726">
        <f t="shared" si="48"/>
        <v>-3.5288188746699367E-3</v>
      </c>
      <c r="R726" s="11">
        <v>59.500000000000597</v>
      </c>
      <c r="S726" s="1">
        <v>0.18292913963549898</v>
      </c>
      <c r="T726" s="1">
        <v>0.1856857724976442</v>
      </c>
      <c r="U726">
        <f t="shared" si="49"/>
        <v>-2.7566328621452252E-3</v>
      </c>
      <c r="W726" s="1">
        <v>0.26173971517156092</v>
      </c>
      <c r="X726" s="1">
        <v>0.26906023371530852</v>
      </c>
      <c r="Y726" s="12">
        <f t="shared" si="50"/>
        <v>-2.7207731304854987E-2</v>
      </c>
    </row>
    <row r="727" spans="11:25" x14ac:dyDescent="0.2">
      <c r="K727" s="1">
        <v>7.5712680598897623E-3</v>
      </c>
      <c r="L727" s="1">
        <v>7.4791521175542591E-3</v>
      </c>
      <c r="M727" s="13">
        <f t="shared" si="47"/>
        <v>9.2115942335503284E-5</v>
      </c>
      <c r="O727" s="1">
        <v>0.63651179662557833</v>
      </c>
      <c r="P727" s="1">
        <v>0.64001985712789466</v>
      </c>
      <c r="Q727">
        <f t="shared" si="48"/>
        <v>-3.5080605023163347E-3</v>
      </c>
      <c r="R727" s="11">
        <v>59.583333333333933</v>
      </c>
      <c r="S727" s="1">
        <v>0.18301134499548363</v>
      </c>
      <c r="T727" s="1">
        <v>0.18575184385950441</v>
      </c>
      <c r="U727">
        <f t="shared" si="49"/>
        <v>-2.7404988640207795E-3</v>
      </c>
      <c r="W727" s="1">
        <v>0.26183736171117844</v>
      </c>
      <c r="X727" s="1">
        <v>0.2691145183532932</v>
      </c>
      <c r="Y727" s="12">
        <f t="shared" si="50"/>
        <v>-2.7041115011719019E-2</v>
      </c>
    </row>
    <row r="728" spans="11:25" x14ac:dyDescent="0.2">
      <c r="K728" s="1">
        <v>7.5722308129252715E-3</v>
      </c>
      <c r="L728" s="1">
        <v>7.4806809706285584E-3</v>
      </c>
      <c r="M728" s="13">
        <f t="shared" si="47"/>
        <v>9.1549842296713077E-5</v>
      </c>
      <c r="O728" s="1">
        <v>0.63607373229995823</v>
      </c>
      <c r="P728" s="1">
        <v>0.63956265486375063</v>
      </c>
      <c r="Q728">
        <f t="shared" si="48"/>
        <v>-3.4889225637924071E-3</v>
      </c>
      <c r="R728" s="11">
        <v>59.666666666667268</v>
      </c>
      <c r="S728" s="1">
        <v>0.1830807402770343</v>
      </c>
      <c r="T728" s="1">
        <v>0.18584368370953727</v>
      </c>
      <c r="U728">
        <f t="shared" si="49"/>
        <v>-2.7629434325029678E-3</v>
      </c>
      <c r="W728" s="1">
        <v>0.26191094637473861</v>
      </c>
      <c r="X728" s="1">
        <v>0.26921588676504421</v>
      </c>
      <c r="Y728" s="12">
        <f t="shared" si="50"/>
        <v>-2.7134135648840485E-2</v>
      </c>
    </row>
    <row r="729" spans="11:25" x14ac:dyDescent="0.2">
      <c r="K729" s="1">
        <v>7.5731887408594118E-3</v>
      </c>
      <c r="L729" s="1">
        <v>7.4823132384756394E-3</v>
      </c>
      <c r="M729" s="13">
        <f t="shared" si="47"/>
        <v>9.0875502383772414E-5</v>
      </c>
      <c r="O729" s="1">
        <v>0.63563605097774967</v>
      </c>
      <c r="P729" s="1">
        <v>0.63910166180517525</v>
      </c>
      <c r="Q729">
        <f t="shared" si="48"/>
        <v>-3.4656108274255804E-3</v>
      </c>
      <c r="R729" s="11">
        <v>59.750000000000604</v>
      </c>
      <c r="S729" s="1">
        <v>0.18317481895276561</v>
      </c>
      <c r="T729" s="1">
        <v>0.18589159913101122</v>
      </c>
      <c r="U729">
        <f t="shared" si="49"/>
        <v>-2.7167801782456147E-3</v>
      </c>
      <c r="W729" s="1">
        <v>0.26202925724008863</v>
      </c>
      <c r="X729" s="1">
        <v>0.26923458058049698</v>
      </c>
      <c r="Y729" s="12">
        <f t="shared" si="50"/>
        <v>-2.6762250691842571E-2</v>
      </c>
    </row>
    <row r="730" spans="11:25" x14ac:dyDescent="0.2">
      <c r="K730" s="1">
        <v>7.5741442925209897E-3</v>
      </c>
      <c r="L730" s="1">
        <v>7.4840281207688448E-3</v>
      </c>
      <c r="M730" s="13">
        <f t="shared" si="47"/>
        <v>9.0116171752144952E-5</v>
      </c>
      <c r="O730" s="1">
        <v>0.63519865984946344</v>
      </c>
      <c r="P730" s="1">
        <v>0.6386376660359665</v>
      </c>
      <c r="Q730">
        <f t="shared" si="48"/>
        <v>-3.4390061865030574E-3</v>
      </c>
      <c r="R730" s="11">
        <v>59.83333333333394</v>
      </c>
      <c r="S730" s="1">
        <v>0.18327145269194361</v>
      </c>
      <c r="T730" s="1">
        <v>0.18599059212700816</v>
      </c>
      <c r="U730">
        <f t="shared" si="49"/>
        <v>-2.7191394350645492E-3</v>
      </c>
      <c r="W730" s="1">
        <v>0.26215196067737445</v>
      </c>
      <c r="X730" s="1">
        <v>0.26934355717850178</v>
      </c>
      <c r="Y730" s="12">
        <f t="shared" si="50"/>
        <v>-2.6700458613016842E-2</v>
      </c>
    </row>
    <row r="731" spans="11:25" x14ac:dyDescent="0.2">
      <c r="K731" s="1">
        <v>7.5750141533347127E-3</v>
      </c>
      <c r="L731" s="1">
        <v>7.4857612417116737E-3</v>
      </c>
      <c r="M731" s="13">
        <f t="shared" si="47"/>
        <v>8.9252911623038944E-5</v>
      </c>
      <c r="O731" s="1">
        <v>0.6347647322089256</v>
      </c>
      <c r="P731" s="1">
        <v>0.63817312636926404</v>
      </c>
      <c r="Q731">
        <f t="shared" si="48"/>
        <v>-3.408394160338446E-3</v>
      </c>
      <c r="R731" s="11">
        <v>59.916666666667275</v>
      </c>
      <c r="S731" s="1">
        <v>0.18335021341326693</v>
      </c>
      <c r="T731" s="1">
        <v>0.18612031669700865</v>
      </c>
      <c r="U731">
        <f t="shared" si="49"/>
        <v>-2.7701032837417205E-3</v>
      </c>
      <c r="W731" s="1">
        <v>0.26224398700335971</v>
      </c>
      <c r="X731" s="1">
        <v>0.26950744001011967</v>
      </c>
      <c r="Y731" s="12">
        <f t="shared" si="50"/>
        <v>-2.6950844126927387E-2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Feuil1</vt:lpstr>
      <vt:lpstr>Output</vt:lpstr>
      <vt:lpstr>Feuil2</vt:lpstr>
      <vt:lpstr>alpha</vt:lpstr>
      <vt:lpstr>corel</vt:lpstr>
      <vt:lpstr>dir</vt:lpstr>
      <vt:lpstr>name</vt:lpstr>
      <vt:lpstr>scn</vt:lpstr>
      <vt:lpstr>sigma</vt:lpstr>
    </vt:vector>
  </TitlesOfParts>
  <Company>Basler Versicherungen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B029735</dc:creator>
  <cp:lastModifiedBy>B029735</cp:lastModifiedBy>
  <dcterms:created xsi:type="dcterms:W3CDTF">2013-01-21T16:28:36Z</dcterms:created>
  <dcterms:modified xsi:type="dcterms:W3CDTF">2015-09-28T15:10:57Z</dcterms:modified>
</cp:coreProperties>
</file>